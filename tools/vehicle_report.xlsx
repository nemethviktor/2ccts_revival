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5.xml" ContentType="application/vnd.openxmlformats-officedocument.spreadsheetml.comments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2E415632-2371-4D5F-9F50-EBB95701B0B5}" xr6:coauthVersionLast="47" xr6:coauthVersionMax="47" xr10:uidLastSave="{00000000-0000-0000-0000-000000000000}"/>
  <bookViews>
    <workbookView xWindow="-103" yWindow="-103" windowWidth="22149" windowHeight="13320" tabRatio="739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1" i="19" l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X791" i="17"/>
  <c r="K791" i="17"/>
  <c r="U791" i="17"/>
  <c r="B791" i="14"/>
  <c r="G791" i="14"/>
  <c r="F791" i="14" s="1"/>
  <c r="H791" i="14"/>
  <c r="I791" i="14"/>
  <c r="J791" i="14"/>
  <c r="K791" i="14"/>
  <c r="L791" i="14"/>
  <c r="M791" i="14"/>
  <c r="N791" i="14"/>
  <c r="O791" i="14"/>
  <c r="P791" i="14"/>
  <c r="AF790" i="1"/>
  <c r="P790" i="17"/>
  <c r="K790" i="17"/>
  <c r="U790" i="17"/>
  <c r="X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G790" i="14"/>
  <c r="H790" i="14"/>
  <c r="I790" i="14"/>
  <c r="J790" i="14"/>
  <c r="K790" i="14"/>
  <c r="L790" i="14"/>
  <c r="M790" i="14"/>
  <c r="N790" i="14"/>
  <c r="O790" i="14"/>
  <c r="P790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U789" i="17"/>
  <c r="U788" i="17"/>
  <c r="U787" i="17"/>
  <c r="U786" i="17"/>
  <c r="U785" i="17"/>
  <c r="U784" i="17"/>
  <c r="U783" i="17"/>
  <c r="U782" i="17"/>
  <c r="U781" i="17"/>
  <c r="U780" i="17"/>
  <c r="U779" i="17"/>
  <c r="U778" i="17"/>
  <c r="U777" i="17"/>
  <c r="U776" i="17"/>
  <c r="U775" i="17"/>
  <c r="U774" i="17"/>
  <c r="U773" i="17"/>
  <c r="U772" i="17"/>
  <c r="U771" i="17"/>
  <c r="U770" i="17"/>
  <c r="U769" i="17"/>
  <c r="U768" i="17"/>
  <c r="U767" i="17"/>
  <c r="U766" i="17"/>
  <c r="U764" i="17"/>
  <c r="U763" i="17"/>
  <c r="U762" i="17"/>
  <c r="U761" i="17"/>
  <c r="U760" i="17"/>
  <c r="U759" i="17"/>
  <c r="U758" i="17"/>
  <c r="U757" i="17"/>
  <c r="U756" i="17"/>
  <c r="U755" i="17"/>
  <c r="U754" i="17"/>
  <c r="U753" i="17"/>
  <c r="U752" i="17"/>
  <c r="U751" i="17"/>
  <c r="U750" i="17"/>
  <c r="U749" i="17"/>
  <c r="U748" i="17"/>
  <c r="U747" i="17"/>
  <c r="U746" i="17"/>
  <c r="U745" i="17"/>
  <c r="U744" i="17"/>
  <c r="U743" i="17"/>
  <c r="U742" i="17"/>
  <c r="U741" i="17"/>
  <c r="U740" i="17"/>
  <c r="U739" i="17"/>
  <c r="U738" i="17"/>
  <c r="U737" i="17"/>
  <c r="U736" i="17"/>
  <c r="U735" i="17"/>
  <c r="U734" i="17"/>
  <c r="U733" i="17"/>
  <c r="U732" i="17"/>
  <c r="U731" i="17"/>
  <c r="U730" i="17"/>
  <c r="U729" i="17"/>
  <c r="U728" i="17"/>
  <c r="U727" i="17"/>
  <c r="U726" i="17"/>
  <c r="U725" i="17"/>
  <c r="U724" i="17"/>
  <c r="U723" i="17"/>
  <c r="U722" i="17"/>
  <c r="U721" i="17"/>
  <c r="U720" i="17"/>
  <c r="U719" i="17"/>
  <c r="U718" i="17"/>
  <c r="U717" i="17"/>
  <c r="U716" i="17"/>
  <c r="U715" i="17"/>
  <c r="U714" i="17"/>
  <c r="U713" i="17"/>
  <c r="U712" i="17"/>
  <c r="U711" i="17"/>
  <c r="U710" i="17"/>
  <c r="U709" i="17"/>
  <c r="U708" i="17"/>
  <c r="U707" i="17"/>
  <c r="U706" i="17"/>
  <c r="U705" i="17"/>
  <c r="U704" i="17"/>
  <c r="U703" i="17"/>
  <c r="U702" i="17"/>
  <c r="U701" i="17"/>
  <c r="U700" i="17"/>
  <c r="U699" i="17"/>
  <c r="U698" i="17"/>
  <c r="U697" i="17"/>
  <c r="U696" i="17"/>
  <c r="U695" i="17"/>
  <c r="U694" i="17"/>
  <c r="U693" i="17"/>
  <c r="U692" i="17"/>
  <c r="U691" i="17"/>
  <c r="U690" i="17"/>
  <c r="U689" i="17"/>
  <c r="U688" i="17"/>
  <c r="U687" i="17"/>
  <c r="U686" i="17"/>
  <c r="U685" i="17"/>
  <c r="U684" i="17"/>
  <c r="U683" i="17"/>
  <c r="U682" i="17"/>
  <c r="U681" i="17"/>
  <c r="U680" i="17"/>
  <c r="U679" i="17"/>
  <c r="U678" i="17"/>
  <c r="U677" i="17"/>
  <c r="U676" i="17"/>
  <c r="U675" i="17"/>
  <c r="U674" i="17"/>
  <c r="U673" i="17"/>
  <c r="U672" i="17"/>
  <c r="U671" i="17"/>
  <c r="U670" i="17"/>
  <c r="U669" i="17"/>
  <c r="U668" i="17"/>
  <c r="U667" i="17"/>
  <c r="U666" i="17"/>
  <c r="U665" i="17"/>
  <c r="U664" i="17"/>
  <c r="U663" i="17"/>
  <c r="U662" i="17"/>
  <c r="U661" i="17"/>
  <c r="U660" i="17"/>
  <c r="U659" i="17"/>
  <c r="U658" i="17"/>
  <c r="U657" i="17"/>
  <c r="U656" i="17"/>
  <c r="U655" i="17"/>
  <c r="U654" i="17"/>
  <c r="U653" i="17"/>
  <c r="U652" i="17"/>
  <c r="U651" i="17"/>
  <c r="U650" i="17"/>
  <c r="U649" i="17"/>
  <c r="U648" i="17"/>
  <c r="U647" i="17"/>
  <c r="U646" i="17"/>
  <c r="U645" i="17"/>
  <c r="U644" i="17"/>
  <c r="U643" i="17"/>
  <c r="U642" i="17"/>
  <c r="U641" i="17"/>
  <c r="U640" i="17"/>
  <c r="U639" i="17"/>
  <c r="U638" i="17"/>
  <c r="U637" i="17"/>
  <c r="U636" i="17"/>
  <c r="U635" i="17"/>
  <c r="U634" i="17"/>
  <c r="U633" i="17"/>
  <c r="U632" i="17"/>
  <c r="U631" i="17"/>
  <c r="U630" i="17"/>
  <c r="U629" i="17"/>
  <c r="U628" i="17"/>
  <c r="U627" i="17"/>
  <c r="U626" i="17"/>
  <c r="U625" i="17"/>
  <c r="U624" i="17"/>
  <c r="U623" i="17"/>
  <c r="U622" i="17"/>
  <c r="U621" i="17"/>
  <c r="U620" i="17"/>
  <c r="U619" i="17"/>
  <c r="U618" i="17"/>
  <c r="U617" i="17"/>
  <c r="U616" i="17"/>
  <c r="U615" i="17"/>
  <c r="U614" i="17"/>
  <c r="U613" i="17"/>
  <c r="U612" i="17"/>
  <c r="U611" i="17"/>
  <c r="U610" i="17"/>
  <c r="U609" i="17"/>
  <c r="U608" i="17"/>
  <c r="U607" i="17"/>
  <c r="U606" i="17"/>
  <c r="U605" i="17"/>
  <c r="U604" i="17"/>
  <c r="U603" i="17"/>
  <c r="U602" i="17"/>
  <c r="U601" i="17"/>
  <c r="U600" i="17"/>
  <c r="U599" i="17"/>
  <c r="U598" i="17"/>
  <c r="U597" i="17"/>
  <c r="U596" i="17"/>
  <c r="U595" i="17"/>
  <c r="U594" i="17"/>
  <c r="U593" i="17"/>
  <c r="U592" i="17"/>
  <c r="U591" i="17"/>
  <c r="U590" i="17"/>
  <c r="U589" i="17"/>
  <c r="U588" i="17"/>
  <c r="U587" i="17"/>
  <c r="U586" i="17"/>
  <c r="U585" i="17"/>
  <c r="U584" i="17"/>
  <c r="U583" i="17"/>
  <c r="U582" i="17"/>
  <c r="U581" i="17"/>
  <c r="U580" i="17"/>
  <c r="U579" i="17"/>
  <c r="U578" i="17"/>
  <c r="U577" i="17"/>
  <c r="U576" i="17"/>
  <c r="U575" i="17"/>
  <c r="U574" i="17"/>
  <c r="U573" i="17"/>
  <c r="U572" i="17"/>
  <c r="U571" i="17"/>
  <c r="U570" i="17"/>
  <c r="U569" i="17"/>
  <c r="U568" i="17"/>
  <c r="U567" i="17"/>
  <c r="U566" i="17"/>
  <c r="U565" i="17"/>
  <c r="U564" i="17"/>
  <c r="U563" i="17"/>
  <c r="U562" i="17"/>
  <c r="U561" i="17"/>
  <c r="U560" i="17"/>
  <c r="U559" i="17"/>
  <c r="U558" i="17"/>
  <c r="U557" i="17"/>
  <c r="U556" i="17"/>
  <c r="U555" i="17"/>
  <c r="U554" i="17"/>
  <c r="U553" i="17"/>
  <c r="U552" i="17"/>
  <c r="U551" i="17"/>
  <c r="U550" i="17"/>
  <c r="U549" i="17"/>
  <c r="U548" i="17"/>
  <c r="U547" i="17"/>
  <c r="U546" i="17"/>
  <c r="U545" i="17"/>
  <c r="U544" i="17"/>
  <c r="U543" i="17"/>
  <c r="U542" i="17"/>
  <c r="U541" i="17"/>
  <c r="U540" i="17"/>
  <c r="U539" i="17"/>
  <c r="U538" i="17"/>
  <c r="U537" i="17"/>
  <c r="U536" i="17"/>
  <c r="U535" i="17"/>
  <c r="U534" i="17"/>
  <c r="U533" i="17"/>
  <c r="U532" i="17"/>
  <c r="U531" i="17"/>
  <c r="U530" i="17"/>
  <c r="U529" i="17"/>
  <c r="U528" i="17"/>
  <c r="U527" i="17"/>
  <c r="U526" i="17"/>
  <c r="U525" i="17"/>
  <c r="U524" i="17"/>
  <c r="U523" i="17"/>
  <c r="U522" i="17"/>
  <c r="U521" i="17"/>
  <c r="U520" i="17"/>
  <c r="U519" i="17"/>
  <c r="U518" i="17"/>
  <c r="U517" i="17"/>
  <c r="U516" i="17"/>
  <c r="U515" i="17"/>
  <c r="U514" i="17"/>
  <c r="U513" i="17"/>
  <c r="U512" i="17"/>
  <c r="U511" i="17"/>
  <c r="U510" i="17"/>
  <c r="U509" i="17"/>
  <c r="U508" i="17"/>
  <c r="U507" i="17"/>
  <c r="U506" i="17"/>
  <c r="U505" i="17"/>
  <c r="U504" i="17"/>
  <c r="U503" i="17"/>
  <c r="U502" i="17"/>
  <c r="U501" i="17"/>
  <c r="U500" i="17"/>
  <c r="U499" i="17"/>
  <c r="U498" i="17"/>
  <c r="U497" i="17"/>
  <c r="U496" i="17"/>
  <c r="U495" i="17"/>
  <c r="U494" i="17"/>
  <c r="U493" i="17"/>
  <c r="U492" i="17"/>
  <c r="U491" i="17"/>
  <c r="U490" i="17"/>
  <c r="U489" i="17"/>
  <c r="U488" i="17"/>
  <c r="U487" i="17"/>
  <c r="U486" i="17"/>
  <c r="U485" i="17"/>
  <c r="U484" i="17"/>
  <c r="U483" i="17"/>
  <c r="U482" i="17"/>
  <c r="U481" i="17"/>
  <c r="U480" i="17"/>
  <c r="U479" i="17"/>
  <c r="U478" i="17"/>
  <c r="U477" i="17"/>
  <c r="U476" i="17"/>
  <c r="U475" i="17"/>
  <c r="U474" i="17"/>
  <c r="U473" i="17"/>
  <c r="U472" i="17"/>
  <c r="U471" i="17"/>
  <c r="U470" i="17"/>
  <c r="U469" i="17"/>
  <c r="U468" i="17"/>
  <c r="U467" i="17"/>
  <c r="U466" i="17"/>
  <c r="U465" i="17"/>
  <c r="U464" i="17"/>
  <c r="U463" i="17"/>
  <c r="U462" i="17"/>
  <c r="U461" i="17"/>
  <c r="U460" i="17"/>
  <c r="U459" i="17"/>
  <c r="U458" i="17"/>
  <c r="U457" i="17"/>
  <c r="U456" i="17"/>
  <c r="U455" i="17"/>
  <c r="U454" i="17"/>
  <c r="U453" i="17"/>
  <c r="U452" i="17"/>
  <c r="U451" i="17"/>
  <c r="U450" i="17"/>
  <c r="U449" i="17"/>
  <c r="U448" i="17"/>
  <c r="U447" i="17"/>
  <c r="U446" i="17"/>
  <c r="U445" i="17"/>
  <c r="U444" i="17"/>
  <c r="U443" i="17"/>
  <c r="U442" i="17"/>
  <c r="U441" i="17"/>
  <c r="U440" i="17"/>
  <c r="U439" i="17"/>
  <c r="U438" i="17"/>
  <c r="U437" i="17"/>
  <c r="U436" i="17"/>
  <c r="U435" i="17"/>
  <c r="U434" i="17"/>
  <c r="U433" i="17"/>
  <c r="U432" i="17"/>
  <c r="U431" i="17"/>
  <c r="U430" i="17"/>
  <c r="U429" i="17"/>
  <c r="U428" i="17"/>
  <c r="U427" i="17"/>
  <c r="U426" i="17"/>
  <c r="U425" i="17"/>
  <c r="U424" i="17"/>
  <c r="U423" i="17"/>
  <c r="U422" i="17"/>
  <c r="U421" i="17"/>
  <c r="U420" i="17"/>
  <c r="U419" i="17"/>
  <c r="U418" i="17"/>
  <c r="U417" i="17"/>
  <c r="U416" i="17"/>
  <c r="U415" i="17"/>
  <c r="U414" i="17"/>
  <c r="U413" i="17"/>
  <c r="U412" i="17"/>
  <c r="U411" i="17"/>
  <c r="U410" i="17"/>
  <c r="U409" i="17"/>
  <c r="U408" i="17"/>
  <c r="U407" i="17"/>
  <c r="U406" i="17"/>
  <c r="U405" i="17"/>
  <c r="U404" i="17"/>
  <c r="U403" i="17"/>
  <c r="U402" i="17"/>
  <c r="U401" i="17"/>
  <c r="U400" i="17"/>
  <c r="U399" i="17"/>
  <c r="U398" i="17"/>
  <c r="U397" i="17"/>
  <c r="U396" i="17"/>
  <c r="U395" i="17"/>
  <c r="U394" i="17"/>
  <c r="U393" i="17"/>
  <c r="U392" i="17"/>
  <c r="U391" i="17"/>
  <c r="U390" i="17"/>
  <c r="U389" i="17"/>
  <c r="U388" i="17"/>
  <c r="U387" i="17"/>
  <c r="U386" i="17"/>
  <c r="U385" i="17"/>
  <c r="U384" i="17"/>
  <c r="U383" i="17"/>
  <c r="U382" i="17"/>
  <c r="U381" i="17"/>
  <c r="U380" i="17"/>
  <c r="U379" i="17"/>
  <c r="U378" i="17"/>
  <c r="U377" i="17"/>
  <c r="U376" i="17"/>
  <c r="U375" i="17"/>
  <c r="U374" i="17"/>
  <c r="U373" i="17"/>
  <c r="U372" i="17"/>
  <c r="U371" i="17"/>
  <c r="U370" i="17"/>
  <c r="U369" i="17"/>
  <c r="U368" i="17"/>
  <c r="U367" i="17"/>
  <c r="U366" i="17"/>
  <c r="U365" i="17"/>
  <c r="U364" i="17"/>
  <c r="U363" i="17"/>
  <c r="U362" i="17"/>
  <c r="U361" i="17"/>
  <c r="U360" i="17"/>
  <c r="U359" i="17"/>
  <c r="U358" i="17"/>
  <c r="U357" i="17"/>
  <c r="U356" i="17"/>
  <c r="U355" i="17"/>
  <c r="U354" i="17"/>
  <c r="U353" i="17"/>
  <c r="U352" i="17"/>
  <c r="U351" i="17"/>
  <c r="U350" i="17"/>
  <c r="U349" i="17"/>
  <c r="U348" i="17"/>
  <c r="U347" i="17"/>
  <c r="U346" i="17"/>
  <c r="U345" i="17"/>
  <c r="U344" i="17"/>
  <c r="U343" i="17"/>
  <c r="U342" i="17"/>
  <c r="U341" i="17"/>
  <c r="U340" i="17"/>
  <c r="U339" i="17"/>
  <c r="U338" i="17"/>
  <c r="U337" i="17"/>
  <c r="U336" i="17"/>
  <c r="U335" i="17"/>
  <c r="U334" i="17"/>
  <c r="U333" i="17"/>
  <c r="U332" i="17"/>
  <c r="U331" i="17"/>
  <c r="U330" i="17"/>
  <c r="U329" i="17"/>
  <c r="U328" i="17"/>
  <c r="U327" i="17"/>
  <c r="U326" i="17"/>
  <c r="U325" i="17"/>
  <c r="U324" i="17"/>
  <c r="U323" i="17"/>
  <c r="U322" i="17"/>
  <c r="U321" i="17"/>
  <c r="U320" i="17"/>
  <c r="U319" i="17"/>
  <c r="U318" i="17"/>
  <c r="U317" i="17"/>
  <c r="U316" i="17"/>
  <c r="U315" i="17"/>
  <c r="U314" i="17"/>
  <c r="U313" i="17"/>
  <c r="U312" i="17"/>
  <c r="U311" i="17"/>
  <c r="U310" i="17"/>
  <c r="U309" i="17"/>
  <c r="U308" i="17"/>
  <c r="U307" i="17"/>
  <c r="U306" i="17"/>
  <c r="U305" i="17"/>
  <c r="U304" i="17"/>
  <c r="U303" i="17"/>
  <c r="U302" i="17"/>
  <c r="U301" i="17"/>
  <c r="U300" i="17"/>
  <c r="U299" i="17"/>
  <c r="U298" i="17"/>
  <c r="U297" i="17"/>
  <c r="U296" i="17"/>
  <c r="U295" i="17"/>
  <c r="U294" i="17"/>
  <c r="U293" i="17"/>
  <c r="U292" i="17"/>
  <c r="U291" i="17"/>
  <c r="U290" i="17"/>
  <c r="U289" i="17"/>
  <c r="U288" i="17"/>
  <c r="U287" i="17"/>
  <c r="U286" i="17"/>
  <c r="U285" i="17"/>
  <c r="U284" i="17"/>
  <c r="U283" i="17"/>
  <c r="U282" i="17"/>
  <c r="U281" i="17"/>
  <c r="U280" i="17"/>
  <c r="U279" i="17"/>
  <c r="U278" i="17"/>
  <c r="U277" i="17"/>
  <c r="U276" i="17"/>
  <c r="U275" i="17"/>
  <c r="U274" i="17"/>
  <c r="U273" i="17"/>
  <c r="U272" i="17"/>
  <c r="U271" i="17"/>
  <c r="U270" i="17"/>
  <c r="U269" i="17"/>
  <c r="U268" i="17"/>
  <c r="U267" i="17"/>
  <c r="U266" i="17"/>
  <c r="U265" i="17"/>
  <c r="U264" i="17"/>
  <c r="U263" i="17"/>
  <c r="U262" i="17"/>
  <c r="U261" i="17"/>
  <c r="U260" i="17"/>
  <c r="U259" i="17"/>
  <c r="U258" i="17"/>
  <c r="U257" i="17"/>
  <c r="U256" i="17"/>
  <c r="U255" i="17"/>
  <c r="U254" i="17"/>
  <c r="U253" i="17"/>
  <c r="U252" i="17"/>
  <c r="U251" i="17"/>
  <c r="U250" i="17"/>
  <c r="U249" i="17"/>
  <c r="U248" i="17"/>
  <c r="U247" i="17"/>
  <c r="U246" i="17"/>
  <c r="U245" i="17"/>
  <c r="U244" i="17"/>
  <c r="U243" i="17"/>
  <c r="U242" i="17"/>
  <c r="U241" i="17"/>
  <c r="U240" i="17"/>
  <c r="U239" i="17"/>
  <c r="U238" i="17"/>
  <c r="U237" i="17"/>
  <c r="U236" i="17"/>
  <c r="U235" i="17"/>
  <c r="U234" i="17"/>
  <c r="U233" i="17"/>
  <c r="U232" i="17"/>
  <c r="U231" i="17"/>
  <c r="U230" i="17"/>
  <c r="U229" i="17"/>
  <c r="U228" i="17"/>
  <c r="U227" i="17"/>
  <c r="U226" i="17"/>
  <c r="U225" i="17"/>
  <c r="U224" i="17"/>
  <c r="U223" i="17"/>
  <c r="U222" i="17"/>
  <c r="U221" i="17"/>
  <c r="U220" i="17"/>
  <c r="U219" i="17"/>
  <c r="U218" i="17"/>
  <c r="U217" i="17"/>
  <c r="U216" i="17"/>
  <c r="U215" i="17"/>
  <c r="U214" i="17"/>
  <c r="U213" i="17"/>
  <c r="U212" i="17"/>
  <c r="U211" i="17"/>
  <c r="U210" i="17"/>
  <c r="U209" i="17"/>
  <c r="U208" i="17"/>
  <c r="U207" i="17"/>
  <c r="U206" i="17"/>
  <c r="U205" i="17"/>
  <c r="U204" i="17"/>
  <c r="U203" i="17"/>
  <c r="U202" i="17"/>
  <c r="U201" i="17"/>
  <c r="U200" i="17"/>
  <c r="U199" i="17"/>
  <c r="U198" i="17"/>
  <c r="U197" i="17"/>
  <c r="U196" i="17"/>
  <c r="U195" i="17"/>
  <c r="U194" i="17"/>
  <c r="U193" i="17"/>
  <c r="U192" i="17"/>
  <c r="U191" i="17"/>
  <c r="U190" i="17"/>
  <c r="U189" i="17"/>
  <c r="U188" i="17"/>
  <c r="U187" i="17"/>
  <c r="U186" i="17"/>
  <c r="U185" i="17"/>
  <c r="U184" i="17"/>
  <c r="U183" i="17"/>
  <c r="U182" i="17"/>
  <c r="U181" i="17"/>
  <c r="U180" i="17"/>
  <c r="U179" i="17"/>
  <c r="U178" i="17"/>
  <c r="U177" i="17"/>
  <c r="U176" i="17"/>
  <c r="U175" i="17"/>
  <c r="U174" i="17"/>
  <c r="U173" i="17"/>
  <c r="U172" i="17"/>
  <c r="U171" i="17"/>
  <c r="U170" i="17"/>
  <c r="U169" i="17"/>
  <c r="U168" i="17"/>
  <c r="U167" i="17"/>
  <c r="U166" i="17"/>
  <c r="U165" i="17"/>
  <c r="U164" i="17"/>
  <c r="U163" i="17"/>
  <c r="U162" i="17"/>
  <c r="U161" i="17"/>
  <c r="U160" i="17"/>
  <c r="U159" i="17"/>
  <c r="U158" i="17"/>
  <c r="U157" i="17"/>
  <c r="U156" i="17"/>
  <c r="U155" i="17"/>
  <c r="U154" i="17"/>
  <c r="U153" i="17"/>
  <c r="U152" i="17"/>
  <c r="U151" i="17"/>
  <c r="U150" i="17"/>
  <c r="U149" i="17"/>
  <c r="U148" i="17"/>
  <c r="U147" i="17"/>
  <c r="U146" i="17"/>
  <c r="U145" i="17"/>
  <c r="U144" i="17"/>
  <c r="U143" i="17"/>
  <c r="U142" i="17"/>
  <c r="U141" i="17"/>
  <c r="U140" i="17"/>
  <c r="U139" i="17"/>
  <c r="U138" i="17"/>
  <c r="U137" i="17"/>
  <c r="U136" i="17"/>
  <c r="U135" i="17"/>
  <c r="U134" i="17"/>
  <c r="U133" i="17"/>
  <c r="U132" i="17"/>
  <c r="U131" i="17"/>
  <c r="U130" i="17"/>
  <c r="U129" i="17"/>
  <c r="U128" i="17"/>
  <c r="U127" i="17"/>
  <c r="U126" i="17"/>
  <c r="U125" i="17"/>
  <c r="U124" i="17"/>
  <c r="U123" i="17"/>
  <c r="U122" i="17"/>
  <c r="U121" i="17"/>
  <c r="U120" i="17"/>
  <c r="U119" i="17"/>
  <c r="U118" i="17"/>
  <c r="U117" i="17"/>
  <c r="U116" i="17"/>
  <c r="U115" i="17"/>
  <c r="U114" i="17"/>
  <c r="U113" i="17"/>
  <c r="U112" i="17"/>
  <c r="U111" i="17"/>
  <c r="U110" i="17"/>
  <c r="U109" i="17"/>
  <c r="U108" i="17"/>
  <c r="U107" i="17"/>
  <c r="U106" i="17"/>
  <c r="U105" i="17"/>
  <c r="U104" i="17"/>
  <c r="U103" i="17"/>
  <c r="U102" i="17"/>
  <c r="U101" i="17"/>
  <c r="U100" i="17"/>
  <c r="U99" i="17"/>
  <c r="U98" i="17"/>
  <c r="U97" i="17"/>
  <c r="U96" i="17"/>
  <c r="U95" i="17"/>
  <c r="U94" i="17"/>
  <c r="U93" i="17"/>
  <c r="U92" i="17"/>
  <c r="U91" i="17"/>
  <c r="U90" i="17"/>
  <c r="U89" i="17"/>
  <c r="U88" i="17"/>
  <c r="U87" i="17"/>
  <c r="U86" i="17"/>
  <c r="U85" i="17"/>
  <c r="U84" i="17"/>
  <c r="U83" i="17"/>
  <c r="U82" i="17"/>
  <c r="U81" i="17"/>
  <c r="U80" i="17"/>
  <c r="U79" i="17"/>
  <c r="U78" i="17"/>
  <c r="U77" i="17"/>
  <c r="U76" i="17"/>
  <c r="U75" i="17"/>
  <c r="U74" i="17"/>
  <c r="U73" i="17"/>
  <c r="U72" i="17"/>
  <c r="U71" i="17"/>
  <c r="U70" i="17"/>
  <c r="U69" i="17"/>
  <c r="U68" i="17"/>
  <c r="U67" i="17"/>
  <c r="U66" i="17"/>
  <c r="U65" i="17"/>
  <c r="U64" i="17"/>
  <c r="U63" i="17"/>
  <c r="U62" i="17"/>
  <c r="U61" i="17"/>
  <c r="U60" i="17"/>
  <c r="U59" i="17"/>
  <c r="U58" i="17"/>
  <c r="U57" i="17"/>
  <c r="U56" i="17"/>
  <c r="U55" i="17"/>
  <c r="U54" i="17"/>
  <c r="U53" i="17"/>
  <c r="U52" i="17"/>
  <c r="U51" i="17"/>
  <c r="U50" i="17"/>
  <c r="U49" i="17"/>
  <c r="U48" i="17"/>
  <c r="U47" i="17"/>
  <c r="U46" i="17"/>
  <c r="U45" i="17"/>
  <c r="U44" i="17"/>
  <c r="U43" i="17"/>
  <c r="U42" i="17"/>
  <c r="U41" i="17"/>
  <c r="U40" i="17"/>
  <c r="U39" i="17"/>
  <c r="U38" i="17"/>
  <c r="U37" i="17"/>
  <c r="U36" i="17"/>
  <c r="U35" i="17"/>
  <c r="U34" i="17"/>
  <c r="U33" i="17"/>
  <c r="U32" i="17"/>
  <c r="U31" i="17"/>
  <c r="U30" i="17"/>
  <c r="U29" i="17"/>
  <c r="U28" i="17"/>
  <c r="U27" i="17"/>
  <c r="U26" i="17"/>
  <c r="U25" i="17"/>
  <c r="U24" i="17"/>
  <c r="U23" i="17"/>
  <c r="U22" i="17"/>
  <c r="U21" i="17"/>
  <c r="U20" i="17"/>
  <c r="U19" i="17"/>
  <c r="U18" i="17"/>
  <c r="U17" i="17"/>
  <c r="U16" i="17"/>
  <c r="U15" i="17"/>
  <c r="U14" i="17"/>
  <c r="U13" i="17"/>
  <c r="U12" i="17"/>
  <c r="U11" i="17"/>
  <c r="U10" i="17"/>
  <c r="U9" i="17"/>
  <c r="U8" i="17"/>
  <c r="U7" i="17"/>
  <c r="U6" i="17"/>
  <c r="U5" i="17"/>
  <c r="U4" i="17"/>
  <c r="U3" i="17"/>
  <c r="U2" i="17"/>
  <c r="U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X789" i="17"/>
  <c r="K789" i="17"/>
  <c r="X788" i="17"/>
  <c r="K788" i="17"/>
  <c r="X787" i="17"/>
  <c r="K787" i="17"/>
  <c r="X786" i="17"/>
  <c r="K786" i="17"/>
  <c r="X785" i="17"/>
  <c r="K785" i="17"/>
  <c r="X784" i="17"/>
  <c r="K784" i="17"/>
  <c r="X783" i="17"/>
  <c r="K783" i="17"/>
  <c r="X782" i="17"/>
  <c r="K782" i="17"/>
  <c r="X781" i="17"/>
  <c r="K781" i="17"/>
  <c r="X780" i="17"/>
  <c r="K780" i="17"/>
  <c r="X779" i="17"/>
  <c r="K779" i="17"/>
  <c r="X778" i="17"/>
  <c r="K778" i="17"/>
  <c r="X777" i="17"/>
  <c r="K777" i="17"/>
  <c r="X776" i="17"/>
  <c r="K776" i="17"/>
  <c r="X775" i="17"/>
  <c r="K775" i="17"/>
  <c r="X774" i="17"/>
  <c r="K774" i="17"/>
  <c r="X773" i="17"/>
  <c r="K773" i="17"/>
  <c r="X772" i="17"/>
  <c r="K772" i="17"/>
  <c r="X771" i="17"/>
  <c r="K771" i="17"/>
  <c r="X770" i="17"/>
  <c r="K770" i="17"/>
  <c r="X769" i="17"/>
  <c r="K769" i="17"/>
  <c r="X768" i="17"/>
  <c r="K768" i="17"/>
  <c r="X767" i="17"/>
  <c r="K767" i="17"/>
  <c r="X766" i="17"/>
  <c r="K766" i="17"/>
  <c r="X765" i="17"/>
  <c r="K765" i="17"/>
  <c r="X764" i="17"/>
  <c r="K764" i="17"/>
  <c r="X763" i="17"/>
  <c r="K763" i="17"/>
  <c r="X762" i="17"/>
  <c r="K762" i="17"/>
  <c r="X761" i="17"/>
  <c r="K761" i="17"/>
  <c r="X760" i="17"/>
  <c r="K760" i="17"/>
  <c r="X759" i="17"/>
  <c r="K759" i="17"/>
  <c r="X758" i="17"/>
  <c r="K758" i="17"/>
  <c r="X757" i="17"/>
  <c r="K757" i="17"/>
  <c r="X756" i="17"/>
  <c r="K756" i="17"/>
  <c r="X755" i="17"/>
  <c r="K755" i="17"/>
  <c r="X754" i="17"/>
  <c r="K754" i="17"/>
  <c r="X753" i="17"/>
  <c r="K753" i="17"/>
  <c r="X752" i="17"/>
  <c r="K752" i="17"/>
  <c r="X751" i="17"/>
  <c r="K751" i="17"/>
  <c r="X750" i="17"/>
  <c r="K750" i="17"/>
  <c r="X749" i="17"/>
  <c r="K749" i="17"/>
  <c r="X748" i="17"/>
  <c r="K748" i="17"/>
  <c r="X747" i="17"/>
  <c r="K747" i="17"/>
  <c r="X746" i="17"/>
  <c r="K746" i="17"/>
  <c r="X745" i="17"/>
  <c r="K745" i="17"/>
  <c r="X744" i="17"/>
  <c r="K744" i="17"/>
  <c r="X743" i="17"/>
  <c r="K743" i="17"/>
  <c r="X742" i="17"/>
  <c r="K742" i="17"/>
  <c r="X741" i="17"/>
  <c r="K741" i="17"/>
  <c r="X740" i="17"/>
  <c r="K740" i="17"/>
  <c r="X739" i="17"/>
  <c r="K739" i="17"/>
  <c r="X738" i="17"/>
  <c r="K738" i="17"/>
  <c r="X737" i="17"/>
  <c r="K737" i="17"/>
  <c r="X736" i="17"/>
  <c r="K736" i="17"/>
  <c r="X735" i="17"/>
  <c r="K735" i="17"/>
  <c r="X734" i="17"/>
  <c r="K734" i="17"/>
  <c r="X733" i="17"/>
  <c r="K733" i="17"/>
  <c r="X732" i="17"/>
  <c r="K732" i="17"/>
  <c r="X731" i="17"/>
  <c r="K731" i="17"/>
  <c r="X730" i="17"/>
  <c r="K730" i="17"/>
  <c r="X729" i="17"/>
  <c r="K729" i="17"/>
  <c r="X728" i="17"/>
  <c r="K728" i="17"/>
  <c r="X727" i="17"/>
  <c r="K727" i="17"/>
  <c r="X726" i="17"/>
  <c r="K726" i="17"/>
  <c r="X725" i="17"/>
  <c r="K725" i="17"/>
  <c r="X724" i="17"/>
  <c r="K724" i="17"/>
  <c r="X723" i="17"/>
  <c r="K723" i="17"/>
  <c r="X722" i="17"/>
  <c r="K722" i="17"/>
  <c r="X721" i="17"/>
  <c r="K721" i="17"/>
  <c r="X720" i="17"/>
  <c r="K720" i="17"/>
  <c r="X719" i="17"/>
  <c r="K719" i="17"/>
  <c r="X718" i="17"/>
  <c r="K718" i="17"/>
  <c r="X717" i="17"/>
  <c r="K717" i="17"/>
  <c r="X716" i="17"/>
  <c r="K716" i="17"/>
  <c r="X715" i="17"/>
  <c r="K715" i="17"/>
  <c r="X714" i="17"/>
  <c r="K714" i="17"/>
  <c r="X713" i="17"/>
  <c r="K713" i="17"/>
  <c r="X712" i="17"/>
  <c r="K712" i="17"/>
  <c r="X711" i="17"/>
  <c r="K711" i="17"/>
  <c r="X710" i="17"/>
  <c r="K710" i="17"/>
  <c r="X709" i="17"/>
  <c r="K709" i="17"/>
  <c r="X708" i="17"/>
  <c r="K708" i="17"/>
  <c r="X707" i="17"/>
  <c r="K707" i="17"/>
  <c r="X706" i="17"/>
  <c r="K706" i="17"/>
  <c r="X705" i="17"/>
  <c r="K705" i="17"/>
  <c r="X704" i="17"/>
  <c r="K704" i="17"/>
  <c r="X703" i="17"/>
  <c r="K703" i="17"/>
  <c r="X702" i="17"/>
  <c r="K702" i="17"/>
  <c r="X701" i="17"/>
  <c r="K701" i="17"/>
  <c r="X700" i="17"/>
  <c r="K700" i="17"/>
  <c r="X699" i="17"/>
  <c r="K699" i="17"/>
  <c r="X698" i="17"/>
  <c r="K698" i="17"/>
  <c r="X697" i="17"/>
  <c r="K697" i="17"/>
  <c r="X696" i="17"/>
  <c r="K696" i="17"/>
  <c r="X695" i="17"/>
  <c r="K695" i="17"/>
  <c r="X694" i="17"/>
  <c r="K694" i="17"/>
  <c r="X693" i="17"/>
  <c r="K693" i="17"/>
  <c r="X692" i="17"/>
  <c r="K692" i="17"/>
  <c r="X691" i="17"/>
  <c r="K691" i="17"/>
  <c r="X690" i="17"/>
  <c r="K690" i="17"/>
  <c r="X689" i="17"/>
  <c r="K689" i="17"/>
  <c r="X688" i="17"/>
  <c r="K688" i="17"/>
  <c r="X687" i="17"/>
  <c r="K687" i="17"/>
  <c r="X686" i="17"/>
  <c r="K686" i="17"/>
  <c r="X685" i="17"/>
  <c r="K685" i="17"/>
  <c r="X684" i="17"/>
  <c r="K684" i="17"/>
  <c r="X683" i="17"/>
  <c r="K683" i="17"/>
  <c r="X682" i="17"/>
  <c r="K682" i="17"/>
  <c r="X681" i="17"/>
  <c r="K681" i="17"/>
  <c r="X680" i="17"/>
  <c r="K680" i="17"/>
  <c r="X679" i="17"/>
  <c r="K679" i="17"/>
  <c r="X678" i="17"/>
  <c r="K678" i="17"/>
  <c r="X677" i="17"/>
  <c r="K677" i="17"/>
  <c r="X676" i="17"/>
  <c r="K676" i="17"/>
  <c r="X675" i="17"/>
  <c r="K675" i="17"/>
  <c r="X674" i="17"/>
  <c r="K674" i="17"/>
  <c r="X673" i="17"/>
  <c r="K673" i="17"/>
  <c r="X672" i="17"/>
  <c r="K672" i="17"/>
  <c r="X671" i="17"/>
  <c r="K671" i="17"/>
  <c r="X670" i="17"/>
  <c r="K670" i="17"/>
  <c r="X669" i="17"/>
  <c r="K669" i="17"/>
  <c r="X668" i="17"/>
  <c r="K668" i="17"/>
  <c r="X667" i="17"/>
  <c r="K667" i="17"/>
  <c r="X666" i="17"/>
  <c r="K666" i="17"/>
  <c r="X665" i="17"/>
  <c r="K665" i="17"/>
  <c r="X664" i="17"/>
  <c r="K664" i="17"/>
  <c r="X663" i="17"/>
  <c r="K663" i="17"/>
  <c r="X662" i="17"/>
  <c r="K662" i="17"/>
  <c r="X661" i="17"/>
  <c r="K661" i="17"/>
  <c r="X660" i="17"/>
  <c r="K660" i="17"/>
  <c r="X659" i="17"/>
  <c r="K659" i="17"/>
  <c r="X658" i="17"/>
  <c r="K658" i="17"/>
  <c r="X657" i="17"/>
  <c r="K657" i="17"/>
  <c r="X656" i="17"/>
  <c r="K656" i="17"/>
  <c r="X655" i="17"/>
  <c r="K655" i="17"/>
  <c r="X654" i="17"/>
  <c r="K654" i="17"/>
  <c r="X653" i="17"/>
  <c r="K653" i="17"/>
  <c r="X652" i="17"/>
  <c r="K652" i="17"/>
  <c r="X651" i="17"/>
  <c r="K651" i="17"/>
  <c r="X650" i="17"/>
  <c r="K650" i="17"/>
  <c r="X649" i="17"/>
  <c r="K649" i="17"/>
  <c r="X648" i="17"/>
  <c r="K648" i="17"/>
  <c r="X647" i="17"/>
  <c r="K647" i="17"/>
  <c r="X646" i="17"/>
  <c r="K646" i="17"/>
  <c r="X645" i="17"/>
  <c r="K645" i="17"/>
  <c r="X644" i="17"/>
  <c r="K644" i="17"/>
  <c r="X643" i="17"/>
  <c r="K643" i="17"/>
  <c r="X642" i="17"/>
  <c r="K642" i="17"/>
  <c r="X641" i="17"/>
  <c r="K641" i="17"/>
  <c r="X640" i="17"/>
  <c r="K640" i="17"/>
  <c r="X639" i="17"/>
  <c r="K639" i="17"/>
  <c r="X638" i="17"/>
  <c r="K638" i="17"/>
  <c r="X637" i="17"/>
  <c r="K637" i="17"/>
  <c r="X636" i="17"/>
  <c r="K636" i="17"/>
  <c r="X635" i="17"/>
  <c r="K635" i="17"/>
  <c r="X634" i="17"/>
  <c r="K634" i="17"/>
  <c r="X633" i="17"/>
  <c r="K633" i="17"/>
  <c r="X632" i="17"/>
  <c r="K632" i="17"/>
  <c r="X631" i="17"/>
  <c r="K631" i="17"/>
  <c r="X630" i="17"/>
  <c r="K630" i="17"/>
  <c r="X629" i="17"/>
  <c r="K629" i="17"/>
  <c r="X628" i="17"/>
  <c r="K628" i="17"/>
  <c r="X627" i="17"/>
  <c r="K627" i="17"/>
  <c r="X626" i="17"/>
  <c r="K626" i="17"/>
  <c r="X625" i="17"/>
  <c r="K625" i="17"/>
  <c r="X624" i="17"/>
  <c r="K624" i="17"/>
  <c r="X623" i="17"/>
  <c r="K623" i="17"/>
  <c r="X622" i="17"/>
  <c r="K622" i="17"/>
  <c r="X621" i="17"/>
  <c r="K621" i="17"/>
  <c r="X620" i="17"/>
  <c r="K620" i="17"/>
  <c r="X619" i="17"/>
  <c r="K619" i="17"/>
  <c r="X618" i="17"/>
  <c r="K618" i="17"/>
  <c r="X617" i="17"/>
  <c r="K617" i="17"/>
  <c r="X616" i="17"/>
  <c r="K616" i="17"/>
  <c r="X615" i="17"/>
  <c r="K615" i="17"/>
  <c r="X614" i="17"/>
  <c r="K614" i="17"/>
  <c r="X613" i="17"/>
  <c r="K613" i="17"/>
  <c r="X612" i="17"/>
  <c r="K612" i="17"/>
  <c r="X611" i="17"/>
  <c r="K611" i="17"/>
  <c r="X610" i="17"/>
  <c r="K610" i="17"/>
  <c r="X609" i="17"/>
  <c r="K609" i="17"/>
  <c r="X608" i="17"/>
  <c r="K608" i="17"/>
  <c r="X607" i="17"/>
  <c r="K607" i="17"/>
  <c r="X606" i="17"/>
  <c r="K606" i="17"/>
  <c r="X605" i="17"/>
  <c r="K605" i="17"/>
  <c r="X604" i="17"/>
  <c r="K604" i="17"/>
  <c r="X603" i="17"/>
  <c r="K603" i="17"/>
  <c r="X602" i="17"/>
  <c r="K602" i="17"/>
  <c r="X601" i="17"/>
  <c r="K601" i="17"/>
  <c r="X600" i="17"/>
  <c r="K600" i="17"/>
  <c r="X599" i="17"/>
  <c r="K599" i="17"/>
  <c r="X598" i="17"/>
  <c r="K598" i="17"/>
  <c r="X597" i="17"/>
  <c r="K597" i="17"/>
  <c r="X596" i="17"/>
  <c r="K596" i="17"/>
  <c r="X595" i="17"/>
  <c r="K595" i="17"/>
  <c r="X594" i="17"/>
  <c r="K594" i="17"/>
  <c r="X593" i="17"/>
  <c r="K593" i="17"/>
  <c r="X592" i="17"/>
  <c r="K592" i="17"/>
  <c r="X591" i="17"/>
  <c r="K591" i="17"/>
  <c r="X590" i="17"/>
  <c r="K590" i="17"/>
  <c r="X589" i="17"/>
  <c r="K589" i="17"/>
  <c r="X588" i="17"/>
  <c r="K588" i="17"/>
  <c r="X587" i="17"/>
  <c r="K587" i="17"/>
  <c r="X586" i="17"/>
  <c r="K586" i="17"/>
  <c r="X585" i="17"/>
  <c r="K585" i="17"/>
  <c r="X584" i="17"/>
  <c r="K584" i="17"/>
  <c r="X583" i="17"/>
  <c r="K583" i="17"/>
  <c r="X582" i="17"/>
  <c r="K582" i="17"/>
  <c r="X581" i="17"/>
  <c r="K581" i="17"/>
  <c r="X580" i="17"/>
  <c r="K580" i="17"/>
  <c r="X579" i="17"/>
  <c r="K579" i="17"/>
  <c r="X578" i="17"/>
  <c r="K578" i="17"/>
  <c r="X577" i="17"/>
  <c r="K577" i="17"/>
  <c r="X576" i="17"/>
  <c r="K576" i="17"/>
  <c r="X575" i="17"/>
  <c r="K575" i="17"/>
  <c r="X574" i="17"/>
  <c r="K574" i="17"/>
  <c r="X573" i="17"/>
  <c r="K573" i="17"/>
  <c r="X572" i="17"/>
  <c r="K572" i="17"/>
  <c r="X571" i="17"/>
  <c r="K571" i="17"/>
  <c r="X570" i="17"/>
  <c r="K570" i="17"/>
  <c r="X569" i="17"/>
  <c r="K569" i="17"/>
  <c r="X568" i="17"/>
  <c r="K568" i="17"/>
  <c r="X567" i="17"/>
  <c r="K567" i="17"/>
  <c r="X566" i="17"/>
  <c r="K566" i="17"/>
  <c r="X565" i="17"/>
  <c r="K565" i="17"/>
  <c r="X564" i="17"/>
  <c r="K564" i="17"/>
  <c r="X563" i="17"/>
  <c r="K563" i="17"/>
  <c r="X562" i="17"/>
  <c r="K562" i="17"/>
  <c r="X561" i="17"/>
  <c r="K561" i="17"/>
  <c r="X560" i="17"/>
  <c r="K560" i="17"/>
  <c r="X559" i="17"/>
  <c r="K559" i="17"/>
  <c r="X558" i="17"/>
  <c r="K558" i="17"/>
  <c r="X557" i="17"/>
  <c r="K557" i="17"/>
  <c r="X556" i="17"/>
  <c r="K556" i="17"/>
  <c r="X555" i="17"/>
  <c r="K555" i="17"/>
  <c r="X554" i="17"/>
  <c r="K554" i="17"/>
  <c r="X553" i="17"/>
  <c r="K553" i="17"/>
  <c r="X552" i="17"/>
  <c r="K552" i="17"/>
  <c r="X551" i="17"/>
  <c r="K551" i="17"/>
  <c r="X550" i="17"/>
  <c r="K550" i="17"/>
  <c r="X549" i="17"/>
  <c r="K549" i="17"/>
  <c r="X548" i="17"/>
  <c r="K548" i="17"/>
  <c r="X547" i="17"/>
  <c r="K547" i="17"/>
  <c r="X546" i="17"/>
  <c r="K546" i="17"/>
  <c r="X545" i="17"/>
  <c r="K545" i="17"/>
  <c r="X544" i="17"/>
  <c r="K544" i="17"/>
  <c r="X543" i="17"/>
  <c r="K543" i="17"/>
  <c r="X542" i="17"/>
  <c r="K542" i="17"/>
  <c r="X541" i="17"/>
  <c r="K541" i="17"/>
  <c r="X540" i="17"/>
  <c r="K540" i="17"/>
  <c r="X539" i="17"/>
  <c r="K539" i="17"/>
  <c r="X538" i="17"/>
  <c r="K538" i="17"/>
  <c r="X537" i="17"/>
  <c r="K537" i="17"/>
  <c r="X536" i="17"/>
  <c r="K536" i="17"/>
  <c r="X535" i="17"/>
  <c r="K535" i="17"/>
  <c r="X534" i="17"/>
  <c r="K534" i="17"/>
  <c r="X533" i="17"/>
  <c r="K533" i="17"/>
  <c r="X532" i="17"/>
  <c r="K532" i="17"/>
  <c r="X531" i="17"/>
  <c r="K531" i="17"/>
  <c r="X530" i="17"/>
  <c r="K530" i="17"/>
  <c r="X529" i="17"/>
  <c r="K529" i="17"/>
  <c r="X528" i="17"/>
  <c r="K528" i="17"/>
  <c r="X527" i="17"/>
  <c r="K527" i="17"/>
  <c r="X526" i="17"/>
  <c r="K526" i="17"/>
  <c r="X525" i="17"/>
  <c r="K525" i="17"/>
  <c r="X524" i="17"/>
  <c r="K524" i="17"/>
  <c r="X523" i="17"/>
  <c r="K523" i="17"/>
  <c r="X522" i="17"/>
  <c r="K522" i="17"/>
  <c r="X521" i="17"/>
  <c r="K521" i="17"/>
  <c r="X520" i="17"/>
  <c r="K520" i="17"/>
  <c r="X519" i="17"/>
  <c r="K519" i="17"/>
  <c r="X518" i="17"/>
  <c r="K518" i="17"/>
  <c r="X517" i="17"/>
  <c r="K517" i="17"/>
  <c r="X516" i="17"/>
  <c r="K516" i="17"/>
  <c r="X515" i="17"/>
  <c r="K515" i="17"/>
  <c r="X514" i="17"/>
  <c r="K514" i="17"/>
  <c r="X513" i="17"/>
  <c r="K513" i="17"/>
  <c r="X512" i="17"/>
  <c r="K512" i="17"/>
  <c r="X511" i="17"/>
  <c r="K511" i="17"/>
  <c r="X510" i="17"/>
  <c r="K510" i="17"/>
  <c r="X509" i="17"/>
  <c r="K509" i="17"/>
  <c r="X508" i="17"/>
  <c r="K508" i="17"/>
  <c r="X507" i="17"/>
  <c r="K507" i="17"/>
  <c r="X506" i="17"/>
  <c r="K506" i="17"/>
  <c r="X505" i="17"/>
  <c r="K505" i="17"/>
  <c r="X504" i="17"/>
  <c r="K504" i="17"/>
  <c r="X503" i="17"/>
  <c r="K503" i="17"/>
  <c r="X502" i="17"/>
  <c r="K502" i="17"/>
  <c r="X501" i="17"/>
  <c r="K501" i="17"/>
  <c r="X500" i="17"/>
  <c r="K500" i="17"/>
  <c r="X499" i="17"/>
  <c r="K499" i="17"/>
  <c r="X498" i="17"/>
  <c r="K498" i="17"/>
  <c r="X497" i="17"/>
  <c r="K497" i="17"/>
  <c r="X496" i="17"/>
  <c r="K496" i="17"/>
  <c r="X495" i="17"/>
  <c r="K495" i="17"/>
  <c r="X494" i="17"/>
  <c r="K494" i="17"/>
  <c r="X493" i="17"/>
  <c r="K493" i="17"/>
  <c r="X492" i="17"/>
  <c r="K492" i="17"/>
  <c r="X491" i="17"/>
  <c r="K491" i="17"/>
  <c r="X490" i="17"/>
  <c r="K490" i="17"/>
  <c r="X489" i="17"/>
  <c r="K489" i="17"/>
  <c r="X488" i="17"/>
  <c r="K488" i="17"/>
  <c r="X487" i="17"/>
  <c r="K487" i="17"/>
  <c r="X486" i="17"/>
  <c r="K486" i="17"/>
  <c r="X485" i="17"/>
  <c r="K485" i="17"/>
  <c r="X484" i="17"/>
  <c r="K484" i="17"/>
  <c r="X483" i="17"/>
  <c r="K483" i="17"/>
  <c r="X482" i="17"/>
  <c r="K482" i="17"/>
  <c r="X481" i="17"/>
  <c r="K481" i="17"/>
  <c r="X480" i="17"/>
  <c r="K480" i="17"/>
  <c r="X479" i="17"/>
  <c r="K479" i="17"/>
  <c r="X478" i="17"/>
  <c r="K478" i="17"/>
  <c r="X477" i="17"/>
  <c r="K477" i="17"/>
  <c r="X476" i="17"/>
  <c r="K476" i="17"/>
  <c r="X475" i="17"/>
  <c r="K475" i="17"/>
  <c r="X474" i="17"/>
  <c r="K474" i="17"/>
  <c r="X473" i="17"/>
  <c r="K473" i="17"/>
  <c r="X472" i="17"/>
  <c r="K472" i="17"/>
  <c r="X471" i="17"/>
  <c r="K471" i="17"/>
  <c r="X470" i="17"/>
  <c r="K470" i="17"/>
  <c r="X469" i="17"/>
  <c r="K469" i="17"/>
  <c r="X468" i="17"/>
  <c r="K468" i="17"/>
  <c r="X467" i="17"/>
  <c r="K467" i="17"/>
  <c r="X466" i="17"/>
  <c r="K466" i="17"/>
  <c r="X465" i="17"/>
  <c r="K465" i="17"/>
  <c r="X464" i="17"/>
  <c r="K464" i="17"/>
  <c r="X463" i="17"/>
  <c r="K463" i="17"/>
  <c r="X462" i="17"/>
  <c r="K462" i="17"/>
  <c r="X461" i="17"/>
  <c r="K461" i="17"/>
  <c r="X460" i="17"/>
  <c r="K460" i="17"/>
  <c r="X459" i="17"/>
  <c r="K459" i="17"/>
  <c r="X458" i="17"/>
  <c r="K458" i="17"/>
  <c r="X457" i="17"/>
  <c r="K457" i="17"/>
  <c r="X456" i="17"/>
  <c r="K456" i="17"/>
  <c r="X455" i="17"/>
  <c r="K455" i="17"/>
  <c r="X454" i="17"/>
  <c r="K454" i="17"/>
  <c r="X453" i="17"/>
  <c r="K453" i="17"/>
  <c r="X452" i="17"/>
  <c r="K452" i="17"/>
  <c r="X451" i="17"/>
  <c r="K451" i="17"/>
  <c r="X450" i="17"/>
  <c r="K450" i="17"/>
  <c r="X449" i="17"/>
  <c r="K449" i="17"/>
  <c r="X448" i="17"/>
  <c r="K448" i="17"/>
  <c r="X447" i="17"/>
  <c r="K447" i="17"/>
  <c r="X446" i="17"/>
  <c r="K446" i="17"/>
  <c r="X445" i="17"/>
  <c r="K445" i="17"/>
  <c r="X444" i="17"/>
  <c r="K444" i="17"/>
  <c r="X443" i="17"/>
  <c r="K443" i="17"/>
  <c r="X442" i="17"/>
  <c r="K442" i="17"/>
  <c r="X441" i="17"/>
  <c r="K441" i="17"/>
  <c r="X440" i="17"/>
  <c r="K440" i="17"/>
  <c r="X439" i="17"/>
  <c r="K439" i="17"/>
  <c r="X438" i="17"/>
  <c r="K438" i="17"/>
  <c r="X437" i="17"/>
  <c r="K437" i="17"/>
  <c r="X436" i="17"/>
  <c r="K436" i="17"/>
  <c r="X435" i="17"/>
  <c r="K435" i="17"/>
  <c r="X434" i="17"/>
  <c r="K434" i="17"/>
  <c r="X433" i="17"/>
  <c r="K433" i="17"/>
  <c r="X432" i="17"/>
  <c r="K432" i="17"/>
  <c r="X431" i="17"/>
  <c r="K431" i="17"/>
  <c r="X430" i="17"/>
  <c r="K430" i="17"/>
  <c r="X429" i="17"/>
  <c r="K429" i="17"/>
  <c r="X428" i="17"/>
  <c r="K428" i="17"/>
  <c r="X427" i="17"/>
  <c r="K427" i="17"/>
  <c r="X426" i="17"/>
  <c r="K426" i="17"/>
  <c r="X425" i="17"/>
  <c r="K425" i="17"/>
  <c r="X424" i="17"/>
  <c r="K424" i="17"/>
  <c r="X423" i="17"/>
  <c r="K423" i="17"/>
  <c r="X422" i="17"/>
  <c r="K422" i="17"/>
  <c r="X421" i="17"/>
  <c r="K421" i="17"/>
  <c r="X420" i="17"/>
  <c r="K420" i="17"/>
  <c r="X419" i="17"/>
  <c r="K419" i="17"/>
  <c r="X418" i="17"/>
  <c r="K418" i="17"/>
  <c r="X417" i="17"/>
  <c r="K417" i="17"/>
  <c r="X416" i="17"/>
  <c r="K416" i="17"/>
  <c r="X415" i="17"/>
  <c r="K415" i="17"/>
  <c r="X414" i="17"/>
  <c r="K414" i="17"/>
  <c r="X413" i="17"/>
  <c r="K413" i="17"/>
  <c r="X412" i="17"/>
  <c r="K412" i="17"/>
  <c r="X411" i="17"/>
  <c r="K411" i="17"/>
  <c r="X410" i="17"/>
  <c r="K410" i="17"/>
  <c r="X409" i="17"/>
  <c r="K409" i="17"/>
  <c r="X408" i="17"/>
  <c r="K408" i="17"/>
  <c r="X407" i="17"/>
  <c r="K407" i="17"/>
  <c r="X406" i="17"/>
  <c r="K406" i="17"/>
  <c r="X405" i="17"/>
  <c r="K405" i="17"/>
  <c r="X404" i="17"/>
  <c r="K404" i="17"/>
  <c r="X403" i="17"/>
  <c r="K403" i="17"/>
  <c r="X402" i="17"/>
  <c r="K402" i="17"/>
  <c r="X401" i="17"/>
  <c r="K401" i="17"/>
  <c r="X400" i="17"/>
  <c r="K400" i="17"/>
  <c r="X399" i="17"/>
  <c r="K399" i="17"/>
  <c r="X398" i="17"/>
  <c r="K398" i="17"/>
  <c r="X397" i="17"/>
  <c r="K397" i="17"/>
  <c r="X396" i="17"/>
  <c r="K396" i="17"/>
  <c r="X395" i="17"/>
  <c r="K395" i="17"/>
  <c r="X394" i="17"/>
  <c r="K394" i="17"/>
  <c r="X393" i="17"/>
  <c r="K393" i="17"/>
  <c r="X392" i="17"/>
  <c r="K392" i="17"/>
  <c r="X391" i="17"/>
  <c r="K391" i="17"/>
  <c r="X390" i="17"/>
  <c r="K390" i="17"/>
  <c r="X389" i="17"/>
  <c r="K389" i="17"/>
  <c r="X388" i="17"/>
  <c r="K388" i="17"/>
  <c r="X387" i="17"/>
  <c r="K387" i="17"/>
  <c r="X386" i="17"/>
  <c r="K386" i="17"/>
  <c r="X385" i="17"/>
  <c r="K385" i="17"/>
  <c r="X384" i="17"/>
  <c r="K384" i="17"/>
  <c r="X383" i="17"/>
  <c r="K383" i="17"/>
  <c r="X382" i="17"/>
  <c r="K382" i="17"/>
  <c r="X381" i="17"/>
  <c r="K381" i="17"/>
  <c r="X380" i="17"/>
  <c r="K380" i="17"/>
  <c r="X379" i="17"/>
  <c r="K379" i="17"/>
  <c r="X378" i="17"/>
  <c r="K378" i="17"/>
  <c r="X377" i="17"/>
  <c r="K377" i="17"/>
  <c r="X376" i="17"/>
  <c r="K376" i="17"/>
  <c r="X375" i="17"/>
  <c r="K375" i="17"/>
  <c r="X374" i="17"/>
  <c r="K374" i="17"/>
  <c r="X373" i="17"/>
  <c r="K373" i="17"/>
  <c r="X372" i="17"/>
  <c r="K372" i="17"/>
  <c r="X371" i="17"/>
  <c r="K371" i="17"/>
  <c r="X370" i="17"/>
  <c r="K370" i="17"/>
  <c r="X369" i="17"/>
  <c r="K369" i="17"/>
  <c r="X368" i="17"/>
  <c r="K368" i="17"/>
  <c r="X367" i="17"/>
  <c r="K367" i="17"/>
  <c r="X366" i="17"/>
  <c r="K366" i="17"/>
  <c r="X365" i="17"/>
  <c r="K365" i="17"/>
  <c r="X364" i="17"/>
  <c r="K364" i="17"/>
  <c r="X363" i="17"/>
  <c r="K363" i="17"/>
  <c r="X362" i="17"/>
  <c r="K362" i="17"/>
  <c r="X361" i="17"/>
  <c r="K361" i="17"/>
  <c r="X360" i="17"/>
  <c r="K360" i="17"/>
  <c r="X359" i="17"/>
  <c r="K359" i="17"/>
  <c r="X358" i="17"/>
  <c r="K358" i="17"/>
  <c r="X357" i="17"/>
  <c r="K357" i="17"/>
  <c r="X356" i="17"/>
  <c r="K356" i="17"/>
  <c r="X355" i="17"/>
  <c r="K355" i="17"/>
  <c r="X354" i="17"/>
  <c r="K354" i="17"/>
  <c r="X353" i="17"/>
  <c r="K353" i="17"/>
  <c r="X352" i="17"/>
  <c r="K352" i="17"/>
  <c r="X351" i="17"/>
  <c r="K351" i="17"/>
  <c r="X350" i="17"/>
  <c r="K350" i="17"/>
  <c r="X349" i="17"/>
  <c r="K349" i="17"/>
  <c r="X348" i="17"/>
  <c r="K348" i="17"/>
  <c r="X347" i="17"/>
  <c r="K347" i="17"/>
  <c r="X346" i="17"/>
  <c r="K346" i="17"/>
  <c r="X345" i="17"/>
  <c r="K345" i="17"/>
  <c r="X344" i="17"/>
  <c r="K344" i="17"/>
  <c r="X343" i="17"/>
  <c r="K343" i="17"/>
  <c r="X342" i="17"/>
  <c r="K342" i="17"/>
  <c r="X341" i="17"/>
  <c r="K341" i="17"/>
  <c r="X340" i="17"/>
  <c r="K340" i="17"/>
  <c r="X339" i="17"/>
  <c r="K339" i="17"/>
  <c r="X338" i="17"/>
  <c r="K338" i="17"/>
  <c r="X337" i="17"/>
  <c r="K337" i="17"/>
  <c r="X336" i="17"/>
  <c r="K336" i="17"/>
  <c r="X335" i="17"/>
  <c r="K335" i="17"/>
  <c r="X334" i="17"/>
  <c r="K334" i="17"/>
  <c r="X333" i="17"/>
  <c r="K333" i="17"/>
  <c r="X332" i="17"/>
  <c r="K332" i="17"/>
  <c r="X331" i="17"/>
  <c r="K331" i="17"/>
  <c r="X330" i="17"/>
  <c r="K330" i="17"/>
  <c r="X329" i="17"/>
  <c r="K329" i="17"/>
  <c r="X328" i="17"/>
  <c r="K328" i="17"/>
  <c r="X327" i="17"/>
  <c r="K327" i="17"/>
  <c r="X326" i="17"/>
  <c r="K326" i="17"/>
  <c r="X325" i="17"/>
  <c r="K325" i="17"/>
  <c r="X324" i="17"/>
  <c r="K324" i="17"/>
  <c r="X323" i="17"/>
  <c r="K323" i="17"/>
  <c r="X322" i="17"/>
  <c r="K322" i="17"/>
  <c r="X321" i="17"/>
  <c r="K321" i="17"/>
  <c r="X320" i="17"/>
  <c r="K320" i="17"/>
  <c r="X319" i="17"/>
  <c r="K319" i="17"/>
  <c r="X318" i="17"/>
  <c r="K318" i="17"/>
  <c r="X317" i="17"/>
  <c r="K317" i="17"/>
  <c r="X316" i="17"/>
  <c r="K316" i="17"/>
  <c r="X315" i="17"/>
  <c r="K315" i="17"/>
  <c r="X314" i="17"/>
  <c r="K314" i="17"/>
  <c r="X313" i="17"/>
  <c r="K313" i="17"/>
  <c r="X312" i="17"/>
  <c r="K312" i="17"/>
  <c r="X311" i="17"/>
  <c r="K311" i="17"/>
  <c r="X310" i="17"/>
  <c r="K310" i="17"/>
  <c r="X309" i="17"/>
  <c r="K309" i="17"/>
  <c r="X308" i="17"/>
  <c r="K308" i="17"/>
  <c r="X307" i="17"/>
  <c r="K307" i="17"/>
  <c r="X306" i="17"/>
  <c r="K306" i="17"/>
  <c r="X305" i="17"/>
  <c r="K305" i="17"/>
  <c r="X304" i="17"/>
  <c r="K304" i="17"/>
  <c r="X303" i="17"/>
  <c r="K303" i="17"/>
  <c r="X302" i="17"/>
  <c r="K302" i="17"/>
  <c r="X301" i="17"/>
  <c r="K301" i="17"/>
  <c r="X300" i="17"/>
  <c r="K300" i="17"/>
  <c r="X299" i="17"/>
  <c r="K299" i="17"/>
  <c r="X298" i="17"/>
  <c r="K298" i="17"/>
  <c r="X297" i="17"/>
  <c r="K297" i="17"/>
  <c r="X296" i="17"/>
  <c r="K296" i="17"/>
  <c r="X295" i="17"/>
  <c r="K295" i="17"/>
  <c r="X294" i="17"/>
  <c r="K294" i="17"/>
  <c r="X293" i="17"/>
  <c r="K293" i="17"/>
  <c r="X292" i="17"/>
  <c r="K292" i="17"/>
  <c r="X291" i="17"/>
  <c r="K291" i="17"/>
  <c r="X290" i="17"/>
  <c r="K290" i="17"/>
  <c r="X289" i="17"/>
  <c r="K289" i="17"/>
  <c r="X288" i="17"/>
  <c r="K288" i="17"/>
  <c r="X287" i="17"/>
  <c r="K287" i="17"/>
  <c r="X286" i="17"/>
  <c r="K286" i="17"/>
  <c r="X285" i="17"/>
  <c r="K285" i="17"/>
  <c r="X284" i="17"/>
  <c r="K284" i="17"/>
  <c r="X283" i="17"/>
  <c r="K283" i="17"/>
  <c r="X282" i="17"/>
  <c r="K282" i="17"/>
  <c r="X281" i="17"/>
  <c r="K281" i="17"/>
  <c r="X280" i="17"/>
  <c r="K280" i="17"/>
  <c r="X279" i="17"/>
  <c r="K279" i="17"/>
  <c r="X278" i="17"/>
  <c r="K278" i="17"/>
  <c r="X277" i="17"/>
  <c r="K277" i="17"/>
  <c r="X276" i="17"/>
  <c r="K276" i="17"/>
  <c r="X275" i="17"/>
  <c r="K275" i="17"/>
  <c r="X274" i="17"/>
  <c r="K274" i="17"/>
  <c r="X273" i="17"/>
  <c r="K273" i="17"/>
  <c r="X272" i="17"/>
  <c r="K272" i="17"/>
  <c r="X271" i="17"/>
  <c r="K271" i="17"/>
  <c r="X270" i="17"/>
  <c r="K270" i="17"/>
  <c r="X269" i="17"/>
  <c r="K269" i="17"/>
  <c r="X268" i="17"/>
  <c r="K268" i="17"/>
  <c r="X267" i="17"/>
  <c r="K267" i="17"/>
  <c r="X266" i="17"/>
  <c r="K266" i="17"/>
  <c r="X265" i="17"/>
  <c r="K265" i="17"/>
  <c r="X264" i="17"/>
  <c r="K264" i="17"/>
  <c r="X263" i="17"/>
  <c r="K263" i="17"/>
  <c r="X262" i="17"/>
  <c r="K262" i="17"/>
  <c r="X261" i="17"/>
  <c r="K261" i="17"/>
  <c r="X260" i="17"/>
  <c r="K260" i="17"/>
  <c r="X259" i="17"/>
  <c r="K259" i="17"/>
  <c r="X258" i="17"/>
  <c r="K258" i="17"/>
  <c r="X257" i="17"/>
  <c r="K257" i="17"/>
  <c r="X256" i="17"/>
  <c r="K256" i="17"/>
  <c r="X255" i="17"/>
  <c r="K255" i="17"/>
  <c r="X254" i="17"/>
  <c r="K254" i="17"/>
  <c r="X253" i="17"/>
  <c r="K253" i="17"/>
  <c r="X252" i="17"/>
  <c r="K252" i="17"/>
  <c r="X251" i="17"/>
  <c r="K251" i="17"/>
  <c r="X250" i="17"/>
  <c r="K250" i="17"/>
  <c r="X249" i="17"/>
  <c r="K249" i="17"/>
  <c r="X248" i="17"/>
  <c r="K248" i="17"/>
  <c r="X247" i="17"/>
  <c r="K247" i="17"/>
  <c r="X246" i="17"/>
  <c r="K246" i="17"/>
  <c r="X245" i="17"/>
  <c r="K245" i="17"/>
  <c r="X244" i="17"/>
  <c r="K244" i="17"/>
  <c r="X243" i="17"/>
  <c r="K243" i="17"/>
  <c r="X242" i="17"/>
  <c r="K242" i="17"/>
  <c r="X241" i="17"/>
  <c r="K241" i="17"/>
  <c r="X240" i="17"/>
  <c r="K240" i="17"/>
  <c r="X239" i="17"/>
  <c r="K239" i="17"/>
  <c r="X238" i="17"/>
  <c r="K238" i="17"/>
  <c r="X237" i="17"/>
  <c r="K237" i="17"/>
  <c r="X236" i="17"/>
  <c r="K236" i="17"/>
  <c r="X235" i="17"/>
  <c r="K235" i="17"/>
  <c r="X234" i="17"/>
  <c r="K234" i="17"/>
  <c r="X233" i="17"/>
  <c r="K233" i="17"/>
  <c r="X232" i="17"/>
  <c r="K232" i="17"/>
  <c r="X231" i="17"/>
  <c r="K231" i="17"/>
  <c r="X230" i="17"/>
  <c r="K230" i="17"/>
  <c r="X229" i="17"/>
  <c r="K229" i="17"/>
  <c r="X228" i="17"/>
  <c r="K228" i="17"/>
  <c r="X227" i="17"/>
  <c r="K227" i="17"/>
  <c r="X226" i="17"/>
  <c r="K226" i="17"/>
  <c r="X225" i="17"/>
  <c r="K225" i="17"/>
  <c r="X224" i="17"/>
  <c r="K224" i="17"/>
  <c r="X223" i="17"/>
  <c r="K223" i="17"/>
  <c r="X222" i="17"/>
  <c r="K222" i="17"/>
  <c r="X221" i="17"/>
  <c r="K221" i="17"/>
  <c r="X220" i="17"/>
  <c r="K220" i="17"/>
  <c r="X219" i="17"/>
  <c r="K219" i="17"/>
  <c r="X218" i="17"/>
  <c r="K218" i="17"/>
  <c r="X217" i="17"/>
  <c r="K217" i="17"/>
  <c r="X216" i="17"/>
  <c r="K216" i="17"/>
  <c r="X215" i="17"/>
  <c r="K215" i="17"/>
  <c r="X214" i="17"/>
  <c r="K214" i="17"/>
  <c r="X213" i="17"/>
  <c r="K213" i="17"/>
  <c r="X212" i="17"/>
  <c r="K212" i="17"/>
  <c r="X211" i="17"/>
  <c r="K211" i="17"/>
  <c r="X210" i="17"/>
  <c r="K210" i="17"/>
  <c r="X209" i="17"/>
  <c r="K209" i="17"/>
  <c r="X208" i="17"/>
  <c r="K208" i="17"/>
  <c r="X207" i="17"/>
  <c r="K207" i="17"/>
  <c r="X206" i="17"/>
  <c r="K206" i="17"/>
  <c r="X205" i="17"/>
  <c r="K205" i="17"/>
  <c r="X204" i="17"/>
  <c r="K204" i="17"/>
  <c r="X203" i="17"/>
  <c r="K203" i="17"/>
  <c r="X202" i="17"/>
  <c r="K202" i="17"/>
  <c r="X201" i="17"/>
  <c r="K201" i="17"/>
  <c r="X200" i="17"/>
  <c r="K200" i="17"/>
  <c r="X199" i="17"/>
  <c r="K199" i="17"/>
  <c r="X198" i="17"/>
  <c r="K198" i="17"/>
  <c r="X197" i="17"/>
  <c r="K197" i="17"/>
  <c r="X196" i="17"/>
  <c r="K196" i="17"/>
  <c r="X195" i="17"/>
  <c r="K195" i="17"/>
  <c r="X194" i="17"/>
  <c r="K194" i="17"/>
  <c r="X193" i="17"/>
  <c r="K193" i="17"/>
  <c r="X192" i="17"/>
  <c r="K192" i="17"/>
  <c r="X191" i="17"/>
  <c r="K191" i="17"/>
  <c r="X190" i="17"/>
  <c r="K190" i="17"/>
  <c r="X189" i="17"/>
  <c r="K189" i="17"/>
  <c r="X188" i="17"/>
  <c r="K188" i="17"/>
  <c r="X187" i="17"/>
  <c r="K187" i="17"/>
  <c r="X186" i="17"/>
  <c r="K186" i="17"/>
  <c r="X185" i="17"/>
  <c r="K185" i="17"/>
  <c r="X184" i="17"/>
  <c r="K184" i="17"/>
  <c r="X183" i="17"/>
  <c r="K183" i="17"/>
  <c r="X182" i="17"/>
  <c r="K182" i="17"/>
  <c r="X181" i="17"/>
  <c r="K181" i="17"/>
  <c r="X180" i="17"/>
  <c r="K180" i="17"/>
  <c r="X179" i="17"/>
  <c r="K179" i="17"/>
  <c r="X178" i="17"/>
  <c r="K178" i="17"/>
  <c r="X177" i="17"/>
  <c r="K177" i="17"/>
  <c r="X176" i="17"/>
  <c r="K176" i="17"/>
  <c r="X175" i="17"/>
  <c r="K175" i="17"/>
  <c r="X174" i="17"/>
  <c r="K174" i="17"/>
  <c r="X173" i="17"/>
  <c r="K173" i="17"/>
  <c r="X172" i="17"/>
  <c r="K172" i="17"/>
  <c r="X171" i="17"/>
  <c r="K171" i="17"/>
  <c r="X170" i="17"/>
  <c r="K170" i="17"/>
  <c r="X169" i="17"/>
  <c r="K169" i="17"/>
  <c r="X168" i="17"/>
  <c r="K168" i="17"/>
  <c r="X167" i="17"/>
  <c r="K167" i="17"/>
  <c r="X166" i="17"/>
  <c r="K166" i="17"/>
  <c r="X165" i="17"/>
  <c r="K165" i="17"/>
  <c r="X164" i="17"/>
  <c r="K164" i="17"/>
  <c r="X163" i="17"/>
  <c r="K163" i="17"/>
  <c r="X162" i="17"/>
  <c r="K162" i="17"/>
  <c r="X161" i="17"/>
  <c r="K161" i="17"/>
  <c r="X160" i="17"/>
  <c r="K160" i="17"/>
  <c r="X159" i="17"/>
  <c r="K159" i="17"/>
  <c r="X158" i="17"/>
  <c r="K158" i="17"/>
  <c r="X157" i="17"/>
  <c r="K157" i="17"/>
  <c r="X156" i="17"/>
  <c r="K156" i="17"/>
  <c r="X155" i="17"/>
  <c r="K155" i="17"/>
  <c r="X154" i="17"/>
  <c r="K154" i="17"/>
  <c r="X153" i="17"/>
  <c r="K153" i="17"/>
  <c r="X152" i="17"/>
  <c r="K152" i="17"/>
  <c r="X151" i="17"/>
  <c r="K151" i="17"/>
  <c r="X150" i="17"/>
  <c r="K150" i="17"/>
  <c r="X149" i="17"/>
  <c r="K149" i="17"/>
  <c r="X148" i="17"/>
  <c r="K148" i="17"/>
  <c r="X147" i="17"/>
  <c r="K147" i="17"/>
  <c r="X146" i="17"/>
  <c r="K146" i="17"/>
  <c r="X145" i="17"/>
  <c r="K145" i="17"/>
  <c r="X144" i="17"/>
  <c r="K144" i="17"/>
  <c r="X143" i="17"/>
  <c r="K143" i="17"/>
  <c r="X142" i="17"/>
  <c r="K142" i="17"/>
  <c r="X141" i="17"/>
  <c r="K141" i="17"/>
  <c r="X140" i="17"/>
  <c r="K140" i="17"/>
  <c r="X139" i="17"/>
  <c r="K139" i="17"/>
  <c r="X138" i="17"/>
  <c r="K138" i="17"/>
  <c r="X137" i="17"/>
  <c r="K137" i="17"/>
  <c r="X136" i="17"/>
  <c r="K136" i="17"/>
  <c r="X135" i="17"/>
  <c r="K135" i="17"/>
  <c r="X134" i="17"/>
  <c r="K134" i="17"/>
  <c r="X133" i="17"/>
  <c r="K133" i="17"/>
  <c r="X132" i="17"/>
  <c r="K132" i="17"/>
  <c r="X131" i="17"/>
  <c r="K131" i="17"/>
  <c r="X130" i="17"/>
  <c r="K130" i="17"/>
  <c r="X129" i="17"/>
  <c r="K129" i="17"/>
  <c r="X128" i="17"/>
  <c r="K128" i="17"/>
  <c r="X127" i="17"/>
  <c r="K127" i="17"/>
  <c r="X126" i="17"/>
  <c r="K126" i="17"/>
  <c r="X125" i="17"/>
  <c r="K125" i="17"/>
  <c r="X124" i="17"/>
  <c r="K124" i="17"/>
  <c r="X123" i="17"/>
  <c r="K123" i="17"/>
  <c r="X122" i="17"/>
  <c r="K122" i="17"/>
  <c r="X121" i="17"/>
  <c r="K121" i="17"/>
  <c r="X120" i="17"/>
  <c r="K120" i="17"/>
  <c r="X119" i="17"/>
  <c r="K119" i="17"/>
  <c r="X118" i="17"/>
  <c r="K118" i="17"/>
  <c r="X117" i="17"/>
  <c r="K117" i="17"/>
  <c r="X116" i="17"/>
  <c r="K116" i="17"/>
  <c r="X115" i="17"/>
  <c r="K115" i="17"/>
  <c r="X114" i="17"/>
  <c r="K114" i="17"/>
  <c r="X113" i="17"/>
  <c r="K113" i="17"/>
  <c r="X112" i="17"/>
  <c r="K112" i="17"/>
  <c r="X111" i="17"/>
  <c r="K111" i="17"/>
  <c r="X110" i="17"/>
  <c r="K110" i="17"/>
  <c r="X109" i="17"/>
  <c r="K109" i="17"/>
  <c r="X108" i="17"/>
  <c r="K108" i="17"/>
  <c r="X107" i="17"/>
  <c r="K107" i="17"/>
  <c r="X106" i="17"/>
  <c r="K106" i="17"/>
  <c r="X105" i="17"/>
  <c r="K105" i="17"/>
  <c r="X104" i="17"/>
  <c r="K104" i="17"/>
  <c r="X103" i="17"/>
  <c r="K103" i="17"/>
  <c r="X102" i="17"/>
  <c r="K102" i="17"/>
  <c r="X101" i="17"/>
  <c r="K101" i="17"/>
  <c r="X100" i="17"/>
  <c r="K100" i="17"/>
  <c r="X99" i="17"/>
  <c r="K99" i="17"/>
  <c r="X98" i="17"/>
  <c r="K98" i="17"/>
  <c r="X97" i="17"/>
  <c r="K97" i="17"/>
  <c r="X96" i="17"/>
  <c r="K96" i="17"/>
  <c r="X95" i="17"/>
  <c r="K95" i="17"/>
  <c r="X94" i="17"/>
  <c r="K94" i="17"/>
  <c r="X93" i="17"/>
  <c r="K93" i="17"/>
  <c r="X92" i="17"/>
  <c r="K92" i="17"/>
  <c r="X91" i="17"/>
  <c r="K91" i="17"/>
  <c r="X90" i="17"/>
  <c r="K90" i="17"/>
  <c r="X89" i="17"/>
  <c r="K89" i="17"/>
  <c r="X88" i="17"/>
  <c r="K88" i="17"/>
  <c r="X87" i="17"/>
  <c r="K87" i="17"/>
  <c r="X86" i="17"/>
  <c r="K86" i="17"/>
  <c r="X85" i="17"/>
  <c r="K85" i="17"/>
  <c r="X84" i="17"/>
  <c r="K84" i="17"/>
  <c r="X83" i="17"/>
  <c r="K83" i="17"/>
  <c r="X82" i="17"/>
  <c r="K82" i="17"/>
  <c r="X81" i="17"/>
  <c r="K81" i="17"/>
  <c r="X80" i="17"/>
  <c r="K80" i="17"/>
  <c r="X79" i="17"/>
  <c r="K79" i="17"/>
  <c r="X78" i="17"/>
  <c r="K78" i="17"/>
  <c r="X77" i="17"/>
  <c r="K77" i="17"/>
  <c r="X76" i="17"/>
  <c r="K76" i="17"/>
  <c r="X75" i="17"/>
  <c r="K75" i="17"/>
  <c r="X74" i="17"/>
  <c r="K74" i="17"/>
  <c r="X73" i="17"/>
  <c r="K73" i="17"/>
  <c r="X72" i="17"/>
  <c r="K72" i="17"/>
  <c r="X71" i="17"/>
  <c r="K71" i="17"/>
  <c r="X70" i="17"/>
  <c r="K70" i="17"/>
  <c r="X69" i="17"/>
  <c r="K69" i="17"/>
  <c r="X68" i="17"/>
  <c r="K68" i="17"/>
  <c r="X67" i="17"/>
  <c r="K67" i="17"/>
  <c r="X66" i="17"/>
  <c r="K66" i="17"/>
  <c r="X65" i="17"/>
  <c r="K65" i="17"/>
  <c r="X64" i="17"/>
  <c r="K64" i="17"/>
  <c r="X63" i="17"/>
  <c r="K63" i="17"/>
  <c r="X62" i="17"/>
  <c r="K62" i="17"/>
  <c r="X61" i="17"/>
  <c r="K61" i="17"/>
  <c r="X60" i="17"/>
  <c r="K60" i="17"/>
  <c r="X59" i="17"/>
  <c r="K59" i="17"/>
  <c r="X58" i="17"/>
  <c r="K58" i="17"/>
  <c r="X57" i="17"/>
  <c r="K57" i="17"/>
  <c r="X56" i="17"/>
  <c r="K56" i="17"/>
  <c r="X55" i="17"/>
  <c r="K55" i="17"/>
  <c r="X54" i="17"/>
  <c r="K54" i="17"/>
  <c r="X53" i="17"/>
  <c r="K53" i="17"/>
  <c r="X52" i="17"/>
  <c r="K52" i="17"/>
  <c r="X51" i="17"/>
  <c r="K51" i="17"/>
  <c r="X50" i="17"/>
  <c r="K50" i="17"/>
  <c r="X49" i="17"/>
  <c r="K49" i="17"/>
  <c r="X48" i="17"/>
  <c r="K48" i="17"/>
  <c r="X47" i="17"/>
  <c r="K47" i="17"/>
  <c r="X46" i="17"/>
  <c r="K46" i="17"/>
  <c r="X45" i="17"/>
  <c r="K45" i="17"/>
  <c r="X44" i="17"/>
  <c r="K44" i="17"/>
  <c r="X43" i="17"/>
  <c r="K43" i="17"/>
  <c r="X42" i="17"/>
  <c r="K42" i="17"/>
  <c r="X41" i="17"/>
  <c r="K41" i="17"/>
  <c r="X40" i="17"/>
  <c r="K40" i="17"/>
  <c r="X39" i="17"/>
  <c r="K39" i="17"/>
  <c r="X38" i="17"/>
  <c r="K38" i="17"/>
  <c r="X37" i="17"/>
  <c r="K37" i="17"/>
  <c r="X36" i="17"/>
  <c r="K36" i="17"/>
  <c r="X35" i="17"/>
  <c r="K35" i="17"/>
  <c r="X34" i="17"/>
  <c r="K34" i="17"/>
  <c r="X33" i="17"/>
  <c r="K33" i="17"/>
  <c r="X32" i="17"/>
  <c r="K32" i="17"/>
  <c r="X31" i="17"/>
  <c r="K31" i="17"/>
  <c r="X30" i="17"/>
  <c r="K30" i="17"/>
  <c r="X29" i="17"/>
  <c r="K29" i="17"/>
  <c r="X28" i="17"/>
  <c r="K28" i="17"/>
  <c r="X27" i="17"/>
  <c r="K27" i="17"/>
  <c r="X26" i="17"/>
  <c r="K26" i="17"/>
  <c r="X25" i="17"/>
  <c r="K25" i="17"/>
  <c r="X24" i="17"/>
  <c r="K24" i="17"/>
  <c r="X23" i="17"/>
  <c r="K23" i="17"/>
  <c r="X22" i="17"/>
  <c r="K22" i="17"/>
  <c r="X21" i="17"/>
  <c r="K21" i="17"/>
  <c r="X20" i="17"/>
  <c r="K20" i="17"/>
  <c r="X19" i="17"/>
  <c r="K19" i="17"/>
  <c r="X18" i="17"/>
  <c r="K18" i="17"/>
  <c r="X17" i="17"/>
  <c r="K17" i="17"/>
  <c r="X16" i="17"/>
  <c r="K16" i="17"/>
  <c r="X15" i="17"/>
  <c r="K15" i="17"/>
  <c r="X14" i="17"/>
  <c r="K14" i="17"/>
  <c r="X13" i="17"/>
  <c r="K13" i="17"/>
  <c r="X12" i="17"/>
  <c r="K12" i="17"/>
  <c r="X11" i="17"/>
  <c r="K11" i="17"/>
  <c r="X10" i="17"/>
  <c r="K10" i="17"/>
  <c r="X9" i="17"/>
  <c r="K9" i="17"/>
  <c r="X8" i="17"/>
  <c r="K8" i="17"/>
  <c r="X7" i="17"/>
  <c r="K7" i="17"/>
  <c r="X6" i="17"/>
  <c r="K6" i="17"/>
  <c r="X5" i="17"/>
  <c r="K5" i="17"/>
  <c r="X4" i="17"/>
  <c r="K4" i="17"/>
  <c r="X3" i="17"/>
  <c r="K3" i="17"/>
  <c r="X2" i="17"/>
  <c r="K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790" i="14" l="1"/>
  <c r="E790" i="19"/>
  <c r="F515" i="14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T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sharedStrings.xml><?xml version="1.0" encoding="utf-8"?>
<sst xmlns="http://schemas.openxmlformats.org/spreadsheetml/2006/main" count="18635" uniqueCount="1885">
  <si>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</si>
  <si>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</si>
  <si>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</si>
  <si>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</si>
  <si>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</si>
  <si>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</si>
  <si>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</si>
  <si>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</si>
  <si>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</si>
  <si>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</si>
  <si>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</si>
  <si>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</si>
  <si>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</si>
  <si>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</si>
  <si>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</si>
  <si>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</si>
  <si>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</si>
  <si>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</si>
  <si>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</si>
  <si>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</si>
  <si>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</si>
  <si>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</si>
  <si>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</si>
  <si>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</si>
  <si>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</si>
  <si>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</si>
  <si>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</si>
  <si>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</si>
  <si>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</si>
  <si>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</si>
  <si>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</si>
  <si>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</si>
  <si>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</si>
  <si>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</si>
  <si>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</si>
  <si>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</si>
  <si>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</si>
  <si>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</si>
  <si>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</si>
  <si>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</si>
  <si>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</si>
  <si>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</si>
  <si>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</si>
  <si>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</si>
  <si>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</si>
  <si>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</si>
  <si>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</si>
  <si>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</si>
  <si>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</si>
  <si>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</si>
  <si>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</si>
  <si>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</si>
  <si>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</si>
  <si>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</si>
  <si>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</si>
  <si>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</si>
  <si>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</si>
  <si>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</si>
  <si>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</si>
  <si>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</si>
  <si>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</si>
  <si>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</si>
  <si>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</si>
  <si>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</si>
  <si>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</si>
  <si>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</si>
  <si>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</si>
  <si>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</si>
  <si>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</si>
  <si>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</si>
  <si>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</si>
  <si>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</si>
  <si>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</si>
  <si>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</si>
  <si>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</si>
  <si>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</si>
  <si>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</si>
  <si>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</si>
  <si>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</si>
  <si>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</si>
  <si>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</si>
  <si>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</si>
  <si>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</si>
  <si>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</si>
  <si>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</si>
  <si>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</si>
  <si>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</si>
  <si>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</si>
  <si>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</si>
  <si>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</si>
  <si>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</si>
  <si>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</si>
  <si>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</si>
  <si>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</si>
  <si>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</si>
  <si>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</si>
  <si>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</si>
  <si>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</si>
  <si>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</si>
  <si>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</si>
  <si>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</si>
  <si>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</si>
  <si>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</si>
  <si>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</si>
  <si>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</si>
  <si>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</si>
  <si>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</si>
  <si>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</si>
  <si>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</si>
  <si>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</si>
  <si>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</si>
  <si>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</si>
  <si>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</si>
  <si>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</si>
  <si>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</si>
  <si>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</si>
  <si>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</si>
  <si>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</si>
  <si>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</si>
  <si>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</si>
  <si>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</si>
  <si>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</si>
  <si>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</si>
  <si>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</si>
  <si>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</si>
  <si>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</si>
  <si>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</si>
  <si>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</si>
  <si>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</si>
  <si>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</si>
  <si>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</si>
  <si>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</si>
  <si>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</si>
  <si>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</si>
  <si>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</si>
  <si>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</si>
  <si>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</si>
  <si>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</si>
  <si>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</si>
  <si>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</si>
  <si>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</si>
  <si>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</si>
  <si>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</si>
  <si>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</si>
  <si>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</si>
  <si>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</si>
  <si>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</si>
  <si>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</si>
  <si>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</si>
  <si>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</si>
  <si>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</si>
  <si>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</si>
  <si>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</si>
  <si>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</si>
  <si>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</si>
  <si>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</si>
  <si>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</si>
  <si>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</si>
  <si>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</si>
  <si>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</si>
  <si>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</si>
  <si>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</si>
  <si>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</si>
  <si>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</si>
  <si>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</si>
  <si>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</si>
  <si>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</si>
  <si>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</si>
  <si>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</si>
  <si>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</si>
  <si>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</si>
  <si>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</si>
  <si>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</si>
  <si>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</si>
  <si>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</si>
  <si>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</si>
  <si>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</si>
  <si>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</si>
  <si>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</si>
  <si>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</si>
  <si>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</si>
  <si>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</si>
  <si>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</si>
  <si>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</si>
  <si>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</si>
  <si>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</si>
  <si>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</si>
  <si>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</si>
  <si>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</si>
  <si>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</si>
  <si>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</si>
  <si>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</si>
  <si>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</si>
  <si>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</si>
  <si>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</si>
  <si>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</si>
  <si>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</si>
  <si>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</si>
  <si>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</si>
  <si>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</si>
  <si>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</si>
  <si>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</si>
  <si>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</si>
  <si>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</si>
  <si>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</si>
  <si>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</si>
  <si>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</si>
  <si>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</si>
  <si>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</si>
  <si>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</si>
  <si>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</si>
  <si>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</si>
  <si>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</si>
  <si>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</si>
  <si>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</si>
  <si>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</si>
  <si>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</si>
  <si>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</si>
  <si>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</si>
  <si>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</si>
  <si>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</si>
  <si>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</si>
  <si>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</si>
  <si>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</si>
  <si>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</si>
  <si>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</si>
  <si>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</si>
  <si>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</si>
  <si>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</si>
  <si>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</si>
  <si>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</si>
  <si>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</si>
  <si>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</si>
  <si>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</si>
  <si>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</si>
  <si>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</si>
  <si>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</si>
  <si>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</si>
  <si>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</si>
  <si>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</si>
  <si>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</si>
  <si>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</si>
  <si>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</si>
  <si>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</si>
  <si>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</si>
  <si>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</si>
  <si>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</si>
  <si>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</si>
  <si>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</si>
  <si>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</si>
  <si>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</si>
  <si>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</si>
  <si>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</si>
  <si>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</si>
  <si>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</si>
  <si>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</si>
  <si>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</si>
  <si>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</si>
  <si>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</si>
  <si>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</si>
  <si>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</si>
  <si>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</si>
  <si>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</si>
  <si>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</si>
  <si>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</si>
  <si>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</si>
  <si>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</si>
  <si>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</si>
  <si>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</si>
  <si>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</si>
  <si>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</si>
  <si>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</si>
  <si>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</si>
  <si>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</si>
  <si>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</si>
  <si>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</si>
  <si>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</si>
  <si>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</si>
  <si>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</si>
  <si>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</si>
  <si>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</si>
  <si>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</si>
  <si>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</si>
  <si>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</si>
  <si>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</si>
  <si>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</si>
  <si>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</si>
  <si>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</si>
  <si>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</si>
  <si>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</si>
  <si>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</si>
  <si>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</si>
  <si>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</si>
  <si>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</si>
  <si>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</si>
  <si>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</si>
  <si>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</si>
  <si>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</si>
  <si>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</si>
  <si>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</si>
  <si>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</si>
  <si>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</si>
  <si>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</si>
  <si>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</si>
  <si>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</si>
  <si>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</si>
  <si>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</si>
  <si>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</si>
  <si>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</si>
  <si>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</si>
  <si>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</si>
  <si>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</si>
  <si>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</si>
  <si>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</si>
  <si>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</si>
  <si>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</si>
  <si>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</si>
  <si>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</si>
  <si>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</si>
  <si>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</si>
  <si>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</si>
  <si>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</si>
  <si>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</si>
  <si>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</si>
  <si>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</si>
  <si>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</si>
  <si>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</si>
  <si>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</si>
  <si>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</si>
  <si>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</si>
  <si>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</si>
  <si>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</si>
  <si>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</si>
  <si>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</si>
  <si>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</si>
  <si>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</si>
  <si>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</si>
  <si>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</si>
  <si>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</si>
  <si>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</si>
  <si>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</si>
  <si>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</si>
  <si>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</si>
  <si>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</si>
  <si>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</si>
  <si>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</si>
  <si>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</si>
  <si>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</si>
  <si>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</si>
  <si>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</si>
  <si>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</si>
  <si>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</si>
  <si>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</si>
  <si>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</si>
  <si>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</si>
  <si>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</si>
  <si>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</si>
  <si>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</si>
  <si>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</si>
  <si>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</si>
  <si>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</si>
  <si>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</si>
  <si>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</si>
  <si>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</si>
  <si>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</si>
  <si>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</si>
  <si>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</si>
  <si>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</si>
  <si>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</si>
  <si>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</si>
  <si>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</si>
  <si>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</si>
  <si>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</si>
  <si>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</si>
  <si>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</si>
  <si>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</si>
  <si>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</si>
  <si>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</si>
  <si>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</si>
  <si>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</si>
  <si>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</si>
  <si>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</si>
  <si>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</si>
  <si>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</si>
  <si>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</si>
  <si>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</si>
  <si>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</si>
  <si>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</si>
  <si>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</si>
  <si>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</si>
  <si>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</si>
  <si>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</si>
  <si>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</si>
  <si>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</si>
  <si>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</si>
  <si>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</si>
  <si>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</si>
  <si>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</si>
  <si>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</si>
  <si>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</si>
  <si>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</si>
  <si>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</si>
  <si>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</si>
  <si>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</si>
  <si>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</si>
  <si>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</si>
  <si>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</si>
  <si>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</si>
  <si>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</si>
  <si>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</si>
  <si>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</si>
  <si>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</si>
  <si>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</si>
  <si>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</si>
  <si>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</si>
  <si>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</si>
  <si>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</si>
  <si>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</si>
  <si>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</si>
  <si>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</si>
  <si>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</si>
  <si>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</si>
  <si>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</si>
  <si>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</si>
  <si>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</si>
  <si>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</si>
  <si>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</si>
  <si>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</si>
  <si>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</si>
  <si>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</si>
  <si>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</si>
  <si>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</si>
  <si>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</si>
  <si>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</si>
  <si>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</si>
  <si>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</si>
  <si>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</si>
  <si>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</si>
  <si>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</si>
  <si>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</si>
  <si>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</si>
  <si>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</si>
  <si>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</si>
  <si>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</si>
  <si>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</si>
  <si>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</si>
  <si>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</si>
  <si>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</si>
  <si>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</si>
  <si>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</si>
  <si>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</si>
  <si>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</si>
  <si>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</si>
  <si>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</si>
  <si>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</si>
  <si>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</si>
  <si>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</si>
  <si>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</si>
  <si>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</si>
  <si>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</si>
  <si>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</si>
  <si>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</si>
  <si>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</si>
  <si>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</si>
  <si>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</si>
  <si>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</si>
  <si>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</si>
  <si>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</si>
  <si>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</si>
  <si>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</si>
  <si>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</si>
  <si>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</si>
  <si>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</si>
  <si>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</si>
  <si>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</si>
  <si>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</si>
  <si>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</si>
  <si>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</si>
  <si>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</si>
  <si>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</si>
  <si>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</si>
  <si>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</si>
  <si>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</si>
  <si>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</si>
  <si>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</si>
  <si>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</si>
  <si>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</si>
  <si>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</si>
  <si>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</si>
  <si>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</si>
  <si>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</si>
  <si>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</si>
  <si>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</si>
  <si>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</si>
  <si>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</si>
  <si>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</si>
  <si>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</si>
  <si>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</si>
  <si>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</si>
  <si>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</si>
  <si>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</si>
  <si>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</si>
  <si>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</si>
  <si>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</si>
  <si>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</si>
  <si>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</si>
  <si>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</si>
  <si>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</si>
  <si>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</si>
  <si>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</si>
  <si>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</si>
  <si>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</si>
  <si>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</si>
  <si>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</si>
  <si>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</si>
  <si>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</si>
  <si>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</si>
  <si>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</si>
  <si>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</si>
  <si>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</si>
  <si>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</si>
  <si>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</si>
  <si>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</si>
  <si>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</si>
  <si>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</si>
  <si>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</si>
  <si>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</si>
  <si>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</si>
  <si>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</si>
  <si>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</si>
  <si>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</si>
  <si>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</si>
  <si>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</si>
  <si>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</si>
  <si>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</si>
  <si>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</si>
  <si>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</si>
  <si>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</si>
  <si>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</si>
  <si>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</si>
  <si>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</si>
  <si>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</si>
  <si>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</si>
  <si>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</si>
  <si>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</si>
  <si>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</si>
  <si>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</si>
  <si>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</si>
  <si>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</si>
  <si>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</si>
  <si>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</si>
  <si>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</si>
  <si>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</si>
  <si>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</si>
  <si>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</si>
  <si>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</si>
  <si>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</si>
  <si>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</si>
  <si>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</si>
  <si>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</si>
  <si>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</si>
  <si>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</si>
  <si>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</si>
  <si>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</si>
  <si>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</si>
  <si>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</si>
  <si>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</si>
  <si>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</si>
  <si>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</si>
  <si>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</si>
  <si>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</si>
  <si>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</si>
  <si>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</si>
  <si>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</si>
  <si>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</si>
  <si>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</si>
  <si>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</si>
  <si>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</si>
  <si>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</si>
  <si>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</si>
  <si>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</si>
  <si>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</si>
  <si>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</si>
  <si>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</si>
  <si>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</si>
  <si>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</si>
  <si>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</si>
  <si>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</si>
  <si>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</si>
  <si>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</si>
  <si>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</si>
  <si>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</si>
  <si>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</si>
  <si>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</si>
  <si>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</si>
  <si>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</si>
  <si>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</si>
  <si>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</si>
  <si>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</si>
  <si>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</si>
  <si>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</si>
  <si>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</si>
  <si>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</si>
  <si>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</si>
  <si>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</si>
  <si>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</si>
  <si>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</si>
  <si>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</si>
  <si>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</si>
  <si>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</si>
  <si>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</si>
  <si>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</si>
  <si>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</si>
  <si>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</si>
  <si>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</si>
  <si>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</si>
  <si>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</si>
  <si>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</si>
  <si>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</si>
  <si>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</si>
  <si>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</si>
  <si>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</si>
  <si>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</si>
  <si>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</si>
  <si>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</si>
  <si>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</si>
  <si>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</si>
  <si>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</si>
  <si>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</si>
  <si>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</si>
  <si>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</si>
  <si>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</si>
  <si>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</si>
  <si>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</si>
  <si>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</si>
  <si>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</si>
  <si>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</si>
  <si>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</si>
  <si>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</si>
  <si>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</si>
  <si>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</si>
  <si>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</si>
  <si>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</si>
  <si>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</si>
  <si>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</si>
  <si>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</si>
  <si>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</si>
  <si>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</si>
  <si>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</si>
  <si>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</si>
  <si>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</si>
  <si>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</si>
  <si>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</si>
  <si>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</si>
  <si>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</si>
  <si>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</si>
  <si>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</si>
  <si>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</si>
  <si>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</si>
  <si>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</si>
  <si>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</si>
  <si>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</si>
  <si>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</si>
  <si>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</si>
  <si>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</si>
  <si>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</si>
  <si>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</si>
  <si>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</si>
  <si>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</si>
  <si>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</si>
  <si>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</si>
  <si>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</si>
  <si>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</si>
  <si>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</si>
  <si>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</si>
  <si>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</si>
  <si>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</si>
  <si>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</si>
  <si>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</si>
  <si>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</si>
  <si>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</si>
  <si>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</si>
  <si>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</si>
  <si>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</si>
  <si>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</si>
  <si>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</si>
  <si>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</si>
  <si>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</si>
  <si>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</si>
  <si>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</si>
  <si>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</si>
  <si>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</si>
  <si>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</si>
  <si>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</si>
  <si>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</si>
  <si>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</si>
  <si>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</si>
  <si>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</si>
  <si>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</si>
  <si>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</si>
  <si>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</si>
  <si>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</si>
  <si>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</si>
  <si>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</si>
  <si>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</si>
  <si>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</si>
  <si>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</si>
  <si>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</si>
  <si>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</si>
  <si>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</si>
  <si>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</si>
  <si>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</si>
  <si>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</si>
  <si>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</si>
  <si>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</si>
  <si>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</si>
  <si>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</si>
  <si>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</si>
  <si>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</si>
  <si>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</si>
  <si>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</si>
  <si>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</si>
  <si>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</si>
  <si>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</si>
  <si>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</si>
  <si>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</si>
  <si>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</si>
  <si>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</si>
  <si>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</si>
  <si>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</si>
  <si>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</si>
  <si>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</si>
  <si>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</si>
  <si>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</si>
  <si>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</si>
  <si>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</si>
  <si>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</si>
  <si>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</si>
  <si>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</si>
  <si>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</si>
  <si>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</si>
  <si>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</si>
  <si>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</si>
  <si>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</si>
  <si>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</si>
  <si>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</si>
  <si>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</si>
  <si>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</si>
  <si>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</si>
  <si>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</si>
  <si>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</si>
  <si>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</si>
  <si>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</si>
  <si>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</si>
  <si>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</si>
  <si>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</si>
  <si>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</si>
  <si>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</si>
  <si>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</si>
  <si>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</si>
  <si>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</si>
  <si>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</si>
  <si>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</si>
  <si>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</si>
  <si>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</si>
  <si>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</si>
  <si>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</si>
  <si>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</si>
  <si>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</si>
  <si>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</si>
  <si>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</si>
  <si>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</si>
  <si>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</si>
  <si>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</si>
  <si>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</si>
  <si>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</si>
  <si>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</si>
  <si>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</si>
  <si>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</si>
  <si>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</si>
  <si>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</si>
  <si>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</si>
  <si>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</si>
  <si>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</si>
  <si>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</si>
  <si>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</si>
  <si>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</si>
  <si>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</si>
  <si>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</si>
  <si>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</si>
  <si>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</si>
  <si>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</si>
  <si>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</si>
  <si>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</si>
  <si>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</si>
  <si>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</si>
  <si>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</si>
  <si>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</si>
  <si>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</si>
  <si>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</si>
  <si>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</si>
  <si>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</si>
  <si>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</si>
  <si>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</si>
  <si>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</si>
  <si>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</si>
  <si>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</si>
  <si>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</si>
  <si>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</si>
  <si>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</si>
  <si>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</si>
  <si>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</si>
  <si>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</si>
  <si>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</si>
  <si>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</si>
  <si>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</si>
  <si>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</si>
  <si>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</si>
  <si>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</si>
  <si>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</si>
  <si>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</si>
  <si>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</si>
  <si>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</si>
  <si>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</si>
  <si>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</si>
  <si>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</si>
  <si>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</si>
  <si>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</si>
  <si>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</si>
  <si>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</si>
  <si>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</si>
  <si>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</si>
  <si>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</si>
  <si>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</si>
  <si>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</si>
  <si>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</si>
  <si>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</si>
  <si>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</si>
  <si>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</si>
  <si>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</si>
  <si>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</si>
  <si>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</si>
  <si>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</si>
  <si>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</si>
  <si>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</si>
  <si>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</si>
  <si>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</si>
  <si>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</si>
  <si>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</si>
  <si>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</si>
  <si>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</si>
  <si>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</si>
  <si>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</si>
  <si>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</si>
  <si>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</si>
  <si>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</si>
  <si>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</si>
  <si>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</si>
  <si>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</si>
  <si>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</si>
  <si>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</si>
  <si>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</si>
  <si>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</si>
  <si>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</si>
  <si>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</si>
  <si>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</si>
  <si>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</si>
  <si>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</si>
  <si>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</si>
  <si>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</si>
  <si>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</si>
  <si>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</si>
  <si>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</si>
  <si>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</si>
  <si>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</si>
  <si>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</si>
  <si>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</si>
  <si>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</si>
  <si>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</si>
  <si>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</si>
  <si>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</si>
  <si>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</si>
  <si>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</si>
  <si>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</si>
  <si>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</si>
  <si>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</si>
  <si>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</si>
  <si>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</si>
  <si>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</si>
  <si>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</si>
  <si>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</si>
  <si>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</si>
  <si>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</si>
  <si>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</si>
  <si>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</si>
  <si>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</si>
  <si>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</si>
  <si>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</si>
  <si>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</si>
  <si>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</si>
  <si>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</si>
  <si>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</si>
  <si>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</si>
  <si>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</si>
  <si>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</si>
  <si>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</si>
  <si>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</si>
  <si>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</si>
  <si>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</si>
  <si>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</si>
  <si>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</si>
  <si>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</si>
  <si>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</si>
  <si>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</si>
  <si>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</si>
  <si>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</si>
  <si>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</si>
  <si>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</si>
  <si>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</si>
  <si>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</si>
  <si>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</si>
  <si>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</si>
  <si>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</si>
  <si>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</si>
  <si>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</si>
  <si>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</si>
  <si>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</si>
  <si>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</si>
  <si>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</si>
  <si>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</si>
  <si>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</si>
  <si>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</si>
  <si>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</si>
  <si>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</si>
  <si>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</si>
  <si>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</si>
  <si>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</si>
  <si>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</si>
  <si>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</si>
  <si>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</si>
  <si>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</si>
  <si>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</si>
  <si>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</si>
  <si>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</si>
  <si>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</si>
  <si>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</si>
  <si>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</si>
  <si>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</si>
  <si>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</si>
  <si>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</si>
  <si>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</si>
  <si>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</si>
  <si>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</si>
  <si>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</si>
  <si>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</si>
  <si>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</si>
  <si>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</si>
  <si>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</si>
  <si>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</si>
  <si>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</si>
  <si>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</si>
  <si>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</si>
  <si>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</si>
  <si>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</si>
  <si>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</si>
  <si>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</si>
  <si>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</si>
  <si>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</si>
  <si>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</si>
  <si>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</si>
  <si>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</si>
  <si>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</si>
  <si>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</si>
  <si>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</si>
  <si>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</si>
  <si>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</si>
  <si>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</si>
  <si>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</si>
  <si>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</si>
  <si>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</si>
  <si>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</si>
  <si>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</si>
  <si>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</si>
  <si>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</si>
  <si>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</si>
  <si>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</si>
  <si>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</si>
  <si>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</si>
  <si>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</si>
  <si>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</si>
  <si>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</si>
  <si>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</si>
  <si>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</si>
  <si>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</si>
  <si>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</si>
  <si>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</si>
  <si>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</si>
  <si>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</si>
  <si>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</si>
  <si>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</si>
  <si>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</si>
  <si>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</si>
  <si>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</si>
  <si>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</si>
  <si>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</si>
  <si>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</si>
  <si>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</si>
  <si>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</si>
  <si>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</si>
  <si>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</si>
  <si>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</si>
  <si>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</si>
  <si>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</si>
  <si>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</si>
  <si>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</si>
  <si>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</si>
  <si>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</si>
  <si>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</si>
  <si>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</si>
  <si>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</si>
  <si>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</si>
  <si>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</si>
  <si>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</si>
  <si>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</si>
  <si>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</si>
  <si>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</si>
  <si>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</si>
  <si>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</si>
  <si>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</si>
  <si>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</si>
  <si>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</si>
  <si>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</si>
  <si>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</si>
  <si>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</si>
  <si>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</si>
  <si>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</si>
  <si>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</si>
  <si>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</si>
  <si>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</si>
  <si>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</si>
  <si>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</si>
  <si>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</si>
  <si>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</si>
  <si>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</si>
  <si>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</si>
  <si>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</si>
  <si>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</si>
  <si>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</si>
  <si>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</si>
  <si>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</si>
  <si>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</si>
  <si>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</si>
  <si>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</si>
  <si>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</si>
  <si>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</si>
  <si>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</si>
  <si>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</si>
  <si>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</si>
  <si>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</si>
  <si>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</si>
  <si>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</si>
  <si>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</si>
  <si>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</si>
  <si>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</si>
  <si>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</si>
  <si>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</si>
  <si>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</si>
  <si>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</si>
  <si>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</si>
  <si>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</si>
  <si>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</si>
  <si>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</si>
  <si>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</si>
  <si>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</si>
  <si>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</si>
  <si>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</si>
  <si>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</si>
  <si>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</si>
  <si>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</si>
  <si>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</si>
  <si>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</si>
  <si>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</si>
  <si>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</si>
  <si>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</si>
  <si>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</si>
  <si>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</si>
  <si>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</si>
  <si>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</si>
  <si>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</si>
  <si>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</si>
  <si>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</si>
  <si>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</si>
  <si>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</si>
  <si>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</si>
  <si>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</si>
  <si>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</si>
  <si>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</si>
  <si>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</si>
  <si>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</si>
  <si>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</si>
  <si>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</si>
  <si>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</si>
  <si>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</si>
  <si>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</si>
  <si>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</si>
  <si>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</si>
  <si>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</si>
  <si>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</si>
  <si>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</si>
  <si>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</si>
  <si>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</si>
  <si>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</si>
  <si>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</si>
  <si>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</si>
  <si>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</si>
  <si>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</si>
  <si>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</si>
  <si>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</si>
  <si>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</si>
  <si>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</si>
  <si>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</si>
  <si>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</si>
  <si>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</si>
  <si>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</si>
  <si>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</si>
  <si>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</si>
  <si>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</si>
  <si>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</si>
  <si>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</si>
  <si>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</si>
  <si>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</si>
  <si>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</si>
  <si>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</si>
  <si>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</si>
  <si>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ONCFM ZAB1000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</si>
  <si>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</si>
  <si>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</si>
  <si>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</si>
  <si>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</si>
  <si>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</si>
  <si>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</si>
  <si>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</si>
  <si>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</si>
  <si>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</si>
  <si>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</si>
  <si>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</si>
  <si>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</si>
  <si>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</si>
  <si>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</si>
  <si>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</si>
  <si>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</si>
  <si>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</si>
  <si>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</si>
  <si>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</si>
  <si>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</si>
  <si>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</si>
  <si>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</si>
  <si>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</si>
  <si>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</si>
  <si>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</si>
  <si>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</si>
  <si>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</si>
  <si>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</si>
  <si>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</si>
  <si>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</si>
  <si>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</si>
  <si>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</si>
  <si>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</si>
  <si>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</si>
  <si>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</si>
  <si>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</si>
  <si>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SAR 25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</si>
  <si>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</si>
  <si>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</si>
  <si>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</si>
  <si>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</si>
  <si>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</si>
  <si>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</si>
  <si>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</si>
  <si>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</si>
  <si>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</si>
  <si>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</si>
  <si>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</si>
  <si>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</si>
  <si>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</si>
  <si>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</si>
  <si>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</si>
  <si>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</si>
  <si>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DB 99.51-60 'Saxon IV K'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</si>
  <si>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</si>
  <si>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</si>
  <si>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</si>
  <si>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</si>
  <si>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</si>
  <si>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</si>
  <si>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</si>
  <si>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DB 19.0 'Saxon XX HV'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</si>
  <si>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</si>
  <si>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</si>
  <si>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</si>
  <si>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</si>
  <si>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</si>
  <si>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</si>
  <si>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</si>
  <si>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</si>
  <si>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</si>
  <si>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</si>
  <si>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</si>
  <si>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</si>
  <si>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</si>
  <si>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</si>
  <si>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</si>
  <si>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</si>
  <si>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</si>
  <si>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</si>
  <si>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</si>
  <si>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</si>
  <si>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</si>
  <si>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</si>
  <si>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</si>
  <si>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</si>
  <si>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</si>
  <si>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</si>
  <si>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</si>
  <si>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China Railways H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</si>
  <si>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</si>
  <si>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</si>
  <si>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</si>
  <si>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</si>
  <si>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</si>
  <si>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</si>
  <si>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</si>
  <si>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</si>
  <si>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</si>
  <si>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</si>
  <si>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</si>
  <si>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</si>
  <si>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</si>
  <si>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</si>
  <si>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</si>
  <si>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</si>
  <si>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</si>
  <si>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</si>
  <si>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</si>
  <si>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</si>
  <si>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</si>
  <si>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</si>
  <si>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</si>
  <si>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</si>
  <si>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</si>
  <si>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</si>
  <si>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</si>
  <si>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</si>
  <si>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</si>
  <si>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</si>
  <si>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</si>
  <si>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</si>
  <si>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</si>
  <si>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</si>
  <si>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</si>
  <si>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</si>
  <si>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</si>
  <si>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</si>
  <si>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</si>
  <si>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</si>
  <si>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</si>
  <si>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</si>
  <si>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</si>
  <si>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</si>
  <si>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</si>
  <si>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</si>
  <si>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</si>
  <si>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</si>
  <si>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</si>
  <si>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</si>
  <si>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</si>
  <si>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</si>
  <si>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</si>
  <si>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</si>
  <si>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</si>
  <si>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</si>
  <si>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</si>
  <si>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</si>
  <si>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</si>
  <si>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</si>
  <si>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</si>
  <si>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</si>
  <si>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</si>
  <si>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</si>
  <si>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</si>
  <si>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</si>
  <si>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</si>
  <si>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</si>
  <si>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</si>
  <si>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</si>
  <si>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</si>
  <si>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</si>
  <si>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</si>
  <si>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</si>
  <si>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</si>
  <si>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</si>
  <si>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</si>
  <si>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</si>
  <si>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</si>
  <si>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</si>
  <si>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</si>
  <si>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</si>
  <si>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</si>
  <si>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</si>
  <si>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</si>
  <si>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</si>
  <si>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</si>
  <si>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</si>
  <si>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</si>
  <si>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</si>
  <si>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</si>
  <si>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</si>
  <si>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</si>
  <si>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</si>
  <si>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</si>
  <si>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</si>
  <si>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</si>
  <si>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</si>
  <si>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</si>
  <si>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</si>
  <si>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</si>
  <si>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</si>
  <si>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</si>
  <si>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</si>
  <si>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</si>
  <si>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</si>
  <si>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</si>
  <si>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</si>
  <si>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</si>
  <si>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</si>
  <si>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</si>
  <si>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</si>
  <si>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</si>
  <si>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</si>
  <si>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</si>
  <si>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</si>
  <si>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</si>
  <si>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</si>
  <si>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</si>
  <si>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</si>
  <si>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</si>
  <si>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</si>
  <si>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</si>
  <si>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</si>
  <si>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</si>
  <si>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</si>
  <si>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</si>
  <si>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</si>
  <si>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</si>
  <si>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</si>
  <si>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</si>
  <si>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</si>
  <si>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</si>
  <si>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</si>
  <si>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</si>
  <si>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</si>
  <si>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</si>
  <si>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</si>
  <si>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</si>
  <si>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</si>
  <si>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</si>
  <si>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</si>
  <si>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</si>
  <si>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</si>
  <si>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SAR Afro 4000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</si>
  <si>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</si>
  <si>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</si>
  <si>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</si>
  <si>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</si>
  <si>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</si>
  <si>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</si>
  <si>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</si>
  <si>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</si>
  <si>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</si>
  <si>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</si>
  <si>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</si>
  <si>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</si>
  <si>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</si>
  <si>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</si>
  <si>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</si>
  <si>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</si>
  <si>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</si>
  <si>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</si>
  <si>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</si>
  <si>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</si>
  <si>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</si>
  <si>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</si>
  <si>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</si>
  <si>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</si>
  <si>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</si>
  <si>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</si>
  <si>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</si>
  <si>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</si>
  <si>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</si>
  <si>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</si>
  <si>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</si>
  <si>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</si>
  <si>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</si>
  <si>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</si>
  <si>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</si>
  <si>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</si>
  <si>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</si>
  <si>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</si>
  <si>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</si>
  <si>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</si>
  <si>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</si>
  <si>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</si>
  <si>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</si>
  <si>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</si>
  <si>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</si>
  <si>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</si>
  <si>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</si>
  <si>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</si>
  <si>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</si>
  <si>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</si>
  <si>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</si>
  <si>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</si>
  <si>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</si>
  <si>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</si>
  <si>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</si>
  <si>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</si>
  <si>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</si>
  <si>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</si>
  <si>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</si>
  <si>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</si>
  <si>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</si>
  <si>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</si>
  <si>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</si>
  <si>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</si>
  <si>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</si>
  <si>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</si>
  <si>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</si>
  <si>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</si>
  <si>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</si>
  <si>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</si>
  <si>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</si>
  <si>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</si>
  <si>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</si>
  <si>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</si>
  <si>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</si>
  <si>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</si>
  <si>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</si>
  <si>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</si>
  <si>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</si>
  <si>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</si>
  <si>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</si>
  <si>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</si>
  <si>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</si>
  <si>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</si>
  <si>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</si>
  <si>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</si>
  <si>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</si>
  <si>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</si>
  <si>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</si>
  <si>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</si>
  <si>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</si>
  <si>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SAR E38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</si>
  <si>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</si>
  <si>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</si>
  <si>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</si>
  <si>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</si>
  <si>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</si>
  <si>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</si>
  <si>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</si>
  <si>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</si>
  <si>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</si>
  <si>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</si>
  <si>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</si>
  <si>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</si>
  <si>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</si>
  <si>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</si>
  <si>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</si>
  <si>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</si>
  <si>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</si>
  <si>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</si>
  <si>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</si>
  <si>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</si>
  <si>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</si>
  <si>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</si>
  <si>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</si>
  <si>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</si>
  <si>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</si>
  <si>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</si>
  <si>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</si>
  <si>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</si>
  <si>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</si>
  <si>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</si>
  <si>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</si>
  <si>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</si>
  <si>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</si>
  <si>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</si>
  <si>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</si>
  <si>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</si>
  <si>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</si>
  <si>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</si>
  <si>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SAR 20E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</si>
  <si>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</si>
  <si>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</si>
  <si>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</si>
  <si>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</si>
  <si>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</si>
  <si>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</si>
  <si>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</si>
  <si>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</si>
  <si>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</si>
  <si>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</si>
  <si>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</si>
  <si>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</si>
  <si>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</si>
  <si>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</si>
  <si>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</si>
  <si>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</si>
  <si>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</si>
  <si>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</si>
  <si>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</si>
  <si>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</si>
  <si>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</si>
  <si>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</si>
  <si>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</si>
  <si>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</si>
  <si>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</si>
  <si>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</si>
  <si>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</si>
  <si>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</si>
  <si>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</si>
  <si>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</si>
  <si>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</si>
  <si>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Queensland Rail 400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</si>
  <si>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</si>
  <si>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</si>
  <si>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</si>
  <si>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</si>
  <si>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</si>
  <si>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</si>
  <si>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</si>
  <si>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</si>
  <si>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</si>
  <si>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</si>
  <si>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</si>
  <si>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</si>
  <si>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</si>
  <si>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</si>
  <si>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</si>
  <si>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</si>
  <si>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</si>
  <si>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</si>
  <si>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</si>
  <si>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</si>
  <si>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</si>
  <si>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</si>
  <si>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</si>
  <si>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</si>
  <si>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</si>
  <si>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</si>
  <si>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</si>
  <si>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</si>
  <si>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</si>
  <si>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</si>
  <si>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</si>
  <si>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</si>
  <si>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</si>
  <si>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</si>
  <si>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</si>
  <si>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</si>
  <si>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</si>
  <si>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</si>
  <si>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</si>
  <si>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</si>
  <si>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</si>
  <si>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</si>
  <si>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</si>
  <si>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</si>
  <si>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</si>
  <si>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</si>
  <si>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</si>
  <si>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</si>
  <si>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</si>
  <si>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</si>
  <si>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</si>
  <si>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</si>
  <si>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</si>
  <si>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</si>
  <si>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</si>
  <si>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</si>
  <si>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</si>
  <si>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</si>
  <si>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</si>
  <si>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</si>
  <si>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</si>
  <si>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</si>
  <si>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</si>
  <si>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</si>
  <si>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</si>
  <si>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</si>
  <si>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</si>
  <si>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</si>
  <si>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</si>
  <si>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</si>
  <si>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</si>
  <si>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</si>
  <si>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</si>
  <si>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</si>
  <si>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</si>
  <si>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</si>
  <si>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</si>
  <si>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</si>
  <si>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</si>
  <si>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</si>
  <si>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</si>
  <si>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</si>
  <si>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</si>
  <si>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</si>
  <si>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</si>
  <si>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</si>
  <si>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</si>
  <si>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</si>
  <si>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</si>
  <si>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</si>
  <si>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</si>
  <si>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</si>
  <si>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</si>
  <si>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</si>
  <si>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</si>
  <si>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</si>
  <si>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</si>
  <si>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</si>
  <si>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</si>
  <si>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</si>
  <si>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</si>
  <si>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</si>
  <si>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</si>
  <si>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</si>
  <si>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</si>
  <si>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</si>
  <si>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</si>
  <si>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</si>
  <si>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</si>
  <si>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</si>
  <si>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</si>
  <si>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</si>
  <si>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</si>
  <si>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</si>
  <si>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</si>
  <si>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</si>
  <si>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</si>
  <si>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</si>
  <si>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</si>
  <si>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</si>
  <si>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</si>
  <si>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</si>
  <si>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</si>
  <si>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</si>
  <si>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</si>
  <si>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</si>
  <si>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</si>
  <si>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EFE Buscarril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</si>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</sst>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37" borderId="17" xfId="0" applyFont="1" applyFill="1" applyBorder="1"/>
    <xf numFmtId="0" fontId="0" fillId="0" borderId="17" xfId="0" applyFont="1" applyBorder="1"/>
    <xf numFmtId="0" fontId="0" fillId="0" borderId="0" xfId="0" applyNumberFormat="1"/>
    <xf numFmtId="0" fontId="0" fillId="0" borderId="10" xfId="0" applyNumberFormat="1" applyBorder="1"/>
    <xf numFmtId="0" fontId="0" fillId="0" borderId="15" xfId="0" applyFont="1" applyBorder="1"/>
    <xf numFmtId="0" fontId="0" fillId="0" borderId="15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0"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91" totalsRowShown="0" headerRowDxfId="124">
  <autoFilter ref="A1:P791" xr:uid="{A2EA8B49-66CF-4BEA-9B39-A62C2B50785A}"/>
  <tableColumns count="16">
    <tableColumn id="1" xr3:uid="{FF4A1243-8066-4FF2-9225-EDE41896A1A5}" name="VEHIDCODE"/>
    <tableColumn id="2" xr3:uid="{44DB3ECB-3D36-4D92-B31F-6B9604288D8B}" name="FILENAMES_EXPECTED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2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22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21">
      <calculatedColumnFormula>"item_"&amp;CONTROL[[#This Row],[VEHIDCODE]]</calculatedColumnFormula>
    </tableColumn>
    <tableColumn id="8" xr3:uid="{327E5CDA-51AE-4721-ACBD-5E8C3D890998}" name="NAME" dataDxfId="120">
      <calculatedColumnFormula>"str_"&amp;CONTROL[[#This Row],[VEHIDCODE]]</calculatedColumnFormula>
    </tableColumn>
    <tableColumn id="7" xr3:uid="{B82AB1D7-17AE-4057-AB6F-44B6BA86F247}" name="TRACK_TYPES" dataDxfId="119">
      <calculatedColumnFormula>ISNUMBER(_xlfn.XMATCH(CONTROL[[#This Row],[VEHIDCODE]],TRACK_TYPES[VEHIDCODE],0))</calculatedColumnFormula>
    </tableColumn>
    <tableColumn id="11" xr3:uid="{D7F142C5-8884-454F-94AC-795FE6A81C81}" name="REGIONS" dataDxfId="118">
      <calculatedColumnFormula>ISNUMBER(_xlfn.XMATCH(CONTROL[[#This Row],[VEHIDCODE]],REGIONS[VEHIDCODE],0))</calculatedColumnFormula>
    </tableColumn>
    <tableColumn id="14" xr3:uid="{222C2DB1-CA5D-4369-995A-6A316AC5C947}" name="PROPERTIES" dataDxfId="117">
      <calculatedColumnFormula>ISNUMBER(_xlfn.XMATCH(CONTROL[[#This Row],[VEHIDCODE]],PROPERTIES[VEHIDCODE],0))</calculatedColumnFormula>
    </tableColumn>
    <tableColumn id="12" xr3:uid="{98C60329-4C14-461E-A11A-0FBD5B385214}" name="CONSTANTS" dataDxfId="116">
      <calculatedColumnFormula>ISNUMBER(_xlfn.XMATCH(CONTROL[[#This Row],[VEHIDCODE]],CONSTANTS[VEHIDCODE],0))</calculatedColumnFormula>
    </tableColumn>
    <tableColumn id="13" xr3:uid="{473FD571-A166-4EC8-8B7B-F1D30044570B}" name="FLAGS" dataDxfId="115">
      <calculatedColumnFormula>ISNUMBER(_xlfn.XMATCH(CONTROL[[#This Row],[VEHIDCODE]],FLAGS[VEHIDCODE],0))</calculatedColumnFormula>
    </tableColumn>
    <tableColumn id="10" xr3:uid="{7783F713-60B4-45CF-AEB3-EE02271B3D6F}" name="GRAPHICS_PROPERTIES" dataDxfId="114">
      <calculatedColumnFormula>ISNUMBER(_xlfn.XMATCH(CONTROL[[#This Row],[VEHIDCODE]],GRAPHICS_PROPERTIES[VEHIDCODE],0))</calculatedColumnFormula>
    </tableColumn>
    <tableColumn id="16" xr3:uid="{0ADFB3F4-3A64-4236-B9F2-77C3B0727506}" name="ENGLISH_ITEMS" dataDxfId="113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X791" totalsRowShown="0" headerRowDxfId="112">
  <autoFilter ref="A1:X791" xr:uid="{6DCCB998-B5D1-4B0D-8701-BC0E171A94CA}"/>
  <tableColumns count="24">
    <tableColumn id="1" xr3:uid="{173D09BF-30BA-4FF2-B4FE-F09962415DA2}" name="VEHIDCODE" dataDxfId="111"/>
    <tableColumn id="7" xr3:uid="{1916DEDB-A6C2-4AB6-B9BF-2B3B69CAD452}" name="INTRODUCTION_YEAR"/>
    <tableColumn id="4" xr3:uid="{0B911663-AF6D-4AFE-A704-0E28EFE769C9}" name="DUAL_HEADED"/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10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09"/>
    <tableColumn id="58" xr3:uid="{37DCFD33-B11D-4E3C-9899-EA36DBD4DBC0}" name="LOADINGSPEED_VALUE" dataDxfId="10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07"/>
    <tableColumn id="16" xr3:uid="{52CFAA15-69B5-45FF-8981-D3CAEB901DFB}" name="VEHICLE_LIFE" dataDxfId="106"/>
    <tableColumn id="18" xr3:uid="{EB0CE86B-9E06-4ADD-85C1-EA622DE32153}" name="WAGON_CAPACITY" dataDxfId="105"/>
    <tableColumn id="15" xr3:uid="{3558C882-A912-4F84-BDE6-BC0A2A676C4B}" name="WAGON_LENGTH" dataDxfId="104"/>
    <tableColumn id="71" xr3:uid="{3D8AA890-C1F2-4EBD-90E3-21F948960989}" name="PURCHASE_CARGO_CAPACITY" dataDxfId="103"/>
    <tableColumn id="107" xr3:uid="{64FE90FD-3682-462D-B2DC-D2193BF8E5C1}" name="RUNNING_COST_BASE" dataDxfId="102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01"/>
    <tableColumn id="28" xr3:uid="{B24767B4-97D7-4814-9BBD-1231E1A0A0A7}" name="RUNNINGCOST_VALUE" dataDxfId="100"/>
    <tableColumn id="22" xr3:uid="{68BAA036-8189-4A5A-B0EF-3F284C15672C}" name="COST_CAT" dataDxfId="99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1" totalsRowShown="0" headerRowDxfId="98">
  <autoFilter ref="A1:AF791" xr:uid="{6DCCB998-B5D1-4B0D-8701-BC0E171A94CA}"/>
  <tableColumns count="32">
    <tableColumn id="1" xr3:uid="{CDEAF13A-A986-4600-A992-A08C1CA6142C}" name="VEHIDCODE" dataDxfId="97"/>
    <tableColumn id="55" xr3:uid="{839D134C-3027-42F4-BA04-3BA8BFF71A3B}" name="TRACK_TYPE_STANDARD_GAUGE_RAILTYPE_OHLE" dataDxfId="96"/>
    <tableColumn id="54" xr3:uid="{5D83FD10-ABCB-4FE7-A7DB-4A857A58D719}" name="TRACK_TYPE_STANDARD_GAUGE_RAILTYPE_25KV" dataDxfId="95"/>
    <tableColumn id="53" xr3:uid="{56183170-0B7F-45FB-91B4-356C62C246AD}" name="TRACK_TYPE_STANDARD_GAUGE_RAILTYPE_15KV" dataDxfId="94"/>
    <tableColumn id="52" xr3:uid="{5B71BE07-0EB9-4DEB-A8E8-252C9D979AC2}" name="TRACK_TYPE_STANDARD_GAUGE_RAILTYPE_3KV" dataDxfId="93"/>
    <tableColumn id="51" xr3:uid="{5A6435EB-111E-4AED-A8E1-AEFF82C34393}" name="TRACK_TYPE_STANDARD_GAUGE_RAILTYPE_1500V" dataDxfId="92"/>
    <tableColumn id="50" xr3:uid="{14CA70EA-0EE7-44BA-9D77-FC902C0596DD}" name="TRACK_TYPE_STANDARD_GAUGE_RAILTYPE_3RD" dataDxfId="91"/>
    <tableColumn id="49" xr3:uid="{3A15447A-9663-43FB-8EFF-8F8034548FB0}" name="TRACK_TYPE_STANDARD_GAUGE_RAILTYPE_4TH" dataDxfId="90"/>
    <tableColumn id="48" xr3:uid="{E44E324A-492F-4566-8DC9-0A6F58F40EA9}" name="TRACK_TYPE_STANDARD_GAUGE_RAILTYPE_DUAL" dataDxfId="89"/>
    <tableColumn id="47" xr3:uid="{FE3223C6-E685-4456-91E9-10AEB3B699E7}" name="TRACK_TYPE_STANDARD_GAUGE_RAILTYPE_NONE" dataDxfId="88"/>
    <tableColumn id="46" xr3:uid="{D39969E8-C0CA-4A59-A556-D29019991069}" name="TRACK_TYPE_NARROW_GAUGE_RAILTYPE_OHLE" dataDxfId="87"/>
    <tableColumn id="45" xr3:uid="{5266A9E9-D840-4460-AB81-A081897372F3}" name="TRACK_TYPE_NARROW_GAUGE_RAILTYPE_25KV" dataDxfId="86"/>
    <tableColumn id="44" xr3:uid="{7B4C44D1-C745-4291-86A0-777579742A84}" name="TRACK_TYPE_NARROW_GAUGE_RAILTYPE_15KV" dataDxfId="85"/>
    <tableColumn id="43" xr3:uid="{8736D285-A163-4DBE-84E1-870118B47F14}" name="TRACK_TYPE_NARROW_GAUGE_RAILTYPE_3KV" dataDxfId="84"/>
    <tableColumn id="42" xr3:uid="{6FBBA2FB-4743-4072-B4E0-C42BBDA1CC47}" name="TRACK_TYPE_NARROW_GAUGE_RAILTYPE_1500V" dataDxfId="83"/>
    <tableColumn id="41" xr3:uid="{D3ED2E70-19BF-4D92-A76B-0F0F03D31947}" name="TRACK_TYPE_NARROW_GAUGE_RAILTYPE_3RD" dataDxfId="82"/>
    <tableColumn id="40" xr3:uid="{F38AE7AF-B798-40A5-992A-13685296E710}" name="TRACK_TYPE_NARROW_GAUGE_RAILTYPE_4TH" dataDxfId="81"/>
    <tableColumn id="39" xr3:uid="{16463F64-2239-4E7F-8257-47F324BF8959}" name="TRACK_TYPE_NARROW_GAUGE_RAILTYPE_DUAL" dataDxfId="80"/>
    <tableColumn id="38" xr3:uid="{97037A15-9172-4057-863E-582804353817}" name="TRACK_TYPE_NARROW_GAUGE_RAILTYPE_NONE" dataDxfId="79"/>
    <tableColumn id="37" xr3:uid="{24999D59-5A4F-4A21-B8B4-EBDBF9F8BF1E}" name="TRACK_TYPE_BROAD_GAUGE_RAILTYPE_OHLE" dataDxfId="78"/>
    <tableColumn id="36" xr3:uid="{31AB3927-D18B-49AD-8EF5-C7E9FF4CEDF3}" name="TRACK_TYPE_BROAD_GAUGE_RAILTYPE_25KV" dataDxfId="77"/>
    <tableColumn id="35" xr3:uid="{CB3432E7-4DAE-4807-9CE5-4CB1ACECD395}" name="TRACK_TYPE_BROAD_GAUGE_RAILTYPE_15KV" dataDxfId="76"/>
    <tableColumn id="34" xr3:uid="{E3936FE4-2B46-4DC0-84C0-44C7892A0927}" name="TRACK_TYPE_BROAD_GAUGE_RAILTYPE_3KV" dataDxfId="75"/>
    <tableColumn id="33" xr3:uid="{A5FAA105-CF81-4A75-8967-5721104454E8}" name="TRACK_TYPE_BROAD_GAUGE_RAILTYPE_1500V" dataDxfId="74"/>
    <tableColumn id="32" xr3:uid="{439CDFDE-6BFC-446C-87CF-28C8FF65FCE0}" name="TRACK_TYPE_BROAD_GAUGE_RAILTYPE_3RD" dataDxfId="73"/>
    <tableColumn id="31" xr3:uid="{219AB5E3-CDFF-41B3-BD58-F7427606D15F}" name="TRACK_TYPE_BROAD_GAUGE_RAILTYPE_4TH" dataDxfId="72"/>
    <tableColumn id="30" xr3:uid="{01529768-EA0D-4662-B835-74641896CE3F}" name="TRACK_TYPE_BROAD_GAUGE_RAILTYPE_DUAL" dataDxfId="71"/>
    <tableColumn id="29" xr3:uid="{32C384AB-18DB-4161-B29B-A363A2547BB2}" name="TRACK_TYPE_BROAD_GAUGE_RAILTYPE_NONE" dataDxfId="70"/>
    <tableColumn id="26" xr3:uid="{1CFC6F26-22A8-42EE-972B-0F7ED6623B5A}" name="TRACK_TYPE_MONO" dataDxfId="69"/>
    <tableColumn id="25" xr3:uid="{62939270-15C1-494E-9C53-6EA9E8209C3B}" name="TRACK_TYPE_MGLV" dataDxfId="68"/>
    <tableColumn id="24" xr3:uid="{9DA86EDA-F2AB-4C2D-918E-5260313FD8B3}" name="TRACK_TYPE_MTRO" dataDxfId="67"/>
    <tableColumn id="21" xr3:uid="{E6F11214-E912-4D1C-980D-A111C93B0BED}" name="CHECK_ANY_TT" dataDxfId="66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1" totalsRowShown="0" headerRowDxfId="65">
  <autoFilter ref="A1:D791" xr:uid="{6DCCB998-B5D1-4B0D-8701-BC0E171A94CA}"/>
  <tableColumns count="4">
    <tableColumn id="1" xr3:uid="{D2075027-38D7-4343-90E5-C24108CD2AE6}" name="VEHIDCODE" dataDxfId="64"/>
    <tableColumn id="90" xr3:uid="{D77720DE-D127-4558-8307-BE7A69A3838E}" name="REGION1" dataDxfId="63"/>
    <tableColumn id="91" xr3:uid="{92457DA1-8436-4E87-A9BF-D4D2B9B82761}" name="REGION2" dataDxfId="62"/>
    <tableColumn id="17" xr3:uid="{840511D0-8458-4E0F-8A5C-5845BECB7FBE}" name="REGION3" dataDxfId="6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1" totalsRowShown="0" headerRowDxfId="60">
  <autoFilter ref="A1:I791" xr:uid="{6DCCB998-B5D1-4B0D-8701-BC0E171A94CA}"/>
  <tableColumns count="9">
    <tableColumn id="1" xr3:uid="{BCDA7527-0C26-4CCE-A429-B20E1B0E4D5C}" name="VEHIDCODE" dataDxfId="59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1" totalsRowShown="0" headerRowDxfId="58">
  <autoFilter ref="A1:G791" xr:uid="{6DCCB998-B5D1-4B0D-8701-BC0E171A94CA}"/>
  <tableColumns count="7">
    <tableColumn id="1" xr3:uid="{327CDBB6-E1D6-4B9F-9625-C81419775134}" name="VEHIDCODE" dataDxfId="57"/>
    <tableColumn id="101" xr3:uid="{78690AEB-EA8F-4FC7-9651-C84D8F318EE9}" name="MISC_FLAGS_TRAIN_FLAG_2CC" dataDxfId="56"/>
    <tableColumn id="100" xr3:uid="{90DBB1A2-A86F-42C6-B2B8-64A2FD6690AB}" name="MISC_FLAGS_TRAIN_FLAG_MU" dataDxfId="55"/>
    <tableColumn id="99" xr3:uid="{DA6644B2-20CC-47E2-B1B5-10210B43738A}" name="MISC_FLAGS_TRAIN_FLAG_AUTOREFIT" dataDxfId="54"/>
    <tableColumn id="108" xr3:uid="{980A5687-92C0-42A0-811D-C3D4EA0876D1}" name="VISUAL_EFFECT_1" dataDxfId="5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1" totalsRowShown="0" headerRowDxfId="129">
  <autoFilter ref="A1:D791" xr:uid="{6DCCB998-B5D1-4B0D-8701-BC0E171A94CA}">
    <filterColumn colId="0">
      <filters>
        <filter val="mtro_France_Paris_M2_840"/>
        <filter val="steam_Angola_South_West_African_2_8_0"/>
        <filter val="steam_Argentina_FCNEA_11B_2_8_0"/>
        <filter val="steam_South_Africa_Katanga_Mikado_2_8_2"/>
        <filter val="steam_South_Africa_SAR_GMA_4_8_2_2_8_4"/>
        <filter val="steam_USA_2_8_0_Consolidation"/>
      </filters>
    </filterColumn>
  </autoFilter>
  <tableColumns count="4">
    <tableColumn id="1" xr3:uid="{0B6094CF-6CA6-410A-A041-C85FACC0820E}" name="VEHIDCODE" dataDxfId="128"/>
    <tableColumn id="7" xr3:uid="{3D8CAD9A-C0D1-459B-8D7C-DFC931F5B279}" name="PANTOGRAPH_POSITION" dataDxfId="127"/>
    <tableColumn id="6" xr3:uid="{E0637D36-B3FC-4486-87F9-603EB2076188}" name="TEMPLATE_ID" dataDxfId="126"/>
    <tableColumn id="9" xr3:uid="{FEF2BF9C-74F1-405C-9871-E4301805E364}" name="TEMPLATE_AMENDMENT_CODE" dataDxfId="12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91" totalsRowShown="0" headerRowDxfId="51" dataDxfId="49" headerRowBorderDxfId="50" tableBorderDxfId="48" totalsRowBorderDxfId="47">
  <autoFilter ref="A1:B791" xr:uid="{68911387-C76E-41BC-B2D1-617970CD0968}"/>
  <tableColumns count="2">
    <tableColumn id="1" xr3:uid="{59531D9A-5B2E-4EEB-90AB-1B626319D82E}" name="VEHIDCODE" dataDxfId="46"/>
    <tableColumn id="2" xr3:uid="{B4CE8568-C653-45AC-9712-6719D442617D}" name="English_Name" dataDxfId="4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44" headerRowBorderDxfId="43" tableBorderDxfId="4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1" headerRowBorderDxfId="40" tableBorderDxfId="3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8" dataDxfId="37" tableBorderDxfId="36">
  <autoFilter ref="A1:A17" xr:uid="{0B243503-43AD-403A-90CE-B69D05B25C30}"/>
  <tableColumns count="1">
    <tableColumn id="1" xr3:uid="{3709FB1B-DE08-4A3E-8CA6-F5322D2A3261}" name="VALID_REGIONS" dataDxfId="3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2" totalsRowShown="0" dataDxfId="11" headerRowBorderDxfId="14" tableBorderDxfId="15" totalsRowBorderDxfId="13">
  <autoFilter ref="K1:K22" xr:uid="{686D0694-AFBC-4B91-A3D3-72E1CCF00B7D}"/>
  <tableColumns count="1">
    <tableColumn id="1" xr3:uid="{7F0999BD-E0C9-463F-A054-2DA49D41A9EE}" name="VEHID_ID_CATEGORY" dataDxfId="1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4"/>
    <tableColumn id="4" xr3:uid="{3DDC8685-BA3D-40E8-A910-1E59013A762D}" name="Range End" dataDxfId="3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2" dataDxfId="31">
  <autoFilter ref="A1:N16" xr:uid="{863AE95D-BE34-47D8-B01B-1170BF25FDF2}"/>
  <tableColumns count="14">
    <tableColumn id="1" xr3:uid="{5F487593-655E-41B5-B155-86F88B53946D}" name="COST_CAT" dataDxfId="30"/>
    <tableColumn id="2" xr3:uid="{33F9C454-EDB2-4DA7-BF7A-64CBC12EBC9B}" name="P1" dataDxfId="29"/>
    <tableColumn id="3" xr3:uid="{25FB11D0-082D-4DE3-9821-1367939D8742}" name="P2" dataDxfId="28"/>
    <tableColumn id="4" xr3:uid="{19CDF402-C641-4217-A953-2A851DF85ADB}" name="P3" dataDxfId="27"/>
    <tableColumn id="5" xr3:uid="{1EF59E2C-32FF-4712-AD89-CBF77E507832}" name="P4" dataDxfId="26"/>
    <tableColumn id="6" xr3:uid="{04250F90-183D-4392-BE27-C420F795E1DC}" name="P5" dataDxfId="25"/>
    <tableColumn id="7" xr3:uid="{F7062C4F-5B57-4110-A21E-BDC8820130D9}" name="P6" dataDxfId="24"/>
    <tableColumn id="8" xr3:uid="{B47621AA-9D6F-4396-B3D9-BD8CF656F30E}" name="P7" dataDxfId="23"/>
    <tableColumn id="9" xr3:uid="{7055539E-C4C8-407D-91F5-6CB021EDE84F}" name="R1" dataDxfId="22"/>
    <tableColumn id="10" xr3:uid="{D17981EB-EB8A-4630-958C-3792D72CD53F}" name="R2" dataDxfId="21"/>
    <tableColumn id="11" xr3:uid="{85EDD15A-812B-4C42-B03A-D558B807622E}" name="R3" dataDxfId="20"/>
    <tableColumn id="12" xr3:uid="{61A73E38-33EC-41D1-B899-56F15EDBDD59}" name="R4" dataDxfId="19"/>
    <tableColumn id="13" xr3:uid="{7A83ADCF-C18F-402F-81A8-0F935E928ED9}" name="R5" dataDxfId="18"/>
    <tableColumn id="14" xr3:uid="{1140F6C7-9C3D-4800-9F3B-DC6E6EBE9541}" name="R6" dataDxfId="1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comments" Target="../comments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91"/>
  <sheetViews>
    <sheetView tabSelected="1" topLeftCell="A764" workbookViewId="0">
      <selection activeCell="A791" sqref="A79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6" width="23.61328125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1076</v>
      </c>
      <c r="G1" s="22" t="s">
        <v>932</v>
      </c>
      <c r="H1" s="8" t="s">
        <v>692</v>
      </c>
      <c r="I1" s="8" t="s">
        <v>693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7" t="s">
        <v>1077</v>
      </c>
    </row>
    <row r="2" spans="1:16">
      <c r="A2" s="2" t="s">
        <v>751</v>
      </c>
      <c r="B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  <row r="790" spans="1:16">
      <c r="A790" t="s">
        <v>1881</v>
      </c>
      <c r="B790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b">
        <f>AND(CONTROL[[#This Row],[IS_WAGON_OR_COACH]]=TRUE,OR(RIGHT(CONTROL[[#This Row],[VEHIDCODE]],7)="Powered",RIGHT(CONTROL[[#This Row],[VEHIDCODE]],9)="Unpowered"))</f>
        <v>0</v>
      </c>
      <c r="G790" s="2" t="b">
        <f>OR(ISNUMBER(SEARCH("wagon_",CONTROL[[#This Row],[VEHIDCODE]])),ISNUMBER(SEARCH("coach_",CONTROL[[#This Row],[VEHIDCODE]])))</f>
        <v>0</v>
      </c>
      <c r="H790" t="str">
        <f>"item_"&amp;CONTROL[[#This Row],[VEHIDCODE]]</f>
        <v>item_diesel_Gabon_Alsthom_AD30B</v>
      </c>
      <c r="I790" t="str">
        <f>"str_"&amp;CONTROL[[#This Row],[VEHIDCODE]]</f>
        <v>str_diesel_Gabon_Alsthom_AD30B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t="b">
        <f>ISNUMBER(_xlfn.XMATCH(CONTROL[[#This Row],[VEHIDCODE]],ENGLISH_ITEMS[VEHIDCODE],0))</f>
        <v>1</v>
      </c>
    </row>
    <row r="791" spans="1:16">
      <c r="A791" t="s">
        <v>1884</v>
      </c>
      <c r="B791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s="30" t="b">
        <f>AND(CONTROL[[#This Row],[IS_WAGON_OR_COACH]]=TRUE,OR(RIGHT(CONTROL[[#This Row],[VEHIDCODE]],7)="Powered",RIGHT(CONTROL[[#This Row],[VEHIDCODE]],9)="Unpowered"))</f>
        <v>0</v>
      </c>
      <c r="G791" s="2" t="b">
        <f>OR(ISNUMBER(SEARCH("wagon_",CONTROL[[#This Row],[VEHIDCODE]])),ISNUMBER(SEARCH("coach_",CONTROL[[#This Row],[VEHIDCODE]])))</f>
        <v>0</v>
      </c>
      <c r="H791" s="30" t="str">
        <f>"item_"&amp;CONTROL[[#This Row],[VEHIDCODE]]</f>
        <v>item_steam_South_Africa_Katanga_Mikado_2_8_2</v>
      </c>
      <c r="I791" s="30" t="str">
        <f>"str_"&amp;CONTROL[[#This Row],[VEHIDCODE]]</f>
        <v>str_steam_South_Africa_Katanga_Mikado_2_8_2</v>
      </c>
      <c r="J791" s="30" t="b">
        <f>ISNUMBER(_xlfn.XMATCH(CONTROL[[#This Row],[VEHIDCODE]],TRACK_TYPES[VEHIDCODE],0))</f>
        <v>1</v>
      </c>
      <c r="K791" s="30" t="b">
        <f>ISNUMBER(_xlfn.XMATCH(CONTROL[[#This Row],[VEHIDCODE]],REGIONS[VEHIDCODE],0))</f>
        <v>1</v>
      </c>
      <c r="L791" s="30" t="b">
        <f>ISNUMBER(_xlfn.XMATCH(CONTROL[[#This Row],[VEHIDCODE]],PROPERTIES[VEHIDCODE],0))</f>
        <v>1</v>
      </c>
      <c r="M791" s="30" t="b">
        <f>ISNUMBER(_xlfn.XMATCH(CONTROL[[#This Row],[VEHIDCODE]],CONSTANTS[VEHIDCODE],0))</f>
        <v>1</v>
      </c>
      <c r="N791" s="30" t="b">
        <f>ISNUMBER(_xlfn.XMATCH(CONTROL[[#This Row],[VEHIDCODE]],FLAGS[VEHIDCODE],0))</f>
        <v>1</v>
      </c>
      <c r="O791" s="30" t="b">
        <f>ISNUMBER(_xlfn.XMATCH(CONTROL[[#This Row],[VEHIDCODE]],GRAPHICS_PROPERTIES[VEHIDCODE],0))</f>
        <v>1</v>
      </c>
      <c r="P791" s="30" t="b">
        <f>ISNUMBER(_xlfn.XMATCH(CONTROL[[#This Row],[VEHIDCODE]],ENGLISH_ITEMS[VEHIDCODE],0))</f>
        <v>1</v>
      </c>
    </row>
  </sheetData>
  <conditionalFormatting sqref="G1:G791">
    <cfRule type="containsText" dxfId="8" priority="4" operator="containsText" text="FALSE">
      <formula>NOT(ISERROR(SEARCH("FALSE",G1)))</formula>
    </cfRule>
  </conditionalFormatting>
  <conditionalFormatting sqref="J1:O1048576">
    <cfRule type="cellIs" dxfId="7" priority="2" operator="equal">
      <formula>FALSE</formula>
    </cfRule>
  </conditionalFormatting>
  <conditionalFormatting sqref="P2">
    <cfRule type="cellIs" dxfId="6" priority="1" operator="equal">
      <formula>FALSE</formula>
    </cfRule>
  </conditionalFormatting>
  <dataValidations count="1">
    <dataValidation type="list" allowBlank="1" showInputMessage="1" showErrorMessage="1" sqref="D2:D79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R7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4" width="15.84375" bestFit="1" customWidth="1"/>
    <col min="5" max="5" width="17.4609375" bestFit="1" customWidth="1"/>
    <col min="6" max="6" width="16.84375" bestFit="1" customWidth="1"/>
    <col min="7" max="8" width="9.84375" bestFit="1" customWidth="1"/>
    <col min="9" max="9" width="11.3046875" bestFit="1" customWidth="1"/>
    <col min="10" max="10" width="16.23046875" bestFit="1" customWidth="1"/>
    <col min="11" max="11" width="22.4609375" bestFit="1" customWidth="1"/>
    <col min="12" max="12" width="21.921875" bestFit="1" customWidth="1"/>
    <col min="13" max="13" width="12" bestFit="1" customWidth="1"/>
    <col min="14" max="14" width="9.3046875" bestFit="1" customWidth="1"/>
    <col min="15" max="15" width="8.4609375" bestFit="1" customWidth="1"/>
    <col min="16" max="16" width="17" bestFit="1" customWidth="1"/>
    <col min="17" max="17" width="14.4609375" style="2" bestFit="1" customWidth="1"/>
    <col min="18" max="18" width="11.84375" bestFit="1" customWidth="1"/>
    <col min="19" max="19" width="11.84375" customWidth="1"/>
    <col min="20" max="20" width="11.84375" style="2" bestFit="1" customWidth="1"/>
    <col min="21" max="21" width="23" bestFit="1" customWidth="1"/>
    <col min="22" max="22" width="36.53515625" bestFit="1" customWidth="1"/>
    <col min="23" max="23" width="35.4609375" bestFit="1" customWidth="1"/>
    <col min="24" max="24" width="15.61328125" bestFit="1" customWidth="1"/>
    <col min="28" max="28" width="34.4609375" bestFit="1" customWidth="1"/>
    <col min="29" max="29" width="33.3828125" bestFit="1" customWidth="1"/>
    <col min="30" max="30" width="15.61328125" bestFit="1" customWidth="1"/>
    <col min="32" max="32" width="17.84375" bestFit="1" customWidth="1"/>
    <col min="33" max="33" width="12" bestFit="1" customWidth="1"/>
    <col min="34" max="34" width="12.3828125" bestFit="1" customWidth="1"/>
    <col min="35" max="35" width="14.765625" bestFit="1" customWidth="1"/>
    <col min="39" max="40" width="18.23046875" bestFit="1" customWidth="1"/>
    <col min="41" max="41" width="22.3046875" bestFit="1" customWidth="1"/>
    <col min="42" max="42" width="19.15234375" style="10" bestFit="1" customWidth="1"/>
    <col min="43" max="43" width="17.4609375" style="11" bestFit="1" customWidth="1"/>
    <col min="44" max="44" width="10" style="12" bestFit="1" customWidth="1"/>
    <col min="45" max="45" width="24" bestFit="1" customWidth="1"/>
    <col min="46" max="46" width="23.69140625" bestFit="1" customWidth="1"/>
    <col min="47" max="47" width="26.69140625" bestFit="1" customWidth="1"/>
    <col min="48" max="48" width="26.921875" bestFit="1" customWidth="1"/>
    <col min="49" max="49" width="19" bestFit="1" customWidth="1"/>
    <col min="50" max="50" width="25.15234375" bestFit="1" customWidth="1"/>
    <col min="51" max="51" width="20.61328125" bestFit="1" customWidth="1"/>
    <col min="52" max="52" width="11.15234375" customWidth="1"/>
    <col min="53" max="54" width="21.3828125" customWidth="1"/>
    <col min="55" max="55" width="20.921875" bestFit="1" customWidth="1"/>
    <col min="56" max="56" width="18.921875" bestFit="1" customWidth="1"/>
    <col min="58" max="60" width="11.15234375" customWidth="1"/>
    <col min="61" max="61" width="11.53515625" bestFit="1" customWidth="1"/>
  </cols>
  <sheetData>
    <row r="1" spans="1:44" s="1" customFormat="1" ht="44.15" customHeight="1">
      <c r="A1" s="1" t="s">
        <v>0</v>
      </c>
      <c r="B1" s="1" t="s">
        <v>6</v>
      </c>
      <c r="C1" s="1" t="s">
        <v>3</v>
      </c>
      <c r="D1" s="1" t="s">
        <v>4</v>
      </c>
      <c r="E1" s="1" t="s">
        <v>2</v>
      </c>
      <c r="F1" s="1" t="s">
        <v>5</v>
      </c>
      <c r="G1" s="9" t="s">
        <v>17</v>
      </c>
      <c r="H1" s="1" t="s">
        <v>7</v>
      </c>
      <c r="I1" s="1" t="s">
        <v>1</v>
      </c>
      <c r="J1" s="3" t="s">
        <v>8</v>
      </c>
      <c r="K1" s="21" t="s">
        <v>1065</v>
      </c>
      <c r="L1" s="1" t="s">
        <v>9</v>
      </c>
      <c r="M1" s="1" t="s">
        <v>10</v>
      </c>
      <c r="N1" s="1" t="s">
        <v>11</v>
      </c>
      <c r="O1" s="1" t="s">
        <v>12</v>
      </c>
      <c r="P1" s="3" t="s">
        <v>13</v>
      </c>
      <c r="Q1" s="5" t="s">
        <v>14</v>
      </c>
      <c r="R1" s="9" t="s">
        <v>15</v>
      </c>
      <c r="S1" s="9" t="s">
        <v>16</v>
      </c>
      <c r="T1" s="9" t="s">
        <v>1069</v>
      </c>
      <c r="U1" t="s">
        <v>701</v>
      </c>
      <c r="V1" s="9" t="s">
        <v>1020</v>
      </c>
      <c r="W1" s="9" t="s">
        <v>1021</v>
      </c>
      <c r="X1" s="9" t="s">
        <v>1039</v>
      </c>
    </row>
    <row r="2" spans="1:44">
      <c r="A2" s="2" t="s">
        <v>751</v>
      </c>
      <c r="B2">
        <v>2000</v>
      </c>
      <c r="C2">
        <v>0</v>
      </c>
      <c r="D2" t="s">
        <v>19</v>
      </c>
      <c r="E2" t="s">
        <v>18</v>
      </c>
      <c r="F2">
        <v>1</v>
      </c>
      <c r="G2" s="10">
        <v>0</v>
      </c>
      <c r="H2">
        <v>8</v>
      </c>
      <c r="I2">
        <v>8</v>
      </c>
      <c r="J2" s="2" t="s">
        <v>20</v>
      </c>
      <c r="K2">
        <f>_xlfn.XLOOKUP("LOADINGSPEEDDEF_"&amp;PROPERTIES[[#This Row],[LOADINGSPEED]],LOADINGSPEEDDEF[TYPE],LOADINGSPEEDDEF[SPEED])</f>
        <v>0</v>
      </c>
      <c r="L2" t="s">
        <v>21</v>
      </c>
      <c r="M2">
        <v>1</v>
      </c>
      <c r="N2">
        <v>0</v>
      </c>
      <c r="O2">
        <v>0</v>
      </c>
      <c r="P2" s="2">
        <v>0.3</v>
      </c>
      <c r="Q2" s="6">
        <v>25</v>
      </c>
      <c r="R2" s="10">
        <v>0</v>
      </c>
      <c r="S2" s="10">
        <v>0</v>
      </c>
      <c r="T2" s="10"/>
      <c r="U2" t="str">
        <f>"RUNNING_COST_"&amp;IF(PROPERTIES[[#This Row],[ENGINE_CLASS]]="MAGLEV","ELECTRIC",PROPERTIES[[#This Row],[ENGINE_CLASS]])</f>
        <v>RUNNING_COST_ELECTRIC</v>
      </c>
      <c r="V2" s="10" t="s">
        <v>990</v>
      </c>
      <c r="W2" s="10" t="s">
        <v>991</v>
      </c>
      <c r="X2" t="str">
        <f>SUBSTITUTE(SUBSTITUTE(PROPERTIES[[#This Row],[PURCHASECOST_VALUE]], "PURCHASECOST_", ""), "_VALUE", "")</f>
        <v>MAGLEVMU</v>
      </c>
      <c r="AP2"/>
      <c r="AQ2"/>
      <c r="AR2"/>
    </row>
    <row r="3" spans="1:44">
      <c r="A3" s="2" t="s">
        <v>752</v>
      </c>
      <c r="B3">
        <v>2000</v>
      </c>
      <c r="C3">
        <v>0</v>
      </c>
      <c r="D3" t="s">
        <v>19</v>
      </c>
      <c r="E3" t="s">
        <v>18</v>
      </c>
      <c r="F3">
        <v>1</v>
      </c>
      <c r="G3" s="10">
        <v>0</v>
      </c>
      <c r="H3">
        <v>8</v>
      </c>
      <c r="I3">
        <v>8</v>
      </c>
      <c r="J3" s="2" t="s">
        <v>20</v>
      </c>
      <c r="K3">
        <f>_xlfn.XLOOKUP("LOADINGSPEEDDEF_"&amp;PROPERTIES[[#This Row],[LOADINGSPEED]],LOADINGSPEEDDEF[TYPE],LOADINGSPEEDDEF[SPEED])</f>
        <v>0</v>
      </c>
      <c r="L3" t="s">
        <v>21</v>
      </c>
      <c r="M3">
        <v>1</v>
      </c>
      <c r="N3">
        <v>0</v>
      </c>
      <c r="O3">
        <v>0</v>
      </c>
      <c r="P3" s="2">
        <v>0.3</v>
      </c>
      <c r="Q3" s="6">
        <v>25</v>
      </c>
      <c r="R3" s="10">
        <v>0</v>
      </c>
      <c r="S3" s="10">
        <v>0</v>
      </c>
      <c r="T3" s="10"/>
      <c r="U3" t="str">
        <f>"RUNNING_COST_"&amp;IF(PROPERTIES[[#This Row],[ENGINE_CLASS]]="MAGLEV","ELECTRIC",PROPERTIES[[#This Row],[ENGINE_CLASS]])</f>
        <v>RUNNING_COST_ELECTRIC</v>
      </c>
      <c r="V3" s="10" t="s">
        <v>990</v>
      </c>
      <c r="W3" s="10" t="s">
        <v>991</v>
      </c>
      <c r="X3" s="10" t="str">
        <f>SUBSTITUTE(SUBSTITUTE(PROPERTIES[[#This Row],[PURCHASECOST_VALUE]], "PURCHASECOST_", ""), "_VALUE", "")</f>
        <v>MAGLEVMU</v>
      </c>
      <c r="AP3"/>
      <c r="AQ3"/>
      <c r="AR3"/>
    </row>
    <row r="4" spans="1:44">
      <c r="A4" s="2" t="s">
        <v>22</v>
      </c>
      <c r="B4">
        <v>1903</v>
      </c>
      <c r="C4">
        <v>0</v>
      </c>
      <c r="D4" t="s">
        <v>23</v>
      </c>
      <c r="E4" t="s">
        <v>18</v>
      </c>
      <c r="F4">
        <v>22</v>
      </c>
      <c r="G4" s="10">
        <v>8</v>
      </c>
      <c r="H4">
        <v>5</v>
      </c>
      <c r="I4">
        <v>5</v>
      </c>
      <c r="J4" s="2" t="s">
        <v>24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>
        <v>39</v>
      </c>
      <c r="O4">
        <v>35</v>
      </c>
      <c r="P4" s="2">
        <v>0.18</v>
      </c>
      <c r="Q4" s="6">
        <v>15</v>
      </c>
      <c r="R4" s="10">
        <v>0</v>
      </c>
      <c r="S4" s="10">
        <v>0</v>
      </c>
      <c r="T4" s="10"/>
      <c r="U4" t="str">
        <f>"RUNNING_COST_"&amp;IF(PROPERTIES[[#This Row],[ENGINE_CLASS]]="MAGLEV","ELECTRIC",PROPERTIES[[#This Row],[ENGINE_CLASS]])</f>
        <v>RUNNING_COST_STEAM</v>
      </c>
      <c r="V4" s="10" t="s">
        <v>992</v>
      </c>
      <c r="W4" s="10" t="s">
        <v>993</v>
      </c>
      <c r="X4" s="10" t="str">
        <f>SUBSTITUTE(SUBSTITUTE(PROPERTIES[[#This Row],[PURCHASECOST_VALUE]], "PURCHASECOST_", ""), "_VALUE", "")</f>
        <v>STEAMRAILBUS</v>
      </c>
      <c r="AP4"/>
      <c r="AQ4"/>
      <c r="AR4"/>
    </row>
    <row r="5" spans="1:44">
      <c r="A5" s="2" t="s">
        <v>25</v>
      </c>
      <c r="B5">
        <v>1906</v>
      </c>
      <c r="C5">
        <v>0</v>
      </c>
      <c r="D5" t="s">
        <v>23</v>
      </c>
      <c r="E5" t="s">
        <v>18</v>
      </c>
      <c r="F5">
        <v>86</v>
      </c>
      <c r="G5" s="10">
        <v>47</v>
      </c>
      <c r="H5">
        <v>8</v>
      </c>
      <c r="I5">
        <v>8</v>
      </c>
      <c r="J5" s="2" t="s">
        <v>24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>
        <v>132</v>
      </c>
      <c r="O5">
        <v>60</v>
      </c>
      <c r="P5" s="2">
        <v>0.08</v>
      </c>
      <c r="Q5" s="6">
        <v>15</v>
      </c>
      <c r="R5" s="10">
        <v>0</v>
      </c>
      <c r="S5" s="10">
        <v>0</v>
      </c>
      <c r="T5" s="10"/>
      <c r="U5" t="str">
        <f>"RUNNING_COST_"&amp;IF(PROPERTIES[[#This Row],[ENGINE_CLASS]]="MAGLEV","ELECTRIC",PROPERTIES[[#This Row],[ENGINE_CLASS]])</f>
        <v>RUNNING_COST_STEAM</v>
      </c>
      <c r="V5" s="10" t="s">
        <v>992</v>
      </c>
      <c r="W5" s="10" t="s">
        <v>993</v>
      </c>
      <c r="X5" s="10" t="str">
        <f>SUBSTITUTE(SUBSTITUTE(PROPERTIES[[#This Row],[PURCHASECOST_VALUE]], "PURCHASECOST_", ""), "_VALUE", "")</f>
        <v>STEAMRAILBUS</v>
      </c>
      <c r="AP5"/>
      <c r="AQ5"/>
      <c r="AR5"/>
    </row>
    <row r="6" spans="1:44">
      <c r="A6" s="2" t="s">
        <v>26</v>
      </c>
      <c r="B6">
        <v>1883</v>
      </c>
      <c r="C6">
        <v>0</v>
      </c>
      <c r="D6" t="s">
        <v>23</v>
      </c>
      <c r="E6" t="s">
        <v>18</v>
      </c>
      <c r="F6">
        <v>42</v>
      </c>
      <c r="G6" s="10">
        <v>15</v>
      </c>
      <c r="H6">
        <v>6</v>
      </c>
      <c r="I6">
        <v>6</v>
      </c>
      <c r="J6" s="2" t="s">
        <v>24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>
        <v>40</v>
      </c>
      <c r="O6">
        <v>48</v>
      </c>
      <c r="P6" s="2">
        <v>0.34</v>
      </c>
      <c r="Q6" s="6">
        <v>15</v>
      </c>
      <c r="R6" s="10">
        <v>0</v>
      </c>
      <c r="S6" s="10">
        <v>0</v>
      </c>
      <c r="T6" s="10"/>
      <c r="U6" t="str">
        <f>"RUNNING_COST_"&amp;IF(PROPERTIES[[#This Row],[ENGINE_CLASS]]="MAGLEV","ELECTRIC",PROPERTIES[[#This Row],[ENGINE_CLASS]])</f>
        <v>RUNNING_COST_STEAM</v>
      </c>
      <c r="V6" s="10" t="s">
        <v>992</v>
      </c>
      <c r="W6" s="10" t="s">
        <v>993</v>
      </c>
      <c r="X6" s="10" t="str">
        <f>SUBSTITUTE(SUBSTITUTE(PROPERTIES[[#This Row],[PURCHASECOST_VALUE]], "PURCHASECOST_", ""), "_VALUE", "")</f>
        <v>STEAMRAILBUS</v>
      </c>
      <c r="AP6"/>
      <c r="AQ6"/>
      <c r="AR6"/>
    </row>
    <row r="7" spans="1:44">
      <c r="A7" s="2" t="s">
        <v>27</v>
      </c>
      <c r="B7">
        <v>1902</v>
      </c>
      <c r="C7">
        <v>0</v>
      </c>
      <c r="D7" t="s">
        <v>23</v>
      </c>
      <c r="E7" t="s">
        <v>18</v>
      </c>
      <c r="F7">
        <v>30</v>
      </c>
      <c r="G7" s="10">
        <v>21</v>
      </c>
      <c r="H7">
        <v>5</v>
      </c>
      <c r="I7">
        <v>5</v>
      </c>
      <c r="J7" s="2" t="s">
        <v>24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>
        <v>99</v>
      </c>
      <c r="O7">
        <v>45</v>
      </c>
      <c r="P7" s="2">
        <v>0.34</v>
      </c>
      <c r="Q7" s="6">
        <v>15</v>
      </c>
      <c r="R7" s="10">
        <v>0</v>
      </c>
      <c r="S7" s="10">
        <v>0</v>
      </c>
      <c r="T7" s="10"/>
      <c r="U7" t="str">
        <f>"RUNNING_COST_"&amp;IF(PROPERTIES[[#This Row],[ENGINE_CLASS]]="MAGLEV","ELECTRIC",PROPERTIES[[#This Row],[ENGINE_CLASS]])</f>
        <v>RUNNING_COST_STEAM</v>
      </c>
      <c r="V7" s="10" t="s">
        <v>992</v>
      </c>
      <c r="W7" s="10" t="s">
        <v>993</v>
      </c>
      <c r="X7" s="10" t="str">
        <f>SUBSTITUTE(SUBSTITUTE(PROPERTIES[[#This Row],[PURCHASECOST_VALUE]], "PURCHASECOST_", ""), "_VALUE", "")</f>
        <v>STEAMRAILBUS</v>
      </c>
      <c r="AP7"/>
      <c r="AQ7"/>
      <c r="AR7"/>
    </row>
    <row r="8" spans="1:44">
      <c r="A8" s="2" t="s">
        <v>28</v>
      </c>
      <c r="B8">
        <v>1906</v>
      </c>
      <c r="C8">
        <v>0</v>
      </c>
      <c r="D8" t="s">
        <v>23</v>
      </c>
      <c r="E8" t="s">
        <v>18</v>
      </c>
      <c r="F8">
        <v>52</v>
      </c>
      <c r="G8" s="10">
        <v>32</v>
      </c>
      <c r="H8">
        <v>8</v>
      </c>
      <c r="I8">
        <v>8</v>
      </c>
      <c r="J8" s="2" t="s">
        <v>24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>
        <v>195</v>
      </c>
      <c r="O8">
        <v>50</v>
      </c>
      <c r="P8" s="2">
        <v>0.34</v>
      </c>
      <c r="Q8" s="6">
        <v>15</v>
      </c>
      <c r="R8" s="10">
        <v>0</v>
      </c>
      <c r="S8" s="10">
        <v>0</v>
      </c>
      <c r="T8" s="10"/>
      <c r="U8" t="str">
        <f>"RUNNING_COST_"&amp;IF(PROPERTIES[[#This Row],[ENGINE_CLASS]]="MAGLEV","ELECTRIC",PROPERTIES[[#This Row],[ENGINE_CLASS]])</f>
        <v>RUNNING_COST_STEAM</v>
      </c>
      <c r="V8" s="10" t="s">
        <v>992</v>
      </c>
      <c r="W8" s="10" t="s">
        <v>993</v>
      </c>
      <c r="X8" s="10" t="str">
        <f>SUBSTITUTE(SUBSTITUTE(PROPERTIES[[#This Row],[PURCHASECOST_VALUE]], "PURCHASECOST_", ""), "_VALUE", "")</f>
        <v>STEAMRAILBUS</v>
      </c>
      <c r="AP8"/>
      <c r="AQ8"/>
      <c r="AR8"/>
    </row>
    <row r="9" spans="1:44">
      <c r="A9" s="2" t="s">
        <v>29</v>
      </c>
      <c r="B9">
        <v>1906</v>
      </c>
      <c r="C9">
        <v>0</v>
      </c>
      <c r="D9" t="s">
        <v>23</v>
      </c>
      <c r="E9" t="s">
        <v>18</v>
      </c>
      <c r="F9">
        <v>50</v>
      </c>
      <c r="G9" s="10">
        <v>35</v>
      </c>
      <c r="H9">
        <v>8</v>
      </c>
      <c r="I9">
        <v>4</v>
      </c>
      <c r="J9" s="2" t="s">
        <v>24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>
        <v>86</v>
      </c>
      <c r="O9">
        <v>60</v>
      </c>
      <c r="P9" s="2">
        <v>0.33</v>
      </c>
      <c r="Q9" s="6">
        <v>15</v>
      </c>
      <c r="R9" s="10">
        <v>0</v>
      </c>
      <c r="S9" s="10">
        <v>2</v>
      </c>
      <c r="T9" s="10"/>
      <c r="U9" t="str">
        <f>"RUNNING_COST_"&amp;IF(PROPERTIES[[#This Row],[ENGINE_CLASS]]="MAGLEV","ELECTRIC",PROPERTIES[[#This Row],[ENGINE_CLASS]])</f>
        <v>RUNNING_COST_STEAM</v>
      </c>
      <c r="V9" s="10" t="s">
        <v>992</v>
      </c>
      <c r="W9" s="10" t="s">
        <v>993</v>
      </c>
      <c r="X9" s="10" t="str">
        <f>SUBSTITUTE(SUBSTITUTE(PROPERTIES[[#This Row],[PURCHASECOST_VALUE]], "PURCHASECOST_", ""), "_VALUE", "")</f>
        <v>STEAMRAILBUS</v>
      </c>
      <c r="AP9"/>
      <c r="AQ9"/>
      <c r="AR9"/>
    </row>
    <row r="10" spans="1:44">
      <c r="A10" s="2" t="s">
        <v>30</v>
      </c>
      <c r="B10">
        <v>1912</v>
      </c>
      <c r="C10">
        <v>0</v>
      </c>
      <c r="D10" t="s">
        <v>23</v>
      </c>
      <c r="E10" t="s">
        <v>18</v>
      </c>
      <c r="F10">
        <v>32</v>
      </c>
      <c r="G10" s="10">
        <v>42</v>
      </c>
      <c r="H10">
        <v>6</v>
      </c>
      <c r="I10">
        <v>6</v>
      </c>
      <c r="J10" s="2" t="s">
        <v>24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>
        <v>91</v>
      </c>
      <c r="O10">
        <v>55</v>
      </c>
      <c r="P10" s="2">
        <v>0.34</v>
      </c>
      <c r="Q10" s="6">
        <v>15</v>
      </c>
      <c r="R10" s="10">
        <v>0</v>
      </c>
      <c r="S10" s="10">
        <v>0</v>
      </c>
      <c r="T10" s="10"/>
      <c r="U10" t="str">
        <f>"RUNNING_COST_"&amp;IF(PROPERTIES[[#This Row],[ENGINE_CLASS]]="MAGLEV","ELECTRIC",PROPERTIES[[#This Row],[ENGINE_CLASS]])</f>
        <v>RUNNING_COST_STEAM</v>
      </c>
      <c r="V10" s="10" t="s">
        <v>992</v>
      </c>
      <c r="W10" s="10" t="s">
        <v>993</v>
      </c>
      <c r="X10" s="10" t="str">
        <f>SUBSTITUTE(SUBSTITUTE(PROPERTIES[[#This Row],[PURCHASECOST_VALUE]], "PURCHASECOST_", ""), "_VALUE", "")</f>
        <v>STEAMRAILBUS</v>
      </c>
      <c r="AP10"/>
      <c r="AQ10"/>
      <c r="AR10"/>
    </row>
    <row r="11" spans="1:44">
      <c r="A11" s="2" t="s">
        <v>31</v>
      </c>
      <c r="B11">
        <v>1880</v>
      </c>
      <c r="C11">
        <v>0</v>
      </c>
      <c r="D11" t="s">
        <v>23</v>
      </c>
      <c r="E11" t="s">
        <v>32</v>
      </c>
      <c r="F11">
        <v>14</v>
      </c>
      <c r="G11" s="10">
        <v>20</v>
      </c>
      <c r="H11">
        <v>5</v>
      </c>
      <c r="I11">
        <v>5</v>
      </c>
      <c r="J11" s="2" t="s">
        <v>33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>
        <v>28</v>
      </c>
      <c r="O11">
        <v>45</v>
      </c>
      <c r="P11" s="2">
        <v>0.34</v>
      </c>
      <c r="Q11" s="6">
        <v>15</v>
      </c>
      <c r="R11" s="10">
        <v>0</v>
      </c>
      <c r="S11" s="10">
        <v>0</v>
      </c>
      <c r="T11" s="10"/>
      <c r="U11" t="str">
        <f>"RUNNING_COST_"&amp;IF(PROPERTIES[[#This Row],[ENGINE_CLASS]]="MAGLEV","ELECTRIC",PROPERTIES[[#This Row],[ENGINE_CLASS]])</f>
        <v>RUNNING_COST_STEAM</v>
      </c>
      <c r="V11" s="10" t="s">
        <v>992</v>
      </c>
      <c r="W11" s="10" t="s">
        <v>993</v>
      </c>
      <c r="X11" s="10" t="str">
        <f>SUBSTITUTE(SUBSTITUTE(PROPERTIES[[#This Row],[PURCHASECOST_VALUE]], "PURCHASECOST_", ""), "_VALUE", "")</f>
        <v>STEAMRAILBUS</v>
      </c>
      <c r="AP11"/>
      <c r="AQ11"/>
      <c r="AR11"/>
    </row>
    <row r="12" spans="1:44">
      <c r="A12" s="2" t="s">
        <v>34</v>
      </c>
      <c r="B12">
        <v>1922</v>
      </c>
      <c r="C12">
        <v>0</v>
      </c>
      <c r="D12" t="s">
        <v>35</v>
      </c>
      <c r="E12" t="s">
        <v>18</v>
      </c>
      <c r="F12">
        <v>33</v>
      </c>
      <c r="G12" s="10">
        <v>24</v>
      </c>
      <c r="H12">
        <v>5</v>
      </c>
      <c r="I12">
        <v>5</v>
      </c>
      <c r="J12" s="2" t="s">
        <v>24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>
        <v>45</v>
      </c>
      <c r="O12">
        <v>50</v>
      </c>
      <c r="P12" s="2">
        <v>0.1</v>
      </c>
      <c r="Q12" s="6">
        <v>15</v>
      </c>
      <c r="R12" s="10">
        <v>0</v>
      </c>
      <c r="S12" s="10">
        <v>0</v>
      </c>
      <c r="T12" s="10"/>
      <c r="U12" t="str">
        <f>"RUNNING_COST_"&amp;IF(PROPERTIES[[#This Row],[ENGINE_CLASS]]="MAGLEV","ELECTRIC",PROPERTIES[[#This Row],[ENGINE_CLASS]])</f>
        <v>RUNNING_COST_DIESEL</v>
      </c>
      <c r="V12" s="10" t="s">
        <v>994</v>
      </c>
      <c r="W12" s="10" t="s">
        <v>995</v>
      </c>
      <c r="X12" s="10" t="str">
        <f>SUBSTITUTE(SUBSTITUTE(PROPERTIES[[#This Row],[PURCHASECOST_VALUE]], "PURCHASECOST_", ""), "_VALUE", "")</f>
        <v>DIESELRAILBUS</v>
      </c>
      <c r="AP12"/>
      <c r="AQ12"/>
      <c r="AR12"/>
    </row>
    <row r="13" spans="1:44">
      <c r="A13" s="2" t="s">
        <v>36</v>
      </c>
      <c r="B13">
        <v>1932</v>
      </c>
      <c r="C13">
        <v>0</v>
      </c>
      <c r="D13" t="s">
        <v>35</v>
      </c>
      <c r="E13" t="s">
        <v>18</v>
      </c>
      <c r="F13">
        <v>24</v>
      </c>
      <c r="G13" s="10">
        <v>6</v>
      </c>
      <c r="H13">
        <v>6</v>
      </c>
      <c r="I13">
        <v>6</v>
      </c>
      <c r="J13" s="2" t="s">
        <v>24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>
        <v>38</v>
      </c>
      <c r="O13">
        <v>56</v>
      </c>
      <c r="P13" s="2">
        <v>0.5</v>
      </c>
      <c r="Q13" s="6">
        <v>15</v>
      </c>
      <c r="R13" s="10">
        <v>0</v>
      </c>
      <c r="S13" s="10">
        <v>0</v>
      </c>
      <c r="T13" s="10"/>
      <c r="U13" t="str">
        <f>"RUNNING_COST_"&amp;IF(PROPERTIES[[#This Row],[ENGINE_CLASS]]="MAGLEV","ELECTRIC",PROPERTIES[[#This Row],[ENGINE_CLASS]])</f>
        <v>RUNNING_COST_DIESEL</v>
      </c>
      <c r="V13" s="10" t="s">
        <v>994</v>
      </c>
      <c r="W13" s="10" t="s">
        <v>995</v>
      </c>
      <c r="X13" s="10" t="str">
        <f>SUBSTITUTE(SUBSTITUTE(PROPERTIES[[#This Row],[PURCHASECOST_VALUE]], "PURCHASECOST_", ""), "_VALUE", "")</f>
        <v>DIESELRAILBUS</v>
      </c>
      <c r="AP13"/>
      <c r="AQ13"/>
      <c r="AR13"/>
    </row>
    <row r="14" spans="1:44">
      <c r="A14" s="2" t="s">
        <v>37</v>
      </c>
      <c r="B14">
        <v>1933</v>
      </c>
      <c r="C14">
        <v>0</v>
      </c>
      <c r="D14" t="s">
        <v>35</v>
      </c>
      <c r="E14" t="s">
        <v>18</v>
      </c>
      <c r="F14">
        <v>70</v>
      </c>
      <c r="G14" s="10">
        <v>25</v>
      </c>
      <c r="H14">
        <v>6</v>
      </c>
      <c r="I14">
        <v>6</v>
      </c>
      <c r="J14" s="2" t="s">
        <v>24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>
        <v>175</v>
      </c>
      <c r="O14">
        <v>80</v>
      </c>
      <c r="P14" s="2">
        <v>0.27</v>
      </c>
      <c r="Q14" s="6">
        <v>15</v>
      </c>
      <c r="R14" s="10">
        <v>0</v>
      </c>
      <c r="S14" s="10">
        <v>0</v>
      </c>
      <c r="T14" s="10"/>
      <c r="U14" t="str">
        <f>"RUNNING_COST_"&amp;IF(PROPERTIES[[#This Row],[ENGINE_CLASS]]="MAGLEV","ELECTRIC",PROPERTIES[[#This Row],[ENGINE_CLASS]])</f>
        <v>RUNNING_COST_DIESEL</v>
      </c>
      <c r="V14" s="10" t="s">
        <v>994</v>
      </c>
      <c r="W14" s="10" t="s">
        <v>995</v>
      </c>
      <c r="X14" s="10" t="str">
        <f>SUBSTITUTE(SUBSTITUTE(PROPERTIES[[#This Row],[PURCHASECOST_VALUE]], "PURCHASECOST_", ""), "_VALUE", "")</f>
        <v>DIESELRAILBUS</v>
      </c>
      <c r="AP14"/>
      <c r="AQ14"/>
      <c r="AR14"/>
    </row>
    <row r="15" spans="1:44">
      <c r="A15" s="2" t="s">
        <v>38</v>
      </c>
      <c r="B15">
        <v>1935</v>
      </c>
      <c r="C15">
        <v>0</v>
      </c>
      <c r="D15" t="s">
        <v>35</v>
      </c>
      <c r="E15" t="s">
        <v>18</v>
      </c>
      <c r="F15">
        <v>78</v>
      </c>
      <c r="G15" s="10">
        <v>59</v>
      </c>
      <c r="H15">
        <v>8</v>
      </c>
      <c r="I15">
        <v>8</v>
      </c>
      <c r="J15" s="2" t="s">
        <v>24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>
        <v>410</v>
      </c>
      <c r="O15">
        <v>110</v>
      </c>
      <c r="P15" s="2">
        <v>0.08</v>
      </c>
      <c r="Q15" s="6">
        <v>15</v>
      </c>
      <c r="R15" s="10">
        <v>0</v>
      </c>
      <c r="S15" s="10">
        <v>0</v>
      </c>
      <c r="T15" s="10"/>
      <c r="U15" t="str">
        <f>"RUNNING_COST_"&amp;IF(PROPERTIES[[#This Row],[ENGINE_CLASS]]="MAGLEV","ELECTRIC",PROPERTIES[[#This Row],[ENGINE_CLASS]])</f>
        <v>RUNNING_COST_DIESEL</v>
      </c>
      <c r="V15" s="10" t="s">
        <v>994</v>
      </c>
      <c r="W15" s="10" t="s">
        <v>995</v>
      </c>
      <c r="X15" s="10" t="str">
        <f>SUBSTITUTE(SUBSTITUTE(PROPERTIES[[#This Row],[PURCHASECOST_VALUE]], "PURCHASECOST_", ""), "_VALUE", "")</f>
        <v>DIESELRAILBUS</v>
      </c>
      <c r="AP15"/>
      <c r="AQ15"/>
      <c r="AR15"/>
    </row>
    <row r="16" spans="1:44">
      <c r="A16" s="2" t="s">
        <v>39</v>
      </c>
      <c r="B16">
        <v>1940</v>
      </c>
      <c r="C16">
        <v>0</v>
      </c>
      <c r="D16" t="s">
        <v>35</v>
      </c>
      <c r="E16" t="s">
        <v>18</v>
      </c>
      <c r="F16">
        <v>50</v>
      </c>
      <c r="G16" s="10">
        <v>37</v>
      </c>
      <c r="H16">
        <v>8</v>
      </c>
      <c r="I16">
        <v>8</v>
      </c>
      <c r="J16" s="2" t="s">
        <v>24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>
        <v>250</v>
      </c>
      <c r="O16">
        <v>120</v>
      </c>
      <c r="P16" s="2">
        <v>0.2</v>
      </c>
      <c r="Q16" s="6">
        <v>15</v>
      </c>
      <c r="R16" s="10">
        <v>0</v>
      </c>
      <c r="S16" s="10">
        <v>0</v>
      </c>
      <c r="T16" s="10"/>
      <c r="U16" t="str">
        <f>"RUNNING_COST_"&amp;IF(PROPERTIES[[#This Row],[ENGINE_CLASS]]="MAGLEV","ELECTRIC",PROPERTIES[[#This Row],[ENGINE_CLASS]])</f>
        <v>RUNNING_COST_DIESEL</v>
      </c>
      <c r="V16" s="10" t="s">
        <v>994</v>
      </c>
      <c r="W16" s="10" t="s">
        <v>995</v>
      </c>
      <c r="X16" s="10" t="str">
        <f>SUBSTITUTE(SUBSTITUTE(PROPERTIES[[#This Row],[PURCHASECOST_VALUE]], "PURCHASECOST_", ""), "_VALUE", "")</f>
        <v>DIESELRAILBUS</v>
      </c>
      <c r="AP16"/>
      <c r="AQ16"/>
      <c r="AR16"/>
    </row>
    <row r="17" spans="1:44">
      <c r="A17" s="2" t="s">
        <v>40</v>
      </c>
      <c r="B17">
        <v>1948</v>
      </c>
      <c r="C17">
        <v>0</v>
      </c>
      <c r="D17" t="s">
        <v>35</v>
      </c>
      <c r="E17" t="s">
        <v>18</v>
      </c>
      <c r="F17">
        <v>70</v>
      </c>
      <c r="G17" s="10">
        <v>32</v>
      </c>
      <c r="H17">
        <v>8</v>
      </c>
      <c r="I17">
        <v>8</v>
      </c>
      <c r="J17" s="2" t="s">
        <v>24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>
        <v>250</v>
      </c>
      <c r="O17">
        <v>112</v>
      </c>
      <c r="P17" s="2">
        <v>0.26</v>
      </c>
      <c r="Q17" s="6">
        <v>15</v>
      </c>
      <c r="R17" s="10">
        <v>0</v>
      </c>
      <c r="S17" s="10">
        <v>0</v>
      </c>
      <c r="T17" s="10"/>
      <c r="U17" t="str">
        <f>"RUNNING_COST_"&amp;IF(PROPERTIES[[#This Row],[ENGINE_CLASS]]="MAGLEV","ELECTRIC",PROPERTIES[[#This Row],[ENGINE_CLASS]])</f>
        <v>RUNNING_COST_DIESEL</v>
      </c>
      <c r="V17" s="10" t="s">
        <v>994</v>
      </c>
      <c r="W17" s="10" t="s">
        <v>995</v>
      </c>
      <c r="X17" s="10" t="str">
        <f>SUBSTITUTE(SUBSTITUTE(PROPERTIES[[#This Row],[PURCHASECOST_VALUE]], "PURCHASECOST_", ""), "_VALUE", "")</f>
        <v>DIESELRAILBUS</v>
      </c>
      <c r="AP17"/>
      <c r="AQ17"/>
      <c r="AR17"/>
    </row>
    <row r="18" spans="1:44">
      <c r="A18" s="2" t="s">
        <v>41</v>
      </c>
      <c r="B18">
        <v>1949</v>
      </c>
      <c r="C18">
        <v>0</v>
      </c>
      <c r="D18" t="s">
        <v>35</v>
      </c>
      <c r="E18" t="s">
        <v>18</v>
      </c>
      <c r="F18">
        <v>90</v>
      </c>
      <c r="G18" s="10">
        <v>49</v>
      </c>
      <c r="H18">
        <v>8</v>
      </c>
      <c r="I18">
        <v>8</v>
      </c>
      <c r="J18" s="2" t="s">
        <v>24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>
        <v>550</v>
      </c>
      <c r="O18">
        <v>136</v>
      </c>
      <c r="P18" s="2">
        <v>0.1</v>
      </c>
      <c r="Q18" s="6">
        <v>15</v>
      </c>
      <c r="R18" s="10">
        <v>0</v>
      </c>
      <c r="S18" s="10">
        <v>0</v>
      </c>
      <c r="T18" s="10"/>
      <c r="U18" t="str">
        <f>"RUNNING_COST_"&amp;IF(PROPERTIES[[#This Row],[ENGINE_CLASS]]="MAGLEV","ELECTRIC",PROPERTIES[[#This Row],[ENGINE_CLASS]])</f>
        <v>RUNNING_COST_DIESEL</v>
      </c>
      <c r="V18" s="10" t="s">
        <v>994</v>
      </c>
      <c r="W18" s="10" t="s">
        <v>995</v>
      </c>
      <c r="X18" s="10" t="str">
        <f>SUBSTITUTE(SUBSTITUTE(PROPERTIES[[#This Row],[PURCHASECOST_VALUE]], "PURCHASECOST_", ""), "_VALUE", "")</f>
        <v>DIESELRAILBUS</v>
      </c>
      <c r="AP18"/>
      <c r="AQ18"/>
      <c r="AR18"/>
    </row>
    <row r="19" spans="1:44">
      <c r="A19" s="2" t="s">
        <v>42</v>
      </c>
      <c r="B19">
        <v>1953</v>
      </c>
      <c r="C19">
        <v>0</v>
      </c>
      <c r="D19" t="s">
        <v>35</v>
      </c>
      <c r="E19" t="s">
        <v>18</v>
      </c>
      <c r="F19">
        <v>56</v>
      </c>
      <c r="G19" s="10">
        <v>21</v>
      </c>
      <c r="H19">
        <v>6</v>
      </c>
      <c r="I19">
        <v>6</v>
      </c>
      <c r="J19" s="2" t="s">
        <v>24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>
        <v>290</v>
      </c>
      <c r="O19">
        <v>90</v>
      </c>
      <c r="P19" s="2">
        <v>0.2</v>
      </c>
      <c r="Q19" s="6">
        <v>15</v>
      </c>
      <c r="R19" s="10">
        <v>0</v>
      </c>
      <c r="S19" s="10">
        <v>0</v>
      </c>
      <c r="T19" s="10"/>
      <c r="U19" t="str">
        <f>"RUNNING_COST_"&amp;IF(PROPERTIES[[#This Row],[ENGINE_CLASS]]="MAGLEV","ELECTRIC",PROPERTIES[[#This Row],[ENGINE_CLASS]])</f>
        <v>RUNNING_COST_DIESEL</v>
      </c>
      <c r="V19" s="10" t="s">
        <v>994</v>
      </c>
      <c r="W19" s="10" t="s">
        <v>995</v>
      </c>
      <c r="X19" s="10" t="str">
        <f>SUBSTITUTE(SUBSTITUTE(PROPERTIES[[#This Row],[PURCHASECOST_VALUE]], "PURCHASECOST_", ""), "_VALUE", "")</f>
        <v>DIESELRAILBUS</v>
      </c>
      <c r="AP19"/>
      <c r="AQ19"/>
      <c r="AR19"/>
    </row>
    <row r="20" spans="1:44">
      <c r="A20" s="2" t="s">
        <v>43</v>
      </c>
      <c r="B20">
        <v>1953</v>
      </c>
      <c r="C20">
        <v>0</v>
      </c>
      <c r="D20" t="s">
        <v>35</v>
      </c>
      <c r="E20" t="s">
        <v>18</v>
      </c>
      <c r="F20">
        <v>108</v>
      </c>
      <c r="G20" s="10">
        <v>41</v>
      </c>
      <c r="H20">
        <v>8</v>
      </c>
      <c r="I20">
        <v>8</v>
      </c>
      <c r="J20" s="2" t="s">
        <v>24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>
        <v>600</v>
      </c>
      <c r="O20">
        <v>75</v>
      </c>
      <c r="P20" s="2">
        <v>0.25</v>
      </c>
      <c r="Q20" s="6">
        <v>15</v>
      </c>
      <c r="R20" s="10">
        <v>0</v>
      </c>
      <c r="S20" s="10">
        <v>0</v>
      </c>
      <c r="T20" s="10"/>
      <c r="U20" t="str">
        <f>"RUNNING_COST_"&amp;IF(PROPERTIES[[#This Row],[ENGINE_CLASS]]="MAGLEV","ELECTRIC",PROPERTIES[[#This Row],[ENGINE_CLASS]])</f>
        <v>RUNNING_COST_DIESEL</v>
      </c>
      <c r="V20" s="10" t="s">
        <v>994</v>
      </c>
      <c r="W20" s="10" t="s">
        <v>995</v>
      </c>
      <c r="X20" s="10" t="str">
        <f>SUBSTITUTE(SUBSTITUTE(PROPERTIES[[#This Row],[PURCHASECOST_VALUE]], "PURCHASECOST_", ""), "_VALUE", "")</f>
        <v>DIESELRAILBUS</v>
      </c>
      <c r="AP20"/>
      <c r="AQ20"/>
      <c r="AR20"/>
    </row>
    <row r="21" spans="1:44">
      <c r="A21" s="2" t="s">
        <v>44</v>
      </c>
      <c r="B21">
        <v>1954</v>
      </c>
      <c r="C21">
        <v>0</v>
      </c>
      <c r="D21" t="s">
        <v>35</v>
      </c>
      <c r="E21" t="s">
        <v>18</v>
      </c>
      <c r="F21">
        <v>28</v>
      </c>
      <c r="G21" s="10">
        <v>58</v>
      </c>
      <c r="H21">
        <v>8</v>
      </c>
      <c r="I21">
        <v>8</v>
      </c>
      <c r="J21" s="2" t="s">
        <v>24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>
        <v>285</v>
      </c>
      <c r="O21">
        <v>125</v>
      </c>
      <c r="P21" s="2">
        <v>0.12</v>
      </c>
      <c r="Q21" s="6">
        <v>15</v>
      </c>
      <c r="R21" s="10">
        <v>0</v>
      </c>
      <c r="S21" s="10">
        <v>0</v>
      </c>
      <c r="T21" s="10"/>
      <c r="U21" t="str">
        <f>"RUNNING_COST_"&amp;IF(PROPERTIES[[#This Row],[ENGINE_CLASS]]="MAGLEV","ELECTRIC",PROPERTIES[[#This Row],[ENGINE_CLASS]])</f>
        <v>RUNNING_COST_DIESEL</v>
      </c>
      <c r="V21" s="10" t="s">
        <v>994</v>
      </c>
      <c r="W21" s="10" t="s">
        <v>995</v>
      </c>
      <c r="X21" s="10" t="str">
        <f>SUBSTITUTE(SUBSTITUTE(PROPERTIES[[#This Row],[PURCHASECOST_VALUE]], "PURCHASECOST_", ""), "_VALUE", "")</f>
        <v>DIESELRAILBUS</v>
      </c>
      <c r="AP21"/>
      <c r="AQ21"/>
      <c r="AR21"/>
    </row>
    <row r="22" spans="1:44">
      <c r="A22" s="2" t="s">
        <v>45</v>
      </c>
      <c r="B22">
        <v>1984</v>
      </c>
      <c r="C22">
        <v>0</v>
      </c>
      <c r="D22" t="s">
        <v>35</v>
      </c>
      <c r="E22" t="s">
        <v>18</v>
      </c>
      <c r="F22">
        <v>56</v>
      </c>
      <c r="G22" s="10">
        <v>37</v>
      </c>
      <c r="H22">
        <v>8</v>
      </c>
      <c r="I22">
        <v>8</v>
      </c>
      <c r="J22" s="2" t="s">
        <v>24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>
        <v>285</v>
      </c>
      <c r="O22">
        <v>100</v>
      </c>
      <c r="P22" s="2">
        <v>0.23</v>
      </c>
      <c r="Q22" s="6">
        <v>15</v>
      </c>
      <c r="R22" s="10">
        <v>0</v>
      </c>
      <c r="S22" s="10">
        <v>0</v>
      </c>
      <c r="T22" s="10"/>
      <c r="U22" t="str">
        <f>"RUNNING_COST_"&amp;IF(PROPERTIES[[#This Row],[ENGINE_CLASS]]="MAGLEV","ELECTRIC",PROPERTIES[[#This Row],[ENGINE_CLASS]])</f>
        <v>RUNNING_COST_DIESEL</v>
      </c>
      <c r="V22" s="10" t="s">
        <v>994</v>
      </c>
      <c r="W22" s="10" t="s">
        <v>995</v>
      </c>
      <c r="X22" s="10" t="str">
        <f>SUBSTITUTE(SUBSTITUTE(PROPERTIES[[#This Row],[PURCHASECOST_VALUE]], "PURCHASECOST_", ""), "_VALUE", "")</f>
        <v>DIESELRAILBUS</v>
      </c>
      <c r="AP22"/>
      <c r="AQ22"/>
      <c r="AR22"/>
    </row>
    <row r="23" spans="1:44">
      <c r="A23" s="2" t="s">
        <v>46</v>
      </c>
      <c r="B23">
        <v>1987</v>
      </c>
      <c r="C23">
        <v>0</v>
      </c>
      <c r="D23" t="s">
        <v>35</v>
      </c>
      <c r="E23" t="s">
        <v>18</v>
      </c>
      <c r="F23">
        <v>62</v>
      </c>
      <c r="G23" s="10">
        <v>44</v>
      </c>
      <c r="H23">
        <v>8</v>
      </c>
      <c r="I23">
        <v>8</v>
      </c>
      <c r="J23" s="2" t="s">
        <v>24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>
        <v>562</v>
      </c>
      <c r="O23">
        <v>120</v>
      </c>
      <c r="P23" s="2">
        <v>0.11</v>
      </c>
      <c r="Q23" s="6">
        <v>15</v>
      </c>
      <c r="R23" s="10">
        <v>0</v>
      </c>
      <c r="S23" s="10">
        <v>0</v>
      </c>
      <c r="T23" s="10"/>
      <c r="U23" t="str">
        <f>"RUNNING_COST_"&amp;IF(PROPERTIES[[#This Row],[ENGINE_CLASS]]="MAGLEV","ELECTRIC",PROPERTIES[[#This Row],[ENGINE_CLASS]])</f>
        <v>RUNNING_COST_DIESEL</v>
      </c>
      <c r="V23" s="10" t="s">
        <v>994</v>
      </c>
      <c r="W23" s="10" t="s">
        <v>995</v>
      </c>
      <c r="X23" s="10" t="str">
        <f>SUBSTITUTE(SUBSTITUTE(PROPERTIES[[#This Row],[PURCHASECOST_VALUE]], "PURCHASECOST_", ""), "_VALUE", "")</f>
        <v>DIESELRAILBUS</v>
      </c>
      <c r="AP23"/>
      <c r="AQ23"/>
      <c r="AR23"/>
    </row>
    <row r="24" spans="1:44">
      <c r="A24" s="2" t="s">
        <v>47</v>
      </c>
      <c r="B24">
        <v>1991</v>
      </c>
      <c r="C24">
        <v>0</v>
      </c>
      <c r="D24" t="s">
        <v>35</v>
      </c>
      <c r="E24" t="s">
        <v>18</v>
      </c>
      <c r="F24">
        <v>75</v>
      </c>
      <c r="G24" s="10">
        <v>42</v>
      </c>
      <c r="H24">
        <v>8</v>
      </c>
      <c r="I24">
        <v>8</v>
      </c>
      <c r="J24" s="2" t="s">
        <v>24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>
        <v>285</v>
      </c>
      <c r="O24">
        <v>144</v>
      </c>
      <c r="P24" s="2">
        <v>0.1</v>
      </c>
      <c r="Q24" s="6">
        <v>15</v>
      </c>
      <c r="R24" s="10">
        <v>0</v>
      </c>
      <c r="S24" s="10">
        <v>0</v>
      </c>
      <c r="T24" s="10"/>
      <c r="U24" t="str">
        <f>"RUNNING_COST_"&amp;IF(PROPERTIES[[#This Row],[ENGINE_CLASS]]="MAGLEV","ELECTRIC",PROPERTIES[[#This Row],[ENGINE_CLASS]])</f>
        <v>RUNNING_COST_DIESEL</v>
      </c>
      <c r="V24" s="10" t="s">
        <v>994</v>
      </c>
      <c r="W24" s="10" t="s">
        <v>995</v>
      </c>
      <c r="X24" s="10" t="str">
        <f>SUBSTITUTE(SUBSTITUTE(PROPERTIES[[#This Row],[PURCHASECOST_VALUE]], "PURCHASECOST_", ""), "_VALUE", "")</f>
        <v>DIESELRAILBUS</v>
      </c>
      <c r="AP24"/>
      <c r="AQ24"/>
      <c r="AR24"/>
    </row>
    <row r="25" spans="1:44">
      <c r="A25" s="2" t="s">
        <v>48</v>
      </c>
      <c r="B25">
        <v>1996</v>
      </c>
      <c r="C25">
        <v>0</v>
      </c>
      <c r="D25" t="s">
        <v>35</v>
      </c>
      <c r="E25" t="s">
        <v>18</v>
      </c>
      <c r="F25">
        <v>55</v>
      </c>
      <c r="G25" s="10">
        <v>20</v>
      </c>
      <c r="H25">
        <v>7</v>
      </c>
      <c r="I25">
        <v>7</v>
      </c>
      <c r="J25" s="2" t="s">
        <v>24</v>
      </c>
      <c r="K25">
        <f>_xlfn.XLOOKUP("LOADINGSPEEDDEF_"&amp;PROPERTIES[[#This Row],[LOADINGSPEED]],LOADINGSPEEDDEF[TYPE],LOADINGSPEEDDEF[SPEED])</f>
        <v>40</v>
      </c>
      <c r="L25" t="s">
        <v>21</v>
      </c>
      <c r="M25">
        <v>1</v>
      </c>
      <c r="N25">
        <v>210</v>
      </c>
      <c r="O25">
        <v>80</v>
      </c>
      <c r="P25" s="2">
        <v>0.15</v>
      </c>
      <c r="Q25" s="6">
        <v>15</v>
      </c>
      <c r="R25" s="10">
        <v>0</v>
      </c>
      <c r="S25" s="10">
        <v>0</v>
      </c>
      <c r="T25" s="10"/>
      <c r="U25" t="str">
        <f>"RUNNING_COST_"&amp;IF(PROPERTIES[[#This Row],[ENGINE_CLASS]]="MAGLEV","ELECTRIC",PROPERTIES[[#This Row],[ENGINE_CLASS]])</f>
        <v>RUNNING_COST_DIESEL</v>
      </c>
      <c r="V25" s="10" t="s">
        <v>994</v>
      </c>
      <c r="W25" s="10" t="s">
        <v>995</v>
      </c>
      <c r="X25" s="10" t="str">
        <f>SUBSTITUTE(SUBSTITUTE(PROPERTIES[[#This Row],[PURCHASECOST_VALUE]], "PURCHASECOST_", ""), "_VALUE", "")</f>
        <v>DIESELRAILBUS</v>
      </c>
      <c r="AP25"/>
      <c r="AQ25"/>
      <c r="AR25"/>
    </row>
    <row r="26" spans="1:44">
      <c r="A26" s="2" t="s">
        <v>49</v>
      </c>
      <c r="B26">
        <v>1996</v>
      </c>
      <c r="C26">
        <v>0</v>
      </c>
      <c r="D26" t="s">
        <v>35</v>
      </c>
      <c r="E26" t="s">
        <v>18</v>
      </c>
      <c r="F26">
        <v>110</v>
      </c>
      <c r="G26" s="10">
        <v>34</v>
      </c>
      <c r="H26">
        <v>7</v>
      </c>
      <c r="I26">
        <v>7</v>
      </c>
      <c r="J26" s="2" t="s">
        <v>24</v>
      </c>
      <c r="K26">
        <f>_xlfn.XLOOKUP("LOADINGSPEEDDEF_"&amp;PROPERTIES[[#This Row],[LOADINGSPEED]],LOADINGSPEEDDEF[TYPE],LOADINGSPEEDDEF[SPEED])</f>
        <v>40</v>
      </c>
      <c r="L26" t="s">
        <v>21</v>
      </c>
      <c r="M26">
        <v>1</v>
      </c>
      <c r="N26">
        <v>335</v>
      </c>
      <c r="O26">
        <v>100</v>
      </c>
      <c r="P26" s="2">
        <v>0.21</v>
      </c>
      <c r="Q26" s="6">
        <v>15</v>
      </c>
      <c r="R26" s="10">
        <v>0</v>
      </c>
      <c r="S26" s="10">
        <v>0</v>
      </c>
      <c r="T26" s="10"/>
      <c r="U26" t="str">
        <f>"RUNNING_COST_"&amp;IF(PROPERTIES[[#This Row],[ENGINE_CLASS]]="MAGLEV","ELECTRIC",PROPERTIES[[#This Row],[ENGINE_CLASS]])</f>
        <v>RUNNING_COST_DIESEL</v>
      </c>
      <c r="V26" s="10" t="s">
        <v>994</v>
      </c>
      <c r="W26" s="10" t="s">
        <v>995</v>
      </c>
      <c r="X26" s="10" t="str">
        <f>SUBSTITUTE(SUBSTITUTE(PROPERTIES[[#This Row],[PURCHASECOST_VALUE]], "PURCHASECOST_", ""), "_VALUE", "")</f>
        <v>DIESELRAILBUS</v>
      </c>
      <c r="AP26"/>
      <c r="AQ26"/>
      <c r="AR26"/>
    </row>
    <row r="27" spans="1:44">
      <c r="A27" s="2" t="s">
        <v>50</v>
      </c>
      <c r="B27">
        <v>1997</v>
      </c>
      <c r="C27">
        <v>0</v>
      </c>
      <c r="D27" t="s">
        <v>35</v>
      </c>
      <c r="E27" t="s">
        <v>18</v>
      </c>
      <c r="F27">
        <v>73</v>
      </c>
      <c r="G27" s="10">
        <v>32</v>
      </c>
      <c r="H27">
        <v>8</v>
      </c>
      <c r="I27">
        <v>8</v>
      </c>
      <c r="J27" s="2" t="s">
        <v>24</v>
      </c>
      <c r="K27">
        <f>_xlfn.XLOOKUP("LOADINGSPEEDDEF_"&amp;PROPERTIES[[#This Row],[LOADINGSPEED]],LOADINGSPEEDDEF[TYPE],LOADINGSPEEDDEF[SPEED])</f>
        <v>40</v>
      </c>
      <c r="L27" t="s">
        <v>21</v>
      </c>
      <c r="M27">
        <v>1</v>
      </c>
      <c r="N27">
        <v>400</v>
      </c>
      <c r="O27">
        <v>120</v>
      </c>
      <c r="P27" s="2">
        <v>0.12</v>
      </c>
      <c r="Q27" s="6">
        <v>15</v>
      </c>
      <c r="R27" s="10">
        <v>0</v>
      </c>
      <c r="S27" s="10">
        <v>0</v>
      </c>
      <c r="T27" s="10"/>
      <c r="U27" t="str">
        <f>"RUNNING_COST_"&amp;IF(PROPERTIES[[#This Row],[ENGINE_CLASS]]="MAGLEV","ELECTRIC",PROPERTIES[[#This Row],[ENGINE_CLASS]])</f>
        <v>RUNNING_COST_DIESEL</v>
      </c>
      <c r="V27" s="10" t="s">
        <v>994</v>
      </c>
      <c r="W27" s="10" t="s">
        <v>995</v>
      </c>
      <c r="X27" s="10" t="str">
        <f>SUBSTITUTE(SUBSTITUTE(PROPERTIES[[#This Row],[PURCHASECOST_VALUE]], "PURCHASECOST_", ""), "_VALUE", "")</f>
        <v>DIESELRAILBUS</v>
      </c>
      <c r="AP27"/>
      <c r="AQ27"/>
      <c r="AR27"/>
    </row>
    <row r="28" spans="1:44">
      <c r="A28" s="2" t="s">
        <v>51</v>
      </c>
      <c r="B28">
        <v>1902</v>
      </c>
      <c r="C28">
        <v>0</v>
      </c>
      <c r="D28" t="s">
        <v>35</v>
      </c>
      <c r="E28" t="s">
        <v>18</v>
      </c>
      <c r="F28">
        <v>16</v>
      </c>
      <c r="G28" s="10">
        <v>13</v>
      </c>
      <c r="H28">
        <v>4</v>
      </c>
      <c r="I28">
        <v>4</v>
      </c>
      <c r="J28" s="2" t="s">
        <v>24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>
        <v>55</v>
      </c>
      <c r="O28">
        <v>35</v>
      </c>
      <c r="P28" s="2">
        <v>0.34</v>
      </c>
      <c r="Q28" s="6">
        <v>15</v>
      </c>
      <c r="R28" s="10">
        <v>0</v>
      </c>
      <c r="S28" s="10">
        <v>0</v>
      </c>
      <c r="T28" s="10"/>
      <c r="U28" t="str">
        <f>"RUNNING_COST_"&amp;IF(PROPERTIES[[#This Row],[ENGINE_CLASS]]="MAGLEV","ELECTRIC",PROPERTIES[[#This Row],[ENGINE_CLASS]])</f>
        <v>RUNNING_COST_DIESEL</v>
      </c>
      <c r="V28" s="10" t="s">
        <v>994</v>
      </c>
      <c r="W28" s="10" t="s">
        <v>995</v>
      </c>
      <c r="X28" s="10" t="str">
        <f>SUBSTITUTE(SUBSTITUTE(PROPERTIES[[#This Row],[PURCHASECOST_VALUE]], "PURCHASECOST_", ""), "_VALUE", "")</f>
        <v>DIESELRAILBUS</v>
      </c>
      <c r="AP28"/>
      <c r="AQ28"/>
      <c r="AR28"/>
    </row>
    <row r="29" spans="1:44">
      <c r="A29" s="2" t="s">
        <v>52</v>
      </c>
      <c r="B29">
        <v>1909</v>
      </c>
      <c r="C29">
        <v>0</v>
      </c>
      <c r="D29" t="s">
        <v>35</v>
      </c>
      <c r="E29" t="s">
        <v>18</v>
      </c>
      <c r="F29">
        <v>84</v>
      </c>
      <c r="G29" s="10">
        <v>30</v>
      </c>
      <c r="H29">
        <v>8</v>
      </c>
      <c r="I29">
        <v>8</v>
      </c>
      <c r="J29" s="2" t="s">
        <v>24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>
        <v>200</v>
      </c>
      <c r="O29">
        <v>52</v>
      </c>
      <c r="P29" s="2">
        <v>0.34</v>
      </c>
      <c r="Q29" s="6">
        <v>15</v>
      </c>
      <c r="R29" s="10">
        <v>0</v>
      </c>
      <c r="S29" s="10">
        <v>0</v>
      </c>
      <c r="T29" s="10"/>
      <c r="U29" t="str">
        <f>"RUNNING_COST_"&amp;IF(PROPERTIES[[#This Row],[ENGINE_CLASS]]="MAGLEV","ELECTRIC",PROPERTIES[[#This Row],[ENGINE_CLASS]])</f>
        <v>RUNNING_COST_DIESEL</v>
      </c>
      <c r="V29" s="10" t="s">
        <v>994</v>
      </c>
      <c r="W29" s="10" t="s">
        <v>995</v>
      </c>
      <c r="X29" s="10" t="str">
        <f>SUBSTITUTE(SUBSTITUTE(PROPERTIES[[#This Row],[PURCHASECOST_VALUE]], "PURCHASECOST_", ""), "_VALUE", "")</f>
        <v>DIESELRAILBUS</v>
      </c>
      <c r="AP29"/>
      <c r="AQ29"/>
      <c r="AR29"/>
    </row>
    <row r="30" spans="1:44">
      <c r="A30" s="2" t="s">
        <v>53</v>
      </c>
      <c r="B30">
        <v>1914</v>
      </c>
      <c r="C30">
        <v>0</v>
      </c>
      <c r="D30" t="s">
        <v>35</v>
      </c>
      <c r="E30" t="s">
        <v>18</v>
      </c>
      <c r="F30">
        <v>69</v>
      </c>
      <c r="G30" s="10">
        <v>64</v>
      </c>
      <c r="H30">
        <v>8</v>
      </c>
      <c r="I30">
        <v>4</v>
      </c>
      <c r="J30" s="2" t="s">
        <v>24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>
        <v>200</v>
      </c>
      <c r="O30">
        <v>70</v>
      </c>
      <c r="P30" s="2">
        <v>0.34</v>
      </c>
      <c r="Q30" s="6">
        <v>15</v>
      </c>
      <c r="R30" s="10">
        <v>0</v>
      </c>
      <c r="S30" s="10">
        <v>2</v>
      </c>
      <c r="T30" s="10"/>
      <c r="U30" t="str">
        <f>"RUNNING_COST_"&amp;IF(PROPERTIES[[#This Row],[ENGINE_CLASS]]="MAGLEV","ELECTRIC",PROPERTIES[[#This Row],[ENGINE_CLASS]])</f>
        <v>RUNNING_COST_DIESEL</v>
      </c>
      <c r="V30" s="10" t="s">
        <v>994</v>
      </c>
      <c r="W30" s="10" t="s">
        <v>995</v>
      </c>
      <c r="X30" s="10" t="str">
        <f>SUBSTITUTE(SUBSTITUTE(PROPERTIES[[#This Row],[PURCHASECOST_VALUE]], "PURCHASECOST_", ""), "_VALUE", "")</f>
        <v>DIESELRAILBUS</v>
      </c>
      <c r="AP30"/>
      <c r="AQ30"/>
      <c r="AR30"/>
    </row>
    <row r="31" spans="1:44">
      <c r="A31" s="2" t="s">
        <v>54</v>
      </c>
      <c r="B31">
        <v>1921</v>
      </c>
      <c r="C31">
        <v>0</v>
      </c>
      <c r="D31" t="s">
        <v>35</v>
      </c>
      <c r="E31" t="s">
        <v>18</v>
      </c>
      <c r="F31">
        <v>30</v>
      </c>
      <c r="G31" s="10">
        <v>10</v>
      </c>
      <c r="H31">
        <v>4</v>
      </c>
      <c r="I31">
        <v>4</v>
      </c>
      <c r="J31" s="2" t="s">
        <v>24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>
        <v>35</v>
      </c>
      <c r="O31">
        <v>40</v>
      </c>
      <c r="P31" s="2">
        <v>0.21</v>
      </c>
      <c r="Q31" s="6">
        <v>15</v>
      </c>
      <c r="R31" s="10">
        <v>0</v>
      </c>
      <c r="S31" s="10">
        <v>0</v>
      </c>
      <c r="T31" s="10"/>
      <c r="U31" t="str">
        <f>"RUNNING_COST_"&amp;IF(PROPERTIES[[#This Row],[ENGINE_CLASS]]="MAGLEV","ELECTRIC",PROPERTIES[[#This Row],[ENGINE_CLASS]])</f>
        <v>RUNNING_COST_DIESEL</v>
      </c>
      <c r="V31" s="10" t="s">
        <v>994</v>
      </c>
      <c r="W31" s="10" t="s">
        <v>995</v>
      </c>
      <c r="X31" s="10" t="str">
        <f>SUBSTITUTE(SUBSTITUTE(PROPERTIES[[#This Row],[PURCHASECOST_VALUE]], "PURCHASECOST_", ""), "_VALUE", "")</f>
        <v>DIESELRAILBUS</v>
      </c>
      <c r="AP31"/>
      <c r="AQ31"/>
      <c r="AR31"/>
    </row>
    <row r="32" spans="1:44">
      <c r="A32" s="2" t="s">
        <v>55</v>
      </c>
      <c r="B32">
        <v>1922</v>
      </c>
      <c r="C32">
        <v>0</v>
      </c>
      <c r="D32" t="s">
        <v>35</v>
      </c>
      <c r="E32" t="s">
        <v>18</v>
      </c>
      <c r="F32">
        <v>18</v>
      </c>
      <c r="G32" s="10">
        <v>11</v>
      </c>
      <c r="H32">
        <v>5</v>
      </c>
      <c r="I32">
        <v>5</v>
      </c>
      <c r="J32" s="2" t="s">
        <v>24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>
        <v>75</v>
      </c>
      <c r="O32">
        <v>40</v>
      </c>
      <c r="P32" s="2">
        <v>0.34</v>
      </c>
      <c r="Q32" s="6">
        <v>15</v>
      </c>
      <c r="R32" s="10">
        <v>0</v>
      </c>
      <c r="S32" s="10">
        <v>0</v>
      </c>
      <c r="T32" s="10"/>
      <c r="U32" t="str">
        <f>"RUNNING_COST_"&amp;IF(PROPERTIES[[#This Row],[ENGINE_CLASS]]="MAGLEV","ELECTRIC",PROPERTIES[[#This Row],[ENGINE_CLASS]])</f>
        <v>RUNNING_COST_DIESEL</v>
      </c>
      <c r="V32" s="10" t="s">
        <v>994</v>
      </c>
      <c r="W32" s="10" t="s">
        <v>995</v>
      </c>
      <c r="X32" s="10" t="str">
        <f>SUBSTITUTE(SUBSTITUTE(PROPERTIES[[#This Row],[PURCHASECOST_VALUE]], "PURCHASECOST_", ""), "_VALUE", "")</f>
        <v>DIESELRAILBUS</v>
      </c>
      <c r="AP32"/>
      <c r="AQ32"/>
      <c r="AR32"/>
    </row>
    <row r="33" spans="1:44">
      <c r="A33" s="2" t="s">
        <v>56</v>
      </c>
      <c r="B33">
        <v>1928</v>
      </c>
      <c r="C33">
        <v>0</v>
      </c>
      <c r="D33" t="s">
        <v>35</v>
      </c>
      <c r="E33" t="s">
        <v>18</v>
      </c>
      <c r="F33">
        <v>40</v>
      </c>
      <c r="G33" s="10">
        <v>34</v>
      </c>
      <c r="H33">
        <v>7</v>
      </c>
      <c r="I33">
        <v>7</v>
      </c>
      <c r="J33" s="2" t="s">
        <v>24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>
        <v>255</v>
      </c>
      <c r="O33">
        <v>60</v>
      </c>
      <c r="P33" s="2">
        <v>0.34</v>
      </c>
      <c r="Q33" s="6">
        <v>15</v>
      </c>
      <c r="R33" s="10">
        <v>0</v>
      </c>
      <c r="S33" s="10">
        <v>0</v>
      </c>
      <c r="T33" s="10"/>
      <c r="U33" t="str">
        <f>"RUNNING_COST_"&amp;IF(PROPERTIES[[#This Row],[ENGINE_CLASS]]="MAGLEV","ELECTRIC",PROPERTIES[[#This Row],[ENGINE_CLASS]])</f>
        <v>RUNNING_COST_DIESEL</v>
      </c>
      <c r="V33" s="10" t="s">
        <v>994</v>
      </c>
      <c r="W33" s="10" t="s">
        <v>995</v>
      </c>
      <c r="X33" s="10" t="str">
        <f>SUBSTITUTE(SUBSTITUTE(PROPERTIES[[#This Row],[PURCHASECOST_VALUE]], "PURCHASECOST_", ""), "_VALUE", "")</f>
        <v>DIESELRAILBUS</v>
      </c>
      <c r="AP33"/>
      <c r="AQ33"/>
      <c r="AR33"/>
    </row>
    <row r="34" spans="1:44">
      <c r="A34" s="2" t="s">
        <v>57</v>
      </c>
      <c r="B34">
        <v>1930</v>
      </c>
      <c r="C34">
        <v>0</v>
      </c>
      <c r="D34" t="s">
        <v>35</v>
      </c>
      <c r="E34" t="s">
        <v>18</v>
      </c>
      <c r="F34">
        <v>38</v>
      </c>
      <c r="G34" s="10">
        <v>13</v>
      </c>
      <c r="H34">
        <v>5</v>
      </c>
      <c r="I34">
        <v>5</v>
      </c>
      <c r="J34" s="2" t="s">
        <v>24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>
        <v>120</v>
      </c>
      <c r="O34">
        <v>60</v>
      </c>
      <c r="P34" s="2">
        <v>0.35</v>
      </c>
      <c r="Q34" s="6">
        <v>15</v>
      </c>
      <c r="R34" s="10">
        <v>0</v>
      </c>
      <c r="S34" s="10">
        <v>0</v>
      </c>
      <c r="T34" s="10"/>
      <c r="U34" t="str">
        <f>"RUNNING_COST_"&amp;IF(PROPERTIES[[#This Row],[ENGINE_CLASS]]="MAGLEV","ELECTRIC",PROPERTIES[[#This Row],[ENGINE_CLASS]])</f>
        <v>RUNNING_COST_DIESEL</v>
      </c>
      <c r="V34" s="10" t="s">
        <v>994</v>
      </c>
      <c r="W34" s="10" t="s">
        <v>995</v>
      </c>
      <c r="X34" s="10" t="str">
        <f>SUBSTITUTE(SUBSTITUTE(PROPERTIES[[#This Row],[PURCHASECOST_VALUE]], "PURCHASECOST_", ""), "_VALUE", "")</f>
        <v>DIESELRAILBUS</v>
      </c>
      <c r="AP34"/>
      <c r="AQ34"/>
      <c r="AR34"/>
    </row>
    <row r="35" spans="1:44">
      <c r="A35" s="2" t="s">
        <v>58</v>
      </c>
      <c r="B35">
        <v>1930</v>
      </c>
      <c r="C35">
        <v>0</v>
      </c>
      <c r="D35" t="s">
        <v>35</v>
      </c>
      <c r="E35" t="s">
        <v>18</v>
      </c>
      <c r="F35">
        <v>40</v>
      </c>
      <c r="G35" s="10">
        <v>20</v>
      </c>
      <c r="H35">
        <v>8</v>
      </c>
      <c r="I35">
        <v>8</v>
      </c>
      <c r="J35" s="2" t="s">
        <v>24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>
        <v>600</v>
      </c>
      <c r="O35">
        <v>230</v>
      </c>
      <c r="P35" s="2">
        <v>0.39</v>
      </c>
      <c r="Q35" s="6">
        <v>15</v>
      </c>
      <c r="R35" s="10">
        <v>0</v>
      </c>
      <c r="S35" s="10">
        <v>0</v>
      </c>
      <c r="T35" s="10"/>
      <c r="U35" t="str">
        <f>"RUNNING_COST_"&amp;IF(PROPERTIES[[#This Row],[ENGINE_CLASS]]="MAGLEV","ELECTRIC",PROPERTIES[[#This Row],[ENGINE_CLASS]])</f>
        <v>RUNNING_COST_DIESEL</v>
      </c>
      <c r="V35" s="10" t="s">
        <v>994</v>
      </c>
      <c r="W35" s="10" t="s">
        <v>995</v>
      </c>
      <c r="X35" s="10" t="str">
        <f>SUBSTITUTE(SUBSTITUTE(PROPERTIES[[#This Row],[PURCHASECOST_VALUE]], "PURCHASECOST_", ""), "_VALUE", "")</f>
        <v>DIESELRAILBUS</v>
      </c>
      <c r="AP35"/>
      <c r="AQ35"/>
      <c r="AR35"/>
    </row>
    <row r="36" spans="1:44">
      <c r="A36" s="2" t="s">
        <v>59</v>
      </c>
      <c r="B36">
        <v>1935</v>
      </c>
      <c r="C36">
        <v>0</v>
      </c>
      <c r="D36" t="s">
        <v>35</v>
      </c>
      <c r="E36" t="s">
        <v>18</v>
      </c>
      <c r="F36">
        <v>52</v>
      </c>
      <c r="G36" s="10">
        <v>58</v>
      </c>
      <c r="H36">
        <v>8</v>
      </c>
      <c r="I36">
        <v>8</v>
      </c>
      <c r="J36" s="2" t="s">
        <v>24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>
        <v>500</v>
      </c>
      <c r="O36">
        <v>120</v>
      </c>
      <c r="P36" s="2">
        <v>0.31</v>
      </c>
      <c r="Q36" s="6">
        <v>15</v>
      </c>
      <c r="R36" s="10">
        <v>0</v>
      </c>
      <c r="S36" s="10">
        <v>0</v>
      </c>
      <c r="T36" s="10"/>
      <c r="U36" t="str">
        <f>"RUNNING_COST_"&amp;IF(PROPERTIES[[#This Row],[ENGINE_CLASS]]="MAGLEV","ELECTRIC",PROPERTIES[[#This Row],[ENGINE_CLASS]])</f>
        <v>RUNNING_COST_DIESEL</v>
      </c>
      <c r="V36" s="10" t="s">
        <v>994</v>
      </c>
      <c r="W36" s="10" t="s">
        <v>995</v>
      </c>
      <c r="X36" s="10" t="str">
        <f>SUBSTITUTE(SUBSTITUTE(PROPERTIES[[#This Row],[PURCHASECOST_VALUE]], "PURCHASECOST_", ""), "_VALUE", "")</f>
        <v>DIESELRAILBUS</v>
      </c>
      <c r="AP36"/>
      <c r="AQ36"/>
      <c r="AR36"/>
    </row>
    <row r="37" spans="1:44">
      <c r="A37" s="2" t="s">
        <v>60</v>
      </c>
      <c r="B37">
        <v>1935</v>
      </c>
      <c r="C37">
        <v>0</v>
      </c>
      <c r="D37" t="s">
        <v>35</v>
      </c>
      <c r="E37" t="s">
        <v>18</v>
      </c>
      <c r="F37">
        <v>45</v>
      </c>
      <c r="G37" s="10">
        <v>10</v>
      </c>
      <c r="H37">
        <v>6</v>
      </c>
      <c r="I37">
        <v>6</v>
      </c>
      <c r="J37" s="2" t="s">
        <v>24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>
        <v>120</v>
      </c>
      <c r="O37">
        <v>100</v>
      </c>
      <c r="P37" s="2">
        <v>0.41</v>
      </c>
      <c r="Q37" s="6">
        <v>15</v>
      </c>
      <c r="R37" s="10">
        <v>0</v>
      </c>
      <c r="S37" s="10">
        <v>0</v>
      </c>
      <c r="T37" s="10"/>
      <c r="U37" t="str">
        <f>"RUNNING_COST_"&amp;IF(PROPERTIES[[#This Row],[ENGINE_CLASS]]="MAGLEV","ELECTRIC",PROPERTIES[[#This Row],[ENGINE_CLASS]])</f>
        <v>RUNNING_COST_DIESEL</v>
      </c>
      <c r="V37" s="10" t="s">
        <v>994</v>
      </c>
      <c r="W37" s="10" t="s">
        <v>995</v>
      </c>
      <c r="X37" s="10" t="str">
        <f>SUBSTITUTE(SUBSTITUTE(PROPERTIES[[#This Row],[PURCHASECOST_VALUE]], "PURCHASECOST_", ""), "_VALUE", "")</f>
        <v>DIESELRAILBUS</v>
      </c>
      <c r="AP37"/>
      <c r="AQ37"/>
      <c r="AR37"/>
    </row>
    <row r="38" spans="1:44">
      <c r="A38" s="2" t="s">
        <v>61</v>
      </c>
      <c r="B38">
        <v>1936</v>
      </c>
      <c r="C38">
        <v>0</v>
      </c>
      <c r="D38" t="s">
        <v>35</v>
      </c>
      <c r="E38" t="s">
        <v>18</v>
      </c>
      <c r="F38">
        <v>72</v>
      </c>
      <c r="G38" s="10">
        <v>36</v>
      </c>
      <c r="H38">
        <v>7</v>
      </c>
      <c r="I38">
        <v>7</v>
      </c>
      <c r="J38" s="2" t="s">
        <v>24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>
        <v>330</v>
      </c>
      <c r="O38">
        <v>148</v>
      </c>
      <c r="P38" s="2">
        <v>0.33</v>
      </c>
      <c r="Q38" s="6">
        <v>15</v>
      </c>
      <c r="R38" s="10">
        <v>0</v>
      </c>
      <c r="S38" s="10">
        <v>0</v>
      </c>
      <c r="T38" s="10"/>
      <c r="U38" t="str">
        <f>"RUNNING_COST_"&amp;IF(PROPERTIES[[#This Row],[ENGINE_CLASS]]="MAGLEV","ELECTRIC",PROPERTIES[[#This Row],[ENGINE_CLASS]])</f>
        <v>RUNNING_COST_DIESEL</v>
      </c>
      <c r="V38" s="10" t="s">
        <v>994</v>
      </c>
      <c r="W38" s="10" t="s">
        <v>995</v>
      </c>
      <c r="X38" s="10" t="str">
        <f>SUBSTITUTE(SUBSTITUTE(PROPERTIES[[#This Row],[PURCHASECOST_VALUE]], "PURCHASECOST_", ""), "_VALUE", "")</f>
        <v>DIESELRAILBUS</v>
      </c>
      <c r="AP38"/>
      <c r="AQ38"/>
      <c r="AR38"/>
    </row>
    <row r="39" spans="1:44">
      <c r="A39" s="2" t="s">
        <v>62</v>
      </c>
      <c r="B39">
        <v>1937</v>
      </c>
      <c r="C39">
        <v>0</v>
      </c>
      <c r="D39" t="s">
        <v>35</v>
      </c>
      <c r="E39" t="s">
        <v>18</v>
      </c>
      <c r="F39">
        <v>63</v>
      </c>
      <c r="G39" s="10">
        <v>53</v>
      </c>
      <c r="H39">
        <v>8</v>
      </c>
      <c r="I39">
        <v>8</v>
      </c>
      <c r="J39" s="2" t="s">
        <v>24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>
        <v>294</v>
      </c>
      <c r="O39">
        <v>105</v>
      </c>
      <c r="P39" s="2">
        <v>0.34</v>
      </c>
      <c r="Q39" s="6">
        <v>15</v>
      </c>
      <c r="R39" s="10">
        <v>0</v>
      </c>
      <c r="S39" s="10">
        <v>0</v>
      </c>
      <c r="T39" s="10"/>
      <c r="U39" t="str">
        <f>"RUNNING_COST_"&amp;IF(PROPERTIES[[#This Row],[ENGINE_CLASS]]="MAGLEV","ELECTRIC",PROPERTIES[[#This Row],[ENGINE_CLASS]])</f>
        <v>RUNNING_COST_DIESEL</v>
      </c>
      <c r="V39" s="10" t="s">
        <v>994</v>
      </c>
      <c r="W39" s="10" t="s">
        <v>995</v>
      </c>
      <c r="X39" s="10" t="str">
        <f>SUBSTITUTE(SUBSTITUTE(PROPERTIES[[#This Row],[PURCHASECOST_VALUE]], "PURCHASECOST_", ""), "_VALUE", "")</f>
        <v>DIESELRAILBUS</v>
      </c>
      <c r="AP39"/>
      <c r="AQ39"/>
      <c r="AR39"/>
    </row>
    <row r="40" spans="1:44">
      <c r="A40" s="2" t="s">
        <v>63</v>
      </c>
      <c r="B40">
        <v>1938</v>
      </c>
      <c r="C40">
        <v>0</v>
      </c>
      <c r="D40" t="s">
        <v>35</v>
      </c>
      <c r="E40" t="s">
        <v>18</v>
      </c>
      <c r="F40">
        <v>56</v>
      </c>
      <c r="G40" s="10">
        <v>48</v>
      </c>
      <c r="H40">
        <v>7</v>
      </c>
      <c r="I40">
        <v>7</v>
      </c>
      <c r="J40" s="2" t="s">
        <v>24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>
        <v>300</v>
      </c>
      <c r="O40">
        <v>100</v>
      </c>
      <c r="P40" s="2">
        <v>0.34</v>
      </c>
      <c r="Q40" s="6">
        <v>15</v>
      </c>
      <c r="R40" s="10">
        <v>0</v>
      </c>
      <c r="S40" s="10">
        <v>0</v>
      </c>
      <c r="T40" s="10"/>
      <c r="U40" t="str">
        <f>"RUNNING_COST_"&amp;IF(PROPERTIES[[#This Row],[ENGINE_CLASS]]="MAGLEV","ELECTRIC",PROPERTIES[[#This Row],[ENGINE_CLASS]])</f>
        <v>RUNNING_COST_DIESEL</v>
      </c>
      <c r="V40" s="10" t="s">
        <v>994</v>
      </c>
      <c r="W40" s="10" t="s">
        <v>995</v>
      </c>
      <c r="X40" s="10" t="str">
        <f>SUBSTITUTE(SUBSTITUTE(PROPERTIES[[#This Row],[PURCHASECOST_VALUE]], "PURCHASECOST_", ""), "_VALUE", "")</f>
        <v>DIESELRAILBUS</v>
      </c>
      <c r="AP40"/>
      <c r="AQ40"/>
      <c r="AR40"/>
    </row>
    <row r="41" spans="1:44">
      <c r="A41" s="2" t="s">
        <v>64</v>
      </c>
      <c r="B41">
        <v>1941</v>
      </c>
      <c r="C41">
        <v>0</v>
      </c>
      <c r="D41" t="s">
        <v>35</v>
      </c>
      <c r="E41" t="s">
        <v>18</v>
      </c>
      <c r="F41">
        <v>25</v>
      </c>
      <c r="G41" s="10">
        <v>8</v>
      </c>
      <c r="H41">
        <v>5</v>
      </c>
      <c r="I41">
        <v>5</v>
      </c>
      <c r="J41" s="2" t="s">
        <v>24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>
        <v>90</v>
      </c>
      <c r="O41">
        <v>89</v>
      </c>
      <c r="P41" s="2">
        <v>0.2</v>
      </c>
      <c r="Q41" s="6">
        <v>15</v>
      </c>
      <c r="R41" s="10">
        <v>0</v>
      </c>
      <c r="S41" s="10">
        <v>0</v>
      </c>
      <c r="T41" s="10"/>
      <c r="U41" t="str">
        <f>"RUNNING_COST_"&amp;IF(PROPERTIES[[#This Row],[ENGINE_CLASS]]="MAGLEV","ELECTRIC",PROPERTIES[[#This Row],[ENGINE_CLASS]])</f>
        <v>RUNNING_COST_DIESEL</v>
      </c>
      <c r="V41" s="10" t="s">
        <v>994</v>
      </c>
      <c r="W41" s="10" t="s">
        <v>995</v>
      </c>
      <c r="X41" s="10" t="str">
        <f>SUBSTITUTE(SUBSTITUTE(PROPERTIES[[#This Row],[PURCHASECOST_VALUE]], "PURCHASECOST_", ""), "_VALUE", "")</f>
        <v>DIESELRAILBUS</v>
      </c>
      <c r="AP41"/>
      <c r="AQ41"/>
      <c r="AR41"/>
    </row>
    <row r="42" spans="1:44">
      <c r="A42" s="2" t="s">
        <v>65</v>
      </c>
      <c r="B42">
        <v>1954</v>
      </c>
      <c r="C42">
        <v>0</v>
      </c>
      <c r="D42" t="s">
        <v>35</v>
      </c>
      <c r="E42" t="s">
        <v>18</v>
      </c>
      <c r="F42">
        <v>99</v>
      </c>
      <c r="G42" s="10">
        <v>54</v>
      </c>
      <c r="H42">
        <v>7</v>
      </c>
      <c r="I42">
        <v>7</v>
      </c>
      <c r="J42" s="2" t="s">
        <v>24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>
        <v>400</v>
      </c>
      <c r="O42">
        <v>90</v>
      </c>
      <c r="P42" s="2">
        <v>0.34</v>
      </c>
      <c r="Q42" s="6">
        <v>15</v>
      </c>
      <c r="R42" s="10">
        <v>0</v>
      </c>
      <c r="S42" s="10">
        <v>0</v>
      </c>
      <c r="T42" s="10"/>
      <c r="U42" t="str">
        <f>"RUNNING_COST_"&amp;IF(PROPERTIES[[#This Row],[ENGINE_CLASS]]="MAGLEV","ELECTRIC",PROPERTIES[[#This Row],[ENGINE_CLASS]])</f>
        <v>RUNNING_COST_DIESEL</v>
      </c>
      <c r="V42" s="10" t="s">
        <v>994</v>
      </c>
      <c r="W42" s="10" t="s">
        <v>995</v>
      </c>
      <c r="X42" s="10" t="str">
        <f>SUBSTITUTE(SUBSTITUTE(PROPERTIES[[#This Row],[PURCHASECOST_VALUE]], "PURCHASECOST_", ""), "_VALUE", "")</f>
        <v>DIESELRAILBUS</v>
      </c>
      <c r="AP42"/>
      <c r="AQ42"/>
      <c r="AR42"/>
    </row>
    <row r="43" spans="1:44">
      <c r="A43" s="2" t="s">
        <v>66</v>
      </c>
      <c r="B43">
        <v>1960</v>
      </c>
      <c r="C43">
        <v>0</v>
      </c>
      <c r="D43" t="s">
        <v>35</v>
      </c>
      <c r="E43" t="s">
        <v>18</v>
      </c>
      <c r="F43">
        <v>37</v>
      </c>
      <c r="G43" s="10">
        <v>52</v>
      </c>
      <c r="H43">
        <v>8</v>
      </c>
      <c r="I43">
        <v>8</v>
      </c>
      <c r="J43" s="2" t="s">
        <v>24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>
        <v>550</v>
      </c>
      <c r="O43">
        <v>125</v>
      </c>
      <c r="P43" s="2">
        <v>0.2</v>
      </c>
      <c r="Q43" s="6">
        <v>15</v>
      </c>
      <c r="R43" s="10">
        <v>0</v>
      </c>
      <c r="S43" s="10">
        <v>0</v>
      </c>
      <c r="T43" s="10"/>
      <c r="U43" t="str">
        <f>"RUNNING_COST_"&amp;IF(PROPERTIES[[#This Row],[ENGINE_CLASS]]="MAGLEV","ELECTRIC",PROPERTIES[[#This Row],[ENGINE_CLASS]])</f>
        <v>RUNNING_COST_DIESEL</v>
      </c>
      <c r="V43" s="10" t="s">
        <v>994</v>
      </c>
      <c r="W43" s="10" t="s">
        <v>995</v>
      </c>
      <c r="X43" s="10" t="str">
        <f>SUBSTITUTE(SUBSTITUTE(PROPERTIES[[#This Row],[PURCHASECOST_VALUE]], "PURCHASECOST_", ""), "_VALUE", "")</f>
        <v>DIESELRAILBUS</v>
      </c>
      <c r="AP43"/>
      <c r="AQ43"/>
      <c r="AR43"/>
    </row>
    <row r="44" spans="1:44">
      <c r="A44" s="2" t="s">
        <v>67</v>
      </c>
      <c r="B44">
        <v>1962</v>
      </c>
      <c r="C44">
        <v>0</v>
      </c>
      <c r="D44" t="s">
        <v>35</v>
      </c>
      <c r="E44" t="s">
        <v>18</v>
      </c>
      <c r="F44">
        <v>68</v>
      </c>
      <c r="G44" s="10">
        <v>48</v>
      </c>
      <c r="H44">
        <v>8</v>
      </c>
      <c r="I44">
        <v>8</v>
      </c>
      <c r="J44" s="2" t="s">
        <v>24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>
        <v>790</v>
      </c>
      <c r="O44">
        <v>105</v>
      </c>
      <c r="P44" s="2">
        <v>0.19</v>
      </c>
      <c r="Q44" s="6">
        <v>15</v>
      </c>
      <c r="R44" s="10">
        <v>0</v>
      </c>
      <c r="S44" s="10">
        <v>0</v>
      </c>
      <c r="T44" s="10"/>
      <c r="U44" t="str">
        <f>"RUNNING_COST_"&amp;IF(PROPERTIES[[#This Row],[ENGINE_CLASS]]="MAGLEV","ELECTRIC",PROPERTIES[[#This Row],[ENGINE_CLASS]])</f>
        <v>RUNNING_COST_DIESEL</v>
      </c>
      <c r="V44" s="10" t="s">
        <v>994</v>
      </c>
      <c r="W44" s="10" t="s">
        <v>995</v>
      </c>
      <c r="X44" s="10" t="str">
        <f>SUBSTITUTE(SUBSTITUTE(PROPERTIES[[#This Row],[PURCHASECOST_VALUE]], "PURCHASECOST_", ""), "_VALUE", "")</f>
        <v>DIESELRAILBUS</v>
      </c>
      <c r="AP44"/>
      <c r="AQ44"/>
      <c r="AR44"/>
    </row>
    <row r="45" spans="1:44">
      <c r="A45" s="2" t="s">
        <v>68</v>
      </c>
      <c r="B45">
        <v>1975</v>
      </c>
      <c r="C45">
        <v>0</v>
      </c>
      <c r="D45" t="s">
        <v>35</v>
      </c>
      <c r="E45" t="s">
        <v>18</v>
      </c>
      <c r="F45">
        <v>54</v>
      </c>
      <c r="G45" s="10">
        <v>60</v>
      </c>
      <c r="H45">
        <v>8</v>
      </c>
      <c r="I45">
        <v>8</v>
      </c>
      <c r="J45" s="2" t="s">
        <v>24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>
        <v>1045</v>
      </c>
      <c r="O45">
        <v>130</v>
      </c>
      <c r="P45" s="2">
        <v>0.38</v>
      </c>
      <c r="Q45" s="6">
        <v>15</v>
      </c>
      <c r="R45" s="10">
        <v>0</v>
      </c>
      <c r="S45" s="10">
        <v>0</v>
      </c>
      <c r="T45" s="10"/>
      <c r="U45" t="str">
        <f>"RUNNING_COST_"&amp;IF(PROPERTIES[[#This Row],[ENGINE_CLASS]]="MAGLEV","ELECTRIC",PROPERTIES[[#This Row],[ENGINE_CLASS]])</f>
        <v>RUNNING_COST_DIESEL</v>
      </c>
      <c r="V45" s="10" t="s">
        <v>994</v>
      </c>
      <c r="W45" s="10" t="s">
        <v>995</v>
      </c>
      <c r="X45" s="10" t="str">
        <f>SUBSTITUTE(SUBSTITUTE(PROPERTIES[[#This Row],[PURCHASECOST_VALUE]], "PURCHASECOST_", ""), "_VALUE", "")</f>
        <v>DIESELRAILBUS</v>
      </c>
      <c r="AP45"/>
      <c r="AQ45"/>
      <c r="AR45"/>
    </row>
    <row r="46" spans="1:44">
      <c r="A46" s="2" t="s">
        <v>69</v>
      </c>
      <c r="B46">
        <v>1979</v>
      </c>
      <c r="C46">
        <v>0</v>
      </c>
      <c r="D46" t="s">
        <v>35</v>
      </c>
      <c r="E46" t="s">
        <v>18</v>
      </c>
      <c r="F46">
        <v>86</v>
      </c>
      <c r="G46" s="10">
        <v>58</v>
      </c>
      <c r="H46">
        <v>8</v>
      </c>
      <c r="I46">
        <v>8</v>
      </c>
      <c r="J46" s="2" t="s">
        <v>24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>
        <v>360</v>
      </c>
      <c r="O46">
        <v>130</v>
      </c>
      <c r="P46" s="2">
        <v>0.26</v>
      </c>
      <c r="Q46" s="6">
        <v>15</v>
      </c>
      <c r="R46" s="10">
        <v>0</v>
      </c>
      <c r="S46" s="10">
        <v>0</v>
      </c>
      <c r="T46" s="10"/>
      <c r="U46" t="str">
        <f>"RUNNING_COST_"&amp;IF(PROPERTIES[[#This Row],[ENGINE_CLASS]]="MAGLEV","ELECTRIC",PROPERTIES[[#This Row],[ENGINE_CLASS]])</f>
        <v>RUNNING_COST_DIESEL</v>
      </c>
      <c r="V46" s="10" t="s">
        <v>994</v>
      </c>
      <c r="W46" s="10" t="s">
        <v>995</v>
      </c>
      <c r="X46" s="10" t="str">
        <f>SUBSTITUTE(SUBSTITUTE(PROPERTIES[[#This Row],[PURCHASECOST_VALUE]], "PURCHASECOST_", ""), "_VALUE", "")</f>
        <v>DIESELRAILBUS</v>
      </c>
      <c r="AP46"/>
      <c r="AQ46"/>
      <c r="AR46"/>
    </row>
    <row r="47" spans="1:44">
      <c r="A47" s="2" t="s">
        <v>70</v>
      </c>
      <c r="B47">
        <v>2005</v>
      </c>
      <c r="C47">
        <v>0</v>
      </c>
      <c r="D47" t="s">
        <v>35</v>
      </c>
      <c r="E47" t="s">
        <v>18</v>
      </c>
      <c r="F47">
        <v>63</v>
      </c>
      <c r="G47" s="10">
        <v>48</v>
      </c>
      <c r="H47">
        <v>8</v>
      </c>
      <c r="I47">
        <v>8</v>
      </c>
      <c r="J47" s="2" t="s">
        <v>24</v>
      </c>
      <c r="K47">
        <f>_xlfn.XLOOKUP("LOADINGSPEEDDEF_"&amp;PROPERTIES[[#This Row],[LOADINGSPEED]],LOADINGSPEEDDEF[TYPE],LOADINGSPEEDDEF[SPEED])</f>
        <v>40</v>
      </c>
      <c r="L47" t="s">
        <v>21</v>
      </c>
      <c r="M47">
        <v>1</v>
      </c>
      <c r="N47">
        <v>710</v>
      </c>
      <c r="O47">
        <v>120</v>
      </c>
      <c r="P47" s="2">
        <v>0.35</v>
      </c>
      <c r="Q47" s="6">
        <v>15</v>
      </c>
      <c r="R47" s="10">
        <v>0</v>
      </c>
      <c r="S47" s="10">
        <v>0</v>
      </c>
      <c r="T47" s="10"/>
      <c r="U47" t="str">
        <f>"RUNNING_COST_"&amp;IF(PROPERTIES[[#This Row],[ENGINE_CLASS]]="MAGLEV","ELECTRIC",PROPERTIES[[#This Row],[ENGINE_CLASS]])</f>
        <v>RUNNING_COST_DIESEL</v>
      </c>
      <c r="V47" s="10" t="s">
        <v>994</v>
      </c>
      <c r="W47" s="10" t="s">
        <v>995</v>
      </c>
      <c r="X47" s="10" t="str">
        <f>SUBSTITUTE(SUBSTITUTE(PROPERTIES[[#This Row],[PURCHASECOST_VALUE]], "PURCHASECOST_", ""), "_VALUE", "")</f>
        <v>DIESELRAILBUS</v>
      </c>
      <c r="AP47"/>
      <c r="AQ47"/>
      <c r="AR47"/>
    </row>
    <row r="48" spans="1:44">
      <c r="A48" s="2" t="s">
        <v>71</v>
      </c>
      <c r="B48">
        <v>2011</v>
      </c>
      <c r="C48">
        <v>0</v>
      </c>
      <c r="D48" t="s">
        <v>35</v>
      </c>
      <c r="E48" t="s">
        <v>18</v>
      </c>
      <c r="F48">
        <v>71</v>
      </c>
      <c r="G48" s="10">
        <v>43</v>
      </c>
      <c r="H48">
        <v>8</v>
      </c>
      <c r="I48">
        <v>8</v>
      </c>
      <c r="J48" s="2" t="s">
        <v>24</v>
      </c>
      <c r="K48">
        <f>_xlfn.XLOOKUP("LOADINGSPEEDDEF_"&amp;PROPERTIES[[#This Row],[LOADINGSPEED]],LOADINGSPEEDDEF[TYPE],LOADINGSPEEDDEF[SPEED])</f>
        <v>40</v>
      </c>
      <c r="L48" t="s">
        <v>21</v>
      </c>
      <c r="M48">
        <v>1</v>
      </c>
      <c r="N48">
        <v>710</v>
      </c>
      <c r="O48">
        <v>120</v>
      </c>
      <c r="P48" s="2">
        <v>0.37</v>
      </c>
      <c r="Q48" s="6">
        <v>15</v>
      </c>
      <c r="R48" s="10">
        <v>0</v>
      </c>
      <c r="S48" s="10">
        <v>0</v>
      </c>
      <c r="T48" s="10"/>
      <c r="U48" t="str">
        <f>"RUNNING_COST_"&amp;IF(PROPERTIES[[#This Row],[ENGINE_CLASS]]="MAGLEV","ELECTRIC",PROPERTIES[[#This Row],[ENGINE_CLASS]])</f>
        <v>RUNNING_COST_DIESEL</v>
      </c>
      <c r="V48" s="10" t="s">
        <v>994</v>
      </c>
      <c r="W48" s="10" t="s">
        <v>995</v>
      </c>
      <c r="X48" s="10" t="str">
        <f>SUBSTITUTE(SUBSTITUTE(PROPERTIES[[#This Row],[PURCHASECOST_VALUE]], "PURCHASECOST_", ""), "_VALUE", "")</f>
        <v>DIESELRAILBUS</v>
      </c>
      <c r="AP48"/>
      <c r="AQ48"/>
      <c r="AR48"/>
    </row>
    <row r="49" spans="1:44">
      <c r="A49" s="2" t="s">
        <v>72</v>
      </c>
      <c r="B49">
        <v>1956</v>
      </c>
      <c r="C49">
        <v>0</v>
      </c>
      <c r="D49" t="s">
        <v>35</v>
      </c>
      <c r="E49" t="s">
        <v>18</v>
      </c>
      <c r="F49">
        <v>68</v>
      </c>
      <c r="G49" s="10">
        <v>32</v>
      </c>
      <c r="H49">
        <v>8</v>
      </c>
      <c r="I49">
        <v>8</v>
      </c>
      <c r="J49" s="2" t="s">
        <v>24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>
        <v>335</v>
      </c>
      <c r="O49">
        <v>110</v>
      </c>
      <c r="P49" s="2">
        <v>0.23</v>
      </c>
      <c r="Q49" s="6">
        <v>25</v>
      </c>
      <c r="R49" s="10">
        <v>0</v>
      </c>
      <c r="S49" s="10">
        <v>0</v>
      </c>
      <c r="T49" s="10"/>
      <c r="U49" t="str">
        <f>"RUNNING_COST_"&amp;IF(PROPERTIES[[#This Row],[ENGINE_CLASS]]="MAGLEV","ELECTRIC",PROPERTIES[[#This Row],[ENGINE_CLASS]])</f>
        <v>RUNNING_COST_DIESEL</v>
      </c>
      <c r="V49" s="10" t="s">
        <v>994</v>
      </c>
      <c r="W49" s="10" t="s">
        <v>995</v>
      </c>
      <c r="X49" s="10" t="str">
        <f>SUBSTITUTE(SUBSTITUTE(PROPERTIES[[#This Row],[PURCHASECOST_VALUE]], "PURCHASECOST_", ""), "_VALUE", "")</f>
        <v>DIESELRAILBUS</v>
      </c>
      <c r="AP49"/>
      <c r="AQ49"/>
      <c r="AR49"/>
    </row>
    <row r="50" spans="1:44">
      <c r="A50" s="2" t="s">
        <v>73</v>
      </c>
      <c r="B50">
        <v>1903</v>
      </c>
      <c r="C50">
        <v>0</v>
      </c>
      <c r="D50" t="s">
        <v>74</v>
      </c>
      <c r="E50" t="s">
        <v>18</v>
      </c>
      <c r="F50">
        <v>40</v>
      </c>
      <c r="G50" s="10">
        <v>23</v>
      </c>
      <c r="H50">
        <v>7</v>
      </c>
      <c r="I50">
        <v>7</v>
      </c>
      <c r="J50" s="2" t="s">
        <v>24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>
        <v>150</v>
      </c>
      <c r="O50">
        <v>35</v>
      </c>
      <c r="P50" s="2">
        <v>0.33</v>
      </c>
      <c r="Q50" s="6">
        <v>15</v>
      </c>
      <c r="R50" s="10">
        <v>0</v>
      </c>
      <c r="S50" s="10">
        <v>0</v>
      </c>
      <c r="T50" s="10"/>
      <c r="U50" t="str">
        <f>"RUNNING_COST_"&amp;IF(PROPERTIES[[#This Row],[ENGINE_CLASS]]="MAGLEV","ELECTRIC",PROPERTIES[[#This Row],[ENGINE_CLASS]])</f>
        <v>RUNNING_COST_ELECTRIC</v>
      </c>
      <c r="V50" s="10" t="s">
        <v>996</v>
      </c>
      <c r="W50" s="10" t="s">
        <v>997</v>
      </c>
      <c r="X50" s="10" t="str">
        <f>SUBSTITUTE(SUBSTITUTE(PROPERTIES[[#This Row],[PURCHASECOST_VALUE]], "PURCHASECOST_", ""), "_VALUE", "")</f>
        <v>ELECTRICRAILBUS</v>
      </c>
      <c r="AP50"/>
      <c r="AQ50"/>
      <c r="AR50"/>
    </row>
    <row r="51" spans="1:44">
      <c r="A51" s="2" t="s">
        <v>75</v>
      </c>
      <c r="B51">
        <v>1960</v>
      </c>
      <c r="C51">
        <v>0</v>
      </c>
      <c r="D51" t="s">
        <v>74</v>
      </c>
      <c r="E51" t="s">
        <v>18</v>
      </c>
      <c r="F51">
        <v>70</v>
      </c>
      <c r="G51" s="10">
        <v>58</v>
      </c>
      <c r="H51">
        <v>8</v>
      </c>
      <c r="I51">
        <v>8</v>
      </c>
      <c r="J51" s="2" t="s">
        <v>24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>
        <v>1260</v>
      </c>
      <c r="O51">
        <v>130</v>
      </c>
      <c r="P51" s="2">
        <v>0.21</v>
      </c>
      <c r="Q51" s="6">
        <v>15</v>
      </c>
      <c r="R51" s="10">
        <v>0</v>
      </c>
      <c r="S51" s="10">
        <v>0</v>
      </c>
      <c r="T51" s="10"/>
      <c r="U51" t="str">
        <f>"RUNNING_COST_"&amp;IF(PROPERTIES[[#This Row],[ENGINE_CLASS]]="MAGLEV","ELECTRIC",PROPERTIES[[#This Row],[ENGINE_CLASS]])</f>
        <v>RUNNING_COST_ELECTRIC</v>
      </c>
      <c r="V51" s="10" t="s">
        <v>996</v>
      </c>
      <c r="W51" s="10" t="s">
        <v>997</v>
      </c>
      <c r="X51" s="10" t="str">
        <f>SUBSTITUTE(SUBSTITUTE(PROPERTIES[[#This Row],[PURCHASECOST_VALUE]], "PURCHASECOST_", ""), "_VALUE", "")</f>
        <v>ELECTRICRAILBUS</v>
      </c>
      <c r="AP51"/>
      <c r="AQ51"/>
      <c r="AR51"/>
    </row>
    <row r="52" spans="1:44">
      <c r="A52" s="2" t="s">
        <v>76</v>
      </c>
      <c r="B52">
        <v>1930</v>
      </c>
      <c r="C52">
        <v>0</v>
      </c>
      <c r="D52" t="s">
        <v>74</v>
      </c>
      <c r="E52" t="s">
        <v>18</v>
      </c>
      <c r="F52">
        <v>50</v>
      </c>
      <c r="G52" s="10">
        <v>23</v>
      </c>
      <c r="H52">
        <v>4</v>
      </c>
      <c r="I52">
        <v>4</v>
      </c>
      <c r="J52" s="2" t="s">
        <v>24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>
        <v>175</v>
      </c>
      <c r="O52">
        <v>50</v>
      </c>
      <c r="P52" s="2">
        <v>0.08</v>
      </c>
      <c r="Q52" s="6">
        <v>15</v>
      </c>
      <c r="R52" s="10">
        <v>0</v>
      </c>
      <c r="S52" s="10">
        <v>0</v>
      </c>
      <c r="T52" s="10"/>
      <c r="U52" t="str">
        <f>"RUNNING_COST_"&amp;IF(PROPERTIES[[#This Row],[ENGINE_CLASS]]="MAGLEV","ELECTRIC",PROPERTIES[[#This Row],[ENGINE_CLASS]])</f>
        <v>RUNNING_COST_ELECTRIC</v>
      </c>
      <c r="V52" s="10" t="s">
        <v>996</v>
      </c>
      <c r="W52" s="10" t="s">
        <v>997</v>
      </c>
      <c r="X52" s="10" t="str">
        <f>SUBSTITUTE(SUBSTITUTE(PROPERTIES[[#This Row],[PURCHASECOST_VALUE]], "PURCHASECOST_", ""), "_VALUE", "")</f>
        <v>ELECTRICRAILBUS</v>
      </c>
      <c r="AP52"/>
      <c r="AQ52"/>
      <c r="AR52"/>
    </row>
    <row r="53" spans="1:44">
      <c r="A53" s="2" t="s">
        <v>77</v>
      </c>
      <c r="B53">
        <v>1982</v>
      </c>
      <c r="C53">
        <v>0</v>
      </c>
      <c r="D53" t="s">
        <v>74</v>
      </c>
      <c r="E53" t="s">
        <v>18</v>
      </c>
      <c r="F53">
        <v>24</v>
      </c>
      <c r="G53" s="10">
        <v>20</v>
      </c>
      <c r="H53">
        <v>5</v>
      </c>
      <c r="I53">
        <v>5</v>
      </c>
      <c r="J53" s="2" t="s">
        <v>24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>
        <v>160</v>
      </c>
      <c r="O53">
        <v>50</v>
      </c>
      <c r="P53" s="2">
        <v>0.13</v>
      </c>
      <c r="Q53" s="6">
        <v>15</v>
      </c>
      <c r="R53" s="10">
        <v>0</v>
      </c>
      <c r="S53" s="10">
        <v>0</v>
      </c>
      <c r="T53" s="10"/>
      <c r="U53" t="str">
        <f>"RUNNING_COST_"&amp;IF(PROPERTIES[[#This Row],[ENGINE_CLASS]]="MAGLEV","ELECTRIC",PROPERTIES[[#This Row],[ENGINE_CLASS]])</f>
        <v>RUNNING_COST_ELECTRIC</v>
      </c>
      <c r="V53" s="10" t="s">
        <v>996</v>
      </c>
      <c r="W53" s="10" t="s">
        <v>997</v>
      </c>
      <c r="X53" s="10" t="str">
        <f>SUBSTITUTE(SUBSTITUTE(PROPERTIES[[#This Row],[PURCHASECOST_VALUE]], "PURCHASECOST_", ""), "_VALUE", "")</f>
        <v>ELECTRICRAILBUS</v>
      </c>
      <c r="AP53"/>
      <c r="AQ53"/>
      <c r="AR53"/>
    </row>
    <row r="54" spans="1:44">
      <c r="A54" s="2" t="s">
        <v>78</v>
      </c>
      <c r="B54">
        <v>1930</v>
      </c>
      <c r="C54">
        <v>0</v>
      </c>
      <c r="D54" t="s">
        <v>74</v>
      </c>
      <c r="E54" t="s">
        <v>18</v>
      </c>
      <c r="F54">
        <v>48</v>
      </c>
      <c r="G54" s="10">
        <v>45</v>
      </c>
      <c r="H54">
        <v>7</v>
      </c>
      <c r="I54">
        <v>7</v>
      </c>
      <c r="J54" s="2" t="s">
        <v>24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>
        <v>270</v>
      </c>
      <c r="O54">
        <v>40</v>
      </c>
      <c r="P54" s="2">
        <v>0.08</v>
      </c>
      <c r="Q54" s="6">
        <v>15</v>
      </c>
      <c r="R54" s="10">
        <v>0</v>
      </c>
      <c r="S54" s="10">
        <v>0</v>
      </c>
      <c r="T54" s="10"/>
      <c r="U54" t="str">
        <f>"RUNNING_COST_"&amp;IF(PROPERTIES[[#This Row],[ENGINE_CLASS]]="MAGLEV","ELECTRIC",PROPERTIES[[#This Row],[ENGINE_CLASS]])</f>
        <v>RUNNING_COST_ELECTRIC</v>
      </c>
      <c r="V54" s="10" t="s">
        <v>996</v>
      </c>
      <c r="W54" s="10" t="s">
        <v>997</v>
      </c>
      <c r="X54" s="10" t="str">
        <f>SUBSTITUTE(SUBSTITUTE(PROPERTIES[[#This Row],[PURCHASECOST_VALUE]], "PURCHASECOST_", ""), "_VALUE", "")</f>
        <v>ELECTRICRAILBUS</v>
      </c>
      <c r="AP54"/>
      <c r="AQ54"/>
      <c r="AR54"/>
    </row>
    <row r="55" spans="1:44">
      <c r="A55" s="2" t="s">
        <v>79</v>
      </c>
      <c r="B55">
        <v>1949</v>
      </c>
      <c r="C55">
        <v>0</v>
      </c>
      <c r="D55" t="s">
        <v>74</v>
      </c>
      <c r="E55" t="s">
        <v>18</v>
      </c>
      <c r="F55">
        <v>84</v>
      </c>
      <c r="G55" s="10">
        <v>58</v>
      </c>
      <c r="H55">
        <v>8</v>
      </c>
      <c r="I55">
        <v>8</v>
      </c>
      <c r="J55" s="2" t="s">
        <v>24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>
        <v>800</v>
      </c>
      <c r="O55">
        <v>150</v>
      </c>
      <c r="P55" s="2">
        <v>0.21</v>
      </c>
      <c r="Q55" s="6">
        <v>15</v>
      </c>
      <c r="R55" s="10">
        <v>0</v>
      </c>
      <c r="S55" s="10">
        <v>0</v>
      </c>
      <c r="T55" s="10"/>
      <c r="U55" t="str">
        <f>"RUNNING_COST_"&amp;IF(PROPERTIES[[#This Row],[ENGINE_CLASS]]="MAGLEV","ELECTRIC",PROPERTIES[[#This Row],[ENGINE_CLASS]])</f>
        <v>RUNNING_COST_ELECTRIC</v>
      </c>
      <c r="V55" s="10" t="s">
        <v>996</v>
      </c>
      <c r="W55" s="10" t="s">
        <v>997</v>
      </c>
      <c r="X55" s="10" t="str">
        <f>SUBSTITUTE(SUBSTITUTE(PROPERTIES[[#This Row],[PURCHASECOST_VALUE]], "PURCHASECOST_", ""), "_VALUE", "")</f>
        <v>ELECTRICRAILBUS</v>
      </c>
      <c r="AP55"/>
      <c r="AQ55"/>
      <c r="AR55"/>
    </row>
    <row r="56" spans="1:44">
      <c r="A56" s="2" t="s">
        <v>80</v>
      </c>
      <c r="B56">
        <v>1981</v>
      </c>
      <c r="C56">
        <v>0</v>
      </c>
      <c r="D56" t="s">
        <v>74</v>
      </c>
      <c r="E56" t="s">
        <v>18</v>
      </c>
      <c r="F56">
        <v>80</v>
      </c>
      <c r="G56" s="10">
        <v>49</v>
      </c>
      <c r="H56">
        <v>7</v>
      </c>
      <c r="I56">
        <v>7</v>
      </c>
      <c r="J56" s="2" t="s">
        <v>24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>
        <v>720</v>
      </c>
      <c r="O56">
        <v>120</v>
      </c>
      <c r="P56" s="2">
        <v>0.17</v>
      </c>
      <c r="Q56" s="6">
        <v>15</v>
      </c>
      <c r="R56" s="10">
        <v>0</v>
      </c>
      <c r="S56" s="10">
        <v>0</v>
      </c>
      <c r="T56" s="10"/>
      <c r="U56" t="str">
        <f>"RUNNING_COST_"&amp;IF(PROPERTIES[[#This Row],[ENGINE_CLASS]]="MAGLEV","ELECTRIC",PROPERTIES[[#This Row],[ENGINE_CLASS]])</f>
        <v>RUNNING_COST_ELECTRIC</v>
      </c>
      <c r="V56" s="10" t="s">
        <v>996</v>
      </c>
      <c r="W56" s="10" t="s">
        <v>997</v>
      </c>
      <c r="X56" s="10" t="str">
        <f>SUBSTITUTE(SUBSTITUTE(PROPERTIES[[#This Row],[PURCHASECOST_VALUE]], "PURCHASECOST_", ""), "_VALUE", "")</f>
        <v>ELECTRICRAILBUS</v>
      </c>
      <c r="AP56"/>
      <c r="AQ56"/>
      <c r="AR56"/>
    </row>
    <row r="57" spans="1:44">
      <c r="A57" s="2" t="s">
        <v>81</v>
      </c>
      <c r="B57">
        <v>1950</v>
      </c>
      <c r="C57">
        <v>0</v>
      </c>
      <c r="D57" t="s">
        <v>74</v>
      </c>
      <c r="E57" t="s">
        <v>18</v>
      </c>
      <c r="F57">
        <v>54</v>
      </c>
      <c r="G57" s="10">
        <v>66</v>
      </c>
      <c r="H57">
        <v>8</v>
      </c>
      <c r="I57">
        <v>8</v>
      </c>
      <c r="J57" s="2" t="s">
        <v>24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>
        <v>965</v>
      </c>
      <c r="O57">
        <v>110</v>
      </c>
      <c r="P57" s="2">
        <v>0.08</v>
      </c>
      <c r="Q57" s="6">
        <v>15</v>
      </c>
      <c r="R57" s="10">
        <v>0</v>
      </c>
      <c r="S57" s="10">
        <v>0</v>
      </c>
      <c r="T57" s="10"/>
      <c r="U57" t="str">
        <f>"RUNNING_COST_"&amp;IF(PROPERTIES[[#This Row],[ENGINE_CLASS]]="MAGLEV","ELECTRIC",PROPERTIES[[#This Row],[ENGINE_CLASS]])</f>
        <v>RUNNING_COST_ELECTRIC</v>
      </c>
      <c r="V57" s="10" t="s">
        <v>996</v>
      </c>
      <c r="W57" s="10" t="s">
        <v>997</v>
      </c>
      <c r="X57" s="10" t="str">
        <f>SUBSTITUTE(SUBSTITUTE(PROPERTIES[[#This Row],[PURCHASECOST_VALUE]], "PURCHASECOST_", ""), "_VALUE", "")</f>
        <v>ELECTRICRAILBUS</v>
      </c>
      <c r="AP57"/>
      <c r="AQ57"/>
      <c r="AR57"/>
    </row>
    <row r="58" spans="1:44">
      <c r="A58" s="2" t="s">
        <v>82</v>
      </c>
      <c r="B58">
        <v>1925</v>
      </c>
      <c r="C58">
        <v>0</v>
      </c>
      <c r="D58" t="s">
        <v>74</v>
      </c>
      <c r="E58" t="s">
        <v>18</v>
      </c>
      <c r="F58">
        <v>44</v>
      </c>
      <c r="G58" s="10">
        <v>40</v>
      </c>
      <c r="H58">
        <v>8</v>
      </c>
      <c r="I58">
        <v>8</v>
      </c>
      <c r="J58" s="2" t="s">
        <v>24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>
        <v>480</v>
      </c>
      <c r="O58">
        <v>85</v>
      </c>
      <c r="P58" s="2">
        <v>0.13</v>
      </c>
      <c r="Q58" s="6">
        <v>15</v>
      </c>
      <c r="R58" s="10">
        <v>0</v>
      </c>
      <c r="S58" s="10">
        <v>0</v>
      </c>
      <c r="T58" s="10"/>
      <c r="U58" t="str">
        <f>"RUNNING_COST_"&amp;IF(PROPERTIES[[#This Row],[ENGINE_CLASS]]="MAGLEV","ELECTRIC",PROPERTIES[[#This Row],[ENGINE_CLASS]])</f>
        <v>RUNNING_COST_ELECTRIC</v>
      </c>
      <c r="V58" s="10" t="s">
        <v>996</v>
      </c>
      <c r="W58" s="10" t="s">
        <v>997</v>
      </c>
      <c r="X58" s="10" t="str">
        <f>SUBSTITUTE(SUBSTITUTE(PROPERTIES[[#This Row],[PURCHASECOST_VALUE]], "PURCHASECOST_", ""), "_VALUE", "")</f>
        <v>ELECTRICRAILBUS</v>
      </c>
      <c r="AP58"/>
      <c r="AQ58"/>
      <c r="AR58"/>
    </row>
    <row r="59" spans="1:44">
      <c r="A59" s="2" t="s">
        <v>83</v>
      </c>
      <c r="B59">
        <v>2005</v>
      </c>
      <c r="C59">
        <v>0</v>
      </c>
      <c r="D59" t="s">
        <v>74</v>
      </c>
      <c r="E59" t="s">
        <v>18</v>
      </c>
      <c r="F59">
        <v>60</v>
      </c>
      <c r="G59" s="10">
        <v>53</v>
      </c>
      <c r="H59">
        <v>8</v>
      </c>
      <c r="I59">
        <v>8</v>
      </c>
      <c r="J59" s="2" t="s">
        <v>24</v>
      </c>
      <c r="K59">
        <f>_xlfn.XLOOKUP("LOADINGSPEEDDEF_"&amp;PROPERTIES[[#This Row],[LOADINGSPEED]],LOADINGSPEEDDEF[TYPE],LOADINGSPEEDDEF[SPEED])</f>
        <v>40</v>
      </c>
      <c r="L59" t="s">
        <v>21</v>
      </c>
      <c r="M59">
        <v>1</v>
      </c>
      <c r="N59">
        <v>750</v>
      </c>
      <c r="O59">
        <v>120</v>
      </c>
      <c r="P59" s="2">
        <v>0.08</v>
      </c>
      <c r="Q59" s="6">
        <v>15</v>
      </c>
      <c r="R59" s="10">
        <v>0</v>
      </c>
      <c r="S59" s="10">
        <v>0</v>
      </c>
      <c r="T59" s="10"/>
      <c r="U59" t="str">
        <f>"RUNNING_COST_"&amp;IF(PROPERTIES[[#This Row],[ENGINE_CLASS]]="MAGLEV","ELECTRIC",PROPERTIES[[#This Row],[ENGINE_CLASS]])</f>
        <v>RUNNING_COST_ELECTRIC</v>
      </c>
      <c r="V59" s="10" t="s">
        <v>996</v>
      </c>
      <c r="W59" s="10" t="s">
        <v>997</v>
      </c>
      <c r="X59" s="10" t="str">
        <f>SUBSTITUTE(SUBSTITUTE(PROPERTIES[[#This Row],[PURCHASECOST_VALUE]], "PURCHASECOST_", ""), "_VALUE", "")</f>
        <v>ELECTRICRAILBUS</v>
      </c>
      <c r="AP59"/>
      <c r="AQ59"/>
      <c r="AR59"/>
    </row>
    <row r="60" spans="1:44">
      <c r="A60" s="2" t="s">
        <v>84</v>
      </c>
      <c r="B60">
        <v>1989</v>
      </c>
      <c r="C60">
        <v>0</v>
      </c>
      <c r="D60" t="s">
        <v>74</v>
      </c>
      <c r="E60" t="s">
        <v>18</v>
      </c>
      <c r="F60">
        <v>64</v>
      </c>
      <c r="G60" s="10">
        <v>42</v>
      </c>
      <c r="H60">
        <v>8</v>
      </c>
      <c r="I60">
        <v>8</v>
      </c>
      <c r="J60" s="2" t="s">
        <v>24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>
        <v>643</v>
      </c>
      <c r="O60">
        <v>120</v>
      </c>
      <c r="P60" s="2">
        <v>0.21</v>
      </c>
      <c r="Q60" s="6">
        <v>15</v>
      </c>
      <c r="R60" s="10">
        <v>0</v>
      </c>
      <c r="S60" s="10">
        <v>0</v>
      </c>
      <c r="T60" s="10"/>
      <c r="U60" t="str">
        <f>"RUNNING_COST_"&amp;IF(PROPERTIES[[#This Row],[ENGINE_CLASS]]="MAGLEV","ELECTRIC",PROPERTIES[[#This Row],[ENGINE_CLASS]])</f>
        <v>RUNNING_COST_ELECTRIC</v>
      </c>
      <c r="V60" s="10" t="s">
        <v>996</v>
      </c>
      <c r="W60" s="10" t="s">
        <v>997</v>
      </c>
      <c r="X60" s="10" t="str">
        <f>SUBSTITUTE(SUBSTITUTE(PROPERTIES[[#This Row],[PURCHASECOST_VALUE]], "PURCHASECOST_", ""), "_VALUE", "")</f>
        <v>ELECTRICRAILBUS</v>
      </c>
      <c r="AP60"/>
      <c r="AQ60"/>
      <c r="AR60"/>
    </row>
    <row r="61" spans="1:44">
      <c r="A61" s="2" t="s">
        <v>85</v>
      </c>
      <c r="B61">
        <v>2001</v>
      </c>
      <c r="C61">
        <v>0</v>
      </c>
      <c r="D61" t="s">
        <v>74</v>
      </c>
      <c r="E61" t="s">
        <v>18</v>
      </c>
      <c r="F61">
        <v>56</v>
      </c>
      <c r="G61" s="10">
        <v>25</v>
      </c>
      <c r="H61">
        <v>8</v>
      </c>
      <c r="I61">
        <v>8</v>
      </c>
      <c r="J61" s="2" t="s">
        <v>24</v>
      </c>
      <c r="K61">
        <f>_xlfn.XLOOKUP("LOADINGSPEEDDEF_"&amp;PROPERTIES[[#This Row],[LOADINGSPEED]],LOADINGSPEEDDEF[TYPE],LOADINGSPEEDDEF[SPEED])</f>
        <v>40</v>
      </c>
      <c r="L61" t="s">
        <v>21</v>
      </c>
      <c r="M61">
        <v>1</v>
      </c>
      <c r="N61">
        <v>1180</v>
      </c>
      <c r="O61">
        <v>140</v>
      </c>
      <c r="P61" s="2">
        <v>0.28999999999999998</v>
      </c>
      <c r="Q61" s="6">
        <v>15</v>
      </c>
      <c r="R61" s="10">
        <v>0</v>
      </c>
      <c r="S61" s="10">
        <v>0</v>
      </c>
      <c r="T61" s="10"/>
      <c r="U61" t="str">
        <f>"RUNNING_COST_"&amp;IF(PROPERTIES[[#This Row],[ENGINE_CLASS]]="MAGLEV","ELECTRIC",PROPERTIES[[#This Row],[ENGINE_CLASS]])</f>
        <v>RUNNING_COST_ELECTRIC</v>
      </c>
      <c r="V61" s="10" t="s">
        <v>996</v>
      </c>
      <c r="W61" s="10" t="s">
        <v>997</v>
      </c>
      <c r="X61" s="10" t="str">
        <f>SUBSTITUTE(SUBSTITUTE(PROPERTIES[[#This Row],[PURCHASECOST_VALUE]], "PURCHASECOST_", ""), "_VALUE", "")</f>
        <v>ELECTRICRAILBUS</v>
      </c>
      <c r="AP61"/>
      <c r="AQ61"/>
      <c r="AR61"/>
    </row>
    <row r="62" spans="1:44">
      <c r="A62" s="2" t="s">
        <v>86</v>
      </c>
      <c r="B62">
        <v>1927</v>
      </c>
      <c r="C62">
        <v>0</v>
      </c>
      <c r="D62" t="s">
        <v>74</v>
      </c>
      <c r="E62" t="s">
        <v>18</v>
      </c>
      <c r="F62">
        <v>75</v>
      </c>
      <c r="G62" s="10">
        <v>61</v>
      </c>
      <c r="H62">
        <v>8</v>
      </c>
      <c r="I62">
        <v>8</v>
      </c>
      <c r="J62" s="2" t="s">
        <v>24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>
        <v>740</v>
      </c>
      <c r="O62">
        <v>75</v>
      </c>
      <c r="P62" s="2">
        <v>0.16</v>
      </c>
      <c r="Q62" s="6">
        <v>15</v>
      </c>
      <c r="R62" s="10">
        <v>0</v>
      </c>
      <c r="S62" s="10">
        <v>0</v>
      </c>
      <c r="T62" s="10"/>
      <c r="U62" t="str">
        <f>"RUNNING_COST_"&amp;IF(PROPERTIES[[#This Row],[ENGINE_CLASS]]="MAGLEV","ELECTRIC",PROPERTIES[[#This Row],[ENGINE_CLASS]])</f>
        <v>RUNNING_COST_ELECTRIC</v>
      </c>
      <c r="V62" s="10" t="s">
        <v>996</v>
      </c>
      <c r="W62" s="10" t="s">
        <v>997</v>
      </c>
      <c r="X62" s="10" t="str">
        <f>SUBSTITUTE(SUBSTITUTE(PROPERTIES[[#This Row],[PURCHASECOST_VALUE]], "PURCHASECOST_", ""), "_VALUE", "")</f>
        <v>ELECTRICRAILBUS</v>
      </c>
      <c r="AP62"/>
      <c r="AQ62"/>
      <c r="AR62"/>
    </row>
    <row r="63" spans="1:44">
      <c r="A63" s="2" t="s">
        <v>87</v>
      </c>
      <c r="B63">
        <v>1955</v>
      </c>
      <c r="C63">
        <v>0</v>
      </c>
      <c r="D63" t="s">
        <v>74</v>
      </c>
      <c r="E63" t="s">
        <v>18</v>
      </c>
      <c r="F63">
        <v>55</v>
      </c>
      <c r="G63" s="10">
        <v>21</v>
      </c>
      <c r="H63">
        <v>6</v>
      </c>
      <c r="I63">
        <v>6</v>
      </c>
      <c r="J63" s="2" t="s">
        <v>24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>
        <v>230</v>
      </c>
      <c r="O63">
        <v>110</v>
      </c>
      <c r="P63" s="2">
        <v>0.34</v>
      </c>
      <c r="Q63" s="6">
        <v>15</v>
      </c>
      <c r="R63" s="10">
        <v>0</v>
      </c>
      <c r="S63" s="10">
        <v>0</v>
      </c>
      <c r="T63" s="10"/>
      <c r="U63" t="str">
        <f>"RUNNING_COST_"&amp;IF(PROPERTIES[[#This Row],[ENGINE_CLASS]]="MAGLEV","ELECTRIC",PROPERTIES[[#This Row],[ENGINE_CLASS]])</f>
        <v>RUNNING_COST_ELECTRIC</v>
      </c>
      <c r="V63" s="10" t="s">
        <v>996</v>
      </c>
      <c r="W63" s="10" t="s">
        <v>997</v>
      </c>
      <c r="X63" s="10" t="str">
        <f>SUBSTITUTE(SUBSTITUTE(PROPERTIES[[#This Row],[PURCHASECOST_VALUE]], "PURCHASECOST_", ""), "_VALUE", "")</f>
        <v>ELECTRICRAILBUS</v>
      </c>
      <c r="AP63"/>
      <c r="AQ63"/>
      <c r="AR63"/>
    </row>
    <row r="64" spans="1:44">
      <c r="A64" s="2" t="s">
        <v>88</v>
      </c>
      <c r="B64">
        <v>1963</v>
      </c>
      <c r="C64">
        <v>0</v>
      </c>
      <c r="D64" t="s">
        <v>74</v>
      </c>
      <c r="E64" t="s">
        <v>18</v>
      </c>
      <c r="F64">
        <v>124</v>
      </c>
      <c r="G64" s="10">
        <v>46</v>
      </c>
      <c r="H64">
        <v>8</v>
      </c>
      <c r="I64">
        <v>8</v>
      </c>
      <c r="J64" s="2" t="s">
        <v>24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>
        <v>550</v>
      </c>
      <c r="O64">
        <v>160</v>
      </c>
      <c r="P64" s="2">
        <v>0.18</v>
      </c>
      <c r="Q64" s="6">
        <v>15</v>
      </c>
      <c r="R64" s="10">
        <v>0</v>
      </c>
      <c r="S64" s="10">
        <v>0</v>
      </c>
      <c r="T64" s="10"/>
      <c r="U64" t="str">
        <f>"RUNNING_COST_"&amp;IF(PROPERTIES[[#This Row],[ENGINE_CLASS]]="MAGLEV","ELECTRIC",PROPERTIES[[#This Row],[ENGINE_CLASS]])</f>
        <v>RUNNING_COST_ELECTRIC</v>
      </c>
      <c r="V64" s="10" t="s">
        <v>996</v>
      </c>
      <c r="W64" s="10" t="s">
        <v>997</v>
      </c>
      <c r="X64" s="10" t="str">
        <f>SUBSTITUTE(SUBSTITUTE(PROPERTIES[[#This Row],[PURCHASECOST_VALUE]], "PURCHASECOST_", ""), "_VALUE", "")</f>
        <v>ELECTRICRAILBUS</v>
      </c>
      <c r="AP64"/>
      <c r="AQ64"/>
      <c r="AR64"/>
    </row>
    <row r="65" spans="1:44">
      <c r="A65" s="2" t="s">
        <v>89</v>
      </c>
      <c r="B65">
        <v>2010</v>
      </c>
      <c r="C65">
        <v>0</v>
      </c>
      <c r="D65" t="s">
        <v>74</v>
      </c>
      <c r="E65" t="s">
        <v>18</v>
      </c>
      <c r="F65">
        <v>110</v>
      </c>
      <c r="G65" s="10">
        <v>66</v>
      </c>
      <c r="H65">
        <v>8</v>
      </c>
      <c r="I65">
        <v>8</v>
      </c>
      <c r="J65" s="2" t="s">
        <v>24</v>
      </c>
      <c r="K65">
        <f>_xlfn.XLOOKUP("LOADINGSPEEDDEF_"&amp;PROPERTIES[[#This Row],[LOADINGSPEED]],LOADINGSPEEDDEF[TYPE],LOADINGSPEEDDEF[SPEED])</f>
        <v>40</v>
      </c>
      <c r="L65" t="s">
        <v>21</v>
      </c>
      <c r="M65">
        <v>1</v>
      </c>
      <c r="N65">
        <v>680</v>
      </c>
      <c r="O65">
        <v>180</v>
      </c>
      <c r="P65" s="2">
        <v>0.17</v>
      </c>
      <c r="Q65" s="6">
        <v>15</v>
      </c>
      <c r="R65" s="10">
        <v>0</v>
      </c>
      <c r="S65" s="10">
        <v>0</v>
      </c>
      <c r="T65" s="10"/>
      <c r="U65" t="str">
        <f>"RUNNING_COST_"&amp;IF(PROPERTIES[[#This Row],[ENGINE_CLASS]]="MAGLEV","ELECTRIC",PROPERTIES[[#This Row],[ENGINE_CLASS]])</f>
        <v>RUNNING_COST_ELECTRIC</v>
      </c>
      <c r="V65" s="10" t="s">
        <v>996</v>
      </c>
      <c r="W65" s="10" t="s">
        <v>997</v>
      </c>
      <c r="X65" s="10" t="str">
        <f>SUBSTITUTE(SUBSTITUTE(PROPERTIES[[#This Row],[PURCHASECOST_VALUE]], "PURCHASECOST_", ""), "_VALUE", "")</f>
        <v>ELECTRICRAILBUS</v>
      </c>
      <c r="AP65"/>
      <c r="AQ65"/>
      <c r="AR65"/>
    </row>
    <row r="66" spans="1:44">
      <c r="A66" s="2" t="s">
        <v>90</v>
      </c>
      <c r="B66">
        <v>1835</v>
      </c>
      <c r="C66">
        <v>0</v>
      </c>
      <c r="D66" t="s">
        <v>23</v>
      </c>
      <c r="E66" t="s">
        <v>20</v>
      </c>
      <c r="F66">
        <v>0</v>
      </c>
      <c r="G66" s="10">
        <v>16</v>
      </c>
      <c r="H66">
        <v>7</v>
      </c>
      <c r="I66">
        <v>7</v>
      </c>
      <c r="J66" s="2" t="s">
        <v>20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>
        <v>50</v>
      </c>
      <c r="O66">
        <v>35</v>
      </c>
      <c r="P66" s="2">
        <v>0.09</v>
      </c>
      <c r="Q66" s="6">
        <v>40</v>
      </c>
      <c r="R66" s="10">
        <v>0</v>
      </c>
      <c r="S66" s="10">
        <v>0</v>
      </c>
      <c r="T66" s="10"/>
      <c r="U66" t="str">
        <f>"RUNNING_COST_"&amp;IF(PROPERTIES[[#This Row],[ENGINE_CLASS]]="MAGLEV","ELECTRIC",PROPERTIES[[#This Row],[ENGINE_CLASS]])</f>
        <v>RUNNING_COST_STEAM</v>
      </c>
      <c r="V66" s="10" t="s">
        <v>998</v>
      </c>
      <c r="W66" s="10" t="s">
        <v>999</v>
      </c>
      <c r="X66" s="10" t="str">
        <f>SUBSTITUTE(SUBSTITUTE(PROPERTIES[[#This Row],[PURCHASECOST_VALUE]], "PURCHASECOST_", ""), "_VALUE", "")</f>
        <v>STEAMENGINE</v>
      </c>
      <c r="AP66"/>
      <c r="AQ66"/>
      <c r="AR66"/>
    </row>
    <row r="67" spans="1:44">
      <c r="A67" s="2" t="s">
        <v>91</v>
      </c>
      <c r="B67">
        <v>1848</v>
      </c>
      <c r="C67">
        <v>0</v>
      </c>
      <c r="D67" t="s">
        <v>23</v>
      </c>
      <c r="E67" t="s">
        <v>20</v>
      </c>
      <c r="F67">
        <v>0</v>
      </c>
      <c r="G67" s="10">
        <v>60</v>
      </c>
      <c r="H67">
        <v>6</v>
      </c>
      <c r="I67">
        <v>8</v>
      </c>
      <c r="J67" s="2" t="s">
        <v>20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>
        <v>650</v>
      </c>
      <c r="O67">
        <v>96</v>
      </c>
      <c r="P67" s="2">
        <v>7.0000000000000007E-2</v>
      </c>
      <c r="Q67" s="6">
        <v>40</v>
      </c>
      <c r="R67" s="10">
        <v>0</v>
      </c>
      <c r="S67" s="10">
        <v>4</v>
      </c>
      <c r="T67" s="10"/>
      <c r="U67" t="str">
        <f>"RUNNING_COST_"&amp;IF(PROPERTIES[[#This Row],[ENGINE_CLASS]]="MAGLEV","ELECTRIC",PROPERTIES[[#This Row],[ENGINE_CLASS]])</f>
        <v>RUNNING_COST_STEAM</v>
      </c>
      <c r="V67" s="10" t="s">
        <v>998</v>
      </c>
      <c r="W67" s="10" t="s">
        <v>999</v>
      </c>
      <c r="X67" s="10" t="str">
        <f>SUBSTITUTE(SUBSTITUTE(PROPERTIES[[#This Row],[PURCHASECOST_VALUE]], "PURCHASECOST_", ""), "_VALUE", "")</f>
        <v>STEAMENGINE</v>
      </c>
      <c r="AP67"/>
      <c r="AQ67"/>
      <c r="AR67"/>
    </row>
    <row r="68" spans="1:44">
      <c r="A68" s="2" t="s">
        <v>92</v>
      </c>
      <c r="B68">
        <v>1854</v>
      </c>
      <c r="C68">
        <v>0</v>
      </c>
      <c r="D68" t="s">
        <v>23</v>
      </c>
      <c r="E68" t="s">
        <v>20</v>
      </c>
      <c r="F68">
        <v>0</v>
      </c>
      <c r="G68" s="10">
        <v>46</v>
      </c>
      <c r="H68">
        <v>5</v>
      </c>
      <c r="I68">
        <v>5</v>
      </c>
      <c r="J68" s="2" t="s">
        <v>20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>
        <v>400</v>
      </c>
      <c r="O68">
        <v>60</v>
      </c>
      <c r="P68" s="2">
        <v>0.1</v>
      </c>
      <c r="Q68" s="6">
        <v>40</v>
      </c>
      <c r="R68" s="10">
        <v>0</v>
      </c>
      <c r="S68" s="10">
        <v>0</v>
      </c>
      <c r="T68" s="10"/>
      <c r="U68" t="str">
        <f>"RUNNING_COST_"&amp;IF(PROPERTIES[[#This Row],[ENGINE_CLASS]]="MAGLEV","ELECTRIC",PROPERTIES[[#This Row],[ENGINE_CLASS]])</f>
        <v>RUNNING_COST_STEAM</v>
      </c>
      <c r="V68" s="10" t="s">
        <v>998</v>
      </c>
      <c r="W68" s="10" t="s">
        <v>999</v>
      </c>
      <c r="X68" s="10" t="str">
        <f>SUBSTITUTE(SUBSTITUTE(PROPERTIES[[#This Row],[PURCHASECOST_VALUE]], "PURCHASECOST_", ""), "_VALUE", "")</f>
        <v>STEAMENGINE</v>
      </c>
      <c r="AP68"/>
      <c r="AQ68"/>
      <c r="AR68"/>
    </row>
    <row r="69" spans="1:44">
      <c r="A69" s="2" t="s">
        <v>93</v>
      </c>
      <c r="B69">
        <v>1869</v>
      </c>
      <c r="C69">
        <v>0</v>
      </c>
      <c r="D69" t="s">
        <v>23</v>
      </c>
      <c r="E69" t="s">
        <v>20</v>
      </c>
      <c r="F69">
        <v>0</v>
      </c>
      <c r="G69" s="10">
        <v>69</v>
      </c>
      <c r="H69">
        <v>7</v>
      </c>
      <c r="I69">
        <v>8</v>
      </c>
      <c r="J69" s="2" t="s">
        <v>20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>
        <v>700</v>
      </c>
      <c r="O69">
        <v>96</v>
      </c>
      <c r="P69" s="2">
        <v>0.08</v>
      </c>
      <c r="Q69" s="6">
        <v>40</v>
      </c>
      <c r="R69" s="10">
        <v>0</v>
      </c>
      <c r="S69" s="10">
        <v>4</v>
      </c>
      <c r="T69" s="10"/>
      <c r="U69" t="str">
        <f>"RUNNING_COST_"&amp;IF(PROPERTIES[[#This Row],[ENGINE_CLASS]]="MAGLEV","ELECTRIC",PROPERTIES[[#This Row],[ENGINE_CLASS]])</f>
        <v>RUNNING_COST_STEAM</v>
      </c>
      <c r="V69" s="10" t="s">
        <v>998</v>
      </c>
      <c r="W69" s="10" t="s">
        <v>999</v>
      </c>
      <c r="X69" s="10" t="str">
        <f>SUBSTITUTE(SUBSTITUTE(PROPERTIES[[#This Row],[PURCHASECOST_VALUE]], "PURCHASECOST_", ""), "_VALUE", "")</f>
        <v>STEAMENGINE</v>
      </c>
      <c r="AP69"/>
      <c r="AQ69"/>
      <c r="AR69"/>
    </row>
    <row r="70" spans="1:44">
      <c r="A70" s="2" t="s">
        <v>94</v>
      </c>
      <c r="B70">
        <v>1875</v>
      </c>
      <c r="C70">
        <v>0</v>
      </c>
      <c r="D70" t="s">
        <v>23</v>
      </c>
      <c r="E70" t="s">
        <v>20</v>
      </c>
      <c r="F70">
        <v>0</v>
      </c>
      <c r="G70" s="10">
        <v>126</v>
      </c>
      <c r="H70">
        <v>8</v>
      </c>
      <c r="I70">
        <v>10</v>
      </c>
      <c r="J70" s="2" t="s">
        <v>20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>
        <v>1000</v>
      </c>
      <c r="O70">
        <v>80</v>
      </c>
      <c r="P70" s="2">
        <v>0.13</v>
      </c>
      <c r="Q70" s="6">
        <v>40</v>
      </c>
      <c r="R70" s="10">
        <v>0</v>
      </c>
      <c r="S70" s="10">
        <v>5</v>
      </c>
      <c r="T70" s="10"/>
      <c r="U70" t="str">
        <f>"RUNNING_COST_"&amp;IF(PROPERTIES[[#This Row],[ENGINE_CLASS]]="MAGLEV","ELECTRIC",PROPERTIES[[#This Row],[ENGINE_CLASS]])</f>
        <v>RUNNING_COST_STEAM</v>
      </c>
      <c r="V70" s="10" t="s">
        <v>998</v>
      </c>
      <c r="W70" s="10" t="s">
        <v>999</v>
      </c>
      <c r="X70" s="10" t="str">
        <f>SUBSTITUTE(SUBSTITUTE(PROPERTIES[[#This Row],[PURCHASECOST_VALUE]], "PURCHASECOST_", ""), "_VALUE", "")</f>
        <v>STEAMENGINE</v>
      </c>
      <c r="AP70"/>
      <c r="AQ70"/>
      <c r="AR70"/>
    </row>
    <row r="71" spans="1:44">
      <c r="A71" s="2" t="s">
        <v>95</v>
      </c>
      <c r="B71">
        <v>1885</v>
      </c>
      <c r="C71">
        <v>0</v>
      </c>
      <c r="D71" t="s">
        <v>23</v>
      </c>
      <c r="E71" t="s">
        <v>20</v>
      </c>
      <c r="F71">
        <v>0</v>
      </c>
      <c r="G71" s="10">
        <v>27</v>
      </c>
      <c r="H71">
        <v>6</v>
      </c>
      <c r="I71">
        <v>6</v>
      </c>
      <c r="J71" s="2" t="s">
        <v>20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>
        <v>300</v>
      </c>
      <c r="O71">
        <v>45</v>
      </c>
      <c r="P71" s="2">
        <v>0.21</v>
      </c>
      <c r="Q71" s="6">
        <v>40</v>
      </c>
      <c r="R71" s="10">
        <v>0</v>
      </c>
      <c r="S71" s="10">
        <v>0</v>
      </c>
      <c r="T71" s="10"/>
      <c r="U71" t="str">
        <f>"RUNNING_COST_"&amp;IF(PROPERTIES[[#This Row],[ENGINE_CLASS]]="MAGLEV","ELECTRIC",PROPERTIES[[#This Row],[ENGINE_CLASS]])</f>
        <v>RUNNING_COST_STEAM</v>
      </c>
      <c r="V71" s="10" t="s">
        <v>998</v>
      </c>
      <c r="W71" s="10" t="s">
        <v>999</v>
      </c>
      <c r="X71" s="10" t="str">
        <f>SUBSTITUTE(SUBSTITUTE(PROPERTIES[[#This Row],[PURCHASECOST_VALUE]], "PURCHASECOST_", ""), "_VALUE", "")</f>
        <v>STEAMENGINE</v>
      </c>
      <c r="AP71"/>
      <c r="AQ71"/>
      <c r="AR71"/>
    </row>
    <row r="72" spans="1:44">
      <c r="A72" s="2" t="s">
        <v>96</v>
      </c>
      <c r="B72">
        <v>1897</v>
      </c>
      <c r="C72">
        <v>0</v>
      </c>
      <c r="D72" t="s">
        <v>23</v>
      </c>
      <c r="E72" t="s">
        <v>20</v>
      </c>
      <c r="F72">
        <v>0</v>
      </c>
      <c r="G72" s="10">
        <v>52</v>
      </c>
      <c r="H72">
        <v>6</v>
      </c>
      <c r="I72">
        <v>6</v>
      </c>
      <c r="J72" s="2" t="s">
        <v>20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>
        <v>575</v>
      </c>
      <c r="O72">
        <v>50</v>
      </c>
      <c r="P72" s="2">
        <v>0.23</v>
      </c>
      <c r="Q72" s="6">
        <v>40</v>
      </c>
      <c r="R72" s="10">
        <v>0</v>
      </c>
      <c r="S72" s="10">
        <v>0</v>
      </c>
      <c r="T72" s="10"/>
      <c r="U72" t="str">
        <f>"RUNNING_COST_"&amp;IF(PROPERTIES[[#This Row],[ENGINE_CLASS]]="MAGLEV","ELECTRIC",PROPERTIES[[#This Row],[ENGINE_CLASS]])</f>
        <v>RUNNING_COST_STEAM</v>
      </c>
      <c r="V72" s="10" t="s">
        <v>998</v>
      </c>
      <c r="W72" s="10" t="s">
        <v>999</v>
      </c>
      <c r="X72" s="10" t="str">
        <f>SUBSTITUTE(SUBSTITUTE(PROPERTIES[[#This Row],[PURCHASECOST_VALUE]], "PURCHASECOST_", ""), "_VALUE", "")</f>
        <v>STEAMENGINE</v>
      </c>
      <c r="AP72"/>
      <c r="AQ72"/>
      <c r="AR72"/>
    </row>
    <row r="73" spans="1:44">
      <c r="A73" s="2" t="s">
        <v>97</v>
      </c>
      <c r="B73">
        <v>1899</v>
      </c>
      <c r="C73">
        <v>0</v>
      </c>
      <c r="D73" t="s">
        <v>23</v>
      </c>
      <c r="E73" t="s">
        <v>20</v>
      </c>
      <c r="F73">
        <v>0</v>
      </c>
      <c r="G73" s="10">
        <v>53</v>
      </c>
      <c r="H73">
        <v>7</v>
      </c>
      <c r="I73">
        <v>7</v>
      </c>
      <c r="J73" s="2" t="s">
        <v>20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>
        <v>540</v>
      </c>
      <c r="O73">
        <v>80</v>
      </c>
      <c r="P73" s="2">
        <v>0.16</v>
      </c>
      <c r="Q73" s="6">
        <v>40</v>
      </c>
      <c r="R73" s="10">
        <v>0</v>
      </c>
      <c r="S73" s="10">
        <v>0</v>
      </c>
      <c r="T73" s="10"/>
      <c r="U73" t="str">
        <f>"RUNNING_COST_"&amp;IF(PROPERTIES[[#This Row],[ENGINE_CLASS]]="MAGLEV","ELECTRIC",PROPERTIES[[#This Row],[ENGINE_CLASS]])</f>
        <v>RUNNING_COST_STEAM</v>
      </c>
      <c r="V73" s="10" t="s">
        <v>998</v>
      </c>
      <c r="W73" s="10" t="s">
        <v>999</v>
      </c>
      <c r="X73" s="10" t="str">
        <f>SUBSTITUTE(SUBSTITUTE(PROPERTIES[[#This Row],[PURCHASECOST_VALUE]], "PURCHASECOST_", ""), "_VALUE", "")</f>
        <v>STEAMENGINE</v>
      </c>
      <c r="AP73"/>
      <c r="AQ73"/>
      <c r="AR73"/>
    </row>
    <row r="74" spans="1:44">
      <c r="A74" s="2" t="s">
        <v>98</v>
      </c>
      <c r="B74">
        <v>1902</v>
      </c>
      <c r="C74">
        <v>0</v>
      </c>
      <c r="D74" t="s">
        <v>23</v>
      </c>
      <c r="E74" t="s">
        <v>20</v>
      </c>
      <c r="F74">
        <v>0</v>
      </c>
      <c r="G74" s="10">
        <v>106</v>
      </c>
      <c r="H74">
        <v>8</v>
      </c>
      <c r="I74">
        <v>8</v>
      </c>
      <c r="J74" s="2" t="s">
        <v>20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>
        <v>1340</v>
      </c>
      <c r="O74">
        <v>100</v>
      </c>
      <c r="P74" s="2">
        <v>0.12</v>
      </c>
      <c r="Q74" s="6">
        <v>40</v>
      </c>
      <c r="R74" s="10">
        <v>0</v>
      </c>
      <c r="S74" s="10">
        <v>4</v>
      </c>
      <c r="T74" s="10"/>
      <c r="U74" t="str">
        <f>"RUNNING_COST_"&amp;IF(PROPERTIES[[#This Row],[ENGINE_CLASS]]="MAGLEV","ELECTRIC",PROPERTIES[[#This Row],[ENGINE_CLASS]])</f>
        <v>RUNNING_COST_STEAM</v>
      </c>
      <c r="V74" s="10" t="s">
        <v>998</v>
      </c>
      <c r="W74" s="10" t="s">
        <v>999</v>
      </c>
      <c r="X74" s="10" t="str">
        <f>SUBSTITUTE(SUBSTITUTE(PROPERTIES[[#This Row],[PURCHASECOST_VALUE]], "PURCHASECOST_", ""), "_VALUE", "")</f>
        <v>STEAMENGINE</v>
      </c>
      <c r="AP74"/>
      <c r="AQ74"/>
      <c r="AR74"/>
    </row>
    <row r="75" spans="1:44">
      <c r="A75" s="2" t="s">
        <v>99</v>
      </c>
      <c r="B75">
        <v>1902</v>
      </c>
      <c r="C75">
        <v>0</v>
      </c>
      <c r="D75" t="s">
        <v>23</v>
      </c>
      <c r="E75" t="s">
        <v>20</v>
      </c>
      <c r="F75">
        <v>0</v>
      </c>
      <c r="G75" s="10">
        <v>35</v>
      </c>
      <c r="H75">
        <v>6</v>
      </c>
      <c r="I75">
        <v>6</v>
      </c>
      <c r="J75" s="2" t="s">
        <v>20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>
        <v>350</v>
      </c>
      <c r="O75">
        <v>45</v>
      </c>
      <c r="P75" s="2">
        <v>0.19</v>
      </c>
      <c r="Q75" s="6">
        <v>40</v>
      </c>
      <c r="R75" s="10">
        <v>0</v>
      </c>
      <c r="S75" s="10">
        <v>0</v>
      </c>
      <c r="T75" s="10"/>
      <c r="U75" t="str">
        <f>"RUNNING_COST_"&amp;IF(PROPERTIES[[#This Row],[ENGINE_CLASS]]="MAGLEV","ELECTRIC",PROPERTIES[[#This Row],[ENGINE_CLASS]])</f>
        <v>RUNNING_COST_STEAM</v>
      </c>
      <c r="V75" s="10" t="s">
        <v>998</v>
      </c>
      <c r="W75" s="10" t="s">
        <v>999</v>
      </c>
      <c r="X75" s="10" t="str">
        <f>SUBSTITUTE(SUBSTITUTE(PROPERTIES[[#This Row],[PURCHASECOST_VALUE]], "PURCHASECOST_", ""), "_VALUE", "")</f>
        <v>STEAMENGINE</v>
      </c>
      <c r="AP75"/>
      <c r="AQ75"/>
      <c r="AR75"/>
    </row>
    <row r="76" spans="1:44">
      <c r="A76" s="2" t="s">
        <v>100</v>
      </c>
      <c r="B76">
        <v>1904</v>
      </c>
      <c r="C76">
        <v>0</v>
      </c>
      <c r="D76" t="s">
        <v>23</v>
      </c>
      <c r="E76" t="s">
        <v>20</v>
      </c>
      <c r="F76">
        <v>0</v>
      </c>
      <c r="G76" s="10">
        <v>67</v>
      </c>
      <c r="H76">
        <v>7</v>
      </c>
      <c r="I76">
        <v>7</v>
      </c>
      <c r="J76" s="2" t="s">
        <v>20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>
        <v>820</v>
      </c>
      <c r="O76">
        <v>80</v>
      </c>
      <c r="P76" s="2">
        <v>0.14000000000000001</v>
      </c>
      <c r="Q76" s="6">
        <v>40</v>
      </c>
      <c r="R76" s="10">
        <v>0</v>
      </c>
      <c r="S76" s="10">
        <v>0</v>
      </c>
      <c r="T76" s="10"/>
      <c r="U76" t="str">
        <f>"RUNNING_COST_"&amp;IF(PROPERTIES[[#This Row],[ENGINE_CLASS]]="MAGLEV","ELECTRIC",PROPERTIES[[#This Row],[ENGINE_CLASS]])</f>
        <v>RUNNING_COST_STEAM</v>
      </c>
      <c r="V76" s="10" t="s">
        <v>998</v>
      </c>
      <c r="W76" s="10" t="s">
        <v>999</v>
      </c>
      <c r="X76" s="10" t="str">
        <f>SUBSTITUTE(SUBSTITUTE(PROPERTIES[[#This Row],[PURCHASECOST_VALUE]], "PURCHASECOST_", ""), "_VALUE", "")</f>
        <v>STEAMENGINE</v>
      </c>
      <c r="AP76"/>
      <c r="AQ76"/>
      <c r="AR76"/>
    </row>
    <row r="77" spans="1:44">
      <c r="A77" s="2" t="s">
        <v>101</v>
      </c>
      <c r="B77">
        <v>1908</v>
      </c>
      <c r="C77">
        <v>0</v>
      </c>
      <c r="D77" t="s">
        <v>23</v>
      </c>
      <c r="E77" t="s">
        <v>20</v>
      </c>
      <c r="F77">
        <v>0</v>
      </c>
      <c r="G77" s="10">
        <v>94</v>
      </c>
      <c r="H77">
        <v>8</v>
      </c>
      <c r="I77">
        <v>12</v>
      </c>
      <c r="J77" s="2" t="s">
        <v>20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>
        <v>1500</v>
      </c>
      <c r="O77">
        <v>50</v>
      </c>
      <c r="P77" s="2">
        <v>0.15</v>
      </c>
      <c r="Q77" s="6">
        <v>40</v>
      </c>
      <c r="R77" s="10">
        <v>0</v>
      </c>
      <c r="S77" s="10">
        <v>6</v>
      </c>
      <c r="T77" s="10"/>
      <c r="U77" t="str">
        <f>"RUNNING_COST_"&amp;IF(PROPERTIES[[#This Row],[ENGINE_CLASS]]="MAGLEV","ELECTRIC",PROPERTIES[[#This Row],[ENGINE_CLASS]])</f>
        <v>RUNNING_COST_STEAM</v>
      </c>
      <c r="V77" s="10" t="s">
        <v>998</v>
      </c>
      <c r="W77" s="10" t="s">
        <v>999</v>
      </c>
      <c r="X77" s="10" t="str">
        <f>SUBSTITUTE(SUBSTITUTE(PROPERTIES[[#This Row],[PURCHASECOST_VALUE]], "PURCHASECOST_", ""), "_VALUE", "")</f>
        <v>STEAMENGINE</v>
      </c>
      <c r="AP77"/>
      <c r="AQ77"/>
      <c r="AR77"/>
    </row>
    <row r="78" spans="1:44">
      <c r="A78" s="2" t="s">
        <v>102</v>
      </c>
      <c r="B78">
        <v>1914</v>
      </c>
      <c r="C78">
        <v>0</v>
      </c>
      <c r="D78" t="s">
        <v>23</v>
      </c>
      <c r="E78" t="s">
        <v>20</v>
      </c>
      <c r="F78">
        <v>0</v>
      </c>
      <c r="G78" s="10">
        <v>52</v>
      </c>
      <c r="H78">
        <v>6</v>
      </c>
      <c r="I78">
        <v>6</v>
      </c>
      <c r="J78" s="2" t="s">
        <v>20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>
        <v>570</v>
      </c>
      <c r="O78">
        <v>60</v>
      </c>
      <c r="P78" s="2">
        <v>0.11</v>
      </c>
      <c r="Q78" s="6">
        <v>40</v>
      </c>
      <c r="R78" s="10">
        <v>0</v>
      </c>
      <c r="S78" s="10">
        <v>0</v>
      </c>
      <c r="T78" s="10"/>
      <c r="U78" t="str">
        <f>"RUNNING_COST_"&amp;IF(PROPERTIES[[#This Row],[ENGINE_CLASS]]="MAGLEV","ELECTRIC",PROPERTIES[[#This Row],[ENGINE_CLASS]])</f>
        <v>RUNNING_COST_STEAM</v>
      </c>
      <c r="V78" s="10" t="s">
        <v>998</v>
      </c>
      <c r="W78" s="10" t="s">
        <v>999</v>
      </c>
      <c r="X78" s="10" t="str">
        <f>SUBSTITUTE(SUBSTITUTE(PROPERTIES[[#This Row],[PURCHASECOST_VALUE]], "PURCHASECOST_", ""), "_VALUE", "")</f>
        <v>STEAMENGINE</v>
      </c>
      <c r="AP78"/>
      <c r="AQ78"/>
      <c r="AR78"/>
    </row>
    <row r="79" spans="1:44">
      <c r="A79" s="2" t="s">
        <v>103</v>
      </c>
      <c r="B79">
        <v>1916</v>
      </c>
      <c r="C79">
        <v>0</v>
      </c>
      <c r="D79" t="s">
        <v>23</v>
      </c>
      <c r="E79" t="s">
        <v>20</v>
      </c>
      <c r="F79">
        <v>0</v>
      </c>
      <c r="G79" s="10">
        <v>144</v>
      </c>
      <c r="H79">
        <v>6</v>
      </c>
      <c r="I79">
        <v>6</v>
      </c>
      <c r="J79" s="2" t="s">
        <v>20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>
        <v>500</v>
      </c>
      <c r="O79">
        <v>75</v>
      </c>
      <c r="P79" s="2">
        <v>0.1</v>
      </c>
      <c r="Q79" s="6">
        <v>40</v>
      </c>
      <c r="R79" s="10">
        <v>0</v>
      </c>
      <c r="S79" s="10">
        <v>0</v>
      </c>
      <c r="T79" s="10"/>
      <c r="U79" t="str">
        <f>"RUNNING_COST_"&amp;IF(PROPERTIES[[#This Row],[ENGINE_CLASS]]="MAGLEV","ELECTRIC",PROPERTIES[[#This Row],[ENGINE_CLASS]])</f>
        <v>RUNNING_COST_STEAM</v>
      </c>
      <c r="V79" s="10" t="s">
        <v>998</v>
      </c>
      <c r="W79" s="10" t="s">
        <v>999</v>
      </c>
      <c r="X79" s="10" t="str">
        <f>SUBSTITUTE(SUBSTITUTE(PROPERTIES[[#This Row],[PURCHASECOST_VALUE]], "PURCHASECOST_", ""), "_VALUE", "")</f>
        <v>STEAMENGINE</v>
      </c>
      <c r="AP79"/>
      <c r="AQ79"/>
      <c r="AR79"/>
    </row>
    <row r="80" spans="1:44">
      <c r="A80" s="2" t="s">
        <v>104</v>
      </c>
      <c r="B80">
        <v>1920</v>
      </c>
      <c r="C80">
        <v>0</v>
      </c>
      <c r="D80" t="s">
        <v>23</v>
      </c>
      <c r="E80" t="s">
        <v>20</v>
      </c>
      <c r="F80">
        <v>0</v>
      </c>
      <c r="G80" s="10">
        <v>97</v>
      </c>
      <c r="H80">
        <v>7</v>
      </c>
      <c r="I80">
        <v>8</v>
      </c>
      <c r="J80" s="2" t="s">
        <v>20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>
        <v>930</v>
      </c>
      <c r="O80">
        <v>64</v>
      </c>
      <c r="P80" s="2">
        <v>0.11</v>
      </c>
      <c r="Q80" s="6">
        <v>40</v>
      </c>
      <c r="R80" s="10">
        <v>0</v>
      </c>
      <c r="S80" s="10">
        <v>4</v>
      </c>
      <c r="T80" s="10"/>
      <c r="U80" t="str">
        <f>"RUNNING_COST_"&amp;IF(PROPERTIES[[#This Row],[ENGINE_CLASS]]="MAGLEV","ELECTRIC",PROPERTIES[[#This Row],[ENGINE_CLASS]])</f>
        <v>RUNNING_COST_STEAM</v>
      </c>
      <c r="V80" s="10" t="s">
        <v>998</v>
      </c>
      <c r="W80" s="10" t="s">
        <v>999</v>
      </c>
      <c r="X80" s="10" t="str">
        <f>SUBSTITUTE(SUBSTITUTE(PROPERTIES[[#This Row],[PURCHASECOST_VALUE]], "PURCHASECOST_", ""), "_VALUE", "")</f>
        <v>STEAMENGINE</v>
      </c>
      <c r="AP80"/>
      <c r="AQ80"/>
      <c r="AR80"/>
    </row>
    <row r="81" spans="1:44">
      <c r="A81" s="2" t="s">
        <v>105</v>
      </c>
      <c r="B81">
        <v>1920</v>
      </c>
      <c r="C81">
        <v>0</v>
      </c>
      <c r="D81" t="s">
        <v>23</v>
      </c>
      <c r="E81" t="s">
        <v>20</v>
      </c>
      <c r="F81">
        <v>0</v>
      </c>
      <c r="G81" s="10">
        <v>126</v>
      </c>
      <c r="H81">
        <v>6</v>
      </c>
      <c r="I81">
        <v>8</v>
      </c>
      <c r="J81" s="2" t="s">
        <v>20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>
        <v>1500</v>
      </c>
      <c r="O81">
        <v>80</v>
      </c>
      <c r="P81" s="2">
        <v>0.16</v>
      </c>
      <c r="Q81" s="6">
        <v>40</v>
      </c>
      <c r="R81" s="10">
        <v>0</v>
      </c>
      <c r="S81" s="10">
        <v>4</v>
      </c>
      <c r="T81" s="10"/>
      <c r="U81" t="str">
        <f>"RUNNING_COST_"&amp;IF(PROPERTIES[[#This Row],[ENGINE_CLASS]]="MAGLEV","ELECTRIC",PROPERTIES[[#This Row],[ENGINE_CLASS]])</f>
        <v>RUNNING_COST_STEAM</v>
      </c>
      <c r="V81" s="10" t="s">
        <v>998</v>
      </c>
      <c r="W81" s="10" t="s">
        <v>999</v>
      </c>
      <c r="X81" s="10" t="str">
        <f>SUBSTITUTE(SUBSTITUTE(PROPERTIES[[#This Row],[PURCHASECOST_VALUE]], "PURCHASECOST_", ""), "_VALUE", "")</f>
        <v>STEAMENGINE</v>
      </c>
      <c r="AP81"/>
      <c r="AQ81"/>
      <c r="AR81"/>
    </row>
    <row r="82" spans="1:44">
      <c r="A82" s="2" t="s">
        <v>106</v>
      </c>
      <c r="B82">
        <v>1922</v>
      </c>
      <c r="C82">
        <v>0</v>
      </c>
      <c r="D82" t="s">
        <v>23</v>
      </c>
      <c r="E82" t="s">
        <v>20</v>
      </c>
      <c r="F82">
        <v>0</v>
      </c>
      <c r="G82" s="10">
        <v>94</v>
      </c>
      <c r="H82">
        <v>6</v>
      </c>
      <c r="I82">
        <v>6</v>
      </c>
      <c r="J82" s="2" t="s">
        <v>20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>
        <v>1360</v>
      </c>
      <c r="O82">
        <v>70</v>
      </c>
      <c r="P82" s="2">
        <v>0.25</v>
      </c>
      <c r="Q82" s="6">
        <v>40</v>
      </c>
      <c r="R82" s="10">
        <v>0</v>
      </c>
      <c r="S82" s="10">
        <v>0</v>
      </c>
      <c r="T82" s="10"/>
      <c r="U82" t="str">
        <f>"RUNNING_COST_"&amp;IF(PROPERTIES[[#This Row],[ENGINE_CLASS]]="MAGLEV","ELECTRIC",PROPERTIES[[#This Row],[ENGINE_CLASS]])</f>
        <v>RUNNING_COST_STEAM</v>
      </c>
      <c r="V82" s="10" t="s">
        <v>998</v>
      </c>
      <c r="W82" s="10" t="s">
        <v>999</v>
      </c>
      <c r="X82" s="10" t="str">
        <f>SUBSTITUTE(SUBSTITUTE(PROPERTIES[[#This Row],[PURCHASECOST_VALUE]], "PURCHASECOST_", ""), "_VALUE", "")</f>
        <v>STEAMENGINE</v>
      </c>
      <c r="AP82"/>
      <c r="AQ82"/>
      <c r="AR82"/>
    </row>
    <row r="83" spans="1:44">
      <c r="A83" s="2" t="s">
        <v>107</v>
      </c>
      <c r="B83">
        <v>1924</v>
      </c>
      <c r="C83">
        <v>0</v>
      </c>
      <c r="D83" t="s">
        <v>23</v>
      </c>
      <c r="E83" t="s">
        <v>20</v>
      </c>
      <c r="F83">
        <v>0</v>
      </c>
      <c r="G83" s="10">
        <v>122</v>
      </c>
      <c r="H83">
        <v>8</v>
      </c>
      <c r="I83">
        <v>12</v>
      </c>
      <c r="J83" s="2" t="s">
        <v>20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>
        <v>1750</v>
      </c>
      <c r="O83">
        <v>96</v>
      </c>
      <c r="P83" s="2">
        <v>0.1</v>
      </c>
      <c r="Q83" s="6">
        <v>40</v>
      </c>
      <c r="R83" s="10">
        <v>0</v>
      </c>
      <c r="S83" s="10">
        <v>6</v>
      </c>
      <c r="T83" s="10"/>
      <c r="U83" t="str">
        <f>"RUNNING_COST_"&amp;IF(PROPERTIES[[#This Row],[ENGINE_CLASS]]="MAGLEV","ELECTRIC",PROPERTIES[[#This Row],[ENGINE_CLASS]])</f>
        <v>RUNNING_COST_STEAM</v>
      </c>
      <c r="V83" s="10" t="s">
        <v>998</v>
      </c>
      <c r="W83" s="10" t="s">
        <v>999</v>
      </c>
      <c r="X83" s="10" t="str">
        <f>SUBSTITUTE(SUBSTITUTE(PROPERTIES[[#This Row],[PURCHASECOST_VALUE]], "PURCHASECOST_", ""), "_VALUE", "")</f>
        <v>STEAMENGINE</v>
      </c>
      <c r="AP83"/>
      <c r="AQ83"/>
      <c r="AR83"/>
    </row>
    <row r="84" spans="1:44">
      <c r="A84" s="2" t="s">
        <v>108</v>
      </c>
      <c r="B84">
        <v>1929</v>
      </c>
      <c r="C84">
        <v>0</v>
      </c>
      <c r="D84" t="s">
        <v>23</v>
      </c>
      <c r="E84" t="s">
        <v>20</v>
      </c>
      <c r="F84">
        <v>0</v>
      </c>
      <c r="G84" s="10">
        <v>48</v>
      </c>
      <c r="H84">
        <v>6</v>
      </c>
      <c r="I84">
        <v>6</v>
      </c>
      <c r="J84" s="2" t="s">
        <v>20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>
        <v>700</v>
      </c>
      <c r="O84">
        <v>72</v>
      </c>
      <c r="P84" s="2">
        <v>0.21</v>
      </c>
      <c r="Q84" s="6">
        <v>40</v>
      </c>
      <c r="R84" s="10">
        <v>0</v>
      </c>
      <c r="S84" s="10">
        <v>0</v>
      </c>
      <c r="T84" s="10"/>
      <c r="U84" t="str">
        <f>"RUNNING_COST_"&amp;IF(PROPERTIES[[#This Row],[ENGINE_CLASS]]="MAGLEV","ELECTRIC",PROPERTIES[[#This Row],[ENGINE_CLASS]])</f>
        <v>RUNNING_COST_STEAM</v>
      </c>
      <c r="V84" s="10" t="s">
        <v>998</v>
      </c>
      <c r="W84" s="10" t="s">
        <v>999</v>
      </c>
      <c r="X84" s="10" t="str">
        <f>SUBSTITUTE(SUBSTITUTE(PROPERTIES[[#This Row],[PURCHASECOST_VALUE]], "PURCHASECOST_", ""), "_VALUE", "")</f>
        <v>STEAMENGINE</v>
      </c>
      <c r="AP84"/>
      <c r="AQ84"/>
      <c r="AR84"/>
    </row>
    <row r="85" spans="1:44">
      <c r="A85" s="2" t="s">
        <v>109</v>
      </c>
      <c r="B85">
        <v>1930</v>
      </c>
      <c r="C85">
        <v>0</v>
      </c>
      <c r="D85" t="s">
        <v>23</v>
      </c>
      <c r="E85" t="s">
        <v>20</v>
      </c>
      <c r="F85">
        <v>0</v>
      </c>
      <c r="G85" s="10">
        <v>127</v>
      </c>
      <c r="H85">
        <v>8</v>
      </c>
      <c r="I85">
        <v>8</v>
      </c>
      <c r="J85" s="2" t="s">
        <v>20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>
        <v>1609</v>
      </c>
      <c r="O85">
        <v>90</v>
      </c>
      <c r="P85" s="2">
        <v>0.11</v>
      </c>
      <c r="Q85" s="6">
        <v>40</v>
      </c>
      <c r="R85" s="10">
        <v>0</v>
      </c>
      <c r="S85" s="10">
        <v>0</v>
      </c>
      <c r="T85" s="10"/>
      <c r="U85" t="str">
        <f>"RUNNING_COST_"&amp;IF(PROPERTIES[[#This Row],[ENGINE_CLASS]]="MAGLEV","ELECTRIC",PROPERTIES[[#This Row],[ENGINE_CLASS]])</f>
        <v>RUNNING_COST_STEAM</v>
      </c>
      <c r="V85" s="10" t="s">
        <v>998</v>
      </c>
      <c r="W85" s="10" t="s">
        <v>999</v>
      </c>
      <c r="X85" s="10" t="str">
        <f>SUBSTITUTE(SUBSTITUTE(PROPERTIES[[#This Row],[PURCHASECOST_VALUE]], "PURCHASECOST_", ""), "_VALUE", "")</f>
        <v>STEAMENGINE</v>
      </c>
      <c r="AP85"/>
      <c r="AQ85"/>
      <c r="AR85"/>
    </row>
    <row r="86" spans="1:44">
      <c r="A86" s="2" t="s">
        <v>110</v>
      </c>
      <c r="B86">
        <v>1930</v>
      </c>
      <c r="C86">
        <v>0</v>
      </c>
      <c r="D86" t="s">
        <v>23</v>
      </c>
      <c r="E86" t="s">
        <v>20</v>
      </c>
      <c r="F86">
        <v>0</v>
      </c>
      <c r="G86" s="10">
        <v>398</v>
      </c>
      <c r="H86">
        <v>8</v>
      </c>
      <c r="I86">
        <v>12</v>
      </c>
      <c r="J86" s="2" t="s">
        <v>20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>
        <v>5700</v>
      </c>
      <c r="O86">
        <v>100</v>
      </c>
      <c r="P86" s="2">
        <v>0.12</v>
      </c>
      <c r="Q86" s="6">
        <v>40</v>
      </c>
      <c r="R86" s="10">
        <v>0</v>
      </c>
      <c r="S86" s="10">
        <v>6</v>
      </c>
      <c r="T86" s="10"/>
      <c r="U86" t="str">
        <f>"RUNNING_COST_"&amp;IF(PROPERTIES[[#This Row],[ENGINE_CLASS]]="MAGLEV","ELECTRIC",PROPERTIES[[#This Row],[ENGINE_CLASS]])</f>
        <v>RUNNING_COST_STEAM</v>
      </c>
      <c r="V86" s="10" t="s">
        <v>998</v>
      </c>
      <c r="W86" s="10" t="s">
        <v>999</v>
      </c>
      <c r="X86" s="10" t="str">
        <f>SUBSTITUTE(SUBSTITUTE(PROPERTIES[[#This Row],[PURCHASECOST_VALUE]], "PURCHASECOST_", ""), "_VALUE", "")</f>
        <v>STEAMENGINE</v>
      </c>
      <c r="AP86"/>
      <c r="AQ86"/>
      <c r="AR86"/>
    </row>
    <row r="87" spans="1:44">
      <c r="A87" s="2" t="s">
        <v>111</v>
      </c>
      <c r="B87">
        <v>1910</v>
      </c>
      <c r="C87">
        <v>0</v>
      </c>
      <c r="D87" t="s">
        <v>23</v>
      </c>
      <c r="E87" t="s">
        <v>20</v>
      </c>
      <c r="F87">
        <v>0</v>
      </c>
      <c r="G87" s="10">
        <v>77</v>
      </c>
      <c r="H87">
        <v>8</v>
      </c>
      <c r="I87">
        <v>8</v>
      </c>
      <c r="J87" s="2" t="s">
        <v>20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>
        <v>1155</v>
      </c>
      <c r="O87">
        <v>110</v>
      </c>
      <c r="P87" s="2">
        <v>0.1</v>
      </c>
      <c r="Q87" s="6">
        <v>40</v>
      </c>
      <c r="R87" s="10">
        <v>0</v>
      </c>
      <c r="S87" s="10">
        <v>4</v>
      </c>
      <c r="T87" s="10"/>
      <c r="U87" t="str">
        <f>"RUNNING_COST_"&amp;IF(PROPERTIES[[#This Row],[ENGINE_CLASS]]="MAGLEV","ELECTRIC",PROPERTIES[[#This Row],[ENGINE_CLASS]])</f>
        <v>RUNNING_COST_STEAM</v>
      </c>
      <c r="V87" s="10" t="s">
        <v>998</v>
      </c>
      <c r="W87" s="10" t="s">
        <v>999</v>
      </c>
      <c r="X87" s="10" t="str">
        <f>SUBSTITUTE(SUBSTITUTE(PROPERTIES[[#This Row],[PURCHASECOST_VALUE]], "PURCHASECOST_", ""), "_VALUE", "")</f>
        <v>STEAMENGINE</v>
      </c>
      <c r="AP87"/>
      <c r="AQ87"/>
      <c r="AR87"/>
    </row>
    <row r="88" spans="1:44">
      <c r="A88" s="2" t="s">
        <v>112</v>
      </c>
      <c r="B88">
        <v>1934</v>
      </c>
      <c r="C88">
        <v>0</v>
      </c>
      <c r="D88" t="s">
        <v>23</v>
      </c>
      <c r="E88" t="s">
        <v>20</v>
      </c>
      <c r="F88">
        <v>0</v>
      </c>
      <c r="G88" s="10">
        <v>75</v>
      </c>
      <c r="H88">
        <v>8</v>
      </c>
      <c r="I88">
        <v>10</v>
      </c>
      <c r="J88" s="2" t="s">
        <v>20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>
        <v>1600</v>
      </c>
      <c r="O88">
        <v>115</v>
      </c>
      <c r="P88" s="2">
        <v>0.15</v>
      </c>
      <c r="Q88" s="6">
        <v>40</v>
      </c>
      <c r="R88" s="10">
        <v>0</v>
      </c>
      <c r="S88" s="10">
        <v>5</v>
      </c>
      <c r="T88" s="10"/>
      <c r="U88" t="str">
        <f>"RUNNING_COST_"&amp;IF(PROPERTIES[[#This Row],[ENGINE_CLASS]]="MAGLEV","ELECTRIC",PROPERTIES[[#This Row],[ENGINE_CLASS]])</f>
        <v>RUNNING_COST_STEAM</v>
      </c>
      <c r="V88" s="10" t="s">
        <v>998</v>
      </c>
      <c r="W88" s="10" t="s">
        <v>999</v>
      </c>
      <c r="X88" s="10" t="str">
        <f>SUBSTITUTE(SUBSTITUTE(PROPERTIES[[#This Row],[PURCHASECOST_VALUE]], "PURCHASECOST_", ""), "_VALUE", "")</f>
        <v>STEAMENGINE</v>
      </c>
      <c r="AP88"/>
      <c r="AQ88"/>
      <c r="AR88"/>
    </row>
    <row r="89" spans="1:44">
      <c r="A89" s="2" t="s">
        <v>113</v>
      </c>
      <c r="B89">
        <v>1934</v>
      </c>
      <c r="C89">
        <v>0</v>
      </c>
      <c r="D89" t="s">
        <v>23</v>
      </c>
      <c r="E89" t="s">
        <v>20</v>
      </c>
      <c r="F89">
        <v>0</v>
      </c>
      <c r="G89" s="10">
        <v>52</v>
      </c>
      <c r="H89">
        <v>6</v>
      </c>
      <c r="I89">
        <v>6</v>
      </c>
      <c r="J89" s="2" t="s">
        <v>20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>
        <v>320</v>
      </c>
      <c r="O89">
        <v>35</v>
      </c>
      <c r="P89" s="2">
        <v>0.13</v>
      </c>
      <c r="Q89" s="6">
        <v>40</v>
      </c>
      <c r="R89" s="10">
        <v>0</v>
      </c>
      <c r="S89" s="10">
        <v>0</v>
      </c>
      <c r="T89" s="10"/>
      <c r="U89" t="str">
        <f>"RUNNING_COST_"&amp;IF(PROPERTIES[[#This Row],[ENGINE_CLASS]]="MAGLEV","ELECTRIC",PROPERTIES[[#This Row],[ENGINE_CLASS]])</f>
        <v>RUNNING_COST_STEAM</v>
      </c>
      <c r="V89" s="10" t="s">
        <v>998</v>
      </c>
      <c r="W89" s="10" t="s">
        <v>999</v>
      </c>
      <c r="X89" s="10" t="str">
        <f>SUBSTITUTE(SUBSTITUTE(PROPERTIES[[#This Row],[PURCHASECOST_VALUE]], "PURCHASECOST_", ""), "_VALUE", "")</f>
        <v>STEAMENGINE</v>
      </c>
      <c r="AP89"/>
      <c r="AQ89"/>
      <c r="AR89"/>
    </row>
    <row r="90" spans="1:44">
      <c r="A90" s="2" t="s">
        <v>114</v>
      </c>
      <c r="B90">
        <v>1935</v>
      </c>
      <c r="C90">
        <v>0</v>
      </c>
      <c r="D90" t="s">
        <v>23</v>
      </c>
      <c r="E90" t="s">
        <v>20</v>
      </c>
      <c r="F90">
        <v>0</v>
      </c>
      <c r="G90" s="10">
        <v>170</v>
      </c>
      <c r="H90">
        <v>8</v>
      </c>
      <c r="I90">
        <v>12</v>
      </c>
      <c r="J90" s="2" t="s">
        <v>20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>
        <v>2000</v>
      </c>
      <c r="O90">
        <v>160</v>
      </c>
      <c r="P90" s="2">
        <v>0.09</v>
      </c>
      <c r="Q90" s="6">
        <v>40</v>
      </c>
      <c r="R90" s="10">
        <v>0</v>
      </c>
      <c r="S90" s="10">
        <v>6</v>
      </c>
      <c r="T90" s="10"/>
      <c r="U90" t="str">
        <f>"RUNNING_COST_"&amp;IF(PROPERTIES[[#This Row],[ENGINE_CLASS]]="MAGLEV","ELECTRIC",PROPERTIES[[#This Row],[ENGINE_CLASS]])</f>
        <v>RUNNING_COST_STEAM</v>
      </c>
      <c r="V90" s="10" t="s">
        <v>998</v>
      </c>
      <c r="W90" s="10" t="s">
        <v>999</v>
      </c>
      <c r="X90" s="10" t="str">
        <f>SUBSTITUTE(SUBSTITUTE(PROPERTIES[[#This Row],[PURCHASECOST_VALUE]], "PURCHASECOST_", ""), "_VALUE", "")</f>
        <v>STEAMENGINE</v>
      </c>
      <c r="AP90"/>
      <c r="AQ90"/>
      <c r="AR90"/>
    </row>
    <row r="91" spans="1:44">
      <c r="A91" s="2" t="s">
        <v>115</v>
      </c>
      <c r="B91">
        <v>1937</v>
      </c>
      <c r="C91">
        <v>0</v>
      </c>
      <c r="D91" t="s">
        <v>23</v>
      </c>
      <c r="E91" t="s">
        <v>20</v>
      </c>
      <c r="F91">
        <v>0</v>
      </c>
      <c r="G91" s="10">
        <v>294</v>
      </c>
      <c r="H91">
        <v>8</v>
      </c>
      <c r="I91">
        <v>12</v>
      </c>
      <c r="J91" s="2" t="s">
        <v>20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>
        <v>4500</v>
      </c>
      <c r="O91">
        <v>144</v>
      </c>
      <c r="P91" s="2">
        <v>0.06</v>
      </c>
      <c r="Q91" s="6">
        <v>40</v>
      </c>
      <c r="R91" s="10">
        <v>0</v>
      </c>
      <c r="S91" s="10">
        <v>6</v>
      </c>
      <c r="T91" s="10"/>
      <c r="U91" t="str">
        <f>"RUNNING_COST_"&amp;IF(PROPERTIES[[#This Row],[ENGINE_CLASS]]="MAGLEV","ELECTRIC",PROPERTIES[[#This Row],[ENGINE_CLASS]])</f>
        <v>RUNNING_COST_STEAM</v>
      </c>
      <c r="V91" s="10" t="s">
        <v>998</v>
      </c>
      <c r="W91" s="10" t="s">
        <v>999</v>
      </c>
      <c r="X91" s="10" t="str">
        <f>SUBSTITUTE(SUBSTITUTE(PROPERTIES[[#This Row],[PURCHASECOST_VALUE]], "PURCHASECOST_", ""), "_VALUE", "")</f>
        <v>STEAMENGINE</v>
      </c>
      <c r="AP91"/>
      <c r="AQ91"/>
      <c r="AR91"/>
    </row>
    <row r="92" spans="1:44">
      <c r="A92" s="2" t="s">
        <v>116</v>
      </c>
      <c r="B92">
        <v>1937</v>
      </c>
      <c r="C92">
        <v>0</v>
      </c>
      <c r="D92" t="s">
        <v>23</v>
      </c>
      <c r="E92" t="s">
        <v>20</v>
      </c>
      <c r="F92">
        <v>0</v>
      </c>
      <c r="G92" s="10">
        <v>137</v>
      </c>
      <c r="H92">
        <v>6</v>
      </c>
      <c r="I92">
        <v>8</v>
      </c>
      <c r="J92" s="2" t="s">
        <v>20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>
        <v>1529</v>
      </c>
      <c r="O92">
        <v>110</v>
      </c>
      <c r="P92" s="2">
        <v>0.06</v>
      </c>
      <c r="Q92" s="6">
        <v>40</v>
      </c>
      <c r="R92" s="10">
        <v>0</v>
      </c>
      <c r="S92" s="10">
        <v>4</v>
      </c>
      <c r="T92" s="10"/>
      <c r="U92" t="str">
        <f>"RUNNING_COST_"&amp;IF(PROPERTIES[[#This Row],[ENGINE_CLASS]]="MAGLEV","ELECTRIC",PROPERTIES[[#This Row],[ENGINE_CLASS]])</f>
        <v>RUNNING_COST_STEAM</v>
      </c>
      <c r="V92" s="10" t="s">
        <v>998</v>
      </c>
      <c r="W92" s="10" t="s">
        <v>999</v>
      </c>
      <c r="X92" s="10" t="str">
        <f>SUBSTITUTE(SUBSTITUTE(PROPERTIES[[#This Row],[PURCHASECOST_VALUE]], "PURCHASECOST_", ""), "_VALUE", "")</f>
        <v>STEAMENGINE</v>
      </c>
      <c r="AP92"/>
      <c r="AQ92"/>
      <c r="AR92"/>
    </row>
    <row r="93" spans="1:44">
      <c r="A93" s="2" t="s">
        <v>117</v>
      </c>
      <c r="B93">
        <v>1937</v>
      </c>
      <c r="C93">
        <v>0</v>
      </c>
      <c r="D93" t="s">
        <v>23</v>
      </c>
      <c r="E93" t="s">
        <v>20</v>
      </c>
      <c r="F93">
        <v>0</v>
      </c>
      <c r="G93" s="10">
        <v>103</v>
      </c>
      <c r="H93">
        <v>8</v>
      </c>
      <c r="I93">
        <v>12</v>
      </c>
      <c r="J93" s="2" t="s">
        <v>20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>
        <v>1600</v>
      </c>
      <c r="O93">
        <v>80</v>
      </c>
      <c r="P93" s="2">
        <v>0.16</v>
      </c>
      <c r="Q93" s="6">
        <v>40</v>
      </c>
      <c r="R93" s="10">
        <v>0</v>
      </c>
      <c r="S93" s="10">
        <v>6</v>
      </c>
      <c r="T93" s="10"/>
      <c r="U93" t="str">
        <f>"RUNNING_COST_"&amp;IF(PROPERTIES[[#This Row],[ENGINE_CLASS]]="MAGLEV","ELECTRIC",PROPERTIES[[#This Row],[ENGINE_CLASS]])</f>
        <v>RUNNING_COST_STEAM</v>
      </c>
      <c r="V93" s="10" t="s">
        <v>998</v>
      </c>
      <c r="W93" s="10" t="s">
        <v>999</v>
      </c>
      <c r="X93" s="10" t="str">
        <f>SUBSTITUTE(SUBSTITUTE(PROPERTIES[[#This Row],[PURCHASECOST_VALUE]], "PURCHASECOST_", ""), "_VALUE", "")</f>
        <v>STEAMENGINE</v>
      </c>
      <c r="AP93"/>
      <c r="AQ93"/>
      <c r="AR93"/>
    </row>
    <row r="94" spans="1:44">
      <c r="A94" s="2" t="s">
        <v>118</v>
      </c>
      <c r="B94">
        <v>1948</v>
      </c>
      <c r="C94">
        <v>0</v>
      </c>
      <c r="D94" t="s">
        <v>23</v>
      </c>
      <c r="E94" t="s">
        <v>20</v>
      </c>
      <c r="F94">
        <v>0</v>
      </c>
      <c r="G94" s="10">
        <v>168</v>
      </c>
      <c r="H94">
        <v>8</v>
      </c>
      <c r="I94">
        <v>10</v>
      </c>
      <c r="J94" s="2" t="s">
        <v>20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>
        <v>2680</v>
      </c>
      <c r="O94">
        <v>160</v>
      </c>
      <c r="P94" s="2">
        <v>0.1</v>
      </c>
      <c r="Q94" s="6">
        <v>40</v>
      </c>
      <c r="R94" s="10">
        <v>0</v>
      </c>
      <c r="S94" s="10">
        <v>5</v>
      </c>
      <c r="T94" s="10"/>
      <c r="U94" t="str">
        <f>"RUNNING_COST_"&amp;IF(PROPERTIES[[#This Row],[ENGINE_CLASS]]="MAGLEV","ELECTRIC",PROPERTIES[[#This Row],[ENGINE_CLASS]])</f>
        <v>RUNNING_COST_STEAM</v>
      </c>
      <c r="V94" s="10" t="s">
        <v>998</v>
      </c>
      <c r="W94" s="10" t="s">
        <v>999</v>
      </c>
      <c r="X94" s="10" t="str">
        <f>SUBSTITUTE(SUBSTITUTE(PROPERTIES[[#This Row],[PURCHASECOST_VALUE]], "PURCHASECOST_", ""), "_VALUE", "")</f>
        <v>STEAMENGINE</v>
      </c>
      <c r="AP94"/>
      <c r="AQ94"/>
      <c r="AR94"/>
    </row>
    <row r="95" spans="1:44">
      <c r="A95" s="2" t="s">
        <v>119</v>
      </c>
      <c r="B95">
        <v>1953</v>
      </c>
      <c r="C95">
        <v>0</v>
      </c>
      <c r="D95" t="s">
        <v>23</v>
      </c>
      <c r="E95" t="s">
        <v>20</v>
      </c>
      <c r="F95">
        <v>0</v>
      </c>
      <c r="G95" s="10">
        <v>236</v>
      </c>
      <c r="H95">
        <v>8</v>
      </c>
      <c r="I95">
        <v>10</v>
      </c>
      <c r="J95" s="2" t="s">
        <v>20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>
        <v>5100</v>
      </c>
      <c r="O95">
        <v>110</v>
      </c>
      <c r="P95" s="2">
        <v>0.1</v>
      </c>
      <c r="Q95" s="6">
        <v>40</v>
      </c>
      <c r="R95" s="10">
        <v>0</v>
      </c>
      <c r="S95" s="10">
        <v>5</v>
      </c>
      <c r="T95" s="10"/>
      <c r="U95" t="str">
        <f>"RUNNING_COST_"&amp;IF(PROPERTIES[[#This Row],[ENGINE_CLASS]]="MAGLEV","ELECTRIC",PROPERTIES[[#This Row],[ENGINE_CLASS]])</f>
        <v>RUNNING_COST_STEAM</v>
      </c>
      <c r="V95" s="10" t="s">
        <v>998</v>
      </c>
      <c r="W95" s="10" t="s">
        <v>999</v>
      </c>
      <c r="X95" s="10" t="str">
        <f>SUBSTITUTE(SUBSTITUTE(PROPERTIES[[#This Row],[PURCHASECOST_VALUE]], "PURCHASECOST_", ""), "_VALUE", "")</f>
        <v>STEAMENGINE</v>
      </c>
      <c r="AP95"/>
      <c r="AQ95"/>
      <c r="AR95"/>
    </row>
    <row r="96" spans="1:44">
      <c r="A96" s="2" t="s">
        <v>120</v>
      </c>
      <c r="B96">
        <v>1953</v>
      </c>
      <c r="C96">
        <v>0</v>
      </c>
      <c r="D96" t="s">
        <v>23</v>
      </c>
      <c r="E96" t="s">
        <v>20</v>
      </c>
      <c r="F96">
        <v>0</v>
      </c>
      <c r="G96" s="10">
        <v>245</v>
      </c>
      <c r="H96">
        <v>8</v>
      </c>
      <c r="I96">
        <v>12</v>
      </c>
      <c r="J96" s="2" t="s">
        <v>20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>
        <v>3125</v>
      </c>
      <c r="O96">
        <v>125</v>
      </c>
      <c r="P96" s="2">
        <v>0.06</v>
      </c>
      <c r="Q96" s="6">
        <v>40</v>
      </c>
      <c r="R96" s="10">
        <v>0</v>
      </c>
      <c r="S96" s="10">
        <v>6</v>
      </c>
      <c r="T96" s="10"/>
      <c r="U96" t="str">
        <f>"RUNNING_COST_"&amp;IF(PROPERTIES[[#This Row],[ENGINE_CLASS]]="MAGLEV","ELECTRIC",PROPERTIES[[#This Row],[ENGINE_CLASS]])</f>
        <v>RUNNING_COST_STEAM</v>
      </c>
      <c r="V96" s="10" t="s">
        <v>998</v>
      </c>
      <c r="W96" s="10" t="s">
        <v>999</v>
      </c>
      <c r="X96" s="10" t="str">
        <f>SUBSTITUTE(SUBSTITUTE(PROPERTIES[[#This Row],[PURCHASECOST_VALUE]], "PURCHASECOST_", ""), "_VALUE", "")</f>
        <v>STEAMENGINE</v>
      </c>
      <c r="AP96"/>
      <c r="AQ96"/>
      <c r="AR96"/>
    </row>
    <row r="97" spans="1:44">
      <c r="A97" s="2" t="s">
        <v>121</v>
      </c>
      <c r="B97">
        <v>1934</v>
      </c>
      <c r="C97">
        <v>0</v>
      </c>
      <c r="D97" t="s">
        <v>23</v>
      </c>
      <c r="E97" t="s">
        <v>20</v>
      </c>
      <c r="F97">
        <v>0</v>
      </c>
      <c r="G97" s="10">
        <v>119</v>
      </c>
      <c r="H97">
        <v>8</v>
      </c>
      <c r="I97">
        <v>10</v>
      </c>
      <c r="J97" s="2" t="s">
        <v>20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>
        <v>2260</v>
      </c>
      <c r="O97">
        <v>105</v>
      </c>
      <c r="P97" s="2">
        <v>0.22</v>
      </c>
      <c r="Q97" s="6">
        <v>40</v>
      </c>
      <c r="R97" s="10">
        <v>0</v>
      </c>
      <c r="S97" s="10">
        <v>5</v>
      </c>
      <c r="T97" s="10"/>
      <c r="U97" t="str">
        <f>"RUNNING_COST_"&amp;IF(PROPERTIES[[#This Row],[ENGINE_CLASS]]="MAGLEV","ELECTRIC",PROPERTIES[[#This Row],[ENGINE_CLASS]])</f>
        <v>RUNNING_COST_STEAM</v>
      </c>
      <c r="V97" s="10" t="s">
        <v>998</v>
      </c>
      <c r="W97" s="10" t="s">
        <v>999</v>
      </c>
      <c r="X97" s="10" t="str">
        <f>SUBSTITUTE(SUBSTITUTE(PROPERTIES[[#This Row],[PURCHASECOST_VALUE]], "PURCHASECOST_", ""), "_VALUE", "")</f>
        <v>STEAMENGINE</v>
      </c>
      <c r="AP97"/>
      <c r="AQ97"/>
      <c r="AR97"/>
    </row>
    <row r="98" spans="1:44">
      <c r="A98" s="2" t="s">
        <v>122</v>
      </c>
      <c r="B98">
        <v>1908</v>
      </c>
      <c r="C98">
        <v>0</v>
      </c>
      <c r="D98" t="s">
        <v>23</v>
      </c>
      <c r="E98" t="s">
        <v>20</v>
      </c>
      <c r="F98">
        <v>0</v>
      </c>
      <c r="G98" s="10">
        <v>59</v>
      </c>
      <c r="H98">
        <v>5</v>
      </c>
      <c r="I98">
        <v>5</v>
      </c>
      <c r="J98" s="2" t="s">
        <v>20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>
        <v>500</v>
      </c>
      <c r="O98">
        <v>40</v>
      </c>
      <c r="P98" s="2">
        <v>0.21</v>
      </c>
      <c r="Q98" s="6">
        <v>40</v>
      </c>
      <c r="R98" s="10">
        <v>0</v>
      </c>
      <c r="S98" s="10">
        <v>0</v>
      </c>
      <c r="T98" s="10"/>
      <c r="U98" t="str">
        <f>"RUNNING_COST_"&amp;IF(PROPERTIES[[#This Row],[ENGINE_CLASS]]="MAGLEV","ELECTRIC",PROPERTIES[[#This Row],[ENGINE_CLASS]])</f>
        <v>RUNNING_COST_STEAM</v>
      </c>
      <c r="V98" s="10" t="s">
        <v>998</v>
      </c>
      <c r="W98" s="10" t="s">
        <v>999</v>
      </c>
      <c r="X98" s="10" t="str">
        <f>SUBSTITUTE(SUBSTITUTE(PROPERTIES[[#This Row],[PURCHASECOST_VALUE]], "PURCHASECOST_", ""), "_VALUE", "")</f>
        <v>STEAMENGINE</v>
      </c>
      <c r="AP98"/>
      <c r="AQ98"/>
      <c r="AR98"/>
    </row>
    <row r="99" spans="1:44">
      <c r="A99" s="2" t="s">
        <v>123</v>
      </c>
      <c r="B99">
        <v>1934</v>
      </c>
      <c r="C99">
        <v>0</v>
      </c>
      <c r="D99" t="s">
        <v>23</v>
      </c>
      <c r="E99" t="s">
        <v>20</v>
      </c>
      <c r="F99">
        <v>0</v>
      </c>
      <c r="G99" s="10">
        <v>111</v>
      </c>
      <c r="H99">
        <v>7</v>
      </c>
      <c r="I99">
        <v>7</v>
      </c>
      <c r="J99" s="2" t="s">
        <v>20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>
        <v>1868</v>
      </c>
      <c r="O99">
        <v>75</v>
      </c>
      <c r="P99" s="2">
        <v>0.11</v>
      </c>
      <c r="Q99" s="6">
        <v>40</v>
      </c>
      <c r="R99" s="10">
        <v>0</v>
      </c>
      <c r="S99" s="10">
        <v>0</v>
      </c>
      <c r="T99" s="10"/>
      <c r="U99" t="str">
        <f>"RUNNING_COST_"&amp;IF(PROPERTIES[[#This Row],[ENGINE_CLASS]]="MAGLEV","ELECTRIC",PROPERTIES[[#This Row],[ENGINE_CLASS]])</f>
        <v>RUNNING_COST_STEAM</v>
      </c>
      <c r="V99" s="10" t="s">
        <v>998</v>
      </c>
      <c r="W99" s="10" t="s">
        <v>999</v>
      </c>
      <c r="X99" s="10" t="str">
        <f>SUBSTITUTE(SUBSTITUTE(PROPERTIES[[#This Row],[PURCHASECOST_VALUE]], "PURCHASECOST_", ""), "_VALUE", "")</f>
        <v>STEAMENGINE</v>
      </c>
      <c r="AP99"/>
      <c r="AQ99"/>
      <c r="AR99"/>
    </row>
    <row r="100" spans="1:44">
      <c r="A100" s="2" t="s">
        <v>124</v>
      </c>
      <c r="B100">
        <v>1913</v>
      </c>
      <c r="C100">
        <v>0</v>
      </c>
      <c r="D100" t="s">
        <v>23</v>
      </c>
      <c r="E100" t="s">
        <v>20</v>
      </c>
      <c r="F100">
        <v>0</v>
      </c>
      <c r="G100" s="10">
        <v>128</v>
      </c>
      <c r="H100">
        <v>8</v>
      </c>
      <c r="I100">
        <v>8</v>
      </c>
      <c r="J100" s="2" t="s">
        <v>20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>
        <v>1620</v>
      </c>
      <c r="O100">
        <v>65</v>
      </c>
      <c r="P100" s="2">
        <v>0.17</v>
      </c>
      <c r="Q100" s="6">
        <v>40</v>
      </c>
      <c r="R100" s="10">
        <v>0</v>
      </c>
      <c r="S100" s="10">
        <v>4</v>
      </c>
      <c r="T100" s="10"/>
      <c r="U100" t="str">
        <f>"RUNNING_COST_"&amp;IF(PROPERTIES[[#This Row],[ENGINE_CLASS]]="MAGLEV","ELECTRIC",PROPERTIES[[#This Row],[ENGINE_CLASS]])</f>
        <v>RUNNING_COST_STEAM</v>
      </c>
      <c r="V100" s="10" t="s">
        <v>998</v>
      </c>
      <c r="W100" s="10" t="s">
        <v>999</v>
      </c>
      <c r="X100" s="10" t="str">
        <f>SUBSTITUTE(SUBSTITUTE(PROPERTIES[[#This Row],[PURCHASECOST_VALUE]], "PURCHASECOST_", ""), "_VALUE", "")</f>
        <v>STEAMENGINE</v>
      </c>
      <c r="AP100"/>
      <c r="AQ100"/>
      <c r="AR100"/>
    </row>
    <row r="101" spans="1:44">
      <c r="A101" s="2" t="s">
        <v>125</v>
      </c>
      <c r="B101">
        <v>1941</v>
      </c>
      <c r="C101">
        <v>0</v>
      </c>
      <c r="D101" t="s">
        <v>23</v>
      </c>
      <c r="E101" t="s">
        <v>20</v>
      </c>
      <c r="F101">
        <v>0</v>
      </c>
      <c r="G101" s="10">
        <v>603</v>
      </c>
      <c r="H101">
        <v>8</v>
      </c>
      <c r="I101">
        <v>6</v>
      </c>
      <c r="J101" s="2" t="s">
        <v>20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>
        <v>6290</v>
      </c>
      <c r="O101">
        <v>128</v>
      </c>
      <c r="P101" s="2">
        <v>0.1</v>
      </c>
      <c r="Q101" s="6">
        <v>40</v>
      </c>
      <c r="R101" s="10">
        <v>0</v>
      </c>
      <c r="S101" s="10">
        <v>0</v>
      </c>
      <c r="T101" s="10"/>
      <c r="U101" t="str">
        <f>"RUNNING_COST_"&amp;IF(PROPERTIES[[#This Row],[ENGINE_CLASS]]="MAGLEV","ELECTRIC",PROPERTIES[[#This Row],[ENGINE_CLASS]])</f>
        <v>RUNNING_COST_STEAM</v>
      </c>
      <c r="V101" s="10" t="s">
        <v>998</v>
      </c>
      <c r="W101" s="10" t="s">
        <v>999</v>
      </c>
      <c r="X101" s="10" t="str">
        <f>SUBSTITUTE(SUBSTITUTE(PROPERTIES[[#This Row],[PURCHASECOST_VALUE]], "PURCHASECOST_", ""), "_VALUE", "")</f>
        <v>STEAMENGINE</v>
      </c>
      <c r="AP101"/>
      <c r="AQ101"/>
      <c r="AR101"/>
    </row>
    <row r="102" spans="1:44">
      <c r="A102" s="2" t="s">
        <v>126</v>
      </c>
      <c r="B102">
        <v>1844</v>
      </c>
      <c r="C102">
        <v>0</v>
      </c>
      <c r="D102" t="s">
        <v>23</v>
      </c>
      <c r="E102" t="s">
        <v>18</v>
      </c>
      <c r="F102">
        <v>0</v>
      </c>
      <c r="G102" s="10">
        <v>31</v>
      </c>
      <c r="H102">
        <v>4</v>
      </c>
      <c r="I102">
        <v>6</v>
      </c>
      <c r="J102" s="2" t="s">
        <v>20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>
        <v>218</v>
      </c>
      <c r="O102">
        <v>40</v>
      </c>
      <c r="P102" s="2">
        <v>0.03</v>
      </c>
      <c r="Q102" s="6">
        <v>40</v>
      </c>
      <c r="R102" s="10">
        <v>0</v>
      </c>
      <c r="S102" s="10">
        <v>3</v>
      </c>
      <c r="T102" s="10"/>
      <c r="U102" t="str">
        <f>"RUNNING_COST_"&amp;IF(PROPERTIES[[#This Row],[ENGINE_CLASS]]="MAGLEV","ELECTRIC",PROPERTIES[[#This Row],[ENGINE_CLASS]])</f>
        <v>RUNNING_COST_STEAM</v>
      </c>
      <c r="V102" s="10" t="s">
        <v>998</v>
      </c>
      <c r="W102" s="10" t="s">
        <v>999</v>
      </c>
      <c r="X102" s="10" t="str">
        <f>SUBSTITUTE(SUBSTITUTE(PROPERTIES[[#This Row],[PURCHASECOST_VALUE]], "PURCHASECOST_", ""), "_VALUE", "")</f>
        <v>STEAMENGINE</v>
      </c>
      <c r="AP102"/>
      <c r="AQ102"/>
      <c r="AR102"/>
    </row>
    <row r="103" spans="1:44">
      <c r="A103" s="2" t="s">
        <v>127</v>
      </c>
      <c r="B103">
        <v>1846</v>
      </c>
      <c r="C103">
        <v>0</v>
      </c>
      <c r="D103" t="s">
        <v>23</v>
      </c>
      <c r="E103" t="s">
        <v>18</v>
      </c>
      <c r="F103">
        <v>0</v>
      </c>
      <c r="G103" s="10">
        <v>44</v>
      </c>
      <c r="H103">
        <v>8</v>
      </c>
      <c r="I103">
        <v>8</v>
      </c>
      <c r="J103" s="2" t="s">
        <v>20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>
        <v>507</v>
      </c>
      <c r="O103">
        <v>128</v>
      </c>
      <c r="P103" s="2">
        <v>0.1</v>
      </c>
      <c r="Q103" s="6">
        <v>40</v>
      </c>
      <c r="R103" s="10">
        <v>0</v>
      </c>
      <c r="S103" s="10">
        <v>4</v>
      </c>
      <c r="T103" s="10"/>
      <c r="U103" t="str">
        <f>"RUNNING_COST_"&amp;IF(PROPERTIES[[#This Row],[ENGINE_CLASS]]="MAGLEV","ELECTRIC",PROPERTIES[[#This Row],[ENGINE_CLASS]])</f>
        <v>RUNNING_COST_STEAM</v>
      </c>
      <c r="V103" s="10" t="s">
        <v>998</v>
      </c>
      <c r="W103" s="10" t="s">
        <v>999</v>
      </c>
      <c r="X103" s="10" t="str">
        <f>SUBSTITUTE(SUBSTITUTE(PROPERTIES[[#This Row],[PURCHASECOST_VALUE]], "PURCHASECOST_", ""), "_VALUE", "")</f>
        <v>STEAMENGINE</v>
      </c>
      <c r="AP103"/>
      <c r="AQ103"/>
      <c r="AR103"/>
    </row>
    <row r="104" spans="1:44">
      <c r="A104" s="2" t="s">
        <v>128</v>
      </c>
      <c r="B104">
        <v>1855</v>
      </c>
      <c r="C104">
        <v>0</v>
      </c>
      <c r="D104" t="s">
        <v>23</v>
      </c>
      <c r="E104" t="s">
        <v>18</v>
      </c>
      <c r="F104">
        <v>0</v>
      </c>
      <c r="G104" s="10">
        <v>38</v>
      </c>
      <c r="H104">
        <v>5</v>
      </c>
      <c r="I104">
        <v>8</v>
      </c>
      <c r="J104" s="2" t="s">
        <v>20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>
        <v>119</v>
      </c>
      <c r="O104">
        <v>25</v>
      </c>
      <c r="P104" s="2">
        <v>0.1</v>
      </c>
      <c r="Q104" s="6">
        <v>40</v>
      </c>
      <c r="R104" s="10">
        <v>0</v>
      </c>
      <c r="S104" s="10">
        <v>4</v>
      </c>
      <c r="T104" s="10"/>
      <c r="U104" t="str">
        <f>"RUNNING_COST_"&amp;IF(PROPERTIES[[#This Row],[ENGINE_CLASS]]="MAGLEV","ELECTRIC",PROPERTIES[[#This Row],[ENGINE_CLASS]])</f>
        <v>RUNNING_COST_STEAM</v>
      </c>
      <c r="V104" s="10" t="s">
        <v>998</v>
      </c>
      <c r="W104" s="10" t="s">
        <v>999</v>
      </c>
      <c r="X104" s="10" t="str">
        <f>SUBSTITUTE(SUBSTITUTE(PROPERTIES[[#This Row],[PURCHASECOST_VALUE]], "PURCHASECOST_", ""), "_VALUE", "")</f>
        <v>STEAMENGINE</v>
      </c>
      <c r="AP104"/>
      <c r="AQ104"/>
      <c r="AR104"/>
    </row>
    <row r="105" spans="1:44">
      <c r="A105" s="2" t="s">
        <v>129</v>
      </c>
      <c r="B105">
        <v>1863</v>
      </c>
      <c r="C105">
        <v>0</v>
      </c>
      <c r="D105" t="s">
        <v>23</v>
      </c>
      <c r="E105" t="s">
        <v>18</v>
      </c>
      <c r="F105">
        <v>0</v>
      </c>
      <c r="G105" s="10">
        <v>18</v>
      </c>
      <c r="H105">
        <v>5</v>
      </c>
      <c r="I105">
        <v>6</v>
      </c>
      <c r="J105" s="2" t="s">
        <v>20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>
        <v>126</v>
      </c>
      <c r="O105">
        <v>80</v>
      </c>
      <c r="P105" s="2">
        <v>0.14000000000000001</v>
      </c>
      <c r="Q105" s="6">
        <v>40</v>
      </c>
      <c r="R105" s="10">
        <v>0</v>
      </c>
      <c r="S105" s="10">
        <v>3</v>
      </c>
      <c r="T105" s="10"/>
      <c r="U105" t="str">
        <f>"RUNNING_COST_"&amp;IF(PROPERTIES[[#This Row],[ENGINE_CLASS]]="MAGLEV","ELECTRIC",PROPERTIES[[#This Row],[ENGINE_CLASS]])</f>
        <v>RUNNING_COST_STEAM</v>
      </c>
      <c r="V105" s="10" t="s">
        <v>998</v>
      </c>
      <c r="W105" s="10" t="s">
        <v>999</v>
      </c>
      <c r="X105" s="10" t="str">
        <f>SUBSTITUTE(SUBSTITUTE(PROPERTIES[[#This Row],[PURCHASECOST_VALUE]], "PURCHASECOST_", ""), "_VALUE", "")</f>
        <v>STEAMENGINE</v>
      </c>
      <c r="AP105"/>
      <c r="AQ105"/>
      <c r="AR105"/>
    </row>
    <row r="106" spans="1:44">
      <c r="A106" s="2" t="s">
        <v>130</v>
      </c>
      <c r="B106">
        <v>1865</v>
      </c>
      <c r="C106">
        <v>0</v>
      </c>
      <c r="D106" t="s">
        <v>23</v>
      </c>
      <c r="E106" t="s">
        <v>18</v>
      </c>
      <c r="F106">
        <v>0</v>
      </c>
      <c r="G106" s="10">
        <v>49</v>
      </c>
      <c r="H106">
        <v>5</v>
      </c>
      <c r="I106">
        <v>6</v>
      </c>
      <c r="J106" s="2" t="s">
        <v>20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>
        <v>320</v>
      </c>
      <c r="O106">
        <v>80</v>
      </c>
      <c r="P106" s="2">
        <v>7.0000000000000007E-2</v>
      </c>
      <c r="Q106" s="6">
        <v>40</v>
      </c>
      <c r="R106" s="10">
        <v>0</v>
      </c>
      <c r="S106" s="10">
        <v>3</v>
      </c>
      <c r="T106" s="10"/>
      <c r="U106" t="str">
        <f>"RUNNING_COST_"&amp;IF(PROPERTIES[[#This Row],[ENGINE_CLASS]]="MAGLEV","ELECTRIC",PROPERTIES[[#This Row],[ENGINE_CLASS]])</f>
        <v>RUNNING_COST_STEAM</v>
      </c>
      <c r="V106" s="10" t="s">
        <v>998</v>
      </c>
      <c r="W106" s="10" t="s">
        <v>999</v>
      </c>
      <c r="X106" s="10" t="str">
        <f>SUBSTITUTE(SUBSTITUTE(PROPERTIES[[#This Row],[PURCHASECOST_VALUE]], "PURCHASECOST_", ""), "_VALUE", "")</f>
        <v>STEAMENGINE</v>
      </c>
      <c r="AP106"/>
      <c r="AQ106"/>
      <c r="AR106"/>
    </row>
    <row r="107" spans="1:44">
      <c r="A107" s="2" t="s">
        <v>131</v>
      </c>
      <c r="B107">
        <v>1876</v>
      </c>
      <c r="C107">
        <v>0</v>
      </c>
      <c r="D107" t="s">
        <v>23</v>
      </c>
      <c r="E107" t="s">
        <v>18</v>
      </c>
      <c r="F107">
        <v>0</v>
      </c>
      <c r="G107" s="10">
        <v>26</v>
      </c>
      <c r="H107">
        <v>5</v>
      </c>
      <c r="I107">
        <v>5</v>
      </c>
      <c r="J107" s="2" t="s">
        <v>20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>
        <v>96</v>
      </c>
      <c r="O107">
        <v>15</v>
      </c>
      <c r="P107" s="2">
        <v>0.17</v>
      </c>
      <c r="Q107" s="6">
        <v>40</v>
      </c>
      <c r="R107" s="10">
        <v>0</v>
      </c>
      <c r="S107" s="10">
        <v>0</v>
      </c>
      <c r="T107" s="10"/>
      <c r="U107" t="str">
        <f>"RUNNING_COST_"&amp;IF(PROPERTIES[[#This Row],[ENGINE_CLASS]]="MAGLEV","ELECTRIC",PROPERTIES[[#This Row],[ENGINE_CLASS]])</f>
        <v>RUNNING_COST_STEAM</v>
      </c>
      <c r="V107" s="10" t="s">
        <v>998</v>
      </c>
      <c r="W107" s="10" t="s">
        <v>999</v>
      </c>
      <c r="X107" s="10" t="str">
        <f>SUBSTITUTE(SUBSTITUTE(PROPERTIES[[#This Row],[PURCHASECOST_VALUE]], "PURCHASECOST_", ""), "_VALUE", "")</f>
        <v>STEAMENGINE</v>
      </c>
      <c r="AP107"/>
      <c r="AQ107"/>
      <c r="AR107"/>
    </row>
    <row r="108" spans="1:44">
      <c r="A108" s="2" t="s">
        <v>132</v>
      </c>
      <c r="B108">
        <v>1881</v>
      </c>
      <c r="C108">
        <v>0</v>
      </c>
      <c r="D108" t="s">
        <v>23</v>
      </c>
      <c r="E108" t="s">
        <v>18</v>
      </c>
      <c r="F108">
        <v>0</v>
      </c>
      <c r="G108" s="10">
        <v>43</v>
      </c>
      <c r="H108">
        <v>7</v>
      </c>
      <c r="I108">
        <v>8</v>
      </c>
      <c r="J108" s="2" t="s">
        <v>20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>
        <v>650</v>
      </c>
      <c r="O108">
        <v>80</v>
      </c>
      <c r="P108" s="2">
        <v>0.23</v>
      </c>
      <c r="Q108" s="6">
        <v>40</v>
      </c>
      <c r="R108" s="10">
        <v>0</v>
      </c>
      <c r="S108" s="10">
        <v>4</v>
      </c>
      <c r="T108" s="10"/>
      <c r="U108" t="str">
        <f>"RUNNING_COST_"&amp;IF(PROPERTIES[[#This Row],[ENGINE_CLASS]]="MAGLEV","ELECTRIC",PROPERTIES[[#This Row],[ENGINE_CLASS]])</f>
        <v>RUNNING_COST_STEAM</v>
      </c>
      <c r="V108" s="10" t="s">
        <v>998</v>
      </c>
      <c r="W108" s="10" t="s">
        <v>999</v>
      </c>
      <c r="X108" s="10" t="str">
        <f>SUBSTITUTE(SUBSTITUTE(PROPERTIES[[#This Row],[PURCHASECOST_VALUE]], "PURCHASECOST_", ""), "_VALUE", "")</f>
        <v>STEAMENGINE</v>
      </c>
      <c r="AP108"/>
      <c r="AQ108"/>
      <c r="AR108"/>
    </row>
    <row r="109" spans="1:44">
      <c r="A109" s="2" t="s">
        <v>133</v>
      </c>
      <c r="B109">
        <v>1886</v>
      </c>
      <c r="C109">
        <v>0</v>
      </c>
      <c r="D109" t="s">
        <v>23</v>
      </c>
      <c r="E109" t="s">
        <v>18</v>
      </c>
      <c r="F109">
        <v>0</v>
      </c>
      <c r="G109" s="10">
        <v>52</v>
      </c>
      <c r="H109">
        <v>6</v>
      </c>
      <c r="I109">
        <v>8</v>
      </c>
      <c r="J109" s="2" t="s">
        <v>20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>
        <v>670</v>
      </c>
      <c r="O109">
        <v>104</v>
      </c>
      <c r="P109" s="2">
        <v>0.13</v>
      </c>
      <c r="Q109" s="6">
        <v>40</v>
      </c>
      <c r="R109" s="10">
        <v>0</v>
      </c>
      <c r="S109" s="10">
        <v>4</v>
      </c>
      <c r="T109" s="10"/>
      <c r="U109" t="str">
        <f>"RUNNING_COST_"&amp;IF(PROPERTIES[[#This Row],[ENGINE_CLASS]]="MAGLEV","ELECTRIC",PROPERTIES[[#This Row],[ENGINE_CLASS]])</f>
        <v>RUNNING_COST_STEAM</v>
      </c>
      <c r="V109" s="10" t="s">
        <v>998</v>
      </c>
      <c r="W109" s="10" t="s">
        <v>999</v>
      </c>
      <c r="X109" s="10" t="str">
        <f>SUBSTITUTE(SUBSTITUTE(PROPERTIES[[#This Row],[PURCHASECOST_VALUE]], "PURCHASECOST_", ""), "_VALUE", "")</f>
        <v>STEAMENGINE</v>
      </c>
      <c r="AP109"/>
      <c r="AQ109"/>
      <c r="AR109"/>
    </row>
    <row r="110" spans="1:44">
      <c r="A110" s="2" t="s">
        <v>134</v>
      </c>
      <c r="B110">
        <v>1887</v>
      </c>
      <c r="C110">
        <v>0</v>
      </c>
      <c r="D110" t="s">
        <v>23</v>
      </c>
      <c r="E110" t="s">
        <v>18</v>
      </c>
      <c r="F110">
        <v>0</v>
      </c>
      <c r="G110" s="10">
        <v>36</v>
      </c>
      <c r="H110">
        <v>5</v>
      </c>
      <c r="I110">
        <v>5</v>
      </c>
      <c r="J110" s="2" t="s">
        <v>20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>
        <v>88</v>
      </c>
      <c r="O110">
        <v>60</v>
      </c>
      <c r="P110" s="2">
        <v>0.12</v>
      </c>
      <c r="Q110" s="6">
        <v>40</v>
      </c>
      <c r="R110" s="10">
        <v>0</v>
      </c>
      <c r="S110" s="10">
        <v>0</v>
      </c>
      <c r="T110" s="10"/>
      <c r="U110" t="str">
        <f>"RUNNING_COST_"&amp;IF(PROPERTIES[[#This Row],[ENGINE_CLASS]]="MAGLEV","ELECTRIC",PROPERTIES[[#This Row],[ENGINE_CLASS]])</f>
        <v>RUNNING_COST_STEAM</v>
      </c>
      <c r="V110" s="10" t="s">
        <v>998</v>
      </c>
      <c r="W110" s="10" t="s">
        <v>999</v>
      </c>
      <c r="X110" s="10" t="str">
        <f>SUBSTITUTE(SUBSTITUTE(PROPERTIES[[#This Row],[PURCHASECOST_VALUE]], "PURCHASECOST_", ""), "_VALUE", "")</f>
        <v>STEAMENGINE</v>
      </c>
      <c r="AP110"/>
      <c r="AQ110"/>
      <c r="AR110"/>
    </row>
    <row r="111" spans="1:44">
      <c r="A111" s="2" t="s">
        <v>135</v>
      </c>
      <c r="B111">
        <v>1891</v>
      </c>
      <c r="C111">
        <v>0</v>
      </c>
      <c r="D111" t="s">
        <v>23</v>
      </c>
      <c r="E111" t="s">
        <v>18</v>
      </c>
      <c r="F111">
        <v>0</v>
      </c>
      <c r="G111" s="10">
        <v>73</v>
      </c>
      <c r="H111">
        <v>6</v>
      </c>
      <c r="I111">
        <v>6</v>
      </c>
      <c r="J111" s="2" t="s">
        <v>20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>
        <v>665</v>
      </c>
      <c r="O111">
        <v>80</v>
      </c>
      <c r="P111" s="2">
        <v>0.1</v>
      </c>
      <c r="Q111" s="6">
        <v>40</v>
      </c>
      <c r="R111" s="10">
        <v>0</v>
      </c>
      <c r="S111" s="10">
        <v>3</v>
      </c>
      <c r="T111" s="10"/>
      <c r="U111" t="str">
        <f>"RUNNING_COST_"&amp;IF(PROPERTIES[[#This Row],[ENGINE_CLASS]]="MAGLEV","ELECTRIC",PROPERTIES[[#This Row],[ENGINE_CLASS]])</f>
        <v>RUNNING_COST_STEAM</v>
      </c>
      <c r="V111" s="10" t="s">
        <v>998</v>
      </c>
      <c r="W111" s="10" t="s">
        <v>999</v>
      </c>
      <c r="X111" s="10" t="str">
        <f>SUBSTITUTE(SUBSTITUTE(PROPERTIES[[#This Row],[PURCHASECOST_VALUE]], "PURCHASECOST_", ""), "_VALUE", "")</f>
        <v>STEAMENGINE</v>
      </c>
      <c r="AP111"/>
      <c r="AQ111"/>
      <c r="AR111"/>
    </row>
    <row r="112" spans="1:44">
      <c r="A112" s="2" t="s">
        <v>136</v>
      </c>
      <c r="B112">
        <v>1892</v>
      </c>
      <c r="C112">
        <v>0</v>
      </c>
      <c r="D112" t="s">
        <v>23</v>
      </c>
      <c r="E112" t="s">
        <v>18</v>
      </c>
      <c r="F112">
        <v>0</v>
      </c>
      <c r="G112" s="10">
        <v>27</v>
      </c>
      <c r="H112">
        <v>6</v>
      </c>
      <c r="I112">
        <v>6</v>
      </c>
      <c r="J112" s="2" t="s">
        <v>20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>
        <v>206</v>
      </c>
      <c r="O112">
        <v>30</v>
      </c>
      <c r="P112" s="2">
        <v>0.14000000000000001</v>
      </c>
      <c r="Q112" s="6">
        <v>40</v>
      </c>
      <c r="R112" s="10">
        <v>0</v>
      </c>
      <c r="S112" s="10">
        <v>0</v>
      </c>
      <c r="T112" s="10"/>
      <c r="U112" t="str">
        <f>"RUNNING_COST_"&amp;IF(PROPERTIES[[#This Row],[ENGINE_CLASS]]="MAGLEV","ELECTRIC",PROPERTIES[[#This Row],[ENGINE_CLASS]])</f>
        <v>RUNNING_COST_STEAM</v>
      </c>
      <c r="V112" s="10" t="s">
        <v>998</v>
      </c>
      <c r="W112" s="10" t="s">
        <v>999</v>
      </c>
      <c r="X112" s="10" t="str">
        <f>SUBSTITUTE(SUBSTITUTE(PROPERTIES[[#This Row],[PURCHASECOST_VALUE]], "PURCHASECOST_", ""), "_VALUE", "")</f>
        <v>STEAMENGINE</v>
      </c>
      <c r="AP112"/>
      <c r="AQ112"/>
      <c r="AR112"/>
    </row>
    <row r="113" spans="1:44">
      <c r="A113" s="2" t="s">
        <v>137</v>
      </c>
      <c r="B113">
        <v>1893</v>
      </c>
      <c r="C113">
        <v>0</v>
      </c>
      <c r="D113" t="s">
        <v>23</v>
      </c>
      <c r="E113" t="s">
        <v>18</v>
      </c>
      <c r="F113">
        <v>0</v>
      </c>
      <c r="G113" s="10">
        <v>50</v>
      </c>
      <c r="H113">
        <v>7</v>
      </c>
      <c r="I113">
        <v>8</v>
      </c>
      <c r="J113" s="2" t="s">
        <v>20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>
        <v>580</v>
      </c>
      <c r="O113">
        <v>100</v>
      </c>
      <c r="P113" s="2">
        <v>0.13</v>
      </c>
      <c r="Q113" s="6">
        <v>40</v>
      </c>
      <c r="R113" s="10">
        <v>0</v>
      </c>
      <c r="S113" s="10">
        <v>4</v>
      </c>
      <c r="T113" s="10"/>
      <c r="U113" t="str">
        <f>"RUNNING_COST_"&amp;IF(PROPERTIES[[#This Row],[ENGINE_CLASS]]="MAGLEV","ELECTRIC",PROPERTIES[[#This Row],[ENGINE_CLASS]])</f>
        <v>RUNNING_COST_STEAM</v>
      </c>
      <c r="V113" s="10" t="s">
        <v>998</v>
      </c>
      <c r="W113" s="10" t="s">
        <v>999</v>
      </c>
      <c r="X113" s="10" t="str">
        <f>SUBSTITUTE(SUBSTITUTE(PROPERTIES[[#This Row],[PURCHASECOST_VALUE]], "PURCHASECOST_", ""), "_VALUE", "")</f>
        <v>STEAMENGINE</v>
      </c>
      <c r="AP113"/>
      <c r="AQ113"/>
      <c r="AR113"/>
    </row>
    <row r="114" spans="1:44">
      <c r="A114" s="2" t="s">
        <v>138</v>
      </c>
      <c r="B114">
        <v>1894</v>
      </c>
      <c r="C114">
        <v>0</v>
      </c>
      <c r="D114" t="s">
        <v>23</v>
      </c>
      <c r="E114" t="s">
        <v>18</v>
      </c>
      <c r="F114">
        <v>0</v>
      </c>
      <c r="G114" s="10">
        <v>19</v>
      </c>
      <c r="H114">
        <v>7</v>
      </c>
      <c r="I114">
        <v>7</v>
      </c>
      <c r="J114" s="2" t="s">
        <v>20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>
        <v>98</v>
      </c>
      <c r="O114">
        <v>40</v>
      </c>
      <c r="P114" s="2">
        <v>0.17</v>
      </c>
      <c r="Q114" s="6">
        <v>40</v>
      </c>
      <c r="R114" s="10">
        <v>0</v>
      </c>
      <c r="S114" s="10">
        <v>0</v>
      </c>
      <c r="T114" s="10"/>
      <c r="U114" t="str">
        <f>"RUNNING_COST_"&amp;IF(PROPERTIES[[#This Row],[ENGINE_CLASS]]="MAGLEV","ELECTRIC",PROPERTIES[[#This Row],[ENGINE_CLASS]])</f>
        <v>RUNNING_COST_STEAM</v>
      </c>
      <c r="V114" s="10" t="s">
        <v>998</v>
      </c>
      <c r="W114" s="10" t="s">
        <v>999</v>
      </c>
      <c r="X114" s="10" t="str">
        <f>SUBSTITUTE(SUBSTITUTE(PROPERTIES[[#This Row],[PURCHASECOST_VALUE]], "PURCHASECOST_", ""), "_VALUE", "")</f>
        <v>STEAMENGINE</v>
      </c>
      <c r="AP114"/>
      <c r="AQ114"/>
      <c r="AR114"/>
    </row>
    <row r="115" spans="1:44">
      <c r="A115" s="2" t="s">
        <v>139</v>
      </c>
      <c r="B115">
        <v>1895</v>
      </c>
      <c r="C115">
        <v>0</v>
      </c>
      <c r="D115" t="s">
        <v>23</v>
      </c>
      <c r="E115" t="s">
        <v>18</v>
      </c>
      <c r="F115">
        <v>0</v>
      </c>
      <c r="G115" s="10">
        <v>64</v>
      </c>
      <c r="H115">
        <v>7</v>
      </c>
      <c r="I115">
        <v>8</v>
      </c>
      <c r="J115" s="2" t="s">
        <v>20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>
        <v>1090</v>
      </c>
      <c r="O115">
        <v>128</v>
      </c>
      <c r="P115" s="2">
        <v>0.17</v>
      </c>
      <c r="Q115" s="6">
        <v>40</v>
      </c>
      <c r="R115" s="10">
        <v>0</v>
      </c>
      <c r="S115" s="10">
        <v>4</v>
      </c>
      <c r="T115" s="10"/>
      <c r="U115" t="str">
        <f>"RUNNING_COST_"&amp;IF(PROPERTIES[[#This Row],[ENGINE_CLASS]]="MAGLEV","ELECTRIC",PROPERTIES[[#This Row],[ENGINE_CLASS]])</f>
        <v>RUNNING_COST_STEAM</v>
      </c>
      <c r="V115" s="10" t="s">
        <v>998</v>
      </c>
      <c r="W115" s="10" t="s">
        <v>999</v>
      </c>
      <c r="X115" s="10" t="str">
        <f>SUBSTITUTE(SUBSTITUTE(PROPERTIES[[#This Row],[PURCHASECOST_VALUE]], "PURCHASECOST_", ""), "_VALUE", "")</f>
        <v>STEAMENGINE</v>
      </c>
      <c r="AP115"/>
      <c r="AQ115"/>
      <c r="AR115"/>
    </row>
    <row r="116" spans="1:44">
      <c r="A116" s="2" t="s">
        <v>140</v>
      </c>
      <c r="B116">
        <v>1901</v>
      </c>
      <c r="C116">
        <v>0</v>
      </c>
      <c r="D116" t="s">
        <v>23</v>
      </c>
      <c r="E116" t="s">
        <v>18</v>
      </c>
      <c r="F116">
        <v>0</v>
      </c>
      <c r="G116" s="10">
        <v>33</v>
      </c>
      <c r="H116">
        <v>4</v>
      </c>
      <c r="I116">
        <v>4</v>
      </c>
      <c r="J116" s="2" t="s">
        <v>20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>
        <v>290</v>
      </c>
      <c r="O116">
        <v>45</v>
      </c>
      <c r="P116" s="2">
        <v>0.14000000000000001</v>
      </c>
      <c r="Q116" s="6">
        <v>40</v>
      </c>
      <c r="R116" s="10">
        <v>0</v>
      </c>
      <c r="S116" s="10">
        <v>0</v>
      </c>
      <c r="T116" s="10"/>
      <c r="U116" t="str">
        <f>"RUNNING_COST_"&amp;IF(PROPERTIES[[#This Row],[ENGINE_CLASS]]="MAGLEV","ELECTRIC",PROPERTIES[[#This Row],[ENGINE_CLASS]])</f>
        <v>RUNNING_COST_STEAM</v>
      </c>
      <c r="V116" s="10" t="s">
        <v>998</v>
      </c>
      <c r="W116" s="10" t="s">
        <v>999</v>
      </c>
      <c r="X116" s="10" t="str">
        <f>SUBSTITUTE(SUBSTITUTE(PROPERTIES[[#This Row],[PURCHASECOST_VALUE]], "PURCHASECOST_", ""), "_VALUE", "")</f>
        <v>STEAMENGINE</v>
      </c>
      <c r="AP116"/>
      <c r="AQ116"/>
      <c r="AR116"/>
    </row>
    <row r="117" spans="1:44">
      <c r="A117" s="2" t="s">
        <v>141</v>
      </c>
      <c r="B117">
        <v>1910</v>
      </c>
      <c r="C117">
        <v>0</v>
      </c>
      <c r="D117" t="s">
        <v>23</v>
      </c>
      <c r="E117" t="s">
        <v>18</v>
      </c>
      <c r="F117">
        <v>0</v>
      </c>
      <c r="G117" s="10">
        <v>102</v>
      </c>
      <c r="H117">
        <v>8</v>
      </c>
      <c r="I117">
        <v>10</v>
      </c>
      <c r="J117" s="2" t="s">
        <v>20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>
        <v>1360</v>
      </c>
      <c r="O117">
        <v>65</v>
      </c>
      <c r="P117" s="2">
        <v>0.2</v>
      </c>
      <c r="Q117" s="6">
        <v>40</v>
      </c>
      <c r="R117" s="10">
        <v>0</v>
      </c>
      <c r="S117" s="10">
        <v>5</v>
      </c>
      <c r="T117" s="10"/>
      <c r="U117" t="str">
        <f>"RUNNING_COST_"&amp;IF(PROPERTIES[[#This Row],[ENGINE_CLASS]]="MAGLEV","ELECTRIC",PROPERTIES[[#This Row],[ENGINE_CLASS]])</f>
        <v>RUNNING_COST_STEAM</v>
      </c>
      <c r="V117" s="10" t="s">
        <v>998</v>
      </c>
      <c r="W117" s="10" t="s">
        <v>999</v>
      </c>
      <c r="X117" s="10" t="str">
        <f>SUBSTITUTE(SUBSTITUTE(PROPERTIES[[#This Row],[PURCHASECOST_VALUE]], "PURCHASECOST_", ""), "_VALUE", "")</f>
        <v>STEAMENGINE</v>
      </c>
      <c r="AP117"/>
      <c r="AQ117"/>
      <c r="AR117"/>
    </row>
    <row r="118" spans="1:44">
      <c r="A118" s="2" t="s">
        <v>142</v>
      </c>
      <c r="B118">
        <v>1911</v>
      </c>
      <c r="C118">
        <v>0</v>
      </c>
      <c r="D118" t="s">
        <v>23</v>
      </c>
      <c r="E118" t="s">
        <v>18</v>
      </c>
      <c r="F118">
        <v>0</v>
      </c>
      <c r="G118" s="10">
        <v>67</v>
      </c>
      <c r="H118">
        <v>6</v>
      </c>
      <c r="I118">
        <v>8</v>
      </c>
      <c r="J118" s="2" t="s">
        <v>20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>
        <v>640</v>
      </c>
      <c r="O118">
        <v>60</v>
      </c>
      <c r="P118" s="2">
        <v>0.09</v>
      </c>
      <c r="Q118" s="6">
        <v>40</v>
      </c>
      <c r="R118" s="10">
        <v>0</v>
      </c>
      <c r="S118" s="10">
        <v>4</v>
      </c>
      <c r="T118" s="10"/>
      <c r="U118" t="str">
        <f>"RUNNING_COST_"&amp;IF(PROPERTIES[[#This Row],[ENGINE_CLASS]]="MAGLEV","ELECTRIC",PROPERTIES[[#This Row],[ENGINE_CLASS]])</f>
        <v>RUNNING_COST_STEAM</v>
      </c>
      <c r="V118" s="10" t="s">
        <v>998</v>
      </c>
      <c r="W118" s="10" t="s">
        <v>999</v>
      </c>
      <c r="X118" s="10" t="str">
        <f>SUBSTITUTE(SUBSTITUTE(PROPERTIES[[#This Row],[PURCHASECOST_VALUE]], "PURCHASECOST_", ""), "_VALUE", "")</f>
        <v>STEAMENGINE</v>
      </c>
      <c r="AP118"/>
      <c r="AQ118"/>
      <c r="AR118"/>
    </row>
    <row r="119" spans="1:44">
      <c r="A119" s="2" t="s">
        <v>143</v>
      </c>
      <c r="B119">
        <v>1915</v>
      </c>
      <c r="C119">
        <v>0</v>
      </c>
      <c r="D119" t="s">
        <v>23</v>
      </c>
      <c r="E119" t="s">
        <v>18</v>
      </c>
      <c r="F119">
        <v>0</v>
      </c>
      <c r="G119" s="10">
        <v>63</v>
      </c>
      <c r="H119">
        <v>6</v>
      </c>
      <c r="I119">
        <v>6</v>
      </c>
      <c r="J119" s="2" t="s">
        <v>20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>
        <v>680</v>
      </c>
      <c r="O119">
        <v>90</v>
      </c>
      <c r="P119" s="2">
        <v>0.14000000000000001</v>
      </c>
      <c r="Q119" s="6">
        <v>40</v>
      </c>
      <c r="R119" s="10">
        <v>0</v>
      </c>
      <c r="S119" s="10">
        <v>0</v>
      </c>
      <c r="T119" s="10"/>
      <c r="U119" t="str">
        <f>"RUNNING_COST_"&amp;IF(PROPERTIES[[#This Row],[ENGINE_CLASS]]="MAGLEV","ELECTRIC",PROPERTIES[[#This Row],[ENGINE_CLASS]])</f>
        <v>RUNNING_COST_STEAM</v>
      </c>
      <c r="V119" s="10" t="s">
        <v>998</v>
      </c>
      <c r="W119" s="10" t="s">
        <v>999</v>
      </c>
      <c r="X119" s="10" t="str">
        <f>SUBSTITUTE(SUBSTITUTE(PROPERTIES[[#This Row],[PURCHASECOST_VALUE]], "PURCHASECOST_", ""), "_VALUE", "")</f>
        <v>STEAMENGINE</v>
      </c>
      <c r="AP119"/>
      <c r="AQ119"/>
      <c r="AR119"/>
    </row>
    <row r="120" spans="1:44">
      <c r="A120" s="2" t="s">
        <v>144</v>
      </c>
      <c r="B120">
        <v>1918</v>
      </c>
      <c r="C120">
        <v>0</v>
      </c>
      <c r="D120" t="s">
        <v>23</v>
      </c>
      <c r="E120" t="s">
        <v>18</v>
      </c>
      <c r="F120">
        <v>0</v>
      </c>
      <c r="G120" s="10">
        <v>91</v>
      </c>
      <c r="H120">
        <v>8</v>
      </c>
      <c r="I120">
        <v>12</v>
      </c>
      <c r="J120" s="2" t="s">
        <v>20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>
        <v>1800</v>
      </c>
      <c r="O120">
        <v>120</v>
      </c>
      <c r="P120" s="2">
        <v>0.23</v>
      </c>
      <c r="Q120" s="6">
        <v>40</v>
      </c>
      <c r="R120" s="10">
        <v>0</v>
      </c>
      <c r="S120" s="10">
        <v>6</v>
      </c>
      <c r="T120" s="10"/>
      <c r="U120" t="str">
        <f>"RUNNING_COST_"&amp;IF(PROPERTIES[[#This Row],[ENGINE_CLASS]]="MAGLEV","ELECTRIC",PROPERTIES[[#This Row],[ENGINE_CLASS]])</f>
        <v>RUNNING_COST_STEAM</v>
      </c>
      <c r="V120" s="10" t="s">
        <v>998</v>
      </c>
      <c r="W120" s="10" t="s">
        <v>999</v>
      </c>
      <c r="X120" s="10" t="str">
        <f>SUBSTITUTE(SUBSTITUTE(PROPERTIES[[#This Row],[PURCHASECOST_VALUE]], "PURCHASECOST_", ""), "_VALUE", "")</f>
        <v>STEAMENGINE</v>
      </c>
      <c r="AP120"/>
      <c r="AQ120"/>
      <c r="AR120"/>
    </row>
    <row r="121" spans="1:44">
      <c r="A121" s="2" t="s">
        <v>145</v>
      </c>
      <c r="B121">
        <v>1921</v>
      </c>
      <c r="C121">
        <v>0</v>
      </c>
      <c r="D121" t="s">
        <v>23</v>
      </c>
      <c r="E121" t="s">
        <v>18</v>
      </c>
      <c r="F121">
        <v>0</v>
      </c>
      <c r="G121" s="10">
        <v>133</v>
      </c>
      <c r="H121">
        <v>8</v>
      </c>
      <c r="I121">
        <v>8</v>
      </c>
      <c r="J121" s="2" t="s">
        <v>20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>
        <v>2000</v>
      </c>
      <c r="O121">
        <v>110</v>
      </c>
      <c r="P121" s="2">
        <v>0.12</v>
      </c>
      <c r="Q121" s="6">
        <v>40</v>
      </c>
      <c r="R121" s="10">
        <v>0</v>
      </c>
      <c r="S121" s="10">
        <v>4</v>
      </c>
      <c r="T121" s="10"/>
      <c r="U121" t="str">
        <f>"RUNNING_COST_"&amp;IF(PROPERTIES[[#This Row],[ENGINE_CLASS]]="MAGLEV","ELECTRIC",PROPERTIES[[#This Row],[ENGINE_CLASS]])</f>
        <v>RUNNING_COST_STEAM</v>
      </c>
      <c r="V121" s="10" t="s">
        <v>998</v>
      </c>
      <c r="W121" s="10" t="s">
        <v>999</v>
      </c>
      <c r="X121" s="10" t="str">
        <f>SUBSTITUTE(SUBSTITUTE(PROPERTIES[[#This Row],[PURCHASECOST_VALUE]], "PURCHASECOST_", ""), "_VALUE", "")</f>
        <v>STEAMENGINE</v>
      </c>
      <c r="AP121"/>
      <c r="AQ121"/>
      <c r="AR121"/>
    </row>
    <row r="122" spans="1:44">
      <c r="A122" s="2" t="s">
        <v>146</v>
      </c>
      <c r="B122">
        <v>1922</v>
      </c>
      <c r="C122">
        <v>0</v>
      </c>
      <c r="D122" t="s">
        <v>23</v>
      </c>
      <c r="E122" t="s">
        <v>18</v>
      </c>
      <c r="F122">
        <v>0</v>
      </c>
      <c r="G122" s="10">
        <v>84</v>
      </c>
      <c r="H122">
        <v>7</v>
      </c>
      <c r="I122">
        <v>8</v>
      </c>
      <c r="J122" s="2" t="s">
        <v>20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>
        <v>1160</v>
      </c>
      <c r="O122">
        <v>120</v>
      </c>
      <c r="P122" s="2">
        <v>0.12</v>
      </c>
      <c r="Q122" s="6">
        <v>40</v>
      </c>
      <c r="R122" s="10">
        <v>0</v>
      </c>
      <c r="S122" s="10">
        <v>4</v>
      </c>
      <c r="T122" s="10"/>
      <c r="U122" t="str">
        <f>"RUNNING_COST_"&amp;IF(PROPERTIES[[#This Row],[ENGINE_CLASS]]="MAGLEV","ELECTRIC",PROPERTIES[[#This Row],[ENGINE_CLASS]])</f>
        <v>RUNNING_COST_STEAM</v>
      </c>
      <c r="V122" s="10" t="s">
        <v>998</v>
      </c>
      <c r="W122" s="10" t="s">
        <v>999</v>
      </c>
      <c r="X122" s="10" t="str">
        <f>SUBSTITUTE(SUBSTITUTE(PROPERTIES[[#This Row],[PURCHASECOST_VALUE]], "PURCHASECOST_", ""), "_VALUE", "")</f>
        <v>STEAMENGINE</v>
      </c>
      <c r="AP122"/>
      <c r="AQ122"/>
      <c r="AR122"/>
    </row>
    <row r="123" spans="1:44">
      <c r="A123" s="2" t="s">
        <v>147</v>
      </c>
      <c r="B123">
        <v>1922</v>
      </c>
      <c r="C123">
        <v>0</v>
      </c>
      <c r="D123" t="s">
        <v>23</v>
      </c>
      <c r="E123" t="s">
        <v>18</v>
      </c>
      <c r="F123">
        <v>0</v>
      </c>
      <c r="G123" s="10">
        <v>64</v>
      </c>
      <c r="H123">
        <v>6</v>
      </c>
      <c r="I123">
        <v>8</v>
      </c>
      <c r="J123" s="2" t="s">
        <v>20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>
        <v>1622</v>
      </c>
      <c r="O123">
        <v>104</v>
      </c>
      <c r="P123" s="2">
        <v>0.21</v>
      </c>
      <c r="Q123" s="6">
        <v>40</v>
      </c>
      <c r="R123" s="10">
        <v>0</v>
      </c>
      <c r="S123" s="10">
        <v>4</v>
      </c>
      <c r="T123" s="10"/>
      <c r="U123" t="str">
        <f>"RUNNING_COST_"&amp;IF(PROPERTIES[[#This Row],[ENGINE_CLASS]]="MAGLEV","ELECTRIC",PROPERTIES[[#This Row],[ENGINE_CLASS]])</f>
        <v>RUNNING_COST_STEAM</v>
      </c>
      <c r="V123" s="10" t="s">
        <v>998</v>
      </c>
      <c r="W123" s="10" t="s">
        <v>999</v>
      </c>
      <c r="X123" s="10" t="str">
        <f>SUBSTITUTE(SUBSTITUTE(PROPERTIES[[#This Row],[PURCHASECOST_VALUE]], "PURCHASECOST_", ""), "_VALUE", "")</f>
        <v>STEAMENGINE</v>
      </c>
      <c r="AP123"/>
      <c r="AQ123"/>
      <c r="AR123"/>
    </row>
    <row r="124" spans="1:44">
      <c r="A124" s="2" t="s">
        <v>148</v>
      </c>
      <c r="B124">
        <v>1923</v>
      </c>
      <c r="C124">
        <v>0</v>
      </c>
      <c r="D124" t="s">
        <v>23</v>
      </c>
      <c r="E124" t="s">
        <v>18</v>
      </c>
      <c r="F124">
        <v>0</v>
      </c>
      <c r="G124" s="10">
        <v>273</v>
      </c>
      <c r="H124">
        <v>8</v>
      </c>
      <c r="I124">
        <v>12</v>
      </c>
      <c r="J124" s="2" t="s">
        <v>20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>
        <v>2250</v>
      </c>
      <c r="O124">
        <v>130</v>
      </c>
      <c r="P124" s="2">
        <v>0.08</v>
      </c>
      <c r="Q124" s="6">
        <v>40</v>
      </c>
      <c r="R124" s="10">
        <v>0</v>
      </c>
      <c r="S124" s="10">
        <v>6</v>
      </c>
      <c r="T124" s="10"/>
      <c r="U124" t="str">
        <f>"RUNNING_COST_"&amp;IF(PROPERTIES[[#This Row],[ENGINE_CLASS]]="MAGLEV","ELECTRIC",PROPERTIES[[#This Row],[ENGINE_CLASS]])</f>
        <v>RUNNING_COST_STEAM</v>
      </c>
      <c r="V124" s="10" t="s">
        <v>998</v>
      </c>
      <c r="W124" s="10" t="s">
        <v>999</v>
      </c>
      <c r="X124" s="10" t="str">
        <f>SUBSTITUTE(SUBSTITUTE(PROPERTIES[[#This Row],[PURCHASECOST_VALUE]], "PURCHASECOST_", ""), "_VALUE", "")</f>
        <v>STEAMENGINE</v>
      </c>
      <c r="AP124"/>
      <c r="AQ124"/>
      <c r="AR124"/>
    </row>
    <row r="125" spans="1:44">
      <c r="A125" s="2" t="s">
        <v>149</v>
      </c>
      <c r="B125">
        <v>1927</v>
      </c>
      <c r="C125">
        <v>0</v>
      </c>
      <c r="D125" t="s">
        <v>23</v>
      </c>
      <c r="E125" t="s">
        <v>18</v>
      </c>
      <c r="F125">
        <v>0</v>
      </c>
      <c r="G125" s="10">
        <v>142</v>
      </c>
      <c r="H125">
        <v>8</v>
      </c>
      <c r="I125">
        <v>14</v>
      </c>
      <c r="J125" s="2" t="s">
        <v>20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>
        <v>1510</v>
      </c>
      <c r="O125">
        <v>116</v>
      </c>
      <c r="P125" s="2">
        <v>0.08</v>
      </c>
      <c r="Q125" s="6">
        <v>40</v>
      </c>
      <c r="R125" s="10">
        <v>0</v>
      </c>
      <c r="S125" s="10">
        <v>7</v>
      </c>
      <c r="T125" s="10"/>
      <c r="U125" t="str">
        <f>"RUNNING_COST_"&amp;IF(PROPERTIES[[#This Row],[ENGINE_CLASS]]="MAGLEV","ELECTRIC",PROPERTIES[[#This Row],[ENGINE_CLASS]])</f>
        <v>RUNNING_COST_STEAM</v>
      </c>
      <c r="V125" s="10" t="s">
        <v>998</v>
      </c>
      <c r="W125" s="10" t="s">
        <v>999</v>
      </c>
      <c r="X125" s="10" t="str">
        <f>SUBSTITUTE(SUBSTITUTE(PROPERTIES[[#This Row],[PURCHASECOST_VALUE]], "PURCHASECOST_", ""), "_VALUE", "")</f>
        <v>STEAMENGINE</v>
      </c>
      <c r="AP125"/>
      <c r="AQ125"/>
      <c r="AR125"/>
    </row>
    <row r="126" spans="1:44">
      <c r="A126" s="2" t="s">
        <v>150</v>
      </c>
      <c r="B126">
        <v>1940</v>
      </c>
      <c r="C126">
        <v>0</v>
      </c>
      <c r="D126" t="s">
        <v>23</v>
      </c>
      <c r="E126" t="s">
        <v>18</v>
      </c>
      <c r="F126">
        <v>0</v>
      </c>
      <c r="G126" s="10">
        <v>100</v>
      </c>
      <c r="H126">
        <v>8</v>
      </c>
      <c r="I126">
        <v>12</v>
      </c>
      <c r="J126" s="2" t="s">
        <v>20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>
        <v>1640</v>
      </c>
      <c r="O126">
        <v>140</v>
      </c>
      <c r="P126" s="2">
        <v>0.14000000000000001</v>
      </c>
      <c r="Q126" s="6">
        <v>40</v>
      </c>
      <c r="R126" s="10">
        <v>0</v>
      </c>
      <c r="S126" s="10">
        <v>6</v>
      </c>
      <c r="T126" s="10"/>
      <c r="U126" t="str">
        <f>"RUNNING_COST_"&amp;IF(PROPERTIES[[#This Row],[ENGINE_CLASS]]="MAGLEV","ELECTRIC",PROPERTIES[[#This Row],[ENGINE_CLASS]])</f>
        <v>RUNNING_COST_STEAM</v>
      </c>
      <c r="V126" s="10" t="s">
        <v>998</v>
      </c>
      <c r="W126" s="10" t="s">
        <v>999</v>
      </c>
      <c r="X126" s="10" t="str">
        <f>SUBSTITUTE(SUBSTITUTE(PROPERTIES[[#This Row],[PURCHASECOST_VALUE]], "PURCHASECOST_", ""), "_VALUE", "")</f>
        <v>STEAMENGINE</v>
      </c>
      <c r="AP126"/>
      <c r="AQ126"/>
      <c r="AR126"/>
    </row>
    <row r="127" spans="1:44">
      <c r="A127" s="2" t="s">
        <v>151</v>
      </c>
      <c r="B127">
        <v>1942</v>
      </c>
      <c r="C127">
        <v>0</v>
      </c>
      <c r="D127" t="s">
        <v>23</v>
      </c>
      <c r="E127" t="s">
        <v>18</v>
      </c>
      <c r="F127">
        <v>0</v>
      </c>
      <c r="G127" s="10">
        <v>46</v>
      </c>
      <c r="H127">
        <v>6</v>
      </c>
      <c r="I127">
        <v>6</v>
      </c>
      <c r="J127" s="2" t="s">
        <v>20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>
        <v>560</v>
      </c>
      <c r="O127">
        <v>65</v>
      </c>
      <c r="P127" s="2">
        <v>0.21</v>
      </c>
      <c r="Q127" s="6">
        <v>40</v>
      </c>
      <c r="R127" s="10">
        <v>0</v>
      </c>
      <c r="S127" s="10">
        <v>0</v>
      </c>
      <c r="T127" s="10"/>
      <c r="U127" t="str">
        <f>"RUNNING_COST_"&amp;IF(PROPERTIES[[#This Row],[ENGINE_CLASS]]="MAGLEV","ELECTRIC",PROPERTIES[[#This Row],[ENGINE_CLASS]])</f>
        <v>RUNNING_COST_STEAM</v>
      </c>
      <c r="V127" s="10" t="s">
        <v>998</v>
      </c>
      <c r="W127" s="10" t="s">
        <v>999</v>
      </c>
      <c r="X127" s="10" t="str">
        <f>SUBSTITUTE(SUBSTITUTE(PROPERTIES[[#This Row],[PURCHASECOST_VALUE]], "PURCHASECOST_", ""), "_VALUE", "")</f>
        <v>STEAMENGINE</v>
      </c>
      <c r="AP127"/>
      <c r="AQ127"/>
      <c r="AR127"/>
    </row>
    <row r="128" spans="1:44">
      <c r="A128" s="2" t="s">
        <v>152</v>
      </c>
      <c r="B128">
        <v>1949</v>
      </c>
      <c r="C128">
        <v>0</v>
      </c>
      <c r="D128" t="s">
        <v>23</v>
      </c>
      <c r="E128" t="s">
        <v>18</v>
      </c>
      <c r="F128">
        <v>0</v>
      </c>
      <c r="G128" s="10">
        <v>42</v>
      </c>
      <c r="H128">
        <v>6</v>
      </c>
      <c r="I128">
        <v>6</v>
      </c>
      <c r="J128" s="2" t="s">
        <v>20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>
        <v>690</v>
      </c>
      <c r="O128">
        <v>80</v>
      </c>
      <c r="P128" s="2">
        <v>0.2</v>
      </c>
      <c r="Q128" s="6">
        <v>40</v>
      </c>
      <c r="R128" s="10">
        <v>0</v>
      </c>
      <c r="S128" s="10">
        <v>0</v>
      </c>
      <c r="T128" s="10"/>
      <c r="U128" t="str">
        <f>"RUNNING_COST_"&amp;IF(PROPERTIES[[#This Row],[ENGINE_CLASS]]="MAGLEV","ELECTRIC",PROPERTIES[[#This Row],[ENGINE_CLASS]])</f>
        <v>RUNNING_COST_STEAM</v>
      </c>
      <c r="V128" s="10" t="s">
        <v>998</v>
      </c>
      <c r="W128" s="10" t="s">
        <v>999</v>
      </c>
      <c r="X128" s="10" t="str">
        <f>SUBSTITUTE(SUBSTITUTE(PROPERTIES[[#This Row],[PURCHASECOST_VALUE]], "PURCHASECOST_", ""), "_VALUE", "")</f>
        <v>STEAMENGINE</v>
      </c>
      <c r="AP128"/>
      <c r="AQ128"/>
      <c r="AR128"/>
    </row>
    <row r="129" spans="1:44">
      <c r="A129" s="2" t="s">
        <v>153</v>
      </c>
      <c r="B129">
        <v>1951</v>
      </c>
      <c r="C129">
        <v>0</v>
      </c>
      <c r="D129" t="s">
        <v>23</v>
      </c>
      <c r="E129" t="s">
        <v>18</v>
      </c>
      <c r="F129">
        <v>0</v>
      </c>
      <c r="G129" s="10">
        <v>190</v>
      </c>
      <c r="H129">
        <v>8</v>
      </c>
      <c r="I129">
        <v>10</v>
      </c>
      <c r="J129" s="2" t="s">
        <v>20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>
        <v>2300</v>
      </c>
      <c r="O129">
        <v>120</v>
      </c>
      <c r="P129" s="2">
        <v>7.0000000000000007E-2</v>
      </c>
      <c r="Q129" s="6">
        <v>40</v>
      </c>
      <c r="R129" s="10">
        <v>0</v>
      </c>
      <c r="S129" s="10">
        <v>5</v>
      </c>
      <c r="T129" s="10"/>
      <c r="U129" t="str">
        <f>"RUNNING_COST_"&amp;IF(PROPERTIES[[#This Row],[ENGINE_CLASS]]="MAGLEV","ELECTRIC",PROPERTIES[[#This Row],[ENGINE_CLASS]])</f>
        <v>RUNNING_COST_STEAM</v>
      </c>
      <c r="V129" s="10" t="s">
        <v>998</v>
      </c>
      <c r="W129" s="10" t="s">
        <v>999</v>
      </c>
      <c r="X129" s="10" t="str">
        <f>SUBSTITUTE(SUBSTITUTE(PROPERTIES[[#This Row],[PURCHASECOST_VALUE]], "PURCHASECOST_", ""), "_VALUE", "")</f>
        <v>STEAMENGINE</v>
      </c>
      <c r="AP129"/>
      <c r="AQ129"/>
      <c r="AR129"/>
    </row>
    <row r="130" spans="1:44">
      <c r="A130" s="2" t="s">
        <v>154</v>
      </c>
      <c r="B130">
        <v>1952</v>
      </c>
      <c r="C130">
        <v>0</v>
      </c>
      <c r="D130" t="s">
        <v>23</v>
      </c>
      <c r="E130" t="s">
        <v>18</v>
      </c>
      <c r="F130">
        <v>0</v>
      </c>
      <c r="G130" s="10">
        <v>42</v>
      </c>
      <c r="H130">
        <v>7</v>
      </c>
      <c r="I130">
        <v>7</v>
      </c>
      <c r="J130" s="2" t="s">
        <v>20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>
        <v>600</v>
      </c>
      <c r="O130">
        <v>30</v>
      </c>
      <c r="P130" s="2">
        <v>0.2</v>
      </c>
      <c r="Q130" s="6">
        <v>40</v>
      </c>
      <c r="R130" s="10">
        <v>0</v>
      </c>
      <c r="S130" s="10">
        <v>0</v>
      </c>
      <c r="T130" s="10"/>
      <c r="U130" t="str">
        <f>"RUNNING_COST_"&amp;IF(PROPERTIES[[#This Row],[ENGINE_CLASS]]="MAGLEV","ELECTRIC",PROPERTIES[[#This Row],[ENGINE_CLASS]])</f>
        <v>RUNNING_COST_STEAM</v>
      </c>
      <c r="V130" s="10" t="s">
        <v>998</v>
      </c>
      <c r="W130" s="10" t="s">
        <v>999</v>
      </c>
      <c r="X130" s="10" t="str">
        <f>SUBSTITUTE(SUBSTITUTE(PROPERTIES[[#This Row],[PURCHASECOST_VALUE]], "PURCHASECOST_", ""), "_VALUE", "")</f>
        <v>STEAMENGINE</v>
      </c>
      <c r="AP130"/>
      <c r="AQ130"/>
      <c r="AR130"/>
    </row>
    <row r="131" spans="1:44">
      <c r="A131" s="2" t="s">
        <v>155</v>
      </c>
      <c r="B131">
        <v>1961</v>
      </c>
      <c r="C131">
        <v>0</v>
      </c>
      <c r="D131" t="s">
        <v>23</v>
      </c>
      <c r="E131" t="s">
        <v>18</v>
      </c>
      <c r="F131">
        <v>0</v>
      </c>
      <c r="G131" s="10">
        <v>172</v>
      </c>
      <c r="H131">
        <v>8</v>
      </c>
      <c r="I131">
        <v>12</v>
      </c>
      <c r="J131" s="2" t="s">
        <v>20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>
        <v>2120</v>
      </c>
      <c r="O131">
        <v>180</v>
      </c>
      <c r="P131" s="2">
        <v>0.06</v>
      </c>
      <c r="Q131" s="6">
        <v>40</v>
      </c>
      <c r="R131" s="10">
        <v>0</v>
      </c>
      <c r="S131" s="10">
        <v>6</v>
      </c>
      <c r="T131" s="10"/>
      <c r="U131" t="str">
        <f>"RUNNING_COST_"&amp;IF(PROPERTIES[[#This Row],[ENGINE_CLASS]]="MAGLEV","ELECTRIC",PROPERTIES[[#This Row],[ENGINE_CLASS]])</f>
        <v>RUNNING_COST_STEAM</v>
      </c>
      <c r="V131" s="10" t="s">
        <v>998</v>
      </c>
      <c r="W131" s="10" t="s">
        <v>999</v>
      </c>
      <c r="X131" s="10" t="str">
        <f>SUBSTITUTE(SUBSTITUTE(PROPERTIES[[#This Row],[PURCHASECOST_VALUE]], "PURCHASECOST_", ""), "_VALUE", "")</f>
        <v>STEAMENGINE</v>
      </c>
      <c r="AP131"/>
      <c r="AQ131"/>
      <c r="AR131"/>
    </row>
    <row r="132" spans="1:44">
      <c r="A132" s="2" t="s">
        <v>156</v>
      </c>
      <c r="B132">
        <v>1923</v>
      </c>
      <c r="C132">
        <v>0</v>
      </c>
      <c r="D132" t="s">
        <v>23</v>
      </c>
      <c r="E132" t="s">
        <v>20</v>
      </c>
      <c r="F132">
        <v>0</v>
      </c>
      <c r="G132" s="10">
        <v>73</v>
      </c>
      <c r="H132">
        <v>6</v>
      </c>
      <c r="I132">
        <v>6</v>
      </c>
      <c r="J132" s="2" t="s">
        <v>24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>
        <v>1000</v>
      </c>
      <c r="O132">
        <v>97</v>
      </c>
      <c r="P132" s="2">
        <v>0.14000000000000001</v>
      </c>
      <c r="Q132" s="6">
        <v>40</v>
      </c>
      <c r="R132" s="10">
        <v>0</v>
      </c>
      <c r="S132" s="10">
        <v>0</v>
      </c>
      <c r="T132" s="10"/>
      <c r="U132" t="str">
        <f>"RUNNING_COST_"&amp;IF(PROPERTIES[[#This Row],[ENGINE_CLASS]]="MAGLEV","ELECTRIC",PROPERTIES[[#This Row],[ENGINE_CLASS]])</f>
        <v>RUNNING_COST_STEAM</v>
      </c>
      <c r="V132" s="10" t="s">
        <v>998</v>
      </c>
      <c r="W132" s="10" t="s">
        <v>999</v>
      </c>
      <c r="X132" s="10" t="str">
        <f>SUBSTITUTE(SUBSTITUTE(PROPERTIES[[#This Row],[PURCHASECOST_VALUE]], "PURCHASECOST_", ""), "_VALUE", "")</f>
        <v>STEAMENGINE</v>
      </c>
      <c r="AP132"/>
      <c r="AQ132"/>
      <c r="AR132"/>
    </row>
    <row r="133" spans="1:44">
      <c r="A133" s="2" t="s">
        <v>157</v>
      </c>
      <c r="B133">
        <v>1929</v>
      </c>
      <c r="C133">
        <v>0</v>
      </c>
      <c r="D133" t="s">
        <v>23</v>
      </c>
      <c r="E133" t="s">
        <v>20</v>
      </c>
      <c r="F133">
        <v>0</v>
      </c>
      <c r="G133" s="10">
        <v>231</v>
      </c>
      <c r="H133">
        <v>8</v>
      </c>
      <c r="I133">
        <v>10</v>
      </c>
      <c r="J133" s="2" t="s">
        <v>24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>
        <v>1950</v>
      </c>
      <c r="O133">
        <v>80</v>
      </c>
      <c r="P133" s="2">
        <v>0.12</v>
      </c>
      <c r="Q133" s="6">
        <v>40</v>
      </c>
      <c r="R133" s="10">
        <v>0</v>
      </c>
      <c r="S133" s="10">
        <v>5</v>
      </c>
      <c r="T133" s="10"/>
      <c r="U133" t="str">
        <f>"RUNNING_COST_"&amp;IF(PROPERTIES[[#This Row],[ENGINE_CLASS]]="MAGLEV","ELECTRIC",PROPERTIES[[#This Row],[ENGINE_CLASS]])</f>
        <v>RUNNING_COST_STEAM</v>
      </c>
      <c r="V133" s="10" t="s">
        <v>998</v>
      </c>
      <c r="W133" s="10" t="s">
        <v>999</v>
      </c>
      <c r="X133" s="10" t="str">
        <f>SUBSTITUTE(SUBSTITUTE(PROPERTIES[[#This Row],[PURCHASECOST_VALUE]], "PURCHASECOST_", ""), "_VALUE", "")</f>
        <v>STEAMENGINE</v>
      </c>
      <c r="AP133"/>
      <c r="AQ133"/>
      <c r="AR133"/>
    </row>
    <row r="134" spans="1:44">
      <c r="A134" s="2" t="s">
        <v>158</v>
      </c>
      <c r="B134">
        <v>1943</v>
      </c>
      <c r="C134">
        <v>0</v>
      </c>
      <c r="D134" t="s">
        <v>23</v>
      </c>
      <c r="E134" t="s">
        <v>20</v>
      </c>
      <c r="F134">
        <v>0</v>
      </c>
      <c r="G134" s="10">
        <v>204</v>
      </c>
      <c r="H134">
        <v>8</v>
      </c>
      <c r="I134">
        <v>10</v>
      </c>
      <c r="J134" s="2" t="s">
        <v>24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>
        <v>2600</v>
      </c>
      <c r="O134">
        <v>126</v>
      </c>
      <c r="P134" s="2">
        <v>7.0000000000000007E-2</v>
      </c>
      <c r="Q134" s="6">
        <v>40</v>
      </c>
      <c r="R134" s="10">
        <v>0</v>
      </c>
      <c r="S134" s="10">
        <v>5</v>
      </c>
      <c r="T134" s="10"/>
      <c r="U134" t="str">
        <f>"RUNNING_COST_"&amp;IF(PROPERTIES[[#This Row],[ENGINE_CLASS]]="MAGLEV","ELECTRIC",PROPERTIES[[#This Row],[ENGINE_CLASS]])</f>
        <v>RUNNING_COST_STEAM</v>
      </c>
      <c r="V134" s="10" t="s">
        <v>998</v>
      </c>
      <c r="W134" s="10" t="s">
        <v>999</v>
      </c>
      <c r="X134" s="10" t="str">
        <f>SUBSTITUTE(SUBSTITUTE(PROPERTIES[[#This Row],[PURCHASECOST_VALUE]], "PURCHASECOST_", ""), "_VALUE", "")</f>
        <v>STEAMENGINE</v>
      </c>
      <c r="AP134"/>
      <c r="AQ134"/>
      <c r="AR134"/>
    </row>
    <row r="135" spans="1:44">
      <c r="A135" s="2" t="s">
        <v>159</v>
      </c>
      <c r="B135">
        <v>1952</v>
      </c>
      <c r="C135">
        <v>0</v>
      </c>
      <c r="D135" t="s">
        <v>23</v>
      </c>
      <c r="E135" t="s">
        <v>20</v>
      </c>
      <c r="F135">
        <v>0</v>
      </c>
      <c r="G135" s="10">
        <v>255</v>
      </c>
      <c r="H135">
        <v>4</v>
      </c>
      <c r="I135">
        <v>12</v>
      </c>
      <c r="J135" s="2" t="s">
        <v>24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>
        <v>2980</v>
      </c>
      <c r="O135">
        <v>95</v>
      </c>
      <c r="P135" s="2">
        <v>0.11</v>
      </c>
      <c r="Q135" s="6">
        <v>40</v>
      </c>
      <c r="R135" s="10">
        <v>0</v>
      </c>
      <c r="S135" s="10">
        <v>0</v>
      </c>
      <c r="T135" s="10"/>
      <c r="U135" t="str">
        <f>"RUNNING_COST_"&amp;IF(PROPERTIES[[#This Row],[ENGINE_CLASS]]="MAGLEV","ELECTRIC",PROPERTIES[[#This Row],[ENGINE_CLASS]])</f>
        <v>RUNNING_COST_STEAM</v>
      </c>
      <c r="V135" s="10" t="s">
        <v>998</v>
      </c>
      <c r="W135" s="10" t="s">
        <v>999</v>
      </c>
      <c r="X135" s="10" t="str">
        <f>SUBSTITUTE(SUBSTITUTE(PROPERTIES[[#This Row],[PURCHASECOST_VALUE]], "PURCHASECOST_", ""), "_VALUE", "")</f>
        <v>STEAMENGINE</v>
      </c>
      <c r="AP135"/>
      <c r="AQ135"/>
      <c r="AR135"/>
    </row>
    <row r="136" spans="1:44">
      <c r="A136" s="2" t="s">
        <v>160</v>
      </c>
      <c r="B136">
        <v>1910</v>
      </c>
      <c r="C136">
        <v>0</v>
      </c>
      <c r="D136" t="s">
        <v>23</v>
      </c>
      <c r="E136" t="s">
        <v>20</v>
      </c>
      <c r="F136">
        <v>0</v>
      </c>
      <c r="G136" s="10">
        <v>84</v>
      </c>
      <c r="H136">
        <v>5</v>
      </c>
      <c r="I136">
        <v>6</v>
      </c>
      <c r="J136" s="2" t="s">
        <v>24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>
        <v>700</v>
      </c>
      <c r="O136">
        <v>80</v>
      </c>
      <c r="P136" s="2">
        <v>0.1</v>
      </c>
      <c r="Q136" s="6">
        <v>40</v>
      </c>
      <c r="R136" s="10">
        <v>0</v>
      </c>
      <c r="S136" s="10">
        <v>3</v>
      </c>
      <c r="T136" s="10"/>
      <c r="U136" t="str">
        <f>"RUNNING_COST_"&amp;IF(PROPERTIES[[#This Row],[ENGINE_CLASS]]="MAGLEV","ELECTRIC",PROPERTIES[[#This Row],[ENGINE_CLASS]])</f>
        <v>RUNNING_COST_STEAM</v>
      </c>
      <c r="V136" s="10" t="s">
        <v>998</v>
      </c>
      <c r="W136" s="10" t="s">
        <v>999</v>
      </c>
      <c r="X136" s="10" t="str">
        <f>SUBSTITUTE(SUBSTITUTE(PROPERTIES[[#This Row],[PURCHASECOST_VALUE]], "PURCHASECOST_", ""), "_VALUE", "")</f>
        <v>STEAMENGINE</v>
      </c>
      <c r="AP136"/>
      <c r="AQ136"/>
      <c r="AR136"/>
    </row>
    <row r="137" spans="1:44">
      <c r="A137" s="2" t="s">
        <v>161</v>
      </c>
      <c r="B137">
        <v>1930</v>
      </c>
      <c r="C137">
        <v>0</v>
      </c>
      <c r="D137" t="s">
        <v>23</v>
      </c>
      <c r="E137" t="s">
        <v>20</v>
      </c>
      <c r="F137">
        <v>0</v>
      </c>
      <c r="G137" s="10">
        <v>203</v>
      </c>
      <c r="H137">
        <v>8</v>
      </c>
      <c r="I137">
        <v>10</v>
      </c>
      <c r="J137" s="2" t="s">
        <v>24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>
        <v>1500</v>
      </c>
      <c r="O137">
        <v>160</v>
      </c>
      <c r="P137" s="2">
        <v>0.08</v>
      </c>
      <c r="Q137" s="6">
        <v>40</v>
      </c>
      <c r="R137" s="10">
        <v>0</v>
      </c>
      <c r="S137" s="10">
        <v>5</v>
      </c>
      <c r="T137" s="10"/>
      <c r="U137" t="str">
        <f>"RUNNING_COST_"&amp;IF(PROPERTIES[[#This Row],[ENGINE_CLASS]]="MAGLEV","ELECTRIC",PROPERTIES[[#This Row],[ENGINE_CLASS]])</f>
        <v>RUNNING_COST_STEAM</v>
      </c>
      <c r="V137" s="10" t="s">
        <v>998</v>
      </c>
      <c r="W137" s="10" t="s">
        <v>999</v>
      </c>
      <c r="X137" s="10" t="str">
        <f>SUBSTITUTE(SUBSTITUTE(PROPERTIES[[#This Row],[PURCHASECOST_VALUE]], "PURCHASECOST_", ""), "_VALUE", "")</f>
        <v>STEAMENGINE</v>
      </c>
      <c r="AP137"/>
      <c r="AQ137"/>
      <c r="AR137"/>
    </row>
    <row r="138" spans="1:44">
      <c r="A138" s="2" t="s">
        <v>162</v>
      </c>
      <c r="B138">
        <v>1873</v>
      </c>
      <c r="C138">
        <v>0</v>
      </c>
      <c r="D138" t="s">
        <v>23</v>
      </c>
      <c r="E138" t="s">
        <v>20</v>
      </c>
      <c r="F138">
        <v>0</v>
      </c>
      <c r="G138" s="10">
        <v>7</v>
      </c>
      <c r="H138">
        <v>3</v>
      </c>
      <c r="I138">
        <v>3</v>
      </c>
      <c r="J138" s="2" t="s">
        <v>24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>
        <v>15</v>
      </c>
      <c r="O138">
        <v>16</v>
      </c>
      <c r="P138" s="2">
        <v>0.06</v>
      </c>
      <c r="Q138" s="6">
        <v>40</v>
      </c>
      <c r="R138" s="10">
        <v>0</v>
      </c>
      <c r="S138" s="10">
        <v>0</v>
      </c>
      <c r="T138" s="10"/>
      <c r="U138" t="str">
        <f>"RUNNING_COST_"&amp;IF(PROPERTIES[[#This Row],[ENGINE_CLASS]]="MAGLEV","ELECTRIC",PROPERTIES[[#This Row],[ENGINE_CLASS]])</f>
        <v>RUNNING_COST_STEAM</v>
      </c>
      <c r="V138" s="10" t="s">
        <v>998</v>
      </c>
      <c r="W138" s="10" t="s">
        <v>999</v>
      </c>
      <c r="X138" s="10" t="str">
        <f>SUBSTITUTE(SUBSTITUTE(PROPERTIES[[#This Row],[PURCHASECOST_VALUE]], "PURCHASECOST_", ""), "_VALUE", "")</f>
        <v>STEAMENGINE</v>
      </c>
      <c r="AP138"/>
      <c r="AQ138"/>
      <c r="AR138"/>
    </row>
    <row r="139" spans="1:44">
      <c r="A139" s="2" t="s">
        <v>163</v>
      </c>
      <c r="B139">
        <v>1895</v>
      </c>
      <c r="C139">
        <v>0</v>
      </c>
      <c r="D139" t="s">
        <v>23</v>
      </c>
      <c r="E139" t="s">
        <v>20</v>
      </c>
      <c r="F139">
        <v>0</v>
      </c>
      <c r="G139" s="10">
        <v>18</v>
      </c>
      <c r="H139">
        <v>4</v>
      </c>
      <c r="I139">
        <v>6</v>
      </c>
      <c r="J139" s="2" t="s">
        <v>24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>
        <v>140</v>
      </c>
      <c r="O139">
        <v>40</v>
      </c>
      <c r="P139" s="2">
        <v>0.08</v>
      </c>
      <c r="Q139" s="6">
        <v>40</v>
      </c>
      <c r="R139" s="10">
        <v>0</v>
      </c>
      <c r="S139" s="10">
        <v>3</v>
      </c>
      <c r="T139" s="10"/>
      <c r="U139" t="str">
        <f>"RUNNING_COST_"&amp;IF(PROPERTIES[[#This Row],[ENGINE_CLASS]]="MAGLEV","ELECTRIC",PROPERTIES[[#This Row],[ENGINE_CLASS]])</f>
        <v>RUNNING_COST_STEAM</v>
      </c>
      <c r="V139" s="10" t="s">
        <v>998</v>
      </c>
      <c r="W139" s="10" t="s">
        <v>999</v>
      </c>
      <c r="X139" s="10" t="str">
        <f>SUBSTITUTE(SUBSTITUTE(PROPERTIES[[#This Row],[PURCHASECOST_VALUE]], "PURCHASECOST_", ""), "_VALUE", "")</f>
        <v>STEAMENGINE</v>
      </c>
      <c r="AP139"/>
      <c r="AQ139"/>
      <c r="AR139"/>
    </row>
    <row r="140" spans="1:44">
      <c r="A140" s="2" t="s">
        <v>164</v>
      </c>
      <c r="B140">
        <v>1911</v>
      </c>
      <c r="C140">
        <v>0</v>
      </c>
      <c r="D140" t="s">
        <v>23</v>
      </c>
      <c r="E140" t="s">
        <v>20</v>
      </c>
      <c r="F140">
        <v>0</v>
      </c>
      <c r="G140" s="10">
        <v>35</v>
      </c>
      <c r="H140">
        <v>5</v>
      </c>
      <c r="I140">
        <v>5</v>
      </c>
      <c r="J140" s="2" t="s">
        <v>24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>
        <v>250</v>
      </c>
      <c r="O140">
        <v>40</v>
      </c>
      <c r="P140" s="2">
        <v>0.14000000000000001</v>
      </c>
      <c r="Q140" s="6">
        <v>40</v>
      </c>
      <c r="R140" s="10">
        <v>0</v>
      </c>
      <c r="S140" s="10">
        <v>0</v>
      </c>
      <c r="T140" s="10"/>
      <c r="U140" t="str">
        <f>"RUNNING_COST_"&amp;IF(PROPERTIES[[#This Row],[ENGINE_CLASS]]="MAGLEV","ELECTRIC",PROPERTIES[[#This Row],[ENGINE_CLASS]])</f>
        <v>RUNNING_COST_STEAM</v>
      </c>
      <c r="V140" s="10" t="s">
        <v>998</v>
      </c>
      <c r="W140" s="10" t="s">
        <v>999</v>
      </c>
      <c r="X140" s="10" t="str">
        <f>SUBSTITUTE(SUBSTITUTE(PROPERTIES[[#This Row],[PURCHASECOST_VALUE]], "PURCHASECOST_", ""), "_VALUE", "")</f>
        <v>STEAMENGINE</v>
      </c>
      <c r="AP140"/>
      <c r="AQ140"/>
      <c r="AR140"/>
    </row>
    <row r="141" spans="1:44">
      <c r="A141" s="2" t="s">
        <v>165</v>
      </c>
      <c r="B141">
        <v>1923</v>
      </c>
      <c r="C141">
        <v>0</v>
      </c>
      <c r="D141" t="s">
        <v>23</v>
      </c>
      <c r="E141" t="s">
        <v>20</v>
      </c>
      <c r="F141">
        <v>0</v>
      </c>
      <c r="G141" s="10">
        <v>79</v>
      </c>
      <c r="H141">
        <v>5</v>
      </c>
      <c r="I141">
        <v>6</v>
      </c>
      <c r="J141" s="2" t="s">
        <v>24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>
        <v>339</v>
      </c>
      <c r="O141">
        <v>70</v>
      </c>
      <c r="P141" s="2">
        <v>0.14000000000000001</v>
      </c>
      <c r="Q141" s="6">
        <v>40</v>
      </c>
      <c r="R141" s="10">
        <v>0</v>
      </c>
      <c r="S141" s="10">
        <v>3</v>
      </c>
      <c r="T141" s="10"/>
      <c r="U141" t="str">
        <f>"RUNNING_COST_"&amp;IF(PROPERTIES[[#This Row],[ENGINE_CLASS]]="MAGLEV","ELECTRIC",PROPERTIES[[#This Row],[ENGINE_CLASS]])</f>
        <v>RUNNING_COST_STEAM</v>
      </c>
      <c r="V141" s="10" t="s">
        <v>998</v>
      </c>
      <c r="W141" s="10" t="s">
        <v>999</v>
      </c>
      <c r="X141" s="10" t="str">
        <f>SUBSTITUTE(SUBSTITUTE(PROPERTIES[[#This Row],[PURCHASECOST_VALUE]], "PURCHASECOST_", ""), "_VALUE", "")</f>
        <v>STEAMENGINE</v>
      </c>
      <c r="AP141"/>
      <c r="AQ141"/>
      <c r="AR141"/>
    </row>
    <row r="142" spans="1:44">
      <c r="A142" s="2" t="s">
        <v>166</v>
      </c>
      <c r="B142">
        <v>1928</v>
      </c>
      <c r="C142">
        <v>0</v>
      </c>
      <c r="D142" t="s">
        <v>23</v>
      </c>
      <c r="E142" t="s">
        <v>20</v>
      </c>
      <c r="F142">
        <v>0</v>
      </c>
      <c r="G142" s="10">
        <v>85</v>
      </c>
      <c r="H142">
        <v>6</v>
      </c>
      <c r="I142">
        <v>6</v>
      </c>
      <c r="J142" s="2" t="s">
        <v>24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>
        <v>565</v>
      </c>
      <c r="O142">
        <v>75</v>
      </c>
      <c r="P142" s="2">
        <v>0.13</v>
      </c>
      <c r="Q142" s="6">
        <v>40</v>
      </c>
      <c r="R142" s="10">
        <v>0</v>
      </c>
      <c r="S142" s="10">
        <v>3</v>
      </c>
      <c r="T142" s="10"/>
      <c r="U142" t="str">
        <f>"RUNNING_COST_"&amp;IF(PROPERTIES[[#This Row],[ENGINE_CLASS]]="MAGLEV","ELECTRIC",PROPERTIES[[#This Row],[ENGINE_CLASS]])</f>
        <v>RUNNING_COST_STEAM</v>
      </c>
      <c r="V142" s="10" t="s">
        <v>998</v>
      </c>
      <c r="W142" s="10" t="s">
        <v>999</v>
      </c>
      <c r="X142" s="10" t="str">
        <f>SUBSTITUTE(SUBSTITUTE(PROPERTIES[[#This Row],[PURCHASECOST_VALUE]], "PURCHASECOST_", ""), "_VALUE", "")</f>
        <v>STEAMENGINE</v>
      </c>
      <c r="AP142"/>
      <c r="AQ142"/>
      <c r="AR142"/>
    </row>
    <row r="143" spans="1:44">
      <c r="A143" s="2" t="s">
        <v>167</v>
      </c>
      <c r="B143">
        <v>1940</v>
      </c>
      <c r="C143">
        <v>0</v>
      </c>
      <c r="D143" t="s">
        <v>23</v>
      </c>
      <c r="E143" t="s">
        <v>20</v>
      </c>
      <c r="F143">
        <v>0</v>
      </c>
      <c r="G143" s="10">
        <v>183</v>
      </c>
      <c r="H143">
        <v>4</v>
      </c>
      <c r="I143">
        <v>12</v>
      </c>
      <c r="J143" s="2" t="s">
        <v>24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>
        <v>1150</v>
      </c>
      <c r="O143">
        <v>70</v>
      </c>
      <c r="P143" s="2">
        <v>0.1</v>
      </c>
      <c r="Q143" s="6">
        <v>40</v>
      </c>
      <c r="R143" s="10">
        <v>0</v>
      </c>
      <c r="S143" s="10">
        <v>0</v>
      </c>
      <c r="T143" s="10"/>
      <c r="U143" t="str">
        <f>"RUNNING_COST_"&amp;IF(PROPERTIES[[#This Row],[ENGINE_CLASS]]="MAGLEV","ELECTRIC",PROPERTIES[[#This Row],[ENGINE_CLASS]])</f>
        <v>RUNNING_COST_STEAM</v>
      </c>
      <c r="V143" s="10" t="s">
        <v>998</v>
      </c>
      <c r="W143" s="10" t="s">
        <v>999</v>
      </c>
      <c r="X143" s="10" t="str">
        <f>SUBSTITUTE(SUBSTITUTE(PROPERTIES[[#This Row],[PURCHASECOST_VALUE]], "PURCHASECOST_", ""), "_VALUE", "")</f>
        <v>STEAMENGINE</v>
      </c>
      <c r="AP143"/>
      <c r="AQ143"/>
      <c r="AR143"/>
    </row>
    <row r="144" spans="1:44">
      <c r="A144" s="2" t="s">
        <v>168</v>
      </c>
      <c r="B144">
        <v>1953</v>
      </c>
      <c r="C144">
        <v>0</v>
      </c>
      <c r="D144" t="s">
        <v>23</v>
      </c>
      <c r="E144" t="s">
        <v>20</v>
      </c>
      <c r="F144">
        <v>0</v>
      </c>
      <c r="G144" s="10">
        <v>212</v>
      </c>
      <c r="H144">
        <v>7</v>
      </c>
      <c r="I144">
        <v>12</v>
      </c>
      <c r="J144" s="2" t="s">
        <v>24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>
        <v>3390</v>
      </c>
      <c r="O144">
        <v>95</v>
      </c>
      <c r="P144" s="2">
        <v>0.13</v>
      </c>
      <c r="Q144" s="6">
        <v>40</v>
      </c>
      <c r="R144" s="10">
        <v>0</v>
      </c>
      <c r="S144" s="10">
        <v>0</v>
      </c>
      <c r="T144" s="10"/>
      <c r="U144" t="str">
        <f>"RUNNING_COST_"&amp;IF(PROPERTIES[[#This Row],[ENGINE_CLASS]]="MAGLEV","ELECTRIC",PROPERTIES[[#This Row],[ENGINE_CLASS]])</f>
        <v>RUNNING_COST_STEAM</v>
      </c>
      <c r="V144" s="10" t="s">
        <v>998</v>
      </c>
      <c r="W144" s="10" t="s">
        <v>999</v>
      </c>
      <c r="X144" s="10" t="str">
        <f>SUBSTITUTE(SUBSTITUTE(PROPERTIES[[#This Row],[PURCHASECOST_VALUE]], "PURCHASECOST_", ""), "_VALUE", "")</f>
        <v>STEAMENGINE</v>
      </c>
      <c r="AP144"/>
      <c r="AQ144"/>
      <c r="AR144"/>
    </row>
    <row r="145" spans="1:44">
      <c r="A145" s="2" t="s">
        <v>169</v>
      </c>
      <c r="B145">
        <v>1955</v>
      </c>
      <c r="C145">
        <v>0</v>
      </c>
      <c r="D145" t="s">
        <v>23</v>
      </c>
      <c r="E145" t="s">
        <v>20</v>
      </c>
      <c r="F145">
        <v>0</v>
      </c>
      <c r="G145" s="10">
        <v>115</v>
      </c>
      <c r="H145">
        <v>7</v>
      </c>
      <c r="I145">
        <v>8</v>
      </c>
      <c r="J145" s="2" t="s">
        <v>24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>
        <v>1220</v>
      </c>
      <c r="O145">
        <v>80</v>
      </c>
      <c r="P145" s="2">
        <v>0.1</v>
      </c>
      <c r="Q145" s="6">
        <v>40</v>
      </c>
      <c r="R145" s="10">
        <v>0</v>
      </c>
      <c r="S145" s="10">
        <v>4</v>
      </c>
      <c r="T145" s="10"/>
      <c r="U145" t="str">
        <f>"RUNNING_COST_"&amp;IF(PROPERTIES[[#This Row],[ENGINE_CLASS]]="MAGLEV","ELECTRIC",PROPERTIES[[#This Row],[ENGINE_CLASS]])</f>
        <v>RUNNING_COST_STEAM</v>
      </c>
      <c r="V145" s="10" t="s">
        <v>998</v>
      </c>
      <c r="W145" s="10" t="s">
        <v>999</v>
      </c>
      <c r="X145" s="10" t="str">
        <f>SUBSTITUTE(SUBSTITUTE(PROPERTIES[[#This Row],[PURCHASECOST_VALUE]], "PURCHASECOST_", ""), "_VALUE", "")</f>
        <v>STEAMENGINE</v>
      </c>
      <c r="AP145"/>
      <c r="AQ145"/>
      <c r="AR145"/>
    </row>
    <row r="146" spans="1:44">
      <c r="A146" s="2" t="s">
        <v>170</v>
      </c>
      <c r="B146">
        <v>1855</v>
      </c>
      <c r="C146">
        <v>0</v>
      </c>
      <c r="D146" t="s">
        <v>23</v>
      </c>
      <c r="E146" t="s">
        <v>20</v>
      </c>
      <c r="F146">
        <v>0</v>
      </c>
      <c r="G146" s="10">
        <v>28</v>
      </c>
      <c r="H146">
        <v>5</v>
      </c>
      <c r="I146">
        <v>5</v>
      </c>
      <c r="J146" s="2" t="s">
        <v>24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>
        <v>130</v>
      </c>
      <c r="O146">
        <v>40</v>
      </c>
      <c r="P146" s="2">
        <v>0.16</v>
      </c>
      <c r="Q146" s="6">
        <v>40</v>
      </c>
      <c r="R146" s="10">
        <v>0</v>
      </c>
      <c r="S146" s="10">
        <v>0</v>
      </c>
      <c r="T146" s="10"/>
      <c r="U146" t="str">
        <f>"RUNNING_COST_"&amp;IF(PROPERTIES[[#This Row],[ENGINE_CLASS]]="MAGLEV","ELECTRIC",PROPERTIES[[#This Row],[ENGINE_CLASS]])</f>
        <v>RUNNING_COST_STEAM</v>
      </c>
      <c r="V146" s="10" t="s">
        <v>998</v>
      </c>
      <c r="W146" s="10" t="s">
        <v>999</v>
      </c>
      <c r="X146" s="10" t="str">
        <f>SUBSTITUTE(SUBSTITUTE(PROPERTIES[[#This Row],[PURCHASECOST_VALUE]], "PURCHASECOST_", ""), "_VALUE", "")</f>
        <v>STEAMENGINE</v>
      </c>
      <c r="AP146"/>
      <c r="AQ146"/>
      <c r="AR146"/>
    </row>
    <row r="147" spans="1:44">
      <c r="A147" s="2" t="s">
        <v>171</v>
      </c>
      <c r="B147">
        <v>1889</v>
      </c>
      <c r="C147">
        <v>0</v>
      </c>
      <c r="D147" t="s">
        <v>23</v>
      </c>
      <c r="E147" t="s">
        <v>20</v>
      </c>
      <c r="F147">
        <v>0</v>
      </c>
      <c r="G147" s="10">
        <v>20</v>
      </c>
      <c r="H147">
        <v>5</v>
      </c>
      <c r="I147">
        <v>4</v>
      </c>
      <c r="J147" s="2" t="s">
        <v>24</v>
      </c>
      <c r="K147">
        <f>_xlfn.XLOOKUP("LOADINGSPEEDDEF_"&amp;PROPERTIES[[#This Row],[LOADINGSPEED]],LOADINGSPEEDDEF[TYPE],LOADINGSPEEDDEF[SPEED])</f>
        <v>40</v>
      </c>
      <c r="L147">
        <v>45</v>
      </c>
      <c r="M147">
        <v>1</v>
      </c>
      <c r="N147">
        <v>165</v>
      </c>
      <c r="O147">
        <v>42</v>
      </c>
      <c r="P147" s="2">
        <v>0.18</v>
      </c>
      <c r="Q147" s="6">
        <v>40</v>
      </c>
      <c r="R147" s="10">
        <v>0</v>
      </c>
      <c r="S147" s="10">
        <v>2</v>
      </c>
      <c r="T147" s="10"/>
      <c r="U147" t="str">
        <f>"RUNNING_COST_"&amp;IF(PROPERTIES[[#This Row],[ENGINE_CLASS]]="MAGLEV","ELECTRIC",PROPERTIES[[#This Row],[ENGINE_CLASS]])</f>
        <v>RUNNING_COST_STEAM</v>
      </c>
      <c r="V147" s="10" t="s">
        <v>998</v>
      </c>
      <c r="W147" s="10" t="s">
        <v>999</v>
      </c>
      <c r="X147" s="10" t="str">
        <f>SUBSTITUTE(SUBSTITUTE(PROPERTIES[[#This Row],[PURCHASECOST_VALUE]], "PURCHASECOST_", ""), "_VALUE", "")</f>
        <v>STEAMENGINE</v>
      </c>
      <c r="AP147"/>
      <c r="AQ147"/>
      <c r="AR147"/>
    </row>
    <row r="148" spans="1:44">
      <c r="A148" s="2" t="s">
        <v>172</v>
      </c>
      <c r="B148">
        <v>1895</v>
      </c>
      <c r="C148">
        <v>0</v>
      </c>
      <c r="D148" t="s">
        <v>23</v>
      </c>
      <c r="E148" t="s">
        <v>20</v>
      </c>
      <c r="F148">
        <v>0</v>
      </c>
      <c r="G148" s="10">
        <v>58</v>
      </c>
      <c r="H148">
        <v>5</v>
      </c>
      <c r="I148">
        <v>6</v>
      </c>
      <c r="J148" s="2" t="s">
        <v>24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>
        <v>720</v>
      </c>
      <c r="O148">
        <v>50</v>
      </c>
      <c r="P148" s="2">
        <v>0.16</v>
      </c>
      <c r="Q148" s="6">
        <v>40</v>
      </c>
      <c r="R148" s="10">
        <v>0</v>
      </c>
      <c r="S148" s="10">
        <v>3</v>
      </c>
      <c r="T148" s="10"/>
      <c r="U148" t="str">
        <f>"RUNNING_COST_"&amp;IF(PROPERTIES[[#This Row],[ENGINE_CLASS]]="MAGLEV","ELECTRIC",PROPERTIES[[#This Row],[ENGINE_CLASS]])</f>
        <v>RUNNING_COST_STEAM</v>
      </c>
      <c r="V148" s="10" t="s">
        <v>998</v>
      </c>
      <c r="W148" s="10" t="s">
        <v>999</v>
      </c>
      <c r="X148" s="10" t="str">
        <f>SUBSTITUTE(SUBSTITUTE(PROPERTIES[[#This Row],[PURCHASECOST_VALUE]], "PURCHASECOST_", ""), "_VALUE", "")</f>
        <v>STEAMENGINE</v>
      </c>
      <c r="AP148"/>
      <c r="AQ148"/>
      <c r="AR148"/>
    </row>
    <row r="149" spans="1:44">
      <c r="A149" s="2" t="s">
        <v>173</v>
      </c>
      <c r="B149">
        <v>1906</v>
      </c>
      <c r="C149">
        <v>0</v>
      </c>
      <c r="D149" t="s">
        <v>23</v>
      </c>
      <c r="E149" t="s">
        <v>20</v>
      </c>
      <c r="F149">
        <v>0</v>
      </c>
      <c r="G149" s="10">
        <v>72</v>
      </c>
      <c r="H149">
        <v>5</v>
      </c>
      <c r="I149">
        <v>6</v>
      </c>
      <c r="J149" s="2" t="s">
        <v>24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>
        <v>820</v>
      </c>
      <c r="O149">
        <v>115</v>
      </c>
      <c r="P149" s="2">
        <v>0.13</v>
      </c>
      <c r="Q149" s="6">
        <v>40</v>
      </c>
      <c r="R149" s="10">
        <v>0</v>
      </c>
      <c r="S149" s="10">
        <v>3</v>
      </c>
      <c r="T149" s="10"/>
      <c r="U149" t="str">
        <f>"RUNNING_COST_"&amp;IF(PROPERTIES[[#This Row],[ENGINE_CLASS]]="MAGLEV","ELECTRIC",PROPERTIES[[#This Row],[ENGINE_CLASS]])</f>
        <v>RUNNING_COST_STEAM</v>
      </c>
      <c r="V149" s="10" t="s">
        <v>998</v>
      </c>
      <c r="W149" s="10" t="s">
        <v>999</v>
      </c>
      <c r="X149" s="10" t="str">
        <f>SUBSTITUTE(SUBSTITUTE(PROPERTIES[[#This Row],[PURCHASECOST_VALUE]], "PURCHASECOST_", ""), "_VALUE", "")</f>
        <v>STEAMENGINE</v>
      </c>
      <c r="AP149"/>
      <c r="AQ149"/>
      <c r="AR149"/>
    </row>
    <row r="150" spans="1:44">
      <c r="A150" s="2" t="s">
        <v>174</v>
      </c>
      <c r="B150">
        <v>1912</v>
      </c>
      <c r="C150">
        <v>0</v>
      </c>
      <c r="D150" t="s">
        <v>23</v>
      </c>
      <c r="E150" t="s">
        <v>20</v>
      </c>
      <c r="F150">
        <v>0</v>
      </c>
      <c r="G150" s="10">
        <v>82</v>
      </c>
      <c r="H150">
        <v>5</v>
      </c>
      <c r="I150">
        <v>6</v>
      </c>
      <c r="J150" s="2" t="s">
        <v>24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>
        <v>920</v>
      </c>
      <c r="O150">
        <v>55</v>
      </c>
      <c r="P150" s="2">
        <v>0.22</v>
      </c>
      <c r="Q150" s="6">
        <v>40</v>
      </c>
      <c r="R150" s="10">
        <v>0</v>
      </c>
      <c r="S150" s="10">
        <v>3</v>
      </c>
      <c r="T150" s="10"/>
      <c r="U150" t="str">
        <f>"RUNNING_COST_"&amp;IF(PROPERTIES[[#This Row],[ENGINE_CLASS]]="MAGLEV","ELECTRIC",PROPERTIES[[#This Row],[ENGINE_CLASS]])</f>
        <v>RUNNING_COST_STEAM</v>
      </c>
      <c r="V150" s="10" t="s">
        <v>998</v>
      </c>
      <c r="W150" s="10" t="s">
        <v>999</v>
      </c>
      <c r="X150" s="10" t="str">
        <f>SUBSTITUTE(SUBSTITUTE(PROPERTIES[[#This Row],[PURCHASECOST_VALUE]], "PURCHASECOST_", ""), "_VALUE", "")</f>
        <v>STEAMENGINE</v>
      </c>
      <c r="AP150"/>
      <c r="AQ150"/>
      <c r="AR150"/>
    </row>
    <row r="151" spans="1:44">
      <c r="A151" s="2" t="s">
        <v>175</v>
      </c>
      <c r="B151">
        <v>1918</v>
      </c>
      <c r="C151">
        <v>0</v>
      </c>
      <c r="D151" t="s">
        <v>23</v>
      </c>
      <c r="E151" t="s">
        <v>20</v>
      </c>
      <c r="F151">
        <v>0</v>
      </c>
      <c r="G151" s="10">
        <v>119</v>
      </c>
      <c r="H151">
        <v>5</v>
      </c>
      <c r="I151">
        <v>6</v>
      </c>
      <c r="J151" s="2" t="s">
        <v>24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>
        <v>572</v>
      </c>
      <c r="O151">
        <v>68</v>
      </c>
      <c r="P151" s="2">
        <v>0.09</v>
      </c>
      <c r="Q151" s="6">
        <v>40</v>
      </c>
      <c r="R151" s="10">
        <v>0</v>
      </c>
      <c r="S151" s="10">
        <v>3</v>
      </c>
      <c r="T151" s="10"/>
      <c r="U151" t="str">
        <f>"RUNNING_COST_"&amp;IF(PROPERTIES[[#This Row],[ENGINE_CLASS]]="MAGLEV","ELECTRIC",PROPERTIES[[#This Row],[ENGINE_CLASS]])</f>
        <v>RUNNING_COST_STEAM</v>
      </c>
      <c r="V151" s="10" t="s">
        <v>998</v>
      </c>
      <c r="W151" s="10" t="s">
        <v>999</v>
      </c>
      <c r="X151" s="10" t="str">
        <f>SUBSTITUTE(SUBSTITUTE(PROPERTIES[[#This Row],[PURCHASECOST_VALUE]], "PURCHASECOST_", ""), "_VALUE", "")</f>
        <v>STEAMENGINE</v>
      </c>
      <c r="AP151"/>
      <c r="AQ151"/>
      <c r="AR151"/>
    </row>
    <row r="152" spans="1:44">
      <c r="A152" s="2" t="s">
        <v>176</v>
      </c>
      <c r="B152">
        <v>1923</v>
      </c>
      <c r="C152">
        <v>0</v>
      </c>
      <c r="D152" t="s">
        <v>23</v>
      </c>
      <c r="E152" t="s">
        <v>20</v>
      </c>
      <c r="F152">
        <v>0</v>
      </c>
      <c r="G152" s="10">
        <v>134</v>
      </c>
      <c r="H152">
        <v>6</v>
      </c>
      <c r="I152">
        <v>8</v>
      </c>
      <c r="J152" s="2" t="s">
        <v>24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>
        <v>1500</v>
      </c>
      <c r="O152">
        <v>70</v>
      </c>
      <c r="P152" s="2">
        <v>0.13</v>
      </c>
      <c r="Q152" s="6">
        <v>40</v>
      </c>
      <c r="R152" s="10">
        <v>0</v>
      </c>
      <c r="S152" s="10">
        <v>4</v>
      </c>
      <c r="T152" s="10"/>
      <c r="U152" t="str">
        <f>"RUNNING_COST_"&amp;IF(PROPERTIES[[#This Row],[ENGINE_CLASS]]="MAGLEV","ELECTRIC",PROPERTIES[[#This Row],[ENGINE_CLASS]])</f>
        <v>RUNNING_COST_STEAM</v>
      </c>
      <c r="V152" s="10" t="s">
        <v>998</v>
      </c>
      <c r="W152" s="10" t="s">
        <v>999</v>
      </c>
      <c r="X152" s="10" t="str">
        <f>SUBSTITUTE(SUBSTITUTE(PROPERTIES[[#This Row],[PURCHASECOST_VALUE]], "PURCHASECOST_", ""), "_VALUE", "")</f>
        <v>STEAMENGINE</v>
      </c>
      <c r="AP152"/>
      <c r="AQ152"/>
      <c r="AR152"/>
    </row>
    <row r="153" spans="1:44">
      <c r="A153" s="2" t="s">
        <v>177</v>
      </c>
      <c r="B153">
        <v>1928</v>
      </c>
      <c r="C153">
        <v>0</v>
      </c>
      <c r="D153" t="s">
        <v>23</v>
      </c>
      <c r="E153" t="s">
        <v>20</v>
      </c>
      <c r="F153">
        <v>0</v>
      </c>
      <c r="G153" s="10">
        <v>144</v>
      </c>
      <c r="H153">
        <v>6</v>
      </c>
      <c r="I153">
        <v>8</v>
      </c>
      <c r="J153" s="2" t="s">
        <v>24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>
        <v>1820</v>
      </c>
      <c r="O153">
        <v>130</v>
      </c>
      <c r="P153" s="2">
        <v>0.1</v>
      </c>
      <c r="Q153" s="6">
        <v>40</v>
      </c>
      <c r="R153" s="10">
        <v>0</v>
      </c>
      <c r="S153" s="10">
        <v>4</v>
      </c>
      <c r="T153" s="10"/>
      <c r="U153" t="str">
        <f>"RUNNING_COST_"&amp;IF(PROPERTIES[[#This Row],[ENGINE_CLASS]]="MAGLEV","ELECTRIC",PROPERTIES[[#This Row],[ENGINE_CLASS]])</f>
        <v>RUNNING_COST_STEAM</v>
      </c>
      <c r="V153" s="10" t="s">
        <v>998</v>
      </c>
      <c r="W153" s="10" t="s">
        <v>999</v>
      </c>
      <c r="X153" s="10" t="str">
        <f>SUBSTITUTE(SUBSTITUTE(PROPERTIES[[#This Row],[PURCHASECOST_VALUE]], "PURCHASECOST_", ""), "_VALUE", "")</f>
        <v>STEAMENGINE</v>
      </c>
      <c r="AP153"/>
      <c r="AQ153"/>
      <c r="AR153"/>
    </row>
    <row r="154" spans="1:44">
      <c r="A154" s="2" t="s">
        <v>178</v>
      </c>
      <c r="B154">
        <v>1943</v>
      </c>
      <c r="C154">
        <v>0</v>
      </c>
      <c r="D154" t="s">
        <v>23</v>
      </c>
      <c r="E154" t="s">
        <v>20</v>
      </c>
      <c r="F154">
        <v>0</v>
      </c>
      <c r="G154" s="10">
        <v>136</v>
      </c>
      <c r="H154">
        <v>7</v>
      </c>
      <c r="I154">
        <v>8</v>
      </c>
      <c r="J154" s="2" t="s">
        <v>24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>
        <v>1250</v>
      </c>
      <c r="O154">
        <v>65</v>
      </c>
      <c r="P154" s="2">
        <v>0.11</v>
      </c>
      <c r="Q154" s="6">
        <v>40</v>
      </c>
      <c r="R154" s="10">
        <v>0</v>
      </c>
      <c r="S154" s="10">
        <v>4</v>
      </c>
      <c r="T154" s="10"/>
      <c r="U154" t="str">
        <f>"RUNNING_COST_"&amp;IF(PROPERTIES[[#This Row],[ENGINE_CLASS]]="MAGLEV","ELECTRIC",PROPERTIES[[#This Row],[ENGINE_CLASS]])</f>
        <v>RUNNING_COST_STEAM</v>
      </c>
      <c r="V154" s="10" t="s">
        <v>998</v>
      </c>
      <c r="W154" s="10" t="s">
        <v>999</v>
      </c>
      <c r="X154" s="10" t="str">
        <f>SUBSTITUTE(SUBSTITUTE(PROPERTIES[[#This Row],[PURCHASECOST_VALUE]], "PURCHASECOST_", ""), "_VALUE", "")</f>
        <v>STEAMENGINE</v>
      </c>
      <c r="AP154"/>
      <c r="AQ154"/>
      <c r="AR154"/>
    </row>
    <row r="155" spans="1:44">
      <c r="A155" s="2" t="s">
        <v>179</v>
      </c>
      <c r="B155">
        <v>1951</v>
      </c>
      <c r="C155">
        <v>0</v>
      </c>
      <c r="D155" t="s">
        <v>23</v>
      </c>
      <c r="E155" t="s">
        <v>20</v>
      </c>
      <c r="F155">
        <v>0</v>
      </c>
      <c r="G155" s="10">
        <v>78</v>
      </c>
      <c r="H155">
        <v>5</v>
      </c>
      <c r="I155">
        <v>5</v>
      </c>
      <c r="J155" s="2" t="s">
        <v>24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>
        <v>1060</v>
      </c>
      <c r="O155">
        <v>80</v>
      </c>
      <c r="P155" s="2">
        <v>0.14000000000000001</v>
      </c>
      <c r="Q155" s="6">
        <v>40</v>
      </c>
      <c r="R155" s="10">
        <v>0</v>
      </c>
      <c r="S155" s="10">
        <v>0</v>
      </c>
      <c r="T155" s="10"/>
      <c r="U155" t="str">
        <f>"RUNNING_COST_"&amp;IF(PROPERTIES[[#This Row],[ENGINE_CLASS]]="MAGLEV","ELECTRIC",PROPERTIES[[#This Row],[ENGINE_CLASS]])</f>
        <v>RUNNING_COST_STEAM</v>
      </c>
      <c r="V155" s="10" t="s">
        <v>998</v>
      </c>
      <c r="W155" s="10" t="s">
        <v>999</v>
      </c>
      <c r="X155" s="10" t="str">
        <f>SUBSTITUTE(SUBSTITUTE(PROPERTIES[[#This Row],[PURCHASECOST_VALUE]], "PURCHASECOST_", ""), "_VALUE", "")</f>
        <v>STEAMENGINE</v>
      </c>
      <c r="AP155"/>
      <c r="AQ155"/>
      <c r="AR155"/>
    </row>
    <row r="156" spans="1:44">
      <c r="A156" s="2" t="s">
        <v>180</v>
      </c>
      <c r="B156">
        <v>1955</v>
      </c>
      <c r="C156">
        <v>0</v>
      </c>
      <c r="D156" t="s">
        <v>23</v>
      </c>
      <c r="E156" t="s">
        <v>20</v>
      </c>
      <c r="F156">
        <v>0</v>
      </c>
      <c r="G156" s="10">
        <v>143</v>
      </c>
      <c r="H156">
        <v>8</v>
      </c>
      <c r="I156">
        <v>10</v>
      </c>
      <c r="J156" s="2" t="s">
        <v>24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>
        <v>2780</v>
      </c>
      <c r="O156">
        <v>150</v>
      </c>
      <c r="P156" s="2">
        <v>0.11</v>
      </c>
      <c r="Q156" s="6">
        <v>40</v>
      </c>
      <c r="R156" s="10">
        <v>0</v>
      </c>
      <c r="S156" s="10">
        <v>5</v>
      </c>
      <c r="T156" s="10"/>
      <c r="U156" t="str">
        <f>"RUNNING_COST_"&amp;IF(PROPERTIES[[#This Row],[ENGINE_CLASS]]="MAGLEV","ELECTRIC",PROPERTIES[[#This Row],[ENGINE_CLASS]])</f>
        <v>RUNNING_COST_STEAM</v>
      </c>
      <c r="V156" s="10" t="s">
        <v>998</v>
      </c>
      <c r="W156" s="10" t="s">
        <v>999</v>
      </c>
      <c r="X156" s="10" t="str">
        <f>SUBSTITUTE(SUBSTITUTE(PROPERTIES[[#This Row],[PURCHASECOST_VALUE]], "PURCHASECOST_", ""), "_VALUE", "")</f>
        <v>STEAMENGINE</v>
      </c>
      <c r="AP156"/>
      <c r="AQ156"/>
      <c r="AR156"/>
    </row>
    <row r="157" spans="1:44">
      <c r="A157" s="2" t="s">
        <v>181</v>
      </c>
      <c r="B157">
        <v>1910</v>
      </c>
      <c r="C157">
        <v>0</v>
      </c>
      <c r="D157" t="s">
        <v>23</v>
      </c>
      <c r="E157" t="s">
        <v>20</v>
      </c>
      <c r="F157">
        <v>0</v>
      </c>
      <c r="G157" s="10">
        <v>107</v>
      </c>
      <c r="H157">
        <v>7</v>
      </c>
      <c r="I157">
        <v>6</v>
      </c>
      <c r="J157" s="2" t="s">
        <v>24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>
        <v>1100</v>
      </c>
      <c r="O157">
        <v>60</v>
      </c>
      <c r="P157" s="2">
        <v>0.31</v>
      </c>
      <c r="Q157" s="6">
        <v>40</v>
      </c>
      <c r="R157" s="10">
        <v>0</v>
      </c>
      <c r="S157" s="10">
        <v>3</v>
      </c>
      <c r="T157" s="10"/>
      <c r="U157" t="str">
        <f>"RUNNING_COST_"&amp;IF(PROPERTIES[[#This Row],[ENGINE_CLASS]]="MAGLEV","ELECTRIC",PROPERTIES[[#This Row],[ENGINE_CLASS]])</f>
        <v>RUNNING_COST_STEAM</v>
      </c>
      <c r="V157" s="10" t="s">
        <v>998</v>
      </c>
      <c r="W157" s="10" t="s">
        <v>999</v>
      </c>
      <c r="X157" s="10" t="str">
        <f>SUBSTITUTE(SUBSTITUTE(PROPERTIES[[#This Row],[PURCHASECOST_VALUE]], "PURCHASECOST_", ""), "_VALUE", "")</f>
        <v>STEAMENGINE</v>
      </c>
      <c r="AP157"/>
      <c r="AQ157"/>
      <c r="AR157"/>
    </row>
    <row r="158" spans="1:44">
      <c r="A158" s="2" t="s">
        <v>182</v>
      </c>
      <c r="B158">
        <v>1923</v>
      </c>
      <c r="C158">
        <v>0</v>
      </c>
      <c r="D158" t="s">
        <v>23</v>
      </c>
      <c r="E158" t="s">
        <v>20</v>
      </c>
      <c r="F158">
        <v>0</v>
      </c>
      <c r="G158" s="10">
        <v>133</v>
      </c>
      <c r="H158">
        <v>6</v>
      </c>
      <c r="I158">
        <v>6</v>
      </c>
      <c r="J158" s="2" t="s">
        <v>24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>
        <v>980</v>
      </c>
      <c r="O158">
        <v>100</v>
      </c>
      <c r="P158" s="2">
        <v>0.06</v>
      </c>
      <c r="Q158" s="6">
        <v>40</v>
      </c>
      <c r="R158" s="10">
        <v>0</v>
      </c>
      <c r="S158" s="10">
        <v>3</v>
      </c>
      <c r="T158" s="10"/>
      <c r="U158" t="str">
        <f>"RUNNING_COST_"&amp;IF(PROPERTIES[[#This Row],[ENGINE_CLASS]]="MAGLEV","ELECTRIC",PROPERTIES[[#This Row],[ENGINE_CLASS]])</f>
        <v>RUNNING_COST_STEAM</v>
      </c>
      <c r="V158" s="10" t="s">
        <v>998</v>
      </c>
      <c r="W158" s="10" t="s">
        <v>999</v>
      </c>
      <c r="X158" s="10" t="str">
        <f>SUBSTITUTE(SUBSTITUTE(PROPERTIES[[#This Row],[PURCHASECOST_VALUE]], "PURCHASECOST_", ""), "_VALUE", "")</f>
        <v>STEAMENGINE</v>
      </c>
      <c r="AP158"/>
      <c r="AQ158"/>
      <c r="AR158"/>
    </row>
    <row r="159" spans="1:44">
      <c r="A159" s="2" t="s">
        <v>183</v>
      </c>
      <c r="B159">
        <v>1924</v>
      </c>
      <c r="C159">
        <v>0</v>
      </c>
      <c r="D159" t="s">
        <v>23</v>
      </c>
      <c r="E159" t="s">
        <v>20</v>
      </c>
      <c r="F159">
        <v>0</v>
      </c>
      <c r="G159" s="10">
        <v>137</v>
      </c>
      <c r="H159">
        <v>7</v>
      </c>
      <c r="I159">
        <v>8</v>
      </c>
      <c r="J159" s="2" t="s">
        <v>24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>
        <v>1160</v>
      </c>
      <c r="O159">
        <v>90</v>
      </c>
      <c r="P159" s="2">
        <v>0.13</v>
      </c>
      <c r="Q159" s="6">
        <v>40</v>
      </c>
      <c r="R159" s="10">
        <v>0</v>
      </c>
      <c r="S159" s="10">
        <v>4</v>
      </c>
      <c r="T159" s="10"/>
      <c r="U159" t="str">
        <f>"RUNNING_COST_"&amp;IF(PROPERTIES[[#This Row],[ENGINE_CLASS]]="MAGLEV","ELECTRIC",PROPERTIES[[#This Row],[ENGINE_CLASS]])</f>
        <v>RUNNING_COST_STEAM</v>
      </c>
      <c r="V159" s="10" t="s">
        <v>998</v>
      </c>
      <c r="W159" s="10" t="s">
        <v>999</v>
      </c>
      <c r="X159" s="10" t="str">
        <f>SUBSTITUTE(SUBSTITUTE(PROPERTIES[[#This Row],[PURCHASECOST_VALUE]], "PURCHASECOST_", ""), "_VALUE", "")</f>
        <v>STEAMENGINE</v>
      </c>
      <c r="AP159"/>
      <c r="AQ159"/>
      <c r="AR159"/>
    </row>
    <row r="160" spans="1:44">
      <c r="A160" s="2" t="s">
        <v>184</v>
      </c>
      <c r="B160">
        <v>1936</v>
      </c>
      <c r="C160">
        <v>0</v>
      </c>
      <c r="D160" t="s">
        <v>23</v>
      </c>
      <c r="E160" t="s">
        <v>20</v>
      </c>
      <c r="F160">
        <v>0</v>
      </c>
      <c r="G160" s="10">
        <v>85</v>
      </c>
      <c r="H160">
        <v>7</v>
      </c>
      <c r="I160">
        <v>7</v>
      </c>
      <c r="J160" s="2" t="s">
        <v>24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>
        <v>618</v>
      </c>
      <c r="O160">
        <v>120</v>
      </c>
      <c r="P160" s="2">
        <v>0.08</v>
      </c>
      <c r="Q160" s="6">
        <v>40</v>
      </c>
      <c r="R160" s="10">
        <v>0</v>
      </c>
      <c r="S160" s="10">
        <v>0</v>
      </c>
      <c r="T160" s="10"/>
      <c r="U160" t="str">
        <f>"RUNNING_COST_"&amp;IF(PROPERTIES[[#This Row],[ENGINE_CLASS]]="MAGLEV","ELECTRIC",PROPERTIES[[#This Row],[ENGINE_CLASS]])</f>
        <v>RUNNING_COST_STEAM</v>
      </c>
      <c r="V160" s="10" t="s">
        <v>998</v>
      </c>
      <c r="W160" s="10" t="s">
        <v>999</v>
      </c>
      <c r="X160" s="10" t="str">
        <f>SUBSTITUTE(SUBSTITUTE(PROPERTIES[[#This Row],[PURCHASECOST_VALUE]], "PURCHASECOST_", ""), "_VALUE", "")</f>
        <v>STEAMENGINE</v>
      </c>
      <c r="AP160"/>
      <c r="AQ160"/>
      <c r="AR160"/>
    </row>
    <row r="161" spans="1:44">
      <c r="A161" s="2" t="s">
        <v>185</v>
      </c>
      <c r="B161">
        <v>1946</v>
      </c>
      <c r="C161">
        <v>0</v>
      </c>
      <c r="D161" t="s">
        <v>23</v>
      </c>
      <c r="E161" t="s">
        <v>20</v>
      </c>
      <c r="F161">
        <v>0</v>
      </c>
      <c r="G161" s="10">
        <v>103</v>
      </c>
      <c r="H161">
        <v>5</v>
      </c>
      <c r="I161">
        <v>6</v>
      </c>
      <c r="J161" s="2" t="s">
        <v>24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>
        <v>1857</v>
      </c>
      <c r="O161">
        <v>80</v>
      </c>
      <c r="P161" s="2">
        <v>0.2</v>
      </c>
      <c r="Q161" s="6">
        <v>40</v>
      </c>
      <c r="R161" s="10">
        <v>0</v>
      </c>
      <c r="S161" s="10">
        <v>3</v>
      </c>
      <c r="T161" s="10"/>
      <c r="U161" t="str">
        <f>"RUNNING_COST_"&amp;IF(PROPERTIES[[#This Row],[ENGINE_CLASS]]="MAGLEV","ELECTRIC",PROPERTIES[[#This Row],[ENGINE_CLASS]])</f>
        <v>RUNNING_COST_STEAM</v>
      </c>
      <c r="V161" s="10" t="s">
        <v>998</v>
      </c>
      <c r="W161" s="10" t="s">
        <v>999</v>
      </c>
      <c r="X161" s="10" t="str">
        <f>SUBSTITUTE(SUBSTITUTE(PROPERTIES[[#This Row],[PURCHASECOST_VALUE]], "PURCHASECOST_", ""), "_VALUE", "")</f>
        <v>STEAMENGINE</v>
      </c>
      <c r="AP161"/>
      <c r="AQ161"/>
      <c r="AR161"/>
    </row>
    <row r="162" spans="1:44">
      <c r="A162" s="2" t="s">
        <v>186</v>
      </c>
      <c r="B162">
        <v>1951</v>
      </c>
      <c r="C162">
        <v>0</v>
      </c>
      <c r="D162" t="s">
        <v>23</v>
      </c>
      <c r="E162" t="s">
        <v>20</v>
      </c>
      <c r="F162">
        <v>0</v>
      </c>
      <c r="G162" s="10">
        <v>125</v>
      </c>
      <c r="H162">
        <v>7</v>
      </c>
      <c r="I162">
        <v>8</v>
      </c>
      <c r="J162" s="2" t="s">
        <v>24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>
        <v>1290</v>
      </c>
      <c r="O162">
        <v>100</v>
      </c>
      <c r="P162" s="2">
        <v>0.1</v>
      </c>
      <c r="Q162" s="6">
        <v>40</v>
      </c>
      <c r="R162" s="10">
        <v>0</v>
      </c>
      <c r="S162" s="10">
        <v>4</v>
      </c>
      <c r="T162" s="10"/>
      <c r="U162" t="str">
        <f>"RUNNING_COST_"&amp;IF(PROPERTIES[[#This Row],[ENGINE_CLASS]]="MAGLEV","ELECTRIC",PROPERTIES[[#This Row],[ENGINE_CLASS]])</f>
        <v>RUNNING_COST_STEAM</v>
      </c>
      <c r="V162" s="10" t="s">
        <v>998</v>
      </c>
      <c r="W162" s="10" t="s">
        <v>999</v>
      </c>
      <c r="X162" s="10" t="str">
        <f>SUBSTITUTE(SUBSTITUTE(PROPERTIES[[#This Row],[PURCHASECOST_VALUE]], "PURCHASECOST_", ""), "_VALUE", "")</f>
        <v>STEAMENGINE</v>
      </c>
      <c r="AP162"/>
      <c r="AQ162"/>
      <c r="AR162"/>
    </row>
    <row r="163" spans="1:44">
      <c r="A163" s="2" t="s">
        <v>187</v>
      </c>
      <c r="B163">
        <v>1911</v>
      </c>
      <c r="C163">
        <v>0</v>
      </c>
      <c r="D163" t="s">
        <v>23</v>
      </c>
      <c r="E163" t="s">
        <v>20</v>
      </c>
      <c r="F163">
        <v>0</v>
      </c>
      <c r="G163" s="10">
        <v>138</v>
      </c>
      <c r="H163">
        <v>7</v>
      </c>
      <c r="I163">
        <v>8</v>
      </c>
      <c r="J163" s="2" t="s">
        <v>24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>
        <v>1885</v>
      </c>
      <c r="O163">
        <v>100</v>
      </c>
      <c r="P163" s="2">
        <v>0.17</v>
      </c>
      <c r="Q163" s="6">
        <v>40</v>
      </c>
      <c r="R163" s="10">
        <v>0</v>
      </c>
      <c r="S163" s="10">
        <v>4</v>
      </c>
      <c r="T163" s="10"/>
      <c r="U163" t="str">
        <f>"RUNNING_COST_"&amp;IF(PROPERTIES[[#This Row],[ENGINE_CLASS]]="MAGLEV","ELECTRIC",PROPERTIES[[#This Row],[ENGINE_CLASS]])</f>
        <v>RUNNING_COST_STEAM</v>
      </c>
      <c r="V163" s="10" t="s">
        <v>998</v>
      </c>
      <c r="W163" s="10" t="s">
        <v>999</v>
      </c>
      <c r="X163" s="10" t="str">
        <f>SUBSTITUTE(SUBSTITUTE(PROPERTIES[[#This Row],[PURCHASECOST_VALUE]], "PURCHASECOST_", ""), "_VALUE", "")</f>
        <v>STEAMENGINE</v>
      </c>
      <c r="AP163"/>
      <c r="AQ163"/>
      <c r="AR163"/>
    </row>
    <row r="164" spans="1:44">
      <c r="A164" s="2" t="s">
        <v>188</v>
      </c>
      <c r="B164">
        <v>1941</v>
      </c>
      <c r="C164">
        <v>0</v>
      </c>
      <c r="D164" t="s">
        <v>23</v>
      </c>
      <c r="E164" t="s">
        <v>20</v>
      </c>
      <c r="F164">
        <v>0</v>
      </c>
      <c r="G164" s="10">
        <v>390</v>
      </c>
      <c r="H164">
        <v>8</v>
      </c>
      <c r="I164">
        <v>12</v>
      </c>
      <c r="J164" s="2" t="s">
        <v>24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>
        <v>5500</v>
      </c>
      <c r="O164">
        <v>177</v>
      </c>
      <c r="P164" s="2">
        <v>0.09</v>
      </c>
      <c r="Q164" s="6">
        <v>40</v>
      </c>
      <c r="R164" s="10">
        <v>0</v>
      </c>
      <c r="S164" s="10">
        <v>6</v>
      </c>
      <c r="T164" s="10"/>
      <c r="U164" t="str">
        <f>"RUNNING_COST_"&amp;IF(PROPERTIES[[#This Row],[ENGINE_CLASS]]="MAGLEV","ELECTRIC",PROPERTIES[[#This Row],[ENGINE_CLASS]])</f>
        <v>RUNNING_COST_STEAM</v>
      </c>
      <c r="V164" s="10" t="s">
        <v>998</v>
      </c>
      <c r="W164" s="10" t="s">
        <v>999</v>
      </c>
      <c r="X164" s="10" t="str">
        <f>SUBSTITUTE(SUBSTITUTE(PROPERTIES[[#This Row],[PURCHASECOST_VALUE]], "PURCHASECOST_", ""), "_VALUE", "")</f>
        <v>STEAMENGINE</v>
      </c>
      <c r="AP164"/>
      <c r="AQ164"/>
      <c r="AR164"/>
    </row>
    <row r="165" spans="1:44">
      <c r="A165" s="2" t="s">
        <v>189</v>
      </c>
      <c r="B165">
        <v>1866</v>
      </c>
      <c r="C165">
        <v>0</v>
      </c>
      <c r="D165" t="s">
        <v>23</v>
      </c>
      <c r="E165" t="s">
        <v>20</v>
      </c>
      <c r="F165">
        <v>0</v>
      </c>
      <c r="G165" s="10">
        <v>57</v>
      </c>
      <c r="H165">
        <v>5</v>
      </c>
      <c r="I165">
        <v>6</v>
      </c>
      <c r="J165" s="2" t="s">
        <v>20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>
        <v>355</v>
      </c>
      <c r="O165">
        <v>60</v>
      </c>
      <c r="P165" s="2">
        <v>0.13</v>
      </c>
      <c r="Q165" s="6">
        <v>40</v>
      </c>
      <c r="R165" s="10">
        <v>0</v>
      </c>
      <c r="S165" s="10">
        <v>3</v>
      </c>
      <c r="T165" s="10"/>
      <c r="U165" t="str">
        <f>"RUNNING_COST_"&amp;IF(PROPERTIES[[#This Row],[ENGINE_CLASS]]="MAGLEV","ELECTRIC",PROPERTIES[[#This Row],[ENGINE_CLASS]])</f>
        <v>RUNNING_COST_STEAM</v>
      </c>
      <c r="V165" s="10" t="s">
        <v>998</v>
      </c>
      <c r="W165" s="10" t="s">
        <v>999</v>
      </c>
      <c r="X165" s="10" t="str">
        <f>SUBSTITUTE(SUBSTITUTE(PROPERTIES[[#This Row],[PURCHASECOST_VALUE]], "PURCHASECOST_", ""), "_VALUE", "")</f>
        <v>STEAMENGINE</v>
      </c>
      <c r="AP165"/>
      <c r="AQ165"/>
      <c r="AR165"/>
    </row>
    <row r="166" spans="1:44">
      <c r="A166" s="2" t="s">
        <v>190</v>
      </c>
      <c r="B166">
        <v>1914</v>
      </c>
      <c r="C166">
        <v>0</v>
      </c>
      <c r="D166" t="s">
        <v>23</v>
      </c>
      <c r="E166" t="s">
        <v>20</v>
      </c>
      <c r="F166">
        <v>0</v>
      </c>
      <c r="G166" s="10">
        <v>217</v>
      </c>
      <c r="H166">
        <v>6</v>
      </c>
      <c r="I166">
        <v>8</v>
      </c>
      <c r="J166" s="2" t="s">
        <v>20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>
        <v>2000</v>
      </c>
      <c r="O166">
        <v>96</v>
      </c>
      <c r="P166" s="2">
        <v>0.11</v>
      </c>
      <c r="Q166" s="6">
        <v>40</v>
      </c>
      <c r="R166" s="10">
        <v>0</v>
      </c>
      <c r="S166" s="10">
        <v>4</v>
      </c>
      <c r="T166" s="10"/>
      <c r="U166" t="str">
        <f>"RUNNING_COST_"&amp;IF(PROPERTIES[[#This Row],[ENGINE_CLASS]]="MAGLEV","ELECTRIC",PROPERTIES[[#This Row],[ENGINE_CLASS]])</f>
        <v>RUNNING_COST_STEAM</v>
      </c>
      <c r="V166" s="10" t="s">
        <v>998</v>
      </c>
      <c r="W166" s="10" t="s">
        <v>999</v>
      </c>
      <c r="X166" s="10" t="str">
        <f>SUBSTITUTE(SUBSTITUTE(PROPERTIES[[#This Row],[PURCHASECOST_VALUE]], "PURCHASECOST_", ""), "_VALUE", "")</f>
        <v>STEAMENGINE</v>
      </c>
      <c r="AP166"/>
      <c r="AQ166"/>
      <c r="AR166"/>
    </row>
    <row r="167" spans="1:44">
      <c r="A167" s="2" t="s">
        <v>191</v>
      </c>
      <c r="B167">
        <v>1871</v>
      </c>
      <c r="C167">
        <v>0</v>
      </c>
      <c r="D167" t="s">
        <v>23</v>
      </c>
      <c r="E167" t="s">
        <v>20</v>
      </c>
      <c r="F167">
        <v>0</v>
      </c>
      <c r="G167" s="10">
        <v>48</v>
      </c>
      <c r="H167">
        <v>4</v>
      </c>
      <c r="I167">
        <v>4</v>
      </c>
      <c r="J167" s="2" t="s">
        <v>20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>
        <v>145</v>
      </c>
      <c r="O167">
        <v>45</v>
      </c>
      <c r="P167" s="2">
        <v>0.04</v>
      </c>
      <c r="Q167" s="6">
        <v>40</v>
      </c>
      <c r="R167" s="10">
        <v>0</v>
      </c>
      <c r="S167" s="10">
        <v>0</v>
      </c>
      <c r="T167" s="10"/>
      <c r="U167" t="str">
        <f>"RUNNING_COST_"&amp;IF(PROPERTIES[[#This Row],[ENGINE_CLASS]]="MAGLEV","ELECTRIC",PROPERTIES[[#This Row],[ENGINE_CLASS]])</f>
        <v>RUNNING_COST_STEAM</v>
      </c>
      <c r="V167" s="10" t="s">
        <v>998</v>
      </c>
      <c r="W167" s="10" t="s">
        <v>999</v>
      </c>
      <c r="X167" s="10" t="str">
        <f>SUBSTITUTE(SUBSTITUTE(PROPERTIES[[#This Row],[PURCHASECOST_VALUE]], "PURCHASECOST_", ""), "_VALUE", "")</f>
        <v>STEAMENGINE</v>
      </c>
      <c r="AP167"/>
      <c r="AQ167"/>
      <c r="AR167"/>
    </row>
    <row r="168" spans="1:44">
      <c r="A168" s="2" t="s">
        <v>192</v>
      </c>
      <c r="B168">
        <v>1914</v>
      </c>
      <c r="C168">
        <v>0</v>
      </c>
      <c r="D168" t="s">
        <v>23</v>
      </c>
      <c r="E168" t="s">
        <v>20</v>
      </c>
      <c r="F168">
        <v>0</v>
      </c>
      <c r="G168" s="10">
        <v>126</v>
      </c>
      <c r="H168">
        <v>6</v>
      </c>
      <c r="I168">
        <v>8</v>
      </c>
      <c r="J168" s="2" t="s">
        <v>20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>
        <v>1150</v>
      </c>
      <c r="O168">
        <v>80</v>
      </c>
      <c r="P168" s="2">
        <v>0.1</v>
      </c>
      <c r="Q168" s="6">
        <v>40</v>
      </c>
      <c r="R168" s="10">
        <v>0</v>
      </c>
      <c r="S168" s="10">
        <v>4</v>
      </c>
      <c r="T168" s="10"/>
      <c r="U168" t="str">
        <f>"RUNNING_COST_"&amp;IF(PROPERTIES[[#This Row],[ENGINE_CLASS]]="MAGLEV","ELECTRIC",PROPERTIES[[#This Row],[ENGINE_CLASS]])</f>
        <v>RUNNING_COST_STEAM</v>
      </c>
      <c r="V168" s="10" t="s">
        <v>998</v>
      </c>
      <c r="W168" s="10" t="s">
        <v>999</v>
      </c>
      <c r="X168" s="10" t="str">
        <f>SUBSTITUTE(SUBSTITUTE(PROPERTIES[[#This Row],[PURCHASECOST_VALUE]], "PURCHASECOST_", ""), "_VALUE", "")</f>
        <v>STEAMENGINE</v>
      </c>
      <c r="AP168"/>
      <c r="AQ168"/>
      <c r="AR168"/>
    </row>
    <row r="169" spans="1:44">
      <c r="A169" s="2" t="s">
        <v>193</v>
      </c>
      <c r="B169">
        <v>1945</v>
      </c>
      <c r="C169">
        <v>0</v>
      </c>
      <c r="D169" t="s">
        <v>23</v>
      </c>
      <c r="E169" t="s">
        <v>20</v>
      </c>
      <c r="F169">
        <v>0</v>
      </c>
      <c r="G169" s="10">
        <v>127</v>
      </c>
      <c r="H169">
        <v>7</v>
      </c>
      <c r="I169">
        <v>8</v>
      </c>
      <c r="J169" s="2" t="s">
        <v>20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>
        <v>2000</v>
      </c>
      <c r="O169">
        <v>96</v>
      </c>
      <c r="P169" s="2">
        <v>0.15</v>
      </c>
      <c r="Q169" s="6">
        <v>40</v>
      </c>
      <c r="R169" s="10">
        <v>0</v>
      </c>
      <c r="S169" s="10">
        <v>4</v>
      </c>
      <c r="T169" s="10"/>
      <c r="U169" t="str">
        <f>"RUNNING_COST_"&amp;IF(PROPERTIES[[#This Row],[ENGINE_CLASS]]="MAGLEV","ELECTRIC",PROPERTIES[[#This Row],[ENGINE_CLASS]])</f>
        <v>RUNNING_COST_STEAM</v>
      </c>
      <c r="V169" s="10" t="s">
        <v>998</v>
      </c>
      <c r="W169" s="10" t="s">
        <v>999</v>
      </c>
      <c r="X169" s="10" t="str">
        <f>SUBSTITUTE(SUBSTITUTE(PROPERTIES[[#This Row],[PURCHASECOST_VALUE]], "PURCHASECOST_", ""), "_VALUE", "")</f>
        <v>STEAMENGINE</v>
      </c>
      <c r="AP169"/>
      <c r="AQ169"/>
      <c r="AR169"/>
    </row>
    <row r="170" spans="1:44">
      <c r="A170" s="2" t="s">
        <v>194</v>
      </c>
      <c r="B170">
        <v>1954</v>
      </c>
      <c r="C170">
        <v>0</v>
      </c>
      <c r="D170" t="s">
        <v>23</v>
      </c>
      <c r="E170" t="s">
        <v>20</v>
      </c>
      <c r="F170">
        <v>0</v>
      </c>
      <c r="G170" s="10">
        <v>146</v>
      </c>
      <c r="H170">
        <v>7</v>
      </c>
      <c r="I170">
        <v>8</v>
      </c>
      <c r="J170" s="2" t="s">
        <v>20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>
        <v>1457</v>
      </c>
      <c r="O170">
        <v>85</v>
      </c>
      <c r="P170" s="2">
        <v>0.1</v>
      </c>
      <c r="Q170" s="6">
        <v>40</v>
      </c>
      <c r="R170" s="10">
        <v>0</v>
      </c>
      <c r="S170" s="10">
        <v>4</v>
      </c>
      <c r="T170" s="10"/>
      <c r="U170" t="str">
        <f>"RUNNING_COST_"&amp;IF(PROPERTIES[[#This Row],[ENGINE_CLASS]]="MAGLEV","ELECTRIC",PROPERTIES[[#This Row],[ENGINE_CLASS]])</f>
        <v>RUNNING_COST_STEAM</v>
      </c>
      <c r="V170" s="10" t="s">
        <v>998</v>
      </c>
      <c r="W170" s="10" t="s">
        <v>999</v>
      </c>
      <c r="X170" s="10" t="str">
        <f>SUBSTITUTE(SUBSTITUTE(PROPERTIES[[#This Row],[PURCHASECOST_VALUE]], "PURCHASECOST_", ""), "_VALUE", "")</f>
        <v>STEAMENGINE</v>
      </c>
      <c r="AP170"/>
      <c r="AQ170"/>
      <c r="AR170"/>
    </row>
    <row r="171" spans="1:44">
      <c r="A171" s="2" t="s">
        <v>195</v>
      </c>
      <c r="B171">
        <v>1956</v>
      </c>
      <c r="C171">
        <v>0</v>
      </c>
      <c r="D171" t="s">
        <v>23</v>
      </c>
      <c r="E171" t="s">
        <v>20</v>
      </c>
      <c r="F171">
        <v>0</v>
      </c>
      <c r="G171" s="10">
        <v>133</v>
      </c>
      <c r="H171">
        <v>8</v>
      </c>
      <c r="I171">
        <v>12</v>
      </c>
      <c r="J171" s="2" t="s">
        <v>24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>
        <v>3580</v>
      </c>
      <c r="O171">
        <v>80</v>
      </c>
      <c r="P171" s="2">
        <v>0.21</v>
      </c>
      <c r="Q171" s="6">
        <v>40</v>
      </c>
      <c r="R171" s="10">
        <v>0</v>
      </c>
      <c r="S171" s="10">
        <v>6</v>
      </c>
      <c r="T171" s="10"/>
      <c r="U171" t="str">
        <f>"RUNNING_COST_"&amp;IF(PROPERTIES[[#This Row],[ENGINE_CLASS]]="MAGLEV","ELECTRIC",PROPERTIES[[#This Row],[ENGINE_CLASS]])</f>
        <v>RUNNING_COST_STEAM</v>
      </c>
      <c r="V171" s="10" t="s">
        <v>998</v>
      </c>
      <c r="W171" s="10" t="s">
        <v>999</v>
      </c>
      <c r="X171" s="10" t="str">
        <f>SUBSTITUTE(SUBSTITUTE(PROPERTIES[[#This Row],[PURCHASECOST_VALUE]], "PURCHASECOST_", ""), "_VALUE", "")</f>
        <v>STEAMENGINE</v>
      </c>
      <c r="AP171"/>
      <c r="AQ171"/>
      <c r="AR171"/>
    </row>
    <row r="172" spans="1:44">
      <c r="A172" s="2" t="s">
        <v>196</v>
      </c>
      <c r="B172">
        <v>1930</v>
      </c>
      <c r="C172">
        <v>0</v>
      </c>
      <c r="D172" t="s">
        <v>35</v>
      </c>
      <c r="E172" t="s">
        <v>20</v>
      </c>
      <c r="F172">
        <v>0</v>
      </c>
      <c r="G172" s="10">
        <v>18</v>
      </c>
      <c r="H172">
        <v>4</v>
      </c>
      <c r="I172">
        <v>4</v>
      </c>
      <c r="J172" s="2" t="s">
        <v>20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>
        <v>95</v>
      </c>
      <c r="O172">
        <v>30</v>
      </c>
      <c r="P172" s="2">
        <v>0.39</v>
      </c>
      <c r="Q172" s="6">
        <v>40</v>
      </c>
      <c r="R172" s="10">
        <v>0</v>
      </c>
      <c r="S172" s="10">
        <v>0</v>
      </c>
      <c r="T172" s="10"/>
      <c r="U172" t="str">
        <f>"RUNNING_COST_"&amp;IF(PROPERTIES[[#This Row],[ENGINE_CLASS]]="MAGLEV","ELECTRIC",PROPERTIES[[#This Row],[ENGINE_CLASS]])</f>
        <v>RUNNING_COST_DIESEL</v>
      </c>
      <c r="V172" s="10" t="s">
        <v>1000</v>
      </c>
      <c r="W172" s="10" t="s">
        <v>1001</v>
      </c>
      <c r="X172" s="10" t="str">
        <f>SUBSTITUTE(SUBSTITUTE(PROPERTIES[[#This Row],[PURCHASECOST_VALUE]], "PURCHASECOST_", ""), "_VALUE", "")</f>
        <v>DIESELENGINE</v>
      </c>
      <c r="AP172"/>
      <c r="AQ172"/>
      <c r="AR172"/>
    </row>
    <row r="173" spans="1:44">
      <c r="A173" s="2" t="s">
        <v>197</v>
      </c>
      <c r="B173">
        <v>1931</v>
      </c>
      <c r="C173">
        <v>0</v>
      </c>
      <c r="D173" t="s">
        <v>35</v>
      </c>
      <c r="E173" t="s">
        <v>20</v>
      </c>
      <c r="F173">
        <v>0</v>
      </c>
      <c r="G173" s="10">
        <v>61</v>
      </c>
      <c r="H173">
        <v>4</v>
      </c>
      <c r="I173">
        <v>4</v>
      </c>
      <c r="J173" s="2" t="s">
        <v>20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>
        <v>300</v>
      </c>
      <c r="O173">
        <v>100</v>
      </c>
      <c r="P173" s="2">
        <v>0.11</v>
      </c>
      <c r="Q173" s="6">
        <v>40</v>
      </c>
      <c r="R173" s="10">
        <v>0</v>
      </c>
      <c r="S173" s="10">
        <v>0</v>
      </c>
      <c r="T173" s="10"/>
      <c r="U173" t="str">
        <f>"RUNNING_COST_"&amp;IF(PROPERTIES[[#This Row],[ENGINE_CLASS]]="MAGLEV","ELECTRIC",PROPERTIES[[#This Row],[ENGINE_CLASS]])</f>
        <v>RUNNING_COST_DIESEL</v>
      </c>
      <c r="V173" s="10" t="s">
        <v>1000</v>
      </c>
      <c r="W173" s="10" t="s">
        <v>1001</v>
      </c>
      <c r="X173" s="10" t="str">
        <f>SUBSTITUTE(SUBSTITUTE(PROPERTIES[[#This Row],[PURCHASECOST_VALUE]], "PURCHASECOST_", ""), "_VALUE", "")</f>
        <v>DIESELENGINE</v>
      </c>
      <c r="AP173"/>
      <c r="AQ173"/>
      <c r="AR173"/>
    </row>
    <row r="174" spans="1:44">
      <c r="A174" s="2" t="s">
        <v>198</v>
      </c>
      <c r="B174">
        <v>1934</v>
      </c>
      <c r="C174">
        <v>0</v>
      </c>
      <c r="D174" t="s">
        <v>35</v>
      </c>
      <c r="E174" t="s">
        <v>20</v>
      </c>
      <c r="F174">
        <v>0</v>
      </c>
      <c r="G174" s="10">
        <v>21</v>
      </c>
      <c r="H174">
        <v>4</v>
      </c>
      <c r="I174">
        <v>4</v>
      </c>
      <c r="J174" s="2" t="s">
        <v>20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>
        <v>72</v>
      </c>
      <c r="O174">
        <v>60</v>
      </c>
      <c r="P174" s="2">
        <v>0.19</v>
      </c>
      <c r="Q174" s="6">
        <v>40</v>
      </c>
      <c r="R174" s="10">
        <v>0</v>
      </c>
      <c r="S174" s="10">
        <v>0</v>
      </c>
      <c r="T174" s="10"/>
      <c r="U174" t="str">
        <f>"RUNNING_COST_"&amp;IF(PROPERTIES[[#This Row],[ENGINE_CLASS]]="MAGLEV","ELECTRIC",PROPERTIES[[#This Row],[ENGINE_CLASS]])</f>
        <v>RUNNING_COST_DIESEL</v>
      </c>
      <c r="V174" s="10" t="s">
        <v>1000</v>
      </c>
      <c r="W174" s="10" t="s">
        <v>1001</v>
      </c>
      <c r="X174" s="10" t="str">
        <f>SUBSTITUTE(SUBSTITUTE(PROPERTIES[[#This Row],[PURCHASECOST_VALUE]], "PURCHASECOST_", ""), "_VALUE", "")</f>
        <v>DIESELENGINE</v>
      </c>
      <c r="AP174"/>
      <c r="AQ174"/>
      <c r="AR174"/>
    </row>
    <row r="175" spans="1:44">
      <c r="A175" s="2" t="s">
        <v>199</v>
      </c>
      <c r="B175">
        <v>1936</v>
      </c>
      <c r="C175">
        <v>0</v>
      </c>
      <c r="D175" t="s">
        <v>35</v>
      </c>
      <c r="E175" t="s">
        <v>20</v>
      </c>
      <c r="F175">
        <v>0</v>
      </c>
      <c r="G175" s="10">
        <v>26</v>
      </c>
      <c r="H175">
        <v>5</v>
      </c>
      <c r="I175">
        <v>5</v>
      </c>
      <c r="J175" s="2" t="s">
        <v>20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>
        <v>200</v>
      </c>
      <c r="O175">
        <v>55</v>
      </c>
      <c r="P175" s="2">
        <v>0.31</v>
      </c>
      <c r="Q175" s="6">
        <v>40</v>
      </c>
      <c r="R175" s="10">
        <v>0</v>
      </c>
      <c r="S175" s="10">
        <v>0</v>
      </c>
      <c r="T175" s="10"/>
      <c r="U175" t="str">
        <f>"RUNNING_COST_"&amp;IF(PROPERTIES[[#This Row],[ENGINE_CLASS]]="MAGLEV","ELECTRIC",PROPERTIES[[#This Row],[ENGINE_CLASS]])</f>
        <v>RUNNING_COST_DIESEL</v>
      </c>
      <c r="V175" s="10" t="s">
        <v>1000</v>
      </c>
      <c r="W175" s="10" t="s">
        <v>1001</v>
      </c>
      <c r="X175" s="10" t="str">
        <f>SUBSTITUTE(SUBSTITUTE(PROPERTIES[[#This Row],[PURCHASECOST_VALUE]], "PURCHASECOST_", ""), "_VALUE", "")</f>
        <v>DIESELENGINE</v>
      </c>
      <c r="AP175"/>
      <c r="AQ175"/>
      <c r="AR175"/>
    </row>
    <row r="176" spans="1:44">
      <c r="A176" s="2" t="s">
        <v>200</v>
      </c>
      <c r="B176">
        <v>1938</v>
      </c>
      <c r="C176">
        <v>0</v>
      </c>
      <c r="D176" t="s">
        <v>35</v>
      </c>
      <c r="E176" t="s">
        <v>20</v>
      </c>
      <c r="F176">
        <v>0</v>
      </c>
      <c r="G176" s="10">
        <v>92</v>
      </c>
      <c r="H176">
        <v>8</v>
      </c>
      <c r="I176">
        <v>8</v>
      </c>
      <c r="J176" s="2" t="s">
        <v>20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>
        <v>2170</v>
      </c>
      <c r="O176">
        <v>110</v>
      </c>
      <c r="P176" s="2">
        <v>0.14000000000000001</v>
      </c>
      <c r="Q176" s="6">
        <v>40</v>
      </c>
      <c r="R176" s="10">
        <v>0</v>
      </c>
      <c r="S176" s="10">
        <v>0</v>
      </c>
      <c r="T176" s="10"/>
      <c r="U176" t="str">
        <f>"RUNNING_COST_"&amp;IF(PROPERTIES[[#This Row],[ENGINE_CLASS]]="MAGLEV","ELECTRIC",PROPERTIES[[#This Row],[ENGINE_CLASS]])</f>
        <v>RUNNING_COST_DIESEL</v>
      </c>
      <c r="V176" s="10" t="s">
        <v>1000</v>
      </c>
      <c r="W176" s="10" t="s">
        <v>1001</v>
      </c>
      <c r="X176" s="10" t="str">
        <f>SUBSTITUTE(SUBSTITUTE(PROPERTIES[[#This Row],[PURCHASECOST_VALUE]], "PURCHASECOST_", ""), "_VALUE", "")</f>
        <v>DIESELENGINE</v>
      </c>
      <c r="AP176"/>
      <c r="AQ176"/>
      <c r="AR176"/>
    </row>
    <row r="177" spans="1:44">
      <c r="A177" s="2" t="s">
        <v>201</v>
      </c>
      <c r="B177">
        <v>1940</v>
      </c>
      <c r="C177">
        <v>0</v>
      </c>
      <c r="D177" t="s">
        <v>35</v>
      </c>
      <c r="E177" t="s">
        <v>20</v>
      </c>
      <c r="F177">
        <v>0</v>
      </c>
      <c r="G177" s="10">
        <v>40</v>
      </c>
      <c r="H177">
        <v>5</v>
      </c>
      <c r="I177">
        <v>5</v>
      </c>
      <c r="J177" s="2" t="s">
        <v>20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>
        <v>380</v>
      </c>
      <c r="O177">
        <v>56</v>
      </c>
      <c r="P177" s="2">
        <v>0.15</v>
      </c>
      <c r="Q177" s="6">
        <v>40</v>
      </c>
      <c r="R177" s="10">
        <v>0</v>
      </c>
      <c r="S177" s="10">
        <v>0</v>
      </c>
      <c r="T177" s="10"/>
      <c r="U177" t="str">
        <f>"RUNNING_COST_"&amp;IF(PROPERTIES[[#This Row],[ENGINE_CLASS]]="MAGLEV","ELECTRIC",PROPERTIES[[#This Row],[ENGINE_CLASS]])</f>
        <v>RUNNING_COST_DIESEL</v>
      </c>
      <c r="V177" s="10" t="s">
        <v>1000</v>
      </c>
      <c r="W177" s="10" t="s">
        <v>1001</v>
      </c>
      <c r="X177" s="10" t="str">
        <f>SUBSTITUTE(SUBSTITUTE(PROPERTIES[[#This Row],[PURCHASECOST_VALUE]], "PURCHASECOST_", ""), "_VALUE", "")</f>
        <v>DIESELENGINE</v>
      </c>
      <c r="AP177"/>
      <c r="AQ177"/>
      <c r="AR177"/>
    </row>
    <row r="178" spans="1:44">
      <c r="A178" s="2" t="s">
        <v>202</v>
      </c>
      <c r="B178">
        <v>1940</v>
      </c>
      <c r="C178">
        <v>0</v>
      </c>
      <c r="D178" t="s">
        <v>35</v>
      </c>
      <c r="E178" t="s">
        <v>20</v>
      </c>
      <c r="F178">
        <v>0</v>
      </c>
      <c r="G178" s="10">
        <v>104</v>
      </c>
      <c r="H178">
        <v>6</v>
      </c>
      <c r="I178">
        <v>6</v>
      </c>
      <c r="J178" s="2" t="s">
        <v>20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>
        <v>1000</v>
      </c>
      <c r="O178">
        <v>96</v>
      </c>
      <c r="P178" s="2">
        <v>0.15</v>
      </c>
      <c r="Q178" s="6">
        <v>40</v>
      </c>
      <c r="R178" s="10">
        <v>0</v>
      </c>
      <c r="S178" s="10">
        <v>0</v>
      </c>
      <c r="T178" s="10"/>
      <c r="U178" t="str">
        <f>"RUNNING_COST_"&amp;IF(PROPERTIES[[#This Row],[ENGINE_CLASS]]="MAGLEV","ELECTRIC",PROPERTIES[[#This Row],[ENGINE_CLASS]])</f>
        <v>RUNNING_COST_DIESEL</v>
      </c>
      <c r="V178" s="10" t="s">
        <v>1000</v>
      </c>
      <c r="W178" s="10" t="s">
        <v>1001</v>
      </c>
      <c r="X178" s="10" t="str">
        <f>SUBSTITUTE(SUBSTITUTE(PROPERTIES[[#This Row],[PURCHASECOST_VALUE]], "PURCHASECOST_", ""), "_VALUE", "")</f>
        <v>DIESELENGINE</v>
      </c>
      <c r="AP178"/>
      <c r="AQ178"/>
      <c r="AR178"/>
    </row>
    <row r="179" spans="1:44">
      <c r="A179" s="2" t="s">
        <v>203</v>
      </c>
      <c r="B179">
        <v>1946</v>
      </c>
      <c r="C179">
        <v>0</v>
      </c>
      <c r="D179" t="s">
        <v>35</v>
      </c>
      <c r="E179" t="s">
        <v>20</v>
      </c>
      <c r="F179">
        <v>0</v>
      </c>
      <c r="G179" s="10">
        <v>139</v>
      </c>
      <c r="H179">
        <v>7</v>
      </c>
      <c r="I179">
        <v>7</v>
      </c>
      <c r="J179" s="2" t="s">
        <v>20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>
        <v>1500</v>
      </c>
      <c r="O179">
        <v>105</v>
      </c>
      <c r="P179" s="2">
        <v>0.16</v>
      </c>
      <c r="Q179" s="6">
        <v>40</v>
      </c>
      <c r="R179" s="10">
        <v>0</v>
      </c>
      <c r="S179" s="10">
        <v>0</v>
      </c>
      <c r="T179" s="10"/>
      <c r="U179" t="str">
        <f>"RUNNING_COST_"&amp;IF(PROPERTIES[[#This Row],[ENGINE_CLASS]]="MAGLEV","ELECTRIC",PROPERTIES[[#This Row],[ENGINE_CLASS]])</f>
        <v>RUNNING_COST_DIESEL</v>
      </c>
      <c r="V179" s="10" t="s">
        <v>1000</v>
      </c>
      <c r="W179" s="10" t="s">
        <v>1001</v>
      </c>
      <c r="X179" s="10" t="str">
        <f>SUBSTITUTE(SUBSTITUTE(PROPERTIES[[#This Row],[PURCHASECOST_VALUE]], "PURCHASECOST_", ""), "_VALUE", "")</f>
        <v>DIESELENGINE</v>
      </c>
      <c r="AP179"/>
      <c r="AQ179"/>
      <c r="AR179"/>
    </row>
    <row r="180" spans="1:44">
      <c r="A180" s="2" t="s">
        <v>204</v>
      </c>
      <c r="B180">
        <v>1949</v>
      </c>
      <c r="C180">
        <v>0</v>
      </c>
      <c r="D180" t="s">
        <v>35</v>
      </c>
      <c r="E180" t="s">
        <v>20</v>
      </c>
      <c r="F180">
        <v>0</v>
      </c>
      <c r="G180" s="10">
        <v>155</v>
      </c>
      <c r="H180">
        <v>8</v>
      </c>
      <c r="I180">
        <v>8</v>
      </c>
      <c r="J180" s="2" t="s">
        <v>20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>
        <v>2250</v>
      </c>
      <c r="O180">
        <v>152</v>
      </c>
      <c r="P180" s="2">
        <v>0.13</v>
      </c>
      <c r="Q180" s="6">
        <v>40</v>
      </c>
      <c r="R180" s="10">
        <v>0</v>
      </c>
      <c r="S180" s="10">
        <v>0</v>
      </c>
      <c r="T180" s="10"/>
      <c r="U180" t="str">
        <f>"RUNNING_COST_"&amp;IF(PROPERTIES[[#This Row],[ENGINE_CLASS]]="MAGLEV","ELECTRIC",PROPERTIES[[#This Row],[ENGINE_CLASS]])</f>
        <v>RUNNING_COST_DIESEL</v>
      </c>
      <c r="V180" s="10" t="s">
        <v>1000</v>
      </c>
      <c r="W180" s="10" t="s">
        <v>1001</v>
      </c>
      <c r="X180" s="10" t="str">
        <f>SUBSTITUTE(SUBSTITUTE(PROPERTIES[[#This Row],[PURCHASECOST_VALUE]], "PURCHASECOST_", ""), "_VALUE", "")</f>
        <v>DIESELENGINE</v>
      </c>
      <c r="AP180"/>
      <c r="AQ180"/>
      <c r="AR180"/>
    </row>
    <row r="181" spans="1:44">
      <c r="A181" s="2" t="s">
        <v>205</v>
      </c>
      <c r="B181">
        <v>1950</v>
      </c>
      <c r="C181">
        <v>0</v>
      </c>
      <c r="D181" t="s">
        <v>35</v>
      </c>
      <c r="E181" t="s">
        <v>20</v>
      </c>
      <c r="F181">
        <v>0</v>
      </c>
      <c r="G181" s="10">
        <v>103</v>
      </c>
      <c r="H181">
        <v>7</v>
      </c>
      <c r="I181">
        <v>7</v>
      </c>
      <c r="J181" s="2" t="s">
        <v>20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>
        <v>1600</v>
      </c>
      <c r="O181">
        <v>104</v>
      </c>
      <c r="P181" s="2">
        <v>0.1</v>
      </c>
      <c r="Q181" s="6">
        <v>40</v>
      </c>
      <c r="R181" s="10">
        <v>0</v>
      </c>
      <c r="S181" s="10">
        <v>0</v>
      </c>
      <c r="T181" s="10"/>
      <c r="U181" t="str">
        <f>"RUNNING_COST_"&amp;IF(PROPERTIES[[#This Row],[ENGINE_CLASS]]="MAGLEV","ELECTRIC",PROPERTIES[[#This Row],[ENGINE_CLASS]])</f>
        <v>RUNNING_COST_DIESEL</v>
      </c>
      <c r="V181" s="10" t="s">
        <v>1000</v>
      </c>
      <c r="W181" s="10" t="s">
        <v>1001</v>
      </c>
      <c r="X181" s="10" t="str">
        <f>SUBSTITUTE(SUBSTITUTE(PROPERTIES[[#This Row],[PURCHASECOST_VALUE]], "PURCHASECOST_", ""), "_VALUE", "")</f>
        <v>DIESELENGINE</v>
      </c>
      <c r="AP181"/>
      <c r="AQ181"/>
      <c r="AR181"/>
    </row>
    <row r="182" spans="1:44">
      <c r="A182" s="2" t="s">
        <v>206</v>
      </c>
      <c r="B182">
        <v>1950</v>
      </c>
      <c r="C182">
        <v>0</v>
      </c>
      <c r="D182" t="s">
        <v>35</v>
      </c>
      <c r="E182" t="s">
        <v>20</v>
      </c>
      <c r="F182">
        <v>0</v>
      </c>
      <c r="G182" s="10">
        <v>47</v>
      </c>
      <c r="H182">
        <v>5</v>
      </c>
      <c r="I182">
        <v>5</v>
      </c>
      <c r="J182" s="2" t="s">
        <v>20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>
        <v>400</v>
      </c>
      <c r="O182">
        <v>30</v>
      </c>
      <c r="P182" s="2">
        <v>0.3</v>
      </c>
      <c r="Q182" s="6">
        <v>40</v>
      </c>
      <c r="R182" s="10">
        <v>0</v>
      </c>
      <c r="S182" s="10">
        <v>0</v>
      </c>
      <c r="T182" s="10"/>
      <c r="U182" t="str">
        <f>"RUNNING_COST_"&amp;IF(PROPERTIES[[#This Row],[ENGINE_CLASS]]="MAGLEV","ELECTRIC",PROPERTIES[[#This Row],[ENGINE_CLASS]])</f>
        <v>RUNNING_COST_DIESEL</v>
      </c>
      <c r="V182" s="10" t="s">
        <v>1000</v>
      </c>
      <c r="W182" s="10" t="s">
        <v>1001</v>
      </c>
      <c r="X182" s="10" t="str">
        <f>SUBSTITUTE(SUBSTITUTE(PROPERTIES[[#This Row],[PURCHASECOST_VALUE]], "PURCHASECOST_", ""), "_VALUE", "")</f>
        <v>DIESELENGINE</v>
      </c>
      <c r="AP182"/>
      <c r="AQ182"/>
      <c r="AR182"/>
    </row>
    <row r="183" spans="1:44">
      <c r="A183" s="2" t="s">
        <v>207</v>
      </c>
      <c r="B183">
        <v>1950</v>
      </c>
      <c r="C183">
        <v>0</v>
      </c>
      <c r="D183" t="s">
        <v>35</v>
      </c>
      <c r="E183" t="s">
        <v>20</v>
      </c>
      <c r="F183">
        <v>0</v>
      </c>
      <c r="G183" s="10">
        <v>121</v>
      </c>
      <c r="H183">
        <v>7</v>
      </c>
      <c r="I183">
        <v>7</v>
      </c>
      <c r="J183" s="2" t="s">
        <v>20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>
        <v>1600</v>
      </c>
      <c r="O183">
        <v>140</v>
      </c>
      <c r="P183" s="2">
        <v>0.16</v>
      </c>
      <c r="Q183" s="6">
        <v>40</v>
      </c>
      <c r="R183" s="10">
        <v>0</v>
      </c>
      <c r="S183" s="10">
        <v>0</v>
      </c>
      <c r="T183" s="10"/>
      <c r="U183" t="str">
        <f>"RUNNING_COST_"&amp;IF(PROPERTIES[[#This Row],[ENGINE_CLASS]]="MAGLEV","ELECTRIC",PROPERTIES[[#This Row],[ENGINE_CLASS]])</f>
        <v>RUNNING_COST_DIESEL</v>
      </c>
      <c r="V183" s="10" t="s">
        <v>1000</v>
      </c>
      <c r="W183" s="10" t="s">
        <v>1001</v>
      </c>
      <c r="X183" s="10" t="str">
        <f>SUBSTITUTE(SUBSTITUTE(PROPERTIES[[#This Row],[PURCHASECOST_VALUE]], "PURCHASECOST_", ""), "_VALUE", "")</f>
        <v>DIESELENGINE</v>
      </c>
      <c r="AP183"/>
      <c r="AQ183"/>
      <c r="AR183"/>
    </row>
    <row r="184" spans="1:44">
      <c r="A184" s="2" t="s">
        <v>208</v>
      </c>
      <c r="B184">
        <v>1952</v>
      </c>
      <c r="C184">
        <v>0</v>
      </c>
      <c r="D184" t="s">
        <v>35</v>
      </c>
      <c r="E184" t="s">
        <v>20</v>
      </c>
      <c r="F184">
        <v>0</v>
      </c>
      <c r="G184" s="10">
        <v>112</v>
      </c>
      <c r="H184">
        <v>8</v>
      </c>
      <c r="I184">
        <v>8</v>
      </c>
      <c r="J184" s="2" t="s">
        <v>20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>
        <v>1500</v>
      </c>
      <c r="O184">
        <v>110</v>
      </c>
      <c r="P184" s="2">
        <v>0.18</v>
      </c>
      <c r="Q184" s="6">
        <v>40</v>
      </c>
      <c r="R184" s="10">
        <v>0</v>
      </c>
      <c r="S184" s="10">
        <v>0</v>
      </c>
      <c r="T184" s="10"/>
      <c r="U184" t="str">
        <f>"RUNNING_COST_"&amp;IF(PROPERTIES[[#This Row],[ENGINE_CLASS]]="MAGLEV","ELECTRIC",PROPERTIES[[#This Row],[ENGINE_CLASS]])</f>
        <v>RUNNING_COST_DIESEL</v>
      </c>
      <c r="V184" s="10" t="s">
        <v>1000</v>
      </c>
      <c r="W184" s="10" t="s">
        <v>1001</v>
      </c>
      <c r="X184" s="10" t="str">
        <f>SUBSTITUTE(SUBSTITUTE(PROPERTIES[[#This Row],[PURCHASECOST_VALUE]], "PURCHASECOST_", ""), "_VALUE", "")</f>
        <v>DIESELENGINE</v>
      </c>
      <c r="AP184"/>
      <c r="AQ184"/>
      <c r="AR184"/>
    </row>
    <row r="185" spans="1:44">
      <c r="A185" s="2" t="s">
        <v>209</v>
      </c>
      <c r="B185">
        <v>1953</v>
      </c>
      <c r="C185">
        <v>0</v>
      </c>
      <c r="D185" t="s">
        <v>35</v>
      </c>
      <c r="E185" t="s">
        <v>20</v>
      </c>
      <c r="F185">
        <v>0</v>
      </c>
      <c r="G185" s="10">
        <v>170</v>
      </c>
      <c r="H185">
        <v>8</v>
      </c>
      <c r="I185">
        <v>8</v>
      </c>
      <c r="J185" s="2" t="s">
        <v>20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>
        <v>2400</v>
      </c>
      <c r="O185">
        <v>105</v>
      </c>
      <c r="P185" s="2">
        <v>0.28999999999999998</v>
      </c>
      <c r="Q185" s="6">
        <v>40</v>
      </c>
      <c r="R185" s="10">
        <v>0</v>
      </c>
      <c r="S185" s="10">
        <v>0</v>
      </c>
      <c r="T185" s="10"/>
      <c r="U185" t="str">
        <f>"RUNNING_COST_"&amp;IF(PROPERTIES[[#This Row],[ENGINE_CLASS]]="MAGLEV","ELECTRIC",PROPERTIES[[#This Row],[ENGINE_CLASS]])</f>
        <v>RUNNING_COST_DIESEL</v>
      </c>
      <c r="V185" s="10" t="s">
        <v>1000</v>
      </c>
      <c r="W185" s="10" t="s">
        <v>1001</v>
      </c>
      <c r="X185" s="10" t="str">
        <f>SUBSTITUTE(SUBSTITUTE(PROPERTIES[[#This Row],[PURCHASECOST_VALUE]], "PURCHASECOST_", ""), "_VALUE", "")</f>
        <v>DIESELENGINE</v>
      </c>
      <c r="AP185"/>
      <c r="AQ185"/>
      <c r="AR185"/>
    </row>
    <row r="186" spans="1:44">
      <c r="A186" s="2" t="s">
        <v>210</v>
      </c>
      <c r="B186">
        <v>1953</v>
      </c>
      <c r="C186">
        <v>0</v>
      </c>
      <c r="D186" t="s">
        <v>35</v>
      </c>
      <c r="E186" t="s">
        <v>20</v>
      </c>
      <c r="F186">
        <v>0</v>
      </c>
      <c r="G186" s="10">
        <v>50</v>
      </c>
      <c r="H186">
        <v>5</v>
      </c>
      <c r="I186">
        <v>5</v>
      </c>
      <c r="J186" s="2" t="s">
        <v>20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>
        <v>350</v>
      </c>
      <c r="O186">
        <v>35</v>
      </c>
      <c r="P186" s="2">
        <v>0.32</v>
      </c>
      <c r="Q186" s="6">
        <v>40</v>
      </c>
      <c r="R186" s="10">
        <v>0</v>
      </c>
      <c r="S186" s="10">
        <v>0</v>
      </c>
      <c r="T186" s="10"/>
      <c r="U186" t="str">
        <f>"RUNNING_COST_"&amp;IF(PROPERTIES[[#This Row],[ENGINE_CLASS]]="MAGLEV","ELECTRIC",PROPERTIES[[#This Row],[ENGINE_CLASS]])</f>
        <v>RUNNING_COST_DIESEL</v>
      </c>
      <c r="V186" s="10" t="s">
        <v>1000</v>
      </c>
      <c r="W186" s="10" t="s">
        <v>1001</v>
      </c>
      <c r="X186" s="10" t="str">
        <f>SUBSTITUTE(SUBSTITUTE(PROPERTIES[[#This Row],[PURCHASECOST_VALUE]], "PURCHASECOST_", ""), "_VALUE", "")</f>
        <v>DIESELENGINE</v>
      </c>
      <c r="AP186"/>
      <c r="AQ186"/>
      <c r="AR186"/>
    </row>
    <row r="187" spans="1:44">
      <c r="A187" s="2" t="s">
        <v>211</v>
      </c>
      <c r="B187">
        <v>1954</v>
      </c>
      <c r="C187">
        <v>0</v>
      </c>
      <c r="D187" t="s">
        <v>35</v>
      </c>
      <c r="E187" t="s">
        <v>20</v>
      </c>
      <c r="F187">
        <v>0</v>
      </c>
      <c r="G187" s="10">
        <v>28</v>
      </c>
      <c r="H187">
        <v>5</v>
      </c>
      <c r="I187">
        <v>5</v>
      </c>
      <c r="J187" s="2" t="s">
        <v>20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>
        <v>200</v>
      </c>
      <c r="O187">
        <v>60</v>
      </c>
      <c r="P187" s="2">
        <v>0.28000000000000003</v>
      </c>
      <c r="Q187" s="6">
        <v>40</v>
      </c>
      <c r="R187" s="10">
        <v>0</v>
      </c>
      <c r="S187" s="10">
        <v>0</v>
      </c>
      <c r="T187" s="10"/>
      <c r="U187" t="str">
        <f>"RUNNING_COST_"&amp;IF(PROPERTIES[[#This Row],[ENGINE_CLASS]]="MAGLEV","ELECTRIC",PROPERTIES[[#This Row],[ENGINE_CLASS]])</f>
        <v>RUNNING_COST_DIESEL</v>
      </c>
      <c r="V187" s="10" t="s">
        <v>1000</v>
      </c>
      <c r="W187" s="10" t="s">
        <v>1001</v>
      </c>
      <c r="X187" s="10" t="str">
        <f>SUBSTITUTE(SUBSTITUTE(PROPERTIES[[#This Row],[PURCHASECOST_VALUE]], "PURCHASECOST_", ""), "_VALUE", "")</f>
        <v>DIESELENGINE</v>
      </c>
      <c r="AP187"/>
      <c r="AQ187"/>
      <c r="AR187"/>
    </row>
    <row r="188" spans="1:44">
      <c r="A188" s="2" t="s">
        <v>212</v>
      </c>
      <c r="B188">
        <v>1954</v>
      </c>
      <c r="C188">
        <v>0</v>
      </c>
      <c r="D188" t="s">
        <v>35</v>
      </c>
      <c r="E188" t="s">
        <v>20</v>
      </c>
      <c r="F188">
        <v>0</v>
      </c>
      <c r="G188" s="10">
        <v>111</v>
      </c>
      <c r="H188">
        <v>6</v>
      </c>
      <c r="I188">
        <v>6</v>
      </c>
      <c r="J188" s="2" t="s">
        <v>20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>
        <v>1200</v>
      </c>
      <c r="O188">
        <v>104</v>
      </c>
      <c r="P188" s="2">
        <v>0.14000000000000001</v>
      </c>
      <c r="Q188" s="6">
        <v>40</v>
      </c>
      <c r="R188" s="10">
        <v>0</v>
      </c>
      <c r="S188" s="10">
        <v>0</v>
      </c>
      <c r="T188" s="10"/>
      <c r="U188" t="str">
        <f>"RUNNING_COST_"&amp;IF(PROPERTIES[[#This Row],[ENGINE_CLASS]]="MAGLEV","ELECTRIC",PROPERTIES[[#This Row],[ENGINE_CLASS]])</f>
        <v>RUNNING_COST_DIESEL</v>
      </c>
      <c r="V188" s="10" t="s">
        <v>1000</v>
      </c>
      <c r="W188" s="10" t="s">
        <v>1001</v>
      </c>
      <c r="X188" s="10" t="str">
        <f>SUBSTITUTE(SUBSTITUTE(PROPERTIES[[#This Row],[PURCHASECOST_VALUE]], "PURCHASECOST_", ""), "_VALUE", "")</f>
        <v>DIESELENGINE</v>
      </c>
      <c r="AP188"/>
      <c r="AQ188"/>
      <c r="AR188"/>
    </row>
    <row r="189" spans="1:44">
      <c r="A189" s="2" t="s">
        <v>213</v>
      </c>
      <c r="B189">
        <v>1954</v>
      </c>
      <c r="C189">
        <v>0</v>
      </c>
      <c r="D189" t="s">
        <v>35</v>
      </c>
      <c r="E189" t="s">
        <v>20</v>
      </c>
      <c r="F189">
        <v>0</v>
      </c>
      <c r="G189" s="10">
        <v>104</v>
      </c>
      <c r="H189">
        <v>8</v>
      </c>
      <c r="I189">
        <v>8</v>
      </c>
      <c r="J189" s="2" t="s">
        <v>20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>
        <v>1750</v>
      </c>
      <c r="O189">
        <v>144</v>
      </c>
      <c r="P189" s="2">
        <v>0.19</v>
      </c>
      <c r="Q189" s="6">
        <v>40</v>
      </c>
      <c r="R189" s="10">
        <v>0</v>
      </c>
      <c r="S189" s="10">
        <v>0</v>
      </c>
      <c r="T189" s="10">
        <v>55</v>
      </c>
      <c r="U189" t="str">
        <f>"RUNNING_COST_"&amp;IF(PROPERTIES[[#This Row],[ENGINE_CLASS]]="MAGLEV","ELECTRIC",PROPERTIES[[#This Row],[ENGINE_CLASS]])</f>
        <v>RUNNING_COST_DIESEL</v>
      </c>
      <c r="V189" s="10" t="s">
        <v>1000</v>
      </c>
      <c r="W189" s="10" t="s">
        <v>1001</v>
      </c>
      <c r="X189" s="10" t="str">
        <f>SUBSTITUTE(SUBSTITUTE(PROPERTIES[[#This Row],[PURCHASECOST_VALUE]], "PURCHASECOST_", ""), "_VALUE", "")</f>
        <v>DIESELENGINE</v>
      </c>
      <c r="AP189"/>
      <c r="AQ189"/>
      <c r="AR189"/>
    </row>
    <row r="190" spans="1:44">
      <c r="A190" s="2" t="s">
        <v>214</v>
      </c>
      <c r="B190">
        <v>1954</v>
      </c>
      <c r="C190">
        <v>0</v>
      </c>
      <c r="D190" t="s">
        <v>35</v>
      </c>
      <c r="E190" t="s">
        <v>20</v>
      </c>
      <c r="F190">
        <v>0</v>
      </c>
      <c r="G190" s="10">
        <v>55</v>
      </c>
      <c r="H190">
        <v>6</v>
      </c>
      <c r="I190">
        <v>6</v>
      </c>
      <c r="J190" s="2" t="s">
        <v>20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>
        <v>590</v>
      </c>
      <c r="O190">
        <v>80</v>
      </c>
      <c r="P190" s="2">
        <v>0.3</v>
      </c>
      <c r="Q190" s="6">
        <v>40</v>
      </c>
      <c r="R190" s="10">
        <v>0</v>
      </c>
      <c r="S190" s="10">
        <v>0</v>
      </c>
      <c r="T190" s="10"/>
      <c r="U190" t="str">
        <f>"RUNNING_COST_"&amp;IF(PROPERTIES[[#This Row],[ENGINE_CLASS]]="MAGLEV","ELECTRIC",PROPERTIES[[#This Row],[ENGINE_CLASS]])</f>
        <v>RUNNING_COST_DIESEL</v>
      </c>
      <c r="V190" s="10" t="s">
        <v>1000</v>
      </c>
      <c r="W190" s="10" t="s">
        <v>1001</v>
      </c>
      <c r="X190" s="10" t="str">
        <f>SUBSTITUTE(SUBSTITUTE(PROPERTIES[[#This Row],[PURCHASECOST_VALUE]], "PURCHASECOST_", ""), "_VALUE", "")</f>
        <v>DIESELENGINE</v>
      </c>
      <c r="AP190"/>
      <c r="AQ190"/>
      <c r="AR190"/>
    </row>
    <row r="191" spans="1:44">
      <c r="A191" s="2" t="s">
        <v>215</v>
      </c>
      <c r="B191">
        <v>1955</v>
      </c>
      <c r="C191">
        <v>0</v>
      </c>
      <c r="D191" t="s">
        <v>35</v>
      </c>
      <c r="E191" t="s">
        <v>20</v>
      </c>
      <c r="F191">
        <v>0</v>
      </c>
      <c r="G191" s="10">
        <v>19</v>
      </c>
      <c r="H191">
        <v>4</v>
      </c>
      <c r="I191">
        <v>4</v>
      </c>
      <c r="J191" s="2" t="s">
        <v>20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>
        <v>197</v>
      </c>
      <c r="O191">
        <v>50</v>
      </c>
      <c r="P191" s="2">
        <v>0.32</v>
      </c>
      <c r="Q191" s="6">
        <v>40</v>
      </c>
      <c r="R191" s="10">
        <v>0</v>
      </c>
      <c r="S191" s="10">
        <v>0</v>
      </c>
      <c r="T191" s="10"/>
      <c r="U191" t="str">
        <f>"RUNNING_COST_"&amp;IF(PROPERTIES[[#This Row],[ENGINE_CLASS]]="MAGLEV","ELECTRIC",PROPERTIES[[#This Row],[ENGINE_CLASS]])</f>
        <v>RUNNING_COST_DIESEL</v>
      </c>
      <c r="V191" s="10" t="s">
        <v>1000</v>
      </c>
      <c r="W191" s="10" t="s">
        <v>1001</v>
      </c>
      <c r="X191" s="10" t="str">
        <f>SUBSTITUTE(SUBSTITUTE(PROPERTIES[[#This Row],[PURCHASECOST_VALUE]], "PURCHASECOST_", ""), "_VALUE", "")</f>
        <v>DIESELENGINE</v>
      </c>
      <c r="AP191"/>
      <c r="AQ191"/>
      <c r="AR191"/>
    </row>
    <row r="192" spans="1:44">
      <c r="A192" s="2" t="s">
        <v>216</v>
      </c>
      <c r="B192">
        <v>1956</v>
      </c>
      <c r="C192">
        <v>0</v>
      </c>
      <c r="D192" t="s">
        <v>35</v>
      </c>
      <c r="E192" t="s">
        <v>20</v>
      </c>
      <c r="F192">
        <v>0</v>
      </c>
      <c r="G192" s="10">
        <v>40</v>
      </c>
      <c r="H192">
        <v>5</v>
      </c>
      <c r="I192">
        <v>5</v>
      </c>
      <c r="J192" s="2" t="s">
        <v>20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>
        <v>440</v>
      </c>
      <c r="O192">
        <v>50</v>
      </c>
      <c r="P192" s="2">
        <v>0.39</v>
      </c>
      <c r="Q192" s="6">
        <v>40</v>
      </c>
      <c r="R192" s="10">
        <v>0</v>
      </c>
      <c r="S192" s="10">
        <v>0</v>
      </c>
      <c r="T192" s="10"/>
      <c r="U192" t="str">
        <f>"RUNNING_COST_"&amp;IF(PROPERTIES[[#This Row],[ENGINE_CLASS]]="MAGLEV","ELECTRIC",PROPERTIES[[#This Row],[ENGINE_CLASS]])</f>
        <v>RUNNING_COST_DIESEL</v>
      </c>
      <c r="V192" s="10" t="s">
        <v>1000</v>
      </c>
      <c r="W192" s="10" t="s">
        <v>1001</v>
      </c>
      <c r="X192" s="10" t="str">
        <f>SUBSTITUTE(SUBSTITUTE(PROPERTIES[[#This Row],[PURCHASECOST_VALUE]], "PURCHASECOST_", ""), "_VALUE", "")</f>
        <v>DIESELENGINE</v>
      </c>
      <c r="AP192"/>
      <c r="AQ192"/>
      <c r="AR192"/>
    </row>
    <row r="193" spans="1:44">
      <c r="A193" s="2" t="s">
        <v>217</v>
      </c>
      <c r="B193">
        <v>1956</v>
      </c>
      <c r="C193">
        <v>0</v>
      </c>
      <c r="D193" t="s">
        <v>35</v>
      </c>
      <c r="E193" t="s">
        <v>20</v>
      </c>
      <c r="F193">
        <v>0</v>
      </c>
      <c r="G193" s="10">
        <v>81</v>
      </c>
      <c r="H193">
        <v>8</v>
      </c>
      <c r="I193">
        <v>8</v>
      </c>
      <c r="J193" s="2" t="s">
        <v>20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>
        <v>2169</v>
      </c>
      <c r="O193">
        <v>140</v>
      </c>
      <c r="P193" s="2">
        <v>0.28999999999999998</v>
      </c>
      <c r="Q193" s="6">
        <v>40</v>
      </c>
      <c r="R193" s="10">
        <v>0</v>
      </c>
      <c r="S193" s="10">
        <v>0</v>
      </c>
      <c r="T193" s="10"/>
      <c r="U193" t="str">
        <f>"RUNNING_COST_"&amp;IF(PROPERTIES[[#This Row],[ENGINE_CLASS]]="MAGLEV","ELECTRIC",PROPERTIES[[#This Row],[ENGINE_CLASS]])</f>
        <v>RUNNING_COST_DIESEL</v>
      </c>
      <c r="V193" s="10" t="s">
        <v>1000</v>
      </c>
      <c r="W193" s="10" t="s">
        <v>1001</v>
      </c>
      <c r="X193" s="10" t="str">
        <f>SUBSTITUTE(SUBSTITUTE(PROPERTIES[[#This Row],[PURCHASECOST_VALUE]], "PURCHASECOST_", ""), "_VALUE", "")</f>
        <v>DIESELENGINE</v>
      </c>
      <c r="AP193"/>
      <c r="AQ193"/>
      <c r="AR193"/>
    </row>
    <row r="194" spans="1:44">
      <c r="A194" s="2" t="s">
        <v>218</v>
      </c>
      <c r="B194">
        <v>1956</v>
      </c>
      <c r="C194">
        <v>0</v>
      </c>
      <c r="D194" t="s">
        <v>35</v>
      </c>
      <c r="E194" t="s">
        <v>20</v>
      </c>
      <c r="F194">
        <v>0</v>
      </c>
      <c r="G194" s="10">
        <v>130</v>
      </c>
      <c r="H194">
        <v>8</v>
      </c>
      <c r="I194">
        <v>8</v>
      </c>
      <c r="J194" s="2" t="s">
        <v>20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>
        <v>1750</v>
      </c>
      <c r="O194">
        <v>144</v>
      </c>
      <c r="P194" s="2">
        <v>0.2</v>
      </c>
      <c r="Q194" s="6">
        <v>40</v>
      </c>
      <c r="R194" s="10">
        <v>0</v>
      </c>
      <c r="S194" s="10">
        <v>0</v>
      </c>
      <c r="T194" s="10"/>
      <c r="U194" t="str">
        <f>"RUNNING_COST_"&amp;IF(PROPERTIES[[#This Row],[ENGINE_CLASS]]="MAGLEV","ELECTRIC",PROPERTIES[[#This Row],[ENGINE_CLASS]])</f>
        <v>RUNNING_COST_DIESEL</v>
      </c>
      <c r="V194" s="10" t="s">
        <v>1000</v>
      </c>
      <c r="W194" s="10" t="s">
        <v>1001</v>
      </c>
      <c r="X194" s="10" t="str">
        <f>SUBSTITUTE(SUBSTITUTE(PROPERTIES[[#This Row],[PURCHASECOST_VALUE]], "PURCHASECOST_", ""), "_VALUE", "")</f>
        <v>DIESELENGINE</v>
      </c>
      <c r="AP194"/>
      <c r="AQ194"/>
      <c r="AR194"/>
    </row>
    <row r="195" spans="1:44">
      <c r="A195" s="2" t="s">
        <v>219</v>
      </c>
      <c r="B195">
        <v>1958</v>
      </c>
      <c r="C195">
        <v>0</v>
      </c>
      <c r="D195" t="s">
        <v>35</v>
      </c>
      <c r="E195" t="s">
        <v>20</v>
      </c>
      <c r="F195">
        <v>0</v>
      </c>
      <c r="G195" s="10">
        <v>61</v>
      </c>
      <c r="H195">
        <v>6</v>
      </c>
      <c r="I195">
        <v>6</v>
      </c>
      <c r="J195" s="2" t="s">
        <v>20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>
        <v>740</v>
      </c>
      <c r="O195">
        <v>80</v>
      </c>
      <c r="P195" s="2">
        <v>0.28000000000000003</v>
      </c>
      <c r="Q195" s="6">
        <v>40</v>
      </c>
      <c r="R195" s="10">
        <v>0</v>
      </c>
      <c r="S195" s="10">
        <v>0</v>
      </c>
      <c r="T195" s="10"/>
      <c r="U195" t="str">
        <f>"RUNNING_COST_"&amp;IF(PROPERTIES[[#This Row],[ENGINE_CLASS]]="MAGLEV","ELECTRIC",PROPERTIES[[#This Row],[ENGINE_CLASS]])</f>
        <v>RUNNING_COST_DIESEL</v>
      </c>
      <c r="V195" s="10" t="s">
        <v>1000</v>
      </c>
      <c r="W195" s="10" t="s">
        <v>1001</v>
      </c>
      <c r="X195" s="10" t="str">
        <f>SUBSTITUTE(SUBSTITUTE(PROPERTIES[[#This Row],[PURCHASECOST_VALUE]], "PURCHASECOST_", ""), "_VALUE", "")</f>
        <v>DIESELENGINE</v>
      </c>
      <c r="AP195"/>
      <c r="AQ195"/>
      <c r="AR195"/>
    </row>
    <row r="196" spans="1:44">
      <c r="A196" s="2" t="s">
        <v>220</v>
      </c>
      <c r="B196">
        <v>1959</v>
      </c>
      <c r="C196">
        <v>0</v>
      </c>
      <c r="D196" t="s">
        <v>35</v>
      </c>
      <c r="E196" t="s">
        <v>20</v>
      </c>
      <c r="F196">
        <v>0</v>
      </c>
      <c r="G196" s="10">
        <v>122</v>
      </c>
      <c r="H196">
        <v>8</v>
      </c>
      <c r="I196">
        <v>8</v>
      </c>
      <c r="J196" s="2" t="s">
        <v>20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>
        <v>1900</v>
      </c>
      <c r="O196">
        <v>120</v>
      </c>
      <c r="P196" s="2">
        <v>0.18</v>
      </c>
      <c r="Q196" s="6">
        <v>40</v>
      </c>
      <c r="R196" s="10">
        <v>0</v>
      </c>
      <c r="S196" s="10">
        <v>0</v>
      </c>
      <c r="T196" s="10"/>
      <c r="U196" t="str">
        <f>"RUNNING_COST_"&amp;IF(PROPERTIES[[#This Row],[ENGINE_CLASS]]="MAGLEV","ELECTRIC",PROPERTIES[[#This Row],[ENGINE_CLASS]])</f>
        <v>RUNNING_COST_DIESEL</v>
      </c>
      <c r="V196" s="10" t="s">
        <v>1000</v>
      </c>
      <c r="W196" s="10" t="s">
        <v>1001</v>
      </c>
      <c r="X196" s="10" t="str">
        <f>SUBSTITUTE(SUBSTITUTE(PROPERTIES[[#This Row],[PURCHASECOST_VALUE]], "PURCHASECOST_", ""), "_VALUE", "")</f>
        <v>DIESELENGINE</v>
      </c>
      <c r="AP196"/>
      <c r="AQ196"/>
      <c r="AR196"/>
    </row>
    <row r="197" spans="1:44">
      <c r="A197" s="2" t="s">
        <v>221</v>
      </c>
      <c r="B197">
        <v>1959</v>
      </c>
      <c r="C197">
        <v>0</v>
      </c>
      <c r="D197" t="s">
        <v>35</v>
      </c>
      <c r="E197" t="s">
        <v>20</v>
      </c>
      <c r="F197">
        <v>0</v>
      </c>
      <c r="G197" s="10">
        <v>116</v>
      </c>
      <c r="H197">
        <v>8</v>
      </c>
      <c r="I197">
        <v>8</v>
      </c>
      <c r="J197" s="2" t="s">
        <v>20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>
        <v>2070</v>
      </c>
      <c r="O197">
        <v>100</v>
      </c>
      <c r="P197" s="2">
        <v>0.27</v>
      </c>
      <c r="Q197" s="6">
        <v>40</v>
      </c>
      <c r="R197" s="10">
        <v>0</v>
      </c>
      <c r="S197" s="10">
        <v>0</v>
      </c>
      <c r="T197" s="10"/>
      <c r="U197" t="str">
        <f>"RUNNING_COST_"&amp;IF(PROPERTIES[[#This Row],[ENGINE_CLASS]]="MAGLEV","ELECTRIC",PROPERTIES[[#This Row],[ENGINE_CLASS]])</f>
        <v>RUNNING_COST_DIESEL</v>
      </c>
      <c r="V197" s="10" t="s">
        <v>1000</v>
      </c>
      <c r="W197" s="10" t="s">
        <v>1001</v>
      </c>
      <c r="X197" s="10" t="str">
        <f>SUBSTITUTE(SUBSTITUTE(PROPERTIES[[#This Row],[PURCHASECOST_VALUE]], "PURCHASECOST_", ""), "_VALUE", "")</f>
        <v>DIESELENGINE</v>
      </c>
      <c r="AP197"/>
      <c r="AQ197"/>
      <c r="AR197"/>
    </row>
    <row r="198" spans="1:44">
      <c r="A198" s="2" t="s">
        <v>222</v>
      </c>
      <c r="B198">
        <v>1960</v>
      </c>
      <c r="C198">
        <v>0</v>
      </c>
      <c r="D198" t="s">
        <v>35</v>
      </c>
      <c r="E198" t="s">
        <v>20</v>
      </c>
      <c r="F198">
        <v>0</v>
      </c>
      <c r="G198" s="10">
        <v>64</v>
      </c>
      <c r="H198">
        <v>5</v>
      </c>
      <c r="I198">
        <v>5</v>
      </c>
      <c r="J198" s="2" t="s">
        <v>20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>
        <v>875</v>
      </c>
      <c r="O198">
        <v>124</v>
      </c>
      <c r="P198" s="2">
        <v>0.13</v>
      </c>
      <c r="Q198" s="6">
        <v>40</v>
      </c>
      <c r="R198" s="10">
        <v>0</v>
      </c>
      <c r="S198" s="10">
        <v>0</v>
      </c>
      <c r="T198" s="10"/>
      <c r="U198" t="str">
        <f>"RUNNING_COST_"&amp;IF(PROPERTIES[[#This Row],[ENGINE_CLASS]]="MAGLEV","ELECTRIC",PROPERTIES[[#This Row],[ENGINE_CLASS]])</f>
        <v>RUNNING_COST_DIESEL</v>
      </c>
      <c r="V198" s="10" t="s">
        <v>1000</v>
      </c>
      <c r="W198" s="10" t="s">
        <v>1001</v>
      </c>
      <c r="X198" s="10" t="str">
        <f>SUBSTITUTE(SUBSTITUTE(PROPERTIES[[#This Row],[PURCHASECOST_VALUE]], "PURCHASECOST_", ""), "_VALUE", "")</f>
        <v>DIESELENGINE</v>
      </c>
      <c r="AP198"/>
      <c r="AQ198"/>
      <c r="AR198"/>
    </row>
    <row r="199" spans="1:44">
      <c r="A199" s="2" t="s">
        <v>223</v>
      </c>
      <c r="B199">
        <v>1960</v>
      </c>
      <c r="C199">
        <v>0</v>
      </c>
      <c r="D199" t="s">
        <v>35</v>
      </c>
      <c r="E199" t="s">
        <v>20</v>
      </c>
      <c r="F199">
        <v>0</v>
      </c>
      <c r="G199" s="10">
        <v>156</v>
      </c>
      <c r="H199">
        <v>8</v>
      </c>
      <c r="I199">
        <v>8</v>
      </c>
      <c r="J199" s="2" t="s">
        <v>20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>
        <v>4000</v>
      </c>
      <c r="O199">
        <v>110</v>
      </c>
      <c r="P199" s="2">
        <v>0.28999999999999998</v>
      </c>
      <c r="Q199" s="6">
        <v>40</v>
      </c>
      <c r="R199" s="10">
        <v>0</v>
      </c>
      <c r="S199" s="10">
        <v>0</v>
      </c>
      <c r="T199" s="10"/>
      <c r="U199" t="str">
        <f>"RUNNING_COST_"&amp;IF(PROPERTIES[[#This Row],[ENGINE_CLASS]]="MAGLEV","ELECTRIC",PROPERTIES[[#This Row],[ENGINE_CLASS]])</f>
        <v>RUNNING_COST_DIESEL</v>
      </c>
      <c r="V199" s="10" t="s">
        <v>1000</v>
      </c>
      <c r="W199" s="10" t="s">
        <v>1001</v>
      </c>
      <c r="X199" s="10" t="str">
        <f>SUBSTITUTE(SUBSTITUTE(PROPERTIES[[#This Row],[PURCHASECOST_VALUE]], "PURCHASECOST_", ""), "_VALUE", "")</f>
        <v>DIESELENGINE</v>
      </c>
      <c r="AP199"/>
      <c r="AQ199"/>
      <c r="AR199"/>
    </row>
    <row r="200" spans="1:44">
      <c r="A200" s="2" t="s">
        <v>224</v>
      </c>
      <c r="B200">
        <v>1960</v>
      </c>
      <c r="C200">
        <v>0</v>
      </c>
      <c r="D200" t="s">
        <v>35</v>
      </c>
      <c r="E200" t="s">
        <v>20</v>
      </c>
      <c r="F200">
        <v>0</v>
      </c>
      <c r="G200" s="10">
        <v>130</v>
      </c>
      <c r="H200">
        <v>8</v>
      </c>
      <c r="I200">
        <v>8</v>
      </c>
      <c r="J200" s="2" t="s">
        <v>20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>
        <v>2960</v>
      </c>
      <c r="O200">
        <v>160</v>
      </c>
      <c r="P200" s="2">
        <v>0.15</v>
      </c>
      <c r="Q200" s="6">
        <v>40</v>
      </c>
      <c r="R200" s="10">
        <v>0</v>
      </c>
      <c r="S200" s="10">
        <v>0</v>
      </c>
      <c r="T200" s="10"/>
      <c r="U200" t="str">
        <f>"RUNNING_COST_"&amp;IF(PROPERTIES[[#This Row],[ENGINE_CLASS]]="MAGLEV","ELECTRIC",PROPERTIES[[#This Row],[ENGINE_CLASS]])</f>
        <v>RUNNING_COST_DIESEL</v>
      </c>
      <c r="V200" s="10" t="s">
        <v>1000</v>
      </c>
      <c r="W200" s="10" t="s">
        <v>1001</v>
      </c>
      <c r="X200" s="10" t="str">
        <f>SUBSTITUTE(SUBSTITUTE(PROPERTIES[[#This Row],[PURCHASECOST_VALUE]], "PURCHASECOST_", ""), "_VALUE", "")</f>
        <v>DIESELENGINE</v>
      </c>
      <c r="AP200"/>
      <c r="AQ200"/>
      <c r="AR200"/>
    </row>
    <row r="201" spans="1:44">
      <c r="A201" s="2" t="s">
        <v>225</v>
      </c>
      <c r="B201">
        <v>1961</v>
      </c>
      <c r="C201">
        <v>0</v>
      </c>
      <c r="D201" t="s">
        <v>35</v>
      </c>
      <c r="E201" t="s">
        <v>20</v>
      </c>
      <c r="F201">
        <v>0</v>
      </c>
      <c r="G201" s="10">
        <v>80</v>
      </c>
      <c r="H201">
        <v>8</v>
      </c>
      <c r="I201">
        <v>8</v>
      </c>
      <c r="J201" s="2" t="s">
        <v>20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>
        <v>1408</v>
      </c>
      <c r="O201">
        <v>120</v>
      </c>
      <c r="P201" s="2">
        <v>0.27</v>
      </c>
      <c r="Q201" s="6">
        <v>40</v>
      </c>
      <c r="R201" s="10">
        <v>0</v>
      </c>
      <c r="S201" s="10">
        <v>0</v>
      </c>
      <c r="T201" s="10"/>
      <c r="U201" t="str">
        <f>"RUNNING_COST_"&amp;IF(PROPERTIES[[#This Row],[ENGINE_CLASS]]="MAGLEV","ELECTRIC",PROPERTIES[[#This Row],[ENGINE_CLASS]])</f>
        <v>RUNNING_COST_DIESEL</v>
      </c>
      <c r="V201" s="10" t="s">
        <v>1000</v>
      </c>
      <c r="W201" s="10" t="s">
        <v>1001</v>
      </c>
      <c r="X201" s="10" t="str">
        <f>SUBSTITUTE(SUBSTITUTE(PROPERTIES[[#This Row],[PURCHASECOST_VALUE]], "PURCHASECOST_", ""), "_VALUE", "")</f>
        <v>DIESELENGINE</v>
      </c>
      <c r="AP201"/>
      <c r="AQ201"/>
      <c r="AR201"/>
    </row>
    <row r="202" spans="1:44">
      <c r="A202" s="2" t="s">
        <v>226</v>
      </c>
      <c r="B202">
        <v>1962</v>
      </c>
      <c r="C202">
        <v>0</v>
      </c>
      <c r="D202" t="s">
        <v>35</v>
      </c>
      <c r="E202" t="s">
        <v>20</v>
      </c>
      <c r="F202">
        <v>0</v>
      </c>
      <c r="G202" s="10">
        <v>45</v>
      </c>
      <c r="H202">
        <v>7</v>
      </c>
      <c r="I202">
        <v>7</v>
      </c>
      <c r="J202" s="2" t="s">
        <v>20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>
        <v>650</v>
      </c>
      <c r="O202">
        <v>75</v>
      </c>
      <c r="P202" s="2">
        <v>0.21</v>
      </c>
      <c r="Q202" s="6">
        <v>40</v>
      </c>
      <c r="R202" s="10">
        <v>0</v>
      </c>
      <c r="S202" s="10">
        <v>0</v>
      </c>
      <c r="T202" s="10"/>
      <c r="U202" t="str">
        <f>"RUNNING_COST_"&amp;IF(PROPERTIES[[#This Row],[ENGINE_CLASS]]="MAGLEV","ELECTRIC",PROPERTIES[[#This Row],[ENGINE_CLASS]])</f>
        <v>RUNNING_COST_DIESEL</v>
      </c>
      <c r="V202" s="10" t="s">
        <v>1000</v>
      </c>
      <c r="W202" s="10" t="s">
        <v>1001</v>
      </c>
      <c r="X202" s="10" t="str">
        <f>SUBSTITUTE(SUBSTITUTE(PROPERTIES[[#This Row],[PURCHASECOST_VALUE]], "PURCHASECOST_", ""), "_VALUE", "")</f>
        <v>DIESELENGINE</v>
      </c>
      <c r="AP202"/>
      <c r="AQ202"/>
      <c r="AR202"/>
    </row>
    <row r="203" spans="1:44">
      <c r="A203" s="2" t="s">
        <v>227</v>
      </c>
      <c r="B203">
        <v>1963</v>
      </c>
      <c r="C203">
        <v>0</v>
      </c>
      <c r="D203" t="s">
        <v>35</v>
      </c>
      <c r="E203" t="s">
        <v>20</v>
      </c>
      <c r="F203">
        <v>0</v>
      </c>
      <c r="G203" s="10">
        <v>113</v>
      </c>
      <c r="H203">
        <v>7</v>
      </c>
      <c r="I203">
        <v>7</v>
      </c>
      <c r="J203" s="2" t="s">
        <v>20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>
        <v>2400</v>
      </c>
      <c r="O203">
        <v>120</v>
      </c>
      <c r="P203" s="2">
        <v>0.27</v>
      </c>
      <c r="Q203" s="6">
        <v>40</v>
      </c>
      <c r="R203" s="10">
        <v>0</v>
      </c>
      <c r="S203" s="10">
        <v>0</v>
      </c>
      <c r="T203" s="10"/>
      <c r="U203" t="str">
        <f>"RUNNING_COST_"&amp;IF(PROPERTIES[[#This Row],[ENGINE_CLASS]]="MAGLEV","ELECTRIC",PROPERTIES[[#This Row],[ENGINE_CLASS]])</f>
        <v>RUNNING_COST_DIESEL</v>
      </c>
      <c r="V203" s="10" t="s">
        <v>1000</v>
      </c>
      <c r="W203" s="10" t="s">
        <v>1001</v>
      </c>
      <c r="X203" s="10" t="str">
        <f>SUBSTITUTE(SUBSTITUTE(PROPERTIES[[#This Row],[PURCHASECOST_VALUE]], "PURCHASECOST_", ""), "_VALUE", "")</f>
        <v>DIESELENGINE</v>
      </c>
      <c r="AP203"/>
      <c r="AQ203"/>
      <c r="AR203"/>
    </row>
    <row r="204" spans="1:44">
      <c r="A204" s="2" t="s">
        <v>228</v>
      </c>
      <c r="B204">
        <v>1964</v>
      </c>
      <c r="C204">
        <v>0</v>
      </c>
      <c r="D204" t="s">
        <v>35</v>
      </c>
      <c r="E204" t="s">
        <v>20</v>
      </c>
      <c r="F204">
        <v>0</v>
      </c>
      <c r="G204" s="10">
        <v>49</v>
      </c>
      <c r="H204">
        <v>6</v>
      </c>
      <c r="I204">
        <v>6</v>
      </c>
      <c r="J204" s="2" t="s">
        <v>20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>
        <v>650</v>
      </c>
      <c r="O204">
        <v>64</v>
      </c>
      <c r="P204" s="2">
        <v>0.28000000000000003</v>
      </c>
      <c r="Q204" s="6">
        <v>40</v>
      </c>
      <c r="R204" s="10">
        <v>0</v>
      </c>
      <c r="S204" s="10">
        <v>0</v>
      </c>
      <c r="T204" s="10"/>
      <c r="U204" t="str">
        <f>"RUNNING_COST_"&amp;IF(PROPERTIES[[#This Row],[ENGINE_CLASS]]="MAGLEV","ELECTRIC",PROPERTIES[[#This Row],[ENGINE_CLASS]])</f>
        <v>RUNNING_COST_DIESEL</v>
      </c>
      <c r="V204" s="10" t="s">
        <v>1000</v>
      </c>
      <c r="W204" s="10" t="s">
        <v>1001</v>
      </c>
      <c r="X204" s="10" t="str">
        <f>SUBSTITUTE(SUBSTITUTE(PROPERTIES[[#This Row],[PURCHASECOST_VALUE]], "PURCHASECOST_", ""), "_VALUE", "")</f>
        <v>DIESELENGINE</v>
      </c>
      <c r="AP204"/>
      <c r="AQ204"/>
      <c r="AR204"/>
    </row>
    <row r="205" spans="1:44">
      <c r="A205" s="2" t="s">
        <v>229</v>
      </c>
      <c r="B205">
        <v>1964</v>
      </c>
      <c r="C205">
        <v>0</v>
      </c>
      <c r="D205" t="s">
        <v>35</v>
      </c>
      <c r="E205" t="s">
        <v>20</v>
      </c>
      <c r="F205">
        <v>0</v>
      </c>
      <c r="G205" s="10">
        <v>123</v>
      </c>
      <c r="H205">
        <v>8</v>
      </c>
      <c r="I205">
        <v>8</v>
      </c>
      <c r="J205" s="2" t="s">
        <v>20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>
        <v>1250</v>
      </c>
      <c r="O205">
        <v>95</v>
      </c>
      <c r="P205" s="2">
        <v>0.28999999999999998</v>
      </c>
      <c r="Q205" s="6">
        <v>40</v>
      </c>
      <c r="R205" s="10">
        <v>0</v>
      </c>
      <c r="S205" s="10">
        <v>0</v>
      </c>
      <c r="T205" s="10"/>
      <c r="U205" t="str">
        <f>"RUNNING_COST_"&amp;IF(PROPERTIES[[#This Row],[ENGINE_CLASS]]="MAGLEV","ELECTRIC",PROPERTIES[[#This Row],[ENGINE_CLASS]])</f>
        <v>RUNNING_COST_DIESEL</v>
      </c>
      <c r="V205" s="10" t="s">
        <v>1000</v>
      </c>
      <c r="W205" s="10" t="s">
        <v>1001</v>
      </c>
      <c r="X205" s="10" t="str">
        <f>SUBSTITUTE(SUBSTITUTE(PROPERTIES[[#This Row],[PURCHASECOST_VALUE]], "PURCHASECOST_", ""), "_VALUE", "")</f>
        <v>DIESELENGINE</v>
      </c>
      <c r="AP205"/>
      <c r="AQ205"/>
      <c r="AR205"/>
    </row>
    <row r="206" spans="1:44">
      <c r="A206" s="2" t="s">
        <v>230</v>
      </c>
      <c r="B206">
        <v>1965</v>
      </c>
      <c r="C206">
        <v>0</v>
      </c>
      <c r="D206" t="s">
        <v>35</v>
      </c>
      <c r="E206" t="s">
        <v>20</v>
      </c>
      <c r="F206">
        <v>0</v>
      </c>
      <c r="G206" s="10">
        <v>112</v>
      </c>
      <c r="H206">
        <v>8</v>
      </c>
      <c r="I206">
        <v>8</v>
      </c>
      <c r="J206" s="2" t="s">
        <v>20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>
        <v>1870</v>
      </c>
      <c r="O206">
        <v>120</v>
      </c>
      <c r="P206" s="2">
        <v>0.21</v>
      </c>
      <c r="Q206" s="6">
        <v>40</v>
      </c>
      <c r="R206" s="10">
        <v>0</v>
      </c>
      <c r="S206" s="10">
        <v>0</v>
      </c>
      <c r="T206" s="10"/>
      <c r="U206" t="str">
        <f>"RUNNING_COST_"&amp;IF(PROPERTIES[[#This Row],[ENGINE_CLASS]]="MAGLEV","ELECTRIC",PROPERTIES[[#This Row],[ENGINE_CLASS]])</f>
        <v>RUNNING_COST_DIESEL</v>
      </c>
      <c r="V206" s="10" t="s">
        <v>1000</v>
      </c>
      <c r="W206" s="10" t="s">
        <v>1001</v>
      </c>
      <c r="X206" s="10" t="str">
        <f>SUBSTITUTE(SUBSTITUTE(PROPERTIES[[#This Row],[PURCHASECOST_VALUE]], "PURCHASECOST_", ""), "_VALUE", "")</f>
        <v>DIESELENGINE</v>
      </c>
      <c r="AP206"/>
      <c r="AQ206"/>
      <c r="AR206"/>
    </row>
    <row r="207" spans="1:44">
      <c r="A207" s="2" t="s">
        <v>231</v>
      </c>
      <c r="B207">
        <v>1965</v>
      </c>
      <c r="C207">
        <v>0</v>
      </c>
      <c r="D207" t="s">
        <v>35</v>
      </c>
      <c r="E207" t="s">
        <v>20</v>
      </c>
      <c r="F207">
        <v>0</v>
      </c>
      <c r="G207" s="10">
        <v>116</v>
      </c>
      <c r="H207">
        <v>8</v>
      </c>
      <c r="I207">
        <v>8</v>
      </c>
      <c r="J207" s="2" t="s">
        <v>20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>
        <v>1970</v>
      </c>
      <c r="O207">
        <v>100</v>
      </c>
      <c r="P207" s="2">
        <v>0.3</v>
      </c>
      <c r="Q207" s="6">
        <v>40</v>
      </c>
      <c r="R207" s="10">
        <v>0</v>
      </c>
      <c r="S207" s="10">
        <v>0</v>
      </c>
      <c r="T207" s="10"/>
      <c r="U207" t="str">
        <f>"RUNNING_COST_"&amp;IF(PROPERTIES[[#This Row],[ENGINE_CLASS]]="MAGLEV","ELECTRIC",PROPERTIES[[#This Row],[ENGINE_CLASS]])</f>
        <v>RUNNING_COST_DIESEL</v>
      </c>
      <c r="V207" s="10" t="s">
        <v>1000</v>
      </c>
      <c r="W207" s="10" t="s">
        <v>1001</v>
      </c>
      <c r="X207" s="10" t="str">
        <f>SUBSTITUTE(SUBSTITUTE(PROPERTIES[[#This Row],[PURCHASECOST_VALUE]], "PURCHASECOST_", ""), "_VALUE", "")</f>
        <v>DIESELENGINE</v>
      </c>
      <c r="AP207"/>
      <c r="AQ207"/>
      <c r="AR207"/>
    </row>
    <row r="208" spans="1:44">
      <c r="A208" s="2" t="s">
        <v>232</v>
      </c>
      <c r="B208">
        <v>1969</v>
      </c>
      <c r="C208">
        <v>0</v>
      </c>
      <c r="D208" t="s">
        <v>35</v>
      </c>
      <c r="E208" t="s">
        <v>20</v>
      </c>
      <c r="F208">
        <v>0</v>
      </c>
      <c r="G208" s="10">
        <v>110</v>
      </c>
      <c r="H208">
        <v>8</v>
      </c>
      <c r="I208">
        <v>8</v>
      </c>
      <c r="J208" s="2" t="s">
        <v>20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>
        <v>2200</v>
      </c>
      <c r="O208">
        <v>124</v>
      </c>
      <c r="P208" s="2">
        <v>0.25</v>
      </c>
      <c r="Q208" s="6">
        <v>40</v>
      </c>
      <c r="R208" s="10">
        <v>0</v>
      </c>
      <c r="S208" s="10">
        <v>0</v>
      </c>
      <c r="T208" s="10"/>
      <c r="U208" t="str">
        <f>"RUNNING_COST_"&amp;IF(PROPERTIES[[#This Row],[ENGINE_CLASS]]="MAGLEV","ELECTRIC",PROPERTIES[[#This Row],[ENGINE_CLASS]])</f>
        <v>RUNNING_COST_DIESEL</v>
      </c>
      <c r="V208" s="10" t="s">
        <v>1000</v>
      </c>
      <c r="W208" s="10" t="s">
        <v>1001</v>
      </c>
      <c r="X208" s="10" t="str">
        <f>SUBSTITUTE(SUBSTITUTE(PROPERTIES[[#This Row],[PURCHASECOST_VALUE]], "PURCHASECOST_", ""), "_VALUE", "")</f>
        <v>DIESELENGINE</v>
      </c>
      <c r="AP208"/>
      <c r="AQ208"/>
      <c r="AR208"/>
    </row>
    <row r="209" spans="1:44">
      <c r="A209" s="2" t="s">
        <v>233</v>
      </c>
      <c r="B209">
        <v>1969</v>
      </c>
      <c r="C209">
        <v>0</v>
      </c>
      <c r="D209" t="s">
        <v>35</v>
      </c>
      <c r="E209" t="s">
        <v>20</v>
      </c>
      <c r="F209">
        <v>0</v>
      </c>
      <c r="G209" s="10">
        <v>72</v>
      </c>
      <c r="H209">
        <v>8</v>
      </c>
      <c r="I209">
        <v>8</v>
      </c>
      <c r="J209" s="2" t="s">
        <v>20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>
        <v>1650</v>
      </c>
      <c r="O209">
        <v>160</v>
      </c>
      <c r="P209" s="2">
        <v>0.21</v>
      </c>
      <c r="Q209" s="6">
        <v>40</v>
      </c>
      <c r="R209" s="10">
        <v>0</v>
      </c>
      <c r="S209" s="10">
        <v>0</v>
      </c>
      <c r="T209" s="10"/>
      <c r="U209" t="str">
        <f>"RUNNING_COST_"&amp;IF(PROPERTIES[[#This Row],[ENGINE_CLASS]]="MAGLEV","ELECTRIC",PROPERTIES[[#This Row],[ENGINE_CLASS]])</f>
        <v>RUNNING_COST_DIESEL</v>
      </c>
      <c r="V209" s="10" t="s">
        <v>1000</v>
      </c>
      <c r="W209" s="10" t="s">
        <v>1001</v>
      </c>
      <c r="X209" s="10" t="str">
        <f>SUBSTITUTE(SUBSTITUTE(PROPERTIES[[#This Row],[PURCHASECOST_VALUE]], "PURCHASECOST_", ""), "_VALUE", "")</f>
        <v>DIESELENGINE</v>
      </c>
      <c r="AP209"/>
      <c r="AQ209"/>
      <c r="AR209"/>
    </row>
    <row r="210" spans="1:44">
      <c r="A210" s="2" t="s">
        <v>234</v>
      </c>
      <c r="B210">
        <v>1969</v>
      </c>
      <c r="C210">
        <v>0</v>
      </c>
      <c r="D210" t="s">
        <v>35</v>
      </c>
      <c r="E210" t="s">
        <v>20</v>
      </c>
      <c r="F210">
        <v>0</v>
      </c>
      <c r="G210" s="10">
        <v>261</v>
      </c>
      <c r="H210">
        <v>8</v>
      </c>
      <c r="I210">
        <v>4</v>
      </c>
      <c r="J210" s="2" t="s">
        <v>20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>
        <v>6600</v>
      </c>
      <c r="O210">
        <v>144</v>
      </c>
      <c r="P210" s="2">
        <v>0.19</v>
      </c>
      <c r="Q210" s="6">
        <v>40</v>
      </c>
      <c r="R210" s="10">
        <v>0</v>
      </c>
      <c r="S210" s="10">
        <v>2</v>
      </c>
      <c r="T210" s="10"/>
      <c r="U210" t="str">
        <f>"RUNNING_COST_"&amp;IF(PROPERTIES[[#This Row],[ENGINE_CLASS]]="MAGLEV","ELECTRIC",PROPERTIES[[#This Row],[ENGINE_CLASS]])</f>
        <v>RUNNING_COST_DIESEL</v>
      </c>
      <c r="V210" s="10" t="s">
        <v>1000</v>
      </c>
      <c r="W210" s="10" t="s">
        <v>1001</v>
      </c>
      <c r="X210" s="10" t="str">
        <f>SUBSTITUTE(SUBSTITUTE(PROPERTIES[[#This Row],[PURCHASECOST_VALUE]], "PURCHASECOST_", ""), "_VALUE", "")</f>
        <v>DIESELENGINE</v>
      </c>
      <c r="AP210"/>
      <c r="AQ210"/>
      <c r="AR210"/>
    </row>
    <row r="211" spans="1:44">
      <c r="A211" s="2" t="s">
        <v>235</v>
      </c>
      <c r="B211">
        <v>1970</v>
      </c>
      <c r="C211">
        <v>0</v>
      </c>
      <c r="D211" t="s">
        <v>35</v>
      </c>
      <c r="E211" t="s">
        <v>20</v>
      </c>
      <c r="F211">
        <v>0</v>
      </c>
      <c r="G211" s="10">
        <v>98</v>
      </c>
      <c r="H211">
        <v>8</v>
      </c>
      <c r="I211">
        <v>8</v>
      </c>
      <c r="J211" s="2" t="s">
        <v>20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>
        <v>1950</v>
      </c>
      <c r="O211">
        <v>80</v>
      </c>
      <c r="P211" s="2">
        <v>0.28999999999999998</v>
      </c>
      <c r="Q211" s="6">
        <v>40</v>
      </c>
      <c r="R211" s="10">
        <v>0</v>
      </c>
      <c r="S211" s="10">
        <v>0</v>
      </c>
      <c r="T211" s="10"/>
      <c r="U211" t="str">
        <f>"RUNNING_COST_"&amp;IF(PROPERTIES[[#This Row],[ENGINE_CLASS]]="MAGLEV","ELECTRIC",PROPERTIES[[#This Row],[ENGINE_CLASS]])</f>
        <v>RUNNING_COST_DIESEL</v>
      </c>
      <c r="V211" s="10" t="s">
        <v>1000</v>
      </c>
      <c r="W211" s="10" t="s">
        <v>1001</v>
      </c>
      <c r="X211" s="10" t="str">
        <f>SUBSTITUTE(SUBSTITUTE(PROPERTIES[[#This Row],[PURCHASECOST_VALUE]], "PURCHASECOST_", ""), "_VALUE", "")</f>
        <v>DIESELENGINE</v>
      </c>
      <c r="AP211"/>
      <c r="AQ211"/>
      <c r="AR211"/>
    </row>
    <row r="212" spans="1:44">
      <c r="A212" s="2" t="s">
        <v>236</v>
      </c>
      <c r="B212">
        <v>1972</v>
      </c>
      <c r="C212">
        <v>0</v>
      </c>
      <c r="D212" t="s">
        <v>35</v>
      </c>
      <c r="E212" t="s">
        <v>20</v>
      </c>
      <c r="F212">
        <v>0</v>
      </c>
      <c r="G212" s="10">
        <v>103</v>
      </c>
      <c r="H212">
        <v>8</v>
      </c>
      <c r="I212">
        <v>8</v>
      </c>
      <c r="J212" s="2" t="s">
        <v>20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>
        <v>2200</v>
      </c>
      <c r="O212">
        <v>124</v>
      </c>
      <c r="P212" s="2">
        <v>0.26</v>
      </c>
      <c r="Q212" s="6">
        <v>40</v>
      </c>
      <c r="R212" s="10">
        <v>0</v>
      </c>
      <c r="S212" s="10">
        <v>0</v>
      </c>
      <c r="T212" s="10"/>
      <c r="U212" t="str">
        <f>"RUNNING_COST_"&amp;IF(PROPERTIES[[#This Row],[ENGINE_CLASS]]="MAGLEV","ELECTRIC",PROPERTIES[[#This Row],[ENGINE_CLASS]])</f>
        <v>RUNNING_COST_DIESEL</v>
      </c>
      <c r="V212" s="10" t="s">
        <v>1000</v>
      </c>
      <c r="W212" s="10" t="s">
        <v>1001</v>
      </c>
      <c r="X212" s="10" t="str">
        <f>SUBSTITUTE(SUBSTITUTE(PROPERTIES[[#This Row],[PURCHASECOST_VALUE]], "PURCHASECOST_", ""), "_VALUE", "")</f>
        <v>DIESELENGINE</v>
      </c>
      <c r="AP212"/>
      <c r="AQ212"/>
      <c r="AR212"/>
    </row>
    <row r="213" spans="1:44">
      <c r="A213" s="2" t="s">
        <v>237</v>
      </c>
      <c r="B213">
        <v>1972</v>
      </c>
      <c r="C213">
        <v>0</v>
      </c>
      <c r="D213" t="s">
        <v>35</v>
      </c>
      <c r="E213" t="s">
        <v>20</v>
      </c>
      <c r="F213">
        <v>0</v>
      </c>
      <c r="G213" s="10">
        <v>46</v>
      </c>
      <c r="H213">
        <v>6</v>
      </c>
      <c r="I213">
        <v>6</v>
      </c>
      <c r="J213" s="2" t="s">
        <v>20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>
        <v>620</v>
      </c>
      <c r="O213">
        <v>70</v>
      </c>
      <c r="P213" s="2">
        <v>0.3</v>
      </c>
      <c r="Q213" s="6">
        <v>40</v>
      </c>
      <c r="R213" s="10">
        <v>0</v>
      </c>
      <c r="S213" s="10">
        <v>0</v>
      </c>
      <c r="T213" s="10"/>
      <c r="U213" t="str">
        <f>"RUNNING_COST_"&amp;IF(PROPERTIES[[#This Row],[ENGINE_CLASS]]="MAGLEV","ELECTRIC",PROPERTIES[[#This Row],[ENGINE_CLASS]])</f>
        <v>RUNNING_COST_DIESEL</v>
      </c>
      <c r="V213" s="10" t="s">
        <v>1000</v>
      </c>
      <c r="W213" s="10" t="s">
        <v>1001</v>
      </c>
      <c r="X213" s="10" t="str">
        <f>SUBSTITUTE(SUBSTITUTE(PROPERTIES[[#This Row],[PURCHASECOST_VALUE]], "PURCHASECOST_", ""), "_VALUE", "")</f>
        <v>DIESELENGINE</v>
      </c>
      <c r="AP213"/>
      <c r="AQ213"/>
      <c r="AR213"/>
    </row>
    <row r="214" spans="1:44">
      <c r="A214" s="2" t="s">
        <v>238</v>
      </c>
      <c r="B214">
        <v>1973</v>
      </c>
      <c r="C214">
        <v>0</v>
      </c>
      <c r="D214" t="s">
        <v>35</v>
      </c>
      <c r="E214" t="s">
        <v>20</v>
      </c>
      <c r="F214">
        <v>0</v>
      </c>
      <c r="G214" s="10">
        <v>125</v>
      </c>
      <c r="H214">
        <v>8</v>
      </c>
      <c r="I214">
        <v>8</v>
      </c>
      <c r="J214" s="2" t="s">
        <v>20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>
        <v>2400</v>
      </c>
      <c r="O214">
        <v>108</v>
      </c>
      <c r="P214" s="2">
        <v>0.13</v>
      </c>
      <c r="Q214" s="6">
        <v>40</v>
      </c>
      <c r="R214" s="10">
        <v>0</v>
      </c>
      <c r="S214" s="10">
        <v>0</v>
      </c>
      <c r="T214" s="10"/>
      <c r="U214" t="str">
        <f>"RUNNING_COST_"&amp;IF(PROPERTIES[[#This Row],[ENGINE_CLASS]]="MAGLEV","ELECTRIC",PROPERTIES[[#This Row],[ENGINE_CLASS]])</f>
        <v>RUNNING_COST_DIESEL</v>
      </c>
      <c r="V214" s="10" t="s">
        <v>1000</v>
      </c>
      <c r="W214" s="10" t="s">
        <v>1001</v>
      </c>
      <c r="X214" s="10" t="str">
        <f>SUBSTITUTE(SUBSTITUTE(PROPERTIES[[#This Row],[PURCHASECOST_VALUE]], "PURCHASECOST_", ""), "_VALUE", "")</f>
        <v>DIESELENGINE</v>
      </c>
      <c r="AP214"/>
      <c r="AQ214"/>
      <c r="AR214"/>
    </row>
    <row r="215" spans="1:44">
      <c r="A215" s="2" t="s">
        <v>936</v>
      </c>
      <c r="B215">
        <v>1973</v>
      </c>
      <c r="C215">
        <v>0</v>
      </c>
      <c r="D215" t="s">
        <v>35</v>
      </c>
      <c r="E215" t="s">
        <v>20</v>
      </c>
      <c r="F215">
        <v>0</v>
      </c>
      <c r="G215" s="10">
        <v>131</v>
      </c>
      <c r="H215">
        <v>8</v>
      </c>
      <c r="I215">
        <v>8</v>
      </c>
      <c r="J215" s="2" t="s">
        <v>20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>
        <v>3000</v>
      </c>
      <c r="O215">
        <v>153</v>
      </c>
      <c r="P215" s="2">
        <v>0.15</v>
      </c>
      <c r="Q215" s="6">
        <v>40</v>
      </c>
      <c r="R215" s="10">
        <v>0</v>
      </c>
      <c r="S215" s="10">
        <v>0</v>
      </c>
      <c r="T215" s="10"/>
      <c r="U215" t="str">
        <f>"RUNNING_COST_"&amp;IF(PROPERTIES[[#This Row],[ENGINE_CLASS]]="MAGLEV","ELECTRIC",PROPERTIES[[#This Row],[ENGINE_CLASS]])</f>
        <v>RUNNING_COST_DIESEL</v>
      </c>
      <c r="V215" s="10" t="s">
        <v>1000</v>
      </c>
      <c r="W215" s="10" t="s">
        <v>1001</v>
      </c>
      <c r="X215" s="10" t="str">
        <f>SUBSTITUTE(SUBSTITUTE(PROPERTIES[[#This Row],[PURCHASECOST_VALUE]], "PURCHASECOST_", ""), "_VALUE", "")</f>
        <v>DIESELENGINE</v>
      </c>
      <c r="AP215"/>
      <c r="AQ215"/>
      <c r="AR215"/>
    </row>
    <row r="216" spans="1:44">
      <c r="A216" s="2" t="s">
        <v>239</v>
      </c>
      <c r="B216">
        <v>1976</v>
      </c>
      <c r="C216">
        <v>0</v>
      </c>
      <c r="D216" t="s">
        <v>35</v>
      </c>
      <c r="E216" t="s">
        <v>20</v>
      </c>
      <c r="F216">
        <v>0</v>
      </c>
      <c r="G216" s="10">
        <v>92</v>
      </c>
      <c r="H216">
        <v>8</v>
      </c>
      <c r="I216">
        <v>8</v>
      </c>
      <c r="J216" s="2" t="s">
        <v>20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>
        <v>2200</v>
      </c>
      <c r="O216">
        <v>120</v>
      </c>
      <c r="P216" s="2">
        <v>0.28999999999999998</v>
      </c>
      <c r="Q216" s="6">
        <v>40</v>
      </c>
      <c r="R216" s="10">
        <v>0</v>
      </c>
      <c r="S216" s="10">
        <v>0</v>
      </c>
      <c r="T216" s="10"/>
      <c r="U216" t="str">
        <f>"RUNNING_COST_"&amp;IF(PROPERTIES[[#This Row],[ENGINE_CLASS]]="MAGLEV","ELECTRIC",PROPERTIES[[#This Row],[ENGINE_CLASS]])</f>
        <v>RUNNING_COST_DIESEL</v>
      </c>
      <c r="V216" s="10" t="s">
        <v>1000</v>
      </c>
      <c r="W216" s="10" t="s">
        <v>1001</v>
      </c>
      <c r="X216" s="10" t="str">
        <f>SUBSTITUTE(SUBSTITUTE(PROPERTIES[[#This Row],[PURCHASECOST_VALUE]], "PURCHASECOST_", ""), "_VALUE", "")</f>
        <v>DIESELENGINE</v>
      </c>
      <c r="AP216"/>
      <c r="AQ216"/>
      <c r="AR216"/>
    </row>
    <row r="217" spans="1:44">
      <c r="A217" s="2" t="s">
        <v>240</v>
      </c>
      <c r="B217">
        <v>1977</v>
      </c>
      <c r="C217">
        <v>0</v>
      </c>
      <c r="D217" t="s">
        <v>35</v>
      </c>
      <c r="E217" t="s">
        <v>20</v>
      </c>
      <c r="F217">
        <v>0</v>
      </c>
      <c r="G217" s="10">
        <v>115</v>
      </c>
      <c r="H217">
        <v>7</v>
      </c>
      <c r="I217">
        <v>7</v>
      </c>
      <c r="J217" s="2" t="s">
        <v>20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>
        <v>3000</v>
      </c>
      <c r="O217">
        <v>165</v>
      </c>
      <c r="P217" s="2">
        <v>0.1</v>
      </c>
      <c r="Q217" s="6">
        <v>40</v>
      </c>
      <c r="R217" s="10">
        <v>0</v>
      </c>
      <c r="S217" s="10">
        <v>0</v>
      </c>
      <c r="T217" s="10"/>
      <c r="U217" t="str">
        <f>"RUNNING_COST_"&amp;IF(PROPERTIES[[#This Row],[ENGINE_CLASS]]="MAGLEV","ELECTRIC",PROPERTIES[[#This Row],[ENGINE_CLASS]])</f>
        <v>RUNNING_COST_DIESEL</v>
      </c>
      <c r="V217" s="10" t="s">
        <v>1000</v>
      </c>
      <c r="W217" s="10" t="s">
        <v>1001</v>
      </c>
      <c r="X217" s="10" t="str">
        <f>SUBSTITUTE(SUBSTITUTE(PROPERTIES[[#This Row],[PURCHASECOST_VALUE]], "PURCHASECOST_", ""), "_VALUE", "")</f>
        <v>DIESELENGINE</v>
      </c>
      <c r="AP217"/>
      <c r="AQ217"/>
      <c r="AR217"/>
    </row>
    <row r="218" spans="1:44">
      <c r="A218" s="2" t="s">
        <v>241</v>
      </c>
      <c r="B218">
        <v>1981</v>
      </c>
      <c r="C218">
        <v>0</v>
      </c>
      <c r="D218" t="s">
        <v>35</v>
      </c>
      <c r="E218" t="s">
        <v>20</v>
      </c>
      <c r="F218">
        <v>0</v>
      </c>
      <c r="G218" s="10">
        <v>115</v>
      </c>
      <c r="H218">
        <v>8</v>
      </c>
      <c r="I218">
        <v>8</v>
      </c>
      <c r="J218" s="2" t="s">
        <v>20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>
        <v>2260</v>
      </c>
      <c r="O218">
        <v>100</v>
      </c>
      <c r="P218" s="2">
        <v>0.34</v>
      </c>
      <c r="Q218" s="6">
        <v>40</v>
      </c>
      <c r="R218" s="10">
        <v>0</v>
      </c>
      <c r="S218" s="10">
        <v>0</v>
      </c>
      <c r="T218" s="10"/>
      <c r="U218" t="str">
        <f>"RUNNING_COST_"&amp;IF(PROPERTIES[[#This Row],[ENGINE_CLASS]]="MAGLEV","ELECTRIC",PROPERTIES[[#This Row],[ENGINE_CLASS]])</f>
        <v>RUNNING_COST_DIESEL</v>
      </c>
      <c r="V218" s="10" t="s">
        <v>1000</v>
      </c>
      <c r="W218" s="10" t="s">
        <v>1001</v>
      </c>
      <c r="X218" s="10" t="str">
        <f>SUBSTITUTE(SUBSTITUTE(PROPERTIES[[#This Row],[PURCHASECOST_VALUE]], "PURCHASECOST_", ""), "_VALUE", "")</f>
        <v>DIESELENGINE</v>
      </c>
      <c r="AP218"/>
      <c r="AQ218"/>
      <c r="AR218"/>
    </row>
    <row r="219" spans="1:44">
      <c r="A219" s="2" t="s">
        <v>242</v>
      </c>
      <c r="B219">
        <v>1985</v>
      </c>
      <c r="C219">
        <v>0</v>
      </c>
      <c r="D219" t="s">
        <v>35</v>
      </c>
      <c r="E219" t="s">
        <v>20</v>
      </c>
      <c r="F219">
        <v>0</v>
      </c>
      <c r="G219" s="10">
        <v>82</v>
      </c>
      <c r="H219">
        <v>8</v>
      </c>
      <c r="I219">
        <v>8</v>
      </c>
      <c r="J219" s="2" t="s">
        <v>20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>
        <v>2250</v>
      </c>
      <c r="O219">
        <v>140</v>
      </c>
      <c r="P219" s="2">
        <v>0.33</v>
      </c>
      <c r="Q219" s="6">
        <v>40</v>
      </c>
      <c r="R219" s="10">
        <v>0</v>
      </c>
      <c r="S219" s="10">
        <v>0</v>
      </c>
      <c r="T219" s="10"/>
      <c r="U219" t="str">
        <f>"RUNNING_COST_"&amp;IF(PROPERTIES[[#This Row],[ENGINE_CLASS]]="MAGLEV","ELECTRIC",PROPERTIES[[#This Row],[ENGINE_CLASS]])</f>
        <v>RUNNING_COST_DIESEL</v>
      </c>
      <c r="V219" s="10" t="s">
        <v>1000</v>
      </c>
      <c r="W219" s="10" t="s">
        <v>1001</v>
      </c>
      <c r="X219" s="10" t="str">
        <f>SUBSTITUTE(SUBSTITUTE(PROPERTIES[[#This Row],[PURCHASECOST_VALUE]], "PURCHASECOST_", ""), "_VALUE", "")</f>
        <v>DIESELENGINE</v>
      </c>
      <c r="AP219"/>
      <c r="AQ219"/>
      <c r="AR219"/>
    </row>
    <row r="220" spans="1:44">
      <c r="A220" s="2" t="s">
        <v>243</v>
      </c>
      <c r="B220">
        <v>1988</v>
      </c>
      <c r="C220">
        <v>0</v>
      </c>
      <c r="D220" t="s">
        <v>35</v>
      </c>
      <c r="E220" t="s">
        <v>20</v>
      </c>
      <c r="F220">
        <v>0</v>
      </c>
      <c r="G220" s="10">
        <v>180</v>
      </c>
      <c r="H220">
        <v>8</v>
      </c>
      <c r="I220">
        <v>8</v>
      </c>
      <c r="J220" s="2" t="s">
        <v>20</v>
      </c>
      <c r="K220">
        <f>_xlfn.XLOOKUP("LOADINGSPEEDDEF_"&amp;PROPERTIES[[#This Row],[LOADINGSPEED]],LOADINGSPEEDDEF[TYPE],LOADINGSPEEDDEF[SPEED])</f>
        <v>0</v>
      </c>
      <c r="L220" t="s">
        <v>21</v>
      </c>
      <c r="M220">
        <v>1</v>
      </c>
      <c r="N220">
        <v>6000</v>
      </c>
      <c r="O220">
        <v>160</v>
      </c>
      <c r="P220" s="2">
        <v>0.13</v>
      </c>
      <c r="Q220" s="6">
        <v>40</v>
      </c>
      <c r="R220" s="10">
        <v>0</v>
      </c>
      <c r="S220" s="10">
        <v>0</v>
      </c>
      <c r="T220" s="10"/>
      <c r="U220" t="str">
        <f>"RUNNING_COST_"&amp;IF(PROPERTIES[[#This Row],[ENGINE_CLASS]]="MAGLEV","ELECTRIC",PROPERTIES[[#This Row],[ENGINE_CLASS]])</f>
        <v>RUNNING_COST_DIESEL</v>
      </c>
      <c r="V220" s="10" t="s">
        <v>1000</v>
      </c>
      <c r="W220" s="10" t="s">
        <v>1001</v>
      </c>
      <c r="X220" s="10" t="str">
        <f>SUBSTITUTE(SUBSTITUTE(PROPERTIES[[#This Row],[PURCHASECOST_VALUE]], "PURCHASECOST_", ""), "_VALUE", "")</f>
        <v>DIESELENGINE</v>
      </c>
      <c r="AP220"/>
      <c r="AQ220"/>
      <c r="AR220"/>
    </row>
    <row r="221" spans="1:44">
      <c r="A221" s="2" t="s">
        <v>244</v>
      </c>
      <c r="B221">
        <v>1992</v>
      </c>
      <c r="C221">
        <v>0</v>
      </c>
      <c r="D221" t="s">
        <v>35</v>
      </c>
      <c r="E221" t="s">
        <v>20</v>
      </c>
      <c r="F221">
        <v>0</v>
      </c>
      <c r="G221" s="10">
        <v>128</v>
      </c>
      <c r="H221">
        <v>8</v>
      </c>
      <c r="I221">
        <v>8</v>
      </c>
      <c r="J221" s="2" t="s">
        <v>20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>
        <v>4120</v>
      </c>
      <c r="O221">
        <v>150</v>
      </c>
      <c r="P221" s="2">
        <v>0.25</v>
      </c>
      <c r="Q221" s="6">
        <v>40</v>
      </c>
      <c r="R221" s="10">
        <v>0</v>
      </c>
      <c r="S221" s="10">
        <v>0</v>
      </c>
      <c r="T221" s="10"/>
      <c r="U221" t="str">
        <f>"RUNNING_COST_"&amp;IF(PROPERTIES[[#This Row],[ENGINE_CLASS]]="MAGLEV","ELECTRIC",PROPERTIES[[#This Row],[ENGINE_CLASS]])</f>
        <v>RUNNING_COST_DIESEL</v>
      </c>
      <c r="V221" s="10" t="s">
        <v>1000</v>
      </c>
      <c r="W221" s="10" t="s">
        <v>1001</v>
      </c>
      <c r="X221" s="10" t="str">
        <f>SUBSTITUTE(SUBSTITUTE(PROPERTIES[[#This Row],[PURCHASECOST_VALUE]], "PURCHASECOST_", ""), "_VALUE", "")</f>
        <v>DIESELENGINE</v>
      </c>
      <c r="AP221"/>
      <c r="AQ221"/>
      <c r="AR221"/>
    </row>
    <row r="222" spans="1:44">
      <c r="A222" s="2" t="s">
        <v>245</v>
      </c>
      <c r="B222">
        <v>1992</v>
      </c>
      <c r="C222">
        <v>0</v>
      </c>
      <c r="D222" t="s">
        <v>35</v>
      </c>
      <c r="E222" t="s">
        <v>20</v>
      </c>
      <c r="F222">
        <v>0</v>
      </c>
      <c r="G222" s="10">
        <v>134</v>
      </c>
      <c r="H222">
        <v>8</v>
      </c>
      <c r="I222">
        <v>8</v>
      </c>
      <c r="J222" s="2" t="s">
        <v>20</v>
      </c>
      <c r="K222">
        <f>_xlfn.XLOOKUP("LOADINGSPEEDDEF_"&amp;PROPERTIES[[#This Row],[LOADINGSPEED]],LOADINGSPEEDDEF[TYPE],LOADINGSPEEDDEF[SPEED])</f>
        <v>0</v>
      </c>
      <c r="L222" t="s">
        <v>21</v>
      </c>
      <c r="M222">
        <v>1</v>
      </c>
      <c r="N222">
        <v>4250</v>
      </c>
      <c r="O222">
        <v>177</v>
      </c>
      <c r="P222" s="2">
        <v>0.19</v>
      </c>
      <c r="Q222" s="6">
        <v>40</v>
      </c>
      <c r="R222" s="10">
        <v>0</v>
      </c>
      <c r="S222" s="10">
        <v>0</v>
      </c>
      <c r="T222" s="10"/>
      <c r="U222" t="str">
        <f>"RUNNING_COST_"&amp;IF(PROPERTIES[[#This Row],[ENGINE_CLASS]]="MAGLEV","ELECTRIC",PROPERTIES[[#This Row],[ENGINE_CLASS]])</f>
        <v>RUNNING_COST_DIESEL</v>
      </c>
      <c r="V222" s="10" t="s">
        <v>1000</v>
      </c>
      <c r="W222" s="10" t="s">
        <v>1001</v>
      </c>
      <c r="X222" s="10" t="str">
        <f>SUBSTITUTE(SUBSTITUTE(PROPERTIES[[#This Row],[PURCHASECOST_VALUE]], "PURCHASECOST_", ""), "_VALUE", "")</f>
        <v>DIESELENGINE</v>
      </c>
      <c r="AP222"/>
      <c r="AQ222"/>
      <c r="AR222"/>
    </row>
    <row r="223" spans="1:44">
      <c r="A223" s="2" t="s">
        <v>246</v>
      </c>
      <c r="B223">
        <v>1994</v>
      </c>
      <c r="C223">
        <v>0</v>
      </c>
      <c r="D223" t="s">
        <v>35</v>
      </c>
      <c r="E223" t="s">
        <v>20</v>
      </c>
      <c r="F223">
        <v>0</v>
      </c>
      <c r="G223" s="10">
        <v>51</v>
      </c>
      <c r="H223">
        <v>6</v>
      </c>
      <c r="I223">
        <v>6</v>
      </c>
      <c r="J223" s="2" t="s">
        <v>20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>
        <v>700</v>
      </c>
      <c r="O223">
        <v>40</v>
      </c>
      <c r="P223" s="2">
        <v>0.28000000000000003</v>
      </c>
      <c r="Q223" s="6">
        <v>40</v>
      </c>
      <c r="R223" s="10">
        <v>0</v>
      </c>
      <c r="S223" s="10">
        <v>0</v>
      </c>
      <c r="T223" s="10"/>
      <c r="U223" t="str">
        <f>"RUNNING_COST_"&amp;IF(PROPERTIES[[#This Row],[ENGINE_CLASS]]="MAGLEV","ELECTRIC",PROPERTIES[[#This Row],[ENGINE_CLASS]])</f>
        <v>RUNNING_COST_DIESEL</v>
      </c>
      <c r="V223" s="10" t="s">
        <v>1000</v>
      </c>
      <c r="W223" s="10" t="s">
        <v>1001</v>
      </c>
      <c r="X223" s="10" t="str">
        <f>SUBSTITUTE(SUBSTITUTE(PROPERTIES[[#This Row],[PURCHASECOST_VALUE]], "PURCHASECOST_", ""), "_VALUE", "")</f>
        <v>DIESELENGINE</v>
      </c>
      <c r="AP223"/>
      <c r="AQ223"/>
      <c r="AR223"/>
    </row>
    <row r="224" spans="1:44">
      <c r="A224" s="2" t="s">
        <v>247</v>
      </c>
      <c r="B224">
        <v>1995</v>
      </c>
      <c r="C224">
        <v>0</v>
      </c>
      <c r="D224" t="s">
        <v>35</v>
      </c>
      <c r="E224" t="s">
        <v>20</v>
      </c>
      <c r="F224">
        <v>0</v>
      </c>
      <c r="G224" s="10">
        <v>89</v>
      </c>
      <c r="H224">
        <v>8</v>
      </c>
      <c r="I224">
        <v>8</v>
      </c>
      <c r="J224" s="2" t="s">
        <v>20</v>
      </c>
      <c r="K224">
        <f>_xlfn.XLOOKUP("LOADINGSPEEDDEF_"&amp;PROPERTIES[[#This Row],[LOADINGSPEED]],LOADINGSPEEDDEF[TYPE],LOADINGSPEEDDEF[SPEED])</f>
        <v>0</v>
      </c>
      <c r="L224" t="s">
        <v>21</v>
      </c>
      <c r="M224">
        <v>1</v>
      </c>
      <c r="N224">
        <v>2000</v>
      </c>
      <c r="O224">
        <v>104</v>
      </c>
      <c r="P224" s="2">
        <v>0.28999999999999998</v>
      </c>
      <c r="Q224" s="6">
        <v>40</v>
      </c>
      <c r="R224" s="10">
        <v>0</v>
      </c>
      <c r="S224" s="10">
        <v>0</v>
      </c>
      <c r="T224" s="10"/>
      <c r="U224" t="str">
        <f>"RUNNING_COST_"&amp;IF(PROPERTIES[[#This Row],[ENGINE_CLASS]]="MAGLEV","ELECTRIC",PROPERTIES[[#This Row],[ENGINE_CLASS]])</f>
        <v>RUNNING_COST_DIESEL</v>
      </c>
      <c r="V224" s="10" t="s">
        <v>1000</v>
      </c>
      <c r="W224" s="10" t="s">
        <v>1001</v>
      </c>
      <c r="X224" s="10" t="str">
        <f>SUBSTITUTE(SUBSTITUTE(PROPERTIES[[#This Row],[PURCHASECOST_VALUE]], "PURCHASECOST_", ""), "_VALUE", "")</f>
        <v>DIESELENGINE</v>
      </c>
      <c r="AP224"/>
      <c r="AQ224"/>
      <c r="AR224"/>
    </row>
    <row r="225" spans="1:44">
      <c r="A225" s="2" t="s">
        <v>248</v>
      </c>
      <c r="B225">
        <v>1997</v>
      </c>
      <c r="C225">
        <v>0</v>
      </c>
      <c r="D225" t="s">
        <v>35</v>
      </c>
      <c r="E225" t="s">
        <v>20</v>
      </c>
      <c r="F225">
        <v>0</v>
      </c>
      <c r="G225" s="10">
        <v>83</v>
      </c>
      <c r="H225">
        <v>7</v>
      </c>
      <c r="I225">
        <v>7</v>
      </c>
      <c r="J225" s="2" t="s">
        <v>20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>
        <v>1500</v>
      </c>
      <c r="O225">
        <v>80</v>
      </c>
      <c r="P225" s="2">
        <v>0.34</v>
      </c>
      <c r="Q225" s="6">
        <v>40</v>
      </c>
      <c r="R225" s="10">
        <v>0</v>
      </c>
      <c r="S225" s="10">
        <v>0</v>
      </c>
      <c r="T225" s="10"/>
      <c r="U225" t="str">
        <f>"RUNNING_COST_"&amp;IF(PROPERTIES[[#This Row],[ENGINE_CLASS]]="MAGLEV","ELECTRIC",PROPERTIES[[#This Row],[ENGINE_CLASS]])</f>
        <v>RUNNING_COST_DIESEL</v>
      </c>
      <c r="V225" s="10" t="s">
        <v>1000</v>
      </c>
      <c r="W225" s="10" t="s">
        <v>1001</v>
      </c>
      <c r="X225" s="10" t="str">
        <f>SUBSTITUTE(SUBSTITUTE(PROPERTIES[[#This Row],[PURCHASECOST_VALUE]], "PURCHASECOST_", ""), "_VALUE", "")</f>
        <v>DIESELENGINE</v>
      </c>
      <c r="AP225"/>
      <c r="AQ225"/>
      <c r="AR225"/>
    </row>
    <row r="226" spans="1:44">
      <c r="A226" s="2" t="s">
        <v>249</v>
      </c>
      <c r="B226">
        <v>1998</v>
      </c>
      <c r="C226">
        <v>0</v>
      </c>
      <c r="D226" t="s">
        <v>35</v>
      </c>
      <c r="E226" t="s">
        <v>20</v>
      </c>
      <c r="F226">
        <v>0</v>
      </c>
      <c r="G226" s="10">
        <v>126</v>
      </c>
      <c r="H226">
        <v>8</v>
      </c>
      <c r="I226">
        <v>8</v>
      </c>
      <c r="J226" s="2" t="s">
        <v>20</v>
      </c>
      <c r="K226">
        <f>_xlfn.XLOOKUP("LOADINGSPEEDDEF_"&amp;PROPERTIES[[#This Row],[LOADINGSPEED]],LOADINGSPEEDDEF[TYPE],LOADINGSPEEDDEF[SPEED])</f>
        <v>0</v>
      </c>
      <c r="L226" t="s">
        <v>21</v>
      </c>
      <c r="M226">
        <v>0</v>
      </c>
      <c r="N226">
        <v>3298</v>
      </c>
      <c r="O226">
        <v>120</v>
      </c>
      <c r="P226" s="2">
        <v>0.32</v>
      </c>
      <c r="Q226" s="6">
        <v>40</v>
      </c>
      <c r="R226" s="10">
        <v>0</v>
      </c>
      <c r="S226" s="10">
        <v>0</v>
      </c>
      <c r="T226" s="10"/>
      <c r="U226" t="str">
        <f>"RUNNING_COST_"&amp;IF(PROPERTIES[[#This Row],[ENGINE_CLASS]]="MAGLEV","ELECTRIC",PROPERTIES[[#This Row],[ENGINE_CLASS]])</f>
        <v>RUNNING_COST_DIESEL</v>
      </c>
      <c r="V226" s="10" t="s">
        <v>1000</v>
      </c>
      <c r="W226" s="10" t="s">
        <v>1001</v>
      </c>
      <c r="X226" s="10" t="str">
        <f>SUBSTITUTE(SUBSTITUTE(PROPERTIES[[#This Row],[PURCHASECOST_VALUE]], "PURCHASECOST_", ""), "_VALUE", "")</f>
        <v>DIESELENGINE</v>
      </c>
      <c r="AP226"/>
      <c r="AQ226"/>
      <c r="AR226"/>
    </row>
    <row r="227" spans="1:44">
      <c r="A227" s="2" t="s">
        <v>250</v>
      </c>
      <c r="B227">
        <v>1999</v>
      </c>
      <c r="C227">
        <v>0</v>
      </c>
      <c r="D227" t="s">
        <v>35</v>
      </c>
      <c r="E227" t="s">
        <v>20</v>
      </c>
      <c r="F227">
        <v>0</v>
      </c>
      <c r="G227" s="10">
        <v>88</v>
      </c>
      <c r="H227">
        <v>8</v>
      </c>
      <c r="I227">
        <v>8</v>
      </c>
      <c r="J227" s="2" t="s">
        <v>20</v>
      </c>
      <c r="K227">
        <f>_xlfn.XLOOKUP("LOADINGSPEEDDEF_"&amp;PROPERTIES[[#This Row],[LOADINGSPEED]],LOADINGSPEEDDEF[TYPE],LOADINGSPEEDDEF[SPEED])</f>
        <v>0</v>
      </c>
      <c r="L227" t="s">
        <v>21</v>
      </c>
      <c r="M227">
        <v>1</v>
      </c>
      <c r="N227">
        <v>3200</v>
      </c>
      <c r="O227">
        <v>200</v>
      </c>
      <c r="P227" s="2">
        <v>0.2</v>
      </c>
      <c r="Q227" s="6">
        <v>40</v>
      </c>
      <c r="R227" s="10">
        <v>0</v>
      </c>
      <c r="S227" s="10">
        <v>0</v>
      </c>
      <c r="T227" s="10"/>
      <c r="U227" t="str">
        <f>"RUNNING_COST_"&amp;IF(PROPERTIES[[#This Row],[ENGINE_CLASS]]="MAGLEV","ELECTRIC",PROPERTIES[[#This Row],[ENGINE_CLASS]])</f>
        <v>RUNNING_COST_DIESEL</v>
      </c>
      <c r="V227" s="10" t="s">
        <v>1000</v>
      </c>
      <c r="W227" s="10" t="s">
        <v>1001</v>
      </c>
      <c r="X227" s="10" t="str">
        <f>SUBSTITUTE(SUBSTITUTE(PROPERTIES[[#This Row],[PURCHASECOST_VALUE]], "PURCHASECOST_", ""), "_VALUE", "")</f>
        <v>DIESELENGINE</v>
      </c>
      <c r="AP227"/>
      <c r="AQ227"/>
      <c r="AR227"/>
    </row>
    <row r="228" spans="1:44">
      <c r="A228" s="2" t="s">
        <v>251</v>
      </c>
      <c r="B228">
        <v>2002</v>
      </c>
      <c r="C228">
        <v>0</v>
      </c>
      <c r="D228" t="s">
        <v>35</v>
      </c>
      <c r="E228" t="s">
        <v>20</v>
      </c>
      <c r="F228">
        <v>0</v>
      </c>
      <c r="G228" s="10">
        <v>108</v>
      </c>
      <c r="H228">
        <v>8</v>
      </c>
      <c r="I228">
        <v>8</v>
      </c>
      <c r="J228" s="2" t="s">
        <v>20</v>
      </c>
      <c r="K228">
        <f>_xlfn.XLOOKUP("LOADINGSPEEDDEF_"&amp;PROPERTIES[[#This Row],[LOADINGSPEED]],LOADINGSPEEDDEF[TYPE],LOADINGSPEEDDEF[SPEED])</f>
        <v>0</v>
      </c>
      <c r="L228" t="s">
        <v>21</v>
      </c>
      <c r="M228">
        <v>1</v>
      </c>
      <c r="N228">
        <v>4300</v>
      </c>
      <c r="O228">
        <v>160</v>
      </c>
      <c r="P228" s="2">
        <v>0.21</v>
      </c>
      <c r="Q228" s="6">
        <v>40</v>
      </c>
      <c r="R228" s="10">
        <v>0</v>
      </c>
      <c r="S228" s="10">
        <v>0</v>
      </c>
      <c r="T228" s="10"/>
      <c r="U228" t="str">
        <f>"RUNNING_COST_"&amp;IF(PROPERTIES[[#This Row],[ENGINE_CLASS]]="MAGLEV","ELECTRIC",PROPERTIES[[#This Row],[ENGINE_CLASS]])</f>
        <v>RUNNING_COST_DIESEL</v>
      </c>
      <c r="V228" s="10" t="s">
        <v>1000</v>
      </c>
      <c r="W228" s="10" t="s">
        <v>1001</v>
      </c>
      <c r="X228" s="10" t="str">
        <f>SUBSTITUTE(SUBSTITUTE(PROPERTIES[[#This Row],[PURCHASECOST_VALUE]], "PURCHASECOST_", ""), "_VALUE", "")</f>
        <v>DIESELENGINE</v>
      </c>
      <c r="AP228"/>
      <c r="AQ228"/>
      <c r="AR228"/>
    </row>
    <row r="229" spans="1:44">
      <c r="A229" s="2" t="s">
        <v>252</v>
      </c>
      <c r="B229">
        <v>2006</v>
      </c>
      <c r="C229">
        <v>0</v>
      </c>
      <c r="D229" t="s">
        <v>35</v>
      </c>
      <c r="E229" t="s">
        <v>20</v>
      </c>
      <c r="F229">
        <v>0</v>
      </c>
      <c r="G229" s="10">
        <v>135</v>
      </c>
      <c r="H229">
        <v>8</v>
      </c>
      <c r="I229">
        <v>8</v>
      </c>
      <c r="J229" s="2" t="s">
        <v>20</v>
      </c>
      <c r="K229">
        <f>_xlfn.XLOOKUP("LOADINGSPEEDDEF_"&amp;PROPERTIES[[#This Row],[LOADINGSPEED]],LOADINGSPEEDDEF[TYPE],LOADINGSPEEDDEF[SPEED])</f>
        <v>0</v>
      </c>
      <c r="L229" t="s">
        <v>21</v>
      </c>
      <c r="M229">
        <v>1</v>
      </c>
      <c r="N229">
        <v>4216</v>
      </c>
      <c r="O229">
        <v>160</v>
      </c>
      <c r="P229" s="2">
        <v>0.12</v>
      </c>
      <c r="Q229" s="6">
        <v>40</v>
      </c>
      <c r="R229" s="10">
        <v>0</v>
      </c>
      <c r="S229" s="10">
        <v>0</v>
      </c>
      <c r="T229" s="10"/>
      <c r="U229" t="str">
        <f>"RUNNING_COST_"&amp;IF(PROPERTIES[[#This Row],[ENGINE_CLASS]]="MAGLEV","ELECTRIC",PROPERTIES[[#This Row],[ENGINE_CLASS]])</f>
        <v>RUNNING_COST_DIESEL</v>
      </c>
      <c r="V229" s="10" t="s">
        <v>1000</v>
      </c>
      <c r="W229" s="10" t="s">
        <v>1001</v>
      </c>
      <c r="X229" s="10" t="str">
        <f>SUBSTITUTE(SUBSTITUTE(PROPERTIES[[#This Row],[PURCHASECOST_VALUE]], "PURCHASECOST_", ""), "_VALUE", "")</f>
        <v>DIESELENGINE</v>
      </c>
      <c r="AP229"/>
      <c r="AQ229"/>
      <c r="AR229"/>
    </row>
    <row r="230" spans="1:44">
      <c r="A230" s="2" t="s">
        <v>253</v>
      </c>
      <c r="B230">
        <v>2008</v>
      </c>
      <c r="C230">
        <v>0</v>
      </c>
      <c r="D230" t="s">
        <v>35</v>
      </c>
      <c r="E230" t="s">
        <v>20</v>
      </c>
      <c r="F230">
        <v>0</v>
      </c>
      <c r="G230" s="10">
        <v>150</v>
      </c>
      <c r="H230">
        <v>8</v>
      </c>
      <c r="I230">
        <v>8</v>
      </c>
      <c r="J230" s="2" t="s">
        <v>20</v>
      </c>
      <c r="K230">
        <f>_xlfn.XLOOKUP("LOADINGSPEEDDEF_"&amp;PROPERTIES[[#This Row],[LOADINGSPEED]],LOADINGSPEEDDEF[TYPE],LOADINGSPEEDDEF[SPEED])</f>
        <v>0</v>
      </c>
      <c r="L230" t="s">
        <v>21</v>
      </c>
      <c r="M230">
        <v>1</v>
      </c>
      <c r="N230">
        <v>6250</v>
      </c>
      <c r="O230">
        <v>120</v>
      </c>
      <c r="P230" s="2">
        <v>0.41</v>
      </c>
      <c r="Q230" s="6">
        <v>40</v>
      </c>
      <c r="R230" s="10">
        <v>0</v>
      </c>
      <c r="S230" s="10">
        <v>0</v>
      </c>
      <c r="T230" s="10"/>
      <c r="U230" t="str">
        <f>"RUNNING_COST_"&amp;IF(PROPERTIES[[#This Row],[ENGINE_CLASS]]="MAGLEV","ELECTRIC",PROPERTIES[[#This Row],[ENGINE_CLASS]])</f>
        <v>RUNNING_COST_DIESEL</v>
      </c>
      <c r="V230" s="10" t="s">
        <v>1000</v>
      </c>
      <c r="W230" s="10" t="s">
        <v>1001</v>
      </c>
      <c r="X230" s="10" t="str">
        <f>SUBSTITUTE(SUBSTITUTE(PROPERTIES[[#This Row],[PURCHASECOST_VALUE]], "PURCHASECOST_", ""), "_VALUE", "")</f>
        <v>DIESELENGINE</v>
      </c>
      <c r="AP230"/>
      <c r="AQ230"/>
      <c r="AR230"/>
    </row>
    <row r="231" spans="1:44">
      <c r="A231" s="2" t="s">
        <v>254</v>
      </c>
      <c r="B231">
        <v>2010</v>
      </c>
      <c r="C231">
        <v>0</v>
      </c>
      <c r="D231" t="s">
        <v>35</v>
      </c>
      <c r="E231" t="s">
        <v>20</v>
      </c>
      <c r="F231">
        <v>0</v>
      </c>
      <c r="G231" s="10">
        <v>80</v>
      </c>
      <c r="H231">
        <v>8</v>
      </c>
      <c r="I231">
        <v>8</v>
      </c>
      <c r="J231" s="2" t="s">
        <v>20</v>
      </c>
      <c r="K231">
        <f>_xlfn.XLOOKUP("LOADINGSPEEDDEF_"&amp;PROPERTIES[[#This Row],[LOADINGSPEED]],LOADINGSPEEDDEF[TYPE],LOADINGSPEEDDEF[SPEED])</f>
        <v>0</v>
      </c>
      <c r="L231" t="s">
        <v>21</v>
      </c>
      <c r="M231">
        <v>1</v>
      </c>
      <c r="N231">
        <v>1350</v>
      </c>
      <c r="O231">
        <v>100</v>
      </c>
      <c r="P231" s="2">
        <v>0.32</v>
      </c>
      <c r="Q231" s="6">
        <v>40</v>
      </c>
      <c r="R231" s="10">
        <v>0</v>
      </c>
      <c r="S231" s="10">
        <v>0</v>
      </c>
      <c r="T231" s="10"/>
      <c r="U231" t="str">
        <f>"RUNNING_COST_"&amp;IF(PROPERTIES[[#This Row],[ENGINE_CLASS]]="MAGLEV","ELECTRIC",PROPERTIES[[#This Row],[ENGINE_CLASS]])</f>
        <v>RUNNING_COST_DIESEL</v>
      </c>
      <c r="V231" s="10" t="s">
        <v>1000</v>
      </c>
      <c r="W231" s="10" t="s">
        <v>1001</v>
      </c>
      <c r="X231" s="10" t="str">
        <f>SUBSTITUTE(SUBSTITUTE(PROPERTIES[[#This Row],[PURCHASECOST_VALUE]], "PURCHASECOST_", ""), "_VALUE", "")</f>
        <v>DIESELENGINE</v>
      </c>
      <c r="AP231"/>
      <c r="AQ231"/>
      <c r="AR231"/>
    </row>
    <row r="232" spans="1:44">
      <c r="A232" s="2" t="s">
        <v>255</v>
      </c>
      <c r="B232">
        <v>2011</v>
      </c>
      <c r="C232">
        <v>0</v>
      </c>
      <c r="D232" t="s">
        <v>35</v>
      </c>
      <c r="E232" t="s">
        <v>20</v>
      </c>
      <c r="F232">
        <v>0</v>
      </c>
      <c r="G232" s="10">
        <v>300</v>
      </c>
      <c r="H232">
        <v>8</v>
      </c>
      <c r="I232">
        <v>16</v>
      </c>
      <c r="J232" s="2" t="s">
        <v>20</v>
      </c>
      <c r="K232">
        <f>_xlfn.XLOOKUP("LOADINGSPEEDDEF_"&amp;PROPERTIES[[#This Row],[LOADINGSPEED]],LOADINGSPEEDDEF[TYPE],LOADINGSPEEDDEF[SPEED])</f>
        <v>0</v>
      </c>
      <c r="L232" t="s">
        <v>21</v>
      </c>
      <c r="M232">
        <v>1</v>
      </c>
      <c r="N232">
        <v>11130</v>
      </c>
      <c r="O232">
        <v>100</v>
      </c>
      <c r="P232" s="2">
        <v>0.23</v>
      </c>
      <c r="Q232" s="6">
        <v>40</v>
      </c>
      <c r="R232" s="10">
        <v>0</v>
      </c>
      <c r="S232" s="10">
        <v>8</v>
      </c>
      <c r="T232" s="10"/>
      <c r="U232" t="str">
        <f>"RUNNING_COST_"&amp;IF(PROPERTIES[[#This Row],[ENGINE_CLASS]]="MAGLEV","ELECTRIC",PROPERTIES[[#This Row],[ENGINE_CLASS]])</f>
        <v>RUNNING_COST_DIESEL</v>
      </c>
      <c r="V232" s="10" t="s">
        <v>1000</v>
      </c>
      <c r="W232" s="10" t="s">
        <v>1001</v>
      </c>
      <c r="X232" s="10" t="str">
        <f>SUBSTITUTE(SUBSTITUTE(PROPERTIES[[#This Row],[PURCHASECOST_VALUE]], "PURCHASECOST_", ""), "_VALUE", "")</f>
        <v>DIESELENGINE</v>
      </c>
      <c r="AP232"/>
      <c r="AQ232"/>
      <c r="AR232"/>
    </row>
    <row r="233" spans="1:44">
      <c r="A233" s="2" t="s">
        <v>256</v>
      </c>
      <c r="B233">
        <v>2003</v>
      </c>
      <c r="C233">
        <v>0</v>
      </c>
      <c r="D233" t="s">
        <v>35</v>
      </c>
      <c r="E233" t="s">
        <v>20</v>
      </c>
      <c r="F233">
        <v>0</v>
      </c>
      <c r="G233" s="10">
        <v>80</v>
      </c>
      <c r="H233">
        <v>8</v>
      </c>
      <c r="I233">
        <v>8</v>
      </c>
      <c r="J233" s="2" t="s">
        <v>20</v>
      </c>
      <c r="K233">
        <f>_xlfn.XLOOKUP("LOADINGSPEEDDEF_"&amp;PROPERTIES[[#This Row],[LOADINGSPEED]],LOADINGSPEEDDEF[TYPE],LOADINGSPEEDDEF[SPEED])</f>
        <v>0</v>
      </c>
      <c r="L233" t="s">
        <v>21</v>
      </c>
      <c r="M233">
        <v>1</v>
      </c>
      <c r="N233">
        <v>2680</v>
      </c>
      <c r="O233">
        <v>140</v>
      </c>
      <c r="P233" s="2">
        <v>0.28999999999999998</v>
      </c>
      <c r="Q233" s="6">
        <v>40</v>
      </c>
      <c r="R233" s="10">
        <v>0</v>
      </c>
      <c r="S233" s="10">
        <v>0</v>
      </c>
      <c r="T233" s="10"/>
      <c r="U233" t="str">
        <f>"RUNNING_COST_"&amp;IF(PROPERTIES[[#This Row],[ENGINE_CLASS]]="MAGLEV","ELECTRIC",PROPERTIES[[#This Row],[ENGINE_CLASS]])</f>
        <v>RUNNING_COST_DIESEL</v>
      </c>
      <c r="V233" s="10" t="s">
        <v>1000</v>
      </c>
      <c r="W233" s="10" t="s">
        <v>1001</v>
      </c>
      <c r="X233" s="10" t="str">
        <f>SUBSTITUTE(SUBSTITUTE(PROPERTIES[[#This Row],[PURCHASECOST_VALUE]], "PURCHASECOST_", ""), "_VALUE", "")</f>
        <v>DIESELENGINE</v>
      </c>
      <c r="AP233"/>
      <c r="AQ233"/>
      <c r="AR233"/>
    </row>
    <row r="234" spans="1:44">
      <c r="A234" s="2" t="s">
        <v>257</v>
      </c>
      <c r="B234">
        <v>2010</v>
      </c>
      <c r="C234">
        <v>0</v>
      </c>
      <c r="D234" t="s">
        <v>35</v>
      </c>
      <c r="E234" t="s">
        <v>20</v>
      </c>
      <c r="F234">
        <v>0</v>
      </c>
      <c r="G234" s="10">
        <v>130</v>
      </c>
      <c r="H234">
        <v>8</v>
      </c>
      <c r="I234">
        <v>8</v>
      </c>
      <c r="J234" s="2" t="s">
        <v>20</v>
      </c>
      <c r="K234">
        <f>_xlfn.XLOOKUP("LOADINGSPEEDDEF_"&amp;PROPERTIES[[#This Row],[LOADINGSPEED]],LOADINGSPEEDDEF[TYPE],LOADINGSPEEDDEF[SPEED])</f>
        <v>0</v>
      </c>
      <c r="L234" t="s">
        <v>21</v>
      </c>
      <c r="M234">
        <v>1</v>
      </c>
      <c r="N234">
        <v>4900</v>
      </c>
      <c r="O234">
        <v>140</v>
      </c>
      <c r="P234" s="2">
        <v>0.35</v>
      </c>
      <c r="Q234" s="6">
        <v>40</v>
      </c>
      <c r="R234" s="10">
        <v>0</v>
      </c>
      <c r="S234" s="10">
        <v>0</v>
      </c>
      <c r="T234" s="10"/>
      <c r="U234" t="str">
        <f>"RUNNING_COST_"&amp;IF(PROPERTIES[[#This Row],[ENGINE_CLASS]]="MAGLEV","ELECTRIC",PROPERTIES[[#This Row],[ENGINE_CLASS]])</f>
        <v>RUNNING_COST_DIESEL</v>
      </c>
      <c r="V234" s="10" t="s">
        <v>1000</v>
      </c>
      <c r="W234" s="10" t="s">
        <v>1001</v>
      </c>
      <c r="X234" s="10" t="str">
        <f>SUBSTITUTE(SUBSTITUTE(PROPERTIES[[#This Row],[PURCHASECOST_VALUE]], "PURCHASECOST_", ""), "_VALUE", "")</f>
        <v>DIESELENGINE</v>
      </c>
      <c r="AP234"/>
      <c r="AQ234"/>
      <c r="AR234"/>
    </row>
    <row r="235" spans="1:44">
      <c r="A235" s="2" t="s">
        <v>258</v>
      </c>
      <c r="B235">
        <v>1926</v>
      </c>
      <c r="C235">
        <v>0</v>
      </c>
      <c r="D235" t="s">
        <v>35</v>
      </c>
      <c r="E235" t="s">
        <v>20</v>
      </c>
      <c r="F235">
        <v>0</v>
      </c>
      <c r="G235" s="10">
        <v>125</v>
      </c>
      <c r="H235">
        <v>7</v>
      </c>
      <c r="I235">
        <v>7</v>
      </c>
      <c r="J235" s="2" t="s">
        <v>20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>
        <v>1200</v>
      </c>
      <c r="O235">
        <v>55</v>
      </c>
      <c r="P235" s="2">
        <v>0.12</v>
      </c>
      <c r="Q235" s="6">
        <v>40</v>
      </c>
      <c r="R235" s="10">
        <v>0</v>
      </c>
      <c r="S235" s="10">
        <v>0</v>
      </c>
      <c r="T235" s="10"/>
      <c r="U235" t="str">
        <f>"RUNNING_COST_"&amp;IF(PROPERTIES[[#This Row],[ENGINE_CLASS]]="MAGLEV","ELECTRIC",PROPERTIES[[#This Row],[ENGINE_CLASS]])</f>
        <v>RUNNING_COST_DIESEL</v>
      </c>
      <c r="V235" s="10" t="s">
        <v>1000</v>
      </c>
      <c r="W235" s="10" t="s">
        <v>1001</v>
      </c>
      <c r="X235" s="10" t="str">
        <f>SUBSTITUTE(SUBSTITUTE(PROPERTIES[[#This Row],[PURCHASECOST_VALUE]], "PURCHASECOST_", ""), "_VALUE", "")</f>
        <v>DIESELENGINE</v>
      </c>
      <c r="AP235"/>
      <c r="AQ235"/>
      <c r="AR235"/>
    </row>
    <row r="236" spans="1:44">
      <c r="A236" s="2" t="s">
        <v>259</v>
      </c>
      <c r="B236">
        <v>1928</v>
      </c>
      <c r="C236">
        <v>0</v>
      </c>
      <c r="D236" t="s">
        <v>35</v>
      </c>
      <c r="E236" t="s">
        <v>20</v>
      </c>
      <c r="F236">
        <v>0</v>
      </c>
      <c r="G236" s="10">
        <v>335</v>
      </c>
      <c r="H236">
        <v>7</v>
      </c>
      <c r="I236">
        <v>14</v>
      </c>
      <c r="J236" s="2" t="s">
        <v>20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>
        <v>2660</v>
      </c>
      <c r="O236">
        <v>112</v>
      </c>
      <c r="P236" s="2">
        <v>0.11</v>
      </c>
      <c r="Q236" s="6">
        <v>40</v>
      </c>
      <c r="R236" s="10">
        <v>0</v>
      </c>
      <c r="S236" s="10">
        <v>7</v>
      </c>
      <c r="T236" s="10"/>
      <c r="U236" t="str">
        <f>"RUNNING_COST_"&amp;IF(PROPERTIES[[#This Row],[ENGINE_CLASS]]="MAGLEV","ELECTRIC",PROPERTIES[[#This Row],[ENGINE_CLASS]])</f>
        <v>RUNNING_COST_DIESEL</v>
      </c>
      <c r="V236" s="10" t="s">
        <v>1000</v>
      </c>
      <c r="W236" s="10" t="s">
        <v>1001</v>
      </c>
      <c r="X236" s="10" t="str">
        <f>SUBSTITUTE(SUBSTITUTE(PROPERTIES[[#This Row],[PURCHASECOST_VALUE]], "PURCHASECOST_", ""), "_VALUE", "")</f>
        <v>DIESELENGINE</v>
      </c>
      <c r="AP236"/>
      <c r="AQ236"/>
      <c r="AR236"/>
    </row>
    <row r="237" spans="1:44">
      <c r="A237" s="2" t="s">
        <v>260</v>
      </c>
      <c r="B237">
        <v>1932</v>
      </c>
      <c r="C237">
        <v>0</v>
      </c>
      <c r="D237" t="s">
        <v>35</v>
      </c>
      <c r="E237" t="s">
        <v>20</v>
      </c>
      <c r="F237">
        <v>0</v>
      </c>
      <c r="G237" s="10">
        <v>22</v>
      </c>
      <c r="H237">
        <v>4</v>
      </c>
      <c r="I237">
        <v>4</v>
      </c>
      <c r="J237" s="2" t="s">
        <v>20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>
        <v>150</v>
      </c>
      <c r="O237">
        <v>48</v>
      </c>
      <c r="P237" s="2">
        <v>0.21</v>
      </c>
      <c r="Q237" s="6">
        <v>40</v>
      </c>
      <c r="R237" s="10">
        <v>0</v>
      </c>
      <c r="S237" s="10">
        <v>0</v>
      </c>
      <c r="T237" s="10"/>
      <c r="U237" t="str">
        <f>"RUNNING_COST_"&amp;IF(PROPERTIES[[#This Row],[ENGINE_CLASS]]="MAGLEV","ELECTRIC",PROPERTIES[[#This Row],[ENGINE_CLASS]])</f>
        <v>RUNNING_COST_DIESEL</v>
      </c>
      <c r="V237" s="10" t="s">
        <v>1000</v>
      </c>
      <c r="W237" s="10" t="s">
        <v>1001</v>
      </c>
      <c r="X237" s="10" t="str">
        <f>SUBSTITUTE(SUBSTITUTE(PROPERTIES[[#This Row],[PURCHASECOST_VALUE]], "PURCHASECOST_", ""), "_VALUE", "")</f>
        <v>DIESELENGINE</v>
      </c>
      <c r="AP237"/>
      <c r="AQ237"/>
      <c r="AR237"/>
    </row>
    <row r="238" spans="1:44">
      <c r="A238" s="2" t="s">
        <v>261</v>
      </c>
      <c r="B238">
        <v>1937</v>
      </c>
      <c r="C238">
        <v>0</v>
      </c>
      <c r="D238" t="s">
        <v>35</v>
      </c>
      <c r="E238" t="s">
        <v>20</v>
      </c>
      <c r="F238">
        <v>0</v>
      </c>
      <c r="G238" s="10">
        <v>132</v>
      </c>
      <c r="H238">
        <v>8</v>
      </c>
      <c r="I238">
        <v>8</v>
      </c>
      <c r="J238" s="2" t="s">
        <v>20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>
        <v>1200</v>
      </c>
      <c r="O238">
        <v>180</v>
      </c>
      <c r="P238" s="2">
        <v>0.12</v>
      </c>
      <c r="Q238" s="6">
        <v>40</v>
      </c>
      <c r="R238" s="10">
        <v>0</v>
      </c>
      <c r="S238" s="10">
        <v>0</v>
      </c>
      <c r="T238" s="10"/>
      <c r="U238" t="str">
        <f>"RUNNING_COST_"&amp;IF(PROPERTIES[[#This Row],[ENGINE_CLASS]]="MAGLEV","ELECTRIC",PROPERTIES[[#This Row],[ENGINE_CLASS]])</f>
        <v>RUNNING_COST_DIESEL</v>
      </c>
      <c r="V238" s="10" t="s">
        <v>1000</v>
      </c>
      <c r="W238" s="10" t="s">
        <v>1001</v>
      </c>
      <c r="X238" s="10" t="str">
        <f>SUBSTITUTE(SUBSTITUTE(PROPERTIES[[#This Row],[PURCHASECOST_VALUE]], "PURCHASECOST_", ""), "_VALUE", "")</f>
        <v>DIESELENGINE</v>
      </c>
      <c r="AP238"/>
      <c r="AQ238"/>
      <c r="AR238"/>
    </row>
    <row r="239" spans="1:44">
      <c r="A239" s="2" t="s">
        <v>262</v>
      </c>
      <c r="B239">
        <v>1939</v>
      </c>
      <c r="C239">
        <v>0</v>
      </c>
      <c r="D239" t="s">
        <v>35</v>
      </c>
      <c r="E239" t="s">
        <v>20</v>
      </c>
      <c r="F239">
        <v>0</v>
      </c>
      <c r="G239" s="10">
        <v>92</v>
      </c>
      <c r="H239">
        <v>6</v>
      </c>
      <c r="I239">
        <v>6</v>
      </c>
      <c r="J239" s="2" t="s">
        <v>20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>
        <v>660</v>
      </c>
      <c r="O239">
        <v>64</v>
      </c>
      <c r="P239" s="2">
        <v>0.24</v>
      </c>
      <c r="Q239" s="6">
        <v>40</v>
      </c>
      <c r="R239" s="10">
        <v>0</v>
      </c>
      <c r="S239" s="10">
        <v>0</v>
      </c>
      <c r="T239" s="10"/>
      <c r="U239" t="str">
        <f>"RUNNING_COST_"&amp;IF(PROPERTIES[[#This Row],[ENGINE_CLASS]]="MAGLEV","ELECTRIC",PROPERTIES[[#This Row],[ENGINE_CLASS]])</f>
        <v>RUNNING_COST_DIESEL</v>
      </c>
      <c r="V239" s="10" t="s">
        <v>1000</v>
      </c>
      <c r="W239" s="10" t="s">
        <v>1001</v>
      </c>
      <c r="X239" s="10" t="str">
        <f>SUBSTITUTE(SUBSTITUTE(PROPERTIES[[#This Row],[PURCHASECOST_VALUE]], "PURCHASECOST_", ""), "_VALUE", "")</f>
        <v>DIESELENGINE</v>
      </c>
      <c r="AP239"/>
      <c r="AQ239"/>
      <c r="AR239"/>
    </row>
    <row r="240" spans="1:44">
      <c r="A240" s="2" t="s">
        <v>263</v>
      </c>
      <c r="B240">
        <v>1939</v>
      </c>
      <c r="C240">
        <v>0</v>
      </c>
      <c r="D240" t="s">
        <v>35</v>
      </c>
      <c r="E240" t="s">
        <v>20</v>
      </c>
      <c r="F240">
        <v>0</v>
      </c>
      <c r="G240" s="10">
        <v>55</v>
      </c>
      <c r="H240">
        <v>5</v>
      </c>
      <c r="I240">
        <v>5</v>
      </c>
      <c r="J240" s="2" t="s">
        <v>20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>
        <v>350</v>
      </c>
      <c r="O240">
        <v>32</v>
      </c>
      <c r="P240" s="2">
        <v>0.28999999999999998</v>
      </c>
      <c r="Q240" s="6">
        <v>40</v>
      </c>
      <c r="R240" s="10">
        <v>0</v>
      </c>
      <c r="S240" s="10">
        <v>0</v>
      </c>
      <c r="T240" s="10"/>
      <c r="U240" t="str">
        <f>"RUNNING_COST_"&amp;IF(PROPERTIES[[#This Row],[ENGINE_CLASS]]="MAGLEV","ELECTRIC",PROPERTIES[[#This Row],[ENGINE_CLASS]])</f>
        <v>RUNNING_COST_DIESEL</v>
      </c>
      <c r="V240" s="10" t="s">
        <v>1000</v>
      </c>
      <c r="W240" s="10" t="s">
        <v>1001</v>
      </c>
      <c r="X240" s="10" t="str">
        <f>SUBSTITUTE(SUBSTITUTE(PROPERTIES[[#This Row],[PURCHASECOST_VALUE]], "PURCHASECOST_", ""), "_VALUE", "")</f>
        <v>DIESELENGINE</v>
      </c>
      <c r="AP240"/>
      <c r="AQ240"/>
      <c r="AR240"/>
    </row>
    <row r="241" spans="1:44">
      <c r="A241" s="2" t="s">
        <v>264</v>
      </c>
      <c r="B241">
        <v>1939</v>
      </c>
      <c r="C241">
        <v>0</v>
      </c>
      <c r="D241" t="s">
        <v>35</v>
      </c>
      <c r="E241" t="s">
        <v>20</v>
      </c>
      <c r="F241">
        <v>0</v>
      </c>
      <c r="G241" s="10">
        <v>18</v>
      </c>
      <c r="H241">
        <v>5</v>
      </c>
      <c r="I241">
        <v>5</v>
      </c>
      <c r="J241" s="2" t="s">
        <v>20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>
        <v>150</v>
      </c>
      <c r="O241">
        <v>50</v>
      </c>
      <c r="P241" s="2">
        <v>0.17</v>
      </c>
      <c r="Q241" s="6">
        <v>40</v>
      </c>
      <c r="R241" s="10">
        <v>0</v>
      </c>
      <c r="S241" s="10">
        <v>0</v>
      </c>
      <c r="T241" s="10"/>
      <c r="U241" t="str">
        <f>"RUNNING_COST_"&amp;IF(PROPERTIES[[#This Row],[ENGINE_CLASS]]="MAGLEV","ELECTRIC",PROPERTIES[[#This Row],[ENGINE_CLASS]])</f>
        <v>RUNNING_COST_DIESEL</v>
      </c>
      <c r="V241" s="10" t="s">
        <v>1000</v>
      </c>
      <c r="W241" s="10" t="s">
        <v>1001</v>
      </c>
      <c r="X241" s="10" t="str">
        <f>SUBSTITUTE(SUBSTITUTE(PROPERTIES[[#This Row],[PURCHASECOST_VALUE]], "PURCHASECOST_", ""), "_VALUE", "")</f>
        <v>DIESELENGINE</v>
      </c>
      <c r="AP241"/>
      <c r="AQ241"/>
      <c r="AR241"/>
    </row>
    <row r="242" spans="1:44">
      <c r="A242" s="2" t="s">
        <v>265</v>
      </c>
      <c r="B242">
        <v>1944</v>
      </c>
      <c r="C242">
        <v>0</v>
      </c>
      <c r="D242" t="s">
        <v>35</v>
      </c>
      <c r="E242" t="s">
        <v>20</v>
      </c>
      <c r="F242">
        <v>0</v>
      </c>
      <c r="G242" s="10">
        <v>109</v>
      </c>
      <c r="H242">
        <v>6</v>
      </c>
      <c r="I242">
        <v>6</v>
      </c>
      <c r="J242" s="2" t="s">
        <v>20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>
        <v>1000</v>
      </c>
      <c r="O242">
        <v>97</v>
      </c>
      <c r="P242" s="2">
        <v>0.17</v>
      </c>
      <c r="Q242" s="6">
        <v>40</v>
      </c>
      <c r="R242" s="10">
        <v>0</v>
      </c>
      <c r="S242" s="10">
        <v>0</v>
      </c>
      <c r="T242" s="10"/>
      <c r="U242" t="str">
        <f>"RUNNING_COST_"&amp;IF(PROPERTIES[[#This Row],[ENGINE_CLASS]]="MAGLEV","ELECTRIC",PROPERTIES[[#This Row],[ENGINE_CLASS]])</f>
        <v>RUNNING_COST_DIESEL</v>
      </c>
      <c r="V242" s="10" t="s">
        <v>1000</v>
      </c>
      <c r="W242" s="10" t="s">
        <v>1001</v>
      </c>
      <c r="X242" s="10" t="str">
        <f>SUBSTITUTE(SUBSTITUTE(PROPERTIES[[#This Row],[PURCHASECOST_VALUE]], "PURCHASECOST_", ""), "_VALUE", "")</f>
        <v>DIESELENGINE</v>
      </c>
      <c r="AP242"/>
      <c r="AQ242"/>
      <c r="AR242"/>
    </row>
    <row r="243" spans="1:44">
      <c r="A243" s="2" t="s">
        <v>266</v>
      </c>
      <c r="B243">
        <v>1948</v>
      </c>
      <c r="C243">
        <v>0</v>
      </c>
      <c r="D243" t="s">
        <v>35</v>
      </c>
      <c r="E243" t="s">
        <v>20</v>
      </c>
      <c r="F243">
        <v>0</v>
      </c>
      <c r="G243" s="10">
        <v>92</v>
      </c>
      <c r="H243">
        <v>7</v>
      </c>
      <c r="I243">
        <v>7</v>
      </c>
      <c r="J243" s="2" t="s">
        <v>20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>
        <v>1000</v>
      </c>
      <c r="O243">
        <v>80</v>
      </c>
      <c r="P243" s="2">
        <v>0.14000000000000001</v>
      </c>
      <c r="Q243" s="6">
        <v>40</v>
      </c>
      <c r="R243" s="10">
        <v>0</v>
      </c>
      <c r="S243" s="10">
        <v>0</v>
      </c>
      <c r="T243" s="10"/>
      <c r="U243" t="str">
        <f>"RUNNING_COST_"&amp;IF(PROPERTIES[[#This Row],[ENGINE_CLASS]]="MAGLEV","ELECTRIC",PROPERTIES[[#This Row],[ENGINE_CLASS]])</f>
        <v>RUNNING_COST_DIESEL</v>
      </c>
      <c r="V243" s="10" t="s">
        <v>1000</v>
      </c>
      <c r="W243" s="10" t="s">
        <v>1001</v>
      </c>
      <c r="X243" s="10" t="str">
        <f>SUBSTITUTE(SUBSTITUTE(PROPERTIES[[#This Row],[PURCHASECOST_VALUE]], "PURCHASECOST_", ""), "_VALUE", "")</f>
        <v>DIESELENGINE</v>
      </c>
      <c r="AP243"/>
      <c r="AQ243"/>
      <c r="AR243"/>
    </row>
    <row r="244" spans="1:44">
      <c r="A244" s="2" t="s">
        <v>267</v>
      </c>
      <c r="B244">
        <v>1950</v>
      </c>
      <c r="C244">
        <v>0</v>
      </c>
      <c r="D244" t="s">
        <v>35</v>
      </c>
      <c r="E244" t="s">
        <v>20</v>
      </c>
      <c r="F244">
        <v>0</v>
      </c>
      <c r="G244" s="10">
        <v>81</v>
      </c>
      <c r="H244">
        <v>8</v>
      </c>
      <c r="I244">
        <v>8</v>
      </c>
      <c r="J244" s="2" t="s">
        <v>20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>
        <v>915</v>
      </c>
      <c r="O244">
        <v>88</v>
      </c>
      <c r="P244" s="2">
        <v>0.25</v>
      </c>
      <c r="Q244" s="6">
        <v>40</v>
      </c>
      <c r="R244" s="10">
        <v>0</v>
      </c>
      <c r="S244" s="10">
        <v>0</v>
      </c>
      <c r="T244" s="10"/>
      <c r="U244" t="str">
        <f>"RUNNING_COST_"&amp;IF(PROPERTIES[[#This Row],[ENGINE_CLASS]]="MAGLEV","ELECTRIC",PROPERTIES[[#This Row],[ENGINE_CLASS]])</f>
        <v>RUNNING_COST_DIESEL</v>
      </c>
      <c r="V244" s="10" t="s">
        <v>1000</v>
      </c>
      <c r="W244" s="10" t="s">
        <v>1001</v>
      </c>
      <c r="X244" s="10" t="str">
        <f>SUBSTITUTE(SUBSTITUTE(PROPERTIES[[#This Row],[PURCHASECOST_VALUE]], "PURCHASECOST_", ""), "_VALUE", "")</f>
        <v>DIESELENGINE</v>
      </c>
      <c r="AP244"/>
      <c r="AQ244"/>
      <c r="AR244"/>
    </row>
    <row r="245" spans="1:44">
      <c r="A245" s="2" t="s">
        <v>268</v>
      </c>
      <c r="B245">
        <v>1950</v>
      </c>
      <c r="C245">
        <v>0</v>
      </c>
      <c r="D245" t="s">
        <v>35</v>
      </c>
      <c r="E245" t="s">
        <v>20</v>
      </c>
      <c r="F245">
        <v>0</v>
      </c>
      <c r="G245" s="10">
        <v>148</v>
      </c>
      <c r="H245">
        <v>8</v>
      </c>
      <c r="I245">
        <v>8</v>
      </c>
      <c r="J245" s="2" t="s">
        <v>20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>
        <v>1600</v>
      </c>
      <c r="O245">
        <v>100</v>
      </c>
      <c r="P245" s="2">
        <v>0.24</v>
      </c>
      <c r="Q245" s="6">
        <v>40</v>
      </c>
      <c r="R245" s="10">
        <v>0</v>
      </c>
      <c r="S245" s="10">
        <v>0</v>
      </c>
      <c r="T245" s="10"/>
      <c r="U245" t="str">
        <f>"RUNNING_COST_"&amp;IF(PROPERTIES[[#This Row],[ENGINE_CLASS]]="MAGLEV","ELECTRIC",PROPERTIES[[#This Row],[ENGINE_CLASS]])</f>
        <v>RUNNING_COST_DIESEL</v>
      </c>
      <c r="V245" s="10" t="s">
        <v>1000</v>
      </c>
      <c r="W245" s="10" t="s">
        <v>1001</v>
      </c>
      <c r="X245" s="10" t="str">
        <f>SUBSTITUTE(SUBSTITUTE(PROPERTIES[[#This Row],[PURCHASECOST_VALUE]], "PURCHASECOST_", ""), "_VALUE", "")</f>
        <v>DIESELENGINE</v>
      </c>
      <c r="AP245"/>
      <c r="AQ245"/>
      <c r="AR245"/>
    </row>
    <row r="246" spans="1:44">
      <c r="A246" s="2" t="s">
        <v>269</v>
      </c>
      <c r="B246">
        <v>1950</v>
      </c>
      <c r="C246">
        <v>0</v>
      </c>
      <c r="D246" t="s">
        <v>35</v>
      </c>
      <c r="E246" t="s">
        <v>20</v>
      </c>
      <c r="F246">
        <v>0</v>
      </c>
      <c r="G246" s="10">
        <v>113</v>
      </c>
      <c r="H246">
        <v>8</v>
      </c>
      <c r="I246">
        <v>8</v>
      </c>
      <c r="J246" s="2" t="s">
        <v>20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>
        <v>1600</v>
      </c>
      <c r="O246">
        <v>105</v>
      </c>
      <c r="P246" s="2">
        <v>0.17</v>
      </c>
      <c r="Q246" s="6">
        <v>40</v>
      </c>
      <c r="R246" s="10">
        <v>0</v>
      </c>
      <c r="S246" s="10">
        <v>0</v>
      </c>
      <c r="T246" s="10"/>
      <c r="U246" t="str">
        <f>"RUNNING_COST_"&amp;IF(PROPERTIES[[#This Row],[ENGINE_CLASS]]="MAGLEV","ELECTRIC",PROPERTIES[[#This Row],[ENGINE_CLASS]])</f>
        <v>RUNNING_COST_DIESEL</v>
      </c>
      <c r="V246" s="10" t="s">
        <v>1000</v>
      </c>
      <c r="W246" s="10" t="s">
        <v>1001</v>
      </c>
      <c r="X246" s="10" t="str">
        <f>SUBSTITUTE(SUBSTITUTE(PROPERTIES[[#This Row],[PURCHASECOST_VALUE]], "PURCHASECOST_", ""), "_VALUE", "")</f>
        <v>DIESELENGINE</v>
      </c>
      <c r="AP246"/>
      <c r="AQ246"/>
      <c r="AR246"/>
    </row>
    <row r="247" spans="1:44">
      <c r="A247" s="2" t="s">
        <v>270</v>
      </c>
      <c r="B247">
        <v>1951</v>
      </c>
      <c r="C247">
        <v>0</v>
      </c>
      <c r="D247" t="s">
        <v>35</v>
      </c>
      <c r="E247" t="s">
        <v>20</v>
      </c>
      <c r="F247">
        <v>0</v>
      </c>
      <c r="G247" s="10">
        <v>128</v>
      </c>
      <c r="H247">
        <v>8</v>
      </c>
      <c r="I247">
        <v>8</v>
      </c>
      <c r="J247" s="2" t="s">
        <v>20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>
        <v>1590</v>
      </c>
      <c r="O247">
        <v>119</v>
      </c>
      <c r="P247" s="2">
        <v>0.12</v>
      </c>
      <c r="Q247" s="6">
        <v>40</v>
      </c>
      <c r="R247" s="10">
        <v>0</v>
      </c>
      <c r="S247" s="10">
        <v>0</v>
      </c>
      <c r="T247" s="10"/>
      <c r="U247" t="str">
        <f>"RUNNING_COST_"&amp;IF(PROPERTIES[[#This Row],[ENGINE_CLASS]]="MAGLEV","ELECTRIC",PROPERTIES[[#This Row],[ENGINE_CLASS]])</f>
        <v>RUNNING_COST_DIESEL</v>
      </c>
      <c r="V247" s="10" t="s">
        <v>1000</v>
      </c>
      <c r="W247" s="10" t="s">
        <v>1001</v>
      </c>
      <c r="X247" s="10" t="str">
        <f>SUBSTITUTE(SUBSTITUTE(PROPERTIES[[#This Row],[PURCHASECOST_VALUE]], "PURCHASECOST_", ""), "_VALUE", "")</f>
        <v>DIESELENGINE</v>
      </c>
      <c r="AP247"/>
      <c r="AQ247"/>
      <c r="AR247"/>
    </row>
    <row r="248" spans="1:44">
      <c r="A248" s="2" t="s">
        <v>271</v>
      </c>
      <c r="B248">
        <v>1954</v>
      </c>
      <c r="C248">
        <v>0</v>
      </c>
      <c r="D248" t="s">
        <v>35</v>
      </c>
      <c r="E248" t="s">
        <v>20</v>
      </c>
      <c r="F248">
        <v>0</v>
      </c>
      <c r="G248" s="10">
        <v>79</v>
      </c>
      <c r="H248">
        <v>6</v>
      </c>
      <c r="I248">
        <v>6</v>
      </c>
      <c r="J248" s="2" t="s">
        <v>20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>
        <v>1425</v>
      </c>
      <c r="O248">
        <v>112</v>
      </c>
      <c r="P248" s="2">
        <v>0.24</v>
      </c>
      <c r="Q248" s="6">
        <v>40</v>
      </c>
      <c r="R248" s="10">
        <v>0</v>
      </c>
      <c r="S248" s="10">
        <v>0</v>
      </c>
      <c r="T248" s="10"/>
      <c r="U248" t="str">
        <f>"RUNNING_COST_"&amp;IF(PROPERTIES[[#This Row],[ENGINE_CLASS]]="MAGLEV","ELECTRIC",PROPERTIES[[#This Row],[ENGINE_CLASS]])</f>
        <v>RUNNING_COST_DIESEL</v>
      </c>
      <c r="V248" s="10" t="s">
        <v>1000</v>
      </c>
      <c r="W248" s="10" t="s">
        <v>1001</v>
      </c>
      <c r="X248" s="10" t="str">
        <f>SUBSTITUTE(SUBSTITUTE(PROPERTIES[[#This Row],[PURCHASECOST_VALUE]], "PURCHASECOST_", ""), "_VALUE", "")</f>
        <v>DIESELENGINE</v>
      </c>
      <c r="AP248"/>
      <c r="AQ248"/>
      <c r="AR248"/>
    </row>
    <row r="249" spans="1:44">
      <c r="A249" s="2" t="s">
        <v>272</v>
      </c>
      <c r="B249">
        <v>1955</v>
      </c>
      <c r="C249">
        <v>0</v>
      </c>
      <c r="D249" t="s">
        <v>35</v>
      </c>
      <c r="E249" t="s">
        <v>20</v>
      </c>
      <c r="F249">
        <v>0</v>
      </c>
      <c r="G249" s="10">
        <v>84</v>
      </c>
      <c r="H249">
        <v>7</v>
      </c>
      <c r="I249">
        <v>7</v>
      </c>
      <c r="J249" s="2" t="s">
        <v>20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>
        <v>1325</v>
      </c>
      <c r="O249">
        <v>120</v>
      </c>
      <c r="P249" s="2">
        <v>0.33</v>
      </c>
      <c r="Q249" s="6">
        <v>40</v>
      </c>
      <c r="R249" s="10">
        <v>0</v>
      </c>
      <c r="S249" s="10">
        <v>0</v>
      </c>
      <c r="T249" s="10"/>
      <c r="U249" t="str">
        <f>"RUNNING_COST_"&amp;IF(PROPERTIES[[#This Row],[ENGINE_CLASS]]="MAGLEV","ELECTRIC",PROPERTIES[[#This Row],[ENGINE_CLASS]])</f>
        <v>RUNNING_COST_DIESEL</v>
      </c>
      <c r="V249" s="10" t="s">
        <v>1000</v>
      </c>
      <c r="W249" s="10" t="s">
        <v>1001</v>
      </c>
      <c r="X249" s="10" t="str">
        <f>SUBSTITUTE(SUBSTITUTE(PROPERTIES[[#This Row],[PURCHASECOST_VALUE]], "PURCHASECOST_", ""), "_VALUE", "")</f>
        <v>DIESELENGINE</v>
      </c>
      <c r="AP249"/>
      <c r="AQ249"/>
      <c r="AR249"/>
    </row>
    <row r="250" spans="1:44">
      <c r="A250" s="2" t="s">
        <v>273</v>
      </c>
      <c r="B250">
        <v>1957</v>
      </c>
      <c r="C250">
        <v>0</v>
      </c>
      <c r="D250" t="s">
        <v>35</v>
      </c>
      <c r="E250" t="s">
        <v>20</v>
      </c>
      <c r="F250">
        <v>0</v>
      </c>
      <c r="G250" s="10">
        <v>67</v>
      </c>
      <c r="H250">
        <v>8</v>
      </c>
      <c r="I250">
        <v>8</v>
      </c>
      <c r="J250" s="2" t="s">
        <v>20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>
        <v>1380</v>
      </c>
      <c r="O250">
        <v>110</v>
      </c>
      <c r="P250" s="2">
        <v>0.26</v>
      </c>
      <c r="Q250" s="6">
        <v>40</v>
      </c>
      <c r="R250" s="10">
        <v>0</v>
      </c>
      <c r="S250" s="10">
        <v>0</v>
      </c>
      <c r="T250" s="10"/>
      <c r="U250" t="str">
        <f>"RUNNING_COST_"&amp;IF(PROPERTIES[[#This Row],[ENGINE_CLASS]]="MAGLEV","ELECTRIC",PROPERTIES[[#This Row],[ENGINE_CLASS]])</f>
        <v>RUNNING_COST_DIESEL</v>
      </c>
      <c r="V250" s="10" t="s">
        <v>1000</v>
      </c>
      <c r="W250" s="10" t="s">
        <v>1001</v>
      </c>
      <c r="X250" s="10" t="str">
        <f>SUBSTITUTE(SUBSTITUTE(PROPERTIES[[#This Row],[PURCHASECOST_VALUE]], "PURCHASECOST_", ""), "_VALUE", "")</f>
        <v>DIESELENGINE</v>
      </c>
      <c r="AP250"/>
      <c r="AQ250"/>
      <c r="AR250"/>
    </row>
    <row r="251" spans="1:44">
      <c r="A251" s="2" t="s">
        <v>274</v>
      </c>
      <c r="B251">
        <v>1957</v>
      </c>
      <c r="C251">
        <v>0</v>
      </c>
      <c r="D251" t="s">
        <v>35</v>
      </c>
      <c r="E251" t="s">
        <v>20</v>
      </c>
      <c r="F251">
        <v>0</v>
      </c>
      <c r="G251" s="10">
        <v>112</v>
      </c>
      <c r="H251">
        <v>8</v>
      </c>
      <c r="I251">
        <v>8</v>
      </c>
      <c r="J251" s="2" t="s">
        <v>20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>
        <v>1950</v>
      </c>
      <c r="O251">
        <v>129</v>
      </c>
      <c r="P251" s="2">
        <v>0.19</v>
      </c>
      <c r="Q251" s="6">
        <v>40</v>
      </c>
      <c r="R251" s="10">
        <v>0</v>
      </c>
      <c r="S251" s="10">
        <v>0</v>
      </c>
      <c r="T251" s="10"/>
      <c r="U251" t="str">
        <f>"RUNNING_COST_"&amp;IF(PROPERTIES[[#This Row],[ENGINE_CLASS]]="MAGLEV","ELECTRIC",PROPERTIES[[#This Row],[ENGINE_CLASS]])</f>
        <v>RUNNING_COST_DIESEL</v>
      </c>
      <c r="V251" s="10" t="s">
        <v>1000</v>
      </c>
      <c r="W251" s="10" t="s">
        <v>1001</v>
      </c>
      <c r="X251" s="10" t="str">
        <f>SUBSTITUTE(SUBSTITUTE(PROPERTIES[[#This Row],[PURCHASECOST_VALUE]], "PURCHASECOST_", ""), "_VALUE", "")</f>
        <v>DIESELENGINE</v>
      </c>
      <c r="AP251"/>
      <c r="AQ251"/>
      <c r="AR251"/>
    </row>
    <row r="252" spans="1:44">
      <c r="A252" s="2" t="s">
        <v>275</v>
      </c>
      <c r="B252">
        <v>1959</v>
      </c>
      <c r="C252">
        <v>0</v>
      </c>
      <c r="D252" t="s">
        <v>35</v>
      </c>
      <c r="E252" t="s">
        <v>20</v>
      </c>
      <c r="F252">
        <v>0</v>
      </c>
      <c r="G252" s="10">
        <v>76</v>
      </c>
      <c r="H252">
        <v>8</v>
      </c>
      <c r="I252">
        <v>8</v>
      </c>
      <c r="J252" s="2" t="s">
        <v>20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>
        <v>1316</v>
      </c>
      <c r="O252">
        <v>89</v>
      </c>
      <c r="P252" s="2">
        <v>0.26</v>
      </c>
      <c r="Q252" s="6">
        <v>40</v>
      </c>
      <c r="R252" s="10">
        <v>0</v>
      </c>
      <c r="S252" s="10">
        <v>0</v>
      </c>
      <c r="T252" s="10"/>
      <c r="U252" t="str">
        <f>"RUNNING_COST_"&amp;IF(PROPERTIES[[#This Row],[ENGINE_CLASS]]="MAGLEV","ELECTRIC",PROPERTIES[[#This Row],[ENGINE_CLASS]])</f>
        <v>RUNNING_COST_DIESEL</v>
      </c>
      <c r="V252" s="10" t="s">
        <v>1000</v>
      </c>
      <c r="W252" s="10" t="s">
        <v>1001</v>
      </c>
      <c r="X252" s="10" t="str">
        <f>SUBSTITUTE(SUBSTITUTE(PROPERTIES[[#This Row],[PURCHASECOST_VALUE]], "PURCHASECOST_", ""), "_VALUE", "")</f>
        <v>DIESELENGINE</v>
      </c>
      <c r="AP252"/>
      <c r="AQ252"/>
      <c r="AR252"/>
    </row>
    <row r="253" spans="1:44">
      <c r="A253" s="2" t="s">
        <v>276</v>
      </c>
      <c r="B253">
        <v>1960</v>
      </c>
      <c r="C253">
        <v>0</v>
      </c>
      <c r="D253" t="s">
        <v>35</v>
      </c>
      <c r="E253" t="s">
        <v>20</v>
      </c>
      <c r="F253">
        <v>0</v>
      </c>
      <c r="G253" s="10">
        <v>163</v>
      </c>
      <c r="H253">
        <v>8</v>
      </c>
      <c r="I253">
        <v>8</v>
      </c>
      <c r="J253" s="2" t="s">
        <v>20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>
        <v>1800</v>
      </c>
      <c r="O253">
        <v>104</v>
      </c>
      <c r="P253" s="2">
        <v>0.09</v>
      </c>
      <c r="Q253" s="6">
        <v>40</v>
      </c>
      <c r="R253" s="10">
        <v>0</v>
      </c>
      <c r="S253" s="10">
        <v>0</v>
      </c>
      <c r="T253" s="10"/>
      <c r="U253" t="str">
        <f>"RUNNING_COST_"&amp;IF(PROPERTIES[[#This Row],[ENGINE_CLASS]]="MAGLEV","ELECTRIC",PROPERTIES[[#This Row],[ENGINE_CLASS]])</f>
        <v>RUNNING_COST_DIESEL</v>
      </c>
      <c r="V253" s="10" t="s">
        <v>1000</v>
      </c>
      <c r="W253" s="10" t="s">
        <v>1001</v>
      </c>
      <c r="X253" s="10" t="str">
        <f>SUBSTITUTE(SUBSTITUTE(PROPERTIES[[#This Row],[PURCHASECOST_VALUE]], "PURCHASECOST_", ""), "_VALUE", "")</f>
        <v>DIESELENGINE</v>
      </c>
      <c r="AP253"/>
      <c r="AQ253"/>
      <c r="AR253"/>
    </row>
    <row r="254" spans="1:44">
      <c r="A254" s="2" t="s">
        <v>277</v>
      </c>
      <c r="B254">
        <v>1971</v>
      </c>
      <c r="C254">
        <v>0</v>
      </c>
      <c r="D254" t="s">
        <v>35</v>
      </c>
      <c r="E254" t="s">
        <v>20</v>
      </c>
      <c r="F254">
        <v>0</v>
      </c>
      <c r="G254" s="10">
        <v>62</v>
      </c>
      <c r="H254">
        <v>8</v>
      </c>
      <c r="I254">
        <v>8</v>
      </c>
      <c r="J254" s="2" t="s">
        <v>20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>
        <v>1010</v>
      </c>
      <c r="O254">
        <v>130</v>
      </c>
      <c r="P254" s="2">
        <v>0.3</v>
      </c>
      <c r="Q254" s="6">
        <v>40</v>
      </c>
      <c r="R254" s="10">
        <v>0</v>
      </c>
      <c r="S254" s="10">
        <v>0</v>
      </c>
      <c r="T254" s="10"/>
      <c r="U254" t="str">
        <f>"RUNNING_COST_"&amp;IF(PROPERTIES[[#This Row],[ENGINE_CLASS]]="MAGLEV","ELECTRIC",PROPERTIES[[#This Row],[ENGINE_CLASS]])</f>
        <v>RUNNING_COST_DIESEL</v>
      </c>
      <c r="V254" s="10" t="s">
        <v>1000</v>
      </c>
      <c r="W254" s="10" t="s">
        <v>1001</v>
      </c>
      <c r="X254" s="10" t="str">
        <f>SUBSTITUTE(SUBSTITUTE(PROPERTIES[[#This Row],[PURCHASECOST_VALUE]], "PURCHASECOST_", ""), "_VALUE", "")</f>
        <v>DIESELENGINE</v>
      </c>
      <c r="AP254"/>
      <c r="AQ254"/>
      <c r="AR254"/>
    </row>
    <row r="255" spans="1:44">
      <c r="A255" s="2" t="s">
        <v>278</v>
      </c>
      <c r="B255">
        <v>1980</v>
      </c>
      <c r="C255">
        <v>0</v>
      </c>
      <c r="D255" t="s">
        <v>35</v>
      </c>
      <c r="E255" t="s">
        <v>20</v>
      </c>
      <c r="F255">
        <v>0</v>
      </c>
      <c r="G255" s="10">
        <v>114</v>
      </c>
      <c r="H255">
        <v>8</v>
      </c>
      <c r="I255">
        <v>8</v>
      </c>
      <c r="J255" s="2" t="s">
        <v>20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>
        <v>3290</v>
      </c>
      <c r="O255">
        <v>140</v>
      </c>
      <c r="P255" s="2">
        <v>0.32</v>
      </c>
      <c r="Q255" s="6">
        <v>40</v>
      </c>
      <c r="R255" s="10">
        <v>0</v>
      </c>
      <c r="S255" s="10">
        <v>0</v>
      </c>
      <c r="T255" s="10"/>
      <c r="U255" t="str">
        <f>"RUNNING_COST_"&amp;IF(PROPERTIES[[#This Row],[ENGINE_CLASS]]="MAGLEV","ELECTRIC",PROPERTIES[[#This Row],[ENGINE_CLASS]])</f>
        <v>RUNNING_COST_DIESEL</v>
      </c>
      <c r="V255" s="10" t="s">
        <v>1000</v>
      </c>
      <c r="W255" s="10" t="s">
        <v>1001</v>
      </c>
      <c r="X255" s="10" t="str">
        <f>SUBSTITUTE(SUBSTITUTE(PROPERTIES[[#This Row],[PURCHASECOST_VALUE]], "PURCHASECOST_", ""), "_VALUE", "")</f>
        <v>DIESELENGINE</v>
      </c>
      <c r="AP255"/>
      <c r="AQ255"/>
      <c r="AR255"/>
    </row>
    <row r="256" spans="1:44">
      <c r="A256" s="2" t="s">
        <v>279</v>
      </c>
      <c r="B256">
        <v>1984</v>
      </c>
      <c r="C256">
        <v>0</v>
      </c>
      <c r="D256" t="s">
        <v>35</v>
      </c>
      <c r="E256" t="s">
        <v>20</v>
      </c>
      <c r="F256">
        <v>0</v>
      </c>
      <c r="G256" s="10">
        <v>138</v>
      </c>
      <c r="H256">
        <v>8</v>
      </c>
      <c r="I256">
        <v>8</v>
      </c>
      <c r="J256" s="2" t="s">
        <v>20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>
        <v>4930</v>
      </c>
      <c r="O256">
        <v>100</v>
      </c>
      <c r="P256" s="2">
        <v>0.35</v>
      </c>
      <c r="Q256" s="6">
        <v>40</v>
      </c>
      <c r="R256" s="10">
        <v>0</v>
      </c>
      <c r="S256" s="10">
        <v>0</v>
      </c>
      <c r="T256" s="10"/>
      <c r="U256" t="str">
        <f>"RUNNING_COST_"&amp;IF(PROPERTIES[[#This Row],[ENGINE_CLASS]]="MAGLEV","ELECTRIC",PROPERTIES[[#This Row],[ENGINE_CLASS]])</f>
        <v>RUNNING_COST_DIESEL</v>
      </c>
      <c r="V256" s="10" t="s">
        <v>1000</v>
      </c>
      <c r="W256" s="10" t="s">
        <v>1001</v>
      </c>
      <c r="X256" s="10" t="str">
        <f>SUBSTITUTE(SUBSTITUTE(PROPERTIES[[#This Row],[PURCHASECOST_VALUE]], "PURCHASECOST_", ""), "_VALUE", "")</f>
        <v>DIESELENGINE</v>
      </c>
      <c r="AP256"/>
      <c r="AQ256"/>
      <c r="AR256"/>
    </row>
    <row r="257" spans="1:44">
      <c r="A257" s="2" t="s">
        <v>280</v>
      </c>
      <c r="B257">
        <v>1984</v>
      </c>
      <c r="C257">
        <v>0</v>
      </c>
      <c r="D257" t="s">
        <v>35</v>
      </c>
      <c r="E257" t="s">
        <v>20</v>
      </c>
      <c r="F257">
        <v>0</v>
      </c>
      <c r="G257" s="10">
        <v>127</v>
      </c>
      <c r="H257">
        <v>8</v>
      </c>
      <c r="I257">
        <v>8</v>
      </c>
      <c r="J257" s="2" t="s">
        <v>20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>
        <v>3790</v>
      </c>
      <c r="O257">
        <v>114</v>
      </c>
      <c r="P257" s="2">
        <v>0.27</v>
      </c>
      <c r="Q257" s="6">
        <v>40</v>
      </c>
      <c r="R257" s="10">
        <v>0</v>
      </c>
      <c r="S257" s="10">
        <v>0</v>
      </c>
      <c r="T257" s="10"/>
      <c r="U257" t="str">
        <f>"RUNNING_COST_"&amp;IF(PROPERTIES[[#This Row],[ENGINE_CLASS]]="MAGLEV","ELECTRIC",PROPERTIES[[#This Row],[ENGINE_CLASS]])</f>
        <v>RUNNING_COST_DIESEL</v>
      </c>
      <c r="V257" s="10" t="s">
        <v>1000</v>
      </c>
      <c r="W257" s="10" t="s">
        <v>1001</v>
      </c>
      <c r="X257" s="10" t="str">
        <f>SUBSTITUTE(SUBSTITUTE(PROPERTIES[[#This Row],[PURCHASECOST_VALUE]], "PURCHASECOST_", ""), "_VALUE", "")</f>
        <v>DIESELENGINE</v>
      </c>
      <c r="AP257"/>
      <c r="AQ257"/>
      <c r="AR257"/>
    </row>
    <row r="258" spans="1:44">
      <c r="A258" s="2" t="s">
        <v>281</v>
      </c>
      <c r="B258">
        <v>1989</v>
      </c>
      <c r="C258">
        <v>0</v>
      </c>
      <c r="D258" t="s">
        <v>35</v>
      </c>
      <c r="E258" t="s">
        <v>20</v>
      </c>
      <c r="F258">
        <v>0</v>
      </c>
      <c r="G258" s="10">
        <v>130</v>
      </c>
      <c r="H258">
        <v>8</v>
      </c>
      <c r="I258">
        <v>8</v>
      </c>
      <c r="J258" s="2" t="s">
        <v>20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>
        <v>3100</v>
      </c>
      <c r="O258">
        <v>97</v>
      </c>
      <c r="P258" s="2">
        <v>0.36</v>
      </c>
      <c r="Q258" s="6">
        <v>40</v>
      </c>
      <c r="R258" s="10">
        <v>0</v>
      </c>
      <c r="S258" s="10">
        <v>0</v>
      </c>
      <c r="T258" s="10"/>
      <c r="U258" t="str">
        <f>"RUNNING_COST_"&amp;IF(PROPERTIES[[#This Row],[ENGINE_CLASS]]="MAGLEV","ELECTRIC",PROPERTIES[[#This Row],[ENGINE_CLASS]])</f>
        <v>RUNNING_COST_DIESEL</v>
      </c>
      <c r="V258" s="10" t="s">
        <v>1000</v>
      </c>
      <c r="W258" s="10" t="s">
        <v>1001</v>
      </c>
      <c r="X258" s="10" t="str">
        <f>SUBSTITUTE(SUBSTITUTE(PROPERTIES[[#This Row],[PURCHASECOST_VALUE]], "PURCHASECOST_", ""), "_VALUE", "")</f>
        <v>DIESELENGINE</v>
      </c>
      <c r="AP258"/>
      <c r="AQ258"/>
      <c r="AR258"/>
    </row>
    <row r="259" spans="1:44">
      <c r="A259" s="2" t="s">
        <v>282</v>
      </c>
      <c r="B259">
        <v>1989</v>
      </c>
      <c r="C259">
        <v>0</v>
      </c>
      <c r="D259" t="s">
        <v>35</v>
      </c>
      <c r="E259" t="s">
        <v>20</v>
      </c>
      <c r="F259">
        <v>0</v>
      </c>
      <c r="G259" s="10">
        <v>99</v>
      </c>
      <c r="H259">
        <v>7</v>
      </c>
      <c r="I259">
        <v>7</v>
      </c>
      <c r="J259" s="2" t="s">
        <v>20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>
        <v>2450</v>
      </c>
      <c r="O259">
        <v>90</v>
      </c>
      <c r="P259" s="2">
        <v>0.38</v>
      </c>
      <c r="Q259" s="6">
        <v>40</v>
      </c>
      <c r="R259" s="10">
        <v>0</v>
      </c>
      <c r="S259" s="10">
        <v>0</v>
      </c>
      <c r="T259" s="10"/>
      <c r="U259" t="str">
        <f>"RUNNING_COST_"&amp;IF(PROPERTIES[[#This Row],[ENGINE_CLASS]]="MAGLEV","ELECTRIC",PROPERTIES[[#This Row],[ENGINE_CLASS]])</f>
        <v>RUNNING_COST_DIESEL</v>
      </c>
      <c r="V259" s="10" t="s">
        <v>1000</v>
      </c>
      <c r="W259" s="10" t="s">
        <v>1001</v>
      </c>
      <c r="X259" s="10" t="str">
        <f>SUBSTITUTE(SUBSTITUTE(PROPERTIES[[#This Row],[PURCHASECOST_VALUE]], "PURCHASECOST_", ""), "_VALUE", "")</f>
        <v>DIESELENGINE</v>
      </c>
      <c r="AP259"/>
      <c r="AQ259"/>
      <c r="AR259"/>
    </row>
    <row r="260" spans="1:44">
      <c r="A260" s="2" t="s">
        <v>283</v>
      </c>
      <c r="B260">
        <v>1992</v>
      </c>
      <c r="C260">
        <v>0</v>
      </c>
      <c r="D260" t="s">
        <v>35</v>
      </c>
      <c r="E260" t="s">
        <v>20</v>
      </c>
      <c r="F260">
        <v>0</v>
      </c>
      <c r="G260" s="10">
        <v>170</v>
      </c>
      <c r="H260">
        <v>8</v>
      </c>
      <c r="I260">
        <v>8</v>
      </c>
      <c r="J260" s="2" t="s">
        <v>20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>
        <v>4500</v>
      </c>
      <c r="O260">
        <v>110</v>
      </c>
      <c r="P260" s="2">
        <v>0.5</v>
      </c>
      <c r="Q260" s="6">
        <v>40</v>
      </c>
      <c r="R260" s="10">
        <v>0</v>
      </c>
      <c r="S260" s="10">
        <v>0</v>
      </c>
      <c r="T260" s="10"/>
      <c r="U260" t="str">
        <f>"RUNNING_COST_"&amp;IF(PROPERTIES[[#This Row],[ENGINE_CLASS]]="MAGLEV","ELECTRIC",PROPERTIES[[#This Row],[ENGINE_CLASS]])</f>
        <v>RUNNING_COST_DIESEL</v>
      </c>
      <c r="V260" s="10" t="s">
        <v>1000</v>
      </c>
      <c r="W260" s="10" t="s">
        <v>1001</v>
      </c>
      <c r="X260" s="10" t="str">
        <f>SUBSTITUTE(SUBSTITUTE(PROPERTIES[[#This Row],[PURCHASECOST_VALUE]], "PURCHASECOST_", ""), "_VALUE", "")</f>
        <v>DIESELENGINE</v>
      </c>
      <c r="AP260"/>
      <c r="AQ260"/>
      <c r="AR260"/>
    </row>
    <row r="261" spans="1:44">
      <c r="A261" s="2" t="s">
        <v>284</v>
      </c>
      <c r="B261">
        <v>1994</v>
      </c>
      <c r="C261">
        <v>0</v>
      </c>
      <c r="D261" t="s">
        <v>35</v>
      </c>
      <c r="E261" t="s">
        <v>20</v>
      </c>
      <c r="F261">
        <v>0</v>
      </c>
      <c r="G261" s="10">
        <v>112</v>
      </c>
      <c r="H261">
        <v>8</v>
      </c>
      <c r="I261">
        <v>8</v>
      </c>
      <c r="J261" s="2" t="s">
        <v>20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>
        <v>3200</v>
      </c>
      <c r="O261">
        <v>164</v>
      </c>
      <c r="P261" s="2">
        <v>0.17</v>
      </c>
      <c r="Q261" s="6">
        <v>40</v>
      </c>
      <c r="R261" s="10">
        <v>0</v>
      </c>
      <c r="S261" s="10">
        <v>0</v>
      </c>
      <c r="T261" s="10"/>
      <c r="U261" t="str">
        <f>"RUNNING_COST_"&amp;IF(PROPERTIES[[#This Row],[ENGINE_CLASS]]="MAGLEV","ELECTRIC",PROPERTIES[[#This Row],[ENGINE_CLASS]])</f>
        <v>RUNNING_COST_DIESEL</v>
      </c>
      <c r="V261" s="10" t="s">
        <v>1000</v>
      </c>
      <c r="W261" s="10" t="s">
        <v>1001</v>
      </c>
      <c r="X261" s="10" t="str">
        <f>SUBSTITUTE(SUBSTITUTE(PROPERTIES[[#This Row],[PURCHASECOST_VALUE]], "PURCHASECOST_", ""), "_VALUE", "")</f>
        <v>DIESELENGINE</v>
      </c>
      <c r="AP261"/>
      <c r="AQ261"/>
      <c r="AR261"/>
    </row>
    <row r="262" spans="1:44">
      <c r="A262" s="2" t="s">
        <v>285</v>
      </c>
      <c r="B262">
        <v>1988</v>
      </c>
      <c r="C262">
        <v>0</v>
      </c>
      <c r="D262" t="s">
        <v>35</v>
      </c>
      <c r="E262" t="s">
        <v>20</v>
      </c>
      <c r="F262">
        <v>0</v>
      </c>
      <c r="G262" s="10">
        <v>130</v>
      </c>
      <c r="H262">
        <v>8</v>
      </c>
      <c r="I262">
        <v>8</v>
      </c>
      <c r="J262" s="2" t="s">
        <v>20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>
        <v>3200</v>
      </c>
      <c r="O262">
        <v>177</v>
      </c>
      <c r="P262" s="2">
        <v>0.22</v>
      </c>
      <c r="Q262" s="6">
        <v>40</v>
      </c>
      <c r="R262" s="10">
        <v>0</v>
      </c>
      <c r="S262" s="10">
        <v>0</v>
      </c>
      <c r="T262" s="10"/>
      <c r="U262" t="str">
        <f>"RUNNING_COST_"&amp;IF(PROPERTIES[[#This Row],[ENGINE_CLASS]]="MAGLEV","ELECTRIC",PROPERTIES[[#This Row],[ENGINE_CLASS]])</f>
        <v>RUNNING_COST_DIESEL</v>
      </c>
      <c r="V262" s="10" t="s">
        <v>1000</v>
      </c>
      <c r="W262" s="10" t="s">
        <v>1001</v>
      </c>
      <c r="X262" s="10" t="str">
        <f>SUBSTITUTE(SUBSTITUTE(PROPERTIES[[#This Row],[PURCHASECOST_VALUE]], "PURCHASECOST_", ""), "_VALUE", "")</f>
        <v>DIESELENGINE</v>
      </c>
      <c r="AP262"/>
      <c r="AQ262"/>
      <c r="AR262"/>
    </row>
    <row r="263" spans="1:44">
      <c r="A263" s="2" t="s">
        <v>286</v>
      </c>
      <c r="B263">
        <v>2002</v>
      </c>
      <c r="C263">
        <v>0</v>
      </c>
      <c r="D263" t="s">
        <v>35</v>
      </c>
      <c r="E263" t="s">
        <v>20</v>
      </c>
      <c r="F263">
        <v>0</v>
      </c>
      <c r="G263" s="10">
        <v>86</v>
      </c>
      <c r="H263">
        <v>7</v>
      </c>
      <c r="I263">
        <v>7</v>
      </c>
      <c r="J263" s="2" t="s">
        <v>20</v>
      </c>
      <c r="K263">
        <f>_xlfn.XLOOKUP("LOADINGSPEEDDEF_"&amp;PROPERTIES[[#This Row],[LOADINGSPEED]],LOADINGSPEEDDEF[TYPE],LOADINGSPEEDDEF[SPEED])</f>
        <v>0</v>
      </c>
      <c r="L263" t="s">
        <v>21</v>
      </c>
      <c r="M263">
        <v>1</v>
      </c>
      <c r="N263">
        <v>2010</v>
      </c>
      <c r="O263">
        <v>50</v>
      </c>
      <c r="P263" s="2">
        <v>0.33</v>
      </c>
      <c r="Q263" s="6">
        <v>40</v>
      </c>
      <c r="R263" s="10">
        <v>0</v>
      </c>
      <c r="S263" s="10">
        <v>0</v>
      </c>
      <c r="T263" s="10"/>
      <c r="U263" t="str">
        <f>"RUNNING_COST_"&amp;IF(PROPERTIES[[#This Row],[ENGINE_CLASS]]="MAGLEV","ELECTRIC",PROPERTIES[[#This Row],[ENGINE_CLASS]])</f>
        <v>RUNNING_COST_DIESEL</v>
      </c>
      <c r="V263" s="10" t="s">
        <v>1000</v>
      </c>
      <c r="W263" s="10" t="s">
        <v>1001</v>
      </c>
      <c r="X263" s="10" t="str">
        <f>SUBSTITUTE(SUBSTITUTE(PROPERTIES[[#This Row],[PURCHASECOST_VALUE]], "PURCHASECOST_", ""), "_VALUE", "")</f>
        <v>DIESELENGINE</v>
      </c>
      <c r="AP263"/>
      <c r="AQ263"/>
      <c r="AR263"/>
    </row>
    <row r="264" spans="1:44">
      <c r="A264" s="2" t="s">
        <v>287</v>
      </c>
      <c r="B264">
        <v>2003</v>
      </c>
      <c r="C264">
        <v>0</v>
      </c>
      <c r="D264" t="s">
        <v>35</v>
      </c>
      <c r="E264" t="s">
        <v>20</v>
      </c>
      <c r="F264">
        <v>0</v>
      </c>
      <c r="G264" s="10">
        <v>89</v>
      </c>
      <c r="H264">
        <v>7</v>
      </c>
      <c r="I264">
        <v>7</v>
      </c>
      <c r="J264" s="2" t="s">
        <v>20</v>
      </c>
      <c r="K264">
        <f>_xlfn.XLOOKUP("LOADINGSPEEDDEF_"&amp;PROPERTIES[[#This Row],[LOADINGSPEED]],LOADINGSPEEDDEF[TYPE],LOADINGSPEEDDEF[SPEED])</f>
        <v>0</v>
      </c>
      <c r="L264" t="s">
        <v>21</v>
      </c>
      <c r="M264">
        <v>1</v>
      </c>
      <c r="N264">
        <v>3000</v>
      </c>
      <c r="O264">
        <v>120</v>
      </c>
      <c r="P264" s="2">
        <v>0.32</v>
      </c>
      <c r="Q264" s="6">
        <v>40</v>
      </c>
      <c r="R264" s="10">
        <v>0</v>
      </c>
      <c r="S264" s="10">
        <v>0</v>
      </c>
      <c r="T264" s="10"/>
      <c r="U264" t="str">
        <f>"RUNNING_COST_"&amp;IF(PROPERTIES[[#This Row],[ENGINE_CLASS]]="MAGLEV","ELECTRIC",PROPERTIES[[#This Row],[ENGINE_CLASS]])</f>
        <v>RUNNING_COST_DIESEL</v>
      </c>
      <c r="V264" s="10" t="s">
        <v>1000</v>
      </c>
      <c r="W264" s="10" t="s">
        <v>1001</v>
      </c>
      <c r="X264" s="10" t="str">
        <f>SUBSTITUTE(SUBSTITUTE(PROPERTIES[[#This Row],[PURCHASECOST_VALUE]], "PURCHASECOST_", ""), "_VALUE", "")</f>
        <v>DIESELENGINE</v>
      </c>
      <c r="AP264"/>
      <c r="AQ264"/>
      <c r="AR264"/>
    </row>
    <row r="265" spans="1:44">
      <c r="A265" s="2" t="s">
        <v>288</v>
      </c>
      <c r="B265">
        <v>2003</v>
      </c>
      <c r="C265">
        <v>0</v>
      </c>
      <c r="D265" t="s">
        <v>35</v>
      </c>
      <c r="E265" t="s">
        <v>20</v>
      </c>
      <c r="F265">
        <v>0</v>
      </c>
      <c r="G265" s="10">
        <v>130</v>
      </c>
      <c r="H265">
        <v>8</v>
      </c>
      <c r="I265">
        <v>8</v>
      </c>
      <c r="J265" s="2" t="s">
        <v>20</v>
      </c>
      <c r="K265">
        <f>_xlfn.XLOOKUP("LOADINGSPEEDDEF_"&amp;PROPERTIES[[#This Row],[LOADINGSPEED]],LOADINGSPEEDDEF[TYPE],LOADINGSPEEDDEF[SPEED])</f>
        <v>0</v>
      </c>
      <c r="L265" t="s">
        <v>21</v>
      </c>
      <c r="M265">
        <v>1</v>
      </c>
      <c r="N265">
        <v>4000</v>
      </c>
      <c r="O265">
        <v>174</v>
      </c>
      <c r="P265" s="2">
        <v>0.3</v>
      </c>
      <c r="Q265" s="6">
        <v>40</v>
      </c>
      <c r="R265" s="10">
        <v>0</v>
      </c>
      <c r="S265" s="10">
        <v>0</v>
      </c>
      <c r="T265" s="10"/>
      <c r="U265" t="str">
        <f>"RUNNING_COST_"&amp;IF(PROPERTIES[[#This Row],[ENGINE_CLASS]]="MAGLEV","ELECTRIC",PROPERTIES[[#This Row],[ENGINE_CLASS]])</f>
        <v>RUNNING_COST_DIESEL</v>
      </c>
      <c r="V265" s="10" t="s">
        <v>1000</v>
      </c>
      <c r="W265" s="10" t="s">
        <v>1001</v>
      </c>
      <c r="X265" s="10" t="str">
        <f>SUBSTITUTE(SUBSTITUTE(PROPERTIES[[#This Row],[PURCHASECOST_VALUE]], "PURCHASECOST_", ""), "_VALUE", "")</f>
        <v>DIESELENGINE</v>
      </c>
      <c r="AP265"/>
      <c r="AQ265"/>
      <c r="AR265"/>
    </row>
    <row r="266" spans="1:44">
      <c r="A266" s="2" t="s">
        <v>289</v>
      </c>
      <c r="B266">
        <v>2006</v>
      </c>
      <c r="C266">
        <v>0</v>
      </c>
      <c r="D266" t="s">
        <v>35</v>
      </c>
      <c r="E266" t="s">
        <v>20</v>
      </c>
      <c r="F266">
        <v>0</v>
      </c>
      <c r="G266" s="10">
        <v>90</v>
      </c>
      <c r="H266">
        <v>8</v>
      </c>
      <c r="I266">
        <v>8</v>
      </c>
      <c r="J266" s="2" t="s">
        <v>20</v>
      </c>
      <c r="K266">
        <f>_xlfn.XLOOKUP("LOADINGSPEEDDEF_"&amp;PROPERTIES[[#This Row],[LOADINGSPEED]],LOADINGSPEEDDEF[TYPE],LOADINGSPEEDDEF[SPEED])</f>
        <v>0</v>
      </c>
      <c r="L266" t="s">
        <v>21</v>
      </c>
      <c r="M266">
        <v>1</v>
      </c>
      <c r="N266">
        <v>3300</v>
      </c>
      <c r="O266">
        <v>200</v>
      </c>
      <c r="P266" s="2">
        <v>0.2</v>
      </c>
      <c r="Q266" s="6">
        <v>40</v>
      </c>
      <c r="R266" s="10">
        <v>0</v>
      </c>
      <c r="S266" s="10">
        <v>0</v>
      </c>
      <c r="T266" s="10"/>
      <c r="U266" t="str">
        <f>"RUNNING_COST_"&amp;IF(PROPERTIES[[#This Row],[ENGINE_CLASS]]="MAGLEV","ELECTRIC",PROPERTIES[[#This Row],[ENGINE_CLASS]])</f>
        <v>RUNNING_COST_DIESEL</v>
      </c>
      <c r="V266" s="10" t="s">
        <v>1000</v>
      </c>
      <c r="W266" s="10" t="s">
        <v>1001</v>
      </c>
      <c r="X266" s="10" t="str">
        <f>SUBSTITUTE(SUBSTITUTE(PROPERTIES[[#This Row],[PURCHASECOST_VALUE]], "PURCHASECOST_", ""), "_VALUE", "")</f>
        <v>DIESELENGINE</v>
      </c>
      <c r="AP266"/>
      <c r="AQ266"/>
      <c r="AR266"/>
    </row>
    <row r="267" spans="1:44">
      <c r="A267" s="2" t="s">
        <v>290</v>
      </c>
      <c r="B267">
        <v>2011</v>
      </c>
      <c r="C267">
        <v>0</v>
      </c>
      <c r="D267" t="s">
        <v>35</v>
      </c>
      <c r="E267" t="s">
        <v>20</v>
      </c>
      <c r="F267">
        <v>0</v>
      </c>
      <c r="G267" s="10">
        <v>90</v>
      </c>
      <c r="H267">
        <v>8</v>
      </c>
      <c r="I267">
        <v>8</v>
      </c>
      <c r="J267" s="2" t="s">
        <v>20</v>
      </c>
      <c r="K267">
        <f>_xlfn.XLOOKUP("LOADINGSPEEDDEF_"&amp;PROPERTIES[[#This Row],[LOADINGSPEED]],LOADINGSPEEDDEF[TYPE],LOADINGSPEEDDEF[SPEED])</f>
        <v>0</v>
      </c>
      <c r="L267" t="s">
        <v>21</v>
      </c>
      <c r="M267">
        <v>1</v>
      </c>
      <c r="N267">
        <v>2500</v>
      </c>
      <c r="O267">
        <v>120</v>
      </c>
      <c r="P267" s="2">
        <v>0.3</v>
      </c>
      <c r="Q267" s="6">
        <v>40</v>
      </c>
      <c r="R267" s="10">
        <v>0</v>
      </c>
      <c r="S267" s="10">
        <v>0</v>
      </c>
      <c r="T267" s="10"/>
      <c r="U267" t="str">
        <f>"RUNNING_COST_"&amp;IF(PROPERTIES[[#This Row],[ENGINE_CLASS]]="MAGLEV","ELECTRIC",PROPERTIES[[#This Row],[ENGINE_CLASS]])</f>
        <v>RUNNING_COST_DIESEL</v>
      </c>
      <c r="V267" s="10" t="s">
        <v>1000</v>
      </c>
      <c r="W267" s="10" t="s">
        <v>1001</v>
      </c>
      <c r="X267" s="10" t="str">
        <f>SUBSTITUTE(SUBSTITUTE(PROPERTIES[[#This Row],[PURCHASECOST_VALUE]], "PURCHASECOST_", ""), "_VALUE", "")</f>
        <v>DIESELENGINE</v>
      </c>
      <c r="AP267"/>
      <c r="AQ267"/>
      <c r="AR267"/>
    </row>
    <row r="268" spans="1:44">
      <c r="A268" s="2" t="s">
        <v>291</v>
      </c>
      <c r="B268">
        <v>1930</v>
      </c>
      <c r="C268">
        <v>0</v>
      </c>
      <c r="D268" t="s">
        <v>35</v>
      </c>
      <c r="E268" t="s">
        <v>20</v>
      </c>
      <c r="F268">
        <v>0</v>
      </c>
      <c r="G268" s="10">
        <v>72</v>
      </c>
      <c r="H268">
        <v>6</v>
      </c>
      <c r="I268">
        <v>6</v>
      </c>
      <c r="J268" s="2" t="s">
        <v>20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>
        <v>592</v>
      </c>
      <c r="O268">
        <v>45</v>
      </c>
      <c r="P268" s="2">
        <v>0.15</v>
      </c>
      <c r="Q268" s="6">
        <v>40</v>
      </c>
      <c r="R268" s="10">
        <v>0</v>
      </c>
      <c r="S268" s="10">
        <v>0</v>
      </c>
      <c r="T268" s="10"/>
      <c r="U268" t="str">
        <f>"RUNNING_COST_"&amp;IF(PROPERTIES[[#This Row],[ENGINE_CLASS]]="MAGLEV","ELECTRIC",PROPERTIES[[#This Row],[ENGINE_CLASS]])</f>
        <v>RUNNING_COST_DIESEL</v>
      </c>
      <c r="V268" s="10" t="s">
        <v>1000</v>
      </c>
      <c r="W268" s="10" t="s">
        <v>1001</v>
      </c>
      <c r="X268" s="10" t="str">
        <f>SUBSTITUTE(SUBSTITUTE(PROPERTIES[[#This Row],[PURCHASECOST_VALUE]], "PURCHASECOST_", ""), "_VALUE", "")</f>
        <v>DIESELENGINE</v>
      </c>
      <c r="AP268"/>
      <c r="AQ268"/>
      <c r="AR268"/>
    </row>
    <row r="269" spans="1:44">
      <c r="A269" s="2" t="s">
        <v>292</v>
      </c>
      <c r="B269">
        <v>1938</v>
      </c>
      <c r="C269">
        <v>0</v>
      </c>
      <c r="D269" t="s">
        <v>35</v>
      </c>
      <c r="E269" t="s">
        <v>20</v>
      </c>
      <c r="F269">
        <v>0</v>
      </c>
      <c r="G269" s="10">
        <v>39</v>
      </c>
      <c r="H269">
        <v>4</v>
      </c>
      <c r="I269">
        <v>4</v>
      </c>
      <c r="J269" s="2" t="s">
        <v>20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>
        <v>450</v>
      </c>
      <c r="O269">
        <v>76</v>
      </c>
      <c r="P269" s="2">
        <v>0.22</v>
      </c>
      <c r="Q269" s="6">
        <v>40</v>
      </c>
      <c r="R269" s="10">
        <v>0</v>
      </c>
      <c r="S269" s="10">
        <v>0</v>
      </c>
      <c r="T269" s="10"/>
      <c r="U269" t="str">
        <f>"RUNNING_COST_"&amp;IF(PROPERTIES[[#This Row],[ENGINE_CLASS]]="MAGLEV","ELECTRIC",PROPERTIES[[#This Row],[ENGINE_CLASS]])</f>
        <v>RUNNING_COST_DIESEL</v>
      </c>
      <c r="V269" s="10" t="s">
        <v>1000</v>
      </c>
      <c r="W269" s="10" t="s">
        <v>1001</v>
      </c>
      <c r="X269" s="10" t="str">
        <f>SUBSTITUTE(SUBSTITUTE(PROPERTIES[[#This Row],[PURCHASECOST_VALUE]], "PURCHASECOST_", ""), "_VALUE", "")</f>
        <v>DIESELENGINE</v>
      </c>
      <c r="AP269"/>
      <c r="AQ269"/>
      <c r="AR269"/>
    </row>
    <row r="270" spans="1:44">
      <c r="A270" s="2" t="s">
        <v>293</v>
      </c>
      <c r="B270">
        <v>1961</v>
      </c>
      <c r="C270">
        <v>0</v>
      </c>
      <c r="D270" t="s">
        <v>35</v>
      </c>
      <c r="E270" t="s">
        <v>20</v>
      </c>
      <c r="F270">
        <v>0</v>
      </c>
      <c r="G270" s="10">
        <v>50</v>
      </c>
      <c r="H270">
        <v>5</v>
      </c>
      <c r="I270">
        <v>5</v>
      </c>
      <c r="J270" s="2" t="s">
        <v>20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>
        <v>600</v>
      </c>
      <c r="O270">
        <v>64</v>
      </c>
      <c r="P270" s="2">
        <v>0.18</v>
      </c>
      <c r="Q270" s="6">
        <v>40</v>
      </c>
      <c r="R270" s="10">
        <v>0</v>
      </c>
      <c r="S270" s="10">
        <v>0</v>
      </c>
      <c r="T270" s="10"/>
      <c r="U270" t="str">
        <f>"RUNNING_COST_"&amp;IF(PROPERTIES[[#This Row],[ENGINE_CLASS]]="MAGLEV","ELECTRIC",PROPERTIES[[#This Row],[ENGINE_CLASS]])</f>
        <v>RUNNING_COST_DIESEL</v>
      </c>
      <c r="V270" s="10" t="s">
        <v>1000</v>
      </c>
      <c r="W270" s="10" t="s">
        <v>1001</v>
      </c>
      <c r="X270" s="10" t="str">
        <f>SUBSTITUTE(SUBSTITUTE(PROPERTIES[[#This Row],[PURCHASECOST_VALUE]], "PURCHASECOST_", ""), "_VALUE", "")</f>
        <v>DIESELENGINE</v>
      </c>
      <c r="AP270"/>
      <c r="AQ270"/>
      <c r="AR270"/>
    </row>
    <row r="271" spans="1:44">
      <c r="A271" s="2" t="s">
        <v>294</v>
      </c>
      <c r="B271">
        <v>1965</v>
      </c>
      <c r="C271">
        <v>0</v>
      </c>
      <c r="D271" t="s">
        <v>35</v>
      </c>
      <c r="E271" t="s">
        <v>20</v>
      </c>
      <c r="F271">
        <v>0</v>
      </c>
      <c r="G271" s="10">
        <v>111</v>
      </c>
      <c r="H271">
        <v>6</v>
      </c>
      <c r="I271">
        <v>6</v>
      </c>
      <c r="J271" s="2" t="s">
        <v>20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>
        <v>1350</v>
      </c>
      <c r="O271">
        <v>120</v>
      </c>
      <c r="P271" s="2">
        <v>0.17</v>
      </c>
      <c r="Q271" s="6">
        <v>40</v>
      </c>
      <c r="R271" s="10">
        <v>0</v>
      </c>
      <c r="S271" s="10">
        <v>0</v>
      </c>
      <c r="T271" s="10"/>
      <c r="U271" t="str">
        <f>"RUNNING_COST_"&amp;IF(PROPERTIES[[#This Row],[ENGINE_CLASS]]="MAGLEV","ELECTRIC",PROPERTIES[[#This Row],[ENGINE_CLASS]])</f>
        <v>RUNNING_COST_DIESEL</v>
      </c>
      <c r="V271" s="10" t="s">
        <v>1000</v>
      </c>
      <c r="W271" s="10" t="s">
        <v>1001</v>
      </c>
      <c r="X271" s="10" t="str">
        <f>SUBSTITUTE(SUBSTITUTE(PROPERTIES[[#This Row],[PURCHASECOST_VALUE]], "PURCHASECOST_", ""), "_VALUE", "")</f>
        <v>DIESELENGINE</v>
      </c>
      <c r="AP271"/>
      <c r="AQ271"/>
      <c r="AR271"/>
    </row>
    <row r="272" spans="1:44">
      <c r="A272" s="2" t="s">
        <v>295</v>
      </c>
      <c r="B272">
        <v>1970</v>
      </c>
      <c r="C272">
        <v>0</v>
      </c>
      <c r="D272" t="s">
        <v>35</v>
      </c>
      <c r="E272" t="s">
        <v>20</v>
      </c>
      <c r="F272">
        <v>0</v>
      </c>
      <c r="G272" s="10">
        <v>162</v>
      </c>
      <c r="H272">
        <v>8</v>
      </c>
      <c r="I272">
        <v>8</v>
      </c>
      <c r="J272" s="2" t="s">
        <v>20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>
        <v>3600</v>
      </c>
      <c r="O272">
        <v>85</v>
      </c>
      <c r="P272" s="2">
        <v>0.24</v>
      </c>
      <c r="Q272" s="6">
        <v>40</v>
      </c>
      <c r="R272" s="10">
        <v>0</v>
      </c>
      <c r="S272" s="10">
        <v>0</v>
      </c>
      <c r="T272" s="10"/>
      <c r="U272" t="str">
        <f>"RUNNING_COST_"&amp;IF(PROPERTIES[[#This Row],[ENGINE_CLASS]]="MAGLEV","ELECTRIC",PROPERTIES[[#This Row],[ENGINE_CLASS]])</f>
        <v>RUNNING_COST_DIESEL</v>
      </c>
      <c r="V272" s="10" t="s">
        <v>1000</v>
      </c>
      <c r="W272" s="10" t="s">
        <v>1001</v>
      </c>
      <c r="X272" s="10" t="str">
        <f>SUBSTITUTE(SUBSTITUTE(PROPERTIES[[#This Row],[PURCHASECOST_VALUE]], "PURCHASECOST_", ""), "_VALUE", "")</f>
        <v>DIESELENGINE</v>
      </c>
      <c r="AP272"/>
      <c r="AQ272"/>
      <c r="AR272"/>
    </row>
    <row r="273" spans="1:44">
      <c r="A273" s="2" t="s">
        <v>296</v>
      </c>
      <c r="B273">
        <v>1984</v>
      </c>
      <c r="C273">
        <v>0</v>
      </c>
      <c r="D273" t="s">
        <v>35</v>
      </c>
      <c r="E273" t="s">
        <v>20</v>
      </c>
      <c r="F273">
        <v>0</v>
      </c>
      <c r="G273" s="10">
        <v>166</v>
      </c>
      <c r="H273">
        <v>8</v>
      </c>
      <c r="I273">
        <v>8</v>
      </c>
      <c r="J273" s="2" t="s">
        <v>20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>
        <v>3900</v>
      </c>
      <c r="O273">
        <v>110</v>
      </c>
      <c r="P273" s="2">
        <v>0.28999999999999998</v>
      </c>
      <c r="Q273" s="6">
        <v>40</v>
      </c>
      <c r="R273" s="10">
        <v>0</v>
      </c>
      <c r="S273" s="10">
        <v>0</v>
      </c>
      <c r="T273" s="10"/>
      <c r="U273" t="str">
        <f>"RUNNING_COST_"&amp;IF(PROPERTIES[[#This Row],[ENGINE_CLASS]]="MAGLEV","ELECTRIC",PROPERTIES[[#This Row],[ENGINE_CLASS]])</f>
        <v>RUNNING_COST_DIESEL</v>
      </c>
      <c r="V273" s="10" t="s">
        <v>1000</v>
      </c>
      <c r="W273" s="10" t="s">
        <v>1001</v>
      </c>
      <c r="X273" s="10" t="str">
        <f>SUBSTITUTE(SUBSTITUTE(PROPERTIES[[#This Row],[PURCHASECOST_VALUE]], "PURCHASECOST_", ""), "_VALUE", "")</f>
        <v>DIESELENGINE</v>
      </c>
      <c r="AP273"/>
      <c r="AQ273"/>
      <c r="AR273"/>
    </row>
    <row r="274" spans="1:44">
      <c r="A274" s="2" t="s">
        <v>297</v>
      </c>
      <c r="B274">
        <v>1991</v>
      </c>
      <c r="C274">
        <v>0</v>
      </c>
      <c r="D274" t="s">
        <v>35</v>
      </c>
      <c r="E274" t="s">
        <v>20</v>
      </c>
      <c r="F274">
        <v>0</v>
      </c>
      <c r="G274" s="10">
        <v>117</v>
      </c>
      <c r="H274">
        <v>7</v>
      </c>
      <c r="I274">
        <v>7</v>
      </c>
      <c r="J274" s="2" t="s">
        <v>20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>
        <v>1876</v>
      </c>
      <c r="O274">
        <v>140</v>
      </c>
      <c r="P274" s="2">
        <v>0.18</v>
      </c>
      <c r="Q274" s="6">
        <v>40</v>
      </c>
      <c r="R274" s="10">
        <v>0</v>
      </c>
      <c r="S274" s="10">
        <v>0</v>
      </c>
      <c r="T274" s="10"/>
      <c r="U274" t="str">
        <f>"RUNNING_COST_"&amp;IF(PROPERTIES[[#This Row],[ENGINE_CLASS]]="MAGLEV","ELECTRIC",PROPERTIES[[#This Row],[ENGINE_CLASS]])</f>
        <v>RUNNING_COST_DIESEL</v>
      </c>
      <c r="V274" s="10" t="s">
        <v>1000</v>
      </c>
      <c r="W274" s="10" t="s">
        <v>1001</v>
      </c>
      <c r="X274" s="10" t="str">
        <f>SUBSTITUTE(SUBSTITUTE(PROPERTIES[[#This Row],[PURCHASECOST_VALUE]], "PURCHASECOST_", ""), "_VALUE", "")</f>
        <v>DIESELENGINE</v>
      </c>
      <c r="AP274"/>
      <c r="AQ274"/>
      <c r="AR274"/>
    </row>
    <row r="275" spans="1:44">
      <c r="A275" s="2" t="s">
        <v>298</v>
      </c>
      <c r="B275">
        <v>2013</v>
      </c>
      <c r="C275">
        <v>0</v>
      </c>
      <c r="D275" t="s">
        <v>35</v>
      </c>
      <c r="E275" t="s">
        <v>20</v>
      </c>
      <c r="F275">
        <v>0</v>
      </c>
      <c r="G275" s="10">
        <v>120</v>
      </c>
      <c r="H275">
        <v>8</v>
      </c>
      <c r="I275">
        <v>8</v>
      </c>
      <c r="J275" s="2" t="s">
        <v>20</v>
      </c>
      <c r="K275">
        <f>_xlfn.XLOOKUP("LOADINGSPEEDDEF_"&amp;PROPERTIES[[#This Row],[LOADINGSPEED]],LOADINGSPEEDDEF[TYPE],LOADINGSPEEDDEF[SPEED])</f>
        <v>0</v>
      </c>
      <c r="L275" t="s">
        <v>21</v>
      </c>
      <c r="M275">
        <v>1</v>
      </c>
      <c r="N275">
        <v>2950</v>
      </c>
      <c r="O275">
        <v>160</v>
      </c>
      <c r="P275" s="2">
        <v>0.32</v>
      </c>
      <c r="Q275" s="6">
        <v>40</v>
      </c>
      <c r="R275" s="10">
        <v>0</v>
      </c>
      <c r="S275" s="10">
        <v>0</v>
      </c>
      <c r="T275" s="10"/>
      <c r="U275" t="str">
        <f>"RUNNING_COST_"&amp;IF(PROPERTIES[[#This Row],[ENGINE_CLASS]]="MAGLEV","ELECTRIC",PROPERTIES[[#This Row],[ENGINE_CLASS]])</f>
        <v>RUNNING_COST_DIESEL</v>
      </c>
      <c r="V275" s="10" t="s">
        <v>1000</v>
      </c>
      <c r="W275" s="10" t="s">
        <v>1001</v>
      </c>
      <c r="X275" s="10" t="str">
        <f>SUBSTITUTE(SUBSTITUTE(PROPERTIES[[#This Row],[PURCHASECOST_VALUE]], "PURCHASECOST_", ""), "_VALUE", "")</f>
        <v>DIESELENGINE</v>
      </c>
      <c r="AP275"/>
      <c r="AQ275"/>
      <c r="AR275"/>
    </row>
    <row r="276" spans="1:44">
      <c r="A276" s="2" t="s">
        <v>299</v>
      </c>
      <c r="B276">
        <v>1939</v>
      </c>
      <c r="C276">
        <v>0</v>
      </c>
      <c r="D276" t="s">
        <v>35</v>
      </c>
      <c r="E276" t="s">
        <v>20</v>
      </c>
      <c r="F276">
        <v>0</v>
      </c>
      <c r="G276" s="10">
        <v>68</v>
      </c>
      <c r="H276">
        <v>5</v>
      </c>
      <c r="I276">
        <v>5</v>
      </c>
      <c r="J276" s="2" t="s">
        <v>20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>
        <v>410</v>
      </c>
      <c r="O276">
        <v>60</v>
      </c>
      <c r="P276" s="2">
        <v>0.23</v>
      </c>
      <c r="Q276" s="6">
        <v>40</v>
      </c>
      <c r="R276" s="10">
        <v>0</v>
      </c>
      <c r="S276" s="10">
        <v>0</v>
      </c>
      <c r="T276" s="10"/>
      <c r="U276" t="str">
        <f>"RUNNING_COST_"&amp;IF(PROPERTIES[[#This Row],[ENGINE_CLASS]]="MAGLEV","ELECTRIC",PROPERTIES[[#This Row],[ENGINE_CLASS]])</f>
        <v>RUNNING_COST_DIESEL</v>
      </c>
      <c r="V276" s="10" t="s">
        <v>1000</v>
      </c>
      <c r="W276" s="10" t="s">
        <v>1001</v>
      </c>
      <c r="X276" s="10" t="str">
        <f>SUBSTITUTE(SUBSTITUTE(PROPERTIES[[#This Row],[PURCHASECOST_VALUE]], "PURCHASECOST_", ""), "_VALUE", "")</f>
        <v>DIESELENGINE</v>
      </c>
      <c r="AP276"/>
      <c r="AQ276"/>
      <c r="AR276"/>
    </row>
    <row r="277" spans="1:44">
      <c r="A277" s="2" t="s">
        <v>300</v>
      </c>
      <c r="B277">
        <v>1950</v>
      </c>
      <c r="C277">
        <v>0</v>
      </c>
      <c r="D277" t="s">
        <v>35</v>
      </c>
      <c r="E277" t="s">
        <v>20</v>
      </c>
      <c r="F277">
        <v>0</v>
      </c>
      <c r="G277" s="10">
        <v>115</v>
      </c>
      <c r="H277">
        <v>6</v>
      </c>
      <c r="I277">
        <v>6</v>
      </c>
      <c r="J277" s="2" t="s">
        <v>20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>
        <v>1600</v>
      </c>
      <c r="O277">
        <v>105</v>
      </c>
      <c r="P277" s="2">
        <v>0.16</v>
      </c>
      <c r="Q277" s="6">
        <v>40</v>
      </c>
      <c r="R277" s="10">
        <v>0</v>
      </c>
      <c r="S277" s="10">
        <v>0</v>
      </c>
      <c r="T277" s="10"/>
      <c r="U277" t="str">
        <f>"RUNNING_COST_"&amp;IF(PROPERTIES[[#This Row],[ENGINE_CLASS]]="MAGLEV","ELECTRIC",PROPERTIES[[#This Row],[ENGINE_CLASS]])</f>
        <v>RUNNING_COST_DIESEL</v>
      </c>
      <c r="V277" s="10" t="s">
        <v>1000</v>
      </c>
      <c r="W277" s="10" t="s">
        <v>1001</v>
      </c>
      <c r="X277" s="10" t="str">
        <f>SUBSTITUTE(SUBSTITUTE(PROPERTIES[[#This Row],[PURCHASECOST_VALUE]], "PURCHASECOST_", ""), "_VALUE", "")</f>
        <v>DIESELENGINE</v>
      </c>
      <c r="AP277"/>
      <c r="AQ277"/>
      <c r="AR277"/>
    </row>
    <row r="278" spans="1:44">
      <c r="A278" s="2" t="s">
        <v>301</v>
      </c>
      <c r="B278">
        <v>1960</v>
      </c>
      <c r="C278">
        <v>0</v>
      </c>
      <c r="D278" t="s">
        <v>35</v>
      </c>
      <c r="E278" t="s">
        <v>20</v>
      </c>
      <c r="F278">
        <v>0</v>
      </c>
      <c r="G278" s="10">
        <v>62</v>
      </c>
      <c r="H278">
        <v>5</v>
      </c>
      <c r="I278">
        <v>5</v>
      </c>
      <c r="J278" s="2" t="s">
        <v>20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>
        <v>875</v>
      </c>
      <c r="O278">
        <v>100</v>
      </c>
      <c r="P278" s="2">
        <v>0.25</v>
      </c>
      <c r="Q278" s="6">
        <v>40</v>
      </c>
      <c r="R278" s="10">
        <v>0</v>
      </c>
      <c r="S278" s="10">
        <v>0</v>
      </c>
      <c r="T278" s="10"/>
      <c r="U278" t="str">
        <f>"RUNNING_COST_"&amp;IF(PROPERTIES[[#This Row],[ENGINE_CLASS]]="MAGLEV","ELECTRIC",PROPERTIES[[#This Row],[ENGINE_CLASS]])</f>
        <v>RUNNING_COST_DIESEL</v>
      </c>
      <c r="V278" s="10" t="s">
        <v>1000</v>
      </c>
      <c r="W278" s="10" t="s">
        <v>1001</v>
      </c>
      <c r="X278" s="10" t="str">
        <f>SUBSTITUTE(SUBSTITUTE(PROPERTIES[[#This Row],[PURCHASECOST_VALUE]], "PURCHASECOST_", ""), "_VALUE", "")</f>
        <v>DIESELENGINE</v>
      </c>
      <c r="AP278"/>
      <c r="AQ278"/>
      <c r="AR278"/>
    </row>
    <row r="279" spans="1:44">
      <c r="A279" s="2" t="s">
        <v>302</v>
      </c>
      <c r="B279">
        <v>1974</v>
      </c>
      <c r="C279">
        <v>0</v>
      </c>
      <c r="D279" t="s">
        <v>35</v>
      </c>
      <c r="E279" t="s">
        <v>20</v>
      </c>
      <c r="F279">
        <v>0</v>
      </c>
      <c r="G279" s="10">
        <v>120</v>
      </c>
      <c r="H279">
        <v>7</v>
      </c>
      <c r="I279">
        <v>7</v>
      </c>
      <c r="J279" s="2" t="s">
        <v>20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>
        <v>2600</v>
      </c>
      <c r="O279">
        <v>120</v>
      </c>
      <c r="P279" s="2">
        <v>0.17</v>
      </c>
      <c r="Q279" s="6">
        <v>40</v>
      </c>
      <c r="R279" s="10">
        <v>0</v>
      </c>
      <c r="S279" s="10">
        <v>0</v>
      </c>
      <c r="T279" s="10"/>
      <c r="U279" t="str">
        <f>"RUNNING_COST_"&amp;IF(PROPERTIES[[#This Row],[ENGINE_CLASS]]="MAGLEV","ELECTRIC",PROPERTIES[[#This Row],[ENGINE_CLASS]])</f>
        <v>RUNNING_COST_DIESEL</v>
      </c>
      <c r="V279" s="10" t="s">
        <v>1000</v>
      </c>
      <c r="W279" s="10" t="s">
        <v>1001</v>
      </c>
      <c r="X279" s="10" t="str">
        <f>SUBSTITUTE(SUBSTITUTE(PROPERTIES[[#This Row],[PURCHASECOST_VALUE]], "PURCHASECOST_", ""), "_VALUE", "")</f>
        <v>DIESELENGINE</v>
      </c>
      <c r="AP279"/>
      <c r="AQ279"/>
      <c r="AR279"/>
    </row>
    <row r="280" spans="1:44">
      <c r="A280" s="2" t="s">
        <v>303</v>
      </c>
      <c r="B280">
        <v>1977</v>
      </c>
      <c r="C280">
        <v>0</v>
      </c>
      <c r="D280" t="s">
        <v>35</v>
      </c>
      <c r="E280" t="s">
        <v>20</v>
      </c>
      <c r="F280">
        <v>0</v>
      </c>
      <c r="G280" s="10">
        <v>53</v>
      </c>
      <c r="H280">
        <v>5</v>
      </c>
      <c r="I280">
        <v>5</v>
      </c>
      <c r="J280" s="2" t="s">
        <v>20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>
        <v>700</v>
      </c>
      <c r="O280">
        <v>100</v>
      </c>
      <c r="P280" s="2">
        <v>0.28000000000000003</v>
      </c>
      <c r="Q280" s="6">
        <v>40</v>
      </c>
      <c r="R280" s="10">
        <v>0</v>
      </c>
      <c r="S280" s="10">
        <v>0</v>
      </c>
      <c r="T280" s="10"/>
      <c r="U280" t="str">
        <f>"RUNNING_COST_"&amp;IF(PROPERTIES[[#This Row],[ENGINE_CLASS]]="MAGLEV","ELECTRIC",PROPERTIES[[#This Row],[ENGINE_CLASS]])</f>
        <v>RUNNING_COST_DIESEL</v>
      </c>
      <c r="V280" s="10" t="s">
        <v>1000</v>
      </c>
      <c r="W280" s="10" t="s">
        <v>1001</v>
      </c>
      <c r="X280" s="10" t="str">
        <f>SUBSTITUTE(SUBSTITUTE(PROPERTIES[[#This Row],[PURCHASECOST_VALUE]], "PURCHASECOST_", ""), "_VALUE", "")</f>
        <v>DIESELENGINE</v>
      </c>
      <c r="AP280"/>
      <c r="AQ280"/>
      <c r="AR280"/>
    </row>
    <row r="281" spans="1:44">
      <c r="A281" s="2" t="s">
        <v>304</v>
      </c>
      <c r="B281">
        <v>1989</v>
      </c>
      <c r="C281">
        <v>0</v>
      </c>
      <c r="D281" t="s">
        <v>35</v>
      </c>
      <c r="E281" t="s">
        <v>20</v>
      </c>
      <c r="F281">
        <v>0</v>
      </c>
      <c r="G281" s="10">
        <v>108</v>
      </c>
      <c r="H281">
        <v>8</v>
      </c>
      <c r="I281">
        <v>8</v>
      </c>
      <c r="J281" s="2" t="s">
        <v>20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>
        <v>3400</v>
      </c>
      <c r="O281">
        <v>135</v>
      </c>
      <c r="P281" s="2">
        <v>0.33</v>
      </c>
      <c r="Q281" s="6">
        <v>40</v>
      </c>
      <c r="R281" s="10">
        <v>0</v>
      </c>
      <c r="S281" s="10">
        <v>0</v>
      </c>
      <c r="T281" s="10"/>
      <c r="U281" t="str">
        <f>"RUNNING_COST_"&amp;IF(PROPERTIES[[#This Row],[ENGINE_CLASS]]="MAGLEV","ELECTRIC",PROPERTIES[[#This Row],[ENGINE_CLASS]])</f>
        <v>RUNNING_COST_DIESEL</v>
      </c>
      <c r="V281" s="10" t="s">
        <v>1000</v>
      </c>
      <c r="W281" s="10" t="s">
        <v>1001</v>
      </c>
      <c r="X281" s="10" t="str">
        <f>SUBSTITUTE(SUBSTITUTE(PROPERTIES[[#This Row],[PURCHASECOST_VALUE]], "PURCHASECOST_", ""), "_VALUE", "")</f>
        <v>DIESELENGINE</v>
      </c>
      <c r="AP281"/>
      <c r="AQ281"/>
      <c r="AR281"/>
    </row>
    <row r="282" spans="1:44">
      <c r="A282" s="2" t="s">
        <v>305</v>
      </c>
      <c r="B282">
        <v>1964</v>
      </c>
      <c r="C282">
        <v>0</v>
      </c>
      <c r="D282" t="s">
        <v>35</v>
      </c>
      <c r="E282" t="s">
        <v>20</v>
      </c>
      <c r="F282">
        <v>0</v>
      </c>
      <c r="G282" s="10">
        <v>129</v>
      </c>
      <c r="H282">
        <v>8</v>
      </c>
      <c r="I282">
        <v>8</v>
      </c>
      <c r="J282" s="2" t="s">
        <v>20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>
        <v>2290</v>
      </c>
      <c r="O282">
        <v>140</v>
      </c>
      <c r="P282" s="2">
        <v>0.13</v>
      </c>
      <c r="Q282" s="6">
        <v>40</v>
      </c>
      <c r="R282" s="10">
        <v>0</v>
      </c>
      <c r="S282" s="10">
        <v>0</v>
      </c>
      <c r="T282" s="10"/>
      <c r="U282" t="str">
        <f>"RUNNING_COST_"&amp;IF(PROPERTIES[[#This Row],[ENGINE_CLASS]]="MAGLEV","ELECTRIC",PROPERTIES[[#This Row],[ENGINE_CLASS]])</f>
        <v>RUNNING_COST_DIESEL</v>
      </c>
      <c r="V282" s="10" t="s">
        <v>1000</v>
      </c>
      <c r="W282" s="10" t="s">
        <v>1001</v>
      </c>
      <c r="X282" s="10" t="str">
        <f>SUBSTITUTE(SUBSTITUTE(PROPERTIES[[#This Row],[PURCHASECOST_VALUE]], "PURCHASECOST_", ""), "_VALUE", "")</f>
        <v>DIESELENGINE</v>
      </c>
      <c r="AP282"/>
      <c r="AQ282"/>
      <c r="AR282"/>
    </row>
    <row r="283" spans="1:44">
      <c r="A283" s="2" t="s">
        <v>306</v>
      </c>
      <c r="B283">
        <v>1981</v>
      </c>
      <c r="C283">
        <v>0</v>
      </c>
      <c r="D283" t="s">
        <v>35</v>
      </c>
      <c r="E283" t="s">
        <v>20</v>
      </c>
      <c r="F283">
        <v>0</v>
      </c>
      <c r="G283" s="10">
        <v>276</v>
      </c>
      <c r="H283">
        <v>8</v>
      </c>
      <c r="I283">
        <v>16</v>
      </c>
      <c r="J283" s="2" t="s">
        <v>20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>
        <v>6160</v>
      </c>
      <c r="O283">
        <v>100</v>
      </c>
      <c r="P283" s="2">
        <v>0.18</v>
      </c>
      <c r="Q283" s="6">
        <v>40</v>
      </c>
      <c r="R283" s="10">
        <v>0</v>
      </c>
      <c r="S283" s="10">
        <v>0</v>
      </c>
      <c r="T283" s="10"/>
      <c r="U283" t="str">
        <f>"RUNNING_COST_"&amp;IF(PROPERTIES[[#This Row],[ENGINE_CLASS]]="MAGLEV","ELECTRIC",PROPERTIES[[#This Row],[ENGINE_CLASS]])</f>
        <v>RUNNING_COST_DIESEL</v>
      </c>
      <c r="V283" s="10" t="s">
        <v>1000</v>
      </c>
      <c r="W283" s="10" t="s">
        <v>1001</v>
      </c>
      <c r="X283" s="10" t="str">
        <f>SUBSTITUTE(SUBSTITUTE(PROPERTIES[[#This Row],[PURCHASECOST_VALUE]], "PURCHASECOST_", ""), "_VALUE", "")</f>
        <v>DIESELENGINE</v>
      </c>
      <c r="AP283"/>
      <c r="AQ283"/>
      <c r="AR283"/>
    </row>
    <row r="284" spans="1:44">
      <c r="A284" s="2" t="s">
        <v>307</v>
      </c>
      <c r="B284">
        <v>1985</v>
      </c>
      <c r="C284">
        <v>0</v>
      </c>
      <c r="D284" t="s">
        <v>35</v>
      </c>
      <c r="E284" t="s">
        <v>20</v>
      </c>
      <c r="F284">
        <v>0</v>
      </c>
      <c r="G284" s="10">
        <v>74</v>
      </c>
      <c r="H284">
        <v>6</v>
      </c>
      <c r="I284">
        <v>6</v>
      </c>
      <c r="J284" s="2" t="s">
        <v>20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>
        <v>1340</v>
      </c>
      <c r="O284">
        <v>100</v>
      </c>
      <c r="P284" s="2">
        <v>0.25</v>
      </c>
      <c r="Q284" s="6">
        <v>40</v>
      </c>
      <c r="R284" s="10">
        <v>0</v>
      </c>
      <c r="S284" s="10">
        <v>0</v>
      </c>
      <c r="T284" s="10"/>
      <c r="U284" t="str">
        <f>"RUNNING_COST_"&amp;IF(PROPERTIES[[#This Row],[ENGINE_CLASS]]="MAGLEV","ELECTRIC",PROPERTIES[[#This Row],[ENGINE_CLASS]])</f>
        <v>RUNNING_COST_DIESEL</v>
      </c>
      <c r="V284" s="10" t="s">
        <v>1000</v>
      </c>
      <c r="W284" s="10" t="s">
        <v>1001</v>
      </c>
      <c r="X284" s="10" t="str">
        <f>SUBSTITUTE(SUBSTITUTE(PROPERTIES[[#This Row],[PURCHASECOST_VALUE]], "PURCHASECOST_", ""), "_VALUE", "")</f>
        <v>DIESELENGINE</v>
      </c>
      <c r="AP284"/>
      <c r="AQ284"/>
      <c r="AR284"/>
    </row>
    <row r="285" spans="1:44">
      <c r="A285" s="2" t="s">
        <v>308</v>
      </c>
      <c r="B285">
        <v>1987</v>
      </c>
      <c r="C285">
        <v>0</v>
      </c>
      <c r="D285" t="s">
        <v>35</v>
      </c>
      <c r="E285" t="s">
        <v>20</v>
      </c>
      <c r="F285">
        <v>0</v>
      </c>
      <c r="G285" s="10">
        <v>460</v>
      </c>
      <c r="H285">
        <v>8</v>
      </c>
      <c r="I285">
        <v>8</v>
      </c>
      <c r="J285" s="2" t="s">
        <v>20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>
        <v>12000</v>
      </c>
      <c r="O285">
        <v>100</v>
      </c>
      <c r="P285" s="2">
        <v>0.2</v>
      </c>
      <c r="Q285" s="6">
        <v>40</v>
      </c>
      <c r="R285" s="10">
        <v>0</v>
      </c>
      <c r="S285" s="10">
        <v>0</v>
      </c>
      <c r="T285" s="10"/>
      <c r="U285" t="str">
        <f>"RUNNING_COST_"&amp;IF(PROPERTIES[[#This Row],[ENGINE_CLASS]]="MAGLEV","ELECTRIC",PROPERTIES[[#This Row],[ENGINE_CLASS]])</f>
        <v>RUNNING_COST_DIESEL</v>
      </c>
      <c r="V285" s="10" t="s">
        <v>1000</v>
      </c>
      <c r="W285" s="10" t="s">
        <v>1001</v>
      </c>
      <c r="X285" s="10" t="str">
        <f>SUBSTITUTE(SUBSTITUTE(PROPERTIES[[#This Row],[PURCHASECOST_VALUE]], "PURCHASECOST_", ""), "_VALUE", "")</f>
        <v>DIESELENGINE</v>
      </c>
      <c r="AP285"/>
      <c r="AQ285"/>
      <c r="AR285"/>
    </row>
    <row r="286" spans="1:44">
      <c r="A286" s="2" t="s">
        <v>309</v>
      </c>
      <c r="B286">
        <v>1989</v>
      </c>
      <c r="C286">
        <v>0</v>
      </c>
      <c r="D286" t="s">
        <v>35</v>
      </c>
      <c r="E286" t="s">
        <v>20</v>
      </c>
      <c r="F286">
        <v>0</v>
      </c>
      <c r="G286" s="10">
        <v>276</v>
      </c>
      <c r="H286">
        <v>8</v>
      </c>
      <c r="I286">
        <v>16</v>
      </c>
      <c r="J286" s="2" t="s">
        <v>20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>
        <v>4560</v>
      </c>
      <c r="O286">
        <v>120</v>
      </c>
      <c r="P286" s="2">
        <v>0.15</v>
      </c>
      <c r="Q286" s="6">
        <v>40</v>
      </c>
      <c r="R286" s="10">
        <v>0</v>
      </c>
      <c r="S286" s="10">
        <v>0</v>
      </c>
      <c r="T286" s="10"/>
      <c r="U286" t="str">
        <f>"RUNNING_COST_"&amp;IF(PROPERTIES[[#This Row],[ENGINE_CLASS]]="MAGLEV","ELECTRIC",PROPERTIES[[#This Row],[ENGINE_CLASS]])</f>
        <v>RUNNING_COST_DIESEL</v>
      </c>
      <c r="V286" s="10" t="s">
        <v>1000</v>
      </c>
      <c r="W286" s="10" t="s">
        <v>1001</v>
      </c>
      <c r="X286" s="10" t="str">
        <f>SUBSTITUTE(SUBSTITUTE(PROPERTIES[[#This Row],[PURCHASECOST_VALUE]], "PURCHASECOST_", ""), "_VALUE", "")</f>
        <v>DIESELENGINE</v>
      </c>
      <c r="AP286"/>
      <c r="AQ286"/>
      <c r="AR286"/>
    </row>
    <row r="287" spans="1:44">
      <c r="A287" s="2" t="s">
        <v>310</v>
      </c>
      <c r="B287">
        <v>1992</v>
      </c>
      <c r="C287">
        <v>0</v>
      </c>
      <c r="D287" t="s">
        <v>35</v>
      </c>
      <c r="E287" t="s">
        <v>20</v>
      </c>
      <c r="F287">
        <v>0</v>
      </c>
      <c r="G287" s="10">
        <v>36</v>
      </c>
      <c r="H287">
        <v>4</v>
      </c>
      <c r="I287">
        <v>4</v>
      </c>
      <c r="J287" s="2" t="s">
        <v>20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>
        <v>530</v>
      </c>
      <c r="O287">
        <v>80</v>
      </c>
      <c r="P287" s="2">
        <v>0.3</v>
      </c>
      <c r="Q287" s="6">
        <v>40</v>
      </c>
      <c r="R287" s="10">
        <v>0</v>
      </c>
      <c r="S287" s="10">
        <v>0</v>
      </c>
      <c r="T287" s="10"/>
      <c r="U287" t="str">
        <f>"RUNNING_COST_"&amp;IF(PROPERTIES[[#This Row],[ENGINE_CLASS]]="MAGLEV","ELECTRIC",PROPERTIES[[#This Row],[ENGINE_CLASS]])</f>
        <v>RUNNING_COST_DIESEL</v>
      </c>
      <c r="V287" s="10" t="s">
        <v>1000</v>
      </c>
      <c r="W287" s="10" t="s">
        <v>1001</v>
      </c>
      <c r="X287" s="10" t="str">
        <f>SUBSTITUTE(SUBSTITUTE(PROPERTIES[[#This Row],[PURCHASECOST_VALUE]], "PURCHASECOST_", ""), "_VALUE", "")</f>
        <v>DIESELENGINE</v>
      </c>
      <c r="AP287"/>
      <c r="AQ287"/>
      <c r="AR287"/>
    </row>
    <row r="288" spans="1:44">
      <c r="A288" s="2" t="s">
        <v>311</v>
      </c>
      <c r="B288">
        <v>1931</v>
      </c>
      <c r="C288">
        <v>0</v>
      </c>
      <c r="D288" t="s">
        <v>35</v>
      </c>
      <c r="E288" t="s">
        <v>20</v>
      </c>
      <c r="F288">
        <v>0</v>
      </c>
      <c r="G288" s="10">
        <v>6</v>
      </c>
      <c r="H288">
        <v>2</v>
      </c>
      <c r="I288">
        <v>2</v>
      </c>
      <c r="J288" s="2" t="s">
        <v>20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>
        <v>75</v>
      </c>
      <c r="O288">
        <v>30</v>
      </c>
      <c r="P288" s="2">
        <v>0.27</v>
      </c>
      <c r="Q288" s="6">
        <v>40</v>
      </c>
      <c r="R288" s="10">
        <v>0</v>
      </c>
      <c r="S288" s="10">
        <v>0</v>
      </c>
      <c r="T288" s="10"/>
      <c r="U288" t="str">
        <f>"RUNNING_COST_"&amp;IF(PROPERTIES[[#This Row],[ENGINE_CLASS]]="MAGLEV","ELECTRIC",PROPERTIES[[#This Row],[ENGINE_CLASS]])</f>
        <v>RUNNING_COST_DIESEL</v>
      </c>
      <c r="V288" s="10" t="s">
        <v>1000</v>
      </c>
      <c r="W288" s="10" t="s">
        <v>1001</v>
      </c>
      <c r="X288" s="10" t="str">
        <f>SUBSTITUTE(SUBSTITUTE(PROPERTIES[[#This Row],[PURCHASECOST_VALUE]], "PURCHASECOST_", ""), "_VALUE", "")</f>
        <v>DIESELENGINE</v>
      </c>
      <c r="AP288"/>
      <c r="AQ288"/>
      <c r="AR288"/>
    </row>
    <row r="289" spans="1:44">
      <c r="A289" s="2" t="s">
        <v>312</v>
      </c>
      <c r="B289">
        <v>1945</v>
      </c>
      <c r="C289">
        <v>0</v>
      </c>
      <c r="D289" t="s">
        <v>35</v>
      </c>
      <c r="E289" t="s">
        <v>20</v>
      </c>
      <c r="F289">
        <v>0</v>
      </c>
      <c r="G289" s="10">
        <v>117</v>
      </c>
      <c r="H289">
        <v>8</v>
      </c>
      <c r="I289">
        <v>8</v>
      </c>
      <c r="J289" s="2" t="s">
        <v>20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>
        <v>1000</v>
      </c>
      <c r="O289">
        <v>97</v>
      </c>
      <c r="P289" s="2">
        <v>0.15</v>
      </c>
      <c r="Q289" s="6">
        <v>40</v>
      </c>
      <c r="R289" s="10">
        <v>0</v>
      </c>
      <c r="S289" s="10">
        <v>0</v>
      </c>
      <c r="T289" s="10"/>
      <c r="U289" t="str">
        <f>"RUNNING_COST_"&amp;IF(PROPERTIES[[#This Row],[ENGINE_CLASS]]="MAGLEV","ELECTRIC",PROPERTIES[[#This Row],[ENGINE_CLASS]])</f>
        <v>RUNNING_COST_DIESEL</v>
      </c>
      <c r="V289" s="10" t="s">
        <v>1000</v>
      </c>
      <c r="W289" s="10" t="s">
        <v>1001</v>
      </c>
      <c r="X289" s="10" t="str">
        <f>SUBSTITUTE(SUBSTITUTE(PROPERTIES[[#This Row],[PURCHASECOST_VALUE]], "PURCHASECOST_", ""), "_VALUE", "")</f>
        <v>DIESELENGINE</v>
      </c>
      <c r="AP289"/>
      <c r="AQ289"/>
      <c r="AR289"/>
    </row>
    <row r="290" spans="1:44">
      <c r="A290" s="2" t="s">
        <v>313</v>
      </c>
      <c r="B290">
        <v>1948</v>
      </c>
      <c r="C290">
        <v>0</v>
      </c>
      <c r="D290" t="s">
        <v>35</v>
      </c>
      <c r="E290" t="s">
        <v>20</v>
      </c>
      <c r="F290">
        <v>0</v>
      </c>
      <c r="G290" s="10">
        <v>111</v>
      </c>
      <c r="H290">
        <v>6</v>
      </c>
      <c r="I290">
        <v>6</v>
      </c>
      <c r="J290" s="2" t="s">
        <v>20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>
        <v>1700</v>
      </c>
      <c r="O290">
        <v>120</v>
      </c>
      <c r="P290" s="2">
        <v>0.15</v>
      </c>
      <c r="Q290" s="6">
        <v>40</v>
      </c>
      <c r="R290" s="10">
        <v>0</v>
      </c>
      <c r="S290" s="10">
        <v>0</v>
      </c>
      <c r="T290" s="10"/>
      <c r="U290" t="str">
        <f>"RUNNING_COST_"&amp;IF(PROPERTIES[[#This Row],[ENGINE_CLASS]]="MAGLEV","ELECTRIC",PROPERTIES[[#This Row],[ENGINE_CLASS]])</f>
        <v>RUNNING_COST_DIESEL</v>
      </c>
      <c r="V290" s="10" t="s">
        <v>1000</v>
      </c>
      <c r="W290" s="10" t="s">
        <v>1001</v>
      </c>
      <c r="X290" s="10" t="str">
        <f>SUBSTITUTE(SUBSTITUTE(PROPERTIES[[#This Row],[PURCHASECOST_VALUE]], "PURCHASECOST_", ""), "_VALUE", "")</f>
        <v>DIESELENGINE</v>
      </c>
      <c r="AP290"/>
      <c r="AQ290"/>
      <c r="AR290"/>
    </row>
    <row r="291" spans="1:44">
      <c r="A291" s="2" t="s">
        <v>314</v>
      </c>
      <c r="B291">
        <v>1969</v>
      </c>
      <c r="C291">
        <v>0</v>
      </c>
      <c r="D291" t="s">
        <v>35</v>
      </c>
      <c r="E291" t="s">
        <v>20</v>
      </c>
      <c r="F291">
        <v>0</v>
      </c>
      <c r="G291" s="10">
        <v>83</v>
      </c>
      <c r="H291">
        <v>8</v>
      </c>
      <c r="I291">
        <v>8</v>
      </c>
      <c r="J291" s="2" t="s">
        <v>20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>
        <v>2245</v>
      </c>
      <c r="O291">
        <v>140</v>
      </c>
      <c r="P291" s="2">
        <v>0.34</v>
      </c>
      <c r="Q291" s="6">
        <v>40</v>
      </c>
      <c r="R291" s="10">
        <v>0</v>
      </c>
      <c r="S291" s="10">
        <v>0</v>
      </c>
      <c r="T291" s="10"/>
      <c r="U291" t="str">
        <f>"RUNNING_COST_"&amp;IF(PROPERTIES[[#This Row],[ENGINE_CLASS]]="MAGLEV","ELECTRIC",PROPERTIES[[#This Row],[ENGINE_CLASS]])</f>
        <v>RUNNING_COST_DIESEL</v>
      </c>
      <c r="V291" s="10" t="s">
        <v>1000</v>
      </c>
      <c r="W291" s="10" t="s">
        <v>1001</v>
      </c>
      <c r="X291" s="10" t="str">
        <f>SUBSTITUTE(SUBSTITUTE(PROPERTIES[[#This Row],[PURCHASECOST_VALUE]], "PURCHASECOST_", ""), "_VALUE", "")</f>
        <v>DIESELENGINE</v>
      </c>
      <c r="AP291"/>
      <c r="AQ291"/>
      <c r="AR291"/>
    </row>
    <row r="292" spans="1:44">
      <c r="A292" s="2" t="s">
        <v>315</v>
      </c>
      <c r="B292">
        <v>1988</v>
      </c>
      <c r="C292">
        <v>0</v>
      </c>
      <c r="D292" t="s">
        <v>35</v>
      </c>
      <c r="E292" t="s">
        <v>20</v>
      </c>
      <c r="F292">
        <v>0</v>
      </c>
      <c r="G292" s="10">
        <v>80</v>
      </c>
      <c r="H292">
        <v>6</v>
      </c>
      <c r="I292">
        <v>6</v>
      </c>
      <c r="J292" s="2" t="s">
        <v>20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>
        <v>1581</v>
      </c>
      <c r="O292">
        <v>120</v>
      </c>
      <c r="P292" s="2">
        <v>0.38</v>
      </c>
      <c r="Q292" s="6">
        <v>40</v>
      </c>
      <c r="R292" s="10">
        <v>0</v>
      </c>
      <c r="S292" s="10">
        <v>0</v>
      </c>
      <c r="T292" s="10"/>
      <c r="U292" t="str">
        <f>"RUNNING_COST_"&amp;IF(PROPERTIES[[#This Row],[ENGINE_CLASS]]="MAGLEV","ELECTRIC",PROPERTIES[[#This Row],[ENGINE_CLASS]])</f>
        <v>RUNNING_COST_DIESEL</v>
      </c>
      <c r="V292" s="10" t="s">
        <v>1000</v>
      </c>
      <c r="W292" s="10" t="s">
        <v>1001</v>
      </c>
      <c r="X292" s="10" t="str">
        <f>SUBSTITUTE(SUBSTITUTE(PROPERTIES[[#This Row],[PURCHASECOST_VALUE]], "PURCHASECOST_", ""), "_VALUE", "")</f>
        <v>DIESELENGINE</v>
      </c>
      <c r="AP292"/>
      <c r="AQ292"/>
      <c r="AR292"/>
    </row>
    <row r="293" spans="1:44">
      <c r="A293" s="2" t="s">
        <v>316</v>
      </c>
      <c r="B293">
        <v>2009</v>
      </c>
      <c r="C293">
        <v>0</v>
      </c>
      <c r="D293" t="s">
        <v>35</v>
      </c>
      <c r="E293" t="s">
        <v>20</v>
      </c>
      <c r="F293">
        <v>0</v>
      </c>
      <c r="G293" s="10">
        <v>138</v>
      </c>
      <c r="H293">
        <v>8</v>
      </c>
      <c r="I293">
        <v>8</v>
      </c>
      <c r="J293" s="2" t="s">
        <v>20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>
        <v>4000</v>
      </c>
      <c r="O293">
        <v>120</v>
      </c>
      <c r="P293" s="2">
        <v>0.53</v>
      </c>
      <c r="Q293" s="6">
        <v>40</v>
      </c>
      <c r="R293" s="10">
        <v>0</v>
      </c>
      <c r="S293" s="10">
        <v>0</v>
      </c>
      <c r="T293" s="10"/>
      <c r="U293" t="str">
        <f>"RUNNING_COST_"&amp;IF(PROPERTIES[[#This Row],[ENGINE_CLASS]]="MAGLEV","ELECTRIC",PROPERTIES[[#This Row],[ENGINE_CLASS]])</f>
        <v>RUNNING_COST_DIESEL</v>
      </c>
      <c r="V293" s="10" t="s">
        <v>1000</v>
      </c>
      <c r="W293" s="10" t="s">
        <v>1001</v>
      </c>
      <c r="X293" s="10" t="str">
        <f>SUBSTITUTE(SUBSTITUTE(PROPERTIES[[#This Row],[PURCHASECOST_VALUE]], "PURCHASECOST_", ""), "_VALUE", "")</f>
        <v>DIESELENGINE</v>
      </c>
      <c r="AP293"/>
      <c r="AQ293"/>
      <c r="AR293"/>
    </row>
    <row r="294" spans="1:44">
      <c r="A294" s="2" t="s">
        <v>317</v>
      </c>
      <c r="B294">
        <v>2014</v>
      </c>
      <c r="C294">
        <v>0</v>
      </c>
      <c r="D294" t="s">
        <v>35</v>
      </c>
      <c r="E294" t="s">
        <v>20</v>
      </c>
      <c r="F294">
        <v>0</v>
      </c>
      <c r="G294" s="10">
        <v>123</v>
      </c>
      <c r="H294">
        <v>8</v>
      </c>
      <c r="I294">
        <v>8</v>
      </c>
      <c r="J294" s="2" t="s">
        <v>20</v>
      </c>
      <c r="K294">
        <f>_xlfn.XLOOKUP("LOADINGSPEEDDEF_"&amp;PROPERTIES[[#This Row],[LOADINGSPEED]],LOADINGSPEEDDEF[TYPE],LOADINGSPEEDDEF[SPEED])</f>
        <v>0</v>
      </c>
      <c r="L294" t="s">
        <v>21</v>
      </c>
      <c r="M294">
        <v>1</v>
      </c>
      <c r="N294">
        <v>4262</v>
      </c>
      <c r="O294">
        <v>130</v>
      </c>
      <c r="P294" s="2">
        <v>0.26</v>
      </c>
      <c r="Q294" s="6">
        <v>40</v>
      </c>
      <c r="R294" s="10">
        <v>0</v>
      </c>
      <c r="S294" s="10">
        <v>0</v>
      </c>
      <c r="T294" s="10"/>
      <c r="U294" t="str">
        <f>"RUNNING_COST_"&amp;IF(PROPERTIES[[#This Row],[ENGINE_CLASS]]="MAGLEV","ELECTRIC",PROPERTIES[[#This Row],[ENGINE_CLASS]])</f>
        <v>RUNNING_COST_DIESEL</v>
      </c>
      <c r="V294" s="10" t="s">
        <v>1000</v>
      </c>
      <c r="W294" s="10" t="s">
        <v>1001</v>
      </c>
      <c r="X294" s="10" t="str">
        <f>SUBSTITUTE(SUBSTITUTE(PROPERTIES[[#This Row],[PURCHASECOST_VALUE]], "PURCHASECOST_", ""), "_VALUE", "")</f>
        <v>DIESELENGINE</v>
      </c>
      <c r="AP294"/>
      <c r="AQ294"/>
      <c r="AR294"/>
    </row>
    <row r="295" spans="1:44">
      <c r="A295" s="2" t="s">
        <v>318</v>
      </c>
      <c r="B295">
        <v>1966</v>
      </c>
      <c r="C295">
        <v>0</v>
      </c>
      <c r="D295" t="s">
        <v>35</v>
      </c>
      <c r="E295" t="s">
        <v>20</v>
      </c>
      <c r="F295">
        <v>0</v>
      </c>
      <c r="G295" s="10">
        <v>64</v>
      </c>
      <c r="H295">
        <v>5</v>
      </c>
      <c r="I295">
        <v>5</v>
      </c>
      <c r="J295" s="2" t="s">
        <v>20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>
        <v>710</v>
      </c>
      <c r="O295">
        <v>120</v>
      </c>
      <c r="P295" s="2">
        <v>0.2</v>
      </c>
      <c r="Q295" s="6">
        <v>40</v>
      </c>
      <c r="R295" s="10">
        <v>0</v>
      </c>
      <c r="S295" s="10">
        <v>0</v>
      </c>
      <c r="T295" s="10"/>
      <c r="U295" t="str">
        <f>"RUNNING_COST_"&amp;IF(PROPERTIES[[#This Row],[ENGINE_CLASS]]="MAGLEV","ELECTRIC",PROPERTIES[[#This Row],[ENGINE_CLASS]])</f>
        <v>RUNNING_COST_DIESEL</v>
      </c>
      <c r="V295" s="10" t="s">
        <v>1000</v>
      </c>
      <c r="W295" s="10" t="s">
        <v>1001</v>
      </c>
      <c r="X295" s="10" t="str">
        <f>SUBSTITUTE(SUBSTITUTE(PROPERTIES[[#This Row],[PURCHASECOST_VALUE]], "PURCHASECOST_", ""), "_VALUE", "")</f>
        <v>DIESELENGINE</v>
      </c>
      <c r="AP295"/>
      <c r="AQ295"/>
      <c r="AR295"/>
    </row>
    <row r="296" spans="1:44">
      <c r="A296" s="2" t="s">
        <v>319</v>
      </c>
      <c r="B296">
        <v>2002</v>
      </c>
      <c r="C296">
        <v>0</v>
      </c>
      <c r="D296" t="s">
        <v>35</v>
      </c>
      <c r="E296" t="s">
        <v>20</v>
      </c>
      <c r="F296">
        <v>0</v>
      </c>
      <c r="G296" s="10">
        <v>124</v>
      </c>
      <c r="H296">
        <v>7</v>
      </c>
      <c r="I296">
        <v>7</v>
      </c>
      <c r="J296" s="2" t="s">
        <v>24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>
        <v>3300</v>
      </c>
      <c r="O296">
        <v>115</v>
      </c>
      <c r="P296" s="2">
        <v>0.34</v>
      </c>
      <c r="Q296" s="6">
        <v>40</v>
      </c>
      <c r="R296" s="10">
        <v>0</v>
      </c>
      <c r="S296" s="10">
        <v>0</v>
      </c>
      <c r="T296" s="10"/>
      <c r="U296" t="str">
        <f>"RUNNING_COST_"&amp;IF(PROPERTIES[[#This Row],[ENGINE_CLASS]]="MAGLEV","ELECTRIC",PROPERTIES[[#This Row],[ENGINE_CLASS]])</f>
        <v>RUNNING_COST_DIESEL</v>
      </c>
      <c r="V296" s="10" t="s">
        <v>1000</v>
      </c>
      <c r="W296" s="10" t="s">
        <v>1001</v>
      </c>
      <c r="X296" s="10" t="str">
        <f>SUBSTITUTE(SUBSTITUTE(PROPERTIES[[#This Row],[PURCHASECOST_VALUE]], "PURCHASECOST_", ""), "_VALUE", "")</f>
        <v>DIESELENGINE</v>
      </c>
      <c r="AP296"/>
      <c r="AQ296"/>
      <c r="AR296"/>
    </row>
    <row r="297" spans="1:44">
      <c r="A297" s="2" t="s">
        <v>320</v>
      </c>
      <c r="B297">
        <v>2006</v>
      </c>
      <c r="C297">
        <v>0</v>
      </c>
      <c r="D297" t="s">
        <v>35</v>
      </c>
      <c r="E297" t="s">
        <v>20</v>
      </c>
      <c r="F297">
        <v>0</v>
      </c>
      <c r="G297" s="10">
        <v>123</v>
      </c>
      <c r="H297">
        <v>8</v>
      </c>
      <c r="I297">
        <v>8</v>
      </c>
      <c r="J297" s="2" t="s">
        <v>20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>
        <v>4262</v>
      </c>
      <c r="O297">
        <v>120</v>
      </c>
      <c r="P297" s="2">
        <v>0.33</v>
      </c>
      <c r="Q297" s="6">
        <v>40</v>
      </c>
      <c r="R297" s="10">
        <v>0</v>
      </c>
      <c r="S297" s="10">
        <v>0</v>
      </c>
      <c r="T297" s="10"/>
      <c r="U297" t="str">
        <f>"RUNNING_COST_"&amp;IF(PROPERTIES[[#This Row],[ENGINE_CLASS]]="MAGLEV","ELECTRIC",PROPERTIES[[#This Row],[ENGINE_CLASS]])</f>
        <v>RUNNING_COST_DIESEL</v>
      </c>
      <c r="V297" s="10" t="s">
        <v>1000</v>
      </c>
      <c r="W297" s="10" t="s">
        <v>1001</v>
      </c>
      <c r="X297" s="10" t="str">
        <f>SUBSTITUTE(SUBSTITUTE(PROPERTIES[[#This Row],[PURCHASECOST_VALUE]], "PURCHASECOST_", ""), "_VALUE", "")</f>
        <v>DIESELENGINE</v>
      </c>
      <c r="AP297"/>
      <c r="AQ297"/>
      <c r="AR297"/>
    </row>
    <row r="298" spans="1:44">
      <c r="A298" s="2" t="s">
        <v>321</v>
      </c>
      <c r="B298">
        <v>2008</v>
      </c>
      <c r="C298">
        <v>0</v>
      </c>
      <c r="D298" t="s">
        <v>35</v>
      </c>
      <c r="E298" t="s">
        <v>20</v>
      </c>
      <c r="F298">
        <v>0</v>
      </c>
      <c r="G298" s="10">
        <v>140</v>
      </c>
      <c r="H298">
        <v>8</v>
      </c>
      <c r="I298">
        <v>8</v>
      </c>
      <c r="J298" s="2" t="s">
        <v>24</v>
      </c>
      <c r="K298">
        <f>_xlfn.XLOOKUP("LOADINGSPEEDDEF_"&amp;PROPERTIES[[#This Row],[LOADINGSPEED]],LOADINGSPEEDDEF[TYPE],LOADINGSPEEDDEF[SPEED])</f>
        <v>40</v>
      </c>
      <c r="L298" t="s">
        <v>21</v>
      </c>
      <c r="M298">
        <v>1</v>
      </c>
      <c r="N298">
        <v>4520</v>
      </c>
      <c r="O298">
        <v>115</v>
      </c>
      <c r="P298" s="2">
        <v>0.38</v>
      </c>
      <c r="Q298" s="6">
        <v>40</v>
      </c>
      <c r="R298" s="10">
        <v>0</v>
      </c>
      <c r="S298" s="10">
        <v>0</v>
      </c>
      <c r="T298" s="10"/>
      <c r="U298" t="str">
        <f>"RUNNING_COST_"&amp;IF(PROPERTIES[[#This Row],[ENGINE_CLASS]]="MAGLEV","ELECTRIC",PROPERTIES[[#This Row],[ENGINE_CLASS]])</f>
        <v>RUNNING_COST_DIESEL</v>
      </c>
      <c r="V298" s="10" t="s">
        <v>1000</v>
      </c>
      <c r="W298" s="10" t="s">
        <v>1001</v>
      </c>
      <c r="X298" s="10" t="str">
        <f>SUBSTITUTE(SUBSTITUTE(PROPERTIES[[#This Row],[PURCHASECOST_VALUE]], "PURCHASECOST_", ""), "_VALUE", "")</f>
        <v>DIESELENGINE</v>
      </c>
      <c r="AP298"/>
      <c r="AQ298"/>
      <c r="AR298"/>
    </row>
    <row r="299" spans="1:44">
      <c r="A299" s="2" t="s">
        <v>322</v>
      </c>
      <c r="B299">
        <v>2014</v>
      </c>
      <c r="C299">
        <v>0</v>
      </c>
      <c r="D299" t="s">
        <v>35</v>
      </c>
      <c r="E299" t="s">
        <v>20</v>
      </c>
      <c r="F299">
        <v>0</v>
      </c>
      <c r="G299" s="10">
        <v>85</v>
      </c>
      <c r="H299">
        <v>8</v>
      </c>
      <c r="I299">
        <v>8</v>
      </c>
      <c r="J299" s="2" t="s">
        <v>20</v>
      </c>
      <c r="K299">
        <f>_xlfn.XLOOKUP("LOADINGSPEEDDEF_"&amp;PROPERTIES[[#This Row],[LOADINGSPEED]],LOADINGSPEEDDEF[TYPE],LOADINGSPEEDDEF[SPEED])</f>
        <v>0</v>
      </c>
      <c r="L299" t="s">
        <v>21</v>
      </c>
      <c r="M299">
        <v>1</v>
      </c>
      <c r="N299">
        <v>3800</v>
      </c>
      <c r="O299">
        <v>160</v>
      </c>
      <c r="P299" s="2">
        <v>0.37</v>
      </c>
      <c r="Q299" s="6">
        <v>40</v>
      </c>
      <c r="R299" s="10">
        <v>0</v>
      </c>
      <c r="S299" s="10">
        <v>0</v>
      </c>
      <c r="T299" s="10"/>
      <c r="U299" t="str">
        <f>"RUNNING_COST_"&amp;IF(PROPERTIES[[#This Row],[ENGINE_CLASS]]="MAGLEV","ELECTRIC",PROPERTIES[[#This Row],[ENGINE_CLASS]])</f>
        <v>RUNNING_COST_DIESEL</v>
      </c>
      <c r="V299" s="10" t="s">
        <v>1000</v>
      </c>
      <c r="W299" s="10" t="s">
        <v>1001</v>
      </c>
      <c r="X299" s="10" t="str">
        <f>SUBSTITUTE(SUBSTITUTE(PROPERTIES[[#This Row],[PURCHASECOST_VALUE]], "PURCHASECOST_", ""), "_VALUE", "")</f>
        <v>DIESELENGINE</v>
      </c>
      <c r="AP299"/>
      <c r="AQ299"/>
      <c r="AR299"/>
    </row>
    <row r="300" spans="1:44">
      <c r="A300" s="2" t="s">
        <v>323</v>
      </c>
      <c r="B300">
        <v>2015</v>
      </c>
      <c r="C300">
        <v>0</v>
      </c>
      <c r="D300" t="s">
        <v>35</v>
      </c>
      <c r="E300" t="s">
        <v>20</v>
      </c>
      <c r="F300">
        <v>0</v>
      </c>
      <c r="G300" s="10">
        <v>120</v>
      </c>
      <c r="H300">
        <v>8</v>
      </c>
      <c r="I300">
        <v>8</v>
      </c>
      <c r="J300" s="2" t="s">
        <v>20</v>
      </c>
      <c r="K300">
        <f>_xlfn.XLOOKUP("LOADINGSPEEDDEF_"&amp;PROPERTIES[[#This Row],[LOADINGSPEED]],LOADINGSPEEDDEF[TYPE],LOADINGSPEEDDEF[SPEED])</f>
        <v>0</v>
      </c>
      <c r="L300" t="s">
        <v>21</v>
      </c>
      <c r="M300">
        <v>1</v>
      </c>
      <c r="N300">
        <v>4400</v>
      </c>
      <c r="O300">
        <v>201</v>
      </c>
      <c r="P300" s="2">
        <v>0.24</v>
      </c>
      <c r="Q300" s="6">
        <v>40</v>
      </c>
      <c r="R300" s="10">
        <v>0</v>
      </c>
      <c r="S300" s="10">
        <v>0</v>
      </c>
      <c r="T300" s="10"/>
      <c r="U300" t="str">
        <f>"RUNNING_COST_"&amp;IF(PROPERTIES[[#This Row],[ENGINE_CLASS]]="MAGLEV","ELECTRIC",PROPERTIES[[#This Row],[ENGINE_CLASS]])</f>
        <v>RUNNING_COST_DIESEL</v>
      </c>
      <c r="V300" s="10" t="s">
        <v>1000</v>
      </c>
      <c r="W300" s="10" t="s">
        <v>1001</v>
      </c>
      <c r="X300" s="10" t="str">
        <f>SUBSTITUTE(SUBSTITUTE(PROPERTIES[[#This Row],[PURCHASECOST_VALUE]], "PURCHASECOST_", ""), "_VALUE", "")</f>
        <v>DIESELENGINE</v>
      </c>
      <c r="AP300"/>
      <c r="AQ300"/>
      <c r="AR300"/>
    </row>
    <row r="301" spans="1:44">
      <c r="A301" s="2" t="s">
        <v>324</v>
      </c>
      <c r="B301">
        <v>1911</v>
      </c>
      <c r="C301">
        <v>1</v>
      </c>
      <c r="D301" t="s">
        <v>19</v>
      </c>
      <c r="E301" t="s">
        <v>325</v>
      </c>
      <c r="F301">
        <v>142</v>
      </c>
      <c r="G301" s="10">
        <v>50</v>
      </c>
      <c r="H301">
        <v>7</v>
      </c>
      <c r="I301">
        <v>7</v>
      </c>
      <c r="J301" s="2" t="s">
        <v>326</v>
      </c>
      <c r="K301">
        <f>_xlfn.XLOOKUP("LOADINGSPEEDDEF_"&amp;PROPERTIES[[#This Row],[LOADINGSPEED]],LOADINGSPEEDDEF[TYPE],LOADINGSPEEDDEF[SPEED])</f>
        <v>120</v>
      </c>
      <c r="L301">
        <v>45</v>
      </c>
      <c r="M301">
        <v>1</v>
      </c>
      <c r="N301">
        <v>230</v>
      </c>
      <c r="O301">
        <v>50</v>
      </c>
      <c r="P301" s="2">
        <v>0.16</v>
      </c>
      <c r="Q301" s="6">
        <v>60</v>
      </c>
      <c r="R301" s="10">
        <v>142</v>
      </c>
      <c r="S301" s="10">
        <v>7</v>
      </c>
      <c r="T301" s="10"/>
      <c r="U301" t="str">
        <f>"RUNNING_COST_"&amp;IF(PROPERTIES[[#This Row],[ENGINE_CLASS]]="MAGLEV","ELECTRIC",PROPERTIES[[#This Row],[ENGINE_CLASS]])</f>
        <v>RUNNING_COST_ELECTRIC</v>
      </c>
      <c r="V301" s="10" t="s">
        <v>1002</v>
      </c>
      <c r="W301" s="10" t="s">
        <v>1003</v>
      </c>
      <c r="X301" s="10" t="str">
        <f>SUBSTITUTE(SUBSTITUTE(PROPERTIES[[#This Row],[PURCHASECOST_VALUE]], "PURCHASECOST_", ""), "_VALUE", "")</f>
        <v>METRO</v>
      </c>
      <c r="AP301"/>
      <c r="AQ301"/>
      <c r="AR301"/>
    </row>
    <row r="302" spans="1:44">
      <c r="A302" s="2" t="s">
        <v>327</v>
      </c>
      <c r="B302">
        <v>1930</v>
      </c>
      <c r="C302">
        <v>1</v>
      </c>
      <c r="D302" t="s">
        <v>19</v>
      </c>
      <c r="E302" t="s">
        <v>325</v>
      </c>
      <c r="F302">
        <v>156</v>
      </c>
      <c r="G302" s="10">
        <v>38</v>
      </c>
      <c r="H302">
        <v>8</v>
      </c>
      <c r="I302">
        <v>8</v>
      </c>
      <c r="J302" s="2" t="s">
        <v>326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>
        <v>380</v>
      </c>
      <c r="O302">
        <v>90</v>
      </c>
      <c r="P302" s="2">
        <v>0.32</v>
      </c>
      <c r="Q302" s="6">
        <v>60</v>
      </c>
      <c r="R302" s="10">
        <v>156</v>
      </c>
      <c r="S302" s="10">
        <v>8</v>
      </c>
      <c r="T302" s="10"/>
      <c r="U302" t="str">
        <f>"RUNNING_COST_"&amp;IF(PROPERTIES[[#This Row],[ENGINE_CLASS]]="MAGLEV","ELECTRIC",PROPERTIES[[#This Row],[ENGINE_CLASS]])</f>
        <v>RUNNING_COST_ELECTRIC</v>
      </c>
      <c r="V302" s="10" t="s">
        <v>1002</v>
      </c>
      <c r="W302" s="10" t="s">
        <v>1003</v>
      </c>
      <c r="X302" s="10" t="str">
        <f>SUBSTITUTE(SUBSTITUTE(PROPERTIES[[#This Row],[PURCHASECOST_VALUE]], "PURCHASECOST_", ""), "_VALUE", "")</f>
        <v>METRO</v>
      </c>
      <c r="AP302"/>
      <c r="AQ302"/>
      <c r="AR302"/>
    </row>
    <row r="303" spans="1:44">
      <c r="A303" s="2" t="s">
        <v>328</v>
      </c>
      <c r="B303">
        <v>1942</v>
      </c>
      <c r="C303">
        <v>1</v>
      </c>
      <c r="D303" t="s">
        <v>19</v>
      </c>
      <c r="E303" t="s">
        <v>325</v>
      </c>
      <c r="F303">
        <v>160</v>
      </c>
      <c r="G303" s="10">
        <v>44</v>
      </c>
      <c r="H303">
        <v>8</v>
      </c>
      <c r="I303">
        <v>8</v>
      </c>
      <c r="J303" s="2" t="s">
        <v>326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>
        <v>520</v>
      </c>
      <c r="O303">
        <v>80</v>
      </c>
      <c r="P303" s="2">
        <v>0.32</v>
      </c>
      <c r="Q303" s="6">
        <v>60</v>
      </c>
      <c r="R303" s="10">
        <v>160</v>
      </c>
      <c r="S303" s="10">
        <v>8</v>
      </c>
      <c r="T303" s="10"/>
      <c r="U303" t="str">
        <f>"RUNNING_COST_"&amp;IF(PROPERTIES[[#This Row],[ENGINE_CLASS]]="MAGLEV","ELECTRIC",PROPERTIES[[#This Row],[ENGINE_CLASS]])</f>
        <v>RUNNING_COST_ELECTRIC</v>
      </c>
      <c r="V303" s="10" t="s">
        <v>1002</v>
      </c>
      <c r="W303" s="10" t="s">
        <v>1003</v>
      </c>
      <c r="X303" s="10" t="str">
        <f>SUBSTITUTE(SUBSTITUTE(PROPERTIES[[#This Row],[PURCHASECOST_VALUE]], "PURCHASECOST_", ""), "_VALUE", "")</f>
        <v>METRO</v>
      </c>
      <c r="AP303"/>
      <c r="AQ303"/>
      <c r="AR303"/>
    </row>
    <row r="304" spans="1:44">
      <c r="A304" s="2" t="s">
        <v>329</v>
      </c>
      <c r="B304">
        <v>1957</v>
      </c>
      <c r="C304">
        <v>1</v>
      </c>
      <c r="D304" t="s">
        <v>19</v>
      </c>
      <c r="E304" t="s">
        <v>325</v>
      </c>
      <c r="F304">
        <v>140</v>
      </c>
      <c r="G304" s="10">
        <v>37</v>
      </c>
      <c r="H304">
        <v>7</v>
      </c>
      <c r="I304">
        <v>7</v>
      </c>
      <c r="J304" s="2" t="s">
        <v>326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>
        <v>450</v>
      </c>
      <c r="O304">
        <v>80</v>
      </c>
      <c r="P304" s="2">
        <v>0.32</v>
      </c>
      <c r="Q304" s="6">
        <v>60</v>
      </c>
      <c r="R304" s="10">
        <v>140</v>
      </c>
      <c r="S304" s="10">
        <v>7</v>
      </c>
      <c r="T304" s="10"/>
      <c r="U304" t="str">
        <f>"RUNNING_COST_"&amp;IF(PROPERTIES[[#This Row],[ENGINE_CLASS]]="MAGLEV","ELECTRIC",PROPERTIES[[#This Row],[ENGINE_CLASS]])</f>
        <v>RUNNING_COST_ELECTRIC</v>
      </c>
      <c r="V304" s="10" t="s">
        <v>1002</v>
      </c>
      <c r="W304" s="10" t="s">
        <v>1003</v>
      </c>
      <c r="X304" s="10" t="str">
        <f>SUBSTITUTE(SUBSTITUTE(PROPERTIES[[#This Row],[PURCHASECOST_VALUE]], "PURCHASECOST_", ""), "_VALUE", "")</f>
        <v>METRO</v>
      </c>
      <c r="AP304"/>
      <c r="AQ304"/>
      <c r="AR304"/>
    </row>
    <row r="305" spans="1:44">
      <c r="A305" s="2" t="s">
        <v>330</v>
      </c>
      <c r="B305">
        <v>1959</v>
      </c>
      <c r="C305">
        <v>1</v>
      </c>
      <c r="D305" t="s">
        <v>19</v>
      </c>
      <c r="E305" t="s">
        <v>325</v>
      </c>
      <c r="F305">
        <v>160</v>
      </c>
      <c r="G305" s="10">
        <v>35</v>
      </c>
      <c r="H305">
        <v>8</v>
      </c>
      <c r="I305">
        <v>8</v>
      </c>
      <c r="J305" s="2" t="s">
        <v>326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>
        <v>535</v>
      </c>
      <c r="O305">
        <v>60</v>
      </c>
      <c r="P305" s="2">
        <v>0.48</v>
      </c>
      <c r="Q305" s="6">
        <v>60</v>
      </c>
      <c r="R305" s="10">
        <v>160</v>
      </c>
      <c r="S305" s="10">
        <v>8</v>
      </c>
      <c r="T305" s="10"/>
      <c r="U305" t="str">
        <f>"RUNNING_COST_"&amp;IF(PROPERTIES[[#This Row],[ENGINE_CLASS]]="MAGLEV","ELECTRIC",PROPERTIES[[#This Row],[ENGINE_CLASS]])</f>
        <v>RUNNING_COST_ELECTRIC</v>
      </c>
      <c r="V305" s="10" t="s">
        <v>1002</v>
      </c>
      <c r="W305" s="10" t="s">
        <v>1003</v>
      </c>
      <c r="X305" s="10" t="str">
        <f>SUBSTITUTE(SUBSTITUTE(PROPERTIES[[#This Row],[PURCHASECOST_VALUE]], "PURCHASECOST_", ""), "_VALUE", "")</f>
        <v>METRO</v>
      </c>
      <c r="AP305"/>
      <c r="AQ305"/>
      <c r="AR305"/>
    </row>
    <row r="306" spans="1:44">
      <c r="A306" s="2" t="s">
        <v>331</v>
      </c>
      <c r="B306">
        <v>1960</v>
      </c>
      <c r="C306">
        <v>1</v>
      </c>
      <c r="D306" t="s">
        <v>19</v>
      </c>
      <c r="E306" t="s">
        <v>325</v>
      </c>
      <c r="F306">
        <v>150</v>
      </c>
      <c r="G306" s="10">
        <v>45</v>
      </c>
      <c r="H306">
        <v>8</v>
      </c>
      <c r="I306">
        <v>8</v>
      </c>
      <c r="J306" s="2" t="s">
        <v>326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>
        <v>500</v>
      </c>
      <c r="O306">
        <v>100</v>
      </c>
      <c r="P306" s="2">
        <v>0.22</v>
      </c>
      <c r="Q306" s="6">
        <v>60</v>
      </c>
      <c r="R306" s="10">
        <v>150</v>
      </c>
      <c r="S306" s="10">
        <v>8</v>
      </c>
      <c r="T306" s="10"/>
      <c r="U306" t="str">
        <f>"RUNNING_COST_"&amp;IF(PROPERTIES[[#This Row],[ENGINE_CLASS]]="MAGLEV","ELECTRIC",PROPERTIES[[#This Row],[ENGINE_CLASS]])</f>
        <v>RUNNING_COST_ELECTRIC</v>
      </c>
      <c r="V306" s="10" t="s">
        <v>1002</v>
      </c>
      <c r="W306" s="10" t="s">
        <v>1003</v>
      </c>
      <c r="X306" s="10" t="str">
        <f>SUBSTITUTE(SUBSTITUTE(PROPERTIES[[#This Row],[PURCHASECOST_VALUE]], "PURCHASECOST_", ""), "_VALUE", "")</f>
        <v>METRO</v>
      </c>
      <c r="AP306"/>
      <c r="AQ306"/>
      <c r="AR306"/>
    </row>
    <row r="307" spans="1:44">
      <c r="A307" s="2" t="s">
        <v>332</v>
      </c>
      <c r="B307">
        <v>1964</v>
      </c>
      <c r="C307">
        <v>1</v>
      </c>
      <c r="D307" t="s">
        <v>19</v>
      </c>
      <c r="E307" t="s">
        <v>325</v>
      </c>
      <c r="F307">
        <v>180</v>
      </c>
      <c r="G307" s="10">
        <v>28</v>
      </c>
      <c r="H307">
        <v>7</v>
      </c>
      <c r="I307">
        <v>7</v>
      </c>
      <c r="J307" s="2" t="s">
        <v>326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>
        <v>131</v>
      </c>
      <c r="O307">
        <v>70</v>
      </c>
      <c r="P307" s="2">
        <v>0.55000000000000004</v>
      </c>
      <c r="Q307" s="6">
        <v>60</v>
      </c>
      <c r="R307" s="10">
        <v>180</v>
      </c>
      <c r="S307" s="10">
        <v>7</v>
      </c>
      <c r="T307" s="10"/>
      <c r="U307" t="str">
        <f>"RUNNING_COST_"&amp;IF(PROPERTIES[[#This Row],[ENGINE_CLASS]]="MAGLEV","ELECTRIC",PROPERTIES[[#This Row],[ENGINE_CLASS]])</f>
        <v>RUNNING_COST_ELECTRIC</v>
      </c>
      <c r="V307" s="10" t="s">
        <v>1002</v>
      </c>
      <c r="W307" s="10" t="s">
        <v>1003</v>
      </c>
      <c r="X307" s="10" t="str">
        <f>SUBSTITUTE(SUBSTITUTE(PROPERTIES[[#This Row],[PURCHASECOST_VALUE]], "PURCHASECOST_", ""), "_VALUE", "")</f>
        <v>METRO</v>
      </c>
      <c r="AP307"/>
      <c r="AQ307"/>
      <c r="AR307"/>
    </row>
    <row r="308" spans="1:44">
      <c r="A308" s="2" t="s">
        <v>333</v>
      </c>
      <c r="B308">
        <v>1965</v>
      </c>
      <c r="C308">
        <v>1</v>
      </c>
      <c r="D308" t="s">
        <v>19</v>
      </c>
      <c r="E308" t="s">
        <v>325</v>
      </c>
      <c r="F308">
        <v>210</v>
      </c>
      <c r="G308" s="10">
        <v>51</v>
      </c>
      <c r="H308">
        <v>8</v>
      </c>
      <c r="I308">
        <v>8</v>
      </c>
      <c r="J308" s="2" t="s">
        <v>326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>
        <v>484</v>
      </c>
      <c r="O308">
        <v>88</v>
      </c>
      <c r="P308" s="2">
        <v>0.31</v>
      </c>
      <c r="Q308" s="6">
        <v>60</v>
      </c>
      <c r="R308" s="10">
        <v>210</v>
      </c>
      <c r="S308" s="10">
        <v>8</v>
      </c>
      <c r="T308" s="10"/>
      <c r="U308" t="str">
        <f>"RUNNING_COST_"&amp;IF(PROPERTIES[[#This Row],[ENGINE_CLASS]]="MAGLEV","ELECTRIC",PROPERTIES[[#This Row],[ENGINE_CLASS]])</f>
        <v>RUNNING_COST_ELECTRIC</v>
      </c>
      <c r="V308" s="10" t="s">
        <v>1002</v>
      </c>
      <c r="W308" s="10" t="s">
        <v>1003</v>
      </c>
      <c r="X308" s="10" t="str">
        <f>SUBSTITUTE(SUBSTITUTE(PROPERTIES[[#This Row],[PURCHASECOST_VALUE]], "PURCHASECOST_", ""), "_VALUE", "")</f>
        <v>METRO</v>
      </c>
      <c r="AP308"/>
      <c r="AQ308"/>
      <c r="AR308"/>
    </row>
    <row r="309" spans="1:44">
      <c r="A309" s="2" t="s">
        <v>334</v>
      </c>
      <c r="B309">
        <v>1967</v>
      </c>
      <c r="C309">
        <v>1</v>
      </c>
      <c r="D309" t="s">
        <v>19</v>
      </c>
      <c r="E309" t="s">
        <v>325</v>
      </c>
      <c r="F309">
        <v>195</v>
      </c>
      <c r="G309" s="10">
        <v>26</v>
      </c>
      <c r="H309">
        <v>8</v>
      </c>
      <c r="I309">
        <v>8</v>
      </c>
      <c r="J309" s="2" t="s">
        <v>326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>
        <v>480</v>
      </c>
      <c r="O309">
        <v>80</v>
      </c>
      <c r="P309" s="2">
        <v>0.38</v>
      </c>
      <c r="Q309" s="6">
        <v>60</v>
      </c>
      <c r="R309" s="10">
        <v>195</v>
      </c>
      <c r="S309" s="10">
        <v>8</v>
      </c>
      <c r="T309" s="10"/>
      <c r="U309" t="str">
        <f>"RUNNING_COST_"&amp;IF(PROPERTIES[[#This Row],[ENGINE_CLASS]]="MAGLEV","ELECTRIC",PROPERTIES[[#This Row],[ENGINE_CLASS]])</f>
        <v>RUNNING_COST_ELECTRIC</v>
      </c>
      <c r="V309" s="10" t="s">
        <v>1002</v>
      </c>
      <c r="W309" s="10" t="s">
        <v>1003</v>
      </c>
      <c r="X309" s="10" t="str">
        <f>SUBSTITUTE(SUBSTITUTE(PROPERTIES[[#This Row],[PURCHASECOST_VALUE]], "PURCHASECOST_", ""), "_VALUE", "")</f>
        <v>METRO</v>
      </c>
      <c r="AP309"/>
      <c r="AQ309"/>
      <c r="AR309"/>
    </row>
    <row r="310" spans="1:44">
      <c r="A310" s="2" t="s">
        <v>335</v>
      </c>
      <c r="B310">
        <v>1971</v>
      </c>
      <c r="C310">
        <v>1</v>
      </c>
      <c r="D310" t="s">
        <v>19</v>
      </c>
      <c r="E310" t="s">
        <v>325</v>
      </c>
      <c r="F310">
        <v>162</v>
      </c>
      <c r="G310" s="10">
        <v>40</v>
      </c>
      <c r="H310">
        <v>8</v>
      </c>
      <c r="I310">
        <v>8</v>
      </c>
      <c r="J310" s="2" t="s">
        <v>326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>
        <v>460</v>
      </c>
      <c r="O310">
        <v>90</v>
      </c>
      <c r="P310" s="2">
        <v>0.32</v>
      </c>
      <c r="Q310" s="6">
        <v>60</v>
      </c>
      <c r="R310" s="10">
        <v>162</v>
      </c>
      <c r="S310" s="10">
        <v>8</v>
      </c>
      <c r="T310" s="10"/>
      <c r="U310" t="str">
        <f>"RUNNING_COST_"&amp;IF(PROPERTIES[[#This Row],[ENGINE_CLASS]]="MAGLEV","ELECTRIC",PROPERTIES[[#This Row],[ENGINE_CLASS]])</f>
        <v>RUNNING_COST_ELECTRIC</v>
      </c>
      <c r="V310" s="10" t="s">
        <v>1002</v>
      </c>
      <c r="W310" s="10" t="s">
        <v>1003</v>
      </c>
      <c r="X310" s="10" t="str">
        <f>SUBSTITUTE(SUBSTITUTE(PROPERTIES[[#This Row],[PURCHASECOST_VALUE]], "PURCHASECOST_", ""), "_VALUE", "")</f>
        <v>METRO</v>
      </c>
      <c r="AP310"/>
      <c r="AQ310"/>
      <c r="AR310"/>
    </row>
    <row r="311" spans="1:44">
      <c r="A311" s="2" t="s">
        <v>336</v>
      </c>
      <c r="B311">
        <v>1973</v>
      </c>
      <c r="C311">
        <v>1</v>
      </c>
      <c r="D311" t="s">
        <v>19</v>
      </c>
      <c r="E311" t="s">
        <v>325</v>
      </c>
      <c r="F311">
        <v>174</v>
      </c>
      <c r="G311" s="10">
        <v>31</v>
      </c>
      <c r="H311">
        <v>8</v>
      </c>
      <c r="I311">
        <v>8</v>
      </c>
      <c r="J311" s="2" t="s">
        <v>326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>
        <v>580</v>
      </c>
      <c r="O311">
        <v>90</v>
      </c>
      <c r="P311" s="2">
        <v>0.73</v>
      </c>
      <c r="Q311" s="6">
        <v>60</v>
      </c>
      <c r="R311" s="10">
        <v>174</v>
      </c>
      <c r="S311" s="10">
        <v>7</v>
      </c>
      <c r="T311" s="10"/>
      <c r="U311" t="str">
        <f>"RUNNING_COST_"&amp;IF(PROPERTIES[[#This Row],[ENGINE_CLASS]]="MAGLEV","ELECTRIC",PROPERTIES[[#This Row],[ENGINE_CLASS]])</f>
        <v>RUNNING_COST_ELECTRIC</v>
      </c>
      <c r="V311" s="10" t="s">
        <v>1002</v>
      </c>
      <c r="W311" s="10" t="s">
        <v>1003</v>
      </c>
      <c r="X311" s="10" t="str">
        <f>SUBSTITUTE(SUBSTITUTE(PROPERTIES[[#This Row],[PURCHASECOST_VALUE]], "PURCHASECOST_", ""), "_VALUE", "")</f>
        <v>METRO</v>
      </c>
      <c r="AP311"/>
      <c r="AQ311"/>
      <c r="AR311"/>
    </row>
    <row r="312" spans="1:44">
      <c r="A312" s="2" t="s">
        <v>337</v>
      </c>
      <c r="B312">
        <v>1974</v>
      </c>
      <c r="C312">
        <v>1</v>
      </c>
      <c r="D312" t="s">
        <v>19</v>
      </c>
      <c r="E312" t="s">
        <v>325</v>
      </c>
      <c r="F312">
        <v>158</v>
      </c>
      <c r="G312" s="10">
        <v>23</v>
      </c>
      <c r="H312">
        <v>8</v>
      </c>
      <c r="I312">
        <v>8</v>
      </c>
      <c r="J312" s="2" t="s">
        <v>326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>
        <v>470</v>
      </c>
      <c r="O312">
        <v>90</v>
      </c>
      <c r="P312" s="2">
        <v>0.38</v>
      </c>
      <c r="Q312" s="6">
        <v>60</v>
      </c>
      <c r="R312" s="10">
        <v>158</v>
      </c>
      <c r="S312" s="10">
        <v>8</v>
      </c>
      <c r="T312" s="10"/>
      <c r="U312" t="str">
        <f>"RUNNING_COST_"&amp;IF(PROPERTIES[[#This Row],[ENGINE_CLASS]]="MAGLEV","ELECTRIC",PROPERTIES[[#This Row],[ENGINE_CLASS]])</f>
        <v>RUNNING_COST_ELECTRIC</v>
      </c>
      <c r="V312" s="10" t="s">
        <v>1002</v>
      </c>
      <c r="W312" s="10" t="s">
        <v>1003</v>
      </c>
      <c r="X312" s="10" t="str">
        <f>SUBSTITUTE(SUBSTITUTE(PROPERTIES[[#This Row],[PURCHASECOST_VALUE]], "PURCHASECOST_", ""), "_VALUE", "")</f>
        <v>METRO</v>
      </c>
      <c r="AP312"/>
      <c r="AQ312"/>
      <c r="AR312"/>
    </row>
    <row r="313" spans="1:44">
      <c r="A313" s="2" t="s">
        <v>338</v>
      </c>
      <c r="B313">
        <v>1975</v>
      </c>
      <c r="C313">
        <v>1</v>
      </c>
      <c r="D313" t="s">
        <v>19</v>
      </c>
      <c r="E313" t="s">
        <v>325</v>
      </c>
      <c r="F313">
        <v>180</v>
      </c>
      <c r="G313" s="10">
        <v>40</v>
      </c>
      <c r="H313">
        <v>8</v>
      </c>
      <c r="I313">
        <v>8</v>
      </c>
      <c r="J313" s="2" t="s">
        <v>326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>
        <v>350</v>
      </c>
      <c r="O313">
        <v>100</v>
      </c>
      <c r="P313" s="2">
        <v>0.38</v>
      </c>
      <c r="Q313" s="6">
        <v>60</v>
      </c>
      <c r="R313" s="10">
        <v>180</v>
      </c>
      <c r="S313" s="10">
        <v>8</v>
      </c>
      <c r="T313" s="10"/>
      <c r="U313" t="str">
        <f>"RUNNING_COST_"&amp;IF(PROPERTIES[[#This Row],[ENGINE_CLASS]]="MAGLEV","ELECTRIC",PROPERTIES[[#This Row],[ENGINE_CLASS]])</f>
        <v>RUNNING_COST_ELECTRIC</v>
      </c>
      <c r="V313" s="10" t="s">
        <v>1002</v>
      </c>
      <c r="W313" s="10" t="s">
        <v>1003</v>
      </c>
      <c r="X313" s="10" t="str">
        <f>SUBSTITUTE(SUBSTITUTE(PROPERTIES[[#This Row],[PURCHASECOST_VALUE]], "PURCHASECOST_", ""), "_VALUE", "")</f>
        <v>METRO</v>
      </c>
      <c r="AP313"/>
      <c r="AQ313"/>
      <c r="AR313"/>
    </row>
    <row r="314" spans="1:44">
      <c r="A314" s="2" t="s">
        <v>339</v>
      </c>
      <c r="B314">
        <v>1977</v>
      </c>
      <c r="C314">
        <v>1</v>
      </c>
      <c r="D314" t="s">
        <v>19</v>
      </c>
      <c r="E314" t="s">
        <v>325</v>
      </c>
      <c r="F314">
        <v>165</v>
      </c>
      <c r="G314" s="10">
        <v>31</v>
      </c>
      <c r="H314">
        <v>8</v>
      </c>
      <c r="I314">
        <v>8</v>
      </c>
      <c r="J314" s="2" t="s">
        <v>326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>
        <v>680</v>
      </c>
      <c r="O314">
        <v>90</v>
      </c>
      <c r="P314" s="2">
        <v>0.48</v>
      </c>
      <c r="Q314" s="6">
        <v>60</v>
      </c>
      <c r="R314" s="10">
        <v>165</v>
      </c>
      <c r="S314" s="10">
        <v>8</v>
      </c>
      <c r="T314" s="10"/>
      <c r="U314" t="str">
        <f>"RUNNING_COST_"&amp;IF(PROPERTIES[[#This Row],[ENGINE_CLASS]]="MAGLEV","ELECTRIC",PROPERTIES[[#This Row],[ENGINE_CLASS]])</f>
        <v>RUNNING_COST_ELECTRIC</v>
      </c>
      <c r="V314" s="10" t="s">
        <v>1002</v>
      </c>
      <c r="W314" s="10" t="s">
        <v>1003</v>
      </c>
      <c r="X314" s="10" t="str">
        <f>SUBSTITUTE(SUBSTITUTE(PROPERTIES[[#This Row],[PURCHASECOST_VALUE]], "PURCHASECOST_", ""), "_VALUE", "")</f>
        <v>METRO</v>
      </c>
      <c r="AP314"/>
      <c r="AQ314"/>
      <c r="AR314"/>
    </row>
    <row r="315" spans="1:44">
      <c r="A315" s="2" t="s">
        <v>340</v>
      </c>
      <c r="B315">
        <v>1979</v>
      </c>
      <c r="C315">
        <v>1</v>
      </c>
      <c r="D315" t="s">
        <v>19</v>
      </c>
      <c r="E315" t="s">
        <v>325</v>
      </c>
      <c r="F315">
        <v>230</v>
      </c>
      <c r="G315" s="10">
        <v>37</v>
      </c>
      <c r="H315">
        <v>8</v>
      </c>
      <c r="I315">
        <v>8</v>
      </c>
      <c r="J315" s="2" t="s">
        <v>326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>
        <v>250</v>
      </c>
      <c r="O315">
        <v>90</v>
      </c>
      <c r="P315" s="2">
        <v>0.38</v>
      </c>
      <c r="Q315" s="6">
        <v>60</v>
      </c>
      <c r="R315" s="10">
        <v>230</v>
      </c>
      <c r="S315" s="10">
        <v>8</v>
      </c>
      <c r="T315" s="10"/>
      <c r="U315" t="str">
        <f>"RUNNING_COST_"&amp;IF(PROPERTIES[[#This Row],[ENGINE_CLASS]]="MAGLEV","ELECTRIC",PROPERTIES[[#This Row],[ENGINE_CLASS]])</f>
        <v>RUNNING_COST_ELECTRIC</v>
      </c>
      <c r="V315" s="10" t="s">
        <v>1002</v>
      </c>
      <c r="W315" s="10" t="s">
        <v>1003</v>
      </c>
      <c r="X315" s="10" t="str">
        <f>SUBSTITUTE(SUBSTITUTE(PROPERTIES[[#This Row],[PURCHASECOST_VALUE]], "PURCHASECOST_", ""), "_VALUE", "")</f>
        <v>METRO</v>
      </c>
      <c r="AP315"/>
      <c r="AQ315"/>
      <c r="AR315"/>
    </row>
    <row r="316" spans="1:44">
      <c r="A316" s="2" t="s">
        <v>341</v>
      </c>
      <c r="B316">
        <v>1981</v>
      </c>
      <c r="C316">
        <v>1</v>
      </c>
      <c r="D316" t="s">
        <v>19</v>
      </c>
      <c r="E316" t="s">
        <v>325</v>
      </c>
      <c r="F316">
        <v>144</v>
      </c>
      <c r="G316" s="10">
        <v>34</v>
      </c>
      <c r="H316">
        <v>8</v>
      </c>
      <c r="I316">
        <v>8</v>
      </c>
      <c r="J316" s="2" t="s">
        <v>326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>
        <v>616</v>
      </c>
      <c r="O316">
        <v>100</v>
      </c>
      <c r="P316" s="2">
        <v>0.67</v>
      </c>
      <c r="Q316" s="6">
        <v>60</v>
      </c>
      <c r="R316" s="10">
        <v>144</v>
      </c>
      <c r="S316" s="10">
        <v>8</v>
      </c>
      <c r="T316" s="10"/>
      <c r="U316" t="str">
        <f>"RUNNING_COST_"&amp;IF(PROPERTIES[[#This Row],[ENGINE_CLASS]]="MAGLEV","ELECTRIC",PROPERTIES[[#This Row],[ENGINE_CLASS]])</f>
        <v>RUNNING_COST_ELECTRIC</v>
      </c>
      <c r="V316" s="10" t="s">
        <v>1002</v>
      </c>
      <c r="W316" s="10" t="s">
        <v>1003</v>
      </c>
      <c r="X316" s="10" t="str">
        <f>SUBSTITUTE(SUBSTITUTE(PROPERTIES[[#This Row],[PURCHASECOST_VALUE]], "PURCHASECOST_", ""), "_VALUE", "")</f>
        <v>METRO</v>
      </c>
      <c r="AP316"/>
      <c r="AQ316"/>
      <c r="AR316"/>
    </row>
    <row r="317" spans="1:44">
      <c r="A317" s="2" t="s">
        <v>342</v>
      </c>
      <c r="B317">
        <v>1985</v>
      </c>
      <c r="C317">
        <v>1</v>
      </c>
      <c r="D317" t="s">
        <v>19</v>
      </c>
      <c r="E317" t="s">
        <v>325</v>
      </c>
      <c r="F317">
        <v>120</v>
      </c>
      <c r="G317" s="10">
        <v>35</v>
      </c>
      <c r="H317">
        <v>8</v>
      </c>
      <c r="I317">
        <v>8</v>
      </c>
      <c r="J317" s="2" t="s">
        <v>326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>
        <v>700</v>
      </c>
      <c r="O317">
        <v>120</v>
      </c>
      <c r="P317" s="2">
        <v>0.95</v>
      </c>
      <c r="Q317" s="6">
        <v>60</v>
      </c>
      <c r="R317" s="10">
        <v>120</v>
      </c>
      <c r="S317" s="10">
        <v>8</v>
      </c>
      <c r="T317" s="10"/>
      <c r="U317" t="str">
        <f>"RUNNING_COST_"&amp;IF(PROPERTIES[[#This Row],[ENGINE_CLASS]]="MAGLEV","ELECTRIC",PROPERTIES[[#This Row],[ENGINE_CLASS]])</f>
        <v>RUNNING_COST_ELECTRIC</v>
      </c>
      <c r="V317" s="10" t="s">
        <v>1002</v>
      </c>
      <c r="W317" s="10" t="s">
        <v>1003</v>
      </c>
      <c r="X317" s="10" t="str">
        <f>SUBSTITUTE(SUBSTITUTE(PROPERTIES[[#This Row],[PURCHASECOST_VALUE]], "PURCHASECOST_", ""), "_VALUE", "")</f>
        <v>METRO</v>
      </c>
      <c r="AP317"/>
      <c r="AQ317"/>
      <c r="AR317"/>
    </row>
    <row r="318" spans="1:44">
      <c r="A318" s="2" t="s">
        <v>343</v>
      </c>
      <c r="B318">
        <v>1987</v>
      </c>
      <c r="C318">
        <v>1</v>
      </c>
      <c r="D318" t="s">
        <v>19</v>
      </c>
      <c r="E318" t="s">
        <v>325</v>
      </c>
      <c r="F318">
        <v>250</v>
      </c>
      <c r="G318" s="10">
        <v>34</v>
      </c>
      <c r="H318">
        <v>8</v>
      </c>
      <c r="I318">
        <v>8</v>
      </c>
      <c r="J318" s="2" t="s">
        <v>326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>
        <v>590</v>
      </c>
      <c r="O318">
        <v>90</v>
      </c>
      <c r="P318" s="2">
        <v>0.59</v>
      </c>
      <c r="Q318" s="6">
        <v>60</v>
      </c>
      <c r="R318" s="10">
        <v>250</v>
      </c>
      <c r="S318" s="10">
        <v>8</v>
      </c>
      <c r="T318" s="10"/>
      <c r="U318" t="str">
        <f>"RUNNING_COST_"&amp;IF(PROPERTIES[[#This Row],[ENGINE_CLASS]]="MAGLEV","ELECTRIC",PROPERTIES[[#This Row],[ENGINE_CLASS]])</f>
        <v>RUNNING_COST_ELECTRIC</v>
      </c>
      <c r="V318" s="10" t="s">
        <v>1002</v>
      </c>
      <c r="W318" s="10" t="s">
        <v>1003</v>
      </c>
      <c r="X318" s="10" t="str">
        <f>SUBSTITUTE(SUBSTITUTE(PROPERTIES[[#This Row],[PURCHASECOST_VALUE]], "PURCHASECOST_", ""), "_VALUE", "")</f>
        <v>METRO</v>
      </c>
      <c r="AP318"/>
      <c r="AQ318"/>
      <c r="AR318"/>
    </row>
    <row r="319" spans="1:44">
      <c r="A319" s="2" t="s">
        <v>344</v>
      </c>
      <c r="B319">
        <v>1987</v>
      </c>
      <c r="C319">
        <v>1</v>
      </c>
      <c r="D319" t="s">
        <v>19</v>
      </c>
      <c r="E319" t="s">
        <v>325</v>
      </c>
      <c r="F319">
        <v>200</v>
      </c>
      <c r="G319" s="10">
        <v>40</v>
      </c>
      <c r="H319">
        <v>6</v>
      </c>
      <c r="I319">
        <v>6</v>
      </c>
      <c r="J319" s="2" t="s">
        <v>326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>
        <v>500</v>
      </c>
      <c r="O319">
        <v>80</v>
      </c>
      <c r="P319" s="2">
        <v>0.31</v>
      </c>
      <c r="Q319" s="6">
        <v>60</v>
      </c>
      <c r="R319" s="10">
        <v>200</v>
      </c>
      <c r="S319" s="10">
        <v>6</v>
      </c>
      <c r="T319" s="10"/>
      <c r="U319" t="str">
        <f>"RUNNING_COST_"&amp;IF(PROPERTIES[[#This Row],[ENGINE_CLASS]]="MAGLEV","ELECTRIC",PROPERTIES[[#This Row],[ENGINE_CLASS]])</f>
        <v>RUNNING_COST_ELECTRIC</v>
      </c>
      <c r="V319" s="10" t="s">
        <v>1002</v>
      </c>
      <c r="W319" s="10" t="s">
        <v>1003</v>
      </c>
      <c r="X319" s="10" t="str">
        <f>SUBSTITUTE(SUBSTITUTE(PROPERTIES[[#This Row],[PURCHASECOST_VALUE]], "PURCHASECOST_", ""), "_VALUE", "")</f>
        <v>METRO</v>
      </c>
      <c r="AP319"/>
      <c r="AQ319"/>
      <c r="AR319"/>
    </row>
    <row r="320" spans="1:44">
      <c r="A320" s="2" t="s">
        <v>345</v>
      </c>
      <c r="B320">
        <v>1987</v>
      </c>
      <c r="C320">
        <v>1</v>
      </c>
      <c r="D320" t="s">
        <v>19</v>
      </c>
      <c r="E320" t="s">
        <v>325</v>
      </c>
      <c r="F320">
        <v>147</v>
      </c>
      <c r="G320" s="10">
        <v>18</v>
      </c>
      <c r="H320">
        <v>8</v>
      </c>
      <c r="I320">
        <v>8</v>
      </c>
      <c r="J320" s="2" t="s">
        <v>326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>
        <v>600</v>
      </c>
      <c r="O320">
        <v>80</v>
      </c>
      <c r="P320" s="2">
        <v>0.83</v>
      </c>
      <c r="Q320" s="6">
        <v>60</v>
      </c>
      <c r="R320" s="10">
        <v>147</v>
      </c>
      <c r="S320" s="10">
        <v>8</v>
      </c>
      <c r="T320" s="10"/>
      <c r="U320" t="str">
        <f>"RUNNING_COST_"&amp;IF(PROPERTIES[[#This Row],[ENGINE_CLASS]]="MAGLEV","ELECTRIC",PROPERTIES[[#This Row],[ENGINE_CLASS]])</f>
        <v>RUNNING_COST_ELECTRIC</v>
      </c>
      <c r="V320" s="10" t="s">
        <v>1002</v>
      </c>
      <c r="W320" s="10" t="s">
        <v>1003</v>
      </c>
      <c r="X320" s="10" t="str">
        <f>SUBSTITUTE(SUBSTITUTE(PROPERTIES[[#This Row],[PURCHASECOST_VALUE]], "PURCHASECOST_", ""), "_VALUE", "")</f>
        <v>METRO</v>
      </c>
      <c r="AP320"/>
      <c r="AQ320"/>
      <c r="AR320"/>
    </row>
    <row r="321" spans="1:44">
      <c r="A321" s="2" t="s">
        <v>346</v>
      </c>
      <c r="B321">
        <v>1993</v>
      </c>
      <c r="C321">
        <v>1</v>
      </c>
      <c r="D321" t="s">
        <v>19</v>
      </c>
      <c r="E321" t="s">
        <v>325</v>
      </c>
      <c r="F321">
        <v>150</v>
      </c>
      <c r="G321" s="10">
        <v>31</v>
      </c>
      <c r="H321">
        <v>8</v>
      </c>
      <c r="I321">
        <v>8</v>
      </c>
      <c r="J321" s="2" t="s">
        <v>326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>
        <v>700</v>
      </c>
      <c r="O321">
        <v>80</v>
      </c>
      <c r="P321" s="2">
        <v>0.51</v>
      </c>
      <c r="Q321" s="6">
        <v>60</v>
      </c>
      <c r="R321" s="10">
        <v>150</v>
      </c>
      <c r="S321" s="10">
        <v>8</v>
      </c>
      <c r="T321" s="10"/>
      <c r="U321" t="str">
        <f>"RUNNING_COST_"&amp;IF(PROPERTIES[[#This Row],[ENGINE_CLASS]]="MAGLEV","ELECTRIC",PROPERTIES[[#This Row],[ENGINE_CLASS]])</f>
        <v>RUNNING_COST_ELECTRIC</v>
      </c>
      <c r="V321" s="10" t="s">
        <v>1002</v>
      </c>
      <c r="W321" s="10" t="s">
        <v>1003</v>
      </c>
      <c r="X321" s="10" t="str">
        <f>SUBSTITUTE(SUBSTITUTE(PROPERTIES[[#This Row],[PURCHASECOST_VALUE]], "PURCHASECOST_", ""), "_VALUE", "")</f>
        <v>METRO</v>
      </c>
      <c r="AP321"/>
      <c r="AQ321"/>
      <c r="AR321"/>
    </row>
    <row r="322" spans="1:44">
      <c r="A322" s="2" t="s">
        <v>347</v>
      </c>
      <c r="B322">
        <v>1993</v>
      </c>
      <c r="C322">
        <v>1</v>
      </c>
      <c r="D322" t="s">
        <v>19</v>
      </c>
      <c r="E322" t="s">
        <v>325</v>
      </c>
      <c r="F322">
        <v>170</v>
      </c>
      <c r="G322" s="10">
        <v>37</v>
      </c>
      <c r="H322">
        <v>8</v>
      </c>
      <c r="I322">
        <v>8</v>
      </c>
      <c r="J322" s="2" t="s">
        <v>326</v>
      </c>
      <c r="K322">
        <f>_xlfn.XLOOKUP("LOADINGSPEEDDEF_"&amp;PROPERTIES[[#This Row],[LOADINGSPEED]],LOADINGSPEEDDEF[TYPE],LOADINGSPEEDDEF[SPEED])</f>
        <v>120</v>
      </c>
      <c r="L322" t="s">
        <v>21</v>
      </c>
      <c r="M322">
        <v>1</v>
      </c>
      <c r="N322">
        <v>530</v>
      </c>
      <c r="O322">
        <v>112</v>
      </c>
      <c r="P322" s="2">
        <v>0.47</v>
      </c>
      <c r="Q322" s="6">
        <v>60</v>
      </c>
      <c r="R322" s="10">
        <v>170</v>
      </c>
      <c r="S322" s="10">
        <v>8</v>
      </c>
      <c r="T322" s="10"/>
      <c r="U322" t="str">
        <f>"RUNNING_COST_"&amp;IF(PROPERTIES[[#This Row],[ENGINE_CLASS]]="MAGLEV","ELECTRIC",PROPERTIES[[#This Row],[ENGINE_CLASS]])</f>
        <v>RUNNING_COST_ELECTRIC</v>
      </c>
      <c r="V322" s="10" t="s">
        <v>1002</v>
      </c>
      <c r="W322" s="10" t="s">
        <v>1003</v>
      </c>
      <c r="X322" s="10" t="str">
        <f>SUBSTITUTE(SUBSTITUTE(PROPERTIES[[#This Row],[PURCHASECOST_VALUE]], "PURCHASECOST_", ""), "_VALUE", "")</f>
        <v>METRO</v>
      </c>
      <c r="AP322"/>
      <c r="AQ322"/>
      <c r="AR322"/>
    </row>
    <row r="323" spans="1:44">
      <c r="A323" s="2" t="s">
        <v>348</v>
      </c>
      <c r="B323">
        <v>1996</v>
      </c>
      <c r="C323">
        <v>1</v>
      </c>
      <c r="D323" t="s">
        <v>19</v>
      </c>
      <c r="E323" t="s">
        <v>325</v>
      </c>
      <c r="F323">
        <v>250</v>
      </c>
      <c r="G323" s="10">
        <v>39</v>
      </c>
      <c r="H323">
        <v>8</v>
      </c>
      <c r="I323">
        <v>8</v>
      </c>
      <c r="J323" s="2" t="s">
        <v>326</v>
      </c>
      <c r="K323">
        <f>_xlfn.XLOOKUP("LOADINGSPEEDDEF_"&amp;PROPERTIES[[#This Row],[LOADINGSPEED]],LOADINGSPEEDDEF[TYPE],LOADINGSPEEDDEF[SPEED])</f>
        <v>120</v>
      </c>
      <c r="L323" t="s">
        <v>21</v>
      </c>
      <c r="M323">
        <v>1</v>
      </c>
      <c r="N323">
        <v>200</v>
      </c>
      <c r="O323">
        <v>90</v>
      </c>
      <c r="P323" s="2">
        <v>0.3</v>
      </c>
      <c r="Q323" s="6">
        <v>60</v>
      </c>
      <c r="R323" s="10">
        <v>250</v>
      </c>
      <c r="S323" s="10">
        <v>8</v>
      </c>
      <c r="T323" s="10"/>
      <c r="U323" t="str">
        <f>"RUNNING_COST_"&amp;IF(PROPERTIES[[#This Row],[ENGINE_CLASS]]="MAGLEV","ELECTRIC",PROPERTIES[[#This Row],[ENGINE_CLASS]])</f>
        <v>RUNNING_COST_ELECTRIC</v>
      </c>
      <c r="V323" s="10" t="s">
        <v>1002</v>
      </c>
      <c r="W323" s="10" t="s">
        <v>1003</v>
      </c>
      <c r="X323" s="10" t="str">
        <f>SUBSTITUTE(SUBSTITUTE(PROPERTIES[[#This Row],[PURCHASECOST_VALUE]], "PURCHASECOST_", ""), "_VALUE", "")</f>
        <v>METRO</v>
      </c>
      <c r="AP323"/>
      <c r="AQ323"/>
      <c r="AR323"/>
    </row>
    <row r="324" spans="1:44">
      <c r="A324" s="2" t="s">
        <v>349</v>
      </c>
      <c r="B324">
        <v>1997</v>
      </c>
      <c r="C324">
        <v>1</v>
      </c>
      <c r="D324" t="s">
        <v>19</v>
      </c>
      <c r="E324" t="s">
        <v>325</v>
      </c>
      <c r="F324">
        <v>250</v>
      </c>
      <c r="G324" s="10">
        <v>47</v>
      </c>
      <c r="H324">
        <v>8</v>
      </c>
      <c r="I324">
        <v>8</v>
      </c>
      <c r="J324" s="2" t="s">
        <v>326</v>
      </c>
      <c r="K324">
        <f>_xlfn.XLOOKUP("LOADINGSPEEDDEF_"&amp;PROPERTIES[[#This Row],[LOADINGSPEED]],LOADINGSPEEDDEF[TYPE],LOADINGSPEEDDEF[SPEED])</f>
        <v>120</v>
      </c>
      <c r="L324" t="s">
        <v>21</v>
      </c>
      <c r="M324">
        <v>1</v>
      </c>
      <c r="N324">
        <v>700</v>
      </c>
      <c r="O324">
        <v>70</v>
      </c>
      <c r="P324" s="2">
        <v>0.26</v>
      </c>
      <c r="Q324" s="6">
        <v>60</v>
      </c>
      <c r="R324" s="10">
        <v>250</v>
      </c>
      <c r="S324" s="10">
        <v>8</v>
      </c>
      <c r="T324" s="10"/>
      <c r="U324" t="str">
        <f>"RUNNING_COST_"&amp;IF(PROPERTIES[[#This Row],[ENGINE_CLASS]]="MAGLEV","ELECTRIC",PROPERTIES[[#This Row],[ENGINE_CLASS]])</f>
        <v>RUNNING_COST_ELECTRIC</v>
      </c>
      <c r="V324" s="10" t="s">
        <v>1002</v>
      </c>
      <c r="W324" s="10" t="s">
        <v>1003</v>
      </c>
      <c r="X324" s="10" t="str">
        <f>SUBSTITUTE(SUBSTITUTE(PROPERTIES[[#This Row],[PURCHASECOST_VALUE]], "PURCHASECOST_", ""), "_VALUE", "")</f>
        <v>METRO</v>
      </c>
      <c r="AP324"/>
      <c r="AQ324"/>
      <c r="AR324"/>
    </row>
    <row r="325" spans="1:44">
      <c r="A325" s="2" t="s">
        <v>350</v>
      </c>
      <c r="B325">
        <v>1997</v>
      </c>
      <c r="C325">
        <v>1</v>
      </c>
      <c r="D325" t="s">
        <v>19</v>
      </c>
      <c r="E325" t="s">
        <v>325</v>
      </c>
      <c r="F325">
        <v>120</v>
      </c>
      <c r="G325" s="10">
        <v>28</v>
      </c>
      <c r="H325">
        <v>7</v>
      </c>
      <c r="I325">
        <v>7</v>
      </c>
      <c r="J325" s="2" t="s">
        <v>326</v>
      </c>
      <c r="K325">
        <f>_xlfn.XLOOKUP("LOADINGSPEEDDEF_"&amp;PROPERTIES[[#This Row],[LOADINGSPEED]],LOADINGSPEEDDEF[TYPE],LOADINGSPEEDDEF[SPEED])</f>
        <v>120</v>
      </c>
      <c r="L325" t="s">
        <v>21</v>
      </c>
      <c r="M325">
        <v>1</v>
      </c>
      <c r="N325">
        <v>634</v>
      </c>
      <c r="O325">
        <v>100</v>
      </c>
      <c r="P325" s="2">
        <v>0.36</v>
      </c>
      <c r="Q325" s="6">
        <v>60</v>
      </c>
      <c r="R325" s="10">
        <v>120</v>
      </c>
      <c r="S325" s="10">
        <v>7</v>
      </c>
      <c r="T325" s="10"/>
      <c r="U325" t="str">
        <f>"RUNNING_COST_"&amp;IF(PROPERTIES[[#This Row],[ENGINE_CLASS]]="MAGLEV","ELECTRIC",PROPERTIES[[#This Row],[ENGINE_CLASS]])</f>
        <v>RUNNING_COST_ELECTRIC</v>
      </c>
      <c r="V325" s="10" t="s">
        <v>1002</v>
      </c>
      <c r="W325" s="10" t="s">
        <v>1003</v>
      </c>
      <c r="X325" s="10" t="str">
        <f>SUBSTITUTE(SUBSTITUTE(PROPERTIES[[#This Row],[PURCHASECOST_VALUE]], "PURCHASECOST_", ""), "_VALUE", "")</f>
        <v>METRO</v>
      </c>
      <c r="AP325"/>
      <c r="AQ325"/>
      <c r="AR325"/>
    </row>
    <row r="326" spans="1:44">
      <c r="A326" s="2" t="s">
        <v>351</v>
      </c>
      <c r="B326">
        <v>2003</v>
      </c>
      <c r="C326">
        <v>1</v>
      </c>
      <c r="D326" t="s">
        <v>19</v>
      </c>
      <c r="E326" t="s">
        <v>325</v>
      </c>
      <c r="F326">
        <v>120</v>
      </c>
      <c r="G326" s="10">
        <v>47</v>
      </c>
      <c r="H326">
        <v>7</v>
      </c>
      <c r="I326">
        <v>7</v>
      </c>
      <c r="J326" s="2" t="s">
        <v>326</v>
      </c>
      <c r="K326">
        <f>_xlfn.XLOOKUP("LOADINGSPEEDDEF_"&amp;PROPERTIES[[#This Row],[LOADINGSPEED]],LOADINGSPEEDDEF[TYPE],LOADINGSPEEDDEF[SPEED])</f>
        <v>120</v>
      </c>
      <c r="L326" t="s">
        <v>21</v>
      </c>
      <c r="M326">
        <v>1</v>
      </c>
      <c r="N326">
        <v>860</v>
      </c>
      <c r="O326">
        <v>90</v>
      </c>
      <c r="P326" s="2">
        <v>0.36</v>
      </c>
      <c r="Q326" s="6">
        <v>60</v>
      </c>
      <c r="R326" s="10">
        <v>120</v>
      </c>
      <c r="S326" s="10">
        <v>6</v>
      </c>
      <c r="T326" s="10"/>
      <c r="U326" t="str">
        <f>"RUNNING_COST_"&amp;IF(PROPERTIES[[#This Row],[ENGINE_CLASS]]="MAGLEV","ELECTRIC",PROPERTIES[[#This Row],[ENGINE_CLASS]])</f>
        <v>RUNNING_COST_ELECTRIC</v>
      </c>
      <c r="V326" s="10" t="s">
        <v>1002</v>
      </c>
      <c r="W326" s="10" t="s">
        <v>1003</v>
      </c>
      <c r="X326" s="10" t="str">
        <f>SUBSTITUTE(SUBSTITUTE(PROPERTIES[[#This Row],[PURCHASECOST_VALUE]], "PURCHASECOST_", ""), "_VALUE", "")</f>
        <v>METRO</v>
      </c>
      <c r="AP326"/>
      <c r="AQ326"/>
      <c r="AR326"/>
    </row>
    <row r="327" spans="1:44">
      <c r="A327" s="2" t="s">
        <v>352</v>
      </c>
      <c r="B327">
        <v>2003</v>
      </c>
      <c r="C327">
        <v>1</v>
      </c>
      <c r="D327" t="s">
        <v>19</v>
      </c>
      <c r="E327" t="s">
        <v>325</v>
      </c>
      <c r="F327">
        <v>250</v>
      </c>
      <c r="G327" s="10">
        <v>35</v>
      </c>
      <c r="H327">
        <v>8</v>
      </c>
      <c r="I327">
        <v>8</v>
      </c>
      <c r="J327" s="2" t="s">
        <v>326</v>
      </c>
      <c r="K327">
        <f>_xlfn.XLOOKUP("LOADINGSPEEDDEF_"&amp;PROPERTIES[[#This Row],[LOADINGSPEED]],LOADINGSPEEDDEF[TYPE],LOADINGSPEEDDEF[SPEED])</f>
        <v>120</v>
      </c>
      <c r="L327" t="s">
        <v>21</v>
      </c>
      <c r="M327">
        <v>1</v>
      </c>
      <c r="N327">
        <v>740</v>
      </c>
      <c r="O327">
        <v>100</v>
      </c>
      <c r="P327" s="2">
        <v>0.86</v>
      </c>
      <c r="Q327" s="6">
        <v>60</v>
      </c>
      <c r="R327" s="10">
        <v>250</v>
      </c>
      <c r="S327" s="10">
        <v>8</v>
      </c>
      <c r="T327" s="10"/>
      <c r="U327" t="str">
        <f>"RUNNING_COST_"&amp;IF(PROPERTIES[[#This Row],[ENGINE_CLASS]]="MAGLEV","ELECTRIC",PROPERTIES[[#This Row],[ENGINE_CLASS]])</f>
        <v>RUNNING_COST_ELECTRIC</v>
      </c>
      <c r="V327" s="10" t="s">
        <v>1002</v>
      </c>
      <c r="W327" s="10" t="s">
        <v>1003</v>
      </c>
      <c r="X327" s="10" t="str">
        <f>SUBSTITUTE(SUBSTITUTE(PROPERTIES[[#This Row],[PURCHASECOST_VALUE]], "PURCHASECOST_", ""), "_VALUE", "")</f>
        <v>METRO</v>
      </c>
      <c r="AP327"/>
      <c r="AQ327"/>
      <c r="AR327"/>
    </row>
    <row r="328" spans="1:44">
      <c r="A328" s="2" t="s">
        <v>353</v>
      </c>
      <c r="B328">
        <v>2007</v>
      </c>
      <c r="C328">
        <v>1</v>
      </c>
      <c r="D328" t="s">
        <v>19</v>
      </c>
      <c r="E328" t="s">
        <v>325</v>
      </c>
      <c r="F328">
        <v>164</v>
      </c>
      <c r="G328" s="10">
        <v>33</v>
      </c>
      <c r="H328">
        <v>7</v>
      </c>
      <c r="I328">
        <v>7</v>
      </c>
      <c r="J328" s="2" t="s">
        <v>326</v>
      </c>
      <c r="K328">
        <f>_xlfn.XLOOKUP("LOADINGSPEEDDEF_"&amp;PROPERTIES[[#This Row],[LOADINGSPEED]],LOADINGSPEEDDEF[TYPE],LOADINGSPEEDDEF[SPEED])</f>
        <v>120</v>
      </c>
      <c r="L328" t="s">
        <v>21</v>
      </c>
      <c r="M328">
        <v>1</v>
      </c>
      <c r="N328">
        <v>760</v>
      </c>
      <c r="O328">
        <v>80</v>
      </c>
      <c r="P328" s="2">
        <v>0.3</v>
      </c>
      <c r="Q328" s="6">
        <v>60</v>
      </c>
      <c r="R328" s="10">
        <v>164</v>
      </c>
      <c r="S328" s="10">
        <v>7</v>
      </c>
      <c r="T328" s="10"/>
      <c r="U328" t="str">
        <f>"RUNNING_COST_"&amp;IF(PROPERTIES[[#This Row],[ENGINE_CLASS]]="MAGLEV","ELECTRIC",PROPERTIES[[#This Row],[ENGINE_CLASS]])</f>
        <v>RUNNING_COST_ELECTRIC</v>
      </c>
      <c r="V328" s="10" t="s">
        <v>1002</v>
      </c>
      <c r="W328" s="10" t="s">
        <v>1003</v>
      </c>
      <c r="X328" s="10" t="str">
        <f>SUBSTITUTE(SUBSTITUTE(PROPERTIES[[#This Row],[PURCHASECOST_VALUE]], "PURCHASECOST_", ""), "_VALUE", "")</f>
        <v>METRO</v>
      </c>
      <c r="AP328"/>
      <c r="AQ328"/>
      <c r="AR328"/>
    </row>
    <row r="329" spans="1:44">
      <c r="A329" s="2" t="s">
        <v>354</v>
      </c>
      <c r="B329">
        <v>2009</v>
      </c>
      <c r="C329">
        <v>1</v>
      </c>
      <c r="D329" t="s">
        <v>19</v>
      </c>
      <c r="E329" t="s">
        <v>325</v>
      </c>
      <c r="F329">
        <v>140</v>
      </c>
      <c r="G329" s="10">
        <v>30</v>
      </c>
      <c r="H329">
        <v>8</v>
      </c>
      <c r="I329">
        <v>8</v>
      </c>
      <c r="J329" s="2" t="s">
        <v>326</v>
      </c>
      <c r="K329">
        <f>_xlfn.XLOOKUP("LOADINGSPEEDDEF_"&amp;PROPERTIES[[#This Row],[LOADINGSPEED]],LOADINGSPEEDDEF[TYPE],LOADINGSPEEDDEF[SPEED])</f>
        <v>120</v>
      </c>
      <c r="L329" t="s">
        <v>21</v>
      </c>
      <c r="M329">
        <v>1</v>
      </c>
      <c r="N329">
        <v>750</v>
      </c>
      <c r="O329">
        <v>70</v>
      </c>
      <c r="P329" s="2">
        <v>0.62</v>
      </c>
      <c r="Q329" s="6">
        <v>60</v>
      </c>
      <c r="R329" s="10">
        <v>140</v>
      </c>
      <c r="S329" s="10">
        <v>8</v>
      </c>
      <c r="T329" s="10"/>
      <c r="U329" t="str">
        <f>"RUNNING_COST_"&amp;IF(PROPERTIES[[#This Row],[ENGINE_CLASS]]="MAGLEV","ELECTRIC",PROPERTIES[[#This Row],[ENGINE_CLASS]])</f>
        <v>RUNNING_COST_ELECTRIC</v>
      </c>
      <c r="V329" s="10" t="s">
        <v>1002</v>
      </c>
      <c r="W329" s="10" t="s">
        <v>1003</v>
      </c>
      <c r="X329" s="10" t="str">
        <f>SUBSTITUTE(SUBSTITUTE(PROPERTIES[[#This Row],[PURCHASECOST_VALUE]], "PURCHASECOST_", ""), "_VALUE", "")</f>
        <v>METRO</v>
      </c>
      <c r="AP329"/>
      <c r="AQ329"/>
      <c r="AR329"/>
    </row>
    <row r="330" spans="1:44">
      <c r="A330" s="2" t="s">
        <v>355</v>
      </c>
      <c r="B330">
        <v>2012</v>
      </c>
      <c r="C330">
        <v>1</v>
      </c>
      <c r="D330" t="s">
        <v>19</v>
      </c>
      <c r="E330" t="s">
        <v>325</v>
      </c>
      <c r="F330">
        <v>250</v>
      </c>
      <c r="G330" s="10">
        <v>35</v>
      </c>
      <c r="H330">
        <v>8</v>
      </c>
      <c r="I330">
        <v>8</v>
      </c>
      <c r="J330" s="2" t="s">
        <v>326</v>
      </c>
      <c r="K330">
        <f>_xlfn.XLOOKUP("LOADINGSPEEDDEF_"&amp;PROPERTIES[[#This Row],[LOADINGSPEED]],LOADINGSPEEDDEF[TYPE],LOADINGSPEEDDEF[SPEED])</f>
        <v>120</v>
      </c>
      <c r="L330" t="s">
        <v>21</v>
      </c>
      <c r="M330">
        <v>1</v>
      </c>
      <c r="N330">
        <v>720</v>
      </c>
      <c r="O330">
        <v>90</v>
      </c>
      <c r="P330" s="2">
        <v>0.81</v>
      </c>
      <c r="Q330" s="6">
        <v>60</v>
      </c>
      <c r="R330" s="10">
        <v>250</v>
      </c>
      <c r="S330" s="10">
        <v>8</v>
      </c>
      <c r="T330" s="10"/>
      <c r="U330" t="str">
        <f>"RUNNING_COST_"&amp;IF(PROPERTIES[[#This Row],[ENGINE_CLASS]]="MAGLEV","ELECTRIC",PROPERTIES[[#This Row],[ENGINE_CLASS]])</f>
        <v>RUNNING_COST_ELECTRIC</v>
      </c>
      <c r="V330" s="10" t="s">
        <v>1002</v>
      </c>
      <c r="W330" s="10" t="s">
        <v>1003</v>
      </c>
      <c r="X330" s="10" t="str">
        <f>SUBSTITUTE(SUBSTITUTE(PROPERTIES[[#This Row],[PURCHASECOST_VALUE]], "PURCHASECOST_", ""), "_VALUE", "")</f>
        <v>METRO</v>
      </c>
      <c r="AP330"/>
      <c r="AQ330"/>
      <c r="AR330"/>
    </row>
    <row r="331" spans="1:44">
      <c r="A331" s="2" t="s">
        <v>356</v>
      </c>
      <c r="B331">
        <v>2013</v>
      </c>
      <c r="C331">
        <v>1</v>
      </c>
      <c r="D331" t="s">
        <v>19</v>
      </c>
      <c r="E331" t="s">
        <v>325</v>
      </c>
      <c r="F331">
        <v>184</v>
      </c>
      <c r="G331" s="10">
        <v>36</v>
      </c>
      <c r="H331">
        <v>8</v>
      </c>
      <c r="I331">
        <v>8</v>
      </c>
      <c r="J331" s="2" t="s">
        <v>326</v>
      </c>
      <c r="K331">
        <f>_xlfn.XLOOKUP("LOADINGSPEEDDEF_"&amp;PROPERTIES[[#This Row],[LOADINGSPEED]],LOADINGSPEEDDEF[TYPE],LOADINGSPEEDDEF[SPEED])</f>
        <v>120</v>
      </c>
      <c r="L331" t="s">
        <v>21</v>
      </c>
      <c r="M331">
        <v>1</v>
      </c>
      <c r="N331">
        <v>720</v>
      </c>
      <c r="O331">
        <v>126</v>
      </c>
      <c r="P331" s="2">
        <v>0.64</v>
      </c>
      <c r="Q331" s="6">
        <v>60</v>
      </c>
      <c r="R331" s="10">
        <v>184</v>
      </c>
      <c r="S331" s="10">
        <v>8</v>
      </c>
      <c r="T331" s="10"/>
      <c r="U331" t="str">
        <f>"RUNNING_COST_"&amp;IF(PROPERTIES[[#This Row],[ENGINE_CLASS]]="MAGLEV","ELECTRIC",PROPERTIES[[#This Row],[ENGINE_CLASS]])</f>
        <v>RUNNING_COST_ELECTRIC</v>
      </c>
      <c r="V331" s="10" t="s">
        <v>1002</v>
      </c>
      <c r="W331" s="10" t="s">
        <v>1003</v>
      </c>
      <c r="X331" s="10" t="str">
        <f>SUBSTITUTE(SUBSTITUTE(PROPERTIES[[#This Row],[PURCHASECOST_VALUE]], "PURCHASECOST_", ""), "_VALUE", "")</f>
        <v>METRO</v>
      </c>
      <c r="AP331"/>
      <c r="AQ331"/>
      <c r="AR331"/>
    </row>
    <row r="332" spans="1:44">
      <c r="A332" s="2" t="s">
        <v>357</v>
      </c>
      <c r="B332">
        <v>2014</v>
      </c>
      <c r="C332">
        <v>1</v>
      </c>
      <c r="D332" t="s">
        <v>19</v>
      </c>
      <c r="E332" t="s">
        <v>325</v>
      </c>
      <c r="F332">
        <v>110</v>
      </c>
      <c r="G332" s="10">
        <v>18</v>
      </c>
      <c r="H332">
        <v>6</v>
      </c>
      <c r="I332">
        <v>6</v>
      </c>
      <c r="J332" s="2" t="s">
        <v>326</v>
      </c>
      <c r="K332">
        <f>_xlfn.XLOOKUP("LOADINGSPEEDDEF_"&amp;PROPERTIES[[#This Row],[LOADINGSPEED]],LOADINGSPEEDDEF[TYPE],LOADINGSPEEDDEF[SPEED])</f>
        <v>120</v>
      </c>
      <c r="L332" t="s">
        <v>21</v>
      </c>
      <c r="M332">
        <v>1</v>
      </c>
      <c r="N332">
        <v>255</v>
      </c>
      <c r="O332">
        <v>90</v>
      </c>
      <c r="P332" s="2">
        <v>0.97</v>
      </c>
      <c r="Q332" s="6">
        <v>60</v>
      </c>
      <c r="R332" s="10">
        <v>110</v>
      </c>
      <c r="S332" s="10">
        <v>6</v>
      </c>
      <c r="T332" s="10"/>
      <c r="U332" t="str">
        <f>"RUNNING_COST_"&amp;IF(PROPERTIES[[#This Row],[ENGINE_CLASS]]="MAGLEV","ELECTRIC",PROPERTIES[[#This Row],[ENGINE_CLASS]])</f>
        <v>RUNNING_COST_ELECTRIC</v>
      </c>
      <c r="V332" s="10" t="s">
        <v>1002</v>
      </c>
      <c r="W332" s="10" t="s">
        <v>1003</v>
      </c>
      <c r="X332" s="10" t="str">
        <f>SUBSTITUTE(SUBSTITUTE(PROPERTIES[[#This Row],[PURCHASECOST_VALUE]], "PURCHASECOST_", ""), "_VALUE", "")</f>
        <v>METRO</v>
      </c>
      <c r="AP332"/>
      <c r="AQ332"/>
      <c r="AR332"/>
    </row>
    <row r="333" spans="1:44">
      <c r="A333" s="2" t="s">
        <v>358</v>
      </c>
      <c r="B333">
        <v>1901</v>
      </c>
      <c r="C333">
        <v>1</v>
      </c>
      <c r="D333" t="s">
        <v>19</v>
      </c>
      <c r="E333" t="s">
        <v>325</v>
      </c>
      <c r="F333">
        <v>88</v>
      </c>
      <c r="G333" s="10">
        <v>29</v>
      </c>
      <c r="H333">
        <v>5</v>
      </c>
      <c r="I333">
        <v>5</v>
      </c>
      <c r="J333" s="2" t="s">
        <v>326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>
        <v>321</v>
      </c>
      <c r="O333">
        <v>50</v>
      </c>
      <c r="P333" s="2">
        <v>0.14000000000000001</v>
      </c>
      <c r="Q333" s="6">
        <v>60</v>
      </c>
      <c r="R333" s="10">
        <v>88</v>
      </c>
      <c r="S333" s="10">
        <v>5</v>
      </c>
      <c r="T333" s="10"/>
      <c r="U333" t="str">
        <f>"RUNNING_COST_"&amp;IF(PROPERTIES[[#This Row],[ENGINE_CLASS]]="MAGLEV","ELECTRIC",PROPERTIES[[#This Row],[ENGINE_CLASS]])</f>
        <v>RUNNING_COST_ELECTRIC</v>
      </c>
      <c r="V333" s="10" t="s">
        <v>1002</v>
      </c>
      <c r="W333" s="10" t="s">
        <v>1003</v>
      </c>
      <c r="X333" s="10" t="str">
        <f>SUBSTITUTE(SUBSTITUTE(PROPERTIES[[#This Row],[PURCHASECOST_VALUE]], "PURCHASECOST_", ""), "_VALUE", "")</f>
        <v>METRO</v>
      </c>
      <c r="AP333"/>
      <c r="AQ333"/>
      <c r="AR333"/>
    </row>
    <row r="334" spans="1:44">
      <c r="A334" s="2" t="s">
        <v>359</v>
      </c>
      <c r="B334">
        <v>1910</v>
      </c>
      <c r="C334">
        <v>1</v>
      </c>
      <c r="D334" t="s">
        <v>19</v>
      </c>
      <c r="E334" t="s">
        <v>325</v>
      </c>
      <c r="F334">
        <v>128</v>
      </c>
      <c r="G334" s="10">
        <v>36</v>
      </c>
      <c r="H334">
        <v>8</v>
      </c>
      <c r="I334">
        <v>8</v>
      </c>
      <c r="J334" s="2" t="s">
        <v>326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>
        <v>400</v>
      </c>
      <c r="O334">
        <v>90</v>
      </c>
      <c r="P334" s="2">
        <v>0.2</v>
      </c>
      <c r="Q334" s="6">
        <v>60</v>
      </c>
      <c r="R334" s="10">
        <v>128</v>
      </c>
      <c r="S334" s="10">
        <v>8</v>
      </c>
      <c r="T334" s="10"/>
      <c r="U334" t="str">
        <f>"RUNNING_COST_"&amp;IF(PROPERTIES[[#This Row],[ENGINE_CLASS]]="MAGLEV","ELECTRIC",PROPERTIES[[#This Row],[ENGINE_CLASS]])</f>
        <v>RUNNING_COST_ELECTRIC</v>
      </c>
      <c r="V334" s="10" t="s">
        <v>1002</v>
      </c>
      <c r="W334" s="10" t="s">
        <v>1003</v>
      </c>
      <c r="X334" s="10" t="str">
        <f>SUBSTITUTE(SUBSTITUTE(PROPERTIES[[#This Row],[PURCHASECOST_VALUE]], "PURCHASECOST_", ""), "_VALUE", "")</f>
        <v>METRO</v>
      </c>
      <c r="AP334"/>
      <c r="AQ334"/>
      <c r="AR334"/>
    </row>
    <row r="335" spans="1:44">
      <c r="A335" s="2" t="s">
        <v>360</v>
      </c>
      <c r="B335">
        <v>1933</v>
      </c>
      <c r="C335">
        <v>1</v>
      </c>
      <c r="D335" t="s">
        <v>19</v>
      </c>
      <c r="E335" t="s">
        <v>325</v>
      </c>
      <c r="F335">
        <v>145</v>
      </c>
      <c r="G335" s="10">
        <v>35</v>
      </c>
      <c r="H335">
        <v>7</v>
      </c>
      <c r="I335">
        <v>7</v>
      </c>
      <c r="J335" s="2" t="s">
        <v>326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>
        <v>200</v>
      </c>
      <c r="O335">
        <v>65</v>
      </c>
      <c r="P335" s="2">
        <v>0.24</v>
      </c>
      <c r="Q335" s="6">
        <v>60</v>
      </c>
      <c r="R335" s="10">
        <v>145</v>
      </c>
      <c r="S335" s="10">
        <v>7</v>
      </c>
      <c r="T335" s="10"/>
      <c r="U335" t="str">
        <f>"RUNNING_COST_"&amp;IF(PROPERTIES[[#This Row],[ENGINE_CLASS]]="MAGLEV","ELECTRIC",PROPERTIES[[#This Row],[ENGINE_CLASS]])</f>
        <v>RUNNING_COST_ELECTRIC</v>
      </c>
      <c r="V335" s="10" t="s">
        <v>1002</v>
      </c>
      <c r="W335" s="10" t="s">
        <v>1003</v>
      </c>
      <c r="X335" s="10" t="str">
        <f>SUBSTITUTE(SUBSTITUTE(PROPERTIES[[#This Row],[PURCHASECOST_VALUE]], "PURCHASECOST_", ""), "_VALUE", "")</f>
        <v>METRO</v>
      </c>
      <c r="AP335"/>
      <c r="AQ335"/>
      <c r="AR335"/>
    </row>
    <row r="336" spans="1:44">
      <c r="A336" s="2" t="s">
        <v>361</v>
      </c>
      <c r="B336">
        <v>1934</v>
      </c>
      <c r="C336">
        <v>1</v>
      </c>
      <c r="D336" t="s">
        <v>19</v>
      </c>
      <c r="E336" t="s">
        <v>325</v>
      </c>
      <c r="F336">
        <v>131</v>
      </c>
      <c r="G336" s="10">
        <v>51</v>
      </c>
      <c r="H336">
        <v>7</v>
      </c>
      <c r="I336">
        <v>7</v>
      </c>
      <c r="J336" s="2" t="s">
        <v>326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>
        <v>205</v>
      </c>
      <c r="O336">
        <v>65</v>
      </c>
      <c r="P336" s="2">
        <v>0.14000000000000001</v>
      </c>
      <c r="Q336" s="6">
        <v>60</v>
      </c>
      <c r="R336" s="10">
        <v>131</v>
      </c>
      <c r="S336" s="10">
        <v>7</v>
      </c>
      <c r="T336" s="10"/>
      <c r="U336" t="str">
        <f>"RUNNING_COST_"&amp;IF(PROPERTIES[[#This Row],[ENGINE_CLASS]]="MAGLEV","ELECTRIC",PROPERTIES[[#This Row],[ENGINE_CLASS]])</f>
        <v>RUNNING_COST_ELECTRIC</v>
      </c>
      <c r="V336" s="10" t="s">
        <v>1002</v>
      </c>
      <c r="W336" s="10" t="s">
        <v>1003</v>
      </c>
      <c r="X336" s="10" t="str">
        <f>SUBSTITUTE(SUBSTITUTE(PROPERTIES[[#This Row],[PURCHASECOST_VALUE]], "PURCHASECOST_", ""), "_VALUE", "")</f>
        <v>METRO</v>
      </c>
      <c r="AP336"/>
      <c r="AQ336"/>
      <c r="AR336"/>
    </row>
    <row r="337" spans="1:44">
      <c r="A337" s="2" t="s">
        <v>362</v>
      </c>
      <c r="B337">
        <v>1948</v>
      </c>
      <c r="C337">
        <v>1</v>
      </c>
      <c r="D337" t="s">
        <v>19</v>
      </c>
      <c r="E337" t="s">
        <v>325</v>
      </c>
      <c r="F337">
        <v>160</v>
      </c>
      <c r="G337" s="10">
        <v>36</v>
      </c>
      <c r="H337">
        <v>8</v>
      </c>
      <c r="I337">
        <v>8</v>
      </c>
      <c r="J337" s="2" t="s">
        <v>326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>
        <v>400</v>
      </c>
      <c r="O337">
        <v>90</v>
      </c>
      <c r="P337" s="2">
        <v>0.2</v>
      </c>
      <c r="Q337" s="6">
        <v>60</v>
      </c>
      <c r="R337" s="10">
        <v>160</v>
      </c>
      <c r="S337" s="10">
        <v>8</v>
      </c>
      <c r="T337" s="10"/>
      <c r="U337" t="str">
        <f>"RUNNING_COST_"&amp;IF(PROPERTIES[[#This Row],[ENGINE_CLASS]]="MAGLEV","ELECTRIC",PROPERTIES[[#This Row],[ENGINE_CLASS]])</f>
        <v>RUNNING_COST_ELECTRIC</v>
      </c>
      <c r="V337" s="10" t="s">
        <v>1002</v>
      </c>
      <c r="W337" s="10" t="s">
        <v>1003</v>
      </c>
      <c r="X337" s="10" t="str">
        <f>SUBSTITUTE(SUBSTITUTE(PROPERTIES[[#This Row],[PURCHASECOST_VALUE]], "PURCHASECOST_", ""), "_VALUE", "")</f>
        <v>METRO</v>
      </c>
      <c r="AP337"/>
      <c r="AQ337"/>
      <c r="AR337"/>
    </row>
    <row r="338" spans="1:44">
      <c r="A338" s="2" t="s">
        <v>363</v>
      </c>
      <c r="B338">
        <v>1954</v>
      </c>
      <c r="C338">
        <v>1</v>
      </c>
      <c r="D338" t="s">
        <v>19</v>
      </c>
      <c r="E338" t="s">
        <v>325</v>
      </c>
      <c r="F338">
        <v>156</v>
      </c>
      <c r="G338" s="10">
        <v>40</v>
      </c>
      <c r="H338">
        <v>7</v>
      </c>
      <c r="I338">
        <v>7</v>
      </c>
      <c r="J338" s="2" t="s">
        <v>326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>
        <v>237</v>
      </c>
      <c r="O338">
        <v>100</v>
      </c>
      <c r="P338" s="2">
        <v>0.15</v>
      </c>
      <c r="Q338" s="6">
        <v>60</v>
      </c>
      <c r="R338" s="10">
        <v>156</v>
      </c>
      <c r="S338" s="10">
        <v>7</v>
      </c>
      <c r="T338" s="10"/>
      <c r="U338" t="str">
        <f>"RUNNING_COST_"&amp;IF(PROPERTIES[[#This Row],[ENGINE_CLASS]]="MAGLEV","ELECTRIC",PROPERTIES[[#This Row],[ENGINE_CLASS]])</f>
        <v>RUNNING_COST_ELECTRIC</v>
      </c>
      <c r="V338" s="10" t="s">
        <v>1002</v>
      </c>
      <c r="W338" s="10" t="s">
        <v>1003</v>
      </c>
      <c r="X338" s="10" t="str">
        <f>SUBSTITUTE(SUBSTITUTE(PROPERTIES[[#This Row],[PURCHASECOST_VALUE]], "PURCHASECOST_", ""), "_VALUE", "")</f>
        <v>METRO</v>
      </c>
      <c r="AP338"/>
      <c r="AQ338"/>
      <c r="AR338"/>
    </row>
    <row r="339" spans="1:44">
      <c r="A339" s="2" t="s">
        <v>364</v>
      </c>
      <c r="B339">
        <v>1955</v>
      </c>
      <c r="C339">
        <v>1</v>
      </c>
      <c r="D339" t="s">
        <v>19</v>
      </c>
      <c r="E339" t="s">
        <v>325</v>
      </c>
      <c r="F339">
        <v>132</v>
      </c>
      <c r="G339" s="10">
        <v>36</v>
      </c>
      <c r="H339">
        <v>8</v>
      </c>
      <c r="I339">
        <v>8</v>
      </c>
      <c r="J339" s="2" t="s">
        <v>326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>
        <v>192</v>
      </c>
      <c r="O339">
        <v>75</v>
      </c>
      <c r="P339" s="2">
        <v>0.21</v>
      </c>
      <c r="Q339" s="6">
        <v>60</v>
      </c>
      <c r="R339" s="10">
        <v>132</v>
      </c>
      <c r="S339" s="10">
        <v>8</v>
      </c>
      <c r="T339" s="10"/>
      <c r="U339" t="str">
        <f>"RUNNING_COST_"&amp;IF(PROPERTIES[[#This Row],[ENGINE_CLASS]]="MAGLEV","ELECTRIC",PROPERTIES[[#This Row],[ENGINE_CLASS]])</f>
        <v>RUNNING_COST_ELECTRIC</v>
      </c>
      <c r="V339" s="10" t="s">
        <v>1002</v>
      </c>
      <c r="W339" s="10" t="s">
        <v>1003</v>
      </c>
      <c r="X339" s="10" t="str">
        <f>SUBSTITUTE(SUBSTITUTE(PROPERTIES[[#This Row],[PURCHASECOST_VALUE]], "PURCHASECOST_", ""), "_VALUE", "")</f>
        <v>METRO</v>
      </c>
      <c r="AP339"/>
      <c r="AQ339"/>
      <c r="AR339"/>
    </row>
    <row r="340" spans="1:44">
      <c r="A340" s="2" t="s">
        <v>365</v>
      </c>
      <c r="B340">
        <v>1968</v>
      </c>
      <c r="C340">
        <v>1</v>
      </c>
      <c r="D340" t="s">
        <v>19</v>
      </c>
      <c r="E340" t="s">
        <v>325</v>
      </c>
      <c r="F340">
        <v>235</v>
      </c>
      <c r="G340" s="10">
        <v>20</v>
      </c>
      <c r="H340">
        <v>7</v>
      </c>
      <c r="I340">
        <v>7</v>
      </c>
      <c r="J340" s="2" t="s">
        <v>326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>
        <v>197</v>
      </c>
      <c r="O340">
        <v>80</v>
      </c>
      <c r="P340" s="2">
        <v>0.3</v>
      </c>
      <c r="Q340" s="6">
        <v>60</v>
      </c>
      <c r="R340" s="10">
        <v>235</v>
      </c>
      <c r="S340" s="10">
        <v>7</v>
      </c>
      <c r="T340" s="10"/>
      <c r="U340" t="str">
        <f>"RUNNING_COST_"&amp;IF(PROPERTIES[[#This Row],[ENGINE_CLASS]]="MAGLEV","ELECTRIC",PROPERTIES[[#This Row],[ENGINE_CLASS]])</f>
        <v>RUNNING_COST_ELECTRIC</v>
      </c>
      <c r="V340" s="10" t="s">
        <v>1002</v>
      </c>
      <c r="W340" s="10" t="s">
        <v>1003</v>
      </c>
      <c r="X340" s="10" t="str">
        <f>SUBSTITUTE(SUBSTITUTE(PROPERTIES[[#This Row],[PURCHASECOST_VALUE]], "PURCHASECOST_", ""), "_VALUE", "")</f>
        <v>METRO</v>
      </c>
      <c r="AP340"/>
      <c r="AQ340"/>
      <c r="AR340"/>
    </row>
    <row r="341" spans="1:44">
      <c r="A341" s="2" t="s">
        <v>366</v>
      </c>
      <c r="B341">
        <v>1972</v>
      </c>
      <c r="C341">
        <v>1</v>
      </c>
      <c r="D341" t="s">
        <v>19</v>
      </c>
      <c r="E341" t="s">
        <v>325</v>
      </c>
      <c r="F341">
        <v>150</v>
      </c>
      <c r="G341" s="10">
        <v>33</v>
      </c>
      <c r="H341">
        <v>8</v>
      </c>
      <c r="I341">
        <v>8</v>
      </c>
      <c r="J341" s="2" t="s">
        <v>326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>
        <v>192</v>
      </c>
      <c r="O341">
        <v>80</v>
      </c>
      <c r="P341" s="2">
        <v>0.16</v>
      </c>
      <c r="Q341" s="6">
        <v>60</v>
      </c>
      <c r="R341" s="10">
        <v>150</v>
      </c>
      <c r="S341" s="10">
        <v>8</v>
      </c>
      <c r="T341" s="10"/>
      <c r="U341" t="str">
        <f>"RUNNING_COST_"&amp;IF(PROPERTIES[[#This Row],[ENGINE_CLASS]]="MAGLEV","ELECTRIC",PROPERTIES[[#This Row],[ENGINE_CLASS]])</f>
        <v>RUNNING_COST_ELECTRIC</v>
      </c>
      <c r="V341" s="10" t="s">
        <v>1002</v>
      </c>
      <c r="W341" s="10" t="s">
        <v>1003</v>
      </c>
      <c r="X341" s="10" t="str">
        <f>SUBSTITUTE(SUBSTITUTE(PROPERTIES[[#This Row],[PURCHASECOST_VALUE]], "PURCHASECOST_", ""), "_VALUE", "")</f>
        <v>METRO</v>
      </c>
      <c r="AP341"/>
      <c r="AQ341"/>
      <c r="AR341"/>
    </row>
    <row r="342" spans="1:44">
      <c r="A342" s="2" t="s">
        <v>367</v>
      </c>
      <c r="B342">
        <v>1954</v>
      </c>
      <c r="C342">
        <v>1</v>
      </c>
      <c r="D342" t="s">
        <v>19</v>
      </c>
      <c r="E342" t="s">
        <v>325</v>
      </c>
      <c r="F342">
        <v>162</v>
      </c>
      <c r="G342" s="10">
        <v>21</v>
      </c>
      <c r="H342">
        <v>7</v>
      </c>
      <c r="I342">
        <v>7</v>
      </c>
      <c r="J342" s="2" t="s">
        <v>326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>
        <v>224</v>
      </c>
      <c r="O342">
        <v>75</v>
      </c>
      <c r="P342" s="2">
        <v>0.25</v>
      </c>
      <c r="Q342" s="6">
        <v>40</v>
      </c>
      <c r="R342" s="10">
        <v>162</v>
      </c>
      <c r="S342" s="10">
        <v>7</v>
      </c>
      <c r="T342" s="10"/>
      <c r="U342" t="str">
        <f>"RUNNING_COST_"&amp;IF(PROPERTIES[[#This Row],[ENGINE_CLASS]]="MAGLEV","ELECTRIC",PROPERTIES[[#This Row],[ENGINE_CLASS]])</f>
        <v>RUNNING_COST_ELECTRIC</v>
      </c>
      <c r="V342" s="10" t="s">
        <v>1002</v>
      </c>
      <c r="W342" s="10" t="s">
        <v>1003</v>
      </c>
      <c r="X342" s="10" t="str">
        <f>SUBSTITUTE(SUBSTITUTE(PROPERTIES[[#This Row],[PURCHASECOST_VALUE]], "PURCHASECOST_", ""), "_VALUE", "")</f>
        <v>METRO</v>
      </c>
      <c r="AP342"/>
      <c r="AQ342"/>
      <c r="AR342"/>
    </row>
    <row r="343" spans="1:44">
      <c r="A343" s="2" t="s">
        <v>368</v>
      </c>
      <c r="B343">
        <v>1996</v>
      </c>
      <c r="C343">
        <v>1</v>
      </c>
      <c r="D343" t="s">
        <v>19</v>
      </c>
      <c r="E343" t="s">
        <v>325</v>
      </c>
      <c r="F343">
        <v>116</v>
      </c>
      <c r="G343" s="10">
        <v>44</v>
      </c>
      <c r="H343">
        <v>7</v>
      </c>
      <c r="I343">
        <v>7</v>
      </c>
      <c r="J343" s="2" t="s">
        <v>326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>
        <v>1270</v>
      </c>
      <c r="O343">
        <v>100</v>
      </c>
      <c r="P343" s="2">
        <v>0.42</v>
      </c>
      <c r="Q343" s="6">
        <v>40</v>
      </c>
      <c r="R343" s="10">
        <v>116</v>
      </c>
      <c r="S343" s="10">
        <v>7</v>
      </c>
      <c r="T343" s="10"/>
      <c r="U343" t="str">
        <f>"RUNNING_COST_"&amp;IF(PROPERTIES[[#This Row],[ENGINE_CLASS]]="MAGLEV","ELECTRIC",PROPERTIES[[#This Row],[ENGINE_CLASS]])</f>
        <v>RUNNING_COST_ELECTRIC</v>
      </c>
      <c r="V343" s="10" t="s">
        <v>1002</v>
      </c>
      <c r="W343" s="10" t="s">
        <v>1003</v>
      </c>
      <c r="X343" s="10" t="str">
        <f>SUBSTITUTE(SUBSTITUTE(PROPERTIES[[#This Row],[PURCHASECOST_VALUE]], "PURCHASECOST_", ""), "_VALUE", "")</f>
        <v>METRO</v>
      </c>
      <c r="AP343"/>
      <c r="AQ343"/>
      <c r="AR343"/>
    </row>
    <row r="344" spans="1:44">
      <c r="A344" s="2" t="s">
        <v>369</v>
      </c>
      <c r="B344">
        <v>2004</v>
      </c>
      <c r="C344">
        <v>1</v>
      </c>
      <c r="D344" t="s">
        <v>19</v>
      </c>
      <c r="E344" t="s">
        <v>325</v>
      </c>
      <c r="F344">
        <v>196</v>
      </c>
      <c r="G344" s="10">
        <v>42</v>
      </c>
      <c r="H344">
        <v>8</v>
      </c>
      <c r="I344">
        <v>8</v>
      </c>
      <c r="J344" s="2" t="s">
        <v>326</v>
      </c>
      <c r="K344">
        <f>_xlfn.XLOOKUP("LOADINGSPEEDDEF_"&amp;PROPERTIES[[#This Row],[LOADINGSPEED]],LOADINGSPEEDDEF[TYPE],LOADINGSPEEDDEF[SPEED])</f>
        <v>120</v>
      </c>
      <c r="L344" t="s">
        <v>21</v>
      </c>
      <c r="M344">
        <v>1</v>
      </c>
      <c r="N344">
        <v>1500</v>
      </c>
      <c r="O344">
        <v>100</v>
      </c>
      <c r="P344" s="2">
        <v>0.92</v>
      </c>
      <c r="Q344" s="6">
        <v>40</v>
      </c>
      <c r="R344" s="10">
        <v>196</v>
      </c>
      <c r="S344" s="10">
        <v>8</v>
      </c>
      <c r="T344" s="10"/>
      <c r="U344" t="str">
        <f>"RUNNING_COST_"&amp;IF(PROPERTIES[[#This Row],[ENGINE_CLASS]]="MAGLEV","ELECTRIC",PROPERTIES[[#This Row],[ENGINE_CLASS]])</f>
        <v>RUNNING_COST_ELECTRIC</v>
      </c>
      <c r="V344" s="10" t="s">
        <v>1002</v>
      </c>
      <c r="W344" s="10" t="s">
        <v>1003</v>
      </c>
      <c r="X344" s="10" t="str">
        <f>SUBSTITUTE(SUBSTITUTE(PROPERTIES[[#This Row],[PURCHASECOST_VALUE]], "PURCHASECOST_", ""), "_VALUE", "")</f>
        <v>METRO</v>
      </c>
      <c r="AP344"/>
      <c r="AQ344"/>
      <c r="AR344"/>
    </row>
    <row r="345" spans="1:44">
      <c r="A345" s="2" t="s">
        <v>370</v>
      </c>
      <c r="B345">
        <v>2008</v>
      </c>
      <c r="C345">
        <v>1</v>
      </c>
      <c r="D345" t="s">
        <v>19</v>
      </c>
      <c r="E345" t="s">
        <v>325</v>
      </c>
      <c r="F345">
        <v>182</v>
      </c>
      <c r="G345" s="10">
        <v>27</v>
      </c>
      <c r="H345">
        <v>8</v>
      </c>
      <c r="I345">
        <v>8</v>
      </c>
      <c r="J345" s="2" t="s">
        <v>326</v>
      </c>
      <c r="K345">
        <f>_xlfn.XLOOKUP("LOADINGSPEEDDEF_"&amp;PROPERTIES[[#This Row],[LOADINGSPEED]],LOADINGSPEEDDEF[TYPE],LOADINGSPEEDDEF[SPEED])</f>
        <v>120</v>
      </c>
      <c r="L345" t="s">
        <v>21</v>
      </c>
      <c r="M345">
        <v>1</v>
      </c>
      <c r="N345">
        <v>946</v>
      </c>
      <c r="O345">
        <v>80</v>
      </c>
      <c r="P345" s="2">
        <v>0.97</v>
      </c>
      <c r="Q345" s="6">
        <v>40</v>
      </c>
      <c r="R345" s="10">
        <v>182</v>
      </c>
      <c r="S345" s="10">
        <v>8</v>
      </c>
      <c r="T345" s="10"/>
      <c r="U345" t="str">
        <f>"RUNNING_COST_"&amp;IF(PROPERTIES[[#This Row],[ENGINE_CLASS]]="MAGLEV","ELECTRIC",PROPERTIES[[#This Row],[ENGINE_CLASS]])</f>
        <v>RUNNING_COST_ELECTRIC</v>
      </c>
      <c r="V345" s="10" t="s">
        <v>1002</v>
      </c>
      <c r="W345" s="10" t="s">
        <v>1003</v>
      </c>
      <c r="X345" s="10" t="str">
        <f>SUBSTITUTE(SUBSTITUTE(PROPERTIES[[#This Row],[PURCHASECOST_VALUE]], "PURCHASECOST_", ""), "_VALUE", "")</f>
        <v>METRO</v>
      </c>
      <c r="AP345"/>
      <c r="AQ345"/>
      <c r="AR345"/>
    </row>
    <row r="346" spans="1:44">
      <c r="A346" s="2" t="s">
        <v>371</v>
      </c>
      <c r="B346">
        <v>1974</v>
      </c>
      <c r="C346">
        <v>1</v>
      </c>
      <c r="D346" t="s">
        <v>19</v>
      </c>
      <c r="E346" t="s">
        <v>325</v>
      </c>
      <c r="F346">
        <v>192</v>
      </c>
      <c r="G346" s="10">
        <v>41</v>
      </c>
      <c r="H346">
        <v>8</v>
      </c>
      <c r="I346">
        <v>8</v>
      </c>
      <c r="J346" s="2" t="s">
        <v>24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>
        <v>530</v>
      </c>
      <c r="O346">
        <v>80</v>
      </c>
      <c r="P346" s="2">
        <v>0.46</v>
      </c>
      <c r="Q346" s="6">
        <v>40</v>
      </c>
      <c r="R346" s="10">
        <v>192</v>
      </c>
      <c r="S346" s="10">
        <v>8</v>
      </c>
      <c r="T346" s="10"/>
      <c r="U346" t="str">
        <f>"RUNNING_COST_"&amp;IF(PROPERTIES[[#This Row],[ENGINE_CLASS]]="MAGLEV","ELECTRIC",PROPERTIES[[#This Row],[ENGINE_CLASS]])</f>
        <v>RUNNING_COST_ELECTRIC</v>
      </c>
      <c r="V346" s="10" t="s">
        <v>1002</v>
      </c>
      <c r="W346" s="10" t="s">
        <v>1003</v>
      </c>
      <c r="X346" s="10" t="str">
        <f>SUBSTITUTE(SUBSTITUTE(PROPERTIES[[#This Row],[PURCHASECOST_VALUE]], "PURCHASECOST_", ""), "_VALUE", "")</f>
        <v>METRO</v>
      </c>
      <c r="AP346"/>
      <c r="AQ346"/>
      <c r="AR346"/>
    </row>
    <row r="347" spans="1:44">
      <c r="A347" s="2" t="s">
        <v>372</v>
      </c>
      <c r="B347">
        <v>1999</v>
      </c>
      <c r="C347">
        <v>1</v>
      </c>
      <c r="D347" t="s">
        <v>19</v>
      </c>
      <c r="E347" t="s">
        <v>325</v>
      </c>
      <c r="F347">
        <v>194</v>
      </c>
      <c r="G347" s="10">
        <v>30</v>
      </c>
      <c r="H347">
        <v>8</v>
      </c>
      <c r="I347">
        <v>8</v>
      </c>
      <c r="J347" s="2" t="s">
        <v>24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>
        <v>1876</v>
      </c>
      <c r="O347">
        <v>90</v>
      </c>
      <c r="P347" s="2">
        <v>1</v>
      </c>
      <c r="Q347" s="6">
        <v>40</v>
      </c>
      <c r="R347" s="10">
        <v>194</v>
      </c>
      <c r="S347" s="10">
        <v>8</v>
      </c>
      <c r="T347" s="10"/>
      <c r="U347" t="str">
        <f>"RUNNING_COST_"&amp;IF(PROPERTIES[[#This Row],[ENGINE_CLASS]]="MAGLEV","ELECTRIC",PROPERTIES[[#This Row],[ENGINE_CLASS]])</f>
        <v>RUNNING_COST_ELECTRIC</v>
      </c>
      <c r="V347" s="10" t="s">
        <v>1002</v>
      </c>
      <c r="W347" s="10" t="s">
        <v>1003</v>
      </c>
      <c r="X347" s="10" t="str">
        <f>SUBSTITUTE(SUBSTITUTE(PROPERTIES[[#This Row],[PURCHASECOST_VALUE]], "PURCHASECOST_", ""), "_VALUE", "")</f>
        <v>METRO</v>
      </c>
      <c r="AP347"/>
      <c r="AQ347"/>
      <c r="AR347"/>
    </row>
    <row r="348" spans="1:44">
      <c r="A348" s="2" t="s">
        <v>373</v>
      </c>
      <c r="B348">
        <v>2011</v>
      </c>
      <c r="C348">
        <v>1</v>
      </c>
      <c r="D348" t="s">
        <v>19</v>
      </c>
      <c r="E348" t="s">
        <v>325</v>
      </c>
      <c r="F348">
        <v>215</v>
      </c>
      <c r="G348" s="10">
        <v>47</v>
      </c>
      <c r="H348">
        <v>7</v>
      </c>
      <c r="I348">
        <v>7</v>
      </c>
      <c r="J348" s="2" t="s">
        <v>24</v>
      </c>
      <c r="K348">
        <f>_xlfn.XLOOKUP("LOADINGSPEEDDEF_"&amp;PROPERTIES[[#This Row],[LOADINGSPEED]],LOADINGSPEEDDEF[TYPE],LOADINGSPEEDDEF[SPEED])</f>
        <v>40</v>
      </c>
      <c r="L348" t="s">
        <v>21</v>
      </c>
      <c r="M348">
        <v>1</v>
      </c>
      <c r="N348">
        <v>1400</v>
      </c>
      <c r="O348">
        <v>72</v>
      </c>
      <c r="P348" s="2">
        <v>0.51</v>
      </c>
      <c r="Q348" s="6">
        <v>40</v>
      </c>
      <c r="R348" s="10">
        <v>215</v>
      </c>
      <c r="S348" s="10">
        <v>7</v>
      </c>
      <c r="T348" s="10"/>
      <c r="U348" t="str">
        <f>"RUNNING_COST_"&amp;IF(PROPERTIES[[#This Row],[ENGINE_CLASS]]="MAGLEV","ELECTRIC",PROPERTIES[[#This Row],[ENGINE_CLASS]])</f>
        <v>RUNNING_COST_ELECTRIC</v>
      </c>
      <c r="V348" s="10" t="s">
        <v>1002</v>
      </c>
      <c r="W348" s="10" t="s">
        <v>1003</v>
      </c>
      <c r="X348" s="10" t="str">
        <f>SUBSTITUTE(SUBSTITUTE(PROPERTIES[[#This Row],[PURCHASECOST_VALUE]], "PURCHASECOST_", ""), "_VALUE", "")</f>
        <v>METRO</v>
      </c>
      <c r="AP348"/>
      <c r="AQ348"/>
      <c r="AR348"/>
    </row>
    <row r="349" spans="1:44">
      <c r="A349" s="2" t="s">
        <v>374</v>
      </c>
      <c r="B349">
        <v>2015</v>
      </c>
      <c r="C349">
        <v>1</v>
      </c>
      <c r="D349" t="s">
        <v>19</v>
      </c>
      <c r="E349" t="s">
        <v>325</v>
      </c>
      <c r="F349">
        <v>145</v>
      </c>
      <c r="G349" s="10">
        <v>27</v>
      </c>
      <c r="H349">
        <v>8</v>
      </c>
      <c r="I349">
        <v>8</v>
      </c>
      <c r="J349" s="2" t="s">
        <v>24</v>
      </c>
      <c r="K349">
        <f>_xlfn.XLOOKUP("LOADINGSPEEDDEF_"&amp;PROPERTIES[[#This Row],[LOADINGSPEED]],LOADINGSPEEDDEF[TYPE],LOADINGSPEEDDEF[SPEED])</f>
        <v>40</v>
      </c>
      <c r="L349" t="s">
        <v>21</v>
      </c>
      <c r="M349">
        <v>1</v>
      </c>
      <c r="N349">
        <v>1448</v>
      </c>
      <c r="O349">
        <v>70</v>
      </c>
      <c r="P349" s="2">
        <v>0.87</v>
      </c>
      <c r="Q349" s="6">
        <v>40</v>
      </c>
      <c r="R349" s="10">
        <v>145</v>
      </c>
      <c r="S349" s="10">
        <v>8</v>
      </c>
      <c r="T349" s="10"/>
      <c r="U349" t="str">
        <f>"RUNNING_COST_"&amp;IF(PROPERTIES[[#This Row],[ENGINE_CLASS]]="MAGLEV","ELECTRIC",PROPERTIES[[#This Row],[ENGINE_CLASS]])</f>
        <v>RUNNING_COST_ELECTRIC</v>
      </c>
      <c r="V349" s="10" t="s">
        <v>1002</v>
      </c>
      <c r="W349" s="10" t="s">
        <v>1003</v>
      </c>
      <c r="X349" s="10" t="str">
        <f>SUBSTITUTE(SUBSTITUTE(PROPERTIES[[#This Row],[PURCHASECOST_VALUE]], "PURCHASECOST_", ""), "_VALUE", "")</f>
        <v>METRO</v>
      </c>
      <c r="AP349"/>
      <c r="AQ349"/>
      <c r="AR349"/>
    </row>
    <row r="350" spans="1:44">
      <c r="A350" s="2" t="s">
        <v>375</v>
      </c>
      <c r="B350">
        <v>1950</v>
      </c>
      <c r="C350">
        <v>1</v>
      </c>
      <c r="D350" t="s">
        <v>19</v>
      </c>
      <c r="E350" t="s">
        <v>325</v>
      </c>
      <c r="F350">
        <v>130</v>
      </c>
      <c r="G350" s="10">
        <v>10</v>
      </c>
      <c r="H350">
        <v>7</v>
      </c>
      <c r="I350">
        <v>7</v>
      </c>
      <c r="J350" s="2" t="s">
        <v>326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>
        <v>440</v>
      </c>
      <c r="O350">
        <v>80</v>
      </c>
      <c r="P350" s="2">
        <v>1</v>
      </c>
      <c r="Q350" s="6">
        <v>60</v>
      </c>
      <c r="R350" s="10">
        <v>130</v>
      </c>
      <c r="S350" s="10">
        <v>7</v>
      </c>
      <c r="T350" s="10"/>
      <c r="U350" t="str">
        <f>"RUNNING_COST_"&amp;IF(PROPERTIES[[#This Row],[ENGINE_CLASS]]="MAGLEV","ELECTRIC",PROPERTIES[[#This Row],[ENGINE_CLASS]])</f>
        <v>RUNNING_COST_ELECTRIC</v>
      </c>
      <c r="V350" s="10" t="s">
        <v>1002</v>
      </c>
      <c r="W350" s="10" t="s">
        <v>1003</v>
      </c>
      <c r="X350" s="10" t="str">
        <f>SUBSTITUTE(SUBSTITUTE(PROPERTIES[[#This Row],[PURCHASECOST_VALUE]], "PURCHASECOST_", ""), "_VALUE", "")</f>
        <v>METRO</v>
      </c>
      <c r="AP350"/>
      <c r="AQ350"/>
      <c r="AR350"/>
    </row>
    <row r="351" spans="1:44">
      <c r="A351" s="2" t="s">
        <v>376</v>
      </c>
      <c r="B351">
        <v>1903</v>
      </c>
      <c r="C351">
        <v>1</v>
      </c>
      <c r="D351" t="s">
        <v>19</v>
      </c>
      <c r="E351" t="s">
        <v>325</v>
      </c>
      <c r="F351">
        <v>125</v>
      </c>
      <c r="G351" s="10">
        <v>45</v>
      </c>
      <c r="H351">
        <v>8</v>
      </c>
      <c r="I351">
        <v>8</v>
      </c>
      <c r="J351" s="2" t="s">
        <v>326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>
        <v>300</v>
      </c>
      <c r="O351">
        <v>70</v>
      </c>
      <c r="P351" s="2">
        <v>0.22</v>
      </c>
      <c r="Q351" s="6">
        <v>60</v>
      </c>
      <c r="R351" s="10">
        <v>125</v>
      </c>
      <c r="S351" s="10">
        <v>8</v>
      </c>
      <c r="T351" s="10"/>
      <c r="U351" t="str">
        <f>"RUNNING_COST_"&amp;IF(PROPERTIES[[#This Row],[ENGINE_CLASS]]="MAGLEV","ELECTRIC",PROPERTIES[[#This Row],[ENGINE_CLASS]])</f>
        <v>RUNNING_COST_ELECTRIC</v>
      </c>
      <c r="V351" s="10" t="s">
        <v>1002</v>
      </c>
      <c r="W351" s="10" t="s">
        <v>1003</v>
      </c>
      <c r="X351" s="10" t="str">
        <f>SUBSTITUTE(SUBSTITUTE(PROPERTIES[[#This Row],[PURCHASECOST_VALUE]], "PURCHASECOST_", ""), "_VALUE", "")</f>
        <v>METRO</v>
      </c>
      <c r="AP351"/>
      <c r="AQ351"/>
      <c r="AR351"/>
    </row>
    <row r="352" spans="1:44">
      <c r="A352" s="2" t="s">
        <v>377</v>
      </c>
      <c r="B352">
        <v>1938</v>
      </c>
      <c r="C352">
        <v>1</v>
      </c>
      <c r="D352" t="s">
        <v>19</v>
      </c>
      <c r="E352" t="s">
        <v>325</v>
      </c>
      <c r="F352">
        <v>120</v>
      </c>
      <c r="G352" s="10">
        <v>26</v>
      </c>
      <c r="H352">
        <v>7</v>
      </c>
      <c r="I352">
        <v>7</v>
      </c>
      <c r="J352" s="2" t="s">
        <v>326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>
        <v>600</v>
      </c>
      <c r="O352">
        <v>70</v>
      </c>
      <c r="P352" s="2">
        <v>0.77</v>
      </c>
      <c r="Q352" s="6">
        <v>60</v>
      </c>
      <c r="R352" s="10">
        <v>120</v>
      </c>
      <c r="S352" s="10">
        <v>7</v>
      </c>
      <c r="T352" s="10"/>
      <c r="U352" t="str">
        <f>"RUNNING_COST_"&amp;IF(PROPERTIES[[#This Row],[ENGINE_CLASS]]="MAGLEV","ELECTRIC",PROPERTIES[[#This Row],[ENGINE_CLASS]])</f>
        <v>RUNNING_COST_ELECTRIC</v>
      </c>
      <c r="V352" s="10" t="s">
        <v>1002</v>
      </c>
      <c r="W352" s="10" t="s">
        <v>1003</v>
      </c>
      <c r="X352" s="10" t="str">
        <f>SUBSTITUTE(SUBSTITUTE(PROPERTIES[[#This Row],[PURCHASECOST_VALUE]], "PURCHASECOST_", ""), "_VALUE", "")</f>
        <v>METRO</v>
      </c>
      <c r="AP352"/>
      <c r="AQ352"/>
      <c r="AR352"/>
    </row>
    <row r="353" spans="1:44">
      <c r="A353" s="2" t="s">
        <v>378</v>
      </c>
      <c r="B353">
        <v>1914</v>
      </c>
      <c r="C353">
        <v>0</v>
      </c>
      <c r="D353" t="s">
        <v>74</v>
      </c>
      <c r="E353" t="s">
        <v>20</v>
      </c>
      <c r="F353">
        <v>0</v>
      </c>
      <c r="G353" s="10">
        <v>74</v>
      </c>
      <c r="H353">
        <v>7</v>
      </c>
      <c r="I353">
        <v>7</v>
      </c>
      <c r="J353" s="2" t="s">
        <v>20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>
        <v>1100</v>
      </c>
      <c r="O353">
        <v>40</v>
      </c>
      <c r="P353" s="2">
        <v>0.18</v>
      </c>
      <c r="Q353" s="6">
        <v>40</v>
      </c>
      <c r="R353" s="10">
        <v>0</v>
      </c>
      <c r="S353" s="10">
        <v>0</v>
      </c>
      <c r="T353" s="10"/>
      <c r="U353" t="str">
        <f>"RUNNING_COST_"&amp;IF(PROPERTIES[[#This Row],[ENGINE_CLASS]]="MAGLEV","ELECTRIC",PROPERTIES[[#This Row],[ENGINE_CLASS]])</f>
        <v>RUNNING_COST_ELECTRIC</v>
      </c>
      <c r="V353" s="10" t="s">
        <v>1004</v>
      </c>
      <c r="W353" s="10" t="s">
        <v>1005</v>
      </c>
      <c r="X353" s="10" t="str">
        <f>SUBSTITUTE(SUBSTITUTE(PROPERTIES[[#This Row],[PURCHASECOST_VALUE]], "PURCHASECOST_", ""), "_VALUE", "")</f>
        <v>ELECTRICENGINE</v>
      </c>
      <c r="AP353"/>
      <c r="AQ353"/>
      <c r="AR353"/>
    </row>
    <row r="354" spans="1:44">
      <c r="A354" s="2" t="s">
        <v>379</v>
      </c>
      <c r="B354">
        <v>1931</v>
      </c>
      <c r="C354">
        <v>0</v>
      </c>
      <c r="D354" t="s">
        <v>74</v>
      </c>
      <c r="E354" t="s">
        <v>20</v>
      </c>
      <c r="F354">
        <v>0</v>
      </c>
      <c r="G354" s="10">
        <v>22</v>
      </c>
      <c r="H354">
        <v>5</v>
      </c>
      <c r="I354">
        <v>5</v>
      </c>
      <c r="J354" s="2" t="s">
        <v>20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>
        <v>180</v>
      </c>
      <c r="O354">
        <v>40</v>
      </c>
      <c r="P354" s="2">
        <v>0.3</v>
      </c>
      <c r="Q354" s="6">
        <v>40</v>
      </c>
      <c r="R354" s="10">
        <v>0</v>
      </c>
      <c r="S354" s="10">
        <v>0</v>
      </c>
      <c r="T354" s="10"/>
      <c r="U354" t="str">
        <f>"RUNNING_COST_"&amp;IF(PROPERTIES[[#This Row],[ENGINE_CLASS]]="MAGLEV","ELECTRIC",PROPERTIES[[#This Row],[ENGINE_CLASS]])</f>
        <v>RUNNING_COST_ELECTRIC</v>
      </c>
      <c r="V354" s="10" t="s">
        <v>1004</v>
      </c>
      <c r="W354" s="10" t="s">
        <v>1005</v>
      </c>
      <c r="X354" s="10" t="str">
        <f>SUBSTITUTE(SUBSTITUTE(PROPERTIES[[#This Row],[PURCHASECOST_VALUE]], "PURCHASECOST_", ""), "_VALUE", "")</f>
        <v>ELECTRICENGINE</v>
      </c>
      <c r="AP354"/>
      <c r="AQ354"/>
      <c r="AR354"/>
    </row>
    <row r="355" spans="1:44">
      <c r="A355" s="2" t="s">
        <v>380</v>
      </c>
      <c r="B355">
        <v>1936</v>
      </c>
      <c r="C355">
        <v>0</v>
      </c>
      <c r="D355" t="s">
        <v>74</v>
      </c>
      <c r="E355" t="s">
        <v>20</v>
      </c>
      <c r="F355">
        <v>0</v>
      </c>
      <c r="G355" s="10">
        <v>100</v>
      </c>
      <c r="H355">
        <v>8</v>
      </c>
      <c r="I355">
        <v>8</v>
      </c>
      <c r="J355" s="2" t="s">
        <v>20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>
        <v>1810</v>
      </c>
      <c r="O355">
        <v>75</v>
      </c>
      <c r="P355" s="2">
        <v>0.06</v>
      </c>
      <c r="Q355" s="6">
        <v>40</v>
      </c>
      <c r="R355" s="10">
        <v>0</v>
      </c>
      <c r="S355" s="10">
        <v>0</v>
      </c>
      <c r="T355" s="10"/>
      <c r="U355" t="str">
        <f>"RUNNING_COST_"&amp;IF(PROPERTIES[[#This Row],[ENGINE_CLASS]]="MAGLEV","ELECTRIC",PROPERTIES[[#This Row],[ENGINE_CLASS]])</f>
        <v>RUNNING_COST_ELECTRIC</v>
      </c>
      <c r="V355" s="10" t="s">
        <v>1004</v>
      </c>
      <c r="W355" s="10" t="s">
        <v>1005</v>
      </c>
      <c r="X355" s="10" t="str">
        <f>SUBSTITUTE(SUBSTITUTE(PROPERTIES[[#This Row],[PURCHASECOST_VALUE]], "PURCHASECOST_", ""), "_VALUE", "")</f>
        <v>ELECTRICENGINE</v>
      </c>
      <c r="AP355"/>
      <c r="AQ355"/>
      <c r="AR355"/>
    </row>
    <row r="356" spans="1:44">
      <c r="A356" s="2" t="s">
        <v>381</v>
      </c>
      <c r="B356">
        <v>1948</v>
      </c>
      <c r="C356">
        <v>0</v>
      </c>
      <c r="D356" t="s">
        <v>74</v>
      </c>
      <c r="E356" t="s">
        <v>20</v>
      </c>
      <c r="F356">
        <v>0</v>
      </c>
      <c r="G356" s="10">
        <v>100</v>
      </c>
      <c r="H356">
        <v>8</v>
      </c>
      <c r="I356">
        <v>8</v>
      </c>
      <c r="J356" s="2" t="s">
        <v>20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>
        <v>3749</v>
      </c>
      <c r="O356">
        <v>135</v>
      </c>
      <c r="P356" s="2">
        <v>0.18</v>
      </c>
      <c r="Q356" s="6">
        <v>40</v>
      </c>
      <c r="R356" s="10">
        <v>0</v>
      </c>
      <c r="S356" s="10">
        <v>0</v>
      </c>
      <c r="T356" s="10"/>
      <c r="U356" t="str">
        <f>"RUNNING_COST_"&amp;IF(PROPERTIES[[#This Row],[ENGINE_CLASS]]="MAGLEV","ELECTRIC",PROPERTIES[[#This Row],[ENGINE_CLASS]])</f>
        <v>RUNNING_COST_ELECTRIC</v>
      </c>
      <c r="V356" s="10" t="s">
        <v>1004</v>
      </c>
      <c r="W356" s="10" t="s">
        <v>1005</v>
      </c>
      <c r="X356" s="10" t="str">
        <f>SUBSTITUTE(SUBSTITUTE(PROPERTIES[[#This Row],[PURCHASECOST_VALUE]], "PURCHASECOST_", ""), "_VALUE", "")</f>
        <v>ELECTRICENGINE</v>
      </c>
      <c r="AP356"/>
      <c r="AQ356"/>
      <c r="AR356"/>
    </row>
    <row r="357" spans="1:44">
      <c r="A357" s="2" t="s">
        <v>382</v>
      </c>
      <c r="B357">
        <v>1980</v>
      </c>
      <c r="C357">
        <v>0</v>
      </c>
      <c r="D357" t="s">
        <v>74</v>
      </c>
      <c r="E357" t="s">
        <v>20</v>
      </c>
      <c r="F357">
        <v>0</v>
      </c>
      <c r="G357" s="10">
        <v>84</v>
      </c>
      <c r="H357">
        <v>8</v>
      </c>
      <c r="I357">
        <v>8</v>
      </c>
      <c r="J357" s="2" t="s">
        <v>20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>
        <v>4539</v>
      </c>
      <c r="O357">
        <v>180</v>
      </c>
      <c r="P357" s="2">
        <v>0.31</v>
      </c>
      <c r="Q357" s="6">
        <v>40</v>
      </c>
      <c r="R357" s="10">
        <v>0</v>
      </c>
      <c r="S357" s="10">
        <v>0</v>
      </c>
      <c r="T357" s="10"/>
      <c r="U357" t="str">
        <f>"RUNNING_COST_"&amp;IF(PROPERTIES[[#This Row],[ENGINE_CLASS]]="MAGLEV","ELECTRIC",PROPERTIES[[#This Row],[ENGINE_CLASS]])</f>
        <v>RUNNING_COST_ELECTRIC</v>
      </c>
      <c r="V357" s="10" t="s">
        <v>1004</v>
      </c>
      <c r="W357" s="10" t="s">
        <v>1005</v>
      </c>
      <c r="X357" s="10" t="str">
        <f>SUBSTITUTE(SUBSTITUTE(PROPERTIES[[#This Row],[PURCHASECOST_VALUE]], "PURCHASECOST_", ""), "_VALUE", "")</f>
        <v>ELECTRICENGINE</v>
      </c>
      <c r="AP357"/>
      <c r="AQ357"/>
      <c r="AR357"/>
    </row>
    <row r="358" spans="1:44">
      <c r="A358" s="2" t="s">
        <v>383</v>
      </c>
      <c r="B358">
        <v>1923</v>
      </c>
      <c r="C358">
        <v>0</v>
      </c>
      <c r="D358" t="s">
        <v>74</v>
      </c>
      <c r="E358" t="s">
        <v>20</v>
      </c>
      <c r="F358">
        <v>0</v>
      </c>
      <c r="G358" s="10">
        <v>56</v>
      </c>
      <c r="H358">
        <v>7</v>
      </c>
      <c r="I358">
        <v>7</v>
      </c>
      <c r="J358" s="2" t="s">
        <v>20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>
        <v>620</v>
      </c>
      <c r="O358">
        <v>65</v>
      </c>
      <c r="P358" s="2">
        <v>0.11</v>
      </c>
      <c r="Q358" s="6">
        <v>40</v>
      </c>
      <c r="R358" s="10">
        <v>0</v>
      </c>
      <c r="S358" s="10">
        <v>0</v>
      </c>
      <c r="T358" s="10"/>
      <c r="U358" t="str">
        <f>"RUNNING_COST_"&amp;IF(PROPERTIES[[#This Row],[ENGINE_CLASS]]="MAGLEV","ELECTRIC",PROPERTIES[[#This Row],[ENGINE_CLASS]])</f>
        <v>RUNNING_COST_ELECTRIC</v>
      </c>
      <c r="V358" s="10" t="s">
        <v>1004</v>
      </c>
      <c r="W358" s="10" t="s">
        <v>1005</v>
      </c>
      <c r="X358" s="10" t="str">
        <f>SUBSTITUTE(SUBSTITUTE(PROPERTIES[[#This Row],[PURCHASECOST_VALUE]], "PURCHASECOST_", ""), "_VALUE", "")</f>
        <v>ELECTRICENGINE</v>
      </c>
      <c r="AP358"/>
      <c r="AQ358"/>
      <c r="AR358"/>
    </row>
    <row r="359" spans="1:44">
      <c r="A359" s="2" t="s">
        <v>384</v>
      </c>
      <c r="B359">
        <v>1903</v>
      </c>
      <c r="C359">
        <v>0</v>
      </c>
      <c r="D359" t="s">
        <v>74</v>
      </c>
      <c r="E359" t="s">
        <v>20</v>
      </c>
      <c r="F359">
        <v>0</v>
      </c>
      <c r="G359" s="10">
        <v>57</v>
      </c>
      <c r="H359">
        <v>6</v>
      </c>
      <c r="I359">
        <v>6</v>
      </c>
      <c r="J359" s="2" t="s">
        <v>20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>
        <v>640</v>
      </c>
      <c r="O359">
        <v>43</v>
      </c>
      <c r="P359" s="2">
        <v>0.19</v>
      </c>
      <c r="Q359" s="6">
        <v>40</v>
      </c>
      <c r="R359" s="10">
        <v>0</v>
      </c>
      <c r="S359" s="10">
        <v>0</v>
      </c>
      <c r="T359" s="10"/>
      <c r="U359" t="str">
        <f>"RUNNING_COST_"&amp;IF(PROPERTIES[[#This Row],[ENGINE_CLASS]]="MAGLEV","ELECTRIC",PROPERTIES[[#This Row],[ENGINE_CLASS]])</f>
        <v>RUNNING_COST_ELECTRIC</v>
      </c>
      <c r="V359" s="10" t="s">
        <v>1004</v>
      </c>
      <c r="W359" s="10" t="s">
        <v>1005</v>
      </c>
      <c r="X359" s="10" t="str">
        <f>SUBSTITUTE(SUBSTITUTE(PROPERTIES[[#This Row],[PURCHASECOST_VALUE]], "PURCHASECOST_", ""), "_VALUE", "")</f>
        <v>ELECTRICENGINE</v>
      </c>
      <c r="AP359"/>
      <c r="AQ359"/>
      <c r="AR359"/>
    </row>
    <row r="360" spans="1:44">
      <c r="A360" s="2" t="s">
        <v>385</v>
      </c>
      <c r="B360">
        <v>1903</v>
      </c>
      <c r="C360">
        <v>0</v>
      </c>
      <c r="D360" t="s">
        <v>74</v>
      </c>
      <c r="E360" t="s">
        <v>20</v>
      </c>
      <c r="F360">
        <v>0</v>
      </c>
      <c r="G360" s="10">
        <v>103</v>
      </c>
      <c r="H360">
        <v>7</v>
      </c>
      <c r="I360">
        <v>7</v>
      </c>
      <c r="J360" s="2" t="s">
        <v>20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>
        <v>1264</v>
      </c>
      <c r="O360">
        <v>97</v>
      </c>
      <c r="P360" s="2">
        <v>0.16</v>
      </c>
      <c r="Q360" s="6">
        <v>40</v>
      </c>
      <c r="R360" s="10">
        <v>0</v>
      </c>
      <c r="S360" s="10">
        <v>0</v>
      </c>
      <c r="T360" s="10"/>
      <c r="U360" t="str">
        <f>"RUNNING_COST_"&amp;IF(PROPERTIES[[#This Row],[ENGINE_CLASS]]="MAGLEV","ELECTRIC",PROPERTIES[[#This Row],[ENGINE_CLASS]])</f>
        <v>RUNNING_COST_ELECTRIC</v>
      </c>
      <c r="V360" s="10" t="s">
        <v>1004</v>
      </c>
      <c r="W360" s="10" t="s">
        <v>1005</v>
      </c>
      <c r="X360" s="10" t="str">
        <f>SUBSTITUTE(SUBSTITUTE(PROPERTIES[[#This Row],[PURCHASECOST_VALUE]], "PURCHASECOST_", ""), "_VALUE", "")</f>
        <v>ELECTRICENGINE</v>
      </c>
      <c r="AP360"/>
      <c r="AQ360"/>
      <c r="AR360"/>
    </row>
    <row r="361" spans="1:44">
      <c r="A361" s="2" t="s">
        <v>386</v>
      </c>
      <c r="B361">
        <v>1930</v>
      </c>
      <c r="C361">
        <v>0</v>
      </c>
      <c r="D361" t="s">
        <v>74</v>
      </c>
      <c r="E361" t="s">
        <v>20</v>
      </c>
      <c r="F361">
        <v>0</v>
      </c>
      <c r="G361" s="10">
        <v>40</v>
      </c>
      <c r="H361">
        <v>6</v>
      </c>
      <c r="I361">
        <v>6</v>
      </c>
      <c r="J361" s="2" t="s">
        <v>20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>
        <v>482</v>
      </c>
      <c r="O361">
        <v>28</v>
      </c>
      <c r="P361" s="2">
        <v>0.12</v>
      </c>
      <c r="Q361" s="6">
        <v>40</v>
      </c>
      <c r="R361" s="10">
        <v>0</v>
      </c>
      <c r="S361" s="10">
        <v>0</v>
      </c>
      <c r="T361" s="10"/>
      <c r="U361" t="str">
        <f>"RUNNING_COST_"&amp;IF(PROPERTIES[[#This Row],[ENGINE_CLASS]]="MAGLEV","ELECTRIC",PROPERTIES[[#This Row],[ENGINE_CLASS]])</f>
        <v>RUNNING_COST_ELECTRIC</v>
      </c>
      <c r="V361" s="10" t="s">
        <v>1004</v>
      </c>
      <c r="W361" s="10" t="s">
        <v>1005</v>
      </c>
      <c r="X361" s="10" t="str">
        <f>SUBSTITUTE(SUBSTITUTE(PROPERTIES[[#This Row],[PURCHASECOST_VALUE]], "PURCHASECOST_", ""), "_VALUE", "")</f>
        <v>ELECTRICENGINE</v>
      </c>
      <c r="AP361"/>
      <c r="AQ361"/>
      <c r="AR361"/>
    </row>
    <row r="362" spans="1:44">
      <c r="A362" s="2" t="s">
        <v>387</v>
      </c>
      <c r="B362">
        <v>1928</v>
      </c>
      <c r="C362">
        <v>0</v>
      </c>
      <c r="D362" t="s">
        <v>74</v>
      </c>
      <c r="E362" t="s">
        <v>20</v>
      </c>
      <c r="F362">
        <v>0</v>
      </c>
      <c r="G362" s="10">
        <v>55</v>
      </c>
      <c r="H362">
        <v>8</v>
      </c>
      <c r="I362">
        <v>8</v>
      </c>
      <c r="J362" s="2" t="s">
        <v>20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>
        <v>2610</v>
      </c>
      <c r="O362">
        <v>90</v>
      </c>
      <c r="P362" s="2">
        <v>0.6</v>
      </c>
      <c r="Q362" s="6">
        <v>40</v>
      </c>
      <c r="R362" s="10">
        <v>0</v>
      </c>
      <c r="S362" s="10">
        <v>0</v>
      </c>
      <c r="T362" s="10"/>
      <c r="U362" t="str">
        <f>"RUNNING_COST_"&amp;IF(PROPERTIES[[#This Row],[ENGINE_CLASS]]="MAGLEV","ELECTRIC",PROPERTIES[[#This Row],[ENGINE_CLASS]])</f>
        <v>RUNNING_COST_ELECTRIC</v>
      </c>
      <c r="V362" s="10" t="s">
        <v>1004</v>
      </c>
      <c r="W362" s="10" t="s">
        <v>1005</v>
      </c>
      <c r="X362" s="10" t="str">
        <f>SUBSTITUTE(SUBSTITUTE(PROPERTIES[[#This Row],[PURCHASECOST_VALUE]], "PURCHASECOST_", ""), "_VALUE", "")</f>
        <v>ELECTRICENGINE</v>
      </c>
      <c r="AP362"/>
      <c r="AQ362"/>
      <c r="AR362"/>
    </row>
    <row r="363" spans="1:44">
      <c r="A363" s="2" t="s">
        <v>388</v>
      </c>
      <c r="B363">
        <v>1954</v>
      </c>
      <c r="C363">
        <v>0</v>
      </c>
      <c r="D363" t="s">
        <v>74</v>
      </c>
      <c r="E363" t="s">
        <v>20</v>
      </c>
      <c r="F363">
        <v>0</v>
      </c>
      <c r="G363" s="10">
        <v>83</v>
      </c>
      <c r="H363">
        <v>8</v>
      </c>
      <c r="I363">
        <v>8</v>
      </c>
      <c r="J363" s="2" t="s">
        <v>20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>
        <v>4000</v>
      </c>
      <c r="O363">
        <v>140</v>
      </c>
      <c r="P363" s="2">
        <v>0.25</v>
      </c>
      <c r="Q363" s="6">
        <v>40</v>
      </c>
      <c r="R363" s="10">
        <v>0</v>
      </c>
      <c r="S363" s="10">
        <v>0</v>
      </c>
      <c r="T363" s="10"/>
      <c r="U363" t="str">
        <f>"RUNNING_COST_"&amp;IF(PROPERTIES[[#This Row],[ENGINE_CLASS]]="MAGLEV","ELECTRIC",PROPERTIES[[#This Row],[ENGINE_CLASS]])</f>
        <v>RUNNING_COST_ELECTRIC</v>
      </c>
      <c r="V363" s="10" t="s">
        <v>1004</v>
      </c>
      <c r="W363" s="10" t="s">
        <v>1005</v>
      </c>
      <c r="X363" s="10" t="str">
        <f>SUBSTITUTE(SUBSTITUTE(PROPERTIES[[#This Row],[PURCHASECOST_VALUE]], "PURCHASECOST_", ""), "_VALUE", "")</f>
        <v>ELECTRICENGINE</v>
      </c>
      <c r="AP363"/>
      <c r="AQ363"/>
      <c r="AR363"/>
    </row>
    <row r="364" spans="1:44">
      <c r="A364" s="2" t="s">
        <v>389</v>
      </c>
      <c r="B364">
        <v>1925</v>
      </c>
      <c r="C364">
        <v>0</v>
      </c>
      <c r="D364" t="s">
        <v>74</v>
      </c>
      <c r="E364" t="s">
        <v>20</v>
      </c>
      <c r="F364">
        <v>0</v>
      </c>
      <c r="G364" s="10">
        <v>69</v>
      </c>
      <c r="H364">
        <v>6</v>
      </c>
      <c r="I364">
        <v>6</v>
      </c>
      <c r="J364" s="2" t="s">
        <v>20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>
        <v>765</v>
      </c>
      <c r="O364">
        <v>120</v>
      </c>
      <c r="P364" s="2">
        <v>0.23</v>
      </c>
      <c r="Q364" s="6">
        <v>40</v>
      </c>
      <c r="R364" s="10">
        <v>0</v>
      </c>
      <c r="S364" s="10">
        <v>0</v>
      </c>
      <c r="T364" s="10"/>
      <c r="U364" t="str">
        <f>"RUNNING_COST_"&amp;IF(PROPERTIES[[#This Row],[ENGINE_CLASS]]="MAGLEV","ELECTRIC",PROPERTIES[[#This Row],[ENGINE_CLASS]])</f>
        <v>RUNNING_COST_ELECTRIC</v>
      </c>
      <c r="V364" s="10" t="s">
        <v>1004</v>
      </c>
      <c r="W364" s="10" t="s">
        <v>1005</v>
      </c>
      <c r="X364" s="10" t="str">
        <f>SUBSTITUTE(SUBSTITUTE(PROPERTIES[[#This Row],[PURCHASECOST_VALUE]], "PURCHASECOST_", ""), "_VALUE", "")</f>
        <v>ELECTRICENGINE</v>
      </c>
      <c r="AP364"/>
      <c r="AQ364"/>
      <c r="AR364"/>
    </row>
    <row r="365" spans="1:44">
      <c r="A365" s="2" t="s">
        <v>390</v>
      </c>
      <c r="B365">
        <v>1953</v>
      </c>
      <c r="C365">
        <v>0</v>
      </c>
      <c r="D365" t="s">
        <v>74</v>
      </c>
      <c r="E365" t="s">
        <v>20</v>
      </c>
      <c r="F365">
        <v>0</v>
      </c>
      <c r="G365" s="10">
        <v>102</v>
      </c>
      <c r="H365">
        <v>8</v>
      </c>
      <c r="I365">
        <v>8</v>
      </c>
      <c r="J365" s="2" t="s">
        <v>20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>
        <v>2490</v>
      </c>
      <c r="O365">
        <v>145</v>
      </c>
      <c r="P365" s="2">
        <v>0.2</v>
      </c>
      <c r="Q365" s="6">
        <v>40</v>
      </c>
      <c r="R365" s="10">
        <v>0</v>
      </c>
      <c r="S365" s="10">
        <v>0</v>
      </c>
      <c r="T365" s="10"/>
      <c r="U365" t="str">
        <f>"RUNNING_COST_"&amp;IF(PROPERTIES[[#This Row],[ENGINE_CLASS]]="MAGLEV","ELECTRIC",PROPERTIES[[#This Row],[ENGINE_CLASS]])</f>
        <v>RUNNING_COST_ELECTRIC</v>
      </c>
      <c r="V365" s="10" t="s">
        <v>1004</v>
      </c>
      <c r="W365" s="10" t="s">
        <v>1005</v>
      </c>
      <c r="X365" s="10" t="str">
        <f>SUBSTITUTE(SUBSTITUTE(PROPERTIES[[#This Row],[PURCHASECOST_VALUE]], "PURCHASECOST_", ""), "_VALUE", "")</f>
        <v>ELECTRICENGINE</v>
      </c>
      <c r="AP365"/>
      <c r="AQ365"/>
      <c r="AR365"/>
    </row>
    <row r="366" spans="1:44">
      <c r="A366" s="2" t="s">
        <v>391</v>
      </c>
      <c r="B366">
        <v>1922</v>
      </c>
      <c r="C366">
        <v>0</v>
      </c>
      <c r="D366" t="s">
        <v>74</v>
      </c>
      <c r="E366" t="s">
        <v>20</v>
      </c>
      <c r="F366">
        <v>0</v>
      </c>
      <c r="G366" s="10">
        <v>111</v>
      </c>
      <c r="H366">
        <v>8</v>
      </c>
      <c r="I366">
        <v>8</v>
      </c>
      <c r="J366" s="2" t="s">
        <v>20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>
        <v>1800</v>
      </c>
      <c r="O366">
        <v>105</v>
      </c>
      <c r="P366" s="2">
        <v>0.11</v>
      </c>
      <c r="Q366" s="6">
        <v>40</v>
      </c>
      <c r="R366" s="10">
        <v>0</v>
      </c>
      <c r="S366" s="10">
        <v>0</v>
      </c>
      <c r="T366" s="10"/>
      <c r="U366" t="str">
        <f>"RUNNING_COST_"&amp;IF(PROPERTIES[[#This Row],[ENGINE_CLASS]]="MAGLEV","ELECTRIC",PROPERTIES[[#This Row],[ENGINE_CLASS]])</f>
        <v>RUNNING_COST_ELECTRIC</v>
      </c>
      <c r="V366" s="10" t="s">
        <v>1004</v>
      </c>
      <c r="W366" s="10" t="s">
        <v>1005</v>
      </c>
      <c r="X366" s="10" t="str">
        <f>SUBSTITUTE(SUBSTITUTE(PROPERTIES[[#This Row],[PURCHASECOST_VALUE]], "PURCHASECOST_", ""), "_VALUE", "")</f>
        <v>ELECTRICENGINE</v>
      </c>
      <c r="AP366"/>
      <c r="AQ366"/>
      <c r="AR366"/>
    </row>
    <row r="367" spans="1:44">
      <c r="A367" s="2" t="s">
        <v>392</v>
      </c>
      <c r="B367">
        <v>1916</v>
      </c>
      <c r="C367">
        <v>0</v>
      </c>
      <c r="D367" t="s">
        <v>74</v>
      </c>
      <c r="E367" t="s">
        <v>20</v>
      </c>
      <c r="F367">
        <v>0</v>
      </c>
      <c r="G367" s="10">
        <v>74</v>
      </c>
      <c r="H367">
        <v>6</v>
      </c>
      <c r="I367">
        <v>6</v>
      </c>
      <c r="J367" s="2" t="s">
        <v>20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>
        <v>670</v>
      </c>
      <c r="O367">
        <v>72</v>
      </c>
      <c r="P367" s="2">
        <v>0.18</v>
      </c>
      <c r="Q367" s="6">
        <v>40</v>
      </c>
      <c r="R367" s="10">
        <v>0</v>
      </c>
      <c r="S367" s="10">
        <v>0</v>
      </c>
      <c r="T367" s="10"/>
      <c r="U367" t="str">
        <f>"RUNNING_COST_"&amp;IF(PROPERTIES[[#This Row],[ENGINE_CLASS]]="MAGLEV","ELECTRIC",PROPERTIES[[#This Row],[ENGINE_CLASS]])</f>
        <v>RUNNING_COST_ELECTRIC</v>
      </c>
      <c r="V367" s="10" t="s">
        <v>1004</v>
      </c>
      <c r="W367" s="10" t="s">
        <v>1005</v>
      </c>
      <c r="X367" s="10" t="str">
        <f>SUBSTITUTE(SUBSTITUTE(PROPERTIES[[#This Row],[PURCHASECOST_VALUE]], "PURCHASECOST_", ""), "_VALUE", "")</f>
        <v>ELECTRICENGINE</v>
      </c>
      <c r="AP367"/>
      <c r="AQ367"/>
      <c r="AR367"/>
    </row>
    <row r="368" spans="1:44">
      <c r="A368" s="2" t="s">
        <v>393</v>
      </c>
      <c r="B368">
        <v>1919</v>
      </c>
      <c r="C368">
        <v>0</v>
      </c>
      <c r="D368" t="s">
        <v>74</v>
      </c>
      <c r="E368" t="s">
        <v>20</v>
      </c>
      <c r="F368">
        <v>0</v>
      </c>
      <c r="G368" s="10">
        <v>240</v>
      </c>
      <c r="H368">
        <v>8</v>
      </c>
      <c r="I368">
        <v>4</v>
      </c>
      <c r="J368" s="2" t="s">
        <v>20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>
        <v>4400</v>
      </c>
      <c r="O368">
        <v>144</v>
      </c>
      <c r="P368" s="2">
        <v>0.17</v>
      </c>
      <c r="Q368" s="6">
        <v>40</v>
      </c>
      <c r="R368" s="10">
        <v>0</v>
      </c>
      <c r="S368" s="10">
        <v>2</v>
      </c>
      <c r="T368" s="10"/>
      <c r="U368" t="str">
        <f>"RUNNING_COST_"&amp;IF(PROPERTIES[[#This Row],[ENGINE_CLASS]]="MAGLEV","ELECTRIC",PROPERTIES[[#This Row],[ENGINE_CLASS]])</f>
        <v>RUNNING_COST_ELECTRIC</v>
      </c>
      <c r="V368" s="10" t="s">
        <v>1004</v>
      </c>
      <c r="W368" s="10" t="s">
        <v>1005</v>
      </c>
      <c r="X368" s="10" t="str">
        <f>SUBSTITUTE(SUBSTITUTE(PROPERTIES[[#This Row],[PURCHASECOST_VALUE]], "PURCHASECOST_", ""), "_VALUE", "")</f>
        <v>ELECTRICENGINE</v>
      </c>
      <c r="AP368"/>
      <c r="AQ368"/>
      <c r="AR368"/>
    </row>
    <row r="369" spans="1:44">
      <c r="A369" s="2" t="s">
        <v>394</v>
      </c>
      <c r="B369">
        <v>1922</v>
      </c>
      <c r="C369">
        <v>0</v>
      </c>
      <c r="D369" t="s">
        <v>74</v>
      </c>
      <c r="E369" t="s">
        <v>20</v>
      </c>
      <c r="F369">
        <v>0</v>
      </c>
      <c r="G369" s="10">
        <v>115</v>
      </c>
      <c r="H369">
        <v>8</v>
      </c>
      <c r="I369">
        <v>8</v>
      </c>
      <c r="J369" s="2" t="s">
        <v>20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>
        <v>2250</v>
      </c>
      <c r="O369">
        <v>110</v>
      </c>
      <c r="P369" s="2">
        <v>0.19</v>
      </c>
      <c r="Q369" s="6">
        <v>40</v>
      </c>
      <c r="R369" s="10">
        <v>0</v>
      </c>
      <c r="S369" s="10">
        <v>0</v>
      </c>
      <c r="T369" s="10"/>
      <c r="U369" t="str">
        <f>"RUNNING_COST_"&amp;IF(PROPERTIES[[#This Row],[ENGINE_CLASS]]="MAGLEV","ELECTRIC",PROPERTIES[[#This Row],[ENGINE_CLASS]])</f>
        <v>RUNNING_COST_ELECTRIC</v>
      </c>
      <c r="V369" s="10" t="s">
        <v>1004</v>
      </c>
      <c r="W369" s="10" t="s">
        <v>1005</v>
      </c>
      <c r="X369" s="10" t="str">
        <f>SUBSTITUTE(SUBSTITUTE(PROPERTIES[[#This Row],[PURCHASECOST_VALUE]], "PURCHASECOST_", ""), "_VALUE", "")</f>
        <v>ELECTRICENGINE</v>
      </c>
      <c r="AP369"/>
      <c r="AQ369"/>
      <c r="AR369"/>
    </row>
    <row r="370" spans="1:44">
      <c r="A370" s="2" t="s">
        <v>395</v>
      </c>
      <c r="B370">
        <v>1934</v>
      </c>
      <c r="C370">
        <v>0</v>
      </c>
      <c r="D370" t="s">
        <v>74</v>
      </c>
      <c r="E370" t="s">
        <v>20</v>
      </c>
      <c r="F370">
        <v>0</v>
      </c>
      <c r="G370" s="10">
        <v>135</v>
      </c>
      <c r="H370">
        <v>8</v>
      </c>
      <c r="I370">
        <v>8</v>
      </c>
      <c r="J370" s="2" t="s">
        <v>20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>
        <v>3750</v>
      </c>
      <c r="O370">
        <v>130</v>
      </c>
      <c r="P370" s="2">
        <v>0.1</v>
      </c>
      <c r="Q370" s="6">
        <v>40</v>
      </c>
      <c r="R370" s="10">
        <v>0</v>
      </c>
      <c r="S370" s="10">
        <v>0</v>
      </c>
      <c r="T370" s="10"/>
      <c r="U370" t="str">
        <f>"RUNNING_COST_"&amp;IF(PROPERTIES[[#This Row],[ENGINE_CLASS]]="MAGLEV","ELECTRIC",PROPERTIES[[#This Row],[ENGINE_CLASS]])</f>
        <v>RUNNING_COST_ELECTRIC</v>
      </c>
      <c r="V370" s="10" t="s">
        <v>1004</v>
      </c>
      <c r="W370" s="10" t="s">
        <v>1005</v>
      </c>
      <c r="X370" s="10" t="str">
        <f>SUBSTITUTE(SUBSTITUTE(PROPERTIES[[#This Row],[PURCHASECOST_VALUE]], "PURCHASECOST_", ""), "_VALUE", "")</f>
        <v>ELECTRICENGINE</v>
      </c>
      <c r="AP370"/>
      <c r="AQ370"/>
      <c r="AR370"/>
    </row>
    <row r="371" spans="1:44">
      <c r="A371" s="2" t="s">
        <v>396</v>
      </c>
      <c r="B371">
        <v>1936</v>
      </c>
      <c r="C371">
        <v>0</v>
      </c>
      <c r="D371" t="s">
        <v>74</v>
      </c>
      <c r="E371" t="s">
        <v>20</v>
      </c>
      <c r="F371">
        <v>0</v>
      </c>
      <c r="G371" s="10">
        <v>68</v>
      </c>
      <c r="H371">
        <v>8</v>
      </c>
      <c r="I371">
        <v>8</v>
      </c>
      <c r="J371" s="2" t="s">
        <v>20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>
        <v>1200</v>
      </c>
      <c r="O371">
        <v>40</v>
      </c>
      <c r="P371" s="2">
        <v>0.26</v>
      </c>
      <c r="Q371" s="6">
        <v>40</v>
      </c>
      <c r="R371" s="10">
        <v>0</v>
      </c>
      <c r="S371" s="10">
        <v>0</v>
      </c>
      <c r="T371" s="10"/>
      <c r="U371" t="str">
        <f>"RUNNING_COST_"&amp;IF(PROPERTIES[[#This Row],[ENGINE_CLASS]]="MAGLEV","ELECTRIC",PROPERTIES[[#This Row],[ENGINE_CLASS]])</f>
        <v>RUNNING_COST_ELECTRIC</v>
      </c>
      <c r="V371" s="10" t="s">
        <v>1004</v>
      </c>
      <c r="W371" s="10" t="s">
        <v>1005</v>
      </c>
      <c r="X371" s="10" t="str">
        <f>SUBSTITUTE(SUBSTITUTE(PROPERTIES[[#This Row],[PURCHASECOST_VALUE]], "PURCHASECOST_", ""), "_VALUE", "")</f>
        <v>ELECTRICENGINE</v>
      </c>
      <c r="AP371"/>
      <c r="AQ371"/>
      <c r="AR371"/>
    </row>
    <row r="372" spans="1:44">
      <c r="A372" s="2" t="s">
        <v>397</v>
      </c>
      <c r="B372">
        <v>1962</v>
      </c>
      <c r="C372">
        <v>0</v>
      </c>
      <c r="D372" t="s">
        <v>74</v>
      </c>
      <c r="E372" t="s">
        <v>20</v>
      </c>
      <c r="F372">
        <v>0</v>
      </c>
      <c r="G372" s="10">
        <v>81</v>
      </c>
      <c r="H372">
        <v>7</v>
      </c>
      <c r="I372">
        <v>7</v>
      </c>
      <c r="J372" s="2" t="s">
        <v>20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>
        <v>1500</v>
      </c>
      <c r="O372">
        <v>126</v>
      </c>
      <c r="P372" s="2">
        <v>0.35</v>
      </c>
      <c r="Q372" s="6">
        <v>40</v>
      </c>
      <c r="R372" s="10">
        <v>0</v>
      </c>
      <c r="S372" s="10">
        <v>0</v>
      </c>
      <c r="T372" s="10"/>
      <c r="U372" t="str">
        <f>"RUNNING_COST_"&amp;IF(PROPERTIES[[#This Row],[ENGINE_CLASS]]="MAGLEV","ELECTRIC",PROPERTIES[[#This Row],[ENGINE_CLASS]])</f>
        <v>RUNNING_COST_ELECTRIC</v>
      </c>
      <c r="V372" s="10" t="s">
        <v>1004</v>
      </c>
      <c r="W372" s="10" t="s">
        <v>1005</v>
      </c>
      <c r="X372" s="10" t="str">
        <f>SUBSTITUTE(SUBSTITUTE(PROPERTIES[[#This Row],[PURCHASECOST_VALUE]], "PURCHASECOST_", ""), "_VALUE", "")</f>
        <v>ELECTRICENGINE</v>
      </c>
      <c r="AP372"/>
      <c r="AQ372"/>
      <c r="AR372"/>
    </row>
    <row r="373" spans="1:44">
      <c r="A373" s="2" t="s">
        <v>398</v>
      </c>
      <c r="B373">
        <v>1977</v>
      </c>
      <c r="C373">
        <v>0</v>
      </c>
      <c r="D373" t="s">
        <v>74</v>
      </c>
      <c r="E373" t="s">
        <v>20</v>
      </c>
      <c r="F373">
        <v>0</v>
      </c>
      <c r="G373" s="10">
        <v>167</v>
      </c>
      <c r="H373">
        <v>7</v>
      </c>
      <c r="I373">
        <v>14</v>
      </c>
      <c r="J373" s="2" t="s">
        <v>20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>
        <v>5400</v>
      </c>
      <c r="O373">
        <v>125</v>
      </c>
      <c r="P373" s="2">
        <v>0.6</v>
      </c>
      <c r="Q373" s="6">
        <v>40</v>
      </c>
      <c r="R373" s="10">
        <v>0</v>
      </c>
      <c r="S373" s="10">
        <v>7</v>
      </c>
      <c r="T373" s="10"/>
      <c r="U373" t="str">
        <f>"RUNNING_COST_"&amp;IF(PROPERTIES[[#This Row],[ENGINE_CLASS]]="MAGLEV","ELECTRIC",PROPERTIES[[#This Row],[ENGINE_CLASS]])</f>
        <v>RUNNING_COST_ELECTRIC</v>
      </c>
      <c r="V373" s="10" t="s">
        <v>1004</v>
      </c>
      <c r="W373" s="10" t="s">
        <v>1005</v>
      </c>
      <c r="X373" s="10" t="str">
        <f>SUBSTITUTE(SUBSTITUTE(PROPERTIES[[#This Row],[PURCHASECOST_VALUE]], "PURCHASECOST_", ""), "_VALUE", "")</f>
        <v>ELECTRICENGINE</v>
      </c>
      <c r="AP373"/>
      <c r="AQ373"/>
      <c r="AR373"/>
    </row>
    <row r="374" spans="1:44">
      <c r="A374" s="2" t="s">
        <v>399</v>
      </c>
      <c r="B374">
        <v>1986</v>
      </c>
      <c r="C374">
        <v>0</v>
      </c>
      <c r="D374" t="s">
        <v>74</v>
      </c>
      <c r="E374" t="s">
        <v>20</v>
      </c>
      <c r="F374">
        <v>0</v>
      </c>
      <c r="G374" s="10">
        <v>84</v>
      </c>
      <c r="H374">
        <v>7</v>
      </c>
      <c r="I374">
        <v>7</v>
      </c>
      <c r="J374" s="2" t="s">
        <v>20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>
        <v>4452</v>
      </c>
      <c r="O374">
        <v>160</v>
      </c>
      <c r="P374" s="2">
        <v>0.23</v>
      </c>
      <c r="Q374" s="6">
        <v>40</v>
      </c>
      <c r="R374" s="10">
        <v>0</v>
      </c>
      <c r="S374" s="10">
        <v>0</v>
      </c>
      <c r="T374" s="10"/>
      <c r="U374" t="str">
        <f>"RUNNING_COST_"&amp;IF(PROPERTIES[[#This Row],[ENGINE_CLASS]]="MAGLEV","ELECTRIC",PROPERTIES[[#This Row],[ENGINE_CLASS]])</f>
        <v>RUNNING_COST_ELECTRIC</v>
      </c>
      <c r="V374" s="10" t="s">
        <v>1004</v>
      </c>
      <c r="W374" s="10" t="s">
        <v>1005</v>
      </c>
      <c r="X374" s="10" t="str">
        <f>SUBSTITUTE(SUBSTITUTE(PROPERTIES[[#This Row],[PURCHASECOST_VALUE]], "PURCHASECOST_", ""), "_VALUE", "")</f>
        <v>ELECTRICENGINE</v>
      </c>
      <c r="AP374"/>
      <c r="AQ374"/>
      <c r="AR374"/>
    </row>
    <row r="375" spans="1:44">
      <c r="A375" s="2" t="s">
        <v>400</v>
      </c>
      <c r="B375">
        <v>1991</v>
      </c>
      <c r="C375">
        <v>0</v>
      </c>
      <c r="D375" t="s">
        <v>74</v>
      </c>
      <c r="E375" t="s">
        <v>20</v>
      </c>
      <c r="F375">
        <v>0</v>
      </c>
      <c r="G375" s="10">
        <v>85</v>
      </c>
      <c r="H375">
        <v>7</v>
      </c>
      <c r="I375">
        <v>7</v>
      </c>
      <c r="J375" s="2" t="s">
        <v>20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>
        <v>4872</v>
      </c>
      <c r="O375">
        <v>140</v>
      </c>
      <c r="P375" s="2">
        <v>0.3</v>
      </c>
      <c r="Q375" s="6">
        <v>40</v>
      </c>
      <c r="R375" s="10">
        <v>0</v>
      </c>
      <c r="S375" s="10">
        <v>0</v>
      </c>
      <c r="T375" s="10"/>
      <c r="U375" t="str">
        <f>"RUNNING_COST_"&amp;IF(PROPERTIES[[#This Row],[ENGINE_CLASS]]="MAGLEV","ELECTRIC",PROPERTIES[[#This Row],[ENGINE_CLASS]])</f>
        <v>RUNNING_COST_ELECTRIC</v>
      </c>
      <c r="V375" s="10" t="s">
        <v>1004</v>
      </c>
      <c r="W375" s="10" t="s">
        <v>1005</v>
      </c>
      <c r="X375" s="10" t="str">
        <f>SUBSTITUTE(SUBSTITUTE(PROPERTIES[[#This Row],[PURCHASECOST_VALUE]], "PURCHASECOST_", ""), "_VALUE", "")</f>
        <v>ELECTRICENGINE</v>
      </c>
      <c r="AP375"/>
      <c r="AQ375"/>
      <c r="AR375"/>
    </row>
    <row r="376" spans="1:44">
      <c r="A376" s="2" t="s">
        <v>401</v>
      </c>
      <c r="B376">
        <v>1961</v>
      </c>
      <c r="C376">
        <v>0</v>
      </c>
      <c r="D376" t="s">
        <v>74</v>
      </c>
      <c r="E376" t="s">
        <v>20</v>
      </c>
      <c r="F376">
        <v>0</v>
      </c>
      <c r="G376" s="10">
        <v>110</v>
      </c>
      <c r="H376">
        <v>5</v>
      </c>
      <c r="I376">
        <v>10</v>
      </c>
      <c r="J376" s="2" t="s">
        <v>20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>
        <v>6610</v>
      </c>
      <c r="O376">
        <v>140</v>
      </c>
      <c r="P376" s="2">
        <v>0.21</v>
      </c>
      <c r="Q376" s="6">
        <v>40</v>
      </c>
      <c r="R376" s="10">
        <v>0</v>
      </c>
      <c r="S376" s="10">
        <v>5</v>
      </c>
      <c r="T376" s="10"/>
      <c r="U376" t="str">
        <f>"RUNNING_COST_"&amp;IF(PROPERTIES[[#This Row],[ENGINE_CLASS]]="MAGLEV","ELECTRIC",PROPERTIES[[#This Row],[ENGINE_CLASS]])</f>
        <v>RUNNING_COST_ELECTRIC</v>
      </c>
      <c r="V376" s="10" t="s">
        <v>1004</v>
      </c>
      <c r="W376" s="10" t="s">
        <v>1005</v>
      </c>
      <c r="X376" s="10" t="str">
        <f>SUBSTITUTE(SUBSTITUTE(PROPERTIES[[#This Row],[PURCHASECOST_VALUE]], "PURCHASECOST_", ""), "_VALUE", "")</f>
        <v>ELECTRICENGINE</v>
      </c>
      <c r="AP376"/>
      <c r="AQ376"/>
      <c r="AR376"/>
    </row>
    <row r="377" spans="1:44">
      <c r="A377" s="2" t="s">
        <v>402</v>
      </c>
      <c r="B377">
        <v>1943</v>
      </c>
      <c r="C377">
        <v>0</v>
      </c>
      <c r="D377" t="s">
        <v>74</v>
      </c>
      <c r="E377" t="s">
        <v>20</v>
      </c>
      <c r="F377">
        <v>0</v>
      </c>
      <c r="G377" s="10">
        <v>65</v>
      </c>
      <c r="H377">
        <v>8</v>
      </c>
      <c r="I377">
        <v>8</v>
      </c>
      <c r="J377" s="2" t="s">
        <v>20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>
        <v>2000</v>
      </c>
      <c r="O377">
        <v>120</v>
      </c>
      <c r="P377" s="2">
        <v>0.26</v>
      </c>
      <c r="Q377" s="6">
        <v>40</v>
      </c>
      <c r="R377" s="10">
        <v>0</v>
      </c>
      <c r="S377" s="10">
        <v>0</v>
      </c>
      <c r="T377" s="10"/>
      <c r="U377" t="str">
        <f>"RUNNING_COST_"&amp;IF(PROPERTIES[[#This Row],[ENGINE_CLASS]]="MAGLEV","ELECTRIC",PROPERTIES[[#This Row],[ENGINE_CLASS]])</f>
        <v>RUNNING_COST_ELECTRIC</v>
      </c>
      <c r="V377" s="10" t="s">
        <v>1004</v>
      </c>
      <c r="W377" s="10" t="s">
        <v>1005</v>
      </c>
      <c r="X377" s="10" t="str">
        <f>SUBSTITUTE(SUBSTITUTE(PROPERTIES[[#This Row],[PURCHASECOST_VALUE]], "PURCHASECOST_", ""), "_VALUE", "")</f>
        <v>ELECTRICENGINE</v>
      </c>
      <c r="AP377"/>
      <c r="AQ377"/>
      <c r="AR377"/>
    </row>
    <row r="378" spans="1:44">
      <c r="A378" s="2" t="s">
        <v>403</v>
      </c>
      <c r="B378">
        <v>1967</v>
      </c>
      <c r="C378">
        <v>0</v>
      </c>
      <c r="D378" t="s">
        <v>74</v>
      </c>
      <c r="E378" t="s">
        <v>20</v>
      </c>
      <c r="F378">
        <v>0</v>
      </c>
      <c r="G378" s="10">
        <v>83</v>
      </c>
      <c r="H378">
        <v>8</v>
      </c>
      <c r="I378">
        <v>8</v>
      </c>
      <c r="J378" s="2" t="s">
        <v>20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>
        <v>5729</v>
      </c>
      <c r="O378">
        <v>200</v>
      </c>
      <c r="P378" s="2">
        <v>0.24</v>
      </c>
      <c r="Q378" s="6">
        <v>40</v>
      </c>
      <c r="R378" s="10">
        <v>0</v>
      </c>
      <c r="S378" s="10">
        <v>0</v>
      </c>
      <c r="T378" s="10"/>
      <c r="U378" t="str">
        <f>"RUNNING_COST_"&amp;IF(PROPERTIES[[#This Row],[ENGINE_CLASS]]="MAGLEV","ELECTRIC",PROPERTIES[[#This Row],[ENGINE_CLASS]])</f>
        <v>RUNNING_COST_ELECTRIC</v>
      </c>
      <c r="V378" s="10" t="s">
        <v>1004</v>
      </c>
      <c r="W378" s="10" t="s">
        <v>1005</v>
      </c>
      <c r="X378" s="10" t="str">
        <f>SUBSTITUTE(SUBSTITUTE(PROPERTIES[[#This Row],[PURCHASECOST_VALUE]], "PURCHASECOST_", ""), "_VALUE", "")</f>
        <v>ELECTRICENGINE</v>
      </c>
      <c r="AP378"/>
      <c r="AQ378"/>
      <c r="AR378"/>
    </row>
    <row r="379" spans="1:44">
      <c r="A379" s="2" t="s">
        <v>404</v>
      </c>
      <c r="B379">
        <v>1979</v>
      </c>
      <c r="C379">
        <v>0</v>
      </c>
      <c r="D379" t="s">
        <v>74</v>
      </c>
      <c r="E379" t="s">
        <v>20</v>
      </c>
      <c r="F379">
        <v>0</v>
      </c>
      <c r="G379" s="10">
        <v>103</v>
      </c>
      <c r="H379">
        <v>8</v>
      </c>
      <c r="I379">
        <v>8</v>
      </c>
      <c r="J379" s="2" t="s">
        <v>20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>
        <v>5600</v>
      </c>
      <c r="O379">
        <v>130</v>
      </c>
      <c r="P379" s="2">
        <v>0.27</v>
      </c>
      <c r="Q379" s="6">
        <v>40</v>
      </c>
      <c r="R379" s="10">
        <v>0</v>
      </c>
      <c r="S379" s="10">
        <v>0</v>
      </c>
      <c r="T379" s="10"/>
      <c r="U379" t="str">
        <f>"RUNNING_COST_"&amp;IF(PROPERTIES[[#This Row],[ENGINE_CLASS]]="MAGLEV","ELECTRIC",PROPERTIES[[#This Row],[ENGINE_CLASS]])</f>
        <v>RUNNING_COST_ELECTRIC</v>
      </c>
      <c r="V379" s="10" t="s">
        <v>1004</v>
      </c>
      <c r="W379" s="10" t="s">
        <v>1005</v>
      </c>
      <c r="X379" s="10" t="str">
        <f>SUBSTITUTE(SUBSTITUTE(PROPERTIES[[#This Row],[PURCHASECOST_VALUE]], "PURCHASECOST_", ""), "_VALUE", "")</f>
        <v>ELECTRICENGINE</v>
      </c>
      <c r="AP379"/>
      <c r="AQ379"/>
      <c r="AR379"/>
    </row>
    <row r="380" spans="1:44">
      <c r="A380" s="2" t="s">
        <v>405</v>
      </c>
      <c r="B380">
        <v>1960</v>
      </c>
      <c r="C380">
        <v>0</v>
      </c>
      <c r="D380" t="s">
        <v>74</v>
      </c>
      <c r="E380" t="s">
        <v>20</v>
      </c>
      <c r="F380">
        <v>0</v>
      </c>
      <c r="G380" s="10">
        <v>85</v>
      </c>
      <c r="H380">
        <v>8</v>
      </c>
      <c r="I380">
        <v>8</v>
      </c>
      <c r="J380" s="2" t="s">
        <v>20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>
        <v>2520</v>
      </c>
      <c r="O380">
        <v>130</v>
      </c>
      <c r="P380" s="2">
        <v>0.23</v>
      </c>
      <c r="Q380" s="6">
        <v>40</v>
      </c>
      <c r="R380" s="10">
        <v>0</v>
      </c>
      <c r="S380" s="10">
        <v>0</v>
      </c>
      <c r="T380" s="10"/>
      <c r="U380" t="str">
        <f>"RUNNING_COST_"&amp;IF(PROPERTIES[[#This Row],[ENGINE_CLASS]]="MAGLEV","ELECTRIC",PROPERTIES[[#This Row],[ENGINE_CLASS]])</f>
        <v>RUNNING_COST_ELECTRIC</v>
      </c>
      <c r="V380" s="10" t="s">
        <v>1004</v>
      </c>
      <c r="W380" s="10" t="s">
        <v>1005</v>
      </c>
      <c r="X380" s="10" t="str">
        <f>SUBSTITUTE(SUBSTITUTE(PROPERTIES[[#This Row],[PURCHASECOST_VALUE]], "PURCHASECOST_", ""), "_VALUE", "")</f>
        <v>ELECTRICENGINE</v>
      </c>
      <c r="AP380"/>
      <c r="AQ380"/>
      <c r="AR380"/>
    </row>
    <row r="381" spans="1:44">
      <c r="A381" s="2" t="s">
        <v>406</v>
      </c>
      <c r="B381">
        <v>1982</v>
      </c>
      <c r="C381">
        <v>0</v>
      </c>
      <c r="D381" t="s">
        <v>74</v>
      </c>
      <c r="E381" t="s">
        <v>20</v>
      </c>
      <c r="F381">
        <v>0</v>
      </c>
      <c r="G381" s="10">
        <v>124</v>
      </c>
      <c r="H381">
        <v>8</v>
      </c>
      <c r="I381">
        <v>8</v>
      </c>
      <c r="J381" s="2" t="s">
        <v>20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>
        <v>6440</v>
      </c>
      <c r="O381">
        <v>160</v>
      </c>
      <c r="P381" s="2">
        <v>0.16</v>
      </c>
      <c r="Q381" s="6">
        <v>40</v>
      </c>
      <c r="R381" s="10">
        <v>0</v>
      </c>
      <c r="S381" s="10">
        <v>0</v>
      </c>
      <c r="T381" s="10"/>
      <c r="U381" t="str">
        <f>"RUNNING_COST_"&amp;IF(PROPERTIES[[#This Row],[ENGINE_CLASS]]="MAGLEV","ELECTRIC",PROPERTIES[[#This Row],[ENGINE_CLASS]])</f>
        <v>RUNNING_COST_ELECTRIC</v>
      </c>
      <c r="V381" s="10" t="s">
        <v>1004</v>
      </c>
      <c r="W381" s="10" t="s">
        <v>1005</v>
      </c>
      <c r="X381" s="10" t="str">
        <f>SUBSTITUTE(SUBSTITUTE(PROPERTIES[[#This Row],[PURCHASECOST_VALUE]], "PURCHASECOST_", ""), "_VALUE", "")</f>
        <v>ELECTRICENGINE</v>
      </c>
      <c r="AP381"/>
      <c r="AQ381"/>
      <c r="AR381"/>
    </row>
    <row r="382" spans="1:44">
      <c r="A382" s="2" t="s">
        <v>407</v>
      </c>
      <c r="B382">
        <v>1949</v>
      </c>
      <c r="C382">
        <v>0</v>
      </c>
      <c r="D382" t="s">
        <v>74</v>
      </c>
      <c r="E382" t="s">
        <v>20</v>
      </c>
      <c r="F382">
        <v>0</v>
      </c>
      <c r="G382" s="10">
        <v>210</v>
      </c>
      <c r="H382">
        <v>8</v>
      </c>
      <c r="I382">
        <v>2</v>
      </c>
      <c r="J382" s="2" t="s">
        <v>20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>
        <v>4500</v>
      </c>
      <c r="O382">
        <v>120</v>
      </c>
      <c r="P382" s="2">
        <v>0.2</v>
      </c>
      <c r="Q382" s="6">
        <v>40</v>
      </c>
      <c r="R382" s="10">
        <v>0</v>
      </c>
      <c r="S382" s="10">
        <v>1</v>
      </c>
      <c r="T382" s="10"/>
      <c r="U382" t="str">
        <f>"RUNNING_COST_"&amp;IF(PROPERTIES[[#This Row],[ENGINE_CLASS]]="MAGLEV","ELECTRIC",PROPERTIES[[#This Row],[ENGINE_CLASS]])</f>
        <v>RUNNING_COST_ELECTRIC</v>
      </c>
      <c r="V382" s="10" t="s">
        <v>1004</v>
      </c>
      <c r="W382" s="10" t="s">
        <v>1005</v>
      </c>
      <c r="X382" s="10" t="str">
        <f>SUBSTITUTE(SUBSTITUTE(PROPERTIES[[#This Row],[PURCHASECOST_VALUE]], "PURCHASECOST_", ""), "_VALUE", "")</f>
        <v>ELECTRICENGINE</v>
      </c>
      <c r="AP382"/>
      <c r="AQ382"/>
      <c r="AR382"/>
    </row>
    <row r="383" spans="1:44">
      <c r="A383" s="2" t="s">
        <v>408</v>
      </c>
      <c r="B383">
        <v>1974</v>
      </c>
      <c r="C383">
        <v>0</v>
      </c>
      <c r="D383" t="s">
        <v>74</v>
      </c>
      <c r="E383" t="s">
        <v>20</v>
      </c>
      <c r="F383">
        <v>0</v>
      </c>
      <c r="G383" s="10">
        <v>79</v>
      </c>
      <c r="H383">
        <v>6</v>
      </c>
      <c r="I383">
        <v>6</v>
      </c>
      <c r="J383" s="2" t="s">
        <v>24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>
        <v>1640</v>
      </c>
      <c r="O383">
        <v>90</v>
      </c>
      <c r="P383" s="2">
        <v>0.24</v>
      </c>
      <c r="Q383" s="6">
        <v>40</v>
      </c>
      <c r="R383" s="10">
        <v>0</v>
      </c>
      <c r="S383" s="10">
        <v>0</v>
      </c>
      <c r="T383" s="10"/>
      <c r="U383" t="str">
        <f>"RUNNING_COST_"&amp;IF(PROPERTIES[[#This Row],[ENGINE_CLASS]]="MAGLEV","ELECTRIC",PROPERTIES[[#This Row],[ENGINE_CLASS]])</f>
        <v>RUNNING_COST_ELECTRIC</v>
      </c>
      <c r="V383" s="10" t="s">
        <v>1004</v>
      </c>
      <c r="W383" s="10" t="s">
        <v>1005</v>
      </c>
      <c r="X383" s="10" t="str">
        <f>SUBSTITUTE(SUBSTITUTE(PROPERTIES[[#This Row],[PURCHASECOST_VALUE]], "PURCHASECOST_", ""), "_VALUE", "")</f>
        <v>ELECTRICENGINE</v>
      </c>
      <c r="AP383"/>
      <c r="AQ383"/>
      <c r="AR383"/>
    </row>
    <row r="384" spans="1:44">
      <c r="A384" s="2" t="s">
        <v>409</v>
      </c>
      <c r="B384">
        <v>1948</v>
      </c>
      <c r="C384">
        <v>0</v>
      </c>
      <c r="D384" t="s">
        <v>74</v>
      </c>
      <c r="E384" t="s">
        <v>20</v>
      </c>
      <c r="F384">
        <v>0</v>
      </c>
      <c r="G384" s="10">
        <v>92</v>
      </c>
      <c r="H384">
        <v>6</v>
      </c>
      <c r="I384">
        <v>6</v>
      </c>
      <c r="J384" s="2" t="s">
        <v>20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>
        <v>1710</v>
      </c>
      <c r="O384">
        <v>115</v>
      </c>
      <c r="P384" s="2">
        <v>0.17</v>
      </c>
      <c r="Q384" s="6">
        <v>40</v>
      </c>
      <c r="R384" s="10">
        <v>0</v>
      </c>
      <c r="S384" s="10">
        <v>0</v>
      </c>
      <c r="T384" s="10"/>
      <c r="U384" t="str">
        <f>"RUNNING_COST_"&amp;IF(PROPERTIES[[#This Row],[ENGINE_CLASS]]="MAGLEV","ELECTRIC",PROPERTIES[[#This Row],[ENGINE_CLASS]])</f>
        <v>RUNNING_COST_ELECTRIC</v>
      </c>
      <c r="V384" s="10" t="s">
        <v>1004</v>
      </c>
      <c r="W384" s="10" t="s">
        <v>1005</v>
      </c>
      <c r="X384" s="10" t="str">
        <f>SUBSTITUTE(SUBSTITUTE(PROPERTIES[[#This Row],[PURCHASECOST_VALUE]], "PURCHASECOST_", ""), "_VALUE", "")</f>
        <v>ELECTRICENGINE</v>
      </c>
      <c r="AP384"/>
      <c r="AQ384"/>
      <c r="AR384"/>
    </row>
    <row r="385" spans="1:44">
      <c r="A385" s="2" t="s">
        <v>410</v>
      </c>
      <c r="B385">
        <v>1958</v>
      </c>
      <c r="C385">
        <v>0</v>
      </c>
      <c r="D385" t="s">
        <v>74</v>
      </c>
      <c r="E385" t="s">
        <v>20</v>
      </c>
      <c r="F385">
        <v>0</v>
      </c>
      <c r="G385" s="10">
        <v>124</v>
      </c>
      <c r="H385">
        <v>8</v>
      </c>
      <c r="I385">
        <v>8</v>
      </c>
      <c r="J385" s="2" t="s">
        <v>20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>
        <v>3700</v>
      </c>
      <c r="O385">
        <v>104</v>
      </c>
      <c r="P385" s="2">
        <v>0.25</v>
      </c>
      <c r="Q385" s="6">
        <v>40</v>
      </c>
      <c r="R385" s="10">
        <v>0</v>
      </c>
      <c r="S385" s="10">
        <v>0</v>
      </c>
      <c r="T385" s="10"/>
      <c r="U385" t="str">
        <f>"RUNNING_COST_"&amp;IF(PROPERTIES[[#This Row],[ENGINE_CLASS]]="MAGLEV","ELECTRIC",PROPERTIES[[#This Row],[ENGINE_CLASS]])</f>
        <v>RUNNING_COST_ELECTRIC</v>
      </c>
      <c r="V385" s="10" t="s">
        <v>1004</v>
      </c>
      <c r="W385" s="10" t="s">
        <v>1005</v>
      </c>
      <c r="X385" s="10" t="str">
        <f>SUBSTITUTE(SUBSTITUTE(PROPERTIES[[#This Row],[PURCHASECOST_VALUE]], "PURCHASECOST_", ""), "_VALUE", "")</f>
        <v>ELECTRICENGINE</v>
      </c>
      <c r="AP385"/>
      <c r="AQ385"/>
      <c r="AR385"/>
    </row>
    <row r="386" spans="1:44">
      <c r="A386" s="2" t="s">
        <v>411</v>
      </c>
      <c r="B386">
        <v>1992</v>
      </c>
      <c r="C386">
        <v>0</v>
      </c>
      <c r="D386" t="s">
        <v>74</v>
      </c>
      <c r="E386" t="s">
        <v>20</v>
      </c>
      <c r="F386">
        <v>0</v>
      </c>
      <c r="G386" s="10">
        <v>74</v>
      </c>
      <c r="H386">
        <v>6</v>
      </c>
      <c r="I386">
        <v>6</v>
      </c>
      <c r="J386" s="2" t="s">
        <v>24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>
        <v>2028</v>
      </c>
      <c r="O386">
        <v>100</v>
      </c>
      <c r="P386" s="2">
        <v>0.24</v>
      </c>
      <c r="Q386" s="6">
        <v>40</v>
      </c>
      <c r="R386" s="10">
        <v>0</v>
      </c>
      <c r="S386" s="10">
        <v>0</v>
      </c>
      <c r="T386" s="10"/>
      <c r="U386" t="str">
        <f>"RUNNING_COST_"&amp;IF(PROPERTIES[[#This Row],[ENGINE_CLASS]]="MAGLEV","ELECTRIC",PROPERTIES[[#This Row],[ENGINE_CLASS]])</f>
        <v>RUNNING_COST_ELECTRIC</v>
      </c>
      <c r="V386" s="10" t="s">
        <v>1004</v>
      </c>
      <c r="W386" s="10" t="s">
        <v>1005</v>
      </c>
      <c r="X386" s="10" t="str">
        <f>SUBSTITUTE(SUBSTITUTE(PROPERTIES[[#This Row],[PURCHASECOST_VALUE]], "PURCHASECOST_", ""), "_VALUE", "")</f>
        <v>ELECTRICENGINE</v>
      </c>
      <c r="AP386"/>
      <c r="AQ386"/>
      <c r="AR386"/>
    </row>
    <row r="387" spans="1:44">
      <c r="A387" s="2" t="s">
        <v>412</v>
      </c>
      <c r="B387">
        <v>1980</v>
      </c>
      <c r="C387">
        <v>0</v>
      </c>
      <c r="D387" t="s">
        <v>74</v>
      </c>
      <c r="E387" t="s">
        <v>20</v>
      </c>
      <c r="F387">
        <v>0</v>
      </c>
      <c r="G387" s="10">
        <v>88</v>
      </c>
      <c r="H387">
        <v>7</v>
      </c>
      <c r="I387">
        <v>7</v>
      </c>
      <c r="J387" s="2" t="s">
        <v>20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>
        <v>4340</v>
      </c>
      <c r="O387">
        <v>160</v>
      </c>
      <c r="P387" s="2">
        <v>0.16</v>
      </c>
      <c r="Q387" s="6">
        <v>40</v>
      </c>
      <c r="R387" s="10">
        <v>0</v>
      </c>
      <c r="S387" s="10">
        <v>0</v>
      </c>
      <c r="T387" s="10"/>
      <c r="U387" t="str">
        <f>"RUNNING_COST_"&amp;IF(PROPERTIES[[#This Row],[ENGINE_CLASS]]="MAGLEV","ELECTRIC",PROPERTIES[[#This Row],[ENGINE_CLASS]])</f>
        <v>RUNNING_COST_ELECTRIC</v>
      </c>
      <c r="V387" s="10" t="s">
        <v>1004</v>
      </c>
      <c r="W387" s="10" t="s">
        <v>1005</v>
      </c>
      <c r="X387" s="10" t="str">
        <f>SUBSTITUTE(SUBSTITUTE(PROPERTIES[[#This Row],[PURCHASECOST_VALUE]], "PURCHASECOST_", ""), "_VALUE", "")</f>
        <v>ELECTRICENGINE</v>
      </c>
      <c r="AP387"/>
      <c r="AQ387"/>
      <c r="AR387"/>
    </row>
    <row r="388" spans="1:44">
      <c r="A388" s="2" t="s">
        <v>413</v>
      </c>
      <c r="B388">
        <v>1980</v>
      </c>
      <c r="C388">
        <v>0</v>
      </c>
      <c r="D388" t="s">
        <v>74</v>
      </c>
      <c r="E388" t="s">
        <v>20</v>
      </c>
      <c r="F388">
        <v>0</v>
      </c>
      <c r="G388" s="10">
        <v>87</v>
      </c>
      <c r="H388">
        <v>7</v>
      </c>
      <c r="I388">
        <v>7</v>
      </c>
      <c r="J388" s="2" t="s">
        <v>20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>
        <v>4667</v>
      </c>
      <c r="O388">
        <v>120</v>
      </c>
      <c r="P388" s="2">
        <v>0.3</v>
      </c>
      <c r="Q388" s="6">
        <v>40</v>
      </c>
      <c r="R388" s="10">
        <v>0</v>
      </c>
      <c r="S388" s="10">
        <v>0</v>
      </c>
      <c r="T388" s="10"/>
      <c r="U388" t="str">
        <f>"RUNNING_COST_"&amp;IF(PROPERTIES[[#This Row],[ENGINE_CLASS]]="MAGLEV","ELECTRIC",PROPERTIES[[#This Row],[ENGINE_CLASS]])</f>
        <v>RUNNING_COST_ELECTRIC</v>
      </c>
      <c r="V388" s="10" t="s">
        <v>1004</v>
      </c>
      <c r="W388" s="10" t="s">
        <v>1005</v>
      </c>
      <c r="X388" s="10" t="str">
        <f>SUBSTITUTE(SUBSTITUTE(PROPERTIES[[#This Row],[PURCHASECOST_VALUE]], "PURCHASECOST_", ""), "_VALUE", "")</f>
        <v>ELECTRICENGINE</v>
      </c>
      <c r="AP388"/>
      <c r="AQ388"/>
      <c r="AR388"/>
    </row>
    <row r="389" spans="1:44">
      <c r="A389" s="2" t="s">
        <v>414</v>
      </c>
      <c r="B389">
        <v>1911</v>
      </c>
      <c r="C389">
        <v>0</v>
      </c>
      <c r="D389" t="s">
        <v>74</v>
      </c>
      <c r="E389" t="s">
        <v>20</v>
      </c>
      <c r="F389">
        <v>0</v>
      </c>
      <c r="G389" s="10">
        <v>48</v>
      </c>
      <c r="H389">
        <v>6</v>
      </c>
      <c r="I389">
        <v>6</v>
      </c>
      <c r="J389" s="2" t="s">
        <v>20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>
        <v>490</v>
      </c>
      <c r="O389">
        <v>45</v>
      </c>
      <c r="P389" s="2">
        <v>0.22</v>
      </c>
      <c r="Q389" s="6">
        <v>40</v>
      </c>
      <c r="R389" s="10">
        <v>0</v>
      </c>
      <c r="S389" s="10">
        <v>0</v>
      </c>
      <c r="T389" s="10"/>
      <c r="U389" t="str">
        <f>"RUNNING_COST_"&amp;IF(PROPERTIES[[#This Row],[ENGINE_CLASS]]="MAGLEV","ELECTRIC",PROPERTIES[[#This Row],[ENGINE_CLASS]])</f>
        <v>RUNNING_COST_ELECTRIC</v>
      </c>
      <c r="V389" s="10" t="s">
        <v>1004</v>
      </c>
      <c r="W389" s="10" t="s">
        <v>1005</v>
      </c>
      <c r="X389" s="10" t="str">
        <f>SUBSTITUTE(SUBSTITUTE(PROPERTIES[[#This Row],[PURCHASECOST_VALUE]], "PURCHASECOST_", ""), "_VALUE", "")</f>
        <v>ELECTRICENGINE</v>
      </c>
      <c r="AP389"/>
      <c r="AQ389"/>
      <c r="AR389"/>
    </row>
    <row r="390" spans="1:44">
      <c r="A390" s="2" t="s">
        <v>415</v>
      </c>
      <c r="B390">
        <v>1916</v>
      </c>
      <c r="C390">
        <v>0</v>
      </c>
      <c r="D390" t="s">
        <v>74</v>
      </c>
      <c r="E390" t="s">
        <v>20</v>
      </c>
      <c r="F390">
        <v>0</v>
      </c>
      <c r="G390" s="10">
        <v>234</v>
      </c>
      <c r="H390">
        <v>8</v>
      </c>
      <c r="I390">
        <v>4</v>
      </c>
      <c r="J390" s="2" t="s">
        <v>20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>
        <v>4800</v>
      </c>
      <c r="O390">
        <v>40</v>
      </c>
      <c r="P390" s="2">
        <v>0.17</v>
      </c>
      <c r="Q390" s="6">
        <v>40</v>
      </c>
      <c r="R390" s="10">
        <v>0</v>
      </c>
      <c r="S390" s="10">
        <v>2</v>
      </c>
      <c r="T390" s="10"/>
      <c r="U390" t="str">
        <f>"RUNNING_COST_"&amp;IF(PROPERTIES[[#This Row],[ENGINE_CLASS]]="MAGLEV","ELECTRIC",PROPERTIES[[#This Row],[ENGINE_CLASS]])</f>
        <v>RUNNING_COST_ELECTRIC</v>
      </c>
      <c r="V390" s="10" t="s">
        <v>1004</v>
      </c>
      <c r="W390" s="10" t="s">
        <v>1005</v>
      </c>
      <c r="X390" s="10" t="str">
        <f>SUBSTITUTE(SUBSTITUTE(PROPERTIES[[#This Row],[PURCHASECOST_VALUE]], "PURCHASECOST_", ""), "_VALUE", "")</f>
        <v>ELECTRICENGINE</v>
      </c>
      <c r="AP390"/>
      <c r="AQ390"/>
      <c r="AR390"/>
    </row>
    <row r="391" spans="1:44">
      <c r="A391" s="2" t="s">
        <v>416</v>
      </c>
      <c r="B391">
        <v>1928</v>
      </c>
      <c r="C391">
        <v>0</v>
      </c>
      <c r="D391" t="s">
        <v>74</v>
      </c>
      <c r="E391" t="s">
        <v>20</v>
      </c>
      <c r="F391">
        <v>0</v>
      </c>
      <c r="G391" s="10">
        <v>55</v>
      </c>
      <c r="H391">
        <v>5</v>
      </c>
      <c r="I391">
        <v>5</v>
      </c>
      <c r="J391" s="2" t="s">
        <v>20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>
        <v>1000</v>
      </c>
      <c r="O391">
        <v>40</v>
      </c>
      <c r="P391" s="2">
        <v>0.25</v>
      </c>
      <c r="Q391" s="6">
        <v>40</v>
      </c>
      <c r="R391" s="10">
        <v>0</v>
      </c>
      <c r="S391" s="10">
        <v>0</v>
      </c>
      <c r="T391" s="10"/>
      <c r="U391" t="str">
        <f>"RUNNING_COST_"&amp;IF(PROPERTIES[[#This Row],[ENGINE_CLASS]]="MAGLEV","ELECTRIC",PROPERTIES[[#This Row],[ENGINE_CLASS]])</f>
        <v>RUNNING_COST_ELECTRIC</v>
      </c>
      <c r="V391" s="10" t="s">
        <v>1004</v>
      </c>
      <c r="W391" s="10" t="s">
        <v>1005</v>
      </c>
      <c r="X391" s="10" t="str">
        <f>SUBSTITUTE(SUBSTITUTE(PROPERTIES[[#This Row],[PURCHASECOST_VALUE]], "PURCHASECOST_", ""), "_VALUE", "")</f>
        <v>ELECTRICENGINE</v>
      </c>
      <c r="AP391"/>
      <c r="AQ391"/>
      <c r="AR391"/>
    </row>
    <row r="392" spans="1:44">
      <c r="A392" s="2" t="s">
        <v>417</v>
      </c>
      <c r="B392">
        <v>1930</v>
      </c>
      <c r="C392">
        <v>0</v>
      </c>
      <c r="D392" t="s">
        <v>74</v>
      </c>
      <c r="E392" t="s">
        <v>20</v>
      </c>
      <c r="F392">
        <v>0</v>
      </c>
      <c r="G392" s="10">
        <v>32</v>
      </c>
      <c r="H392">
        <v>6</v>
      </c>
      <c r="I392">
        <v>6</v>
      </c>
      <c r="J392" s="2" t="s">
        <v>20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>
        <v>810</v>
      </c>
      <c r="O392">
        <v>50</v>
      </c>
      <c r="P392" s="2">
        <v>0.28999999999999998</v>
      </c>
      <c r="Q392" s="6">
        <v>40</v>
      </c>
      <c r="R392" s="10">
        <v>0</v>
      </c>
      <c r="S392" s="10">
        <v>0</v>
      </c>
      <c r="T392" s="10"/>
      <c r="U392" t="str">
        <f>"RUNNING_COST_"&amp;IF(PROPERTIES[[#This Row],[ENGINE_CLASS]]="MAGLEV","ELECTRIC",PROPERTIES[[#This Row],[ENGINE_CLASS]])</f>
        <v>RUNNING_COST_ELECTRIC</v>
      </c>
      <c r="V392" s="10" t="s">
        <v>1004</v>
      </c>
      <c r="W392" s="10" t="s">
        <v>1005</v>
      </c>
      <c r="X392" s="10" t="str">
        <f>SUBSTITUTE(SUBSTITUTE(PROPERTIES[[#This Row],[PURCHASECOST_VALUE]], "PURCHASECOST_", ""), "_VALUE", "")</f>
        <v>ELECTRICENGINE</v>
      </c>
      <c r="AP392"/>
      <c r="AQ392"/>
      <c r="AR392"/>
    </row>
    <row r="393" spans="1:44">
      <c r="A393" s="2" t="s">
        <v>418</v>
      </c>
      <c r="B393">
        <v>1931</v>
      </c>
      <c r="C393">
        <v>0</v>
      </c>
      <c r="D393" t="s">
        <v>74</v>
      </c>
      <c r="E393" t="s">
        <v>20</v>
      </c>
      <c r="F393">
        <v>0</v>
      </c>
      <c r="G393" s="10">
        <v>47</v>
      </c>
      <c r="H393">
        <v>6</v>
      </c>
      <c r="I393">
        <v>6</v>
      </c>
      <c r="J393" s="2" t="s">
        <v>20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>
        <v>690</v>
      </c>
      <c r="O393">
        <v>45</v>
      </c>
      <c r="P393" s="2">
        <v>0.3</v>
      </c>
      <c r="Q393" s="6">
        <v>40</v>
      </c>
      <c r="R393" s="10">
        <v>0</v>
      </c>
      <c r="S393" s="10">
        <v>0</v>
      </c>
      <c r="T393" s="10"/>
      <c r="U393" t="str">
        <f>"RUNNING_COST_"&amp;IF(PROPERTIES[[#This Row],[ENGINE_CLASS]]="MAGLEV","ELECTRIC",PROPERTIES[[#This Row],[ENGINE_CLASS]])</f>
        <v>RUNNING_COST_ELECTRIC</v>
      </c>
      <c r="V393" s="10" t="s">
        <v>1004</v>
      </c>
      <c r="W393" s="10" t="s">
        <v>1005</v>
      </c>
      <c r="X393" s="10" t="str">
        <f>SUBSTITUTE(SUBSTITUTE(PROPERTIES[[#This Row],[PURCHASECOST_VALUE]], "PURCHASECOST_", ""), "_VALUE", "")</f>
        <v>ELECTRICENGINE</v>
      </c>
      <c r="AP393"/>
      <c r="AQ393"/>
      <c r="AR393"/>
    </row>
    <row r="394" spans="1:44">
      <c r="A394" s="2" t="s">
        <v>419</v>
      </c>
      <c r="B394">
        <v>1933</v>
      </c>
      <c r="C394">
        <v>0</v>
      </c>
      <c r="D394" t="s">
        <v>74</v>
      </c>
      <c r="E394" t="s">
        <v>20</v>
      </c>
      <c r="F394">
        <v>0</v>
      </c>
      <c r="G394" s="10">
        <v>92</v>
      </c>
      <c r="H394">
        <v>8</v>
      </c>
      <c r="I394">
        <v>8</v>
      </c>
      <c r="J394" s="2" t="s">
        <v>20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>
        <v>2935</v>
      </c>
      <c r="O394">
        <v>110</v>
      </c>
      <c r="P394" s="2">
        <v>0.3</v>
      </c>
      <c r="Q394" s="6">
        <v>40</v>
      </c>
      <c r="R394" s="10">
        <v>0</v>
      </c>
      <c r="S394" s="10">
        <v>0</v>
      </c>
      <c r="T394" s="10"/>
      <c r="U394" t="str">
        <f>"RUNNING_COST_"&amp;IF(PROPERTIES[[#This Row],[ENGINE_CLASS]]="MAGLEV","ELECTRIC",PROPERTIES[[#This Row],[ENGINE_CLASS]])</f>
        <v>RUNNING_COST_ELECTRIC</v>
      </c>
      <c r="V394" s="10" t="s">
        <v>1004</v>
      </c>
      <c r="W394" s="10" t="s">
        <v>1005</v>
      </c>
      <c r="X394" s="10" t="str">
        <f>SUBSTITUTE(SUBSTITUTE(PROPERTIES[[#This Row],[PURCHASECOST_VALUE]], "PURCHASECOST_", ""), "_VALUE", "")</f>
        <v>ELECTRICENGINE</v>
      </c>
      <c r="AP394"/>
      <c r="AQ394"/>
      <c r="AR394"/>
    </row>
    <row r="395" spans="1:44">
      <c r="A395" s="2" t="s">
        <v>420</v>
      </c>
      <c r="B395">
        <v>1935</v>
      </c>
      <c r="C395">
        <v>0</v>
      </c>
      <c r="D395" t="s">
        <v>74</v>
      </c>
      <c r="E395" t="s">
        <v>20</v>
      </c>
      <c r="F395">
        <v>0</v>
      </c>
      <c r="G395" s="10">
        <v>215</v>
      </c>
      <c r="H395">
        <v>8</v>
      </c>
      <c r="I395">
        <v>4</v>
      </c>
      <c r="J395" s="2" t="s">
        <v>20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>
        <v>4620</v>
      </c>
      <c r="O395">
        <v>160</v>
      </c>
      <c r="P395" s="2">
        <v>0.15</v>
      </c>
      <c r="Q395" s="6">
        <v>40</v>
      </c>
      <c r="R395" s="10">
        <v>0</v>
      </c>
      <c r="S395" s="10">
        <v>2</v>
      </c>
      <c r="T395" s="10"/>
      <c r="U395" t="str">
        <f>"RUNNING_COST_"&amp;IF(PROPERTIES[[#This Row],[ENGINE_CLASS]]="MAGLEV","ELECTRIC",PROPERTIES[[#This Row],[ENGINE_CLASS]])</f>
        <v>RUNNING_COST_ELECTRIC</v>
      </c>
      <c r="V395" s="10" t="s">
        <v>1004</v>
      </c>
      <c r="W395" s="10" t="s">
        <v>1005</v>
      </c>
      <c r="X395" s="10" t="str">
        <f>SUBSTITUTE(SUBSTITUTE(PROPERTIES[[#This Row],[PURCHASECOST_VALUE]], "PURCHASECOST_", ""), "_VALUE", "")</f>
        <v>ELECTRICENGINE</v>
      </c>
      <c r="AP395"/>
      <c r="AQ395"/>
      <c r="AR395"/>
    </row>
    <row r="396" spans="1:44">
      <c r="A396" s="2" t="s">
        <v>421</v>
      </c>
      <c r="B396">
        <v>1940</v>
      </c>
      <c r="C396">
        <v>0</v>
      </c>
      <c r="D396" t="s">
        <v>74</v>
      </c>
      <c r="E396" t="s">
        <v>20</v>
      </c>
      <c r="F396">
        <v>0</v>
      </c>
      <c r="G396" s="10">
        <v>118</v>
      </c>
      <c r="H396">
        <v>8</v>
      </c>
      <c r="I396">
        <v>8</v>
      </c>
      <c r="J396" s="2" t="s">
        <v>20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>
        <v>4400</v>
      </c>
      <c r="O396">
        <v>100</v>
      </c>
      <c r="P396" s="2">
        <v>0.31</v>
      </c>
      <c r="Q396" s="6">
        <v>40</v>
      </c>
      <c r="R396" s="10">
        <v>0</v>
      </c>
      <c r="S396" s="10">
        <v>0</v>
      </c>
      <c r="T396" s="10"/>
      <c r="U396" t="str">
        <f>"RUNNING_COST_"&amp;IF(PROPERTIES[[#This Row],[ENGINE_CLASS]]="MAGLEV","ELECTRIC",PROPERTIES[[#This Row],[ENGINE_CLASS]])</f>
        <v>RUNNING_COST_ELECTRIC</v>
      </c>
      <c r="V396" s="10" t="s">
        <v>1004</v>
      </c>
      <c r="W396" s="10" t="s">
        <v>1005</v>
      </c>
      <c r="X396" s="10" t="str">
        <f>SUBSTITUTE(SUBSTITUTE(PROPERTIES[[#This Row],[PURCHASECOST_VALUE]], "PURCHASECOST_", ""), "_VALUE", "")</f>
        <v>ELECTRICENGINE</v>
      </c>
      <c r="AP396"/>
      <c r="AQ396"/>
      <c r="AR396"/>
    </row>
    <row r="397" spans="1:44">
      <c r="A397" s="2" t="s">
        <v>422</v>
      </c>
      <c r="B397">
        <v>1970</v>
      </c>
      <c r="C397">
        <v>0</v>
      </c>
      <c r="D397" t="s">
        <v>74</v>
      </c>
      <c r="E397" t="s">
        <v>20</v>
      </c>
      <c r="F397">
        <v>0</v>
      </c>
      <c r="G397" s="10">
        <v>114</v>
      </c>
      <c r="H397">
        <v>8</v>
      </c>
      <c r="I397">
        <v>8</v>
      </c>
      <c r="J397" s="2" t="s">
        <v>20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>
        <v>9980</v>
      </c>
      <c r="O397">
        <v>200</v>
      </c>
      <c r="P397" s="2">
        <v>0.27</v>
      </c>
      <c r="Q397" s="6">
        <v>40</v>
      </c>
      <c r="R397" s="10">
        <v>0</v>
      </c>
      <c r="S397" s="10">
        <v>0</v>
      </c>
      <c r="T397" s="10"/>
      <c r="U397" t="str">
        <f>"RUNNING_COST_"&amp;IF(PROPERTIES[[#This Row],[ENGINE_CLASS]]="MAGLEV","ELECTRIC",PROPERTIES[[#This Row],[ENGINE_CLASS]])</f>
        <v>RUNNING_COST_ELECTRIC</v>
      </c>
      <c r="V397" s="10" t="s">
        <v>1004</v>
      </c>
      <c r="W397" s="10" t="s">
        <v>1005</v>
      </c>
      <c r="X397" s="10" t="str">
        <f>SUBSTITUTE(SUBSTITUTE(PROPERTIES[[#This Row],[PURCHASECOST_VALUE]], "PURCHASECOST_", ""), "_VALUE", "")</f>
        <v>ELECTRICENGINE</v>
      </c>
      <c r="AP397"/>
      <c r="AQ397"/>
      <c r="AR397"/>
    </row>
    <row r="398" spans="1:44">
      <c r="A398" s="2" t="s">
        <v>423</v>
      </c>
      <c r="B398">
        <v>1925</v>
      </c>
      <c r="C398">
        <v>0</v>
      </c>
      <c r="D398" t="s">
        <v>74</v>
      </c>
      <c r="E398" t="s">
        <v>20</v>
      </c>
      <c r="F398">
        <v>0</v>
      </c>
      <c r="G398" s="10">
        <v>124</v>
      </c>
      <c r="H398">
        <v>8</v>
      </c>
      <c r="I398">
        <v>8</v>
      </c>
      <c r="J398" s="2" t="s">
        <v>20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>
        <v>2230</v>
      </c>
      <c r="O398">
        <v>55</v>
      </c>
      <c r="P398" s="2">
        <v>0.24</v>
      </c>
      <c r="Q398" s="6">
        <v>40</v>
      </c>
      <c r="R398" s="10">
        <v>0</v>
      </c>
      <c r="S398" s="10">
        <v>0</v>
      </c>
      <c r="T398" s="10"/>
      <c r="U398" t="str">
        <f>"RUNNING_COST_"&amp;IF(PROPERTIES[[#This Row],[ENGINE_CLASS]]="MAGLEV","ELECTRIC",PROPERTIES[[#This Row],[ENGINE_CLASS]])</f>
        <v>RUNNING_COST_ELECTRIC</v>
      </c>
      <c r="V398" s="10" t="s">
        <v>1004</v>
      </c>
      <c r="W398" s="10" t="s">
        <v>1005</v>
      </c>
      <c r="X398" s="10" t="str">
        <f>SUBSTITUTE(SUBSTITUTE(PROPERTIES[[#This Row],[PURCHASECOST_VALUE]], "PURCHASECOST_", ""), "_VALUE", "")</f>
        <v>ELECTRICENGINE</v>
      </c>
      <c r="AP398"/>
      <c r="AQ398"/>
      <c r="AR398"/>
    </row>
    <row r="399" spans="1:44">
      <c r="A399" s="2" t="s">
        <v>424</v>
      </c>
      <c r="B399">
        <v>1954</v>
      </c>
      <c r="C399">
        <v>0</v>
      </c>
      <c r="D399" t="s">
        <v>74</v>
      </c>
      <c r="E399" t="s">
        <v>20</v>
      </c>
      <c r="F399">
        <v>0</v>
      </c>
      <c r="G399" s="10">
        <v>65</v>
      </c>
      <c r="H399">
        <v>5</v>
      </c>
      <c r="I399">
        <v>5</v>
      </c>
      <c r="J399" s="2" t="s">
        <v>20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>
        <v>1001</v>
      </c>
      <c r="O399">
        <v>65</v>
      </c>
      <c r="P399" s="2">
        <v>0.17</v>
      </c>
      <c r="Q399" s="6">
        <v>40</v>
      </c>
      <c r="R399" s="10">
        <v>0</v>
      </c>
      <c r="S399" s="10">
        <v>0</v>
      </c>
      <c r="T399" s="10"/>
      <c r="U399" t="str">
        <f>"RUNNING_COST_"&amp;IF(PROPERTIES[[#This Row],[ENGINE_CLASS]]="MAGLEV","ELECTRIC",PROPERTIES[[#This Row],[ENGINE_CLASS]])</f>
        <v>RUNNING_COST_ELECTRIC</v>
      </c>
      <c r="V399" s="10" t="s">
        <v>1004</v>
      </c>
      <c r="W399" s="10" t="s">
        <v>1005</v>
      </c>
      <c r="X399" s="10" t="str">
        <f>SUBSTITUTE(SUBSTITUTE(PROPERTIES[[#This Row],[PURCHASECOST_VALUE]], "PURCHASECOST_", ""), "_VALUE", "")</f>
        <v>ELECTRICENGINE</v>
      </c>
      <c r="AP399"/>
      <c r="AQ399"/>
      <c r="AR399"/>
    </row>
    <row r="400" spans="1:44">
      <c r="A400" s="2" t="s">
        <v>425</v>
      </c>
      <c r="B400">
        <v>1955</v>
      </c>
      <c r="C400">
        <v>0</v>
      </c>
      <c r="D400" t="s">
        <v>74</v>
      </c>
      <c r="E400" t="s">
        <v>20</v>
      </c>
      <c r="F400">
        <v>0</v>
      </c>
      <c r="G400" s="10">
        <v>120</v>
      </c>
      <c r="H400">
        <v>8</v>
      </c>
      <c r="I400">
        <v>8</v>
      </c>
      <c r="J400" s="2" t="s">
        <v>20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>
        <v>5842</v>
      </c>
      <c r="O400">
        <v>125</v>
      </c>
      <c r="P400" s="2">
        <v>0.33</v>
      </c>
      <c r="Q400" s="6">
        <v>40</v>
      </c>
      <c r="R400" s="10">
        <v>0</v>
      </c>
      <c r="S400" s="10">
        <v>0</v>
      </c>
      <c r="T400" s="10"/>
      <c r="U400" t="str">
        <f>"RUNNING_COST_"&amp;IF(PROPERTIES[[#This Row],[ENGINE_CLASS]]="MAGLEV","ELECTRIC",PROPERTIES[[#This Row],[ENGINE_CLASS]])</f>
        <v>RUNNING_COST_ELECTRIC</v>
      </c>
      <c r="V400" s="10" t="s">
        <v>1004</v>
      </c>
      <c r="W400" s="10" t="s">
        <v>1005</v>
      </c>
      <c r="X400" s="10" t="str">
        <f>SUBSTITUTE(SUBSTITUTE(PROPERTIES[[#This Row],[PURCHASECOST_VALUE]], "PURCHASECOST_", ""), "_VALUE", "")</f>
        <v>ELECTRICENGINE</v>
      </c>
      <c r="AP400"/>
      <c r="AQ400"/>
      <c r="AR400"/>
    </row>
    <row r="401" spans="1:44">
      <c r="A401" s="2" t="s">
        <v>426</v>
      </c>
      <c r="B401">
        <v>1991</v>
      </c>
      <c r="C401">
        <v>0</v>
      </c>
      <c r="D401" t="s">
        <v>74</v>
      </c>
      <c r="E401" t="s">
        <v>20</v>
      </c>
      <c r="F401">
        <v>0</v>
      </c>
      <c r="G401" s="10">
        <v>84</v>
      </c>
      <c r="H401">
        <v>8</v>
      </c>
      <c r="I401">
        <v>8</v>
      </c>
      <c r="J401" s="2" t="s">
        <v>20</v>
      </c>
      <c r="K401">
        <f>_xlfn.XLOOKUP("LOADINGSPEEDDEF_"&amp;PROPERTIES[[#This Row],[LOADINGSPEED]],LOADINGSPEEDDEF[TYPE],LOADINGSPEEDDEF[SPEED])</f>
        <v>0</v>
      </c>
      <c r="L401" t="s">
        <v>21</v>
      </c>
      <c r="M401">
        <v>1</v>
      </c>
      <c r="N401">
        <v>8174</v>
      </c>
      <c r="O401">
        <v>230</v>
      </c>
      <c r="P401" s="2">
        <v>0.36</v>
      </c>
      <c r="Q401" s="6">
        <v>40</v>
      </c>
      <c r="R401" s="10">
        <v>0</v>
      </c>
      <c r="S401" s="10">
        <v>0</v>
      </c>
      <c r="T401" s="10"/>
      <c r="U401" t="str">
        <f>"RUNNING_COST_"&amp;IF(PROPERTIES[[#This Row],[ENGINE_CLASS]]="MAGLEV","ELECTRIC",PROPERTIES[[#This Row],[ENGINE_CLASS]])</f>
        <v>RUNNING_COST_ELECTRIC</v>
      </c>
      <c r="V401" s="10" t="s">
        <v>1004</v>
      </c>
      <c r="W401" s="10" t="s">
        <v>1005</v>
      </c>
      <c r="X401" s="10" t="str">
        <f>SUBSTITUTE(SUBSTITUTE(PROPERTIES[[#This Row],[PURCHASECOST_VALUE]], "PURCHASECOST_", ""), "_VALUE", "")</f>
        <v>ELECTRICENGINE</v>
      </c>
      <c r="AP401"/>
      <c r="AQ401"/>
      <c r="AR401"/>
    </row>
    <row r="402" spans="1:44">
      <c r="A402" s="2" t="s">
        <v>427</v>
      </c>
      <c r="B402">
        <v>2012</v>
      </c>
      <c r="C402">
        <v>0</v>
      </c>
      <c r="D402" t="s">
        <v>74</v>
      </c>
      <c r="E402" t="s">
        <v>20</v>
      </c>
      <c r="F402">
        <v>0</v>
      </c>
      <c r="G402" s="10">
        <v>45</v>
      </c>
      <c r="H402">
        <v>5</v>
      </c>
      <c r="I402">
        <v>5</v>
      </c>
      <c r="J402" s="2" t="s">
        <v>20</v>
      </c>
      <c r="K402">
        <f>_xlfn.XLOOKUP("LOADINGSPEEDDEF_"&amp;PROPERTIES[[#This Row],[LOADINGSPEED]],LOADINGSPEEDDEF[TYPE],LOADINGSPEEDDEF[SPEED])</f>
        <v>0</v>
      </c>
      <c r="L402" t="s">
        <v>21</v>
      </c>
      <c r="M402">
        <v>1</v>
      </c>
      <c r="N402">
        <v>1000</v>
      </c>
      <c r="O402">
        <v>100</v>
      </c>
      <c r="P402" s="2">
        <v>0.27</v>
      </c>
      <c r="Q402" s="6">
        <v>40</v>
      </c>
      <c r="R402" s="10">
        <v>0</v>
      </c>
      <c r="S402" s="10">
        <v>0</v>
      </c>
      <c r="T402" s="10"/>
      <c r="U402" t="str">
        <f>"RUNNING_COST_"&amp;IF(PROPERTIES[[#This Row],[ENGINE_CLASS]]="MAGLEV","ELECTRIC",PROPERTIES[[#This Row],[ENGINE_CLASS]])</f>
        <v>RUNNING_COST_ELECTRIC</v>
      </c>
      <c r="V402" s="10" t="s">
        <v>1004</v>
      </c>
      <c r="W402" s="10" t="s">
        <v>1005</v>
      </c>
      <c r="X402" s="10" t="str">
        <f>SUBSTITUTE(SUBSTITUTE(PROPERTIES[[#This Row],[PURCHASECOST_VALUE]], "PURCHASECOST_", ""), "_VALUE", "")</f>
        <v>ELECTRICENGINE</v>
      </c>
      <c r="AP402"/>
      <c r="AQ402"/>
      <c r="AR402"/>
    </row>
    <row r="403" spans="1:44">
      <c r="A403" s="2" t="s">
        <v>428</v>
      </c>
      <c r="B403">
        <v>1974</v>
      </c>
      <c r="C403">
        <v>0</v>
      </c>
      <c r="D403" t="s">
        <v>74</v>
      </c>
      <c r="E403" t="s">
        <v>20</v>
      </c>
      <c r="F403">
        <v>0</v>
      </c>
      <c r="G403" s="10">
        <v>84</v>
      </c>
      <c r="H403">
        <v>8</v>
      </c>
      <c r="I403">
        <v>8</v>
      </c>
      <c r="J403" s="2" t="s">
        <v>20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>
        <v>7000</v>
      </c>
      <c r="O403">
        <v>160</v>
      </c>
      <c r="P403" s="2">
        <v>0.39</v>
      </c>
      <c r="Q403" s="6">
        <v>40</v>
      </c>
      <c r="R403" s="10">
        <v>0</v>
      </c>
      <c r="S403" s="10">
        <v>0</v>
      </c>
      <c r="T403" s="10"/>
      <c r="U403" t="str">
        <f>"RUNNING_COST_"&amp;IF(PROPERTIES[[#This Row],[ENGINE_CLASS]]="MAGLEV","ELECTRIC",PROPERTIES[[#This Row],[ENGINE_CLASS]])</f>
        <v>RUNNING_COST_ELECTRIC</v>
      </c>
      <c r="V403" s="10" t="s">
        <v>1004</v>
      </c>
      <c r="W403" s="10" t="s">
        <v>1005</v>
      </c>
      <c r="X403" s="10" t="str">
        <f>SUBSTITUTE(SUBSTITUTE(PROPERTIES[[#This Row],[PURCHASECOST_VALUE]], "PURCHASECOST_", ""), "_VALUE", "")</f>
        <v>ELECTRICENGINE</v>
      </c>
      <c r="AP403"/>
      <c r="AQ403"/>
      <c r="AR403"/>
    </row>
    <row r="404" spans="1:44">
      <c r="A404" s="2" t="s">
        <v>429</v>
      </c>
      <c r="B404">
        <v>1982</v>
      </c>
      <c r="C404">
        <v>0</v>
      </c>
      <c r="D404" t="s">
        <v>74</v>
      </c>
      <c r="E404" t="s">
        <v>20</v>
      </c>
      <c r="F404">
        <v>0</v>
      </c>
      <c r="G404" s="10">
        <v>82</v>
      </c>
      <c r="H404">
        <v>8</v>
      </c>
      <c r="I404">
        <v>8</v>
      </c>
      <c r="J404" s="2" t="s">
        <v>20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>
        <v>2680</v>
      </c>
      <c r="O404">
        <v>100</v>
      </c>
      <c r="P404" s="2">
        <v>0.32</v>
      </c>
      <c r="Q404" s="6">
        <v>40</v>
      </c>
      <c r="R404" s="10">
        <v>0</v>
      </c>
      <c r="S404" s="10">
        <v>0</v>
      </c>
      <c r="T404" s="10"/>
      <c r="U404" t="str">
        <f>"RUNNING_COST_"&amp;IF(PROPERTIES[[#This Row],[ENGINE_CLASS]]="MAGLEV","ELECTRIC",PROPERTIES[[#This Row],[ENGINE_CLASS]])</f>
        <v>RUNNING_COST_ELECTRIC</v>
      </c>
      <c r="V404" s="10" t="s">
        <v>1004</v>
      </c>
      <c r="W404" s="10" t="s">
        <v>1005</v>
      </c>
      <c r="X404" s="10" t="str">
        <f>SUBSTITUTE(SUBSTITUTE(PROPERTIES[[#This Row],[PURCHASECOST_VALUE]], "PURCHASECOST_", ""), "_VALUE", "")</f>
        <v>ELECTRICENGINE</v>
      </c>
      <c r="AP404"/>
      <c r="AQ404"/>
      <c r="AR404"/>
    </row>
    <row r="405" spans="1:44">
      <c r="A405" s="2" t="s">
        <v>430</v>
      </c>
      <c r="B405">
        <v>1953</v>
      </c>
      <c r="C405">
        <v>0</v>
      </c>
      <c r="D405" t="s">
        <v>74</v>
      </c>
      <c r="E405" t="s">
        <v>20</v>
      </c>
      <c r="F405">
        <v>0</v>
      </c>
      <c r="G405" s="10">
        <v>273</v>
      </c>
      <c r="H405">
        <v>7</v>
      </c>
      <c r="I405">
        <v>21</v>
      </c>
      <c r="J405" s="2" t="s">
        <v>20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>
        <v>9648</v>
      </c>
      <c r="O405">
        <v>75</v>
      </c>
      <c r="P405" s="2">
        <v>0.34</v>
      </c>
      <c r="Q405" s="6">
        <v>40</v>
      </c>
      <c r="R405" s="10">
        <v>0</v>
      </c>
      <c r="S405" s="10">
        <v>0</v>
      </c>
      <c r="T405" s="10"/>
      <c r="U405" t="str">
        <f>"RUNNING_COST_"&amp;IF(PROPERTIES[[#This Row],[ENGINE_CLASS]]="MAGLEV","ELECTRIC",PROPERTIES[[#This Row],[ENGINE_CLASS]])</f>
        <v>RUNNING_COST_ELECTRIC</v>
      </c>
      <c r="V405" s="10" t="s">
        <v>1004</v>
      </c>
      <c r="W405" s="10" t="s">
        <v>1005</v>
      </c>
      <c r="X405" s="10" t="str">
        <f>SUBSTITUTE(SUBSTITUTE(PROPERTIES[[#This Row],[PURCHASECOST_VALUE]], "PURCHASECOST_", ""), "_VALUE", "")</f>
        <v>ELECTRICENGINE</v>
      </c>
      <c r="AP405"/>
      <c r="AQ405"/>
      <c r="AR405"/>
    </row>
    <row r="406" spans="1:44">
      <c r="A406" s="2" t="s">
        <v>431</v>
      </c>
      <c r="B406">
        <v>2000</v>
      </c>
      <c r="C406">
        <v>0</v>
      </c>
      <c r="D406" t="s">
        <v>74</v>
      </c>
      <c r="E406" t="s">
        <v>20</v>
      </c>
      <c r="F406">
        <v>0</v>
      </c>
      <c r="G406" s="10">
        <v>360</v>
      </c>
      <c r="H406">
        <v>8</v>
      </c>
      <c r="I406">
        <v>16</v>
      </c>
      <c r="J406" s="2" t="s">
        <v>20</v>
      </c>
      <c r="K406">
        <f>_xlfn.XLOOKUP("LOADINGSPEEDDEF_"&amp;PROPERTIES[[#This Row],[LOADINGSPEED]],LOADINGSPEEDDEF[TYPE],LOADINGSPEEDDEF[SPEED])</f>
        <v>0</v>
      </c>
      <c r="L406" t="s">
        <v>21</v>
      </c>
      <c r="M406">
        <v>0</v>
      </c>
      <c r="N406">
        <v>14478</v>
      </c>
      <c r="O406">
        <v>80</v>
      </c>
      <c r="P406" s="2">
        <v>0.39</v>
      </c>
      <c r="Q406" s="6">
        <v>40</v>
      </c>
      <c r="R406" s="10">
        <v>0</v>
      </c>
      <c r="S406" s="10">
        <v>8</v>
      </c>
      <c r="T406" s="10"/>
      <c r="U406" t="str">
        <f>"RUNNING_COST_"&amp;IF(PROPERTIES[[#This Row],[ENGINE_CLASS]]="MAGLEV","ELECTRIC",PROPERTIES[[#This Row],[ENGINE_CLASS]])</f>
        <v>RUNNING_COST_ELECTRIC</v>
      </c>
      <c r="V406" s="10" t="s">
        <v>1004</v>
      </c>
      <c r="W406" s="10" t="s">
        <v>1005</v>
      </c>
      <c r="X406" s="10" t="str">
        <f>SUBSTITUTE(SUBSTITUTE(PROPERTIES[[#This Row],[PURCHASECOST_VALUE]], "PURCHASECOST_", ""), "_VALUE", "")</f>
        <v>ELECTRICENGINE</v>
      </c>
      <c r="AP406"/>
      <c r="AQ406"/>
      <c r="AR406"/>
    </row>
    <row r="407" spans="1:44">
      <c r="A407" s="2" t="s">
        <v>432</v>
      </c>
      <c r="B407">
        <v>1914</v>
      </c>
      <c r="C407">
        <v>0</v>
      </c>
      <c r="D407" t="s">
        <v>74</v>
      </c>
      <c r="E407" t="s">
        <v>20</v>
      </c>
      <c r="F407">
        <v>0</v>
      </c>
      <c r="G407" s="10">
        <v>125</v>
      </c>
      <c r="H407">
        <v>6</v>
      </c>
      <c r="I407">
        <v>12</v>
      </c>
      <c r="J407" s="2" t="s">
        <v>20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>
        <v>1600</v>
      </c>
      <c r="O407">
        <v>60</v>
      </c>
      <c r="P407" s="2">
        <v>0.2</v>
      </c>
      <c r="Q407" s="6">
        <v>40</v>
      </c>
      <c r="R407" s="10">
        <v>0</v>
      </c>
      <c r="S407" s="10">
        <v>6</v>
      </c>
      <c r="T407" s="10"/>
      <c r="U407" t="str">
        <f>"RUNNING_COST_"&amp;IF(PROPERTIES[[#This Row],[ENGINE_CLASS]]="MAGLEV","ELECTRIC",PROPERTIES[[#This Row],[ENGINE_CLASS]])</f>
        <v>RUNNING_COST_ELECTRIC</v>
      </c>
      <c r="V407" s="10" t="s">
        <v>1004</v>
      </c>
      <c r="W407" s="10" t="s">
        <v>1005</v>
      </c>
      <c r="X407" s="10" t="str">
        <f>SUBSTITUTE(SUBSTITUTE(PROPERTIES[[#This Row],[PURCHASECOST_VALUE]], "PURCHASECOST_", ""), "_VALUE", "")</f>
        <v>ELECTRICENGINE</v>
      </c>
      <c r="AP407"/>
      <c r="AQ407"/>
      <c r="AR407"/>
    </row>
    <row r="408" spans="1:44">
      <c r="A408" s="2" t="s">
        <v>433</v>
      </c>
      <c r="B408">
        <v>1942</v>
      </c>
      <c r="C408">
        <v>0</v>
      </c>
      <c r="D408" t="s">
        <v>74</v>
      </c>
      <c r="E408" t="s">
        <v>20</v>
      </c>
      <c r="F408">
        <v>0</v>
      </c>
      <c r="G408" s="10">
        <v>102</v>
      </c>
      <c r="H408">
        <v>8</v>
      </c>
      <c r="I408">
        <v>8</v>
      </c>
      <c r="J408" s="2" t="s">
        <v>20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>
        <v>3460</v>
      </c>
      <c r="O408">
        <v>135</v>
      </c>
      <c r="P408" s="2">
        <v>0.2</v>
      </c>
      <c r="Q408" s="6">
        <v>40</v>
      </c>
      <c r="R408" s="10">
        <v>0</v>
      </c>
      <c r="S408" s="10">
        <v>0</v>
      </c>
      <c r="T408" s="10"/>
      <c r="U408" t="str">
        <f>"RUNNING_COST_"&amp;IF(PROPERTIES[[#This Row],[ENGINE_CLASS]]="MAGLEV","ELECTRIC",PROPERTIES[[#This Row],[ENGINE_CLASS]])</f>
        <v>RUNNING_COST_ELECTRIC</v>
      </c>
      <c r="V408" s="10" t="s">
        <v>1004</v>
      </c>
      <c r="W408" s="10" t="s">
        <v>1005</v>
      </c>
      <c r="X408" s="10" t="str">
        <f>SUBSTITUTE(SUBSTITUTE(PROPERTIES[[#This Row],[PURCHASECOST_VALUE]], "PURCHASECOST_", ""), "_VALUE", "")</f>
        <v>ELECTRICENGINE</v>
      </c>
      <c r="AP408"/>
      <c r="AQ408"/>
      <c r="AR408"/>
    </row>
    <row r="409" spans="1:44">
      <c r="A409" s="2" t="s">
        <v>434</v>
      </c>
      <c r="B409">
        <v>1982</v>
      </c>
      <c r="C409">
        <v>0</v>
      </c>
      <c r="D409" t="s">
        <v>74</v>
      </c>
      <c r="E409" t="s">
        <v>20</v>
      </c>
      <c r="F409">
        <v>0</v>
      </c>
      <c r="G409" s="10">
        <v>64</v>
      </c>
      <c r="H409">
        <v>7</v>
      </c>
      <c r="I409">
        <v>7</v>
      </c>
      <c r="J409" s="2" t="s">
        <v>24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>
        <v>4000</v>
      </c>
      <c r="O409">
        <v>150</v>
      </c>
      <c r="P409" s="2">
        <v>0.38</v>
      </c>
      <c r="Q409" s="6">
        <v>40</v>
      </c>
      <c r="R409" s="10">
        <v>0</v>
      </c>
      <c r="S409" s="10">
        <v>0</v>
      </c>
      <c r="T409" s="10"/>
      <c r="U409" t="str">
        <f>"RUNNING_COST_"&amp;IF(PROPERTIES[[#This Row],[ENGINE_CLASS]]="MAGLEV","ELECTRIC",PROPERTIES[[#This Row],[ENGINE_CLASS]])</f>
        <v>RUNNING_COST_ELECTRIC</v>
      </c>
      <c r="V409" s="10" t="s">
        <v>1004</v>
      </c>
      <c r="W409" s="10" t="s">
        <v>1005</v>
      </c>
      <c r="X409" s="10" t="str">
        <f>SUBSTITUTE(SUBSTITUTE(PROPERTIES[[#This Row],[PURCHASECOST_VALUE]], "PURCHASECOST_", ""), "_VALUE", "")</f>
        <v>ELECTRICENGINE</v>
      </c>
      <c r="AP409"/>
      <c r="AQ409"/>
      <c r="AR409"/>
    </row>
    <row r="410" spans="1:44">
      <c r="A410" s="2" t="s">
        <v>435</v>
      </c>
      <c r="B410">
        <v>1914</v>
      </c>
      <c r="C410">
        <v>0</v>
      </c>
      <c r="D410" t="s">
        <v>74</v>
      </c>
      <c r="E410" t="s">
        <v>20</v>
      </c>
      <c r="F410">
        <v>0</v>
      </c>
      <c r="G410" s="10">
        <v>81</v>
      </c>
      <c r="H410">
        <v>6</v>
      </c>
      <c r="I410">
        <v>6</v>
      </c>
      <c r="J410" s="2" t="s">
        <v>20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>
        <v>1186</v>
      </c>
      <c r="O410">
        <v>100</v>
      </c>
      <c r="P410" s="2">
        <v>0.1</v>
      </c>
      <c r="Q410" s="6">
        <v>40</v>
      </c>
      <c r="R410" s="10">
        <v>0</v>
      </c>
      <c r="S410" s="10">
        <v>0</v>
      </c>
      <c r="T410" s="10"/>
      <c r="U410" t="str">
        <f>"RUNNING_COST_"&amp;IF(PROPERTIES[[#This Row],[ENGINE_CLASS]]="MAGLEV","ELECTRIC",PROPERTIES[[#This Row],[ENGINE_CLASS]])</f>
        <v>RUNNING_COST_ELECTRIC</v>
      </c>
      <c r="V410" s="10" t="s">
        <v>1004</v>
      </c>
      <c r="W410" s="10" t="s">
        <v>1005</v>
      </c>
      <c r="X410" s="10" t="str">
        <f>SUBSTITUTE(SUBSTITUTE(PROPERTIES[[#This Row],[PURCHASECOST_VALUE]], "PURCHASECOST_", ""), "_VALUE", "")</f>
        <v>ELECTRICENGINE</v>
      </c>
      <c r="AP410"/>
      <c r="AQ410"/>
      <c r="AR410"/>
    </row>
    <row r="411" spans="1:44">
      <c r="A411" s="2" t="s">
        <v>436</v>
      </c>
      <c r="B411">
        <v>1948</v>
      </c>
      <c r="C411">
        <v>0</v>
      </c>
      <c r="D411" t="s">
        <v>74</v>
      </c>
      <c r="E411" t="s">
        <v>20</v>
      </c>
      <c r="F411">
        <v>0</v>
      </c>
      <c r="G411" s="10">
        <v>450</v>
      </c>
      <c r="H411">
        <v>8</v>
      </c>
      <c r="I411">
        <v>16</v>
      </c>
      <c r="J411" s="2" t="s">
        <v>20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>
        <v>6800</v>
      </c>
      <c r="O411">
        <v>80</v>
      </c>
      <c r="P411" s="2">
        <v>0.16</v>
      </c>
      <c r="Q411" s="6">
        <v>40</v>
      </c>
      <c r="R411" s="10">
        <v>0</v>
      </c>
      <c r="S411" s="10">
        <v>0</v>
      </c>
      <c r="T411" s="10"/>
      <c r="U411" t="str">
        <f>"RUNNING_COST_"&amp;IF(PROPERTIES[[#This Row],[ENGINE_CLASS]]="MAGLEV","ELECTRIC",PROPERTIES[[#This Row],[ENGINE_CLASS]])</f>
        <v>RUNNING_COST_ELECTRIC</v>
      </c>
      <c r="V411" s="10" t="s">
        <v>1004</v>
      </c>
      <c r="W411" s="10" t="s">
        <v>1005</v>
      </c>
      <c r="X411" s="10" t="str">
        <f>SUBSTITUTE(SUBSTITUTE(PROPERTIES[[#This Row],[PURCHASECOST_VALUE]], "PURCHASECOST_", ""), "_VALUE", "")</f>
        <v>ELECTRICENGINE</v>
      </c>
      <c r="AP411"/>
      <c r="AQ411"/>
      <c r="AR411"/>
    </row>
    <row r="412" spans="1:44">
      <c r="A412" s="2" t="s">
        <v>437</v>
      </c>
      <c r="B412">
        <v>1947</v>
      </c>
      <c r="C412">
        <v>0</v>
      </c>
      <c r="D412" t="s">
        <v>74</v>
      </c>
      <c r="E412" t="s">
        <v>20</v>
      </c>
      <c r="F412">
        <v>0</v>
      </c>
      <c r="G412" s="10">
        <v>330</v>
      </c>
      <c r="H412">
        <v>8</v>
      </c>
      <c r="I412">
        <v>8</v>
      </c>
      <c r="J412" s="2" t="s">
        <v>20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>
        <v>5000</v>
      </c>
      <c r="O412">
        <v>105</v>
      </c>
      <c r="P412" s="2">
        <v>0.16</v>
      </c>
      <c r="Q412" s="6">
        <v>40</v>
      </c>
      <c r="R412" s="10">
        <v>0</v>
      </c>
      <c r="S412" s="10">
        <v>4</v>
      </c>
      <c r="T412" s="10"/>
      <c r="U412" t="str">
        <f>"RUNNING_COST_"&amp;IF(PROPERTIES[[#This Row],[ENGINE_CLASS]]="MAGLEV","ELECTRIC",PROPERTIES[[#This Row],[ENGINE_CLASS]])</f>
        <v>RUNNING_COST_ELECTRIC</v>
      </c>
      <c r="V412" s="10" t="s">
        <v>1004</v>
      </c>
      <c r="W412" s="10" t="s">
        <v>1005</v>
      </c>
      <c r="X412" s="10" t="str">
        <f>SUBSTITUTE(SUBSTITUTE(PROPERTIES[[#This Row],[PURCHASECOST_VALUE]], "PURCHASECOST_", ""), "_VALUE", "")</f>
        <v>ELECTRICENGINE</v>
      </c>
      <c r="AP412"/>
      <c r="AQ412"/>
      <c r="AR412"/>
    </row>
    <row r="413" spans="1:44">
      <c r="A413" s="2" t="s">
        <v>438</v>
      </c>
      <c r="B413">
        <v>1926</v>
      </c>
      <c r="C413">
        <v>0</v>
      </c>
      <c r="D413" t="s">
        <v>74</v>
      </c>
      <c r="E413" t="s">
        <v>20</v>
      </c>
      <c r="F413">
        <v>0</v>
      </c>
      <c r="G413" s="10">
        <v>71</v>
      </c>
      <c r="H413">
        <v>4</v>
      </c>
      <c r="I413">
        <v>4</v>
      </c>
      <c r="J413" s="2" t="s">
        <v>24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>
        <v>700</v>
      </c>
      <c r="O413">
        <v>40</v>
      </c>
      <c r="P413" s="2">
        <v>0.25</v>
      </c>
      <c r="Q413" s="6">
        <v>40</v>
      </c>
      <c r="R413" s="10">
        <v>0</v>
      </c>
      <c r="S413" s="10">
        <v>0</v>
      </c>
      <c r="T413" s="10"/>
      <c r="U413" t="str">
        <f>"RUNNING_COST_"&amp;IF(PROPERTIES[[#This Row],[ENGINE_CLASS]]="MAGLEV","ELECTRIC",PROPERTIES[[#This Row],[ENGINE_CLASS]])</f>
        <v>RUNNING_COST_ELECTRIC</v>
      </c>
      <c r="V413" s="10" t="s">
        <v>1004</v>
      </c>
      <c r="W413" s="10" t="s">
        <v>1005</v>
      </c>
      <c r="X413" s="10" t="str">
        <f>SUBSTITUTE(SUBSTITUTE(PROPERTIES[[#This Row],[PURCHASECOST_VALUE]], "PURCHASECOST_", ""), "_VALUE", "")</f>
        <v>ELECTRICENGINE</v>
      </c>
      <c r="AP413"/>
      <c r="AQ413"/>
      <c r="AR413"/>
    </row>
    <row r="414" spans="1:44">
      <c r="A414" s="2" t="s">
        <v>439</v>
      </c>
      <c r="B414">
        <v>2008</v>
      </c>
      <c r="C414">
        <v>0</v>
      </c>
      <c r="D414" t="s">
        <v>74</v>
      </c>
      <c r="E414" t="s">
        <v>20</v>
      </c>
      <c r="F414">
        <v>0</v>
      </c>
      <c r="G414" s="10">
        <v>109</v>
      </c>
      <c r="H414">
        <v>8</v>
      </c>
      <c r="I414">
        <v>8</v>
      </c>
      <c r="J414" s="2" t="s">
        <v>20</v>
      </c>
      <c r="K414">
        <f>_xlfn.XLOOKUP("LOADINGSPEEDDEF_"&amp;PROPERTIES[[#This Row],[LOADINGSPEED]],LOADINGSPEEDDEF[TYPE],LOADINGSPEEDDEF[SPEED])</f>
        <v>0</v>
      </c>
      <c r="L414" t="s">
        <v>21</v>
      </c>
      <c r="M414">
        <v>1</v>
      </c>
      <c r="N414">
        <v>5360</v>
      </c>
      <c r="O414">
        <v>80</v>
      </c>
      <c r="P414" s="2">
        <v>0.41</v>
      </c>
      <c r="Q414" s="6">
        <v>40</v>
      </c>
      <c r="R414" s="10">
        <v>0</v>
      </c>
      <c r="S414" s="10">
        <v>0</v>
      </c>
      <c r="T414" s="10"/>
      <c r="U414" t="str">
        <f>"RUNNING_COST_"&amp;IF(PROPERTIES[[#This Row],[ENGINE_CLASS]]="MAGLEV","ELECTRIC",PROPERTIES[[#This Row],[ENGINE_CLASS]])</f>
        <v>RUNNING_COST_ELECTRIC</v>
      </c>
      <c r="V414" s="10" t="s">
        <v>1004</v>
      </c>
      <c r="W414" s="10" t="s">
        <v>1005</v>
      </c>
      <c r="X414" s="10" t="str">
        <f>SUBSTITUTE(SUBSTITUTE(PROPERTIES[[#This Row],[PURCHASECOST_VALUE]], "PURCHASECOST_", ""), "_VALUE", "")</f>
        <v>ELECTRICENGINE</v>
      </c>
      <c r="AP414"/>
      <c r="AQ414"/>
      <c r="AR414"/>
    </row>
    <row r="415" spans="1:44">
      <c r="A415" s="2" t="s">
        <v>440</v>
      </c>
      <c r="B415">
        <v>1991</v>
      </c>
      <c r="C415">
        <v>0</v>
      </c>
      <c r="D415" t="s">
        <v>74</v>
      </c>
      <c r="E415" t="s">
        <v>20</v>
      </c>
      <c r="F415">
        <v>0</v>
      </c>
      <c r="G415" s="10">
        <v>138</v>
      </c>
      <c r="H415">
        <v>8</v>
      </c>
      <c r="I415">
        <v>8</v>
      </c>
      <c r="J415" s="2" t="s">
        <v>20</v>
      </c>
      <c r="K415">
        <f>_xlfn.XLOOKUP("LOADINGSPEEDDEF_"&amp;PROPERTIES[[#This Row],[LOADINGSPEED]],LOADINGSPEEDDEF[TYPE],LOADINGSPEEDDEF[SPEED])</f>
        <v>0</v>
      </c>
      <c r="L415" t="s">
        <v>21</v>
      </c>
      <c r="M415">
        <v>1</v>
      </c>
      <c r="N415">
        <v>6432</v>
      </c>
      <c r="O415">
        <v>100</v>
      </c>
      <c r="P415" s="2">
        <v>0.35</v>
      </c>
      <c r="Q415" s="6">
        <v>40</v>
      </c>
      <c r="R415" s="10">
        <v>0</v>
      </c>
      <c r="S415" s="10">
        <v>0</v>
      </c>
      <c r="T415" s="10"/>
      <c r="U415" t="str">
        <f>"RUNNING_COST_"&amp;IF(PROPERTIES[[#This Row],[ENGINE_CLASS]]="MAGLEV","ELECTRIC",PROPERTIES[[#This Row],[ENGINE_CLASS]])</f>
        <v>RUNNING_COST_ELECTRIC</v>
      </c>
      <c r="V415" s="10" t="s">
        <v>1004</v>
      </c>
      <c r="W415" s="10" t="s">
        <v>1005</v>
      </c>
      <c r="X415" s="10" t="str">
        <f>SUBSTITUTE(SUBSTITUTE(PROPERTIES[[#This Row],[PURCHASECOST_VALUE]], "PURCHASECOST_", ""), "_VALUE", "")</f>
        <v>ELECTRICENGINE</v>
      </c>
      <c r="AP415"/>
      <c r="AQ415"/>
      <c r="AR415"/>
    </row>
    <row r="416" spans="1:44">
      <c r="A416" s="2" t="s">
        <v>441</v>
      </c>
      <c r="B416">
        <v>1978</v>
      </c>
      <c r="C416">
        <v>0</v>
      </c>
      <c r="D416" t="s">
        <v>74</v>
      </c>
      <c r="E416" t="s">
        <v>20</v>
      </c>
      <c r="F416">
        <v>0</v>
      </c>
      <c r="G416" s="10">
        <v>138</v>
      </c>
      <c r="H416">
        <v>8</v>
      </c>
      <c r="I416">
        <v>8</v>
      </c>
      <c r="J416" s="2" t="s">
        <v>24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>
        <v>5793</v>
      </c>
      <c r="O416">
        <v>100</v>
      </c>
      <c r="P416" s="2">
        <v>0.34</v>
      </c>
      <c r="Q416" s="6">
        <v>40</v>
      </c>
      <c r="R416" s="10">
        <v>0</v>
      </c>
      <c r="S416" s="10">
        <v>0</v>
      </c>
      <c r="T416" s="10"/>
      <c r="U416" t="str">
        <f>"RUNNING_COST_"&amp;IF(PROPERTIES[[#This Row],[ENGINE_CLASS]]="MAGLEV","ELECTRIC",PROPERTIES[[#This Row],[ENGINE_CLASS]])</f>
        <v>RUNNING_COST_ELECTRIC</v>
      </c>
      <c r="V416" s="10" t="s">
        <v>1004</v>
      </c>
      <c r="W416" s="10" t="s">
        <v>1005</v>
      </c>
      <c r="X416" s="10" t="str">
        <f>SUBSTITUTE(SUBSTITUTE(PROPERTIES[[#This Row],[PURCHASECOST_VALUE]], "PURCHASECOST_", ""), "_VALUE", "")</f>
        <v>ELECTRICENGINE</v>
      </c>
      <c r="AP416"/>
      <c r="AQ416"/>
      <c r="AR416"/>
    </row>
    <row r="417" spans="1:44">
      <c r="A417" s="2" t="s">
        <v>442</v>
      </c>
      <c r="B417">
        <v>2006</v>
      </c>
      <c r="C417">
        <v>0</v>
      </c>
      <c r="D417" t="s">
        <v>74</v>
      </c>
      <c r="E417" t="s">
        <v>20</v>
      </c>
      <c r="F417">
        <v>0</v>
      </c>
      <c r="G417" s="10">
        <v>150</v>
      </c>
      <c r="H417">
        <v>8</v>
      </c>
      <c r="I417">
        <v>8</v>
      </c>
      <c r="J417" s="2" t="s">
        <v>20</v>
      </c>
      <c r="K417">
        <f>_xlfn.XLOOKUP("LOADINGSPEEDDEF_"&amp;PROPERTIES[[#This Row],[LOADINGSPEED]],LOADINGSPEEDDEF[TYPE],LOADINGSPEEDDEF[SPEED])</f>
        <v>0</v>
      </c>
      <c r="L417" t="s">
        <v>21</v>
      </c>
      <c r="M417">
        <v>1</v>
      </c>
      <c r="N417">
        <v>12800</v>
      </c>
      <c r="O417">
        <v>120</v>
      </c>
      <c r="P417" s="2">
        <v>0.27</v>
      </c>
      <c r="Q417" s="6">
        <v>40</v>
      </c>
      <c r="R417" s="10">
        <v>0</v>
      </c>
      <c r="S417" s="10">
        <v>0</v>
      </c>
      <c r="T417" s="10"/>
      <c r="U417" t="str">
        <f>"RUNNING_COST_"&amp;IF(PROPERTIES[[#This Row],[ENGINE_CLASS]]="MAGLEV","ELECTRIC",PROPERTIES[[#This Row],[ENGINE_CLASS]])</f>
        <v>RUNNING_COST_ELECTRIC</v>
      </c>
      <c r="V417" s="10" t="s">
        <v>1004</v>
      </c>
      <c r="W417" s="10" t="s">
        <v>1005</v>
      </c>
      <c r="X417" s="10" t="str">
        <f>SUBSTITUTE(SUBSTITUTE(PROPERTIES[[#This Row],[PURCHASECOST_VALUE]], "PURCHASECOST_", ""), "_VALUE", "")</f>
        <v>ELECTRICENGINE</v>
      </c>
      <c r="AP417"/>
      <c r="AQ417"/>
      <c r="AR417"/>
    </row>
    <row r="418" spans="1:44">
      <c r="A418" s="2" t="s">
        <v>443</v>
      </c>
      <c r="B418">
        <v>2012</v>
      </c>
      <c r="C418">
        <v>0</v>
      </c>
      <c r="D418" t="s">
        <v>74</v>
      </c>
      <c r="E418" t="s">
        <v>20</v>
      </c>
      <c r="F418">
        <v>0</v>
      </c>
      <c r="G418" s="10">
        <v>126</v>
      </c>
      <c r="H418">
        <v>8</v>
      </c>
      <c r="I418">
        <v>8</v>
      </c>
      <c r="J418" s="2" t="s">
        <v>20</v>
      </c>
      <c r="K418">
        <f>_xlfn.XLOOKUP("LOADINGSPEEDDEF_"&amp;PROPERTIES[[#This Row],[LOADINGSPEED]],LOADINGSPEEDDEF[TYPE],LOADINGSPEEDDEF[SPEED])</f>
        <v>0</v>
      </c>
      <c r="L418" t="s">
        <v>21</v>
      </c>
      <c r="M418">
        <v>1</v>
      </c>
      <c r="N418">
        <v>9700</v>
      </c>
      <c r="O418">
        <v>160</v>
      </c>
      <c r="P418" s="2">
        <v>0.33</v>
      </c>
      <c r="Q418" s="6">
        <v>40</v>
      </c>
      <c r="R418" s="10">
        <v>0</v>
      </c>
      <c r="S418" s="10">
        <v>0</v>
      </c>
      <c r="T418" s="10"/>
      <c r="U418" t="str">
        <f>"RUNNING_COST_"&amp;IF(PROPERTIES[[#This Row],[ENGINE_CLASS]]="MAGLEV","ELECTRIC",PROPERTIES[[#This Row],[ENGINE_CLASS]])</f>
        <v>RUNNING_COST_ELECTRIC</v>
      </c>
      <c r="V418" s="10" t="s">
        <v>1004</v>
      </c>
      <c r="W418" s="10" t="s">
        <v>1005</v>
      </c>
      <c r="X418" s="10" t="str">
        <f>SUBSTITUTE(SUBSTITUTE(PROPERTIES[[#This Row],[PURCHASECOST_VALUE]], "PURCHASECOST_", ""), "_VALUE", "")</f>
        <v>ELECTRICENGINE</v>
      </c>
      <c r="AP418"/>
      <c r="AQ418"/>
      <c r="AR418"/>
    </row>
    <row r="419" spans="1:44">
      <c r="A419" s="2" t="s">
        <v>444</v>
      </c>
      <c r="B419">
        <v>1986</v>
      </c>
      <c r="C419">
        <v>0</v>
      </c>
      <c r="D419" t="s">
        <v>74</v>
      </c>
      <c r="E419" t="s">
        <v>20</v>
      </c>
      <c r="F419">
        <v>0</v>
      </c>
      <c r="G419" s="10">
        <v>138</v>
      </c>
      <c r="H419">
        <v>8</v>
      </c>
      <c r="I419">
        <v>8</v>
      </c>
      <c r="J419" s="2" t="s">
        <v>20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>
        <v>6450</v>
      </c>
      <c r="O419">
        <v>100</v>
      </c>
      <c r="P419" s="2">
        <v>0.35</v>
      </c>
      <c r="Q419" s="6">
        <v>40</v>
      </c>
      <c r="R419" s="10">
        <v>0</v>
      </c>
      <c r="S419" s="10">
        <v>0</v>
      </c>
      <c r="T419" s="10"/>
      <c r="U419" t="str">
        <f>"RUNNING_COST_"&amp;IF(PROPERTIES[[#This Row],[ENGINE_CLASS]]="MAGLEV","ELECTRIC",PROPERTIES[[#This Row],[ENGINE_CLASS]])</f>
        <v>RUNNING_COST_ELECTRIC</v>
      </c>
      <c r="V419" s="10" t="s">
        <v>1004</v>
      </c>
      <c r="W419" s="10" t="s">
        <v>1005</v>
      </c>
      <c r="X419" s="10" t="str">
        <f>SUBSTITUTE(SUBSTITUTE(PROPERTIES[[#This Row],[PURCHASECOST_VALUE]], "PURCHASECOST_", ""), "_VALUE", "")</f>
        <v>ELECTRICENGINE</v>
      </c>
      <c r="AP419"/>
      <c r="AQ419"/>
      <c r="AR419"/>
    </row>
    <row r="420" spans="1:44">
      <c r="A420" s="2" t="s">
        <v>445</v>
      </c>
      <c r="B420">
        <v>1960</v>
      </c>
      <c r="C420">
        <v>0</v>
      </c>
      <c r="D420" t="s">
        <v>74</v>
      </c>
      <c r="E420" t="s">
        <v>20</v>
      </c>
      <c r="F420">
        <v>0</v>
      </c>
      <c r="G420" s="10">
        <v>175</v>
      </c>
      <c r="H420">
        <v>8</v>
      </c>
      <c r="I420">
        <v>8</v>
      </c>
      <c r="J420" s="2" t="s">
        <v>20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>
        <v>4400</v>
      </c>
      <c r="O420">
        <v>113</v>
      </c>
      <c r="P420" s="2">
        <v>0.24</v>
      </c>
      <c r="Q420" s="6">
        <v>40</v>
      </c>
      <c r="R420" s="10">
        <v>0</v>
      </c>
      <c r="S420" s="10">
        <v>0</v>
      </c>
      <c r="T420" s="10"/>
      <c r="U420" t="str">
        <f>"RUNNING_COST_"&amp;IF(PROPERTIES[[#This Row],[ENGINE_CLASS]]="MAGLEV","ELECTRIC",PROPERTIES[[#This Row],[ENGINE_CLASS]])</f>
        <v>RUNNING_COST_ELECTRIC</v>
      </c>
      <c r="V420" s="10" t="s">
        <v>1004</v>
      </c>
      <c r="W420" s="10" t="s">
        <v>1005</v>
      </c>
      <c r="X420" s="10" t="str">
        <f>SUBSTITUTE(SUBSTITUTE(PROPERTIES[[#This Row],[PURCHASECOST_VALUE]], "PURCHASECOST_", ""), "_VALUE", "")</f>
        <v>ELECTRICENGINE</v>
      </c>
      <c r="AP420"/>
      <c r="AQ420"/>
      <c r="AR420"/>
    </row>
    <row r="421" spans="1:44">
      <c r="A421" s="2" t="s">
        <v>446</v>
      </c>
      <c r="B421">
        <v>1967</v>
      </c>
      <c r="C421">
        <v>0</v>
      </c>
      <c r="D421" t="s">
        <v>74</v>
      </c>
      <c r="E421" t="s">
        <v>20</v>
      </c>
      <c r="F421">
        <v>0</v>
      </c>
      <c r="G421" s="10">
        <v>78</v>
      </c>
      <c r="H421">
        <v>8</v>
      </c>
      <c r="I421">
        <v>8</v>
      </c>
      <c r="J421" s="2" t="s">
        <v>20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>
        <v>4624</v>
      </c>
      <c r="O421">
        <v>120</v>
      </c>
      <c r="P421" s="2">
        <v>0.25</v>
      </c>
      <c r="Q421" s="6">
        <v>40</v>
      </c>
      <c r="R421" s="10">
        <v>0</v>
      </c>
      <c r="S421" s="10">
        <v>0</v>
      </c>
      <c r="T421" s="10"/>
      <c r="U421" t="str">
        <f>"RUNNING_COST_"&amp;IF(PROPERTIES[[#This Row],[ENGINE_CLASS]]="MAGLEV","ELECTRIC",PROPERTIES[[#This Row],[ENGINE_CLASS]])</f>
        <v>RUNNING_COST_ELECTRIC</v>
      </c>
      <c r="V421" s="10" t="s">
        <v>1004</v>
      </c>
      <c r="W421" s="10" t="s">
        <v>1005</v>
      </c>
      <c r="X421" s="10" t="str">
        <f>SUBSTITUTE(SUBSTITUTE(PROPERTIES[[#This Row],[PURCHASECOST_VALUE]], "PURCHASECOST_", ""), "_VALUE", "")</f>
        <v>ELECTRICENGINE</v>
      </c>
      <c r="AP421"/>
      <c r="AQ421"/>
      <c r="AR421"/>
    </row>
    <row r="422" spans="1:44">
      <c r="A422" s="2" t="s">
        <v>447</v>
      </c>
      <c r="B422">
        <v>1963</v>
      </c>
      <c r="C422">
        <v>0</v>
      </c>
      <c r="D422" t="s">
        <v>74</v>
      </c>
      <c r="E422" t="s">
        <v>20</v>
      </c>
      <c r="F422">
        <v>0</v>
      </c>
      <c r="G422" s="10">
        <v>80</v>
      </c>
      <c r="H422">
        <v>8</v>
      </c>
      <c r="I422">
        <v>8</v>
      </c>
      <c r="J422" s="2" t="s">
        <v>20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>
        <v>2950</v>
      </c>
      <c r="O422">
        <v>120</v>
      </c>
      <c r="P422" s="2">
        <v>0.34</v>
      </c>
      <c r="Q422" s="6">
        <v>40</v>
      </c>
      <c r="R422" s="10">
        <v>0</v>
      </c>
      <c r="S422" s="10">
        <v>0</v>
      </c>
      <c r="T422" s="10"/>
      <c r="U422" t="str">
        <f>"RUNNING_COST_"&amp;IF(PROPERTIES[[#This Row],[ENGINE_CLASS]]="MAGLEV","ELECTRIC",PROPERTIES[[#This Row],[ENGINE_CLASS]])</f>
        <v>RUNNING_COST_ELECTRIC</v>
      </c>
      <c r="V422" s="10" t="s">
        <v>1004</v>
      </c>
      <c r="W422" s="10" t="s">
        <v>1005</v>
      </c>
      <c r="X422" s="10" t="str">
        <f>SUBSTITUTE(SUBSTITUTE(PROPERTIES[[#This Row],[PURCHASECOST_VALUE]], "PURCHASECOST_", ""), "_VALUE", "")</f>
        <v>ELECTRICENGINE</v>
      </c>
      <c r="AP422"/>
      <c r="AQ422"/>
      <c r="AR422"/>
    </row>
    <row r="423" spans="1:44">
      <c r="A423" s="2" t="s">
        <v>448</v>
      </c>
      <c r="B423">
        <v>1956</v>
      </c>
      <c r="C423">
        <v>0</v>
      </c>
      <c r="D423" t="s">
        <v>74</v>
      </c>
      <c r="E423" t="s">
        <v>20</v>
      </c>
      <c r="F423">
        <v>0</v>
      </c>
      <c r="G423" s="10">
        <v>72</v>
      </c>
      <c r="H423">
        <v>6</v>
      </c>
      <c r="I423">
        <v>6</v>
      </c>
      <c r="J423" s="2" t="s">
        <v>20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>
        <v>2790</v>
      </c>
      <c r="O423">
        <v>120</v>
      </c>
      <c r="P423" s="2">
        <v>0.27</v>
      </c>
      <c r="Q423" s="6">
        <v>40</v>
      </c>
      <c r="R423" s="10">
        <v>0</v>
      </c>
      <c r="S423" s="10">
        <v>0</v>
      </c>
      <c r="T423" s="10"/>
      <c r="U423" t="str">
        <f>"RUNNING_COST_"&amp;IF(PROPERTIES[[#This Row],[ENGINE_CLASS]]="MAGLEV","ELECTRIC",PROPERTIES[[#This Row],[ENGINE_CLASS]])</f>
        <v>RUNNING_COST_ELECTRIC</v>
      </c>
      <c r="V423" s="10" t="s">
        <v>1004</v>
      </c>
      <c r="W423" s="10" t="s">
        <v>1005</v>
      </c>
      <c r="X423" s="10" t="str">
        <f>SUBSTITUTE(SUBSTITUTE(PROPERTIES[[#This Row],[PURCHASECOST_VALUE]], "PURCHASECOST_", ""), "_VALUE", "")</f>
        <v>ELECTRICENGINE</v>
      </c>
      <c r="AP423"/>
      <c r="AQ423"/>
      <c r="AR423"/>
    </row>
    <row r="424" spans="1:44">
      <c r="A424" s="2" t="s">
        <v>449</v>
      </c>
      <c r="B424">
        <v>1974</v>
      </c>
      <c r="C424">
        <v>0</v>
      </c>
      <c r="D424" t="s">
        <v>74</v>
      </c>
      <c r="E424" t="s">
        <v>20</v>
      </c>
      <c r="F424">
        <v>0</v>
      </c>
      <c r="G424" s="10">
        <v>78</v>
      </c>
      <c r="H424">
        <v>8</v>
      </c>
      <c r="I424">
        <v>8</v>
      </c>
      <c r="J424" s="2" t="s">
        <v>20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>
        <v>4020</v>
      </c>
      <c r="O424">
        <v>100</v>
      </c>
      <c r="P424" s="2">
        <v>0.32</v>
      </c>
      <c r="Q424" s="6">
        <v>40</v>
      </c>
      <c r="R424" s="10">
        <v>0</v>
      </c>
      <c r="S424" s="10">
        <v>0</v>
      </c>
      <c r="T424" s="10"/>
      <c r="U424" t="str">
        <f>"RUNNING_COST_"&amp;IF(PROPERTIES[[#This Row],[ENGINE_CLASS]]="MAGLEV","ELECTRIC",PROPERTIES[[#This Row],[ENGINE_CLASS]])</f>
        <v>RUNNING_COST_ELECTRIC</v>
      </c>
      <c r="V424" s="10" t="s">
        <v>1004</v>
      </c>
      <c r="W424" s="10" t="s">
        <v>1005</v>
      </c>
      <c r="X424" s="10" t="str">
        <f>SUBSTITUTE(SUBSTITUTE(PROPERTIES[[#This Row],[PURCHASECOST_VALUE]], "PURCHASECOST_", ""), "_VALUE", "")</f>
        <v>ELECTRICENGINE</v>
      </c>
      <c r="AP424"/>
      <c r="AQ424"/>
      <c r="AR424"/>
    </row>
    <row r="425" spans="1:44">
      <c r="A425" s="2" t="s">
        <v>450</v>
      </c>
      <c r="B425">
        <v>2013</v>
      </c>
      <c r="C425">
        <v>0</v>
      </c>
      <c r="D425" t="s">
        <v>74</v>
      </c>
      <c r="E425" t="s">
        <v>20</v>
      </c>
      <c r="F425">
        <v>0</v>
      </c>
      <c r="G425" s="10">
        <v>86</v>
      </c>
      <c r="H425">
        <v>7</v>
      </c>
      <c r="I425">
        <v>7</v>
      </c>
      <c r="J425" s="2" t="s">
        <v>20</v>
      </c>
      <c r="K425">
        <f>_xlfn.XLOOKUP("LOADINGSPEEDDEF_"&amp;PROPERTIES[[#This Row],[LOADINGSPEED]],LOADINGSPEEDDEF[TYPE],LOADINGSPEEDDEF[SPEED])</f>
        <v>0</v>
      </c>
      <c r="L425" t="s">
        <v>21</v>
      </c>
      <c r="M425">
        <v>1</v>
      </c>
      <c r="N425">
        <v>4155</v>
      </c>
      <c r="O425">
        <v>100</v>
      </c>
      <c r="P425" s="2">
        <v>0.45</v>
      </c>
      <c r="Q425" s="6">
        <v>40</v>
      </c>
      <c r="R425" s="10">
        <v>0</v>
      </c>
      <c r="S425" s="10">
        <v>0</v>
      </c>
      <c r="T425" s="10"/>
      <c r="U425" t="str">
        <f>"RUNNING_COST_"&amp;IF(PROPERTIES[[#This Row],[ENGINE_CLASS]]="MAGLEV","ELECTRIC",PROPERTIES[[#This Row],[ENGINE_CLASS]])</f>
        <v>RUNNING_COST_ELECTRIC</v>
      </c>
      <c r="V425" s="10" t="s">
        <v>1004</v>
      </c>
      <c r="W425" s="10" t="s">
        <v>1005</v>
      </c>
      <c r="X425" s="10" t="str">
        <f>SUBSTITUTE(SUBSTITUTE(PROPERTIES[[#This Row],[PURCHASECOST_VALUE]], "PURCHASECOST_", ""), "_VALUE", "")</f>
        <v>ELECTRICENGINE</v>
      </c>
      <c r="AP425"/>
      <c r="AQ425"/>
      <c r="AR425"/>
    </row>
    <row r="426" spans="1:44">
      <c r="A426" s="2" t="s">
        <v>451</v>
      </c>
      <c r="B426">
        <v>2003</v>
      </c>
      <c r="C426">
        <v>0</v>
      </c>
      <c r="D426" t="s">
        <v>74</v>
      </c>
      <c r="E426" t="s">
        <v>20</v>
      </c>
      <c r="F426">
        <v>0</v>
      </c>
      <c r="G426" s="10">
        <v>80</v>
      </c>
      <c r="H426">
        <v>8</v>
      </c>
      <c r="I426">
        <v>8</v>
      </c>
      <c r="J426" s="2" t="s">
        <v>20</v>
      </c>
      <c r="K426">
        <f>_xlfn.XLOOKUP("LOADINGSPEEDDEF_"&amp;PROPERTIES[[#This Row],[LOADINGSPEED]],LOADINGSPEEDDEF[TYPE],LOADINGSPEEDDEF[SPEED])</f>
        <v>0</v>
      </c>
      <c r="L426" t="s">
        <v>21</v>
      </c>
      <c r="M426">
        <v>1</v>
      </c>
      <c r="N426">
        <v>7000</v>
      </c>
      <c r="O426">
        <v>150</v>
      </c>
      <c r="P426" s="2">
        <v>0.38</v>
      </c>
      <c r="Q426" s="6">
        <v>40</v>
      </c>
      <c r="R426" s="10">
        <v>0</v>
      </c>
      <c r="S426" s="10">
        <v>0</v>
      </c>
      <c r="T426" s="10"/>
      <c r="U426" t="str">
        <f>"RUNNING_COST_"&amp;IF(PROPERTIES[[#This Row],[ENGINE_CLASS]]="MAGLEV","ELECTRIC",PROPERTIES[[#This Row],[ENGINE_CLASS]])</f>
        <v>RUNNING_COST_ELECTRIC</v>
      </c>
      <c r="V426" s="10" t="s">
        <v>1004</v>
      </c>
      <c r="W426" s="10" t="s">
        <v>1005</v>
      </c>
      <c r="X426" s="10" t="str">
        <f>SUBSTITUTE(SUBSTITUTE(PROPERTIES[[#This Row],[PURCHASECOST_VALUE]], "PURCHASECOST_", ""), "_VALUE", "")</f>
        <v>ELECTRICENGINE</v>
      </c>
      <c r="AP426"/>
      <c r="AQ426"/>
      <c r="AR426"/>
    </row>
    <row r="427" spans="1:44">
      <c r="A427" s="2" t="s">
        <v>452</v>
      </c>
      <c r="B427">
        <v>2003</v>
      </c>
      <c r="C427">
        <v>0</v>
      </c>
      <c r="D427" t="s">
        <v>74</v>
      </c>
      <c r="E427" t="s">
        <v>20</v>
      </c>
      <c r="F427">
        <v>0</v>
      </c>
      <c r="G427" s="10">
        <v>90</v>
      </c>
      <c r="H427">
        <v>8</v>
      </c>
      <c r="I427">
        <v>8</v>
      </c>
      <c r="J427" s="2" t="s">
        <v>20</v>
      </c>
      <c r="K427">
        <f>_xlfn.XLOOKUP("LOADINGSPEEDDEF_"&amp;PROPERTIES[[#This Row],[LOADINGSPEED]],LOADINGSPEEDDEF[TYPE],LOADINGSPEEDDEF[SPEED])</f>
        <v>0</v>
      </c>
      <c r="L427" t="s">
        <v>21</v>
      </c>
      <c r="M427">
        <v>1</v>
      </c>
      <c r="N427">
        <v>6450</v>
      </c>
      <c r="O427">
        <v>160</v>
      </c>
      <c r="P427" s="2">
        <v>0.32</v>
      </c>
      <c r="Q427" s="6">
        <v>40</v>
      </c>
      <c r="R427" s="10">
        <v>0</v>
      </c>
      <c r="S427" s="10">
        <v>0</v>
      </c>
      <c r="T427" s="10"/>
      <c r="U427" t="str">
        <f>"RUNNING_COST_"&amp;IF(PROPERTIES[[#This Row],[ENGINE_CLASS]]="MAGLEV","ELECTRIC",PROPERTIES[[#This Row],[ENGINE_CLASS]])</f>
        <v>RUNNING_COST_ELECTRIC</v>
      </c>
      <c r="V427" s="10" t="s">
        <v>1004</v>
      </c>
      <c r="W427" s="10" t="s">
        <v>1005</v>
      </c>
      <c r="X427" s="10" t="str">
        <f>SUBSTITUTE(SUBSTITUTE(PROPERTIES[[#This Row],[PURCHASECOST_VALUE]], "PURCHASECOST_", ""), "_VALUE", "")</f>
        <v>ELECTRICENGINE</v>
      </c>
      <c r="AP427"/>
      <c r="AQ427"/>
      <c r="AR427"/>
    </row>
    <row r="428" spans="1:44">
      <c r="A428" s="2" t="s">
        <v>453</v>
      </c>
      <c r="B428">
        <v>1966</v>
      </c>
      <c r="C428">
        <v>0</v>
      </c>
      <c r="D428" t="s">
        <v>74</v>
      </c>
      <c r="E428" t="s">
        <v>20</v>
      </c>
      <c r="F428">
        <v>0</v>
      </c>
      <c r="G428" s="10">
        <v>85</v>
      </c>
      <c r="H428">
        <v>8</v>
      </c>
      <c r="I428">
        <v>8</v>
      </c>
      <c r="J428" s="2" t="s">
        <v>20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>
        <v>4130</v>
      </c>
      <c r="O428">
        <v>120</v>
      </c>
      <c r="P428" s="2">
        <v>0.28000000000000003</v>
      </c>
      <c r="Q428" s="6">
        <v>40</v>
      </c>
      <c r="R428" s="10">
        <v>0</v>
      </c>
      <c r="S428" s="10">
        <v>0</v>
      </c>
      <c r="T428" s="10"/>
      <c r="U428" t="str">
        <f>"RUNNING_COST_"&amp;IF(PROPERTIES[[#This Row],[ENGINE_CLASS]]="MAGLEV","ELECTRIC",PROPERTIES[[#This Row],[ENGINE_CLASS]])</f>
        <v>RUNNING_COST_ELECTRIC</v>
      </c>
      <c r="V428" s="10" t="s">
        <v>1004</v>
      </c>
      <c r="W428" s="10" t="s">
        <v>1005</v>
      </c>
      <c r="X428" s="10" t="str">
        <f>SUBSTITUTE(SUBSTITUTE(PROPERTIES[[#This Row],[PURCHASECOST_VALUE]], "PURCHASECOST_", ""), "_VALUE", "")</f>
        <v>ELECTRICENGINE</v>
      </c>
      <c r="AP428"/>
      <c r="AQ428"/>
      <c r="AR428"/>
    </row>
    <row r="429" spans="1:44">
      <c r="A429" s="2" t="s">
        <v>454</v>
      </c>
      <c r="B429">
        <v>1988</v>
      </c>
      <c r="C429">
        <v>0</v>
      </c>
      <c r="D429" t="s">
        <v>74</v>
      </c>
      <c r="E429" t="s">
        <v>20</v>
      </c>
      <c r="F429">
        <v>0</v>
      </c>
      <c r="G429" s="10">
        <v>77</v>
      </c>
      <c r="H429">
        <v>8</v>
      </c>
      <c r="I429">
        <v>8</v>
      </c>
      <c r="J429" s="2" t="s">
        <v>20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>
        <v>4600</v>
      </c>
      <c r="O429">
        <v>140</v>
      </c>
      <c r="P429" s="2">
        <v>0.3</v>
      </c>
      <c r="Q429" s="6">
        <v>40</v>
      </c>
      <c r="R429" s="10">
        <v>0</v>
      </c>
      <c r="S429" s="10">
        <v>0</v>
      </c>
      <c r="T429" s="10"/>
      <c r="U429" t="str">
        <f>"RUNNING_COST_"&amp;IF(PROPERTIES[[#This Row],[ENGINE_CLASS]]="MAGLEV","ELECTRIC",PROPERTIES[[#This Row],[ENGINE_CLASS]])</f>
        <v>RUNNING_COST_ELECTRIC</v>
      </c>
      <c r="V429" s="10" t="s">
        <v>1004</v>
      </c>
      <c r="W429" s="10" t="s">
        <v>1005</v>
      </c>
      <c r="X429" s="10" t="str">
        <f>SUBSTITUTE(SUBSTITUTE(PROPERTIES[[#This Row],[PURCHASECOST_VALUE]], "PURCHASECOST_", ""), "_VALUE", "")</f>
        <v>ELECTRICENGINE</v>
      </c>
      <c r="AP429"/>
      <c r="AQ429"/>
      <c r="AR429"/>
    </row>
    <row r="430" spans="1:44">
      <c r="A430" s="2" t="s">
        <v>455</v>
      </c>
      <c r="B430">
        <v>1978</v>
      </c>
      <c r="C430">
        <v>0</v>
      </c>
      <c r="D430" t="s">
        <v>74</v>
      </c>
      <c r="E430" t="s">
        <v>20</v>
      </c>
      <c r="F430">
        <v>0</v>
      </c>
      <c r="G430" s="10">
        <v>120</v>
      </c>
      <c r="H430">
        <v>8</v>
      </c>
      <c r="I430">
        <v>8</v>
      </c>
      <c r="J430" s="2" t="s">
        <v>20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>
        <v>6834</v>
      </c>
      <c r="O430">
        <v>120</v>
      </c>
      <c r="P430" s="2">
        <v>0.33</v>
      </c>
      <c r="Q430" s="6">
        <v>40</v>
      </c>
      <c r="R430" s="10">
        <v>0</v>
      </c>
      <c r="S430" s="10">
        <v>0</v>
      </c>
      <c r="T430" s="10"/>
      <c r="U430" t="str">
        <f>"RUNNING_COST_"&amp;IF(PROPERTIES[[#This Row],[ENGINE_CLASS]]="MAGLEV","ELECTRIC",PROPERTIES[[#This Row],[ENGINE_CLASS]])</f>
        <v>RUNNING_COST_ELECTRIC</v>
      </c>
      <c r="V430" s="10" t="s">
        <v>1004</v>
      </c>
      <c r="W430" s="10" t="s">
        <v>1005</v>
      </c>
      <c r="X430" s="10" t="str">
        <f>SUBSTITUTE(SUBSTITUTE(PROPERTIES[[#This Row],[PURCHASECOST_VALUE]], "PURCHASECOST_", ""), "_VALUE", "")</f>
        <v>ELECTRICENGINE</v>
      </c>
      <c r="AP430"/>
      <c r="AQ430"/>
      <c r="AR430"/>
    </row>
    <row r="431" spans="1:44">
      <c r="A431" s="2" t="s">
        <v>456</v>
      </c>
      <c r="B431">
        <v>1926</v>
      </c>
      <c r="C431">
        <v>0</v>
      </c>
      <c r="D431" t="s">
        <v>74</v>
      </c>
      <c r="E431" t="s">
        <v>20</v>
      </c>
      <c r="F431">
        <v>0</v>
      </c>
      <c r="G431" s="10">
        <v>72</v>
      </c>
      <c r="H431">
        <v>5</v>
      </c>
      <c r="I431">
        <v>5</v>
      </c>
      <c r="J431" s="2" t="s">
        <v>24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>
        <v>986</v>
      </c>
      <c r="O431">
        <v>90</v>
      </c>
      <c r="P431" s="2">
        <v>0.21</v>
      </c>
      <c r="Q431" s="6">
        <v>40</v>
      </c>
      <c r="R431" s="10">
        <v>0</v>
      </c>
      <c r="S431" s="10">
        <v>0</v>
      </c>
      <c r="T431" s="10"/>
      <c r="U431" t="str">
        <f>"RUNNING_COST_"&amp;IF(PROPERTIES[[#This Row],[ENGINE_CLASS]]="MAGLEV","ELECTRIC",PROPERTIES[[#This Row],[ENGINE_CLASS]])</f>
        <v>RUNNING_COST_ELECTRIC</v>
      </c>
      <c r="V431" s="10" t="s">
        <v>1004</v>
      </c>
      <c r="W431" s="10" t="s">
        <v>1005</v>
      </c>
      <c r="X431" s="10" t="str">
        <f>SUBSTITUTE(SUBSTITUTE(PROPERTIES[[#This Row],[PURCHASECOST_VALUE]], "PURCHASECOST_", ""), "_VALUE", "")</f>
        <v>ELECTRICENGINE</v>
      </c>
      <c r="AP431"/>
      <c r="AQ431"/>
      <c r="AR431"/>
    </row>
    <row r="432" spans="1:44">
      <c r="A432" s="2" t="s">
        <v>457</v>
      </c>
      <c r="B432">
        <v>1961</v>
      </c>
      <c r="C432">
        <v>0</v>
      </c>
      <c r="D432" t="s">
        <v>74</v>
      </c>
      <c r="E432" t="s">
        <v>20</v>
      </c>
      <c r="F432">
        <v>0</v>
      </c>
      <c r="G432" s="10">
        <v>81</v>
      </c>
      <c r="H432">
        <v>7</v>
      </c>
      <c r="I432">
        <v>7</v>
      </c>
      <c r="J432" s="2" t="s">
        <v>24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>
        <v>3200</v>
      </c>
      <c r="O432">
        <v>160</v>
      </c>
      <c r="P432" s="2">
        <v>0.27</v>
      </c>
      <c r="Q432" s="6">
        <v>40</v>
      </c>
      <c r="R432" s="10">
        <v>0</v>
      </c>
      <c r="S432" s="10">
        <v>0</v>
      </c>
      <c r="T432" s="10"/>
      <c r="U432" t="str">
        <f>"RUNNING_COST_"&amp;IF(PROPERTIES[[#This Row],[ENGINE_CLASS]]="MAGLEV","ELECTRIC",PROPERTIES[[#This Row],[ENGINE_CLASS]])</f>
        <v>RUNNING_COST_ELECTRIC</v>
      </c>
      <c r="V432" s="10" t="s">
        <v>1004</v>
      </c>
      <c r="W432" s="10" t="s">
        <v>1005</v>
      </c>
      <c r="X432" s="10" t="str">
        <f>SUBSTITUTE(SUBSTITUTE(PROPERTIES[[#This Row],[PURCHASECOST_VALUE]], "PURCHASECOST_", ""), "_VALUE", "")</f>
        <v>ELECTRICENGINE</v>
      </c>
      <c r="AP432"/>
      <c r="AQ432"/>
      <c r="AR432"/>
    </row>
    <row r="433" spans="1:44">
      <c r="A433" s="2" t="s">
        <v>458</v>
      </c>
      <c r="B433">
        <v>1982</v>
      </c>
      <c r="C433">
        <v>0</v>
      </c>
      <c r="D433" t="s">
        <v>74</v>
      </c>
      <c r="E433" t="s">
        <v>20</v>
      </c>
      <c r="F433">
        <v>0</v>
      </c>
      <c r="G433" s="10">
        <v>176</v>
      </c>
      <c r="H433">
        <v>8</v>
      </c>
      <c r="I433">
        <v>8</v>
      </c>
      <c r="J433" s="2" t="s">
        <v>20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>
        <v>6000</v>
      </c>
      <c r="O433">
        <v>145</v>
      </c>
      <c r="P433" s="2">
        <v>0.19</v>
      </c>
      <c r="Q433" s="6">
        <v>40</v>
      </c>
      <c r="R433" s="10">
        <v>0</v>
      </c>
      <c r="S433" s="10">
        <v>0</v>
      </c>
      <c r="T433" s="10"/>
      <c r="U433" t="str">
        <f>"RUNNING_COST_"&amp;IF(PROPERTIES[[#This Row],[ENGINE_CLASS]]="MAGLEV","ELECTRIC",PROPERTIES[[#This Row],[ENGINE_CLASS]])</f>
        <v>RUNNING_COST_ELECTRIC</v>
      </c>
      <c r="V433" s="10" t="s">
        <v>1004</v>
      </c>
      <c r="W433" s="10" t="s">
        <v>1005</v>
      </c>
      <c r="X433" s="10" t="str">
        <f>SUBSTITUTE(SUBSTITUTE(PROPERTIES[[#This Row],[PURCHASECOST_VALUE]], "PURCHASECOST_", ""), "_VALUE", "")</f>
        <v>ELECTRICENGINE</v>
      </c>
      <c r="AP433"/>
      <c r="AQ433"/>
      <c r="AR433"/>
    </row>
    <row r="434" spans="1:44">
      <c r="A434" s="2" t="s">
        <v>459</v>
      </c>
      <c r="B434">
        <v>2010</v>
      </c>
      <c r="C434">
        <v>0</v>
      </c>
      <c r="D434" t="s">
        <v>74</v>
      </c>
      <c r="E434" t="s">
        <v>20</v>
      </c>
      <c r="F434">
        <v>0</v>
      </c>
      <c r="G434" s="10">
        <v>91</v>
      </c>
      <c r="H434">
        <v>8</v>
      </c>
      <c r="I434">
        <v>8</v>
      </c>
      <c r="J434" s="2" t="s">
        <v>20</v>
      </c>
      <c r="K434">
        <f>_xlfn.XLOOKUP("LOADINGSPEEDDEF_"&amp;PROPERTIES[[#This Row],[LOADINGSPEED]],LOADINGSPEEDDEF[TYPE],LOADINGSPEEDDEF[SPEED])</f>
        <v>0</v>
      </c>
      <c r="L434" t="s">
        <v>21</v>
      </c>
      <c r="M434">
        <v>1</v>
      </c>
      <c r="N434">
        <v>7700</v>
      </c>
      <c r="O434">
        <v>200</v>
      </c>
      <c r="P434" s="2">
        <v>0.35</v>
      </c>
      <c r="Q434" s="6">
        <v>40</v>
      </c>
      <c r="R434" s="10">
        <v>0</v>
      </c>
      <c r="S434" s="10">
        <v>0</v>
      </c>
      <c r="T434" s="10"/>
      <c r="U434" t="str">
        <f>"RUNNING_COST_"&amp;IF(PROPERTIES[[#This Row],[ENGINE_CLASS]]="MAGLEV","ELECTRIC",PROPERTIES[[#This Row],[ENGINE_CLASS]])</f>
        <v>RUNNING_COST_ELECTRIC</v>
      </c>
      <c r="V434" s="10" t="s">
        <v>1004</v>
      </c>
      <c r="W434" s="10" t="s">
        <v>1005</v>
      </c>
      <c r="X434" s="10" t="str">
        <f>SUBSTITUTE(SUBSTITUTE(PROPERTIES[[#This Row],[PURCHASECOST_VALUE]], "PURCHASECOST_", ""), "_VALUE", "")</f>
        <v>ELECTRICENGINE</v>
      </c>
      <c r="AP434"/>
      <c r="AQ434"/>
      <c r="AR434"/>
    </row>
    <row r="435" spans="1:44">
      <c r="A435" s="2" t="s">
        <v>460</v>
      </c>
      <c r="B435">
        <v>1968</v>
      </c>
      <c r="C435">
        <v>0</v>
      </c>
      <c r="D435" t="s">
        <v>74</v>
      </c>
      <c r="E435" t="s">
        <v>20</v>
      </c>
      <c r="F435">
        <v>0</v>
      </c>
      <c r="G435" s="10">
        <v>55</v>
      </c>
      <c r="H435">
        <v>6</v>
      </c>
      <c r="I435">
        <v>6</v>
      </c>
      <c r="J435" s="2" t="s">
        <v>20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>
        <v>1290</v>
      </c>
      <c r="O435">
        <v>72</v>
      </c>
      <c r="P435" s="2">
        <v>0.32</v>
      </c>
      <c r="Q435" s="6">
        <v>40</v>
      </c>
      <c r="R435" s="10">
        <v>0</v>
      </c>
      <c r="S435" s="10">
        <v>0</v>
      </c>
      <c r="T435" s="10"/>
      <c r="U435" t="str">
        <f>"RUNNING_COST_"&amp;IF(PROPERTIES[[#This Row],[ENGINE_CLASS]]="MAGLEV","ELECTRIC",PROPERTIES[[#This Row],[ENGINE_CLASS]])</f>
        <v>RUNNING_COST_ELECTRIC</v>
      </c>
      <c r="V435" s="10" t="s">
        <v>1004</v>
      </c>
      <c r="W435" s="10" t="s">
        <v>1005</v>
      </c>
      <c r="X435" s="10" t="str">
        <f>SUBSTITUTE(SUBSTITUTE(PROPERTIES[[#This Row],[PURCHASECOST_VALUE]], "PURCHASECOST_", ""), "_VALUE", "")</f>
        <v>ELECTRICENGINE</v>
      </c>
      <c r="AP435"/>
      <c r="AQ435"/>
      <c r="AR435"/>
    </row>
    <row r="436" spans="1:44">
      <c r="A436" s="2" t="s">
        <v>461</v>
      </c>
      <c r="B436">
        <v>1983</v>
      </c>
      <c r="C436">
        <v>0</v>
      </c>
      <c r="D436" t="s">
        <v>74</v>
      </c>
      <c r="E436" t="s">
        <v>20</v>
      </c>
      <c r="F436">
        <v>0</v>
      </c>
      <c r="G436" s="10">
        <v>180</v>
      </c>
      <c r="H436">
        <v>8</v>
      </c>
      <c r="I436">
        <v>8</v>
      </c>
      <c r="J436" s="2" t="s">
        <v>20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>
        <v>6000</v>
      </c>
      <c r="O436">
        <v>110</v>
      </c>
      <c r="P436" s="2">
        <v>0.22</v>
      </c>
      <c r="Q436" s="6">
        <v>40</v>
      </c>
      <c r="R436" s="10">
        <v>0</v>
      </c>
      <c r="S436" s="10">
        <v>0</v>
      </c>
      <c r="T436" s="10"/>
      <c r="U436" t="str">
        <f>"RUNNING_COST_"&amp;IF(PROPERTIES[[#This Row],[ENGINE_CLASS]]="MAGLEV","ELECTRIC",PROPERTIES[[#This Row],[ENGINE_CLASS]])</f>
        <v>RUNNING_COST_ELECTRIC</v>
      </c>
      <c r="V436" s="10" t="s">
        <v>1004</v>
      </c>
      <c r="W436" s="10" t="s">
        <v>1005</v>
      </c>
      <c r="X436" s="10" t="str">
        <f>SUBSTITUTE(SUBSTITUTE(PROPERTIES[[#This Row],[PURCHASECOST_VALUE]], "PURCHASECOST_", ""), "_VALUE", "")</f>
        <v>ELECTRICENGINE</v>
      </c>
      <c r="AP436"/>
      <c r="AQ436"/>
      <c r="AR436"/>
    </row>
    <row r="437" spans="1:44">
      <c r="A437" s="2" t="s">
        <v>462</v>
      </c>
      <c r="B437">
        <v>1976</v>
      </c>
      <c r="C437">
        <v>0</v>
      </c>
      <c r="D437" t="s">
        <v>74</v>
      </c>
      <c r="E437" t="s">
        <v>20</v>
      </c>
      <c r="F437">
        <v>0</v>
      </c>
      <c r="G437" s="10">
        <v>90</v>
      </c>
      <c r="H437">
        <v>8</v>
      </c>
      <c r="I437">
        <v>8</v>
      </c>
      <c r="J437" s="2" t="s">
        <v>20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>
        <v>5842</v>
      </c>
      <c r="O437">
        <v>160</v>
      </c>
      <c r="P437" s="2">
        <v>0.33</v>
      </c>
      <c r="Q437" s="6">
        <v>40</v>
      </c>
      <c r="R437" s="10">
        <v>0</v>
      </c>
      <c r="S437" s="10">
        <v>0</v>
      </c>
      <c r="T437" s="10"/>
      <c r="U437" t="str">
        <f>"RUNNING_COST_"&amp;IF(PROPERTIES[[#This Row],[ENGINE_CLASS]]="MAGLEV","ELECTRIC",PROPERTIES[[#This Row],[ENGINE_CLASS]])</f>
        <v>RUNNING_COST_ELECTRIC</v>
      </c>
      <c r="V437" s="10" t="s">
        <v>1004</v>
      </c>
      <c r="W437" s="10" t="s">
        <v>1005</v>
      </c>
      <c r="X437" s="10" t="str">
        <f>SUBSTITUTE(SUBSTITUTE(PROPERTIES[[#This Row],[PURCHASECOST_VALUE]], "PURCHASECOST_", ""), "_VALUE", "")</f>
        <v>ELECTRICENGINE</v>
      </c>
      <c r="AP437"/>
      <c r="AQ437"/>
      <c r="AR437"/>
    </row>
    <row r="438" spans="1:44">
      <c r="A438" s="2" t="s">
        <v>463</v>
      </c>
      <c r="B438">
        <v>1989</v>
      </c>
      <c r="C438">
        <v>0</v>
      </c>
      <c r="D438" t="s">
        <v>74</v>
      </c>
      <c r="E438" t="s">
        <v>20</v>
      </c>
      <c r="F438">
        <v>0</v>
      </c>
      <c r="G438" s="10">
        <v>90</v>
      </c>
      <c r="H438">
        <v>8</v>
      </c>
      <c r="I438">
        <v>8</v>
      </c>
      <c r="J438" s="2" t="s">
        <v>20</v>
      </c>
      <c r="K438">
        <f>_xlfn.XLOOKUP("LOADINGSPEEDDEF_"&amp;PROPERTIES[[#This Row],[LOADINGSPEED]],LOADINGSPEEDDEF[TYPE],LOADINGSPEEDDEF[SPEED])</f>
        <v>0</v>
      </c>
      <c r="L438" t="s">
        <v>21</v>
      </c>
      <c r="M438">
        <v>1</v>
      </c>
      <c r="N438">
        <v>7504</v>
      </c>
      <c r="O438">
        <v>200</v>
      </c>
      <c r="P438" s="2">
        <v>0.36</v>
      </c>
      <c r="Q438" s="6">
        <v>40</v>
      </c>
      <c r="R438" s="10">
        <v>0</v>
      </c>
      <c r="S438" s="10">
        <v>0</v>
      </c>
      <c r="T438" s="10"/>
      <c r="U438" t="str">
        <f>"RUNNING_COST_"&amp;IF(PROPERTIES[[#This Row],[ENGINE_CLASS]]="MAGLEV","ELECTRIC",PROPERTIES[[#This Row],[ENGINE_CLASS]])</f>
        <v>RUNNING_COST_ELECTRIC</v>
      </c>
      <c r="V438" s="10" t="s">
        <v>1004</v>
      </c>
      <c r="W438" s="10" t="s">
        <v>1005</v>
      </c>
      <c r="X438" s="10" t="str">
        <f>SUBSTITUTE(SUBSTITUTE(PROPERTIES[[#This Row],[PURCHASECOST_VALUE]], "PURCHASECOST_", ""), "_VALUE", "")</f>
        <v>ELECTRICENGINE</v>
      </c>
      <c r="AP438"/>
      <c r="AQ438"/>
      <c r="AR438"/>
    </row>
    <row r="439" spans="1:44">
      <c r="A439" s="2" t="s">
        <v>464</v>
      </c>
      <c r="B439">
        <v>1964</v>
      </c>
      <c r="C439">
        <v>0</v>
      </c>
      <c r="D439" t="s">
        <v>74</v>
      </c>
      <c r="E439" t="s">
        <v>20</v>
      </c>
      <c r="F439">
        <v>0</v>
      </c>
      <c r="G439" s="10">
        <v>79</v>
      </c>
      <c r="H439">
        <v>8</v>
      </c>
      <c r="I439">
        <v>8</v>
      </c>
      <c r="J439" s="2" t="s">
        <v>20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>
        <v>3940</v>
      </c>
      <c r="O439">
        <v>100</v>
      </c>
      <c r="P439" s="2">
        <v>0.42</v>
      </c>
      <c r="Q439" s="6">
        <v>40</v>
      </c>
      <c r="R439" s="10">
        <v>0</v>
      </c>
      <c r="S439" s="10">
        <v>0</v>
      </c>
      <c r="T439" s="10"/>
      <c r="U439" t="str">
        <f>"RUNNING_COST_"&amp;IF(PROPERTIES[[#This Row],[ENGINE_CLASS]]="MAGLEV","ELECTRIC",PROPERTIES[[#This Row],[ENGINE_CLASS]])</f>
        <v>RUNNING_COST_ELECTRIC</v>
      </c>
      <c r="V439" s="10" t="s">
        <v>1004</v>
      </c>
      <c r="W439" s="10" t="s">
        <v>1005</v>
      </c>
      <c r="X439" s="10" t="str">
        <f>SUBSTITUTE(SUBSTITUTE(PROPERTIES[[#This Row],[PURCHASECOST_VALUE]], "PURCHASECOST_", ""), "_VALUE", "")</f>
        <v>ELECTRICENGINE</v>
      </c>
      <c r="AP439"/>
      <c r="AQ439"/>
      <c r="AR439"/>
    </row>
    <row r="440" spans="1:44">
      <c r="A440" s="2" t="s">
        <v>465</v>
      </c>
      <c r="B440">
        <v>2000</v>
      </c>
      <c r="C440">
        <v>0</v>
      </c>
      <c r="D440" t="s">
        <v>74</v>
      </c>
      <c r="E440" t="s">
        <v>20</v>
      </c>
      <c r="F440">
        <v>0</v>
      </c>
      <c r="G440" s="10">
        <v>86</v>
      </c>
      <c r="H440">
        <v>8</v>
      </c>
      <c r="I440">
        <v>8</v>
      </c>
      <c r="J440" s="2" t="s">
        <v>20</v>
      </c>
      <c r="K440">
        <f>_xlfn.XLOOKUP("LOADINGSPEEDDEF_"&amp;PROPERTIES[[#This Row],[LOADINGSPEED]],LOADINGSPEEDDEF[TYPE],LOADINGSPEEDDEF[SPEED])</f>
        <v>0</v>
      </c>
      <c r="L440" t="s">
        <v>21</v>
      </c>
      <c r="M440">
        <v>1</v>
      </c>
      <c r="N440">
        <v>11266</v>
      </c>
      <c r="O440">
        <v>230</v>
      </c>
      <c r="P440" s="2">
        <v>0.35</v>
      </c>
      <c r="Q440" s="6">
        <v>40</v>
      </c>
      <c r="R440" s="10">
        <v>0</v>
      </c>
      <c r="S440" s="10">
        <v>0</v>
      </c>
      <c r="T440" s="10"/>
      <c r="U440" t="str">
        <f>"RUNNING_COST_"&amp;IF(PROPERTIES[[#This Row],[ENGINE_CLASS]]="MAGLEV","ELECTRIC",PROPERTIES[[#This Row],[ENGINE_CLASS]])</f>
        <v>RUNNING_COST_ELECTRIC</v>
      </c>
      <c r="V440" s="10" t="s">
        <v>1004</v>
      </c>
      <c r="W440" s="10" t="s">
        <v>1005</v>
      </c>
      <c r="X440" s="10" t="str">
        <f>SUBSTITUTE(SUBSTITUTE(PROPERTIES[[#This Row],[PURCHASECOST_VALUE]], "PURCHASECOST_", ""), "_VALUE", "")</f>
        <v>ELECTRICENGINE</v>
      </c>
      <c r="AP440"/>
      <c r="AQ440"/>
      <c r="AR440"/>
    </row>
    <row r="441" spans="1:44">
      <c r="A441" s="2" t="s">
        <v>466</v>
      </c>
      <c r="B441">
        <v>1997</v>
      </c>
      <c r="C441">
        <v>0</v>
      </c>
      <c r="D441" t="s">
        <v>74</v>
      </c>
      <c r="E441" t="s">
        <v>20</v>
      </c>
      <c r="F441">
        <v>0</v>
      </c>
      <c r="G441" s="10">
        <v>134</v>
      </c>
      <c r="H441">
        <v>8</v>
      </c>
      <c r="I441">
        <v>16</v>
      </c>
      <c r="J441" s="2" t="s">
        <v>20</v>
      </c>
      <c r="K441">
        <f>_xlfn.XLOOKUP("LOADINGSPEEDDEF_"&amp;PROPERTIES[[#This Row],[LOADINGSPEED]],LOADINGSPEEDDEF[TYPE],LOADINGSPEEDDEF[SPEED])</f>
        <v>0</v>
      </c>
      <c r="L441" t="s">
        <v>21</v>
      </c>
      <c r="M441">
        <v>1</v>
      </c>
      <c r="N441">
        <v>5350</v>
      </c>
      <c r="O441">
        <v>110</v>
      </c>
      <c r="P441" s="2">
        <v>0.18</v>
      </c>
      <c r="Q441" s="6">
        <v>40</v>
      </c>
      <c r="R441" s="10">
        <v>0</v>
      </c>
      <c r="S441" s="10">
        <v>8</v>
      </c>
      <c r="T441" s="10"/>
      <c r="U441" t="str">
        <f>"RUNNING_COST_"&amp;IF(PROPERTIES[[#This Row],[ENGINE_CLASS]]="MAGLEV","ELECTRIC",PROPERTIES[[#This Row],[ENGINE_CLASS]])</f>
        <v>RUNNING_COST_ELECTRIC</v>
      </c>
      <c r="V441" s="10" t="s">
        <v>1004</v>
      </c>
      <c r="W441" s="10" t="s">
        <v>1005</v>
      </c>
      <c r="X441" s="10" t="str">
        <f>SUBSTITUTE(SUBSTITUTE(PROPERTIES[[#This Row],[PURCHASECOST_VALUE]], "PURCHASECOST_", ""), "_VALUE", "")</f>
        <v>ELECTRICENGINE</v>
      </c>
      <c r="AP441"/>
      <c r="AQ441"/>
      <c r="AR441"/>
    </row>
    <row r="442" spans="1:44">
      <c r="A442" s="2" t="s">
        <v>467</v>
      </c>
      <c r="B442">
        <v>1978</v>
      </c>
      <c r="C442">
        <v>0</v>
      </c>
      <c r="D442" t="s">
        <v>74</v>
      </c>
      <c r="E442" t="s">
        <v>20</v>
      </c>
      <c r="F442">
        <v>0</v>
      </c>
      <c r="G442" s="10">
        <v>92</v>
      </c>
      <c r="H442">
        <v>7</v>
      </c>
      <c r="I442">
        <v>7</v>
      </c>
      <c r="J442" s="2" t="s">
        <v>20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>
        <v>5790</v>
      </c>
      <c r="O442">
        <v>201</v>
      </c>
      <c r="P442" s="2">
        <v>0.26</v>
      </c>
      <c r="Q442" s="6">
        <v>40</v>
      </c>
      <c r="R442" s="10">
        <v>0</v>
      </c>
      <c r="S442" s="10">
        <v>0</v>
      </c>
      <c r="T442" s="10"/>
      <c r="U442" t="str">
        <f>"RUNNING_COST_"&amp;IF(PROPERTIES[[#This Row],[ENGINE_CLASS]]="MAGLEV","ELECTRIC",PROPERTIES[[#This Row],[ENGINE_CLASS]])</f>
        <v>RUNNING_COST_ELECTRIC</v>
      </c>
      <c r="V442" s="10" t="s">
        <v>1004</v>
      </c>
      <c r="W442" s="10" t="s">
        <v>1005</v>
      </c>
      <c r="X442" s="10" t="str">
        <f>SUBSTITUTE(SUBSTITUTE(PROPERTIES[[#This Row],[PURCHASECOST_VALUE]], "PURCHASECOST_", ""), "_VALUE", "")</f>
        <v>ELECTRICENGINE</v>
      </c>
      <c r="AP442"/>
      <c r="AQ442"/>
      <c r="AR442"/>
    </row>
    <row r="443" spans="1:44">
      <c r="A443" s="2" t="s">
        <v>468</v>
      </c>
      <c r="B443">
        <v>1999</v>
      </c>
      <c r="C443">
        <v>0</v>
      </c>
      <c r="D443" t="s">
        <v>74</v>
      </c>
      <c r="E443" t="s">
        <v>20</v>
      </c>
      <c r="F443">
        <v>0</v>
      </c>
      <c r="G443" s="10">
        <v>99</v>
      </c>
      <c r="H443">
        <v>8</v>
      </c>
      <c r="I443">
        <v>8</v>
      </c>
      <c r="J443" s="2" t="s">
        <v>24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>
        <v>8000</v>
      </c>
      <c r="O443">
        <v>217</v>
      </c>
      <c r="P443" s="2">
        <v>0.25</v>
      </c>
      <c r="Q443" s="6">
        <v>40</v>
      </c>
      <c r="R443" s="10">
        <v>0</v>
      </c>
      <c r="S443" s="10">
        <v>0</v>
      </c>
      <c r="T443" s="10"/>
      <c r="U443" t="str">
        <f>"RUNNING_COST_"&amp;IF(PROPERTIES[[#This Row],[ENGINE_CLASS]]="MAGLEV","ELECTRIC",PROPERTIES[[#This Row],[ENGINE_CLASS]])</f>
        <v>RUNNING_COST_ELECTRIC</v>
      </c>
      <c r="V443" s="10" t="s">
        <v>1004</v>
      </c>
      <c r="W443" s="10" t="s">
        <v>1005</v>
      </c>
      <c r="X443" s="10" t="str">
        <f>SUBSTITUTE(SUBSTITUTE(PROPERTIES[[#This Row],[PURCHASECOST_VALUE]], "PURCHASECOST_", ""), "_VALUE", "")</f>
        <v>ELECTRICENGINE</v>
      </c>
      <c r="AP443"/>
      <c r="AQ443"/>
      <c r="AR443"/>
    </row>
    <row r="444" spans="1:44">
      <c r="A444" s="2" t="s">
        <v>469</v>
      </c>
      <c r="B444">
        <v>2008</v>
      </c>
      <c r="C444">
        <v>0</v>
      </c>
      <c r="D444" t="s">
        <v>74</v>
      </c>
      <c r="E444" t="s">
        <v>20</v>
      </c>
      <c r="F444">
        <v>0</v>
      </c>
      <c r="G444" s="10">
        <v>88</v>
      </c>
      <c r="H444">
        <v>8</v>
      </c>
      <c r="I444">
        <v>8</v>
      </c>
      <c r="J444" s="2" t="s">
        <v>20</v>
      </c>
      <c r="K444">
        <f>_xlfn.XLOOKUP("LOADINGSPEEDDEF_"&amp;PROPERTIES[[#This Row],[LOADINGSPEED]],LOADINGSPEEDDEF[TYPE],LOADINGSPEEDDEF[SPEED])</f>
        <v>0</v>
      </c>
      <c r="L444" t="s">
        <v>21</v>
      </c>
      <c r="M444">
        <v>1</v>
      </c>
      <c r="N444">
        <v>8583</v>
      </c>
      <c r="O444">
        <v>200</v>
      </c>
      <c r="P444" s="2">
        <v>0.34</v>
      </c>
      <c r="Q444" s="6">
        <v>40</v>
      </c>
      <c r="R444" s="10">
        <v>0</v>
      </c>
      <c r="S444" s="10">
        <v>0</v>
      </c>
      <c r="T444" s="10"/>
      <c r="U444" t="str">
        <f>"RUNNING_COST_"&amp;IF(PROPERTIES[[#This Row],[ENGINE_CLASS]]="MAGLEV","ELECTRIC",PROPERTIES[[#This Row],[ENGINE_CLASS]])</f>
        <v>RUNNING_COST_ELECTRIC</v>
      </c>
      <c r="V444" s="10" t="s">
        <v>1004</v>
      </c>
      <c r="W444" s="10" t="s">
        <v>1005</v>
      </c>
      <c r="X444" s="10" t="str">
        <f>SUBSTITUTE(SUBSTITUTE(PROPERTIES[[#This Row],[PURCHASECOST_VALUE]], "PURCHASECOST_", ""), "_VALUE", "")</f>
        <v>ELECTRICENGINE</v>
      </c>
      <c r="AP444"/>
      <c r="AQ444"/>
      <c r="AR444"/>
    </row>
    <row r="445" spans="1:44">
      <c r="A445" s="2" t="s">
        <v>470</v>
      </c>
      <c r="B445">
        <v>1992</v>
      </c>
      <c r="C445">
        <v>0</v>
      </c>
      <c r="D445" t="s">
        <v>74</v>
      </c>
      <c r="E445" t="s">
        <v>20</v>
      </c>
      <c r="F445">
        <v>0</v>
      </c>
      <c r="G445" s="10">
        <v>90</v>
      </c>
      <c r="H445">
        <v>8</v>
      </c>
      <c r="I445">
        <v>8</v>
      </c>
      <c r="J445" s="2" t="s">
        <v>20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>
        <v>7700</v>
      </c>
      <c r="O445">
        <v>220</v>
      </c>
      <c r="P445" s="2">
        <v>0.33</v>
      </c>
      <c r="Q445" s="6">
        <v>40</v>
      </c>
      <c r="R445" s="10">
        <v>0</v>
      </c>
      <c r="S445" s="10">
        <v>0</v>
      </c>
      <c r="T445" s="10"/>
      <c r="U445" t="str">
        <f>"RUNNING_COST_"&amp;IF(PROPERTIES[[#This Row],[ENGINE_CLASS]]="MAGLEV","ELECTRIC",PROPERTIES[[#This Row],[ENGINE_CLASS]])</f>
        <v>RUNNING_COST_ELECTRIC</v>
      </c>
      <c r="V445" s="10" t="s">
        <v>1004</v>
      </c>
      <c r="W445" s="10" t="s">
        <v>1005</v>
      </c>
      <c r="X445" s="10" t="str">
        <f>SUBSTITUTE(SUBSTITUTE(PROPERTIES[[#This Row],[PURCHASECOST_VALUE]], "PURCHASECOST_", ""), "_VALUE", "")</f>
        <v>ELECTRICENGINE</v>
      </c>
      <c r="AP445"/>
      <c r="AQ445"/>
      <c r="AR445"/>
    </row>
    <row r="446" spans="1:44">
      <c r="A446" s="2" t="s">
        <v>471</v>
      </c>
      <c r="B446">
        <v>2000</v>
      </c>
      <c r="C446">
        <v>0</v>
      </c>
      <c r="D446" t="s">
        <v>74</v>
      </c>
      <c r="E446" t="s">
        <v>20</v>
      </c>
      <c r="F446">
        <v>0</v>
      </c>
      <c r="G446" s="10">
        <v>84</v>
      </c>
      <c r="H446">
        <v>8</v>
      </c>
      <c r="I446">
        <v>8</v>
      </c>
      <c r="J446" s="2" t="s">
        <v>20</v>
      </c>
      <c r="K446">
        <f>_xlfn.XLOOKUP("LOADINGSPEEDDEF_"&amp;PROPERTIES[[#This Row],[LOADINGSPEED]],LOADINGSPEEDDEF[TYPE],LOADINGSPEEDDEF[SPEED])</f>
        <v>0</v>
      </c>
      <c r="L446" t="s">
        <v>21</v>
      </c>
      <c r="M446">
        <v>1</v>
      </c>
      <c r="N446">
        <v>5600</v>
      </c>
      <c r="O446">
        <v>140</v>
      </c>
      <c r="P446" s="2">
        <v>0.35</v>
      </c>
      <c r="Q446" s="6">
        <v>40</v>
      </c>
      <c r="R446" s="10">
        <v>0</v>
      </c>
      <c r="S446" s="10">
        <v>0</v>
      </c>
      <c r="T446" s="10"/>
      <c r="U446" t="str">
        <f>"RUNNING_COST_"&amp;IF(PROPERTIES[[#This Row],[ENGINE_CLASS]]="MAGLEV","ELECTRIC",PROPERTIES[[#This Row],[ENGINE_CLASS]])</f>
        <v>RUNNING_COST_ELECTRIC</v>
      </c>
      <c r="V446" s="10" t="s">
        <v>1004</v>
      </c>
      <c r="W446" s="10" t="s">
        <v>1005</v>
      </c>
      <c r="X446" s="10" t="str">
        <f>SUBSTITUTE(SUBSTITUTE(PROPERTIES[[#This Row],[PURCHASECOST_VALUE]], "PURCHASECOST_", ""), "_VALUE", "")</f>
        <v>ELECTRICENGINE</v>
      </c>
      <c r="AP446"/>
      <c r="AQ446"/>
      <c r="AR446"/>
    </row>
    <row r="447" spans="1:44">
      <c r="A447" s="2" t="s">
        <v>472</v>
      </c>
      <c r="B447">
        <v>1908</v>
      </c>
      <c r="C447">
        <v>0</v>
      </c>
      <c r="D447" t="s">
        <v>74</v>
      </c>
      <c r="E447" t="s">
        <v>20</v>
      </c>
      <c r="F447">
        <v>0</v>
      </c>
      <c r="G447" s="10">
        <v>63</v>
      </c>
      <c r="H447">
        <v>6</v>
      </c>
      <c r="I447">
        <v>6</v>
      </c>
      <c r="J447" s="2" t="s">
        <v>20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>
        <v>2000</v>
      </c>
      <c r="O447">
        <v>50</v>
      </c>
      <c r="P447" s="2">
        <v>0.16</v>
      </c>
      <c r="Q447" s="6">
        <v>40</v>
      </c>
      <c r="R447" s="10">
        <v>0</v>
      </c>
      <c r="S447" s="10">
        <v>0</v>
      </c>
      <c r="T447" s="10"/>
      <c r="U447" t="str">
        <f>"RUNNING_COST_"&amp;IF(PROPERTIES[[#This Row],[ENGINE_CLASS]]="MAGLEV","ELECTRIC",PROPERTIES[[#This Row],[ENGINE_CLASS]])</f>
        <v>RUNNING_COST_ELECTRIC</v>
      </c>
      <c r="V447" s="10" t="s">
        <v>1004</v>
      </c>
      <c r="W447" s="10" t="s">
        <v>1005</v>
      </c>
      <c r="X447" s="10" t="str">
        <f>SUBSTITUTE(SUBSTITUTE(PROPERTIES[[#This Row],[PURCHASECOST_VALUE]], "PURCHASECOST_", ""), "_VALUE", "")</f>
        <v>ELECTRICENGINE</v>
      </c>
      <c r="AP447"/>
      <c r="AQ447"/>
      <c r="AR447"/>
    </row>
    <row r="448" spans="1:44">
      <c r="A448" s="2" t="s">
        <v>473</v>
      </c>
      <c r="B448">
        <v>1967</v>
      </c>
      <c r="C448">
        <v>0</v>
      </c>
      <c r="D448" t="s">
        <v>74</v>
      </c>
      <c r="E448" t="s">
        <v>20</v>
      </c>
      <c r="F448">
        <v>0</v>
      </c>
      <c r="G448" s="10">
        <v>101</v>
      </c>
      <c r="H448">
        <v>7</v>
      </c>
      <c r="I448">
        <v>7</v>
      </c>
      <c r="J448" s="2" t="s">
        <v>24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>
        <v>3420</v>
      </c>
      <c r="O448">
        <v>110</v>
      </c>
      <c r="P448" s="2">
        <v>0.28999999999999998</v>
      </c>
      <c r="Q448" s="6">
        <v>40</v>
      </c>
      <c r="R448" s="10">
        <v>0</v>
      </c>
      <c r="S448" s="10">
        <v>0</v>
      </c>
      <c r="T448" s="10"/>
      <c r="U448" t="str">
        <f>"RUNNING_COST_"&amp;IF(PROPERTIES[[#This Row],[ENGINE_CLASS]]="MAGLEV","ELECTRIC",PROPERTIES[[#This Row],[ENGINE_CLASS]])</f>
        <v>RUNNING_COST_ELECTRIC</v>
      </c>
      <c r="V448" s="10" t="s">
        <v>1004</v>
      </c>
      <c r="W448" s="10" t="s">
        <v>1005</v>
      </c>
      <c r="X448" s="10" t="str">
        <f>SUBSTITUTE(SUBSTITUTE(PROPERTIES[[#This Row],[PURCHASECOST_VALUE]], "PURCHASECOST_", ""), "_VALUE", "")</f>
        <v>ELECTRICENGINE</v>
      </c>
      <c r="AP448"/>
      <c r="AQ448"/>
      <c r="AR448"/>
    </row>
    <row r="449" spans="1:44">
      <c r="A449" s="2" t="s">
        <v>474</v>
      </c>
      <c r="B449">
        <v>1993</v>
      </c>
      <c r="C449">
        <v>0</v>
      </c>
      <c r="D449" t="s">
        <v>74</v>
      </c>
      <c r="E449" t="s">
        <v>20</v>
      </c>
      <c r="F449">
        <v>0</v>
      </c>
      <c r="G449" s="10">
        <v>126</v>
      </c>
      <c r="H449">
        <v>8</v>
      </c>
      <c r="I449">
        <v>8</v>
      </c>
      <c r="J449" s="2" t="s">
        <v>20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>
        <v>6760</v>
      </c>
      <c r="O449">
        <v>140</v>
      </c>
      <c r="P449" s="2">
        <v>0.28999999999999998</v>
      </c>
      <c r="Q449" s="6">
        <v>40</v>
      </c>
      <c r="R449" s="10">
        <v>0</v>
      </c>
      <c r="S449" s="10">
        <v>0</v>
      </c>
      <c r="T449" s="10"/>
      <c r="U449" t="str">
        <f>"RUNNING_COST_"&amp;IF(PROPERTIES[[#This Row],[ENGINE_CLASS]]="MAGLEV","ELECTRIC",PROPERTIES[[#This Row],[ENGINE_CLASS]])</f>
        <v>RUNNING_COST_ELECTRIC</v>
      </c>
      <c r="V449" s="10" t="s">
        <v>1004</v>
      </c>
      <c r="W449" s="10" t="s">
        <v>1005</v>
      </c>
      <c r="X449" s="10" t="str">
        <f>SUBSTITUTE(SUBSTITUTE(PROPERTIES[[#This Row],[PURCHASECOST_VALUE]], "PURCHASECOST_", ""), "_VALUE", "")</f>
        <v>ELECTRICENGINE</v>
      </c>
      <c r="AP449"/>
      <c r="AQ449"/>
      <c r="AR449"/>
    </row>
    <row r="450" spans="1:44">
      <c r="A450" s="2" t="s">
        <v>475</v>
      </c>
      <c r="B450">
        <v>2012</v>
      </c>
      <c r="C450">
        <v>0</v>
      </c>
      <c r="D450" t="s">
        <v>74</v>
      </c>
      <c r="E450" t="s">
        <v>20</v>
      </c>
      <c r="F450">
        <v>0</v>
      </c>
      <c r="G450" s="10">
        <v>98</v>
      </c>
      <c r="H450">
        <v>8</v>
      </c>
      <c r="I450">
        <v>8</v>
      </c>
      <c r="J450" s="2" t="s">
        <v>20</v>
      </c>
      <c r="K450">
        <f>_xlfn.XLOOKUP("LOADINGSPEEDDEF_"&amp;PROPERTIES[[#This Row],[LOADINGSPEED]],LOADINGSPEEDDEF[TYPE],LOADINGSPEEDDEF[SPEED])</f>
        <v>0</v>
      </c>
      <c r="L450" t="s">
        <v>21</v>
      </c>
      <c r="M450">
        <v>1</v>
      </c>
      <c r="N450">
        <v>8600</v>
      </c>
      <c r="O450">
        <v>220</v>
      </c>
      <c r="P450" s="2">
        <v>0.33</v>
      </c>
      <c r="Q450" s="6">
        <v>40</v>
      </c>
      <c r="R450" s="10">
        <v>0</v>
      </c>
      <c r="S450" s="10">
        <v>0</v>
      </c>
      <c r="T450" s="10"/>
      <c r="U450" t="str">
        <f>"RUNNING_COST_"&amp;IF(PROPERTIES[[#This Row],[ENGINE_CLASS]]="MAGLEV","ELECTRIC",PROPERTIES[[#This Row],[ENGINE_CLASS]])</f>
        <v>RUNNING_COST_ELECTRIC</v>
      </c>
      <c r="V450" s="10" t="s">
        <v>1004</v>
      </c>
      <c r="W450" s="10" t="s">
        <v>1005</v>
      </c>
      <c r="X450" s="10" t="str">
        <f>SUBSTITUTE(SUBSTITUTE(PROPERTIES[[#This Row],[PURCHASECOST_VALUE]], "PURCHASECOST_", ""), "_VALUE", "")</f>
        <v>ELECTRICENGINE</v>
      </c>
      <c r="AP450"/>
      <c r="AQ450"/>
      <c r="AR450"/>
    </row>
    <row r="451" spans="1:44">
      <c r="A451" s="2" t="s">
        <v>476</v>
      </c>
      <c r="B451">
        <v>1964</v>
      </c>
      <c r="C451">
        <v>0</v>
      </c>
      <c r="D451" t="s">
        <v>74</v>
      </c>
      <c r="E451" t="s">
        <v>20</v>
      </c>
      <c r="F451">
        <v>0</v>
      </c>
      <c r="G451" s="10">
        <v>110</v>
      </c>
      <c r="H451">
        <v>8</v>
      </c>
      <c r="I451">
        <v>8</v>
      </c>
      <c r="J451" s="2" t="s">
        <v>20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>
        <v>6000</v>
      </c>
      <c r="O451">
        <v>240</v>
      </c>
      <c r="P451" s="2">
        <v>0.21</v>
      </c>
      <c r="Q451" s="6">
        <v>40</v>
      </c>
      <c r="R451" s="10">
        <v>0</v>
      </c>
      <c r="S451" s="10">
        <v>0</v>
      </c>
      <c r="T451" s="10"/>
      <c r="U451" t="str">
        <f>"RUNNING_COST_"&amp;IF(PROPERTIES[[#This Row],[ENGINE_CLASS]]="MAGLEV","ELECTRIC",PROPERTIES[[#This Row],[ENGINE_CLASS]])</f>
        <v>RUNNING_COST_ELECTRIC</v>
      </c>
      <c r="V451" s="10" t="s">
        <v>1004</v>
      </c>
      <c r="W451" s="10" t="s">
        <v>1005</v>
      </c>
      <c r="X451" s="10" t="str">
        <f>SUBSTITUTE(SUBSTITUTE(PROPERTIES[[#This Row],[PURCHASECOST_VALUE]], "PURCHASECOST_", ""), "_VALUE", "")</f>
        <v>ELECTRICENGINE</v>
      </c>
      <c r="AP451"/>
      <c r="AQ451"/>
      <c r="AR451"/>
    </row>
    <row r="452" spans="1:44">
      <c r="A452" s="2" t="s">
        <v>477</v>
      </c>
      <c r="B452">
        <v>1997</v>
      </c>
      <c r="C452">
        <v>0</v>
      </c>
      <c r="D452" t="s">
        <v>74</v>
      </c>
      <c r="E452" t="s">
        <v>20</v>
      </c>
      <c r="F452">
        <v>0</v>
      </c>
      <c r="G452" s="10">
        <v>90</v>
      </c>
      <c r="H452">
        <v>8</v>
      </c>
      <c r="I452">
        <v>8</v>
      </c>
      <c r="J452" s="2" t="s">
        <v>20</v>
      </c>
      <c r="K452">
        <f>_xlfn.XLOOKUP("LOADINGSPEEDDEF_"&amp;PROPERTIES[[#This Row],[LOADINGSPEED]],LOADINGSPEEDDEF[TYPE],LOADINGSPEEDDEF[SPEED])</f>
        <v>0</v>
      </c>
      <c r="L452" t="s">
        <v>21</v>
      </c>
      <c r="M452">
        <v>1</v>
      </c>
      <c r="N452">
        <v>6968</v>
      </c>
      <c r="O452">
        <v>200</v>
      </c>
      <c r="P452" s="2">
        <v>0.32</v>
      </c>
      <c r="Q452" s="6">
        <v>40</v>
      </c>
      <c r="R452" s="10">
        <v>0</v>
      </c>
      <c r="S452" s="10">
        <v>0</v>
      </c>
      <c r="T452" s="10"/>
      <c r="U452" t="str">
        <f>"RUNNING_COST_"&amp;IF(PROPERTIES[[#This Row],[ENGINE_CLASS]]="MAGLEV","ELECTRIC",PROPERTIES[[#This Row],[ENGINE_CLASS]])</f>
        <v>RUNNING_COST_ELECTRIC</v>
      </c>
      <c r="V452" s="10" t="s">
        <v>1004</v>
      </c>
      <c r="W452" s="10" t="s">
        <v>1005</v>
      </c>
      <c r="X452" s="10" t="str">
        <f>SUBSTITUTE(SUBSTITUTE(PROPERTIES[[#This Row],[PURCHASECOST_VALUE]], "PURCHASECOST_", ""), "_VALUE", "")</f>
        <v>ELECTRICENGINE</v>
      </c>
      <c r="AP452"/>
      <c r="AQ452"/>
      <c r="AR452"/>
    </row>
    <row r="453" spans="1:44">
      <c r="A453" s="2" t="s">
        <v>478</v>
      </c>
      <c r="B453">
        <v>1932</v>
      </c>
      <c r="C453">
        <v>1</v>
      </c>
      <c r="D453" t="s">
        <v>35</v>
      </c>
      <c r="E453" t="s">
        <v>18</v>
      </c>
      <c r="F453">
        <v>50</v>
      </c>
      <c r="G453" s="10">
        <v>39</v>
      </c>
      <c r="H453">
        <v>8</v>
      </c>
      <c r="I453">
        <v>8</v>
      </c>
      <c r="J453" s="2" t="s">
        <v>479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>
        <v>400</v>
      </c>
      <c r="O453">
        <v>160</v>
      </c>
      <c r="P453" s="2">
        <v>0.19</v>
      </c>
      <c r="Q453" s="6">
        <v>25</v>
      </c>
      <c r="R453" s="10">
        <v>50</v>
      </c>
      <c r="S453" s="10">
        <v>8</v>
      </c>
      <c r="T453" s="10"/>
      <c r="U453" t="str">
        <f>"RUNNING_COST_"&amp;IF(PROPERTIES[[#This Row],[ENGINE_CLASS]]="MAGLEV","ELECTRIC",PROPERTIES[[#This Row],[ENGINE_CLASS]])</f>
        <v>RUNNING_COST_DIESEL</v>
      </c>
      <c r="V453" s="10" t="s">
        <v>1006</v>
      </c>
      <c r="W453" s="10" t="s">
        <v>1007</v>
      </c>
      <c r="X453" s="10" t="str">
        <f>SUBSTITUTE(SUBSTITUTE(PROPERTIES[[#This Row],[PURCHASECOST_VALUE]], "PURCHASECOST_", ""), "_VALUE", "")</f>
        <v>DMU</v>
      </c>
      <c r="AP453"/>
      <c r="AQ453"/>
      <c r="AR453"/>
    </row>
    <row r="454" spans="1:44">
      <c r="A454" s="2" t="s">
        <v>480</v>
      </c>
      <c r="B454">
        <v>1937</v>
      </c>
      <c r="C454">
        <v>1</v>
      </c>
      <c r="D454" t="s">
        <v>35</v>
      </c>
      <c r="E454" t="s">
        <v>18</v>
      </c>
      <c r="F454">
        <v>0</v>
      </c>
      <c r="G454" s="10">
        <v>55</v>
      </c>
      <c r="H454">
        <v>7</v>
      </c>
      <c r="I454">
        <v>7</v>
      </c>
      <c r="J454" s="2" t="s">
        <v>479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>
        <v>660</v>
      </c>
      <c r="O454">
        <v>160</v>
      </c>
      <c r="P454" s="2">
        <v>0.2</v>
      </c>
      <c r="Q454" s="6">
        <v>25</v>
      </c>
      <c r="R454" s="10">
        <v>45</v>
      </c>
      <c r="S454" s="10">
        <v>7</v>
      </c>
      <c r="T454" s="10">
        <v>45</v>
      </c>
      <c r="U454" t="str">
        <f>"RUNNING_COST_"&amp;IF(PROPERTIES[[#This Row],[ENGINE_CLASS]]="MAGLEV","ELECTRIC",PROPERTIES[[#This Row],[ENGINE_CLASS]])</f>
        <v>RUNNING_COST_DIESEL</v>
      </c>
      <c r="V454" s="10" t="s">
        <v>1006</v>
      </c>
      <c r="W454" s="10" t="s">
        <v>1007</v>
      </c>
      <c r="X454" s="10" t="str">
        <f>SUBSTITUTE(SUBSTITUTE(PROPERTIES[[#This Row],[PURCHASECOST_VALUE]], "PURCHASECOST_", ""), "_VALUE", "")</f>
        <v>DMU</v>
      </c>
      <c r="AP454"/>
      <c r="AQ454"/>
      <c r="AR454"/>
    </row>
    <row r="455" spans="1:44">
      <c r="A455" s="2" t="s">
        <v>481</v>
      </c>
      <c r="B455">
        <v>1948</v>
      </c>
      <c r="C455">
        <v>1</v>
      </c>
      <c r="D455" t="s">
        <v>35</v>
      </c>
      <c r="E455" t="s">
        <v>18</v>
      </c>
      <c r="F455">
        <v>48</v>
      </c>
      <c r="G455" s="10">
        <v>42</v>
      </c>
      <c r="H455">
        <v>6</v>
      </c>
      <c r="I455">
        <v>6</v>
      </c>
      <c r="J455" s="2" t="s">
        <v>479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>
        <v>152</v>
      </c>
      <c r="O455">
        <v>60</v>
      </c>
      <c r="P455" s="2">
        <v>0.21</v>
      </c>
      <c r="Q455" s="6">
        <v>25</v>
      </c>
      <c r="R455" s="10">
        <v>48</v>
      </c>
      <c r="S455" s="10">
        <v>6</v>
      </c>
      <c r="T455" s="10"/>
      <c r="U455" t="str">
        <f>"RUNNING_COST_"&amp;IF(PROPERTIES[[#This Row],[ENGINE_CLASS]]="MAGLEV","ELECTRIC",PROPERTIES[[#This Row],[ENGINE_CLASS]])</f>
        <v>RUNNING_COST_DIESEL</v>
      </c>
      <c r="V455" s="10" t="s">
        <v>1006</v>
      </c>
      <c r="W455" s="10" t="s">
        <v>1007</v>
      </c>
      <c r="X455" s="10" t="str">
        <f>SUBSTITUTE(SUBSTITUTE(PROPERTIES[[#This Row],[PURCHASECOST_VALUE]], "PURCHASECOST_", ""), "_VALUE", "")</f>
        <v>DMU</v>
      </c>
      <c r="AP455"/>
      <c r="AQ455"/>
      <c r="AR455"/>
    </row>
    <row r="456" spans="1:44">
      <c r="A456" s="2" t="s">
        <v>482</v>
      </c>
      <c r="B456">
        <v>1952</v>
      </c>
      <c r="C456">
        <v>1</v>
      </c>
      <c r="D456" t="s">
        <v>35</v>
      </c>
      <c r="E456" t="s">
        <v>18</v>
      </c>
      <c r="F456">
        <v>45</v>
      </c>
      <c r="G456" s="10">
        <v>42</v>
      </c>
      <c r="H456">
        <v>8</v>
      </c>
      <c r="I456">
        <v>8</v>
      </c>
      <c r="J456" s="2" t="s">
        <v>479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>
        <v>986</v>
      </c>
      <c r="O456">
        <v>140</v>
      </c>
      <c r="P456" s="2">
        <v>0.43</v>
      </c>
      <c r="Q456" s="6">
        <v>25</v>
      </c>
      <c r="R456" s="10">
        <v>45</v>
      </c>
      <c r="S456" s="10">
        <v>8</v>
      </c>
      <c r="T456" s="10"/>
      <c r="U456" t="str">
        <f>"RUNNING_COST_"&amp;IF(PROPERTIES[[#This Row],[ENGINE_CLASS]]="MAGLEV","ELECTRIC",PROPERTIES[[#This Row],[ENGINE_CLASS]])</f>
        <v>RUNNING_COST_DIESEL</v>
      </c>
      <c r="V456" s="10" t="s">
        <v>1006</v>
      </c>
      <c r="W456" s="10" t="s">
        <v>1007</v>
      </c>
      <c r="X456" s="10" t="str">
        <f>SUBSTITUTE(SUBSTITUTE(PROPERTIES[[#This Row],[PURCHASECOST_VALUE]], "PURCHASECOST_", ""), "_VALUE", "")</f>
        <v>DMU</v>
      </c>
      <c r="AP456"/>
      <c r="AQ456"/>
      <c r="AR456"/>
    </row>
    <row r="457" spans="1:44">
      <c r="A457" s="2" t="s">
        <v>483</v>
      </c>
      <c r="B457">
        <v>1955</v>
      </c>
      <c r="C457">
        <v>1</v>
      </c>
      <c r="D457" t="s">
        <v>35</v>
      </c>
      <c r="E457" t="s">
        <v>18</v>
      </c>
      <c r="F457">
        <v>80</v>
      </c>
      <c r="G457" s="10">
        <v>43</v>
      </c>
      <c r="H457">
        <v>8</v>
      </c>
      <c r="I457">
        <v>8</v>
      </c>
      <c r="J457" s="2" t="s">
        <v>479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>
        <v>220</v>
      </c>
      <c r="O457">
        <v>90</v>
      </c>
      <c r="P457" s="2">
        <v>0.18</v>
      </c>
      <c r="Q457" s="6">
        <v>25</v>
      </c>
      <c r="R457" s="10">
        <v>80</v>
      </c>
      <c r="S457" s="10">
        <v>8</v>
      </c>
      <c r="T457" s="10"/>
      <c r="U457" t="str">
        <f>"RUNNING_COST_"&amp;IF(PROPERTIES[[#This Row],[ENGINE_CLASS]]="MAGLEV","ELECTRIC",PROPERTIES[[#This Row],[ENGINE_CLASS]])</f>
        <v>RUNNING_COST_DIESEL</v>
      </c>
      <c r="V457" s="10" t="s">
        <v>1006</v>
      </c>
      <c r="W457" s="10" t="s">
        <v>1007</v>
      </c>
      <c r="X457" s="10" t="str">
        <f>SUBSTITUTE(SUBSTITUTE(PROPERTIES[[#This Row],[PURCHASECOST_VALUE]], "PURCHASECOST_", ""), "_VALUE", "")</f>
        <v>DMU</v>
      </c>
      <c r="AP457"/>
      <c r="AQ457"/>
      <c r="AR457"/>
    </row>
    <row r="458" spans="1:44">
      <c r="A458" s="2" t="s">
        <v>484</v>
      </c>
      <c r="B458">
        <v>1957</v>
      </c>
      <c r="C458">
        <v>1</v>
      </c>
      <c r="D458" t="s">
        <v>35</v>
      </c>
      <c r="E458" t="s">
        <v>18</v>
      </c>
      <c r="F458">
        <v>0</v>
      </c>
      <c r="G458" s="10">
        <v>33</v>
      </c>
      <c r="H458">
        <v>8</v>
      </c>
      <c r="I458">
        <v>8</v>
      </c>
      <c r="J458" s="2" t="s">
        <v>479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>
        <v>1475</v>
      </c>
      <c r="O458">
        <v>160</v>
      </c>
      <c r="P458" s="2">
        <v>0.77</v>
      </c>
      <c r="Q458" s="6">
        <v>25</v>
      </c>
      <c r="R458" s="10">
        <v>34</v>
      </c>
      <c r="S458" s="10">
        <v>8</v>
      </c>
      <c r="T458" s="10"/>
      <c r="U458" t="str">
        <f>"RUNNING_COST_"&amp;IF(PROPERTIES[[#This Row],[ENGINE_CLASS]]="MAGLEV","ELECTRIC",PROPERTIES[[#This Row],[ENGINE_CLASS]])</f>
        <v>RUNNING_COST_DIESEL</v>
      </c>
      <c r="V458" s="10" t="s">
        <v>1006</v>
      </c>
      <c r="W458" s="10" t="s">
        <v>1007</v>
      </c>
      <c r="X458" s="10" t="str">
        <f>SUBSTITUTE(SUBSTITUTE(PROPERTIES[[#This Row],[PURCHASECOST_VALUE]], "PURCHASECOST_", ""), "_VALUE", "")</f>
        <v>DMU</v>
      </c>
      <c r="AP458"/>
      <c r="AQ458"/>
      <c r="AR458"/>
    </row>
    <row r="459" spans="1:44">
      <c r="A459" s="2" t="s">
        <v>485</v>
      </c>
      <c r="B459">
        <v>1960</v>
      </c>
      <c r="C459">
        <v>1</v>
      </c>
      <c r="D459" t="s">
        <v>35</v>
      </c>
      <c r="E459" t="s">
        <v>18</v>
      </c>
      <c r="F459">
        <v>64</v>
      </c>
      <c r="G459" s="10">
        <v>64</v>
      </c>
      <c r="H459">
        <v>8</v>
      </c>
      <c r="I459">
        <v>8</v>
      </c>
      <c r="J459" s="2" t="s">
        <v>24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>
        <v>987</v>
      </c>
      <c r="O459">
        <v>125</v>
      </c>
      <c r="P459" s="2">
        <v>0.21</v>
      </c>
      <c r="Q459" s="6">
        <v>25</v>
      </c>
      <c r="R459" s="10">
        <v>64</v>
      </c>
      <c r="S459" s="10">
        <v>8</v>
      </c>
      <c r="T459" s="10"/>
      <c r="U459" t="str">
        <f>"RUNNING_COST_"&amp;IF(PROPERTIES[[#This Row],[ENGINE_CLASS]]="MAGLEV","ELECTRIC",PROPERTIES[[#This Row],[ENGINE_CLASS]])</f>
        <v>RUNNING_COST_DIESEL</v>
      </c>
      <c r="V459" s="10" t="s">
        <v>1006</v>
      </c>
      <c r="W459" s="10" t="s">
        <v>1007</v>
      </c>
      <c r="X459" s="10" t="str">
        <f>SUBSTITUTE(SUBSTITUTE(PROPERTIES[[#This Row],[PURCHASECOST_VALUE]], "PURCHASECOST_", ""), "_VALUE", "")</f>
        <v>DMU</v>
      </c>
      <c r="AP459"/>
      <c r="AQ459"/>
      <c r="AR459"/>
    </row>
    <row r="460" spans="1:44">
      <c r="A460" s="2" t="s">
        <v>486</v>
      </c>
      <c r="B460">
        <v>1967</v>
      </c>
      <c r="C460">
        <v>1</v>
      </c>
      <c r="D460" t="s">
        <v>35</v>
      </c>
      <c r="E460" t="s">
        <v>18</v>
      </c>
      <c r="F460">
        <v>44</v>
      </c>
      <c r="G460" s="10">
        <v>40</v>
      </c>
      <c r="H460">
        <v>8</v>
      </c>
      <c r="I460">
        <v>8</v>
      </c>
      <c r="J460" s="2" t="s">
        <v>479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>
        <v>2400</v>
      </c>
      <c r="O460">
        <v>225</v>
      </c>
      <c r="P460" s="2">
        <v>0.45</v>
      </c>
      <c r="Q460" s="6">
        <v>25</v>
      </c>
      <c r="R460" s="10">
        <v>44</v>
      </c>
      <c r="S460" s="10">
        <v>8</v>
      </c>
      <c r="T460" s="10">
        <v>50</v>
      </c>
      <c r="U460" t="str">
        <f>"RUNNING_COST_"&amp;IF(PROPERTIES[[#This Row],[ENGINE_CLASS]]="MAGLEV","ELECTRIC",PROPERTIES[[#This Row],[ENGINE_CLASS]])</f>
        <v>RUNNING_COST_DIESEL</v>
      </c>
      <c r="V460" s="10" t="s">
        <v>1006</v>
      </c>
      <c r="W460" s="10" t="s">
        <v>1007</v>
      </c>
      <c r="X460" s="10" t="str">
        <f>SUBSTITUTE(SUBSTITUTE(PROPERTIES[[#This Row],[PURCHASECOST_VALUE]], "PURCHASECOST_", ""), "_VALUE", "")</f>
        <v>DMU</v>
      </c>
      <c r="AP460"/>
      <c r="AQ460"/>
      <c r="AR460"/>
    </row>
    <row r="461" spans="1:44">
      <c r="A461" s="2" t="s">
        <v>487</v>
      </c>
      <c r="B461">
        <v>1974</v>
      </c>
      <c r="C461">
        <v>1</v>
      </c>
      <c r="D461" t="s">
        <v>35</v>
      </c>
      <c r="E461" t="s">
        <v>18</v>
      </c>
      <c r="F461">
        <v>38</v>
      </c>
      <c r="G461" s="10">
        <v>55</v>
      </c>
      <c r="H461">
        <v>8</v>
      </c>
      <c r="I461">
        <v>8</v>
      </c>
      <c r="J461" s="2" t="s">
        <v>24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>
        <v>735</v>
      </c>
      <c r="O461">
        <v>118</v>
      </c>
      <c r="P461" s="2">
        <v>0.2</v>
      </c>
      <c r="Q461" s="6">
        <v>20</v>
      </c>
      <c r="R461" s="10">
        <v>38</v>
      </c>
      <c r="S461" s="10">
        <v>8</v>
      </c>
      <c r="T461" s="10"/>
      <c r="U461" t="str">
        <f>"RUNNING_COST_"&amp;IF(PROPERTIES[[#This Row],[ENGINE_CLASS]]="MAGLEV","ELECTRIC",PROPERTIES[[#This Row],[ENGINE_CLASS]])</f>
        <v>RUNNING_COST_DIESEL</v>
      </c>
      <c r="V461" s="10" t="s">
        <v>1006</v>
      </c>
      <c r="W461" s="10" t="s">
        <v>1007</v>
      </c>
      <c r="X461" s="10" t="str">
        <f>SUBSTITUTE(SUBSTITUTE(PROPERTIES[[#This Row],[PURCHASECOST_VALUE]], "PURCHASECOST_", ""), "_VALUE", "")</f>
        <v>DMU</v>
      </c>
      <c r="AP461"/>
      <c r="AQ461"/>
      <c r="AR461"/>
    </row>
    <row r="462" spans="1:44">
      <c r="A462" s="2" t="s">
        <v>488</v>
      </c>
      <c r="B462">
        <v>1976</v>
      </c>
      <c r="C462">
        <v>1</v>
      </c>
      <c r="D462" t="s">
        <v>35</v>
      </c>
      <c r="E462" t="s">
        <v>18</v>
      </c>
      <c r="F462">
        <v>52</v>
      </c>
      <c r="G462" s="10">
        <v>70</v>
      </c>
      <c r="H462">
        <v>8</v>
      </c>
      <c r="I462">
        <v>8</v>
      </c>
      <c r="J462" s="2" t="s">
        <v>479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>
        <v>4500</v>
      </c>
      <c r="O462">
        <v>201</v>
      </c>
      <c r="P462" s="2">
        <v>0.57999999999999996</v>
      </c>
      <c r="Q462" s="6">
        <v>25</v>
      </c>
      <c r="R462" s="10">
        <v>52</v>
      </c>
      <c r="S462" s="10">
        <v>8</v>
      </c>
      <c r="T462" s="10"/>
      <c r="U462" t="str">
        <f>"RUNNING_COST_"&amp;IF(PROPERTIES[[#This Row],[ENGINE_CLASS]]="MAGLEV","ELECTRIC",PROPERTIES[[#This Row],[ENGINE_CLASS]])</f>
        <v>RUNNING_COST_DIESEL</v>
      </c>
      <c r="V462" s="10" t="s">
        <v>1006</v>
      </c>
      <c r="W462" s="10" t="s">
        <v>1007</v>
      </c>
      <c r="X462" s="10" t="str">
        <f>SUBSTITUTE(SUBSTITUTE(PROPERTIES[[#This Row],[PURCHASECOST_VALUE]], "PURCHASECOST_", ""), "_VALUE", "")</f>
        <v>DMU</v>
      </c>
      <c r="AP462"/>
      <c r="AQ462"/>
      <c r="AR462"/>
    </row>
    <row r="463" spans="1:44">
      <c r="A463" s="2" t="s">
        <v>489</v>
      </c>
      <c r="B463">
        <v>1980</v>
      </c>
      <c r="C463">
        <v>1</v>
      </c>
      <c r="D463" t="s">
        <v>35</v>
      </c>
      <c r="E463" t="s">
        <v>18</v>
      </c>
      <c r="F463">
        <v>0</v>
      </c>
      <c r="G463" s="10">
        <v>65</v>
      </c>
      <c r="H463">
        <v>8</v>
      </c>
      <c r="I463">
        <v>8</v>
      </c>
      <c r="J463" s="2" t="s">
        <v>479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>
        <v>5400</v>
      </c>
      <c r="O463">
        <v>180</v>
      </c>
      <c r="P463" s="2">
        <v>0.54</v>
      </c>
      <c r="Q463" s="6">
        <v>25</v>
      </c>
      <c r="R463" s="10">
        <v>55</v>
      </c>
      <c r="S463" s="10">
        <v>8</v>
      </c>
      <c r="T463" s="10">
        <v>55</v>
      </c>
      <c r="U463" t="str">
        <f>"RUNNING_COST_"&amp;IF(PROPERTIES[[#This Row],[ENGINE_CLASS]]="MAGLEV","ELECTRIC",PROPERTIES[[#This Row],[ENGINE_CLASS]])</f>
        <v>RUNNING_COST_DIESEL</v>
      </c>
      <c r="V463" s="10" t="s">
        <v>1006</v>
      </c>
      <c r="W463" s="10" t="s">
        <v>1007</v>
      </c>
      <c r="X463" s="10" t="str">
        <f>SUBSTITUTE(SUBSTITUTE(PROPERTIES[[#This Row],[PURCHASECOST_VALUE]], "PURCHASECOST_", ""), "_VALUE", "")</f>
        <v>DMU</v>
      </c>
      <c r="AP463"/>
      <c r="AQ463"/>
      <c r="AR463"/>
    </row>
    <row r="464" spans="1:44">
      <c r="A464" s="2" t="s">
        <v>490</v>
      </c>
      <c r="B464">
        <v>1990</v>
      </c>
      <c r="C464">
        <v>1</v>
      </c>
      <c r="D464" t="s">
        <v>35</v>
      </c>
      <c r="E464" t="s">
        <v>18</v>
      </c>
      <c r="F464">
        <v>48</v>
      </c>
      <c r="G464" s="10">
        <v>32</v>
      </c>
      <c r="H464">
        <v>8</v>
      </c>
      <c r="I464">
        <v>8</v>
      </c>
      <c r="J464" s="2" t="s">
        <v>479</v>
      </c>
      <c r="K464">
        <f>_xlfn.XLOOKUP("LOADINGSPEEDDEF_"&amp;PROPERTIES[[#This Row],[LOADINGSPEED]],LOADINGSPEEDDEF[TYPE],LOADINGSPEEDDEF[SPEED])</f>
        <v>16</v>
      </c>
      <c r="L464" t="s">
        <v>21</v>
      </c>
      <c r="M464">
        <v>1</v>
      </c>
      <c r="N464">
        <v>600</v>
      </c>
      <c r="O464">
        <v>180</v>
      </c>
      <c r="P464" s="2">
        <v>0.63</v>
      </c>
      <c r="Q464" s="6">
        <v>25</v>
      </c>
      <c r="R464" s="10">
        <v>48</v>
      </c>
      <c r="S464" s="10">
        <v>8</v>
      </c>
      <c r="T464" s="10"/>
      <c r="U464" t="str">
        <f>"RUNNING_COST_"&amp;IF(PROPERTIES[[#This Row],[ENGINE_CLASS]]="MAGLEV","ELECTRIC",PROPERTIES[[#This Row],[ENGINE_CLASS]])</f>
        <v>RUNNING_COST_DIESEL</v>
      </c>
      <c r="V464" s="10" t="s">
        <v>1006</v>
      </c>
      <c r="W464" s="10" t="s">
        <v>1007</v>
      </c>
      <c r="X464" s="10" t="str">
        <f>SUBSTITUTE(SUBSTITUTE(PROPERTIES[[#This Row],[PURCHASECOST_VALUE]], "PURCHASECOST_", ""), "_VALUE", "")</f>
        <v>DMU</v>
      </c>
      <c r="AP464"/>
      <c r="AQ464"/>
      <c r="AR464"/>
    </row>
    <row r="465" spans="1:44">
      <c r="A465" s="2" t="s">
        <v>491</v>
      </c>
      <c r="B465">
        <v>1997</v>
      </c>
      <c r="C465">
        <v>1</v>
      </c>
      <c r="D465" t="s">
        <v>35</v>
      </c>
      <c r="E465" t="s">
        <v>18</v>
      </c>
      <c r="F465">
        <v>63</v>
      </c>
      <c r="G465" s="10">
        <v>49</v>
      </c>
      <c r="H465">
        <v>8</v>
      </c>
      <c r="I465">
        <v>8</v>
      </c>
      <c r="J465" s="2" t="s">
        <v>24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>
        <v>804</v>
      </c>
      <c r="O465">
        <v>160</v>
      </c>
      <c r="P465" s="2">
        <v>0.24</v>
      </c>
      <c r="Q465" s="6">
        <v>20</v>
      </c>
      <c r="R465" s="10">
        <v>63</v>
      </c>
      <c r="S465" s="10">
        <v>8</v>
      </c>
      <c r="T465" s="10"/>
      <c r="U465" t="str">
        <f>"RUNNING_COST_"&amp;IF(PROPERTIES[[#This Row],[ENGINE_CLASS]]="MAGLEV","ELECTRIC",PROPERTIES[[#This Row],[ENGINE_CLASS]])</f>
        <v>RUNNING_COST_DIESEL</v>
      </c>
      <c r="V465" s="10" t="s">
        <v>1006</v>
      </c>
      <c r="W465" s="10" t="s">
        <v>1007</v>
      </c>
      <c r="X465" s="10" t="str">
        <f>SUBSTITUTE(SUBSTITUTE(PROPERTIES[[#This Row],[PURCHASECOST_VALUE]], "PURCHASECOST_", ""), "_VALUE", "")</f>
        <v>DMU</v>
      </c>
      <c r="AP465"/>
      <c r="AQ465"/>
      <c r="AR465"/>
    </row>
    <row r="466" spans="1:44">
      <c r="A466" s="2" t="s">
        <v>492</v>
      </c>
      <c r="B466">
        <v>1997</v>
      </c>
      <c r="C466">
        <v>1</v>
      </c>
      <c r="D466" t="s">
        <v>35</v>
      </c>
      <c r="E466" t="s">
        <v>18</v>
      </c>
      <c r="F466">
        <v>42</v>
      </c>
      <c r="G466" s="10">
        <v>50</v>
      </c>
      <c r="H466">
        <v>8</v>
      </c>
      <c r="I466">
        <v>8</v>
      </c>
      <c r="J466" s="2" t="s">
        <v>24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>
        <v>1300</v>
      </c>
      <c r="O466">
        <v>160</v>
      </c>
      <c r="P466" s="2">
        <v>0.39</v>
      </c>
      <c r="Q466" s="6">
        <v>20</v>
      </c>
      <c r="R466" s="10">
        <v>42</v>
      </c>
      <c r="S466" s="10">
        <v>8</v>
      </c>
      <c r="T466" s="10">
        <v>52</v>
      </c>
      <c r="U466" t="str">
        <f>"RUNNING_COST_"&amp;IF(PROPERTIES[[#This Row],[ENGINE_CLASS]]="MAGLEV","ELECTRIC",PROPERTIES[[#This Row],[ENGINE_CLASS]])</f>
        <v>RUNNING_COST_DIESEL</v>
      </c>
      <c r="V466" s="10" t="s">
        <v>1006</v>
      </c>
      <c r="W466" s="10" t="s">
        <v>1007</v>
      </c>
      <c r="X466" s="10" t="str">
        <f>SUBSTITUTE(SUBSTITUTE(PROPERTIES[[#This Row],[PURCHASECOST_VALUE]], "PURCHASECOST_", ""), "_VALUE", "")</f>
        <v>DMU</v>
      </c>
      <c r="AP466"/>
      <c r="AQ466"/>
      <c r="AR466"/>
    </row>
    <row r="467" spans="1:44">
      <c r="A467" s="2" t="s">
        <v>493</v>
      </c>
      <c r="B467">
        <v>1998</v>
      </c>
      <c r="C467">
        <v>1</v>
      </c>
      <c r="D467" t="s">
        <v>35</v>
      </c>
      <c r="E467" t="s">
        <v>18</v>
      </c>
      <c r="F467">
        <v>73</v>
      </c>
      <c r="G467" s="10">
        <v>58</v>
      </c>
      <c r="H467">
        <v>8</v>
      </c>
      <c r="I467">
        <v>8</v>
      </c>
      <c r="J467" s="2" t="s">
        <v>24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>
        <v>1520</v>
      </c>
      <c r="O467">
        <v>160</v>
      </c>
      <c r="P467" s="2">
        <v>0.38</v>
      </c>
      <c r="Q467" s="6">
        <v>20</v>
      </c>
      <c r="R467" s="10">
        <v>73</v>
      </c>
      <c r="S467" s="10">
        <v>8</v>
      </c>
      <c r="T467" s="10"/>
      <c r="U467" t="str">
        <f>"RUNNING_COST_"&amp;IF(PROPERTIES[[#This Row],[ENGINE_CLASS]]="MAGLEV","ELECTRIC",PROPERTIES[[#This Row],[ENGINE_CLASS]])</f>
        <v>RUNNING_COST_DIESEL</v>
      </c>
      <c r="V467" s="10" t="s">
        <v>1006</v>
      </c>
      <c r="W467" s="10" t="s">
        <v>1007</v>
      </c>
      <c r="X467" s="10" t="str">
        <f>SUBSTITUTE(SUBSTITUTE(PROPERTIES[[#This Row],[PURCHASECOST_VALUE]], "PURCHASECOST_", ""), "_VALUE", "")</f>
        <v>DMU</v>
      </c>
      <c r="AP467"/>
      <c r="AQ467"/>
      <c r="AR467"/>
    </row>
    <row r="468" spans="1:44">
      <c r="A468" s="2" t="s">
        <v>494</v>
      </c>
      <c r="B468">
        <v>2000</v>
      </c>
      <c r="C468">
        <v>1</v>
      </c>
      <c r="D468" t="s">
        <v>35</v>
      </c>
      <c r="E468" t="s">
        <v>18</v>
      </c>
      <c r="F468">
        <v>55</v>
      </c>
      <c r="G468" s="10">
        <v>60</v>
      </c>
      <c r="H468">
        <v>8</v>
      </c>
      <c r="I468">
        <v>8</v>
      </c>
      <c r="J468" s="2" t="s">
        <v>24</v>
      </c>
      <c r="K468">
        <f>_xlfn.XLOOKUP("LOADINGSPEEDDEF_"&amp;PROPERTIES[[#This Row],[LOADINGSPEED]],LOADINGSPEEDDEF[TYPE],LOADINGSPEEDDEF[SPEED])</f>
        <v>40</v>
      </c>
      <c r="L468" t="s">
        <v>21</v>
      </c>
      <c r="M468">
        <v>1</v>
      </c>
      <c r="N468">
        <v>368</v>
      </c>
      <c r="O468">
        <v>120</v>
      </c>
      <c r="P468" s="2">
        <v>0.18</v>
      </c>
      <c r="Q468" s="6">
        <v>25</v>
      </c>
      <c r="R468" s="10">
        <v>55</v>
      </c>
      <c r="S468" s="10">
        <v>8</v>
      </c>
      <c r="T468" s="10"/>
      <c r="U468" t="str">
        <f>"RUNNING_COST_"&amp;IF(PROPERTIES[[#This Row],[ENGINE_CLASS]]="MAGLEV","ELECTRIC",PROPERTIES[[#This Row],[ENGINE_CLASS]])</f>
        <v>RUNNING_COST_DIESEL</v>
      </c>
      <c r="V468" s="10" t="s">
        <v>1006</v>
      </c>
      <c r="W468" s="10" t="s">
        <v>1007</v>
      </c>
      <c r="X468" s="10" t="str">
        <f>SUBSTITUTE(SUBSTITUTE(PROPERTIES[[#This Row],[PURCHASECOST_VALUE]], "PURCHASECOST_", ""), "_VALUE", "")</f>
        <v>DMU</v>
      </c>
      <c r="AP468"/>
      <c r="AQ468"/>
      <c r="AR468"/>
    </row>
    <row r="469" spans="1:44">
      <c r="A469" s="2" t="s">
        <v>495</v>
      </c>
      <c r="B469">
        <v>2001</v>
      </c>
      <c r="C469">
        <v>1</v>
      </c>
      <c r="D469" t="s">
        <v>35</v>
      </c>
      <c r="E469" t="s">
        <v>18</v>
      </c>
      <c r="F469">
        <v>73</v>
      </c>
      <c r="G469" s="10">
        <v>31</v>
      </c>
      <c r="H469">
        <v>8</v>
      </c>
      <c r="I469">
        <v>8</v>
      </c>
      <c r="J469" s="2" t="s">
        <v>24</v>
      </c>
      <c r="K469">
        <f>_xlfn.XLOOKUP("LOADINGSPEEDDEF_"&amp;PROPERTIES[[#This Row],[LOADINGSPEED]],LOADINGSPEEDDEF[TYPE],LOADINGSPEEDDEF[SPEED])</f>
        <v>40</v>
      </c>
      <c r="L469" t="s">
        <v>21</v>
      </c>
      <c r="M469">
        <v>1</v>
      </c>
      <c r="N469">
        <v>422</v>
      </c>
      <c r="O469">
        <v>120</v>
      </c>
      <c r="P469" s="2">
        <v>0.39</v>
      </c>
      <c r="Q469" s="6">
        <v>20</v>
      </c>
      <c r="R469" s="10">
        <v>73</v>
      </c>
      <c r="S469" s="10">
        <v>8</v>
      </c>
      <c r="T469" s="10"/>
      <c r="U469" t="str">
        <f>"RUNNING_COST_"&amp;IF(PROPERTIES[[#This Row],[ENGINE_CLASS]]="MAGLEV","ELECTRIC",PROPERTIES[[#This Row],[ENGINE_CLASS]])</f>
        <v>RUNNING_COST_DIESEL</v>
      </c>
      <c r="V469" s="10" t="s">
        <v>1006</v>
      </c>
      <c r="W469" s="10" t="s">
        <v>1007</v>
      </c>
      <c r="X469" s="10" t="str">
        <f>SUBSTITUTE(SUBSTITUTE(PROPERTIES[[#This Row],[PURCHASECOST_VALUE]], "PURCHASECOST_", ""), "_VALUE", "")</f>
        <v>DMU</v>
      </c>
      <c r="AP469"/>
      <c r="AQ469"/>
      <c r="AR469"/>
    </row>
    <row r="470" spans="1:44">
      <c r="A470" s="2" t="s">
        <v>496</v>
      </c>
      <c r="B470">
        <v>2001</v>
      </c>
      <c r="C470">
        <v>1</v>
      </c>
      <c r="D470" t="s">
        <v>35</v>
      </c>
      <c r="E470" t="s">
        <v>18</v>
      </c>
      <c r="F470">
        <v>55</v>
      </c>
      <c r="G470" s="10">
        <v>29</v>
      </c>
      <c r="H470">
        <v>8</v>
      </c>
      <c r="I470">
        <v>8</v>
      </c>
      <c r="J470" s="2" t="s">
        <v>24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>
        <v>410</v>
      </c>
      <c r="O470">
        <v>140</v>
      </c>
      <c r="P470" s="2">
        <v>0.21</v>
      </c>
      <c r="Q470" s="6">
        <v>20</v>
      </c>
      <c r="R470" s="10">
        <v>55</v>
      </c>
      <c r="S470" s="10">
        <v>8</v>
      </c>
      <c r="T470" s="10"/>
      <c r="U470" t="str">
        <f>"RUNNING_COST_"&amp;IF(PROPERTIES[[#This Row],[ENGINE_CLASS]]="MAGLEV","ELECTRIC",PROPERTIES[[#This Row],[ENGINE_CLASS]])</f>
        <v>RUNNING_COST_DIESEL</v>
      </c>
      <c r="V470" s="10" t="s">
        <v>1006</v>
      </c>
      <c r="W470" s="10" t="s">
        <v>1007</v>
      </c>
      <c r="X470" s="10" t="str">
        <f>SUBSTITUTE(SUBSTITUTE(PROPERTIES[[#This Row],[PURCHASECOST_VALUE]], "PURCHASECOST_", ""), "_VALUE", "")</f>
        <v>DMU</v>
      </c>
      <c r="AP470"/>
      <c r="AQ470"/>
      <c r="AR470"/>
    </row>
    <row r="471" spans="1:44">
      <c r="A471" s="2" t="s">
        <v>497</v>
      </c>
      <c r="B471">
        <v>2004</v>
      </c>
      <c r="C471">
        <v>1</v>
      </c>
      <c r="D471" t="s">
        <v>35</v>
      </c>
      <c r="E471" t="s">
        <v>18</v>
      </c>
      <c r="F471">
        <v>68</v>
      </c>
      <c r="G471" s="10">
        <v>33</v>
      </c>
      <c r="H471">
        <v>8</v>
      </c>
      <c r="I471">
        <v>8</v>
      </c>
      <c r="J471" s="2" t="s">
        <v>479</v>
      </c>
      <c r="K471">
        <f>_xlfn.XLOOKUP("LOADINGSPEEDDEF_"&amp;PROPERTIES[[#This Row],[LOADINGSPEED]],LOADINGSPEEDDEF[TYPE],LOADINGSPEEDDEF[SPEED])</f>
        <v>16</v>
      </c>
      <c r="L471" t="s">
        <v>21</v>
      </c>
      <c r="M471">
        <v>1</v>
      </c>
      <c r="N471">
        <v>520</v>
      </c>
      <c r="O471">
        <v>200</v>
      </c>
      <c r="P471" s="2">
        <v>0.33</v>
      </c>
      <c r="Q471" s="6">
        <v>25</v>
      </c>
      <c r="R471" s="10">
        <v>68</v>
      </c>
      <c r="S471" s="10">
        <v>8</v>
      </c>
      <c r="T471" s="10"/>
      <c r="U471" t="str">
        <f>"RUNNING_COST_"&amp;IF(PROPERTIES[[#This Row],[ENGINE_CLASS]]="MAGLEV","ELECTRIC",PROPERTIES[[#This Row],[ENGINE_CLASS]])</f>
        <v>RUNNING_COST_DIESEL</v>
      </c>
      <c r="V471" s="10" t="s">
        <v>1006</v>
      </c>
      <c r="W471" s="10" t="s">
        <v>1007</v>
      </c>
      <c r="X471" s="10" t="str">
        <f>SUBSTITUTE(SUBSTITUTE(PROPERTIES[[#This Row],[PURCHASECOST_VALUE]], "PURCHASECOST_", ""), "_VALUE", "")</f>
        <v>DMU</v>
      </c>
      <c r="AP471"/>
      <c r="AQ471"/>
      <c r="AR471"/>
    </row>
    <row r="472" spans="1:44">
      <c r="A472" s="2" t="s">
        <v>498</v>
      </c>
      <c r="B472">
        <v>2006</v>
      </c>
      <c r="C472">
        <v>1</v>
      </c>
      <c r="D472" t="s">
        <v>35</v>
      </c>
      <c r="E472" t="s">
        <v>18</v>
      </c>
      <c r="F472">
        <v>70</v>
      </c>
      <c r="G472" s="10">
        <v>30</v>
      </c>
      <c r="H472">
        <v>8</v>
      </c>
      <c r="I472">
        <v>8</v>
      </c>
      <c r="J472" s="2" t="s">
        <v>24</v>
      </c>
      <c r="K472">
        <f>_xlfn.XLOOKUP("LOADINGSPEEDDEF_"&amp;PROPERTIES[[#This Row],[LOADINGSPEED]],LOADINGSPEEDDEF[TYPE],LOADINGSPEEDDEF[SPEED])</f>
        <v>40</v>
      </c>
      <c r="L472" t="s">
        <v>21</v>
      </c>
      <c r="M472">
        <v>1</v>
      </c>
      <c r="N472">
        <v>750</v>
      </c>
      <c r="O472">
        <v>160</v>
      </c>
      <c r="P472" s="2">
        <v>0.33</v>
      </c>
      <c r="Q472" s="6">
        <v>25</v>
      </c>
      <c r="R472" s="10">
        <v>70</v>
      </c>
      <c r="S472" s="10">
        <v>8</v>
      </c>
      <c r="T472" s="10"/>
      <c r="U472" t="str">
        <f>"RUNNING_COST_"&amp;IF(PROPERTIES[[#This Row],[ENGINE_CLASS]]="MAGLEV","ELECTRIC",PROPERTIES[[#This Row],[ENGINE_CLASS]])</f>
        <v>RUNNING_COST_DIESEL</v>
      </c>
      <c r="V472" s="10" t="s">
        <v>1006</v>
      </c>
      <c r="W472" s="10" t="s">
        <v>1007</v>
      </c>
      <c r="X472" s="10" t="str">
        <f>SUBSTITUTE(SUBSTITUTE(PROPERTIES[[#This Row],[PURCHASECOST_VALUE]], "PURCHASECOST_", ""), "_VALUE", "")</f>
        <v>DMU</v>
      </c>
      <c r="AP472"/>
      <c r="AQ472"/>
      <c r="AR472"/>
    </row>
    <row r="473" spans="1:44">
      <c r="A473" s="2" t="s">
        <v>499</v>
      </c>
      <c r="B473">
        <v>2006</v>
      </c>
      <c r="C473">
        <v>1</v>
      </c>
      <c r="D473" t="s">
        <v>35</v>
      </c>
      <c r="E473" t="s">
        <v>18</v>
      </c>
      <c r="F473">
        <v>74</v>
      </c>
      <c r="G473" s="10">
        <v>44</v>
      </c>
      <c r="H473">
        <v>8</v>
      </c>
      <c r="I473">
        <v>8</v>
      </c>
      <c r="J473" s="2" t="s">
        <v>24</v>
      </c>
      <c r="K473">
        <f>_xlfn.XLOOKUP("LOADINGSPEEDDEF_"&amp;PROPERTIES[[#This Row],[LOADINGSPEED]],LOADINGSPEEDDEF[TYPE],LOADINGSPEEDDEF[SPEED])</f>
        <v>40</v>
      </c>
      <c r="L473" t="s">
        <v>21</v>
      </c>
      <c r="M473">
        <v>1</v>
      </c>
      <c r="N473">
        <v>840</v>
      </c>
      <c r="O473">
        <v>100</v>
      </c>
      <c r="P473" s="2">
        <v>0.28000000000000003</v>
      </c>
      <c r="Q473" s="6">
        <v>25</v>
      </c>
      <c r="R473" s="10">
        <v>74</v>
      </c>
      <c r="S473" s="10">
        <v>8</v>
      </c>
      <c r="T473" s="10"/>
      <c r="U473" t="str">
        <f>"RUNNING_COST_"&amp;IF(PROPERTIES[[#This Row],[ENGINE_CLASS]]="MAGLEV","ELECTRIC",PROPERTIES[[#This Row],[ENGINE_CLASS]])</f>
        <v>RUNNING_COST_DIESEL</v>
      </c>
      <c r="V473" s="10" t="s">
        <v>1006</v>
      </c>
      <c r="W473" s="10" t="s">
        <v>1007</v>
      </c>
      <c r="X473" s="10" t="str">
        <f>SUBSTITUTE(SUBSTITUTE(PROPERTIES[[#This Row],[PURCHASECOST_VALUE]], "PURCHASECOST_", ""), "_VALUE", "")</f>
        <v>DMU</v>
      </c>
      <c r="AP473"/>
      <c r="AQ473"/>
      <c r="AR473"/>
    </row>
    <row r="474" spans="1:44">
      <c r="A474" s="2" t="s">
        <v>500</v>
      </c>
      <c r="B474">
        <v>2007</v>
      </c>
      <c r="C474">
        <v>1</v>
      </c>
      <c r="D474" t="s">
        <v>35</v>
      </c>
      <c r="E474" t="s">
        <v>18</v>
      </c>
      <c r="F474">
        <v>52</v>
      </c>
      <c r="G474" s="10">
        <v>36</v>
      </c>
      <c r="H474">
        <v>8</v>
      </c>
      <c r="I474">
        <v>8</v>
      </c>
      <c r="J474" s="2" t="s">
        <v>479</v>
      </c>
      <c r="K474">
        <f>_xlfn.XLOOKUP("LOADINGSPEEDDEF_"&amp;PROPERTIES[[#This Row],[LOADINGSPEED]],LOADINGSPEEDDEF[TYPE],LOADINGSPEEDDEF[SPEED])</f>
        <v>16</v>
      </c>
      <c r="L474" t="s">
        <v>21</v>
      </c>
      <c r="M474">
        <v>1</v>
      </c>
      <c r="N474">
        <v>750</v>
      </c>
      <c r="O474">
        <v>200</v>
      </c>
      <c r="P474" s="2">
        <v>0.62</v>
      </c>
      <c r="Q474" s="6">
        <v>25</v>
      </c>
      <c r="R474" s="10">
        <v>52</v>
      </c>
      <c r="S474" s="10">
        <v>8</v>
      </c>
      <c r="T474" s="10"/>
      <c r="U474" t="str">
        <f>"RUNNING_COST_"&amp;IF(PROPERTIES[[#This Row],[ENGINE_CLASS]]="MAGLEV","ELECTRIC",PROPERTIES[[#This Row],[ENGINE_CLASS]])</f>
        <v>RUNNING_COST_DIESEL</v>
      </c>
      <c r="V474" s="10" t="s">
        <v>1006</v>
      </c>
      <c r="W474" s="10" t="s">
        <v>1007</v>
      </c>
      <c r="X474" s="10" t="str">
        <f>SUBSTITUTE(SUBSTITUTE(PROPERTIES[[#This Row],[PURCHASECOST_VALUE]], "PURCHASECOST_", ""), "_VALUE", "")</f>
        <v>DMU</v>
      </c>
      <c r="AP474"/>
      <c r="AQ474"/>
      <c r="AR474"/>
    </row>
    <row r="475" spans="1:44">
      <c r="A475" s="2" t="s">
        <v>501</v>
      </c>
      <c r="B475">
        <v>2011</v>
      </c>
      <c r="C475">
        <v>1</v>
      </c>
      <c r="D475" t="s">
        <v>35</v>
      </c>
      <c r="E475" t="s">
        <v>18</v>
      </c>
      <c r="F475">
        <v>66</v>
      </c>
      <c r="G475" s="10">
        <v>38</v>
      </c>
      <c r="H475">
        <v>8</v>
      </c>
      <c r="I475">
        <v>8</v>
      </c>
      <c r="J475" s="2" t="s">
        <v>479</v>
      </c>
      <c r="K475">
        <f>_xlfn.XLOOKUP("LOADINGSPEEDDEF_"&amp;PROPERTIES[[#This Row],[LOADINGSPEED]],LOADINGSPEEDDEF[TYPE],LOADINGSPEEDDEF[SPEED])</f>
        <v>16</v>
      </c>
      <c r="L475" t="s">
        <v>21</v>
      </c>
      <c r="M475">
        <v>1</v>
      </c>
      <c r="N475">
        <v>1350</v>
      </c>
      <c r="O475">
        <v>160</v>
      </c>
      <c r="P475" s="2">
        <v>0.53</v>
      </c>
      <c r="Q475" s="6">
        <v>25</v>
      </c>
      <c r="R475" s="10">
        <v>66</v>
      </c>
      <c r="S475" s="10">
        <v>8</v>
      </c>
      <c r="T475" s="10"/>
      <c r="U475" t="str">
        <f>"RUNNING_COST_"&amp;IF(PROPERTIES[[#This Row],[ENGINE_CLASS]]="MAGLEV","ELECTRIC",PROPERTIES[[#This Row],[ENGINE_CLASS]])</f>
        <v>RUNNING_COST_DIESEL</v>
      </c>
      <c r="V475" s="10" t="s">
        <v>1006</v>
      </c>
      <c r="W475" s="10" t="s">
        <v>1007</v>
      </c>
      <c r="X475" s="10" t="str">
        <f>SUBSTITUTE(SUBSTITUTE(PROPERTIES[[#This Row],[PURCHASECOST_VALUE]], "PURCHASECOST_", ""), "_VALUE", "")</f>
        <v>DMU</v>
      </c>
      <c r="AP475"/>
      <c r="AQ475"/>
      <c r="AR475"/>
    </row>
    <row r="476" spans="1:44">
      <c r="A476" s="2" t="s">
        <v>502</v>
      </c>
      <c r="B476">
        <v>1961</v>
      </c>
      <c r="C476">
        <v>1</v>
      </c>
      <c r="D476" t="s">
        <v>35</v>
      </c>
      <c r="E476" t="s">
        <v>18</v>
      </c>
      <c r="F476">
        <v>76</v>
      </c>
      <c r="G476" s="10">
        <v>35</v>
      </c>
      <c r="H476">
        <v>8</v>
      </c>
      <c r="I476">
        <v>8</v>
      </c>
      <c r="J476" s="2" t="s">
        <v>24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>
        <v>390</v>
      </c>
      <c r="O476">
        <v>90</v>
      </c>
      <c r="P476" s="2">
        <v>0.23</v>
      </c>
      <c r="Q476" s="6">
        <v>20</v>
      </c>
      <c r="R476" s="10">
        <v>76</v>
      </c>
      <c r="S476" s="10">
        <v>8</v>
      </c>
      <c r="T476" s="10"/>
      <c r="U476" t="str">
        <f>"RUNNING_COST_"&amp;IF(PROPERTIES[[#This Row],[ENGINE_CLASS]]="MAGLEV","ELECTRIC",PROPERTIES[[#This Row],[ENGINE_CLASS]])</f>
        <v>RUNNING_COST_DIESEL</v>
      </c>
      <c r="V476" s="10" t="s">
        <v>1006</v>
      </c>
      <c r="W476" s="10" t="s">
        <v>1007</v>
      </c>
      <c r="X476" s="10" t="str">
        <f>SUBSTITUTE(SUBSTITUTE(PROPERTIES[[#This Row],[PURCHASECOST_VALUE]], "PURCHASECOST_", ""), "_VALUE", "")</f>
        <v>DMU</v>
      </c>
      <c r="AP476"/>
      <c r="AQ476"/>
      <c r="AR476"/>
    </row>
    <row r="477" spans="1:44">
      <c r="A477" s="2" t="s">
        <v>503</v>
      </c>
      <c r="B477">
        <v>1968</v>
      </c>
      <c r="C477">
        <v>1</v>
      </c>
      <c r="D477" t="s">
        <v>35</v>
      </c>
      <c r="E477" t="s">
        <v>18</v>
      </c>
      <c r="F477">
        <v>52</v>
      </c>
      <c r="G477" s="10">
        <v>44</v>
      </c>
      <c r="H477">
        <v>8</v>
      </c>
      <c r="I477">
        <v>8</v>
      </c>
      <c r="J477" s="2" t="s">
        <v>24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>
        <v>500</v>
      </c>
      <c r="O477">
        <v>120</v>
      </c>
      <c r="P477" s="2">
        <v>0.34</v>
      </c>
      <c r="Q477" s="6">
        <v>20</v>
      </c>
      <c r="R477" s="10">
        <v>52</v>
      </c>
      <c r="S477" s="10">
        <v>8</v>
      </c>
      <c r="T477" s="10"/>
      <c r="U477" t="str">
        <f>"RUNNING_COST_"&amp;IF(PROPERTIES[[#This Row],[ENGINE_CLASS]]="MAGLEV","ELECTRIC",PROPERTIES[[#This Row],[ENGINE_CLASS]])</f>
        <v>RUNNING_COST_DIESEL</v>
      </c>
      <c r="V477" s="10" t="s">
        <v>1006</v>
      </c>
      <c r="W477" s="10" t="s">
        <v>1007</v>
      </c>
      <c r="X477" s="10" t="str">
        <f>SUBSTITUTE(SUBSTITUTE(PROPERTIES[[#This Row],[PURCHASECOST_VALUE]], "PURCHASECOST_", ""), "_VALUE", "")</f>
        <v>DMU</v>
      </c>
      <c r="AP477"/>
      <c r="AQ477"/>
      <c r="AR477"/>
    </row>
    <row r="478" spans="1:44">
      <c r="A478" s="2" t="s">
        <v>504</v>
      </c>
      <c r="B478">
        <v>1973</v>
      </c>
      <c r="C478">
        <v>1</v>
      </c>
      <c r="D478" t="s">
        <v>35</v>
      </c>
      <c r="E478" t="s">
        <v>18</v>
      </c>
      <c r="F478">
        <v>42</v>
      </c>
      <c r="G478" s="10">
        <v>22</v>
      </c>
      <c r="H478">
        <v>6</v>
      </c>
      <c r="I478">
        <v>6</v>
      </c>
      <c r="J478" s="2" t="s">
        <v>24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>
        <v>325</v>
      </c>
      <c r="O478">
        <v>80</v>
      </c>
      <c r="P478" s="2">
        <v>0.25</v>
      </c>
      <c r="Q478" s="6">
        <v>20</v>
      </c>
      <c r="R478" s="10">
        <v>42</v>
      </c>
      <c r="S478" s="10">
        <v>6</v>
      </c>
      <c r="T478" s="10"/>
      <c r="U478" t="str">
        <f>"RUNNING_COST_"&amp;IF(PROPERTIES[[#This Row],[ENGINE_CLASS]]="MAGLEV","ELECTRIC",PROPERTIES[[#This Row],[ENGINE_CLASS]])</f>
        <v>RUNNING_COST_DIESEL</v>
      </c>
      <c r="V478" s="10" t="s">
        <v>1006</v>
      </c>
      <c r="W478" s="10" t="s">
        <v>1007</v>
      </c>
      <c r="X478" s="10" t="str">
        <f>SUBSTITUTE(SUBSTITUTE(PROPERTIES[[#This Row],[PURCHASECOST_VALUE]], "PURCHASECOST_", ""), "_VALUE", "")</f>
        <v>DMU</v>
      </c>
      <c r="AP478"/>
      <c r="AQ478"/>
      <c r="AR478"/>
    </row>
    <row r="479" spans="1:44">
      <c r="A479" s="2" t="s">
        <v>505</v>
      </c>
      <c r="B479">
        <v>1984</v>
      </c>
      <c r="C479">
        <v>1</v>
      </c>
      <c r="D479" t="s">
        <v>35</v>
      </c>
      <c r="E479" t="s">
        <v>18</v>
      </c>
      <c r="F479">
        <v>80</v>
      </c>
      <c r="G479" s="10">
        <v>36</v>
      </c>
      <c r="H479">
        <v>7</v>
      </c>
      <c r="I479">
        <v>7</v>
      </c>
      <c r="J479" s="2" t="s">
        <v>24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>
        <v>389</v>
      </c>
      <c r="O479">
        <v>121</v>
      </c>
      <c r="P479" s="2">
        <v>0.26</v>
      </c>
      <c r="Q479" s="6">
        <v>20</v>
      </c>
      <c r="R479" s="10">
        <v>80</v>
      </c>
      <c r="S479" s="10">
        <v>7</v>
      </c>
      <c r="T479" s="10"/>
      <c r="U479" t="str">
        <f>"RUNNING_COST_"&amp;IF(PROPERTIES[[#This Row],[ENGINE_CLASS]]="MAGLEV","ELECTRIC",PROPERTIES[[#This Row],[ENGINE_CLASS]])</f>
        <v>RUNNING_COST_DIESEL</v>
      </c>
      <c r="V479" s="10" t="s">
        <v>1006</v>
      </c>
      <c r="W479" s="10" t="s">
        <v>1007</v>
      </c>
      <c r="X479" s="10" t="str">
        <f>SUBSTITUTE(SUBSTITUTE(PROPERTIES[[#This Row],[PURCHASECOST_VALUE]], "PURCHASECOST_", ""), "_VALUE", "")</f>
        <v>DMU</v>
      </c>
      <c r="AP479"/>
      <c r="AQ479"/>
      <c r="AR479"/>
    </row>
    <row r="480" spans="1:44">
      <c r="A480" s="2" t="s">
        <v>506</v>
      </c>
      <c r="B480">
        <v>1984</v>
      </c>
      <c r="C480">
        <v>1</v>
      </c>
      <c r="D480" t="s">
        <v>35</v>
      </c>
      <c r="E480" t="s">
        <v>18</v>
      </c>
      <c r="F480">
        <v>47</v>
      </c>
      <c r="G480" s="10">
        <v>42</v>
      </c>
      <c r="H480">
        <v>6</v>
      </c>
      <c r="I480">
        <v>6</v>
      </c>
      <c r="J480" s="2" t="s">
        <v>24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>
        <v>204</v>
      </c>
      <c r="O480">
        <v>121</v>
      </c>
      <c r="P480" s="2">
        <v>0.21</v>
      </c>
      <c r="Q480" s="6">
        <v>20</v>
      </c>
      <c r="R480" s="10">
        <v>47</v>
      </c>
      <c r="S480" s="10">
        <v>6</v>
      </c>
      <c r="T480" s="10"/>
      <c r="U480" t="str">
        <f>"RUNNING_COST_"&amp;IF(PROPERTIES[[#This Row],[ENGINE_CLASS]]="MAGLEV","ELECTRIC",PROPERTIES[[#This Row],[ENGINE_CLASS]])</f>
        <v>RUNNING_COST_DIESEL</v>
      </c>
      <c r="V480" s="10" t="s">
        <v>1006</v>
      </c>
      <c r="W480" s="10" t="s">
        <v>1007</v>
      </c>
      <c r="X480" s="10" t="str">
        <f>SUBSTITUTE(SUBSTITUTE(PROPERTIES[[#This Row],[PURCHASECOST_VALUE]], "PURCHASECOST_", ""), "_VALUE", "")</f>
        <v>DMU</v>
      </c>
      <c r="AP480"/>
      <c r="AQ480"/>
      <c r="AR480"/>
    </row>
    <row r="481" spans="1:44">
      <c r="A481" s="2" t="s">
        <v>507</v>
      </c>
      <c r="B481">
        <v>1986</v>
      </c>
      <c r="C481">
        <v>1</v>
      </c>
      <c r="D481" t="s">
        <v>35</v>
      </c>
      <c r="E481" t="s">
        <v>18</v>
      </c>
      <c r="F481">
        <v>46</v>
      </c>
      <c r="G481" s="10">
        <v>34</v>
      </c>
      <c r="H481">
        <v>8</v>
      </c>
      <c r="I481">
        <v>8</v>
      </c>
      <c r="J481" s="2" t="s">
        <v>24</v>
      </c>
      <c r="K481">
        <f>_xlfn.XLOOKUP("LOADINGSPEEDDEF_"&amp;PROPERTIES[[#This Row],[LOADINGSPEED]],LOADINGSPEEDDEF[TYPE],LOADINGSPEEDDEF[SPEED])</f>
        <v>40</v>
      </c>
      <c r="L481">
        <v>45</v>
      </c>
      <c r="M481">
        <v>1</v>
      </c>
      <c r="N481">
        <v>540</v>
      </c>
      <c r="O481">
        <v>180</v>
      </c>
      <c r="P481" s="2">
        <v>0.31</v>
      </c>
      <c r="Q481" s="6">
        <v>20</v>
      </c>
      <c r="R481" s="10">
        <v>46</v>
      </c>
      <c r="S481" s="10">
        <v>8</v>
      </c>
      <c r="T481" s="10"/>
      <c r="U481" t="str">
        <f>"RUNNING_COST_"&amp;IF(PROPERTIES[[#This Row],[ENGINE_CLASS]]="MAGLEV","ELECTRIC",PROPERTIES[[#This Row],[ENGINE_CLASS]])</f>
        <v>RUNNING_COST_DIESEL</v>
      </c>
      <c r="V481" s="10" t="s">
        <v>1006</v>
      </c>
      <c r="W481" s="10" t="s">
        <v>1007</v>
      </c>
      <c r="X481" s="10" t="str">
        <f>SUBSTITUTE(SUBSTITUTE(PROPERTIES[[#This Row],[PURCHASECOST_VALUE]], "PURCHASECOST_", ""), "_VALUE", "")</f>
        <v>DMU</v>
      </c>
      <c r="AP481"/>
      <c r="AQ481"/>
      <c r="AR481"/>
    </row>
    <row r="482" spans="1:44">
      <c r="A482" s="2" t="s">
        <v>508</v>
      </c>
      <c r="B482">
        <v>1987</v>
      </c>
      <c r="C482">
        <v>1</v>
      </c>
      <c r="D482" t="s">
        <v>35</v>
      </c>
      <c r="E482" t="s">
        <v>18</v>
      </c>
      <c r="F482">
        <v>53</v>
      </c>
      <c r="G482" s="10">
        <v>48</v>
      </c>
      <c r="H482">
        <v>7</v>
      </c>
      <c r="I482">
        <v>7</v>
      </c>
      <c r="J482" s="2" t="s">
        <v>24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>
        <v>475</v>
      </c>
      <c r="O482">
        <v>90</v>
      </c>
      <c r="P482" s="2">
        <v>0.22</v>
      </c>
      <c r="Q482" s="6">
        <v>20</v>
      </c>
      <c r="R482" s="10">
        <v>53</v>
      </c>
      <c r="S482" s="10">
        <v>7</v>
      </c>
      <c r="T482" s="10"/>
      <c r="U482" t="str">
        <f>"RUNNING_COST_"&amp;IF(PROPERTIES[[#This Row],[ENGINE_CLASS]]="MAGLEV","ELECTRIC",PROPERTIES[[#This Row],[ENGINE_CLASS]])</f>
        <v>RUNNING_COST_DIESEL</v>
      </c>
      <c r="V482" s="10" t="s">
        <v>1006</v>
      </c>
      <c r="W482" s="10" t="s">
        <v>1007</v>
      </c>
      <c r="X482" s="10" t="str">
        <f>SUBSTITUTE(SUBSTITUTE(PROPERTIES[[#This Row],[PURCHASECOST_VALUE]], "PURCHASECOST_", ""), "_VALUE", "")</f>
        <v>DMU</v>
      </c>
      <c r="AP482"/>
      <c r="AQ482"/>
      <c r="AR482"/>
    </row>
    <row r="483" spans="1:44">
      <c r="A483" s="2" t="s">
        <v>509</v>
      </c>
      <c r="B483">
        <v>1993</v>
      </c>
      <c r="C483">
        <v>1</v>
      </c>
      <c r="D483" t="s">
        <v>35</v>
      </c>
      <c r="E483" t="s">
        <v>18</v>
      </c>
      <c r="F483">
        <v>66</v>
      </c>
      <c r="G483" s="10">
        <v>57</v>
      </c>
      <c r="H483">
        <v>8</v>
      </c>
      <c r="I483">
        <v>8</v>
      </c>
      <c r="J483" s="2" t="s">
        <v>24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>
        <v>514</v>
      </c>
      <c r="O483">
        <v>160</v>
      </c>
      <c r="P483" s="2">
        <v>0.13</v>
      </c>
      <c r="Q483" s="6">
        <v>20</v>
      </c>
      <c r="R483" s="10">
        <v>66</v>
      </c>
      <c r="S483" s="10">
        <v>8</v>
      </c>
      <c r="T483" s="10"/>
      <c r="U483" t="str">
        <f>"RUNNING_COST_"&amp;IF(PROPERTIES[[#This Row],[ENGINE_CLASS]]="MAGLEV","ELECTRIC",PROPERTIES[[#This Row],[ENGINE_CLASS]])</f>
        <v>RUNNING_COST_DIESEL</v>
      </c>
      <c r="V483" s="10" t="s">
        <v>1006</v>
      </c>
      <c r="W483" s="10" t="s">
        <v>1007</v>
      </c>
      <c r="X483" s="10" t="str">
        <f>SUBSTITUTE(SUBSTITUTE(PROPERTIES[[#This Row],[PURCHASECOST_VALUE]], "PURCHASECOST_", ""), "_VALUE", "")</f>
        <v>DMU</v>
      </c>
      <c r="AP483"/>
      <c r="AQ483"/>
      <c r="AR483"/>
    </row>
    <row r="484" spans="1:44">
      <c r="A484" s="2" t="s">
        <v>510</v>
      </c>
      <c r="B484">
        <v>2010</v>
      </c>
      <c r="C484">
        <v>1</v>
      </c>
      <c r="D484" t="s">
        <v>35</v>
      </c>
      <c r="E484" t="s">
        <v>18</v>
      </c>
      <c r="F484">
        <v>56</v>
      </c>
      <c r="G484" s="10">
        <v>49</v>
      </c>
      <c r="H484">
        <v>7</v>
      </c>
      <c r="I484">
        <v>7</v>
      </c>
      <c r="J484" s="2" t="s">
        <v>24</v>
      </c>
      <c r="K484">
        <f>_xlfn.XLOOKUP("LOADINGSPEEDDEF_"&amp;PROPERTIES[[#This Row],[LOADINGSPEED]],LOADINGSPEEDDEF[TYPE],LOADINGSPEEDDEF[SPEED])</f>
        <v>40</v>
      </c>
      <c r="L484" t="s">
        <v>21</v>
      </c>
      <c r="M484">
        <v>1</v>
      </c>
      <c r="N484">
        <v>900</v>
      </c>
      <c r="O484">
        <v>130</v>
      </c>
      <c r="P484" s="2">
        <v>0.21</v>
      </c>
      <c r="Q484" s="6">
        <v>20</v>
      </c>
      <c r="R484" s="10">
        <v>56</v>
      </c>
      <c r="S484" s="10">
        <v>7</v>
      </c>
      <c r="T484" s="10"/>
      <c r="U484" t="str">
        <f>"RUNNING_COST_"&amp;IF(PROPERTIES[[#This Row],[ENGINE_CLASS]]="MAGLEV","ELECTRIC",PROPERTIES[[#This Row],[ENGINE_CLASS]])</f>
        <v>RUNNING_COST_DIESEL</v>
      </c>
      <c r="V484" s="10" t="s">
        <v>1006</v>
      </c>
      <c r="W484" s="10" t="s">
        <v>1007</v>
      </c>
      <c r="X484" s="10" t="str">
        <f>SUBSTITUTE(SUBSTITUTE(PROPERTIES[[#This Row],[PURCHASECOST_VALUE]], "PURCHASECOST_", ""), "_VALUE", "")</f>
        <v>DMU</v>
      </c>
      <c r="AP484"/>
      <c r="AQ484"/>
      <c r="AR484"/>
    </row>
    <row r="485" spans="1:44">
      <c r="A485" s="2" t="s">
        <v>511</v>
      </c>
      <c r="B485">
        <v>2011</v>
      </c>
      <c r="C485">
        <v>1</v>
      </c>
      <c r="D485" t="s">
        <v>35</v>
      </c>
      <c r="E485" t="s">
        <v>18</v>
      </c>
      <c r="F485">
        <v>72</v>
      </c>
      <c r="G485" s="10">
        <v>20</v>
      </c>
      <c r="H485">
        <v>8</v>
      </c>
      <c r="I485">
        <v>8</v>
      </c>
      <c r="J485" s="2" t="s">
        <v>24</v>
      </c>
      <c r="K485">
        <f>_xlfn.XLOOKUP("LOADINGSPEEDDEF_"&amp;PROPERTIES[[#This Row],[LOADINGSPEED]],LOADINGSPEEDDEF[TYPE],LOADINGSPEEDDEF[SPEED])</f>
        <v>40</v>
      </c>
      <c r="L485" t="s">
        <v>21</v>
      </c>
      <c r="M485">
        <v>1</v>
      </c>
      <c r="N485">
        <v>680</v>
      </c>
      <c r="O485">
        <v>110</v>
      </c>
      <c r="P485" s="2">
        <v>0.57999999999999996</v>
      </c>
      <c r="Q485" s="6">
        <v>20</v>
      </c>
      <c r="R485" s="10">
        <v>72</v>
      </c>
      <c r="S485" s="10">
        <v>8</v>
      </c>
      <c r="T485" s="10"/>
      <c r="U485" t="str">
        <f>"RUNNING_COST_"&amp;IF(PROPERTIES[[#This Row],[ENGINE_CLASS]]="MAGLEV","ELECTRIC",PROPERTIES[[#This Row],[ENGINE_CLASS]])</f>
        <v>RUNNING_COST_DIESEL</v>
      </c>
      <c r="V485" s="10" t="s">
        <v>1006</v>
      </c>
      <c r="W485" s="10" t="s">
        <v>1007</v>
      </c>
      <c r="X485" s="10" t="str">
        <f>SUBSTITUTE(SUBSTITUTE(PROPERTIES[[#This Row],[PURCHASECOST_VALUE]], "PURCHASECOST_", ""), "_VALUE", "")</f>
        <v>DMU</v>
      </c>
      <c r="AP485"/>
      <c r="AQ485"/>
      <c r="AR485"/>
    </row>
    <row r="486" spans="1:44">
      <c r="A486" s="2" t="s">
        <v>512</v>
      </c>
      <c r="B486">
        <v>2011</v>
      </c>
      <c r="C486">
        <v>1</v>
      </c>
      <c r="D486" t="s">
        <v>35</v>
      </c>
      <c r="E486" t="s">
        <v>18</v>
      </c>
      <c r="F486">
        <v>60</v>
      </c>
      <c r="G486" s="10">
        <v>45</v>
      </c>
      <c r="H486">
        <v>8</v>
      </c>
      <c r="I486">
        <v>8</v>
      </c>
      <c r="J486" s="2" t="s">
        <v>24</v>
      </c>
      <c r="K486">
        <f>_xlfn.XLOOKUP("LOADINGSPEEDDEF_"&amp;PROPERTIES[[#This Row],[LOADINGSPEED]],LOADINGSPEEDDEF[TYPE],LOADINGSPEEDDEF[SPEED])</f>
        <v>40</v>
      </c>
      <c r="L486" t="s">
        <v>21</v>
      </c>
      <c r="M486">
        <v>1</v>
      </c>
      <c r="N486">
        <v>1580</v>
      </c>
      <c r="O486">
        <v>140</v>
      </c>
      <c r="P486" s="2">
        <v>0.34</v>
      </c>
      <c r="Q486" s="6">
        <v>20</v>
      </c>
      <c r="R486" s="10">
        <v>60</v>
      </c>
      <c r="S486" s="10">
        <v>7</v>
      </c>
      <c r="T486" s="10"/>
      <c r="U486" t="str">
        <f>"RUNNING_COST_"&amp;IF(PROPERTIES[[#This Row],[ENGINE_CLASS]]="MAGLEV","ELECTRIC",PROPERTIES[[#This Row],[ENGINE_CLASS]])</f>
        <v>RUNNING_COST_DIESEL</v>
      </c>
      <c r="V486" s="10" t="s">
        <v>1006</v>
      </c>
      <c r="W486" s="10" t="s">
        <v>1007</v>
      </c>
      <c r="X486" s="10" t="str">
        <f>SUBSTITUTE(SUBSTITUTE(PROPERTIES[[#This Row],[PURCHASECOST_VALUE]], "PURCHASECOST_", ""), "_VALUE", "")</f>
        <v>DMU</v>
      </c>
      <c r="AP486"/>
      <c r="AQ486"/>
      <c r="AR486"/>
    </row>
    <row r="487" spans="1:44">
      <c r="A487" s="2" t="s">
        <v>513</v>
      </c>
      <c r="B487">
        <v>1982</v>
      </c>
      <c r="C487">
        <v>1</v>
      </c>
      <c r="D487" t="s">
        <v>35</v>
      </c>
      <c r="E487" t="s">
        <v>18</v>
      </c>
      <c r="F487">
        <v>84</v>
      </c>
      <c r="G487" s="10">
        <v>68</v>
      </c>
      <c r="H487">
        <v>8</v>
      </c>
      <c r="I487">
        <v>8</v>
      </c>
      <c r="J487" s="2" t="s">
        <v>24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>
        <v>220</v>
      </c>
      <c r="O487">
        <v>120</v>
      </c>
      <c r="P487" s="2">
        <v>0.13</v>
      </c>
      <c r="Q487" s="6">
        <v>40</v>
      </c>
      <c r="R487" s="10">
        <v>84</v>
      </c>
      <c r="S487" s="10">
        <v>8</v>
      </c>
      <c r="T487" s="10"/>
      <c r="U487" t="str">
        <f>"RUNNING_COST_"&amp;IF(PROPERTIES[[#This Row],[ENGINE_CLASS]]="MAGLEV","ELECTRIC",PROPERTIES[[#This Row],[ENGINE_CLASS]])</f>
        <v>RUNNING_COST_DIESEL</v>
      </c>
      <c r="V487" s="10" t="s">
        <v>1006</v>
      </c>
      <c r="W487" s="10" t="s">
        <v>1007</v>
      </c>
      <c r="X487" s="10" t="str">
        <f>SUBSTITUTE(SUBSTITUTE(PROPERTIES[[#This Row],[PURCHASECOST_VALUE]], "PURCHASECOST_", ""), "_VALUE", "")</f>
        <v>DMU</v>
      </c>
      <c r="AP487"/>
      <c r="AQ487"/>
      <c r="AR487"/>
    </row>
    <row r="488" spans="1:44">
      <c r="A488" s="2" t="s">
        <v>514</v>
      </c>
      <c r="B488">
        <v>1976</v>
      </c>
      <c r="C488">
        <v>1</v>
      </c>
      <c r="D488" t="s">
        <v>35</v>
      </c>
      <c r="E488" t="s">
        <v>18</v>
      </c>
      <c r="F488">
        <v>62</v>
      </c>
      <c r="G488" s="10">
        <v>38</v>
      </c>
      <c r="H488">
        <v>8</v>
      </c>
      <c r="I488">
        <v>8</v>
      </c>
      <c r="J488" s="2" t="s">
        <v>24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>
        <v>400</v>
      </c>
      <c r="O488">
        <v>90</v>
      </c>
      <c r="P488" s="2">
        <v>0.22</v>
      </c>
      <c r="Q488" s="6">
        <v>40</v>
      </c>
      <c r="R488" s="10">
        <v>62</v>
      </c>
      <c r="S488" s="10">
        <v>8</v>
      </c>
      <c r="T488" s="10"/>
      <c r="U488" t="str">
        <f>"RUNNING_COST_"&amp;IF(PROPERTIES[[#This Row],[ENGINE_CLASS]]="MAGLEV","ELECTRIC",PROPERTIES[[#This Row],[ENGINE_CLASS]])</f>
        <v>RUNNING_COST_DIESEL</v>
      </c>
      <c r="V488" s="10" t="s">
        <v>1006</v>
      </c>
      <c r="W488" s="10" t="s">
        <v>1007</v>
      </c>
      <c r="X488" s="10" t="str">
        <f>SUBSTITUTE(SUBSTITUTE(PROPERTIES[[#This Row],[PURCHASECOST_VALUE]], "PURCHASECOST_", ""), "_VALUE", "")</f>
        <v>DMU</v>
      </c>
      <c r="AP488"/>
      <c r="AQ488"/>
      <c r="AR488"/>
    </row>
    <row r="489" spans="1:44">
      <c r="A489" s="2" t="s">
        <v>515</v>
      </c>
      <c r="B489">
        <v>1960</v>
      </c>
      <c r="C489">
        <v>1</v>
      </c>
      <c r="D489" t="s">
        <v>35</v>
      </c>
      <c r="E489" t="s">
        <v>18</v>
      </c>
      <c r="F489">
        <v>42</v>
      </c>
      <c r="G489" s="10">
        <v>50</v>
      </c>
      <c r="H489">
        <v>7</v>
      </c>
      <c r="I489">
        <v>7</v>
      </c>
      <c r="J489" s="2" t="s">
        <v>24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>
        <v>398</v>
      </c>
      <c r="O489">
        <v>145</v>
      </c>
      <c r="P489" s="2">
        <v>0.24</v>
      </c>
      <c r="Q489" s="6">
        <v>40</v>
      </c>
      <c r="R489" s="10">
        <v>42</v>
      </c>
      <c r="S489" s="10">
        <v>7</v>
      </c>
      <c r="T489" s="10"/>
      <c r="U489" t="str">
        <f>"RUNNING_COST_"&amp;IF(PROPERTIES[[#This Row],[ENGINE_CLASS]]="MAGLEV","ELECTRIC",PROPERTIES[[#This Row],[ENGINE_CLASS]])</f>
        <v>RUNNING_COST_DIESEL</v>
      </c>
      <c r="V489" s="10" t="s">
        <v>1006</v>
      </c>
      <c r="W489" s="10" t="s">
        <v>1007</v>
      </c>
      <c r="X489" s="10" t="str">
        <f>SUBSTITUTE(SUBSTITUTE(PROPERTIES[[#This Row],[PURCHASECOST_VALUE]], "PURCHASECOST_", ""), "_VALUE", "")</f>
        <v>DMU</v>
      </c>
      <c r="AP489"/>
      <c r="AQ489"/>
      <c r="AR489"/>
    </row>
    <row r="490" spans="1:44">
      <c r="A490" s="2" t="s">
        <v>516</v>
      </c>
      <c r="B490">
        <v>1967</v>
      </c>
      <c r="C490">
        <v>1</v>
      </c>
      <c r="D490" t="s">
        <v>35</v>
      </c>
      <c r="E490" t="s">
        <v>18</v>
      </c>
      <c r="F490">
        <v>56</v>
      </c>
      <c r="G490" s="10">
        <v>33</v>
      </c>
      <c r="H490">
        <v>8</v>
      </c>
      <c r="I490">
        <v>8</v>
      </c>
      <c r="J490" s="2" t="s">
        <v>24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>
        <v>416</v>
      </c>
      <c r="O490">
        <v>90</v>
      </c>
      <c r="P490" s="2">
        <v>0.44</v>
      </c>
      <c r="Q490" s="6">
        <v>40</v>
      </c>
      <c r="R490" s="10">
        <v>56</v>
      </c>
      <c r="S490" s="10">
        <v>7</v>
      </c>
      <c r="T490" s="10"/>
      <c r="U490" t="str">
        <f>"RUNNING_COST_"&amp;IF(PROPERTIES[[#This Row],[ENGINE_CLASS]]="MAGLEV","ELECTRIC",PROPERTIES[[#This Row],[ENGINE_CLASS]])</f>
        <v>RUNNING_COST_DIESEL</v>
      </c>
      <c r="V490" s="10" t="s">
        <v>1006</v>
      </c>
      <c r="W490" s="10" t="s">
        <v>1007</v>
      </c>
      <c r="X490" s="10" t="str">
        <f>SUBSTITUTE(SUBSTITUTE(PROPERTIES[[#This Row],[PURCHASECOST_VALUE]], "PURCHASECOST_", ""), "_VALUE", "")</f>
        <v>DMU</v>
      </c>
      <c r="AP490"/>
      <c r="AQ490"/>
      <c r="AR490"/>
    </row>
    <row r="491" spans="1:44">
      <c r="A491" s="2" t="s">
        <v>517</v>
      </c>
      <c r="B491">
        <v>1971</v>
      </c>
      <c r="C491">
        <v>1</v>
      </c>
      <c r="D491" t="s">
        <v>35</v>
      </c>
      <c r="E491" t="s">
        <v>18</v>
      </c>
      <c r="F491">
        <v>72</v>
      </c>
      <c r="G491" s="10">
        <v>62</v>
      </c>
      <c r="H491">
        <v>8</v>
      </c>
      <c r="I491">
        <v>8</v>
      </c>
      <c r="J491" s="2" t="s">
        <v>24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>
        <v>396</v>
      </c>
      <c r="O491">
        <v>120</v>
      </c>
      <c r="P491" s="2">
        <v>0.2</v>
      </c>
      <c r="Q491" s="6">
        <v>40</v>
      </c>
      <c r="R491" s="10">
        <v>72</v>
      </c>
      <c r="S491" s="10">
        <v>8</v>
      </c>
      <c r="T491" s="10"/>
      <c r="U491" t="str">
        <f>"RUNNING_COST_"&amp;IF(PROPERTIES[[#This Row],[ENGINE_CLASS]]="MAGLEV","ELECTRIC",PROPERTIES[[#This Row],[ENGINE_CLASS]])</f>
        <v>RUNNING_COST_DIESEL</v>
      </c>
      <c r="V491" s="10" t="s">
        <v>1006</v>
      </c>
      <c r="W491" s="10" t="s">
        <v>1007</v>
      </c>
      <c r="X491" s="10" t="str">
        <f>SUBSTITUTE(SUBSTITUTE(PROPERTIES[[#This Row],[PURCHASECOST_VALUE]], "PURCHASECOST_", ""), "_VALUE", "")</f>
        <v>DMU</v>
      </c>
      <c r="AP491"/>
      <c r="AQ491"/>
      <c r="AR491"/>
    </row>
    <row r="492" spans="1:44">
      <c r="A492" s="2" t="s">
        <v>518</v>
      </c>
      <c r="B492">
        <v>1972</v>
      </c>
      <c r="C492">
        <v>1</v>
      </c>
      <c r="D492" t="s">
        <v>35</v>
      </c>
      <c r="E492" t="s">
        <v>18</v>
      </c>
      <c r="F492">
        <v>60</v>
      </c>
      <c r="G492" s="10">
        <v>49</v>
      </c>
      <c r="H492">
        <v>8</v>
      </c>
      <c r="I492">
        <v>8</v>
      </c>
      <c r="J492" s="2" t="s">
        <v>24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>
        <v>1036</v>
      </c>
      <c r="O492">
        <v>160</v>
      </c>
      <c r="P492" s="2">
        <v>0.38</v>
      </c>
      <c r="Q492" s="6">
        <v>40</v>
      </c>
      <c r="R492" s="10">
        <v>60</v>
      </c>
      <c r="S492" s="10">
        <v>8</v>
      </c>
      <c r="T492" s="10"/>
      <c r="U492" t="str">
        <f>"RUNNING_COST_"&amp;IF(PROPERTIES[[#This Row],[ENGINE_CLASS]]="MAGLEV","ELECTRIC",PROPERTIES[[#This Row],[ENGINE_CLASS]])</f>
        <v>RUNNING_COST_DIESEL</v>
      </c>
      <c r="V492" s="10" t="s">
        <v>1006</v>
      </c>
      <c r="W492" s="10" t="s">
        <v>1007</v>
      </c>
      <c r="X492" s="10" t="str">
        <f>SUBSTITUTE(SUBSTITUTE(PROPERTIES[[#This Row],[PURCHASECOST_VALUE]], "PURCHASECOST_", ""), "_VALUE", "")</f>
        <v>DMU</v>
      </c>
      <c r="AP492"/>
      <c r="AQ492"/>
      <c r="AR492"/>
    </row>
    <row r="493" spans="1:44">
      <c r="A493" s="2" t="s">
        <v>519</v>
      </c>
      <c r="B493">
        <v>1981</v>
      </c>
      <c r="C493">
        <v>1</v>
      </c>
      <c r="D493" t="s">
        <v>35</v>
      </c>
      <c r="E493" t="s">
        <v>18</v>
      </c>
      <c r="F493">
        <v>80</v>
      </c>
      <c r="G493" s="10">
        <v>34</v>
      </c>
      <c r="H493">
        <v>8</v>
      </c>
      <c r="I493">
        <v>8</v>
      </c>
      <c r="J493" s="2" t="s">
        <v>24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>
        <v>562</v>
      </c>
      <c r="O493">
        <v>101</v>
      </c>
      <c r="P493" s="2">
        <v>0.3</v>
      </c>
      <c r="Q493" s="6">
        <v>40</v>
      </c>
      <c r="R493" s="10">
        <v>80</v>
      </c>
      <c r="S493" s="10">
        <v>8</v>
      </c>
      <c r="T493" s="10"/>
      <c r="U493" t="str">
        <f>"RUNNING_COST_"&amp;IF(PROPERTIES[[#This Row],[ENGINE_CLASS]]="MAGLEV","ELECTRIC",PROPERTIES[[#This Row],[ENGINE_CLASS]])</f>
        <v>RUNNING_COST_DIESEL</v>
      </c>
      <c r="V493" s="10" t="s">
        <v>1006</v>
      </c>
      <c r="W493" s="10" t="s">
        <v>1007</v>
      </c>
      <c r="X493" s="10" t="str">
        <f>SUBSTITUTE(SUBSTITUTE(PROPERTIES[[#This Row],[PURCHASECOST_VALUE]], "PURCHASECOST_", ""), "_VALUE", "")</f>
        <v>DMU</v>
      </c>
      <c r="AP493"/>
      <c r="AQ493"/>
      <c r="AR493"/>
    </row>
    <row r="494" spans="1:44">
      <c r="A494" s="2" t="s">
        <v>520</v>
      </c>
      <c r="B494">
        <v>1986</v>
      </c>
      <c r="C494">
        <v>1</v>
      </c>
      <c r="D494" t="s">
        <v>35</v>
      </c>
      <c r="E494" t="s">
        <v>18</v>
      </c>
      <c r="F494">
        <v>74</v>
      </c>
      <c r="G494" s="10">
        <v>42</v>
      </c>
      <c r="H494">
        <v>8</v>
      </c>
      <c r="I494">
        <v>8</v>
      </c>
      <c r="J494" s="2" t="s">
        <v>24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>
        <v>570</v>
      </c>
      <c r="O494">
        <v>120</v>
      </c>
      <c r="P494" s="2">
        <v>0.27</v>
      </c>
      <c r="Q494" s="6">
        <v>40</v>
      </c>
      <c r="R494" s="10">
        <v>74</v>
      </c>
      <c r="S494" s="10">
        <v>8</v>
      </c>
      <c r="T494" s="10"/>
      <c r="U494" t="str">
        <f>"RUNNING_COST_"&amp;IF(PROPERTIES[[#This Row],[ENGINE_CLASS]]="MAGLEV","ELECTRIC",PROPERTIES[[#This Row],[ENGINE_CLASS]])</f>
        <v>RUNNING_COST_DIESEL</v>
      </c>
      <c r="V494" s="10" t="s">
        <v>1006</v>
      </c>
      <c r="W494" s="10" t="s">
        <v>1007</v>
      </c>
      <c r="X494" s="10" t="str">
        <f>SUBSTITUTE(SUBSTITUTE(PROPERTIES[[#This Row],[PURCHASECOST_VALUE]], "PURCHASECOST_", ""), "_VALUE", "")</f>
        <v>DMU</v>
      </c>
      <c r="AP494"/>
      <c r="AQ494"/>
      <c r="AR494"/>
    </row>
    <row r="495" spans="1:44">
      <c r="A495" s="2" t="s">
        <v>521</v>
      </c>
      <c r="B495">
        <v>2007</v>
      </c>
      <c r="C495">
        <v>1</v>
      </c>
      <c r="D495" t="s">
        <v>35</v>
      </c>
      <c r="E495" t="s">
        <v>18</v>
      </c>
      <c r="F495">
        <v>66</v>
      </c>
      <c r="G495" s="10">
        <v>53</v>
      </c>
      <c r="H495">
        <v>8</v>
      </c>
      <c r="I495">
        <v>8</v>
      </c>
      <c r="J495" s="2" t="s">
        <v>24</v>
      </c>
      <c r="K495">
        <f>_xlfn.XLOOKUP("LOADINGSPEEDDEF_"&amp;PROPERTIES[[#This Row],[LOADINGSPEED]],LOADINGSPEEDDEF[TYPE],LOADINGSPEEDDEF[SPEED])</f>
        <v>40</v>
      </c>
      <c r="L495" t="s">
        <v>21</v>
      </c>
      <c r="M495">
        <v>1</v>
      </c>
      <c r="N495">
        <v>1810</v>
      </c>
      <c r="O495">
        <v>160</v>
      </c>
      <c r="P495" s="2">
        <v>0.37</v>
      </c>
      <c r="Q495" s="6">
        <v>40</v>
      </c>
      <c r="R495" s="10">
        <v>66</v>
      </c>
      <c r="S495" s="10">
        <v>8</v>
      </c>
      <c r="T495" s="10"/>
      <c r="U495" t="str">
        <f>"RUNNING_COST_"&amp;IF(PROPERTIES[[#This Row],[ENGINE_CLASS]]="MAGLEV","ELECTRIC",PROPERTIES[[#This Row],[ENGINE_CLASS]])</f>
        <v>RUNNING_COST_DIESEL</v>
      </c>
      <c r="V495" s="10" t="s">
        <v>1006</v>
      </c>
      <c r="W495" s="10" t="s">
        <v>1007</v>
      </c>
      <c r="X495" s="10" t="str">
        <f>SUBSTITUTE(SUBSTITUTE(PROPERTIES[[#This Row],[PURCHASECOST_VALUE]], "PURCHASECOST_", ""), "_VALUE", "")</f>
        <v>DMU</v>
      </c>
      <c r="AP495"/>
      <c r="AQ495"/>
      <c r="AR495"/>
    </row>
    <row r="496" spans="1:44">
      <c r="A496" s="2" t="s">
        <v>522</v>
      </c>
      <c r="B496">
        <v>2008</v>
      </c>
      <c r="C496">
        <v>1</v>
      </c>
      <c r="D496" t="s">
        <v>35</v>
      </c>
      <c r="E496" t="s">
        <v>18</v>
      </c>
      <c r="F496">
        <v>55</v>
      </c>
      <c r="G496" s="10">
        <v>35</v>
      </c>
      <c r="H496">
        <v>8</v>
      </c>
      <c r="I496">
        <v>8</v>
      </c>
      <c r="J496" s="2" t="s">
        <v>24</v>
      </c>
      <c r="K496">
        <f>_xlfn.XLOOKUP("LOADINGSPEEDDEF_"&amp;PROPERTIES[[#This Row],[LOADINGSPEED]],LOADINGSPEEDDEF[TYPE],LOADINGSPEEDDEF[SPEED])</f>
        <v>40</v>
      </c>
      <c r="L496" t="s">
        <v>21</v>
      </c>
      <c r="M496">
        <v>1</v>
      </c>
      <c r="N496">
        <v>1232</v>
      </c>
      <c r="O496">
        <v>130</v>
      </c>
      <c r="P496" s="2">
        <v>0.52</v>
      </c>
      <c r="Q496" s="6">
        <v>40</v>
      </c>
      <c r="R496" s="10">
        <v>55</v>
      </c>
      <c r="S496" s="10">
        <v>8</v>
      </c>
      <c r="T496" s="10"/>
      <c r="U496" t="str">
        <f>"RUNNING_COST_"&amp;IF(PROPERTIES[[#This Row],[ENGINE_CLASS]]="MAGLEV","ELECTRIC",PROPERTIES[[#This Row],[ENGINE_CLASS]])</f>
        <v>RUNNING_COST_DIESEL</v>
      </c>
      <c r="V496" s="10" t="s">
        <v>1006</v>
      </c>
      <c r="W496" s="10" t="s">
        <v>1007</v>
      </c>
      <c r="X496" s="10" t="str">
        <f>SUBSTITUTE(SUBSTITUTE(PROPERTIES[[#This Row],[PURCHASECOST_VALUE]], "PURCHASECOST_", ""), "_VALUE", "")</f>
        <v>DMU</v>
      </c>
      <c r="AP496"/>
      <c r="AQ496"/>
      <c r="AR496"/>
    </row>
    <row r="497" spans="1:44">
      <c r="A497" s="2" t="s">
        <v>523</v>
      </c>
      <c r="B497">
        <v>2009</v>
      </c>
      <c r="C497">
        <v>1</v>
      </c>
      <c r="D497" t="s">
        <v>35</v>
      </c>
      <c r="E497" t="s">
        <v>18</v>
      </c>
      <c r="F497">
        <v>102</v>
      </c>
      <c r="G497" s="10">
        <v>48</v>
      </c>
      <c r="H497">
        <v>7</v>
      </c>
      <c r="I497">
        <v>7</v>
      </c>
      <c r="J497" s="2" t="s">
        <v>24</v>
      </c>
      <c r="K497">
        <f>_xlfn.XLOOKUP("LOADINGSPEEDDEF_"&amp;PROPERTIES[[#This Row],[LOADINGSPEED]],LOADINGSPEEDDEF[TYPE],LOADINGSPEEDDEF[SPEED])</f>
        <v>40</v>
      </c>
      <c r="L497" t="s">
        <v>21</v>
      </c>
      <c r="M497">
        <v>1</v>
      </c>
      <c r="N497">
        <v>1656</v>
      </c>
      <c r="O497">
        <v>90</v>
      </c>
      <c r="P497" s="2">
        <v>0.3</v>
      </c>
      <c r="Q497" s="6">
        <v>40</v>
      </c>
      <c r="R497" s="10">
        <v>102</v>
      </c>
      <c r="S497" s="10">
        <v>7</v>
      </c>
      <c r="T497" s="10"/>
      <c r="U497" t="str">
        <f>"RUNNING_COST_"&amp;IF(PROPERTIES[[#This Row],[ENGINE_CLASS]]="MAGLEV","ELECTRIC",PROPERTIES[[#This Row],[ENGINE_CLASS]])</f>
        <v>RUNNING_COST_DIESEL</v>
      </c>
      <c r="V497" s="10" t="s">
        <v>1006</v>
      </c>
      <c r="W497" s="10" t="s">
        <v>1007</v>
      </c>
      <c r="X497" s="10" t="str">
        <f>SUBSTITUTE(SUBSTITUTE(PROPERTIES[[#This Row],[PURCHASECOST_VALUE]], "PURCHASECOST_", ""), "_VALUE", "")</f>
        <v>DMU</v>
      </c>
      <c r="AP497"/>
      <c r="AQ497"/>
      <c r="AR497"/>
    </row>
    <row r="498" spans="1:44">
      <c r="A498" s="2" t="s">
        <v>524</v>
      </c>
      <c r="B498">
        <v>2003</v>
      </c>
      <c r="C498">
        <v>1</v>
      </c>
      <c r="D498" t="s">
        <v>35</v>
      </c>
      <c r="E498" t="s">
        <v>18</v>
      </c>
      <c r="F498">
        <v>0</v>
      </c>
      <c r="G498" s="10">
        <v>60</v>
      </c>
      <c r="H498">
        <v>8</v>
      </c>
      <c r="I498">
        <v>8</v>
      </c>
      <c r="J498" s="2" t="s">
        <v>24</v>
      </c>
      <c r="K498">
        <f>_xlfn.XLOOKUP("LOADINGSPEEDDEF_"&amp;PROPERTIES[[#This Row],[LOADINGSPEED]],LOADINGSPEEDDEF[TYPE],LOADINGSPEEDDEF[SPEED])</f>
        <v>40</v>
      </c>
      <c r="L498" t="s">
        <v>21</v>
      </c>
      <c r="M498">
        <v>1</v>
      </c>
      <c r="N498">
        <v>7240</v>
      </c>
      <c r="O498">
        <v>160</v>
      </c>
      <c r="P498" s="2">
        <v>0.21</v>
      </c>
      <c r="Q498" s="6">
        <v>40</v>
      </c>
      <c r="R498" s="10">
        <v>56</v>
      </c>
      <c r="S498" s="10">
        <v>8</v>
      </c>
      <c r="T498" s="10"/>
      <c r="U498" t="str">
        <f>"RUNNING_COST_"&amp;IF(PROPERTIES[[#This Row],[ENGINE_CLASS]]="MAGLEV","ELECTRIC",PROPERTIES[[#This Row],[ENGINE_CLASS]])</f>
        <v>RUNNING_COST_DIESEL</v>
      </c>
      <c r="V498" s="10" t="s">
        <v>1006</v>
      </c>
      <c r="W498" s="10" t="s">
        <v>1007</v>
      </c>
      <c r="X498" s="10" t="str">
        <f>SUBSTITUTE(SUBSTITUTE(PROPERTIES[[#This Row],[PURCHASECOST_VALUE]], "PURCHASECOST_", ""), "_VALUE", "")</f>
        <v>DMU</v>
      </c>
      <c r="AP498"/>
      <c r="AQ498"/>
      <c r="AR498"/>
    </row>
    <row r="499" spans="1:44">
      <c r="A499" s="2" t="s">
        <v>525</v>
      </c>
      <c r="B499">
        <v>2013</v>
      </c>
      <c r="C499">
        <v>1</v>
      </c>
      <c r="D499" t="s">
        <v>35</v>
      </c>
      <c r="E499" t="s">
        <v>18</v>
      </c>
      <c r="F499">
        <v>80</v>
      </c>
      <c r="G499" s="10">
        <v>74</v>
      </c>
      <c r="H499">
        <v>8</v>
      </c>
      <c r="I499">
        <v>8</v>
      </c>
      <c r="J499" s="2" t="s">
        <v>24</v>
      </c>
      <c r="K499">
        <f>_xlfn.XLOOKUP("LOADINGSPEEDDEF_"&amp;PROPERTIES[[#This Row],[LOADINGSPEED]],LOADINGSPEEDDEF[TYPE],LOADINGSPEEDDEF[SPEED])</f>
        <v>40</v>
      </c>
      <c r="L499" t="s">
        <v>21</v>
      </c>
      <c r="M499">
        <v>1</v>
      </c>
      <c r="N499">
        <v>1520</v>
      </c>
      <c r="O499">
        <v>128</v>
      </c>
      <c r="P499" s="2">
        <v>0.28999999999999998</v>
      </c>
      <c r="Q499" s="6">
        <v>40</v>
      </c>
      <c r="R499" s="10">
        <v>80</v>
      </c>
      <c r="S499" s="10">
        <v>8</v>
      </c>
      <c r="T499" s="10"/>
      <c r="U499" t="str">
        <f>"RUNNING_COST_"&amp;IF(PROPERTIES[[#This Row],[ENGINE_CLASS]]="MAGLEV","ELECTRIC",PROPERTIES[[#This Row],[ENGINE_CLASS]])</f>
        <v>RUNNING_COST_DIESEL</v>
      </c>
      <c r="V499" s="10" t="s">
        <v>1006</v>
      </c>
      <c r="W499" s="10" t="s">
        <v>1007</v>
      </c>
      <c r="X499" s="10" t="str">
        <f>SUBSTITUTE(SUBSTITUTE(PROPERTIES[[#This Row],[PURCHASECOST_VALUE]], "PURCHASECOST_", ""), "_VALUE", "")</f>
        <v>DMU</v>
      </c>
      <c r="AP499"/>
      <c r="AQ499"/>
      <c r="AR499"/>
    </row>
    <row r="500" spans="1:44">
      <c r="A500" s="2" t="s">
        <v>526</v>
      </c>
      <c r="B500">
        <v>2015</v>
      </c>
      <c r="C500">
        <v>1</v>
      </c>
      <c r="D500" t="s">
        <v>35</v>
      </c>
      <c r="E500" t="s">
        <v>18</v>
      </c>
      <c r="F500">
        <v>88</v>
      </c>
      <c r="G500" s="10">
        <v>48</v>
      </c>
      <c r="H500">
        <v>8</v>
      </c>
      <c r="I500">
        <v>8</v>
      </c>
      <c r="J500" s="2" t="s">
        <v>24</v>
      </c>
      <c r="K500">
        <f>_xlfn.XLOOKUP("LOADINGSPEEDDEF_"&amp;PROPERTIES[[#This Row],[LOADINGSPEED]],LOADINGSPEEDDEF[TYPE],LOADINGSPEEDDEF[SPEED])</f>
        <v>40</v>
      </c>
      <c r="L500" t="s">
        <v>21</v>
      </c>
      <c r="M500">
        <v>1</v>
      </c>
      <c r="N500">
        <v>800</v>
      </c>
      <c r="O500">
        <v>160</v>
      </c>
      <c r="P500" s="2">
        <v>0.39</v>
      </c>
      <c r="Q500" s="6">
        <v>40</v>
      </c>
      <c r="R500" s="10">
        <v>88</v>
      </c>
      <c r="S500" s="10">
        <v>8</v>
      </c>
      <c r="T500" s="10"/>
      <c r="U500" t="str">
        <f>"RUNNING_COST_"&amp;IF(PROPERTIES[[#This Row],[ENGINE_CLASS]]="MAGLEV","ELECTRIC",PROPERTIES[[#This Row],[ENGINE_CLASS]])</f>
        <v>RUNNING_COST_DIESEL</v>
      </c>
      <c r="V500" s="10" t="s">
        <v>1006</v>
      </c>
      <c r="W500" s="10" t="s">
        <v>1007</v>
      </c>
      <c r="X500" s="10" t="str">
        <f>SUBSTITUTE(SUBSTITUTE(PROPERTIES[[#This Row],[PURCHASECOST_VALUE]], "PURCHASECOST_", ""), "_VALUE", "")</f>
        <v>DMU</v>
      </c>
      <c r="AP500"/>
      <c r="AQ500"/>
      <c r="AR500"/>
    </row>
    <row r="501" spans="1:44">
      <c r="A501" s="2" t="s">
        <v>527</v>
      </c>
      <c r="B501">
        <v>1955</v>
      </c>
      <c r="C501">
        <v>1</v>
      </c>
      <c r="D501" t="s">
        <v>35</v>
      </c>
      <c r="E501" t="s">
        <v>18</v>
      </c>
      <c r="F501">
        <v>48</v>
      </c>
      <c r="G501" s="10">
        <v>52</v>
      </c>
      <c r="H501">
        <v>8</v>
      </c>
      <c r="I501">
        <v>8</v>
      </c>
      <c r="J501" s="2" t="s">
        <v>24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>
        <v>980</v>
      </c>
      <c r="O501">
        <v>140</v>
      </c>
      <c r="P501" s="2">
        <v>0.13</v>
      </c>
      <c r="Q501" s="6">
        <v>40</v>
      </c>
      <c r="R501" s="10">
        <v>48</v>
      </c>
      <c r="S501" s="10">
        <v>8</v>
      </c>
      <c r="T501" s="10"/>
      <c r="U501" t="str">
        <f>"RUNNING_COST_"&amp;IF(PROPERTIES[[#This Row],[ENGINE_CLASS]]="MAGLEV","ELECTRIC",PROPERTIES[[#This Row],[ENGINE_CLASS]])</f>
        <v>RUNNING_COST_DIESEL</v>
      </c>
      <c r="V501" s="10" t="s">
        <v>1006</v>
      </c>
      <c r="W501" s="10" t="s">
        <v>1007</v>
      </c>
      <c r="X501" s="10" t="str">
        <f>SUBSTITUTE(SUBSTITUTE(PROPERTIES[[#This Row],[PURCHASECOST_VALUE]], "PURCHASECOST_", ""), "_VALUE", "")</f>
        <v>DMU</v>
      </c>
      <c r="AP501"/>
      <c r="AQ501"/>
      <c r="AR501"/>
    </row>
    <row r="502" spans="1:44">
      <c r="A502" s="2" t="s">
        <v>528</v>
      </c>
      <c r="B502">
        <v>1965</v>
      </c>
      <c r="C502">
        <v>1</v>
      </c>
      <c r="D502" t="s">
        <v>35</v>
      </c>
      <c r="E502" t="s">
        <v>18</v>
      </c>
      <c r="F502">
        <v>82</v>
      </c>
      <c r="G502" s="10">
        <v>49</v>
      </c>
      <c r="H502">
        <v>8</v>
      </c>
      <c r="I502">
        <v>8</v>
      </c>
      <c r="J502" s="2" t="s">
        <v>24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>
        <v>1320</v>
      </c>
      <c r="O502">
        <v>120</v>
      </c>
      <c r="P502" s="2">
        <v>0.13</v>
      </c>
      <c r="Q502" s="6">
        <v>40</v>
      </c>
      <c r="R502" s="10">
        <v>82</v>
      </c>
      <c r="S502" s="10">
        <v>8</v>
      </c>
      <c r="T502" s="10"/>
      <c r="U502" t="str">
        <f>"RUNNING_COST_"&amp;IF(PROPERTIES[[#This Row],[ENGINE_CLASS]]="MAGLEV","ELECTRIC",PROPERTIES[[#This Row],[ENGINE_CLASS]])</f>
        <v>RUNNING_COST_DIESEL</v>
      </c>
      <c r="V502" s="10" t="s">
        <v>1006</v>
      </c>
      <c r="W502" s="10" t="s">
        <v>1007</v>
      </c>
      <c r="X502" s="10" t="str">
        <f>SUBSTITUTE(SUBSTITUTE(PROPERTIES[[#This Row],[PURCHASECOST_VALUE]], "PURCHASECOST_", ""), "_VALUE", "")</f>
        <v>DMU</v>
      </c>
      <c r="AP502"/>
      <c r="AQ502"/>
      <c r="AR502"/>
    </row>
    <row r="503" spans="1:44">
      <c r="A503" s="2" t="s">
        <v>529</v>
      </c>
      <c r="B503">
        <v>1979</v>
      </c>
      <c r="C503">
        <v>1</v>
      </c>
      <c r="D503" t="s">
        <v>35</v>
      </c>
      <c r="E503" t="s">
        <v>18</v>
      </c>
      <c r="F503">
        <v>116</v>
      </c>
      <c r="G503" s="10">
        <v>53</v>
      </c>
      <c r="H503">
        <v>8</v>
      </c>
      <c r="I503">
        <v>8</v>
      </c>
      <c r="J503" s="2" t="s">
        <v>24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>
        <v>1650</v>
      </c>
      <c r="O503">
        <v>120</v>
      </c>
      <c r="P503" s="2">
        <v>0.21</v>
      </c>
      <c r="Q503" s="6">
        <v>40</v>
      </c>
      <c r="R503" s="10">
        <v>116</v>
      </c>
      <c r="S503" s="10">
        <v>8</v>
      </c>
      <c r="T503" s="10"/>
      <c r="U503" t="str">
        <f>"RUNNING_COST_"&amp;IF(PROPERTIES[[#This Row],[ENGINE_CLASS]]="MAGLEV","ELECTRIC",PROPERTIES[[#This Row],[ENGINE_CLASS]])</f>
        <v>RUNNING_COST_DIESEL</v>
      </c>
      <c r="V503" s="10" t="s">
        <v>1006</v>
      </c>
      <c r="W503" s="10" t="s">
        <v>1007</v>
      </c>
      <c r="X503" s="10" t="str">
        <f>SUBSTITUTE(SUBSTITUTE(PROPERTIES[[#This Row],[PURCHASECOST_VALUE]], "PURCHASECOST_", ""), "_VALUE", "")</f>
        <v>DMU</v>
      </c>
      <c r="AP503"/>
      <c r="AQ503"/>
      <c r="AR503"/>
    </row>
    <row r="504" spans="1:44">
      <c r="A504" s="2" t="s">
        <v>530</v>
      </c>
      <c r="B504">
        <v>1983</v>
      </c>
      <c r="C504">
        <v>1</v>
      </c>
      <c r="D504" t="s">
        <v>35</v>
      </c>
      <c r="E504" t="s">
        <v>18</v>
      </c>
      <c r="F504">
        <v>50</v>
      </c>
      <c r="G504" s="10">
        <v>44</v>
      </c>
      <c r="H504">
        <v>7</v>
      </c>
      <c r="I504">
        <v>7</v>
      </c>
      <c r="J504" s="2" t="s">
        <v>24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>
        <v>720</v>
      </c>
      <c r="O504">
        <v>100</v>
      </c>
      <c r="P504" s="2">
        <v>0.2</v>
      </c>
      <c r="Q504" s="6">
        <v>40</v>
      </c>
      <c r="R504" s="10">
        <v>50</v>
      </c>
      <c r="S504" s="10">
        <v>7</v>
      </c>
      <c r="T504" s="10"/>
      <c r="U504" t="str">
        <f>"RUNNING_COST_"&amp;IF(PROPERTIES[[#This Row],[ENGINE_CLASS]]="MAGLEV","ELECTRIC",PROPERTIES[[#This Row],[ENGINE_CLASS]])</f>
        <v>RUNNING_COST_DIESEL</v>
      </c>
      <c r="V504" s="10" t="s">
        <v>1006</v>
      </c>
      <c r="W504" s="10" t="s">
        <v>1007</v>
      </c>
      <c r="X504" s="10" t="str">
        <f>SUBSTITUTE(SUBSTITUTE(PROPERTIES[[#This Row],[PURCHASECOST_VALUE]], "PURCHASECOST_", ""), "_VALUE", "")</f>
        <v>DMU</v>
      </c>
      <c r="AP504"/>
      <c r="AQ504"/>
      <c r="AR504"/>
    </row>
    <row r="505" spans="1:44">
      <c r="A505" s="2" t="s">
        <v>531</v>
      </c>
      <c r="B505">
        <v>1996</v>
      </c>
      <c r="C505">
        <v>1</v>
      </c>
      <c r="D505" t="s">
        <v>35</v>
      </c>
      <c r="E505" t="s">
        <v>532</v>
      </c>
      <c r="F505">
        <v>40</v>
      </c>
      <c r="G505" s="10">
        <v>56</v>
      </c>
      <c r="H505">
        <v>8</v>
      </c>
      <c r="I505">
        <v>8</v>
      </c>
      <c r="J505" s="2" t="s">
        <v>33</v>
      </c>
      <c r="K505">
        <f>_xlfn.XLOOKUP("LOADINGSPEEDDEF_"&amp;PROPERTIES[[#This Row],[LOADINGSPEED]],LOADINGSPEEDDEF[TYPE],LOADINGSPEEDDEF[SPEED])</f>
        <v>20</v>
      </c>
      <c r="L505" t="s">
        <v>21</v>
      </c>
      <c r="M505">
        <v>0</v>
      </c>
      <c r="N505">
        <v>710</v>
      </c>
      <c r="O505">
        <v>140</v>
      </c>
      <c r="P505" s="2">
        <v>0.17</v>
      </c>
      <c r="Q505" s="6">
        <v>25</v>
      </c>
      <c r="R505" s="10">
        <v>40</v>
      </c>
      <c r="S505" s="10">
        <v>7</v>
      </c>
      <c r="T505" s="10"/>
      <c r="U505" t="str">
        <f>"RUNNING_COST_"&amp;IF(PROPERTIES[[#This Row],[ENGINE_CLASS]]="MAGLEV","ELECTRIC",PROPERTIES[[#This Row],[ENGINE_CLASS]])</f>
        <v>RUNNING_COST_DIESEL</v>
      </c>
      <c r="V505" s="10" t="s">
        <v>1006</v>
      </c>
      <c r="W505" s="10" t="s">
        <v>1007</v>
      </c>
      <c r="X505" s="10" t="str">
        <f>SUBSTITUTE(SUBSTITUTE(PROPERTIES[[#This Row],[PURCHASECOST_VALUE]], "PURCHASECOST_", ""), "_VALUE", "")</f>
        <v>DMU</v>
      </c>
      <c r="AP505"/>
      <c r="AQ505"/>
      <c r="AR505"/>
    </row>
    <row r="506" spans="1:44">
      <c r="A506" s="2" t="s">
        <v>533</v>
      </c>
      <c r="B506">
        <v>2011</v>
      </c>
      <c r="C506">
        <v>1</v>
      </c>
      <c r="D506" t="s">
        <v>74</v>
      </c>
      <c r="E506" t="s">
        <v>18</v>
      </c>
      <c r="F506">
        <v>110</v>
      </c>
      <c r="G506" s="10">
        <v>51</v>
      </c>
      <c r="H506">
        <v>8</v>
      </c>
      <c r="I506">
        <v>8</v>
      </c>
      <c r="J506" s="2" t="s">
        <v>24</v>
      </c>
      <c r="K506">
        <f>_xlfn.XLOOKUP("LOADINGSPEEDDEF_"&amp;PROPERTIES[[#This Row],[LOADINGSPEED]],LOADINGSPEEDDEF[TYPE],LOADINGSPEEDDEF[SPEED])</f>
        <v>40</v>
      </c>
      <c r="L506" t="s">
        <v>21</v>
      </c>
      <c r="M506">
        <v>1</v>
      </c>
      <c r="N506">
        <v>1120</v>
      </c>
      <c r="O506">
        <v>130</v>
      </c>
      <c r="P506" s="2">
        <v>0.25</v>
      </c>
      <c r="Q506" s="6">
        <v>25</v>
      </c>
      <c r="R506" s="10">
        <v>110</v>
      </c>
      <c r="S506" s="10">
        <v>8</v>
      </c>
      <c r="T506" s="10"/>
      <c r="U506" t="str">
        <f>"RUNNING_COST_"&amp;IF(PROPERTIES[[#This Row],[ENGINE_CLASS]]="MAGLEV","ELECTRIC",PROPERTIES[[#This Row],[ENGINE_CLASS]])</f>
        <v>RUNNING_COST_ELECTRIC</v>
      </c>
      <c r="V506" s="10" t="s">
        <v>1008</v>
      </c>
      <c r="W506" s="10" t="s">
        <v>1009</v>
      </c>
      <c r="X506" s="10" t="str">
        <f>SUBSTITUTE(SUBSTITUTE(PROPERTIES[[#This Row],[PURCHASECOST_VALUE]], "PURCHASECOST_", ""), "_VALUE", "")</f>
        <v>EMU</v>
      </c>
      <c r="AP506"/>
      <c r="AQ506"/>
      <c r="AR506"/>
    </row>
    <row r="507" spans="1:44">
      <c r="A507" s="2" t="s">
        <v>534</v>
      </c>
      <c r="B507">
        <v>1966</v>
      </c>
      <c r="C507">
        <v>1</v>
      </c>
      <c r="D507" t="s">
        <v>74</v>
      </c>
      <c r="E507" t="s">
        <v>18</v>
      </c>
      <c r="F507">
        <v>56</v>
      </c>
      <c r="G507" s="10">
        <v>45</v>
      </c>
      <c r="H507">
        <v>8</v>
      </c>
      <c r="I507">
        <v>8</v>
      </c>
      <c r="J507" s="2" t="s">
        <v>24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>
        <v>200</v>
      </c>
      <c r="O507">
        <v>100</v>
      </c>
      <c r="P507" s="2">
        <v>0.14000000000000001</v>
      </c>
      <c r="Q507" s="6">
        <v>25</v>
      </c>
      <c r="R507" s="10">
        <v>42</v>
      </c>
      <c r="S507" s="10">
        <v>8</v>
      </c>
      <c r="T507" s="10"/>
      <c r="U507" t="str">
        <f>"RUNNING_COST_"&amp;IF(PROPERTIES[[#This Row],[ENGINE_CLASS]]="MAGLEV","ELECTRIC",PROPERTIES[[#This Row],[ENGINE_CLASS]])</f>
        <v>RUNNING_COST_ELECTRIC</v>
      </c>
      <c r="V507" s="10" t="s">
        <v>1008</v>
      </c>
      <c r="W507" s="10" t="s">
        <v>1009</v>
      </c>
      <c r="X507" s="10" t="str">
        <f>SUBSTITUTE(SUBSTITUTE(PROPERTIES[[#This Row],[PURCHASECOST_VALUE]], "PURCHASECOST_", ""), "_VALUE", "")</f>
        <v>EMU</v>
      </c>
      <c r="AP507"/>
      <c r="AQ507"/>
      <c r="AR507"/>
    </row>
    <row r="508" spans="1:44">
      <c r="A508" s="2" t="s">
        <v>535</v>
      </c>
      <c r="B508">
        <v>1996</v>
      </c>
      <c r="C508">
        <v>1</v>
      </c>
      <c r="D508" t="s">
        <v>74</v>
      </c>
      <c r="E508" t="s">
        <v>18</v>
      </c>
      <c r="F508">
        <v>42</v>
      </c>
      <c r="G508" s="10">
        <v>16</v>
      </c>
      <c r="H508">
        <v>5</v>
      </c>
      <c r="I508">
        <v>5</v>
      </c>
      <c r="J508" s="2" t="s">
        <v>24</v>
      </c>
      <c r="K508">
        <f>_xlfn.XLOOKUP("LOADINGSPEEDDEF_"&amp;PROPERTIES[[#This Row],[LOADINGSPEED]],LOADINGSPEEDDEF[TYPE],LOADINGSPEEDDEF[SPEED])</f>
        <v>40</v>
      </c>
      <c r="L508" t="s">
        <v>21</v>
      </c>
      <c r="M508">
        <v>1</v>
      </c>
      <c r="N508">
        <v>290</v>
      </c>
      <c r="O508">
        <v>120</v>
      </c>
      <c r="P508" s="2">
        <v>0.47</v>
      </c>
      <c r="Q508" s="6">
        <v>25</v>
      </c>
      <c r="R508" s="10">
        <v>42</v>
      </c>
      <c r="S508" s="10">
        <v>5</v>
      </c>
      <c r="T508" s="10"/>
      <c r="U508" t="str">
        <f>"RUNNING_COST_"&amp;IF(PROPERTIES[[#This Row],[ENGINE_CLASS]]="MAGLEV","ELECTRIC",PROPERTIES[[#This Row],[ENGINE_CLASS]])</f>
        <v>RUNNING_COST_ELECTRIC</v>
      </c>
      <c r="V508" s="10" t="s">
        <v>1008</v>
      </c>
      <c r="W508" s="10" t="s">
        <v>1009</v>
      </c>
      <c r="X508" s="10" t="str">
        <f>SUBSTITUTE(SUBSTITUTE(PROPERTIES[[#This Row],[PURCHASECOST_VALUE]], "PURCHASECOST_", ""), "_VALUE", "")</f>
        <v>EMU</v>
      </c>
      <c r="AP508"/>
      <c r="AQ508"/>
      <c r="AR508"/>
    </row>
    <row r="509" spans="1:44">
      <c r="A509" s="2" t="s">
        <v>536</v>
      </c>
      <c r="B509">
        <v>1932</v>
      </c>
      <c r="C509">
        <v>1</v>
      </c>
      <c r="D509" t="s">
        <v>74</v>
      </c>
      <c r="E509" t="s">
        <v>18</v>
      </c>
      <c r="F509">
        <v>34</v>
      </c>
      <c r="G509" s="10">
        <v>31</v>
      </c>
      <c r="H509">
        <v>8</v>
      </c>
      <c r="I509">
        <v>8</v>
      </c>
      <c r="J509" s="2" t="s">
        <v>24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>
        <v>650</v>
      </c>
      <c r="O509">
        <v>72</v>
      </c>
      <c r="P509" s="2">
        <v>0.34</v>
      </c>
      <c r="Q509" s="6">
        <v>25</v>
      </c>
      <c r="R509" s="10">
        <v>34</v>
      </c>
      <c r="S509" s="10">
        <v>8</v>
      </c>
      <c r="T509" s="10"/>
      <c r="U509" t="str">
        <f>"RUNNING_COST_"&amp;IF(PROPERTIES[[#This Row],[ENGINE_CLASS]]="MAGLEV","ELECTRIC",PROPERTIES[[#This Row],[ENGINE_CLASS]])</f>
        <v>RUNNING_COST_ELECTRIC</v>
      </c>
      <c r="V509" s="10" t="s">
        <v>1008</v>
      </c>
      <c r="W509" s="10" t="s">
        <v>1009</v>
      </c>
      <c r="X509" s="10" t="str">
        <f>SUBSTITUTE(SUBSTITUTE(PROPERTIES[[#This Row],[PURCHASECOST_VALUE]], "PURCHASECOST_", ""), "_VALUE", "")</f>
        <v>EMU</v>
      </c>
      <c r="AP509"/>
      <c r="AQ509"/>
      <c r="AR509"/>
    </row>
    <row r="510" spans="1:44">
      <c r="A510" s="2" t="s">
        <v>537</v>
      </c>
      <c r="B510">
        <v>1924</v>
      </c>
      <c r="C510">
        <v>1</v>
      </c>
      <c r="D510" t="s">
        <v>74</v>
      </c>
      <c r="E510" t="s">
        <v>18</v>
      </c>
      <c r="F510">
        <v>30</v>
      </c>
      <c r="G510" s="10">
        <v>30</v>
      </c>
      <c r="H510">
        <v>8</v>
      </c>
      <c r="I510">
        <v>8</v>
      </c>
      <c r="J510" s="2" t="s">
        <v>24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>
        <v>709</v>
      </c>
      <c r="O510">
        <v>100</v>
      </c>
      <c r="P510" s="2">
        <v>0.41</v>
      </c>
      <c r="Q510" s="6">
        <v>25</v>
      </c>
      <c r="R510" s="10">
        <v>30</v>
      </c>
      <c r="S510" s="10">
        <v>8</v>
      </c>
      <c r="T510" s="10"/>
      <c r="U510" t="str">
        <f>"RUNNING_COST_"&amp;IF(PROPERTIES[[#This Row],[ENGINE_CLASS]]="MAGLEV","ELECTRIC",PROPERTIES[[#This Row],[ENGINE_CLASS]])</f>
        <v>RUNNING_COST_ELECTRIC</v>
      </c>
      <c r="V510" s="10" t="s">
        <v>1008</v>
      </c>
      <c r="W510" s="10" t="s">
        <v>1009</v>
      </c>
      <c r="X510" s="10" t="str">
        <f>SUBSTITUTE(SUBSTITUTE(PROPERTIES[[#This Row],[PURCHASECOST_VALUE]], "PURCHASECOST_", ""), "_VALUE", "")</f>
        <v>EMU</v>
      </c>
      <c r="AP510"/>
      <c r="AQ510"/>
      <c r="AR510"/>
    </row>
    <row r="511" spans="1:44">
      <c r="A511" s="2" t="s">
        <v>538</v>
      </c>
      <c r="B511">
        <v>1936</v>
      </c>
      <c r="C511">
        <v>1</v>
      </c>
      <c r="D511" t="s">
        <v>74</v>
      </c>
      <c r="E511" t="s">
        <v>18</v>
      </c>
      <c r="F511">
        <v>52</v>
      </c>
      <c r="G511" s="10">
        <v>45</v>
      </c>
      <c r="H511">
        <v>8</v>
      </c>
      <c r="I511">
        <v>8</v>
      </c>
      <c r="J511" s="2" t="s">
        <v>24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>
        <v>533</v>
      </c>
      <c r="O511">
        <v>125</v>
      </c>
      <c r="P511" s="2">
        <v>0.38</v>
      </c>
      <c r="Q511" s="6">
        <v>25</v>
      </c>
      <c r="R511" s="10">
        <v>52</v>
      </c>
      <c r="S511" s="10">
        <v>8</v>
      </c>
      <c r="T511" s="10"/>
      <c r="U511" t="str">
        <f>"RUNNING_COST_"&amp;IF(PROPERTIES[[#This Row],[ENGINE_CLASS]]="MAGLEV","ELECTRIC",PROPERTIES[[#This Row],[ENGINE_CLASS]])</f>
        <v>RUNNING_COST_ELECTRIC</v>
      </c>
      <c r="V511" s="10" t="s">
        <v>1008</v>
      </c>
      <c r="W511" s="10" t="s">
        <v>1009</v>
      </c>
      <c r="X511" s="10" t="str">
        <f>SUBSTITUTE(SUBSTITUTE(PROPERTIES[[#This Row],[PURCHASECOST_VALUE]], "PURCHASECOST_", ""), "_VALUE", "")</f>
        <v>EMU</v>
      </c>
      <c r="AP511"/>
      <c r="AQ511"/>
      <c r="AR511"/>
    </row>
    <row r="512" spans="1:44">
      <c r="A512" s="2" t="s">
        <v>539</v>
      </c>
      <c r="B512">
        <v>1954</v>
      </c>
      <c r="C512">
        <v>1</v>
      </c>
      <c r="D512" t="s">
        <v>74</v>
      </c>
      <c r="E512" t="s">
        <v>18</v>
      </c>
      <c r="F512">
        <v>60</v>
      </c>
      <c r="G512" s="10">
        <v>55</v>
      </c>
      <c r="H512">
        <v>8</v>
      </c>
      <c r="I512">
        <v>8</v>
      </c>
      <c r="J512" s="2" t="s">
        <v>24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>
        <v>910</v>
      </c>
      <c r="O512">
        <v>140</v>
      </c>
      <c r="P512" s="2">
        <v>0.28000000000000003</v>
      </c>
      <c r="Q512" s="6">
        <v>25</v>
      </c>
      <c r="R512" s="10">
        <v>60</v>
      </c>
      <c r="S512" s="10">
        <v>8</v>
      </c>
      <c r="T512" s="10"/>
      <c r="U512" t="str">
        <f>"RUNNING_COST_"&amp;IF(PROPERTIES[[#This Row],[ENGINE_CLASS]]="MAGLEV","ELECTRIC",PROPERTIES[[#This Row],[ENGINE_CLASS]])</f>
        <v>RUNNING_COST_ELECTRIC</v>
      </c>
      <c r="V512" s="10" t="s">
        <v>1008</v>
      </c>
      <c r="W512" s="10" t="s">
        <v>1009</v>
      </c>
      <c r="X512" s="10" t="str">
        <f>SUBSTITUTE(SUBSTITUTE(PROPERTIES[[#This Row],[PURCHASECOST_VALUE]], "PURCHASECOST_", ""), "_VALUE", "")</f>
        <v>EMU</v>
      </c>
      <c r="AP512"/>
      <c r="AQ512"/>
      <c r="AR512"/>
    </row>
    <row r="513" spans="1:44">
      <c r="A513" s="2" t="s">
        <v>540</v>
      </c>
      <c r="B513">
        <v>1975</v>
      </c>
      <c r="C513">
        <v>1</v>
      </c>
      <c r="D513" t="s">
        <v>74</v>
      </c>
      <c r="E513" t="s">
        <v>18</v>
      </c>
      <c r="F513">
        <v>66</v>
      </c>
      <c r="G513" s="10">
        <v>53</v>
      </c>
      <c r="H513">
        <v>8</v>
      </c>
      <c r="I513">
        <v>8</v>
      </c>
      <c r="J513" s="2" t="s">
        <v>24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>
        <v>572</v>
      </c>
      <c r="O513">
        <v>125</v>
      </c>
      <c r="P513" s="2">
        <v>0.19</v>
      </c>
      <c r="Q513" s="6">
        <v>25</v>
      </c>
      <c r="R513" s="10">
        <v>66</v>
      </c>
      <c r="S513" s="10">
        <v>8</v>
      </c>
      <c r="T513" s="10"/>
      <c r="U513" t="str">
        <f>"RUNNING_COST_"&amp;IF(PROPERTIES[[#This Row],[ENGINE_CLASS]]="MAGLEV","ELECTRIC",PROPERTIES[[#This Row],[ENGINE_CLASS]])</f>
        <v>RUNNING_COST_ELECTRIC</v>
      </c>
      <c r="V513" s="10" t="s">
        <v>1008</v>
      </c>
      <c r="W513" s="10" t="s">
        <v>1009</v>
      </c>
      <c r="X513" s="10" t="str">
        <f>SUBSTITUTE(SUBSTITUTE(PROPERTIES[[#This Row],[PURCHASECOST_VALUE]], "PURCHASECOST_", ""), "_VALUE", "")</f>
        <v>EMU</v>
      </c>
      <c r="AP513"/>
      <c r="AQ513"/>
      <c r="AR513"/>
    </row>
    <row r="514" spans="1:44">
      <c r="A514" s="2" t="s">
        <v>541</v>
      </c>
      <c r="B514">
        <v>1979</v>
      </c>
      <c r="C514">
        <v>1</v>
      </c>
      <c r="D514" t="s">
        <v>74</v>
      </c>
      <c r="E514" t="s">
        <v>18</v>
      </c>
      <c r="F514">
        <v>61</v>
      </c>
      <c r="G514" s="10">
        <v>49</v>
      </c>
      <c r="H514">
        <v>8</v>
      </c>
      <c r="I514">
        <v>8</v>
      </c>
      <c r="J514" s="2" t="s">
        <v>24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>
        <v>600</v>
      </c>
      <c r="O514">
        <v>160</v>
      </c>
      <c r="P514" s="2">
        <v>0.48</v>
      </c>
      <c r="Q514" s="6">
        <v>25</v>
      </c>
      <c r="R514" s="10">
        <v>61</v>
      </c>
      <c r="S514" s="10">
        <v>8</v>
      </c>
      <c r="T514" s="10"/>
      <c r="U514" t="str">
        <f>"RUNNING_COST_"&amp;IF(PROPERTIES[[#This Row],[ENGINE_CLASS]]="MAGLEV","ELECTRIC",PROPERTIES[[#This Row],[ENGINE_CLASS]])</f>
        <v>RUNNING_COST_ELECTRIC</v>
      </c>
      <c r="V514" s="10" t="s">
        <v>1008</v>
      </c>
      <c r="W514" s="10" t="s">
        <v>1009</v>
      </c>
      <c r="X514" s="10" t="str">
        <f>SUBSTITUTE(SUBSTITUTE(PROPERTIES[[#This Row],[PURCHASECOST_VALUE]], "PURCHASECOST_", ""), "_VALUE", "")</f>
        <v>EMU</v>
      </c>
      <c r="AP514"/>
      <c r="AQ514"/>
      <c r="AR514"/>
    </row>
    <row r="515" spans="1:44">
      <c r="A515" s="2" t="s">
        <v>542</v>
      </c>
      <c r="B515">
        <v>1994</v>
      </c>
      <c r="C515">
        <v>1</v>
      </c>
      <c r="D515" t="s">
        <v>74</v>
      </c>
      <c r="E515" t="s">
        <v>18</v>
      </c>
      <c r="F515">
        <v>91</v>
      </c>
      <c r="G515" s="10">
        <v>59</v>
      </c>
      <c r="H515">
        <v>8</v>
      </c>
      <c r="I515">
        <v>8</v>
      </c>
      <c r="J515" s="2" t="s">
        <v>24</v>
      </c>
      <c r="K515">
        <f>_xlfn.XLOOKUP("LOADINGSPEEDDEF_"&amp;PROPERTIES[[#This Row],[LOADINGSPEED]],LOADINGSPEEDDEF[TYPE],LOADINGSPEEDDEF[SPEED])</f>
        <v>40</v>
      </c>
      <c r="L515" t="s">
        <v>21</v>
      </c>
      <c r="M515">
        <v>1</v>
      </c>
      <c r="N515">
        <v>718</v>
      </c>
      <c r="O515">
        <v>160</v>
      </c>
      <c r="P515" s="2">
        <v>0.26</v>
      </c>
      <c r="Q515" s="6">
        <v>25</v>
      </c>
      <c r="R515" s="10">
        <v>91</v>
      </c>
      <c r="S515" s="10">
        <v>8</v>
      </c>
      <c r="T515" s="10"/>
      <c r="U515" t="str">
        <f>"RUNNING_COST_"&amp;IF(PROPERTIES[[#This Row],[ENGINE_CLASS]]="MAGLEV","ELECTRIC",PROPERTIES[[#This Row],[ENGINE_CLASS]])</f>
        <v>RUNNING_COST_ELECTRIC</v>
      </c>
      <c r="V515" s="10" t="s">
        <v>1008</v>
      </c>
      <c r="W515" s="10" t="s">
        <v>1009</v>
      </c>
      <c r="X515" s="10" t="str">
        <f>SUBSTITUTE(SUBSTITUTE(PROPERTIES[[#This Row],[PURCHASECOST_VALUE]], "PURCHASECOST_", ""), "_VALUE", "")</f>
        <v>EMU</v>
      </c>
      <c r="AP515"/>
      <c r="AQ515"/>
      <c r="AR515"/>
    </row>
    <row r="516" spans="1:44">
      <c r="A516" s="2" t="s">
        <v>543</v>
      </c>
      <c r="B516">
        <v>1997</v>
      </c>
      <c r="C516">
        <v>1</v>
      </c>
      <c r="D516" t="s">
        <v>74</v>
      </c>
      <c r="E516" t="s">
        <v>18</v>
      </c>
      <c r="F516">
        <v>48</v>
      </c>
      <c r="G516" s="10">
        <v>76</v>
      </c>
      <c r="H516">
        <v>8</v>
      </c>
      <c r="I516">
        <v>8</v>
      </c>
      <c r="J516" s="2" t="s">
        <v>24</v>
      </c>
      <c r="K516">
        <f>_xlfn.XLOOKUP("LOADINGSPEEDDEF_"&amp;PROPERTIES[[#This Row],[LOADINGSPEED]],LOADINGSPEEDDEF[TYPE],LOADINGSPEEDDEF[SPEED])</f>
        <v>40</v>
      </c>
      <c r="L516" t="s">
        <v>21</v>
      </c>
      <c r="M516">
        <v>1</v>
      </c>
      <c r="N516">
        <v>3219</v>
      </c>
      <c r="O516">
        <v>160</v>
      </c>
      <c r="P516" s="2">
        <v>0.31</v>
      </c>
      <c r="Q516" s="6">
        <v>25</v>
      </c>
      <c r="R516" s="10">
        <v>95</v>
      </c>
      <c r="S516" s="10">
        <v>8</v>
      </c>
      <c r="T516" s="10"/>
      <c r="U516" t="str">
        <f>"RUNNING_COST_"&amp;IF(PROPERTIES[[#This Row],[ENGINE_CLASS]]="MAGLEV","ELECTRIC",PROPERTIES[[#This Row],[ENGINE_CLASS]])</f>
        <v>RUNNING_COST_ELECTRIC</v>
      </c>
      <c r="V516" s="10" t="s">
        <v>1008</v>
      </c>
      <c r="W516" s="10" t="s">
        <v>1009</v>
      </c>
      <c r="X516" s="10" t="str">
        <f>SUBSTITUTE(SUBSTITUTE(PROPERTIES[[#This Row],[PURCHASECOST_VALUE]], "PURCHASECOST_", ""), "_VALUE", "")</f>
        <v>EMU</v>
      </c>
      <c r="AP516"/>
      <c r="AQ516"/>
      <c r="AR516"/>
    </row>
    <row r="517" spans="1:44">
      <c r="A517" s="2" t="s">
        <v>544</v>
      </c>
      <c r="B517">
        <v>1924</v>
      </c>
      <c r="C517">
        <v>1</v>
      </c>
      <c r="D517" t="s">
        <v>74</v>
      </c>
      <c r="E517" t="s">
        <v>18</v>
      </c>
      <c r="F517">
        <v>65</v>
      </c>
      <c r="G517" s="10">
        <v>38</v>
      </c>
      <c r="H517">
        <v>8</v>
      </c>
      <c r="I517">
        <v>8</v>
      </c>
      <c r="J517" s="2" t="s">
        <v>24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>
        <v>413</v>
      </c>
      <c r="O517">
        <v>80</v>
      </c>
      <c r="P517" s="2">
        <v>0.11</v>
      </c>
      <c r="Q517" s="6">
        <v>25</v>
      </c>
      <c r="R517" s="10">
        <v>65</v>
      </c>
      <c r="S517" s="10">
        <v>8</v>
      </c>
      <c r="T517" s="10"/>
      <c r="U517" t="str">
        <f>"RUNNING_COST_"&amp;IF(PROPERTIES[[#This Row],[ENGINE_CLASS]]="MAGLEV","ELECTRIC",PROPERTIES[[#This Row],[ENGINE_CLASS]])</f>
        <v>RUNNING_COST_ELECTRIC</v>
      </c>
      <c r="V517" s="10" t="s">
        <v>1008</v>
      </c>
      <c r="W517" s="10" t="s">
        <v>1009</v>
      </c>
      <c r="X517" s="10" t="str">
        <f>SUBSTITUTE(SUBSTITUTE(PROPERTIES[[#This Row],[PURCHASECOST_VALUE]], "PURCHASECOST_", ""), "_VALUE", "")</f>
        <v>EMU</v>
      </c>
      <c r="AP517"/>
      <c r="AQ517"/>
      <c r="AR517"/>
    </row>
    <row r="518" spans="1:44">
      <c r="A518" s="2" t="s">
        <v>545</v>
      </c>
      <c r="B518">
        <v>1937</v>
      </c>
      <c r="C518">
        <v>1</v>
      </c>
      <c r="D518" t="s">
        <v>74</v>
      </c>
      <c r="E518" t="s">
        <v>18</v>
      </c>
      <c r="F518">
        <v>35</v>
      </c>
      <c r="G518" s="10">
        <v>41</v>
      </c>
      <c r="H518">
        <v>8</v>
      </c>
      <c r="I518">
        <v>8</v>
      </c>
      <c r="J518" s="2" t="s">
        <v>479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>
        <v>482</v>
      </c>
      <c r="O518">
        <v>160</v>
      </c>
      <c r="P518" s="2">
        <v>0.18</v>
      </c>
      <c r="Q518" s="6">
        <v>25</v>
      </c>
      <c r="R518" s="10">
        <v>35</v>
      </c>
      <c r="S518" s="10">
        <v>8</v>
      </c>
      <c r="T518" s="10"/>
      <c r="U518" t="str">
        <f>"RUNNING_COST_"&amp;IF(PROPERTIES[[#This Row],[ENGINE_CLASS]]="MAGLEV","ELECTRIC",PROPERTIES[[#This Row],[ENGINE_CLASS]])</f>
        <v>RUNNING_COST_ELECTRIC</v>
      </c>
      <c r="V518" s="10" t="s">
        <v>1008</v>
      </c>
      <c r="W518" s="10" t="s">
        <v>1009</v>
      </c>
      <c r="X518" s="10" t="str">
        <f>SUBSTITUTE(SUBSTITUTE(PROPERTIES[[#This Row],[PURCHASECOST_VALUE]], "PURCHASECOST_", ""), "_VALUE", "")</f>
        <v>EMU</v>
      </c>
      <c r="AP518"/>
      <c r="AQ518"/>
      <c r="AR518"/>
    </row>
    <row r="519" spans="1:44">
      <c r="A519" s="2" t="s">
        <v>546</v>
      </c>
      <c r="B519">
        <v>1952</v>
      </c>
      <c r="C519">
        <v>1</v>
      </c>
      <c r="D519" t="s">
        <v>74</v>
      </c>
      <c r="E519" t="s">
        <v>18</v>
      </c>
      <c r="F519">
        <v>28</v>
      </c>
      <c r="G519" s="10">
        <v>52</v>
      </c>
      <c r="H519">
        <v>8</v>
      </c>
      <c r="I519">
        <v>8</v>
      </c>
      <c r="J519" s="2" t="s">
        <v>479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>
        <v>500</v>
      </c>
      <c r="O519">
        <v>200</v>
      </c>
      <c r="P519" s="2">
        <v>0.36</v>
      </c>
      <c r="Q519" s="6">
        <v>25</v>
      </c>
      <c r="R519" s="10">
        <v>28</v>
      </c>
      <c r="S519" s="10">
        <v>8</v>
      </c>
      <c r="T519" s="10"/>
      <c r="U519" t="str">
        <f>"RUNNING_COST_"&amp;IF(PROPERTIES[[#This Row],[ENGINE_CLASS]]="MAGLEV","ELECTRIC",PROPERTIES[[#This Row],[ENGINE_CLASS]])</f>
        <v>RUNNING_COST_ELECTRIC</v>
      </c>
      <c r="V519" s="10" t="s">
        <v>1008</v>
      </c>
      <c r="W519" s="10" t="s">
        <v>1009</v>
      </c>
      <c r="X519" s="10" t="str">
        <f>SUBSTITUTE(SUBSTITUTE(PROPERTIES[[#This Row],[PURCHASECOST_VALUE]], "PURCHASECOST_", ""), "_VALUE", "")</f>
        <v>EMU</v>
      </c>
      <c r="AP519"/>
      <c r="AQ519"/>
      <c r="AR519"/>
    </row>
    <row r="520" spans="1:44">
      <c r="A520" s="2" t="s">
        <v>547</v>
      </c>
      <c r="B520">
        <v>1993</v>
      </c>
      <c r="C520">
        <v>1</v>
      </c>
      <c r="D520" t="s">
        <v>74</v>
      </c>
      <c r="E520" t="s">
        <v>18</v>
      </c>
      <c r="F520">
        <v>0</v>
      </c>
      <c r="G520" s="10">
        <v>54</v>
      </c>
      <c r="H520">
        <v>8</v>
      </c>
      <c r="I520">
        <v>8</v>
      </c>
      <c r="J520" s="2" t="s">
        <v>479</v>
      </c>
      <c r="K520">
        <f>_xlfn.XLOOKUP("LOADINGSPEEDDEF_"&amp;PROPERTIES[[#This Row],[LOADINGSPEED]],LOADINGSPEEDDEF[TYPE],LOADINGSPEEDDEF[SPEED])</f>
        <v>16</v>
      </c>
      <c r="L520" t="s">
        <v>21</v>
      </c>
      <c r="M520">
        <v>1</v>
      </c>
      <c r="N520">
        <v>11800</v>
      </c>
      <c r="O520">
        <v>250</v>
      </c>
      <c r="P520" s="2">
        <v>0.46</v>
      </c>
      <c r="Q520" s="6">
        <v>25</v>
      </c>
      <c r="R520" s="10">
        <v>60</v>
      </c>
      <c r="S520" s="10">
        <v>8</v>
      </c>
      <c r="T520" s="10"/>
      <c r="U520" t="str">
        <f>"RUNNING_COST_"&amp;IF(PROPERTIES[[#This Row],[ENGINE_CLASS]]="MAGLEV","ELECTRIC",PROPERTIES[[#This Row],[ENGINE_CLASS]])</f>
        <v>RUNNING_COST_ELECTRIC</v>
      </c>
      <c r="V520" s="10" t="s">
        <v>1008</v>
      </c>
      <c r="W520" s="10" t="s">
        <v>1009</v>
      </c>
      <c r="X520" s="10" t="str">
        <f>SUBSTITUTE(SUBSTITUTE(PROPERTIES[[#This Row],[PURCHASECOST_VALUE]], "PURCHASECOST_", ""), "_VALUE", "")</f>
        <v>EMU</v>
      </c>
      <c r="AP520"/>
      <c r="AQ520"/>
      <c r="AR520"/>
    </row>
    <row r="521" spans="1:44">
      <c r="A521" s="2" t="s">
        <v>548</v>
      </c>
      <c r="B521">
        <v>1996</v>
      </c>
      <c r="C521">
        <v>1</v>
      </c>
      <c r="D521" t="s">
        <v>74</v>
      </c>
      <c r="E521" t="s">
        <v>18</v>
      </c>
      <c r="F521">
        <v>115</v>
      </c>
      <c r="G521" s="10">
        <v>68</v>
      </c>
      <c r="H521">
        <v>8</v>
      </c>
      <c r="I521">
        <v>8</v>
      </c>
      <c r="J521" s="2" t="s">
        <v>24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>
        <v>1219</v>
      </c>
      <c r="O521">
        <v>140</v>
      </c>
      <c r="P521" s="2">
        <v>0.31</v>
      </c>
      <c r="Q521" s="6">
        <v>25</v>
      </c>
      <c r="R521" s="10">
        <v>115</v>
      </c>
      <c r="S521" s="10">
        <v>8</v>
      </c>
      <c r="T521" s="10"/>
      <c r="U521" t="str">
        <f>"RUNNING_COST_"&amp;IF(PROPERTIES[[#This Row],[ENGINE_CLASS]]="MAGLEV","ELECTRIC",PROPERTIES[[#This Row],[ENGINE_CLASS]])</f>
        <v>RUNNING_COST_ELECTRIC</v>
      </c>
      <c r="V521" s="10" t="s">
        <v>1008</v>
      </c>
      <c r="W521" s="10" t="s">
        <v>1009</v>
      </c>
      <c r="X521" s="10" t="str">
        <f>SUBSTITUTE(SUBSTITUTE(PROPERTIES[[#This Row],[PURCHASECOST_VALUE]], "PURCHASECOST_", ""), "_VALUE", "")</f>
        <v>EMU</v>
      </c>
      <c r="AP521"/>
      <c r="AQ521"/>
      <c r="AR521"/>
    </row>
    <row r="522" spans="1:44">
      <c r="A522" s="2" t="s">
        <v>549</v>
      </c>
      <c r="B522">
        <v>1984</v>
      </c>
      <c r="C522">
        <v>1</v>
      </c>
      <c r="D522" t="s">
        <v>74</v>
      </c>
      <c r="E522" t="s">
        <v>18</v>
      </c>
      <c r="F522">
        <v>90</v>
      </c>
      <c r="G522" s="10">
        <v>48</v>
      </c>
      <c r="H522">
        <v>8</v>
      </c>
      <c r="I522">
        <v>8</v>
      </c>
      <c r="J522" s="2" t="s">
        <v>24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>
        <v>1900</v>
      </c>
      <c r="O522">
        <v>160</v>
      </c>
      <c r="P522" s="2">
        <v>0.21</v>
      </c>
      <c r="Q522" s="6">
        <v>40</v>
      </c>
      <c r="R522" s="10">
        <v>90</v>
      </c>
      <c r="S522" s="10">
        <v>8</v>
      </c>
      <c r="T522" s="10"/>
      <c r="U522" t="str">
        <f>"RUNNING_COST_"&amp;IF(PROPERTIES[[#This Row],[ENGINE_CLASS]]="MAGLEV","ELECTRIC",PROPERTIES[[#This Row],[ENGINE_CLASS]])</f>
        <v>RUNNING_COST_ELECTRIC</v>
      </c>
      <c r="V522" s="10" t="s">
        <v>1008</v>
      </c>
      <c r="W522" s="10" t="s">
        <v>1009</v>
      </c>
      <c r="X522" s="10" t="str">
        <f>SUBSTITUTE(SUBSTITUTE(PROPERTIES[[#This Row],[PURCHASECOST_VALUE]], "PURCHASECOST_", ""), "_VALUE", "")</f>
        <v>EMU</v>
      </c>
      <c r="AP522"/>
      <c r="AQ522"/>
      <c r="AR522"/>
    </row>
    <row r="523" spans="1:44">
      <c r="A523" s="2" t="s">
        <v>550</v>
      </c>
      <c r="B523">
        <v>1950</v>
      </c>
      <c r="C523">
        <v>1</v>
      </c>
      <c r="D523" t="s">
        <v>74</v>
      </c>
      <c r="E523" t="s">
        <v>18</v>
      </c>
      <c r="F523">
        <v>80</v>
      </c>
      <c r="G523" s="10">
        <v>40</v>
      </c>
      <c r="H523">
        <v>8</v>
      </c>
      <c r="I523">
        <v>8</v>
      </c>
      <c r="J523" s="2" t="s">
        <v>24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>
        <v>642</v>
      </c>
      <c r="O523">
        <v>100</v>
      </c>
      <c r="P523" s="2">
        <v>0.25</v>
      </c>
      <c r="Q523" s="6">
        <v>40</v>
      </c>
      <c r="R523" s="10">
        <v>80</v>
      </c>
      <c r="S523" s="10">
        <v>8</v>
      </c>
      <c r="T523" s="10"/>
      <c r="U523" t="str">
        <f>"RUNNING_COST_"&amp;IF(PROPERTIES[[#This Row],[ENGINE_CLASS]]="MAGLEV","ELECTRIC",PROPERTIES[[#This Row],[ENGINE_CLASS]])</f>
        <v>RUNNING_COST_ELECTRIC</v>
      </c>
      <c r="V523" s="10" t="s">
        <v>1008</v>
      </c>
      <c r="W523" s="10" t="s">
        <v>1009</v>
      </c>
      <c r="X523" s="10" t="str">
        <f>SUBSTITUTE(SUBSTITUTE(PROPERTIES[[#This Row],[PURCHASECOST_VALUE]], "PURCHASECOST_", ""), "_VALUE", "")</f>
        <v>EMU</v>
      </c>
      <c r="AP523"/>
      <c r="AQ523"/>
      <c r="AR523"/>
    </row>
    <row r="524" spans="1:44">
      <c r="A524" s="2" t="s">
        <v>551</v>
      </c>
      <c r="B524">
        <v>1975</v>
      </c>
      <c r="C524">
        <v>1</v>
      </c>
      <c r="D524" t="s">
        <v>74</v>
      </c>
      <c r="E524" t="s">
        <v>18</v>
      </c>
      <c r="F524">
        <v>108</v>
      </c>
      <c r="G524" s="10">
        <v>70</v>
      </c>
      <c r="H524">
        <v>7</v>
      </c>
      <c r="I524">
        <v>7</v>
      </c>
      <c r="J524" s="2" t="s">
        <v>24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>
        <v>702</v>
      </c>
      <c r="O524">
        <v>150</v>
      </c>
      <c r="P524" s="2">
        <v>0.15</v>
      </c>
      <c r="Q524" s="6">
        <v>25</v>
      </c>
      <c r="R524" s="10">
        <v>108</v>
      </c>
      <c r="S524" s="10">
        <v>7</v>
      </c>
      <c r="T524" s="10"/>
      <c r="U524" t="str">
        <f>"RUNNING_COST_"&amp;IF(PROPERTIES[[#This Row],[ENGINE_CLASS]]="MAGLEV","ELECTRIC",PROPERTIES[[#This Row],[ENGINE_CLASS]])</f>
        <v>RUNNING_COST_ELECTRIC</v>
      </c>
      <c r="V524" s="10" t="s">
        <v>1008</v>
      </c>
      <c r="W524" s="10" t="s">
        <v>1009</v>
      </c>
      <c r="X524" s="10" t="str">
        <f>SUBSTITUTE(SUBSTITUTE(PROPERTIES[[#This Row],[PURCHASECOST_VALUE]], "PURCHASECOST_", ""), "_VALUE", "")</f>
        <v>EMU</v>
      </c>
      <c r="AP524"/>
      <c r="AQ524"/>
      <c r="AR524"/>
    </row>
    <row r="525" spans="1:44">
      <c r="A525" s="2" t="s">
        <v>552</v>
      </c>
      <c r="B525">
        <v>1956</v>
      </c>
      <c r="C525">
        <v>1</v>
      </c>
      <c r="D525" t="s">
        <v>74</v>
      </c>
      <c r="E525" t="s">
        <v>18</v>
      </c>
      <c r="F525">
        <v>54</v>
      </c>
      <c r="G525" s="10">
        <v>48</v>
      </c>
      <c r="H525">
        <v>7</v>
      </c>
      <c r="I525">
        <v>7</v>
      </c>
      <c r="J525" s="2" t="s">
        <v>24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>
        <v>1340</v>
      </c>
      <c r="O525">
        <v>130</v>
      </c>
      <c r="P525" s="2">
        <v>0.27</v>
      </c>
      <c r="Q525" s="6">
        <v>25</v>
      </c>
      <c r="R525" s="10">
        <v>54</v>
      </c>
      <c r="S525" s="10">
        <v>7</v>
      </c>
      <c r="T525" s="10"/>
      <c r="U525" t="str">
        <f>"RUNNING_COST_"&amp;IF(PROPERTIES[[#This Row],[ENGINE_CLASS]]="MAGLEV","ELECTRIC",PROPERTIES[[#This Row],[ENGINE_CLASS]])</f>
        <v>RUNNING_COST_ELECTRIC</v>
      </c>
      <c r="V525" s="10" t="s">
        <v>1008</v>
      </c>
      <c r="W525" s="10" t="s">
        <v>1009</v>
      </c>
      <c r="X525" s="10" t="str">
        <f>SUBSTITUTE(SUBSTITUTE(PROPERTIES[[#This Row],[PURCHASECOST_VALUE]], "PURCHASECOST_", ""), "_VALUE", "")</f>
        <v>EMU</v>
      </c>
      <c r="AP525"/>
      <c r="AQ525"/>
      <c r="AR525"/>
    </row>
    <row r="526" spans="1:44">
      <c r="A526" s="2" t="s">
        <v>553</v>
      </c>
      <c r="B526">
        <v>1929</v>
      </c>
      <c r="C526">
        <v>1</v>
      </c>
      <c r="D526" t="s">
        <v>74</v>
      </c>
      <c r="E526" t="s">
        <v>18</v>
      </c>
      <c r="F526">
        <v>40</v>
      </c>
      <c r="G526" s="10">
        <v>73</v>
      </c>
      <c r="H526">
        <v>8</v>
      </c>
      <c r="I526">
        <v>8</v>
      </c>
      <c r="J526" s="2" t="s">
        <v>24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>
        <v>555</v>
      </c>
      <c r="O526">
        <v>80</v>
      </c>
      <c r="P526" s="2">
        <v>0.08</v>
      </c>
      <c r="Q526" s="6">
        <v>25</v>
      </c>
      <c r="R526" s="10">
        <v>40</v>
      </c>
      <c r="S526" s="10">
        <v>8</v>
      </c>
      <c r="T526" s="10"/>
      <c r="U526" t="str">
        <f>"RUNNING_COST_"&amp;IF(PROPERTIES[[#This Row],[ENGINE_CLASS]]="MAGLEV","ELECTRIC",PROPERTIES[[#This Row],[ENGINE_CLASS]])</f>
        <v>RUNNING_COST_ELECTRIC</v>
      </c>
      <c r="V526" s="10" t="s">
        <v>1008</v>
      </c>
      <c r="W526" s="10" t="s">
        <v>1009</v>
      </c>
      <c r="X526" s="10" t="str">
        <f>SUBSTITUTE(SUBSTITUTE(PROPERTIES[[#This Row],[PURCHASECOST_VALUE]], "PURCHASECOST_", ""), "_VALUE", "")</f>
        <v>EMU</v>
      </c>
      <c r="AP526"/>
      <c r="AQ526"/>
      <c r="AR526"/>
    </row>
    <row r="527" spans="1:44">
      <c r="A527" s="2" t="s">
        <v>554</v>
      </c>
      <c r="B527">
        <v>2011</v>
      </c>
      <c r="C527">
        <v>1</v>
      </c>
      <c r="D527" t="s">
        <v>74</v>
      </c>
      <c r="E527" t="s">
        <v>18</v>
      </c>
      <c r="F527">
        <v>84</v>
      </c>
      <c r="G527" s="10">
        <v>52</v>
      </c>
      <c r="H527">
        <v>8</v>
      </c>
      <c r="I527">
        <v>8</v>
      </c>
      <c r="J527" s="2" t="s">
        <v>24</v>
      </c>
      <c r="K527">
        <f>_xlfn.XLOOKUP("LOADINGSPEEDDEF_"&amp;PROPERTIES[[#This Row],[LOADINGSPEED]],LOADINGSPEEDDEF[TYPE],LOADINGSPEEDDEF[SPEED])</f>
        <v>40</v>
      </c>
      <c r="L527" t="s">
        <v>21</v>
      </c>
      <c r="M527">
        <v>1</v>
      </c>
      <c r="N527">
        <v>5340</v>
      </c>
      <c r="O527">
        <v>200</v>
      </c>
      <c r="P527" s="2">
        <v>0.62</v>
      </c>
      <c r="Q527" s="6">
        <v>40</v>
      </c>
      <c r="R527" s="10">
        <v>84</v>
      </c>
      <c r="S527" s="10">
        <v>8</v>
      </c>
      <c r="T527" s="10"/>
      <c r="U527" t="str">
        <f>"RUNNING_COST_"&amp;IF(PROPERTIES[[#This Row],[ENGINE_CLASS]]="MAGLEV","ELECTRIC",PROPERTIES[[#This Row],[ENGINE_CLASS]])</f>
        <v>RUNNING_COST_ELECTRIC</v>
      </c>
      <c r="V527" s="10" t="s">
        <v>1008</v>
      </c>
      <c r="W527" s="10" t="s">
        <v>1009</v>
      </c>
      <c r="X527" s="10" t="str">
        <f>SUBSTITUTE(SUBSTITUTE(PROPERTIES[[#This Row],[PURCHASECOST_VALUE]], "PURCHASECOST_", ""), "_VALUE", "")</f>
        <v>EMU</v>
      </c>
      <c r="AP527"/>
      <c r="AQ527"/>
      <c r="AR527"/>
    </row>
    <row r="528" spans="1:44">
      <c r="A528" s="2" t="s">
        <v>555</v>
      </c>
      <c r="B528">
        <v>1969</v>
      </c>
      <c r="C528">
        <v>1</v>
      </c>
      <c r="D528" t="s">
        <v>74</v>
      </c>
      <c r="E528" t="s">
        <v>18</v>
      </c>
      <c r="F528">
        <v>76</v>
      </c>
      <c r="G528" s="10">
        <v>46</v>
      </c>
      <c r="H528">
        <v>8</v>
      </c>
      <c r="I528">
        <v>8</v>
      </c>
      <c r="J528" s="2" t="s">
        <v>24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>
        <v>1000</v>
      </c>
      <c r="O528">
        <v>125</v>
      </c>
      <c r="P528" s="2">
        <v>0.31</v>
      </c>
      <c r="Q528" s="6">
        <v>25</v>
      </c>
      <c r="R528" s="10">
        <v>76</v>
      </c>
      <c r="S528" s="10">
        <v>8</v>
      </c>
      <c r="T528" s="10"/>
      <c r="U528" t="str">
        <f>"RUNNING_COST_"&amp;IF(PROPERTIES[[#This Row],[ENGINE_CLASS]]="MAGLEV","ELECTRIC",PROPERTIES[[#This Row],[ENGINE_CLASS]])</f>
        <v>RUNNING_COST_ELECTRIC</v>
      </c>
      <c r="V528" s="10" t="s">
        <v>1008</v>
      </c>
      <c r="W528" s="10" t="s">
        <v>1009</v>
      </c>
      <c r="X528" s="10" t="str">
        <f>SUBSTITUTE(SUBSTITUTE(PROPERTIES[[#This Row],[PURCHASECOST_VALUE]], "PURCHASECOST_", ""), "_VALUE", "")</f>
        <v>EMU</v>
      </c>
      <c r="AP528"/>
      <c r="AQ528"/>
      <c r="AR528"/>
    </row>
    <row r="529" spans="1:44">
      <c r="A529" s="2" t="s">
        <v>556</v>
      </c>
      <c r="B529">
        <v>1998</v>
      </c>
      <c r="C529">
        <v>1</v>
      </c>
      <c r="D529" t="s">
        <v>74</v>
      </c>
      <c r="E529" t="s">
        <v>18</v>
      </c>
      <c r="F529">
        <v>40</v>
      </c>
      <c r="G529" s="10">
        <v>54</v>
      </c>
      <c r="H529">
        <v>8</v>
      </c>
      <c r="I529">
        <v>8</v>
      </c>
      <c r="J529" s="2" t="s">
        <v>479</v>
      </c>
      <c r="K529">
        <f>_xlfn.XLOOKUP("LOADINGSPEEDDEF_"&amp;PROPERTIES[[#This Row],[LOADINGSPEED]],LOADINGSPEEDDEF[TYPE],LOADINGSPEEDDEF[SPEED])</f>
        <v>16</v>
      </c>
      <c r="L529" t="s">
        <v>21</v>
      </c>
      <c r="M529">
        <v>1</v>
      </c>
      <c r="N529">
        <v>1200</v>
      </c>
      <c r="O529">
        <v>220</v>
      </c>
      <c r="P529" s="2">
        <v>0.69</v>
      </c>
      <c r="Q529" s="6">
        <v>25</v>
      </c>
      <c r="R529" s="10">
        <v>40</v>
      </c>
      <c r="S529" s="10">
        <v>8</v>
      </c>
      <c r="T529" s="10"/>
      <c r="U529" t="str">
        <f>"RUNNING_COST_"&amp;IF(PROPERTIES[[#This Row],[ENGINE_CLASS]]="MAGLEV","ELECTRIC",PROPERTIES[[#This Row],[ENGINE_CLASS]])</f>
        <v>RUNNING_COST_ELECTRIC</v>
      </c>
      <c r="V529" s="10" t="s">
        <v>1008</v>
      </c>
      <c r="W529" s="10" t="s">
        <v>1009</v>
      </c>
      <c r="X529" s="10" t="str">
        <f>SUBSTITUTE(SUBSTITUTE(PROPERTIES[[#This Row],[PURCHASECOST_VALUE]], "PURCHASECOST_", ""), "_VALUE", "")</f>
        <v>EMU</v>
      </c>
      <c r="AP529"/>
      <c r="AQ529"/>
      <c r="AR529"/>
    </row>
    <row r="530" spans="1:44">
      <c r="A530" s="2" t="s">
        <v>557</v>
      </c>
      <c r="B530">
        <v>1942</v>
      </c>
      <c r="C530">
        <v>1</v>
      </c>
      <c r="D530" t="s">
        <v>74</v>
      </c>
      <c r="E530" t="s">
        <v>18</v>
      </c>
      <c r="F530">
        <v>50</v>
      </c>
      <c r="G530" s="10">
        <v>38</v>
      </c>
      <c r="H530">
        <v>8</v>
      </c>
      <c r="I530">
        <v>8</v>
      </c>
      <c r="J530" s="2" t="s">
        <v>24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>
        <v>632</v>
      </c>
      <c r="O530">
        <v>70</v>
      </c>
      <c r="P530" s="2">
        <v>0.23</v>
      </c>
      <c r="Q530" s="6">
        <v>25</v>
      </c>
      <c r="R530" s="10">
        <v>50</v>
      </c>
      <c r="S530" s="10">
        <v>7</v>
      </c>
      <c r="T530" s="10"/>
      <c r="U530" t="str">
        <f>"RUNNING_COST_"&amp;IF(PROPERTIES[[#This Row],[ENGINE_CLASS]]="MAGLEV","ELECTRIC",PROPERTIES[[#This Row],[ENGINE_CLASS]])</f>
        <v>RUNNING_COST_ELECTRIC</v>
      </c>
      <c r="V530" s="10" t="s">
        <v>1008</v>
      </c>
      <c r="W530" s="10" t="s">
        <v>1009</v>
      </c>
      <c r="X530" s="10" t="str">
        <f>SUBSTITUTE(SUBSTITUTE(PROPERTIES[[#This Row],[PURCHASECOST_VALUE]], "PURCHASECOST_", ""), "_VALUE", "")</f>
        <v>EMU</v>
      </c>
      <c r="AP530"/>
      <c r="AQ530"/>
      <c r="AR530"/>
    </row>
    <row r="531" spans="1:44">
      <c r="A531" s="2" t="s">
        <v>558</v>
      </c>
      <c r="B531">
        <v>1990</v>
      </c>
      <c r="C531">
        <v>1</v>
      </c>
      <c r="D531" t="s">
        <v>74</v>
      </c>
      <c r="E531" t="s">
        <v>18</v>
      </c>
      <c r="F531">
        <v>0</v>
      </c>
      <c r="G531" s="10">
        <v>50</v>
      </c>
      <c r="H531">
        <v>8</v>
      </c>
      <c r="I531">
        <v>8</v>
      </c>
      <c r="J531" s="2" t="s">
        <v>479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>
        <v>4400</v>
      </c>
      <c r="O531">
        <v>210</v>
      </c>
      <c r="P531" s="2">
        <v>0.49</v>
      </c>
      <c r="Q531" s="6">
        <v>25</v>
      </c>
      <c r="R531" s="10">
        <v>42</v>
      </c>
      <c r="S531" s="10">
        <v>8</v>
      </c>
      <c r="T531" s="10"/>
      <c r="U531" t="str">
        <f>"RUNNING_COST_"&amp;IF(PROPERTIES[[#This Row],[ENGINE_CLASS]]="MAGLEV","ELECTRIC",PROPERTIES[[#This Row],[ENGINE_CLASS]])</f>
        <v>RUNNING_COST_ELECTRIC</v>
      </c>
      <c r="V531" s="10" t="s">
        <v>1008</v>
      </c>
      <c r="W531" s="10" t="s">
        <v>1009</v>
      </c>
      <c r="X531" s="10" t="str">
        <f>SUBSTITUTE(SUBSTITUTE(PROPERTIES[[#This Row],[PURCHASECOST_VALUE]], "PURCHASECOST_", ""), "_VALUE", "")</f>
        <v>EMU</v>
      </c>
      <c r="AP531"/>
      <c r="AQ531"/>
      <c r="AR531"/>
    </row>
    <row r="532" spans="1:44">
      <c r="A532" s="2" t="s">
        <v>559</v>
      </c>
      <c r="B532">
        <v>1965</v>
      </c>
      <c r="C532">
        <v>1</v>
      </c>
      <c r="D532" t="s">
        <v>74</v>
      </c>
      <c r="E532" t="s">
        <v>18</v>
      </c>
      <c r="F532">
        <v>56</v>
      </c>
      <c r="G532" s="10">
        <v>56</v>
      </c>
      <c r="H532">
        <v>8</v>
      </c>
      <c r="I532">
        <v>8</v>
      </c>
      <c r="J532" s="2" t="s">
        <v>24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>
        <v>1090</v>
      </c>
      <c r="O532">
        <v>125</v>
      </c>
      <c r="P532" s="2">
        <v>0.43</v>
      </c>
      <c r="Q532" s="6">
        <v>25</v>
      </c>
      <c r="R532" s="10">
        <v>56</v>
      </c>
      <c r="S532" s="10">
        <v>8</v>
      </c>
      <c r="T532" s="10"/>
      <c r="U532" t="str">
        <f>"RUNNING_COST_"&amp;IF(PROPERTIES[[#This Row],[ENGINE_CLASS]]="MAGLEV","ELECTRIC",PROPERTIES[[#This Row],[ENGINE_CLASS]])</f>
        <v>RUNNING_COST_ELECTRIC</v>
      </c>
      <c r="V532" s="10" t="s">
        <v>1008</v>
      </c>
      <c r="W532" s="10" t="s">
        <v>1009</v>
      </c>
      <c r="X532" s="10" t="str">
        <f>SUBSTITUTE(SUBSTITUTE(PROPERTIES[[#This Row],[PURCHASECOST_VALUE]], "PURCHASECOST_", ""), "_VALUE", "")</f>
        <v>EMU</v>
      </c>
      <c r="AP532"/>
      <c r="AQ532"/>
      <c r="AR532"/>
    </row>
    <row r="533" spans="1:44">
      <c r="A533" s="2" t="s">
        <v>560</v>
      </c>
      <c r="B533">
        <v>1984</v>
      </c>
      <c r="C533">
        <v>1</v>
      </c>
      <c r="D533" t="s">
        <v>74</v>
      </c>
      <c r="E533" t="s">
        <v>18</v>
      </c>
      <c r="F533">
        <v>56</v>
      </c>
      <c r="G533" s="10">
        <v>35</v>
      </c>
      <c r="H533">
        <v>8</v>
      </c>
      <c r="I533">
        <v>8</v>
      </c>
      <c r="J533" s="2" t="s">
        <v>24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>
        <v>1100</v>
      </c>
      <c r="O533">
        <v>140</v>
      </c>
      <c r="P533" s="2">
        <v>0.52</v>
      </c>
      <c r="Q533" s="6">
        <v>25</v>
      </c>
      <c r="R533" s="10">
        <v>56</v>
      </c>
      <c r="S533" s="10">
        <v>8</v>
      </c>
      <c r="T533" s="10"/>
      <c r="U533" t="str">
        <f>"RUNNING_COST_"&amp;IF(PROPERTIES[[#This Row],[ENGINE_CLASS]]="MAGLEV","ELECTRIC",PROPERTIES[[#This Row],[ENGINE_CLASS]])</f>
        <v>RUNNING_COST_ELECTRIC</v>
      </c>
      <c r="V533" s="10" t="s">
        <v>1008</v>
      </c>
      <c r="W533" s="10" t="s">
        <v>1009</v>
      </c>
      <c r="X533" s="10" t="str">
        <f>SUBSTITUTE(SUBSTITUTE(PROPERTIES[[#This Row],[PURCHASECOST_VALUE]], "PURCHASECOST_", ""), "_VALUE", "")</f>
        <v>EMU</v>
      </c>
      <c r="AP533"/>
      <c r="AQ533"/>
      <c r="AR533"/>
    </row>
    <row r="534" spans="1:44">
      <c r="A534" s="2" t="s">
        <v>561</v>
      </c>
      <c r="B534">
        <v>2004</v>
      </c>
      <c r="C534">
        <v>1</v>
      </c>
      <c r="D534" t="s">
        <v>74</v>
      </c>
      <c r="E534" t="s">
        <v>18</v>
      </c>
      <c r="F534">
        <v>50</v>
      </c>
      <c r="G534" s="10">
        <v>31</v>
      </c>
      <c r="H534">
        <v>8</v>
      </c>
      <c r="I534">
        <v>8</v>
      </c>
      <c r="J534" s="2" t="s">
        <v>24</v>
      </c>
      <c r="K534">
        <f>_xlfn.XLOOKUP("LOADINGSPEEDDEF_"&amp;PROPERTIES[[#This Row],[LOADINGSPEED]],LOADINGSPEEDDEF[TYPE],LOADINGSPEEDDEF[SPEED])</f>
        <v>40</v>
      </c>
      <c r="L534" t="s">
        <v>21</v>
      </c>
      <c r="M534">
        <v>1</v>
      </c>
      <c r="N534">
        <v>670</v>
      </c>
      <c r="O534">
        <v>160</v>
      </c>
      <c r="P534" s="2">
        <v>0.65</v>
      </c>
      <c r="Q534" s="6">
        <v>25</v>
      </c>
      <c r="R534" s="10">
        <v>50</v>
      </c>
      <c r="S534" s="10">
        <v>7</v>
      </c>
      <c r="T534" s="10"/>
      <c r="U534" t="str">
        <f>"RUNNING_COST_"&amp;IF(PROPERTIES[[#This Row],[ENGINE_CLASS]]="MAGLEV","ELECTRIC",PROPERTIES[[#This Row],[ENGINE_CLASS]])</f>
        <v>RUNNING_COST_ELECTRIC</v>
      </c>
      <c r="V534" s="10" t="s">
        <v>1008</v>
      </c>
      <c r="W534" s="10" t="s">
        <v>1009</v>
      </c>
      <c r="X534" s="10" t="str">
        <f>SUBSTITUTE(SUBSTITUTE(PROPERTIES[[#This Row],[PURCHASECOST_VALUE]], "PURCHASECOST_", ""), "_VALUE", "")</f>
        <v>EMU</v>
      </c>
      <c r="AP534"/>
      <c r="AQ534"/>
      <c r="AR534"/>
    </row>
    <row r="535" spans="1:44">
      <c r="A535" s="2" t="s">
        <v>562</v>
      </c>
      <c r="B535">
        <v>1969</v>
      </c>
      <c r="C535">
        <v>1</v>
      </c>
      <c r="D535" t="s">
        <v>74</v>
      </c>
      <c r="E535" t="s">
        <v>18</v>
      </c>
      <c r="F535">
        <v>40</v>
      </c>
      <c r="G535" s="10">
        <v>75</v>
      </c>
      <c r="H535">
        <v>8</v>
      </c>
      <c r="I535">
        <v>8</v>
      </c>
      <c r="J535" s="2" t="s">
        <v>24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>
        <v>2400</v>
      </c>
      <c r="O535">
        <v>201</v>
      </c>
      <c r="P535" s="2">
        <v>0.15</v>
      </c>
      <c r="Q535" s="6">
        <v>40</v>
      </c>
      <c r="R535" s="10">
        <v>40</v>
      </c>
      <c r="S535" s="10">
        <v>8</v>
      </c>
      <c r="T535" s="10"/>
      <c r="U535" t="str">
        <f>"RUNNING_COST_"&amp;IF(PROPERTIES[[#This Row],[ENGINE_CLASS]]="MAGLEV","ELECTRIC",PROPERTIES[[#This Row],[ENGINE_CLASS]])</f>
        <v>RUNNING_COST_ELECTRIC</v>
      </c>
      <c r="V535" s="10" t="s">
        <v>1008</v>
      </c>
      <c r="W535" s="10" t="s">
        <v>1009</v>
      </c>
      <c r="X535" s="10" t="str">
        <f>SUBSTITUTE(SUBSTITUTE(PROPERTIES[[#This Row],[PURCHASECOST_VALUE]], "PURCHASECOST_", ""), "_VALUE", "")</f>
        <v>EMU</v>
      </c>
      <c r="AP535"/>
      <c r="AQ535"/>
      <c r="AR535"/>
    </row>
    <row r="536" spans="1:44">
      <c r="A536" s="2" t="s">
        <v>563</v>
      </c>
      <c r="B536">
        <v>2000</v>
      </c>
      <c r="C536">
        <v>1</v>
      </c>
      <c r="D536" t="s">
        <v>74</v>
      </c>
      <c r="E536" t="s">
        <v>18</v>
      </c>
      <c r="F536">
        <v>45</v>
      </c>
      <c r="G536" s="10">
        <v>51</v>
      </c>
      <c r="H536">
        <v>7</v>
      </c>
      <c r="I536">
        <v>7</v>
      </c>
      <c r="J536" s="2" t="s">
        <v>479</v>
      </c>
      <c r="K536">
        <f>_xlfn.XLOOKUP("LOADINGSPEEDDEF_"&amp;PROPERTIES[[#This Row],[LOADINGSPEED]],LOADINGSPEEDDEF[TYPE],LOADINGSPEEDDEF[SPEED])</f>
        <v>16</v>
      </c>
      <c r="L536" t="s">
        <v>21</v>
      </c>
      <c r="M536">
        <v>1</v>
      </c>
      <c r="N536">
        <v>1400</v>
      </c>
      <c r="O536">
        <v>328</v>
      </c>
      <c r="P536" s="2">
        <v>0.98</v>
      </c>
      <c r="Q536" s="6">
        <v>25</v>
      </c>
      <c r="R536" s="10">
        <v>45</v>
      </c>
      <c r="S536" s="10">
        <v>8</v>
      </c>
      <c r="T536" s="10"/>
      <c r="U536" t="str">
        <f>"RUNNING_COST_"&amp;IF(PROPERTIES[[#This Row],[ENGINE_CLASS]]="MAGLEV","ELECTRIC",PROPERTIES[[#This Row],[ENGINE_CLASS]])</f>
        <v>RUNNING_COST_ELECTRIC</v>
      </c>
      <c r="V536" s="10" t="s">
        <v>1008</v>
      </c>
      <c r="W536" s="10" t="s">
        <v>1009</v>
      </c>
      <c r="X536" s="10" t="str">
        <f>SUBSTITUTE(SUBSTITUTE(PROPERTIES[[#This Row],[PURCHASECOST_VALUE]], "PURCHASECOST_", ""), "_VALUE", "")</f>
        <v>EMU</v>
      </c>
      <c r="AP536"/>
      <c r="AQ536"/>
      <c r="AR536"/>
    </row>
    <row r="537" spans="1:44">
      <c r="A537" s="2" t="s">
        <v>564</v>
      </c>
      <c r="B537">
        <v>2005</v>
      </c>
      <c r="C537">
        <v>1</v>
      </c>
      <c r="D537" t="s">
        <v>74</v>
      </c>
      <c r="E537" t="s">
        <v>18</v>
      </c>
      <c r="F537">
        <v>62</v>
      </c>
      <c r="G537" s="10">
        <v>57</v>
      </c>
      <c r="H537">
        <v>8</v>
      </c>
      <c r="I537">
        <v>8</v>
      </c>
      <c r="J537" s="2" t="s">
        <v>24</v>
      </c>
      <c r="K537">
        <f>_xlfn.XLOOKUP("LOADINGSPEEDDEF_"&amp;PROPERTIES[[#This Row],[LOADINGSPEED]],LOADINGSPEEDDEF[TYPE],LOADINGSPEEDDEF[SPEED])</f>
        <v>40</v>
      </c>
      <c r="L537" t="s">
        <v>21</v>
      </c>
      <c r="M537">
        <v>1</v>
      </c>
      <c r="N537">
        <v>550</v>
      </c>
      <c r="O537">
        <v>140</v>
      </c>
      <c r="P537" s="2">
        <v>0.21</v>
      </c>
      <c r="Q537" s="6">
        <v>25</v>
      </c>
      <c r="R537" s="10">
        <v>62</v>
      </c>
      <c r="S537" s="10">
        <v>8</v>
      </c>
      <c r="T537" s="10"/>
      <c r="U537" t="str">
        <f>"RUNNING_COST_"&amp;IF(PROPERTIES[[#This Row],[ENGINE_CLASS]]="MAGLEV","ELECTRIC",PROPERTIES[[#This Row],[ENGINE_CLASS]])</f>
        <v>RUNNING_COST_ELECTRIC</v>
      </c>
      <c r="V537" s="10" t="s">
        <v>1008</v>
      </c>
      <c r="W537" s="10" t="s">
        <v>1009</v>
      </c>
      <c r="X537" s="10" t="str">
        <f>SUBSTITUTE(SUBSTITUTE(PROPERTIES[[#This Row],[PURCHASECOST_VALUE]], "PURCHASECOST_", ""), "_VALUE", "")</f>
        <v>EMU</v>
      </c>
      <c r="AP537"/>
      <c r="AQ537"/>
      <c r="AR537"/>
    </row>
    <row r="538" spans="1:44">
      <c r="A538" s="2" t="s">
        <v>565</v>
      </c>
      <c r="B538">
        <v>1975</v>
      </c>
      <c r="C538">
        <v>1</v>
      </c>
      <c r="D538" t="s">
        <v>74</v>
      </c>
      <c r="E538" t="s">
        <v>18</v>
      </c>
      <c r="F538">
        <v>70</v>
      </c>
      <c r="G538" s="10">
        <v>38</v>
      </c>
      <c r="H538">
        <v>8</v>
      </c>
      <c r="I538">
        <v>8</v>
      </c>
      <c r="J538" s="2" t="s">
        <v>24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>
        <v>831</v>
      </c>
      <c r="O538">
        <v>120</v>
      </c>
      <c r="P538" s="2">
        <v>0.22</v>
      </c>
      <c r="Q538" s="6">
        <v>25</v>
      </c>
      <c r="R538" s="10">
        <v>70</v>
      </c>
      <c r="S538" s="10">
        <v>8</v>
      </c>
      <c r="T538" s="10"/>
      <c r="U538" t="str">
        <f>"RUNNING_COST_"&amp;IF(PROPERTIES[[#This Row],[ENGINE_CLASS]]="MAGLEV","ELECTRIC",PROPERTIES[[#This Row],[ENGINE_CLASS]])</f>
        <v>RUNNING_COST_ELECTRIC</v>
      </c>
      <c r="V538" s="10" t="s">
        <v>1008</v>
      </c>
      <c r="W538" s="10" t="s">
        <v>1009</v>
      </c>
      <c r="X538" s="10" t="str">
        <f>SUBSTITUTE(SUBSTITUTE(PROPERTIES[[#This Row],[PURCHASECOST_VALUE]], "PURCHASECOST_", ""), "_VALUE", "")</f>
        <v>EMU</v>
      </c>
      <c r="AP538"/>
      <c r="AQ538"/>
      <c r="AR538"/>
    </row>
    <row r="539" spans="1:44">
      <c r="A539" s="2" t="s">
        <v>566</v>
      </c>
      <c r="B539">
        <v>1999</v>
      </c>
      <c r="C539">
        <v>1</v>
      </c>
      <c r="D539" t="s">
        <v>74</v>
      </c>
      <c r="E539" t="s">
        <v>18</v>
      </c>
      <c r="F539">
        <v>100</v>
      </c>
      <c r="G539" s="10">
        <v>57</v>
      </c>
      <c r="H539">
        <v>8</v>
      </c>
      <c r="I539">
        <v>8</v>
      </c>
      <c r="J539" s="2" t="s">
        <v>24</v>
      </c>
      <c r="K539">
        <f>_xlfn.XLOOKUP("LOADINGSPEEDDEF_"&amp;PROPERTIES[[#This Row],[LOADINGSPEED]],LOADINGSPEEDDEF[TYPE],LOADINGSPEEDDEF[SPEED])</f>
        <v>40</v>
      </c>
      <c r="L539" t="s">
        <v>21</v>
      </c>
      <c r="M539">
        <v>1</v>
      </c>
      <c r="N539">
        <v>800</v>
      </c>
      <c r="O539">
        <v>160</v>
      </c>
      <c r="P539" s="2">
        <v>0.18</v>
      </c>
      <c r="Q539" s="6">
        <v>25</v>
      </c>
      <c r="R539" s="10">
        <v>100</v>
      </c>
      <c r="S539" s="10">
        <v>8</v>
      </c>
      <c r="T539" s="10"/>
      <c r="U539" t="str">
        <f>"RUNNING_COST_"&amp;IF(PROPERTIES[[#This Row],[ENGINE_CLASS]]="MAGLEV","ELECTRIC",PROPERTIES[[#This Row],[ENGINE_CLASS]])</f>
        <v>RUNNING_COST_ELECTRIC</v>
      </c>
      <c r="V539" s="10" t="s">
        <v>1008</v>
      </c>
      <c r="W539" s="10" t="s">
        <v>1009</v>
      </c>
      <c r="X539" s="10" t="str">
        <f>SUBSTITUTE(SUBSTITUTE(PROPERTIES[[#This Row],[PURCHASECOST_VALUE]], "PURCHASECOST_", ""), "_VALUE", "")</f>
        <v>EMU</v>
      </c>
      <c r="AP539"/>
      <c r="AQ539"/>
      <c r="AR539"/>
    </row>
    <row r="540" spans="1:44">
      <c r="A540" s="2" t="s">
        <v>567</v>
      </c>
      <c r="B540">
        <v>1988</v>
      </c>
      <c r="C540">
        <v>1</v>
      </c>
      <c r="D540" t="s">
        <v>74</v>
      </c>
      <c r="E540" t="s">
        <v>18</v>
      </c>
      <c r="F540">
        <v>75</v>
      </c>
      <c r="G540" s="10">
        <v>66</v>
      </c>
      <c r="H540">
        <v>8</v>
      </c>
      <c r="I540">
        <v>8</v>
      </c>
      <c r="J540" s="2" t="s">
        <v>24</v>
      </c>
      <c r="K540">
        <f>_xlfn.XLOOKUP("LOADINGSPEEDDEF_"&amp;PROPERTIES[[#This Row],[LOADINGSPEED]],LOADINGSPEEDDEF[TYPE],LOADINGSPEEDDEF[SPEED])</f>
        <v>40</v>
      </c>
      <c r="L540" t="s">
        <v>21</v>
      </c>
      <c r="M540">
        <v>1</v>
      </c>
      <c r="N540">
        <v>2040</v>
      </c>
      <c r="O540">
        <v>120</v>
      </c>
      <c r="P540" s="2">
        <v>0.11</v>
      </c>
      <c r="Q540" s="6">
        <v>25</v>
      </c>
      <c r="R540" s="10">
        <v>75</v>
      </c>
      <c r="S540" s="10">
        <v>8</v>
      </c>
      <c r="T540" s="10"/>
      <c r="U540" t="str">
        <f>"RUNNING_COST_"&amp;IF(PROPERTIES[[#This Row],[ENGINE_CLASS]]="MAGLEV","ELECTRIC",PROPERTIES[[#This Row],[ENGINE_CLASS]])</f>
        <v>RUNNING_COST_ELECTRIC</v>
      </c>
      <c r="V540" s="10" t="s">
        <v>1008</v>
      </c>
      <c r="W540" s="10" t="s">
        <v>1009</v>
      </c>
      <c r="X540" s="10" t="str">
        <f>SUBSTITUTE(SUBSTITUTE(PROPERTIES[[#This Row],[PURCHASECOST_VALUE]], "PURCHASECOST_", ""), "_VALUE", "")</f>
        <v>EMU</v>
      </c>
      <c r="AP540"/>
      <c r="AQ540"/>
      <c r="AR540"/>
    </row>
    <row r="541" spans="1:44">
      <c r="A541" s="2" t="s">
        <v>568</v>
      </c>
      <c r="B541">
        <v>2030</v>
      </c>
      <c r="C541">
        <v>1</v>
      </c>
      <c r="D541" t="s">
        <v>74</v>
      </c>
      <c r="E541" t="s">
        <v>18</v>
      </c>
      <c r="F541">
        <v>85</v>
      </c>
      <c r="G541" s="10">
        <v>50</v>
      </c>
      <c r="H541">
        <v>8</v>
      </c>
      <c r="I541">
        <v>8</v>
      </c>
      <c r="J541" s="2" t="s">
        <v>479</v>
      </c>
      <c r="K541">
        <f>_xlfn.XLOOKUP("LOADINGSPEEDDEF_"&amp;PROPERTIES[[#This Row],[LOADINGSPEED]],LOADINGSPEEDDEF[TYPE],LOADINGSPEEDDEF[SPEED])</f>
        <v>16</v>
      </c>
      <c r="L541" t="s">
        <v>21</v>
      </c>
      <c r="M541">
        <v>1</v>
      </c>
      <c r="N541">
        <v>16000</v>
      </c>
      <c r="O541">
        <v>300</v>
      </c>
      <c r="P541" s="2">
        <v>0.22</v>
      </c>
      <c r="Q541" s="6">
        <v>25</v>
      </c>
      <c r="R541" s="10">
        <v>85</v>
      </c>
      <c r="S541" s="10">
        <v>8</v>
      </c>
      <c r="T541" s="10"/>
      <c r="U541" t="str">
        <f>"RUNNING_COST_"&amp;IF(PROPERTIES[[#This Row],[ENGINE_CLASS]]="MAGLEV","ELECTRIC",PROPERTIES[[#This Row],[ENGINE_CLASS]])</f>
        <v>RUNNING_COST_ELECTRIC</v>
      </c>
      <c r="V541" s="10" t="s">
        <v>1008</v>
      </c>
      <c r="W541" s="10" t="s">
        <v>1009</v>
      </c>
      <c r="X541" s="10" t="str">
        <f>SUBSTITUTE(SUBSTITUTE(PROPERTIES[[#This Row],[PURCHASECOST_VALUE]], "PURCHASECOST_", ""), "_VALUE", "")</f>
        <v>EMU</v>
      </c>
      <c r="AP541"/>
      <c r="AQ541"/>
      <c r="AR541"/>
    </row>
    <row r="542" spans="1:44">
      <c r="A542" s="2" t="s">
        <v>569</v>
      </c>
      <c r="B542">
        <v>1964</v>
      </c>
      <c r="C542">
        <v>1</v>
      </c>
      <c r="D542" t="s">
        <v>74</v>
      </c>
      <c r="E542" t="s">
        <v>18</v>
      </c>
      <c r="F542">
        <v>50</v>
      </c>
      <c r="G542" s="10">
        <v>54</v>
      </c>
      <c r="H542">
        <v>8</v>
      </c>
      <c r="I542">
        <v>8</v>
      </c>
      <c r="J542" s="2" t="s">
        <v>479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>
        <v>1000</v>
      </c>
      <c r="O542">
        <v>210</v>
      </c>
      <c r="P542" s="2">
        <v>0.3</v>
      </c>
      <c r="Q542" s="6">
        <v>44</v>
      </c>
      <c r="R542" s="10">
        <v>50</v>
      </c>
      <c r="S542" s="10">
        <v>8</v>
      </c>
      <c r="T542" s="10"/>
      <c r="U542" t="str">
        <f>"RUNNING_COST_"&amp;IF(PROPERTIES[[#This Row],[ENGINE_CLASS]]="MAGLEV","ELECTRIC",PROPERTIES[[#This Row],[ENGINE_CLASS]])</f>
        <v>RUNNING_COST_ELECTRIC</v>
      </c>
      <c r="V542" s="10" t="s">
        <v>1008</v>
      </c>
      <c r="W542" s="10" t="s">
        <v>1009</v>
      </c>
      <c r="X542" s="10" t="str">
        <f>SUBSTITUTE(SUBSTITUTE(PROPERTIES[[#This Row],[PURCHASECOST_VALUE]], "PURCHASECOST_", ""), "_VALUE", "")</f>
        <v>EMU</v>
      </c>
      <c r="AP542"/>
      <c r="AQ542"/>
      <c r="AR542"/>
    </row>
    <row r="543" spans="1:44">
      <c r="A543" s="2" t="s">
        <v>570</v>
      </c>
      <c r="B543">
        <v>1997</v>
      </c>
      <c r="C543">
        <v>1</v>
      </c>
      <c r="D543" t="s">
        <v>74</v>
      </c>
      <c r="E543" t="s">
        <v>18</v>
      </c>
      <c r="F543">
        <v>83</v>
      </c>
      <c r="G543" s="10">
        <v>45</v>
      </c>
      <c r="H543">
        <v>8</v>
      </c>
      <c r="I543">
        <v>8</v>
      </c>
      <c r="J543" s="2" t="s">
        <v>479</v>
      </c>
      <c r="K543">
        <f>_xlfn.XLOOKUP("LOADINGSPEEDDEF_"&amp;PROPERTIES[[#This Row],[LOADINGSPEED]],LOADINGSPEEDDEF[TYPE],LOADINGSPEEDDEF[SPEED])</f>
        <v>16</v>
      </c>
      <c r="L543" t="s">
        <v>21</v>
      </c>
      <c r="M543">
        <v>1</v>
      </c>
      <c r="N543">
        <v>1441</v>
      </c>
      <c r="O543">
        <v>270</v>
      </c>
      <c r="P543" s="2">
        <v>0.56000000000000005</v>
      </c>
      <c r="Q543" s="6">
        <v>25</v>
      </c>
      <c r="R543" s="10">
        <v>83</v>
      </c>
      <c r="S543" s="10">
        <v>8</v>
      </c>
      <c r="T543" s="10"/>
      <c r="U543" t="str">
        <f>"RUNNING_COST_"&amp;IF(PROPERTIES[[#This Row],[ENGINE_CLASS]]="MAGLEV","ELECTRIC",PROPERTIES[[#This Row],[ENGINE_CLASS]])</f>
        <v>RUNNING_COST_ELECTRIC</v>
      </c>
      <c r="V543" s="10" t="s">
        <v>1008</v>
      </c>
      <c r="W543" s="10" t="s">
        <v>1009</v>
      </c>
      <c r="X543" s="10" t="str">
        <f>SUBSTITUTE(SUBSTITUTE(PROPERTIES[[#This Row],[PURCHASECOST_VALUE]], "PURCHASECOST_", ""), "_VALUE", "")</f>
        <v>EMU</v>
      </c>
      <c r="AP543"/>
      <c r="AQ543"/>
      <c r="AR543"/>
    </row>
    <row r="544" spans="1:44">
      <c r="A544" s="2" t="s">
        <v>571</v>
      </c>
      <c r="B544">
        <v>1994</v>
      </c>
      <c r="C544">
        <v>1</v>
      </c>
      <c r="D544" t="s">
        <v>74</v>
      </c>
      <c r="E544" t="s">
        <v>18</v>
      </c>
      <c r="F544">
        <v>100</v>
      </c>
      <c r="G544" s="10">
        <v>58</v>
      </c>
      <c r="H544">
        <v>8</v>
      </c>
      <c r="I544">
        <v>8</v>
      </c>
      <c r="J544" s="2" t="s">
        <v>24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>
        <v>1704</v>
      </c>
      <c r="O544">
        <v>240</v>
      </c>
      <c r="P544" s="2">
        <v>0.3</v>
      </c>
      <c r="Q544" s="6">
        <v>40</v>
      </c>
      <c r="R544" s="10">
        <v>100</v>
      </c>
      <c r="S544" s="10">
        <v>8</v>
      </c>
      <c r="T544" s="10"/>
      <c r="U544" t="str">
        <f>"RUNNING_COST_"&amp;IF(PROPERTIES[[#This Row],[ENGINE_CLASS]]="MAGLEV","ELECTRIC",PROPERTIES[[#This Row],[ENGINE_CLASS]])</f>
        <v>RUNNING_COST_ELECTRIC</v>
      </c>
      <c r="V544" s="10" t="s">
        <v>1008</v>
      </c>
      <c r="W544" s="10" t="s">
        <v>1009</v>
      </c>
      <c r="X544" s="10" t="str">
        <f>SUBSTITUTE(SUBSTITUTE(PROPERTIES[[#This Row],[PURCHASECOST_VALUE]], "PURCHASECOST_", ""), "_VALUE", "")</f>
        <v>EMU</v>
      </c>
      <c r="AP544"/>
      <c r="AQ544"/>
      <c r="AR544"/>
    </row>
    <row r="545" spans="1:44">
      <c r="A545" s="2" t="s">
        <v>572</v>
      </c>
      <c r="B545">
        <v>1999</v>
      </c>
      <c r="C545">
        <v>1</v>
      </c>
      <c r="D545" t="s">
        <v>74</v>
      </c>
      <c r="E545" t="s">
        <v>18</v>
      </c>
      <c r="F545">
        <v>111</v>
      </c>
      <c r="G545" s="10">
        <v>53</v>
      </c>
      <c r="H545">
        <v>8</v>
      </c>
      <c r="I545">
        <v>8</v>
      </c>
      <c r="J545" s="2" t="s">
        <v>24</v>
      </c>
      <c r="K545">
        <f>_xlfn.XLOOKUP("LOADINGSPEEDDEF_"&amp;PROPERTIES[[#This Row],[LOADINGSPEED]],LOADINGSPEEDDEF[TYPE],LOADINGSPEEDDEF[SPEED])</f>
        <v>40</v>
      </c>
      <c r="L545" t="s">
        <v>21</v>
      </c>
      <c r="M545">
        <v>1</v>
      </c>
      <c r="N545">
        <v>1050</v>
      </c>
      <c r="O545">
        <v>160</v>
      </c>
      <c r="P545" s="2">
        <v>0.26</v>
      </c>
      <c r="Q545" s="6">
        <v>25</v>
      </c>
      <c r="R545" s="10">
        <v>111</v>
      </c>
      <c r="S545" s="10">
        <v>8</v>
      </c>
      <c r="T545" s="10"/>
      <c r="U545" t="str">
        <f>"RUNNING_COST_"&amp;IF(PROPERTIES[[#This Row],[ENGINE_CLASS]]="MAGLEV","ELECTRIC",PROPERTIES[[#This Row],[ENGINE_CLASS]])</f>
        <v>RUNNING_COST_ELECTRIC</v>
      </c>
      <c r="V545" s="10" t="s">
        <v>1008</v>
      </c>
      <c r="W545" s="10" t="s">
        <v>1009</v>
      </c>
      <c r="X545" s="10" t="str">
        <f>SUBSTITUTE(SUBSTITUTE(PROPERTIES[[#This Row],[PURCHASECOST_VALUE]], "PURCHASECOST_", ""), "_VALUE", "")</f>
        <v>EMU</v>
      </c>
      <c r="AP545"/>
      <c r="AQ545"/>
      <c r="AR545"/>
    </row>
    <row r="546" spans="1:44">
      <c r="A546" s="2" t="s">
        <v>573</v>
      </c>
      <c r="B546">
        <v>1980</v>
      </c>
      <c r="C546">
        <v>1</v>
      </c>
      <c r="D546" t="s">
        <v>74</v>
      </c>
      <c r="E546" t="s">
        <v>18</v>
      </c>
      <c r="F546">
        <v>68</v>
      </c>
      <c r="G546" s="10">
        <v>60</v>
      </c>
      <c r="H546">
        <v>8</v>
      </c>
      <c r="I546">
        <v>8</v>
      </c>
      <c r="J546" s="2" t="s">
        <v>24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>
        <v>340</v>
      </c>
      <c r="O546">
        <v>120</v>
      </c>
      <c r="P546" s="2">
        <v>0.15</v>
      </c>
      <c r="Q546" s="6">
        <v>25</v>
      </c>
      <c r="R546" s="10">
        <v>68</v>
      </c>
      <c r="S546" s="10">
        <v>8</v>
      </c>
      <c r="T546" s="10"/>
      <c r="U546" t="str">
        <f>"RUNNING_COST_"&amp;IF(PROPERTIES[[#This Row],[ENGINE_CLASS]]="MAGLEV","ELECTRIC",PROPERTIES[[#This Row],[ENGINE_CLASS]])</f>
        <v>RUNNING_COST_ELECTRIC</v>
      </c>
      <c r="V546" s="10" t="s">
        <v>1008</v>
      </c>
      <c r="W546" s="10" t="s">
        <v>1009</v>
      </c>
      <c r="X546" s="10" t="str">
        <f>SUBSTITUTE(SUBSTITUTE(PROPERTIES[[#This Row],[PURCHASECOST_VALUE]], "PURCHASECOST_", ""), "_VALUE", "")</f>
        <v>EMU</v>
      </c>
      <c r="AP546"/>
      <c r="AQ546"/>
      <c r="AR546"/>
    </row>
    <row r="547" spans="1:44">
      <c r="A547" s="2" t="s">
        <v>574</v>
      </c>
      <c r="B547">
        <v>1965</v>
      </c>
      <c r="C547">
        <v>1</v>
      </c>
      <c r="D547" t="s">
        <v>74</v>
      </c>
      <c r="E547" t="s">
        <v>18</v>
      </c>
      <c r="F547">
        <v>100</v>
      </c>
      <c r="G547" s="10">
        <v>35</v>
      </c>
      <c r="H547">
        <v>8</v>
      </c>
      <c r="I547">
        <v>8</v>
      </c>
      <c r="J547" s="2" t="s">
        <v>24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>
        <v>824</v>
      </c>
      <c r="O547">
        <v>120</v>
      </c>
      <c r="P547" s="2">
        <v>0.42</v>
      </c>
      <c r="Q547" s="6">
        <v>40</v>
      </c>
      <c r="R547" s="10">
        <v>100</v>
      </c>
      <c r="S547" s="10">
        <v>8</v>
      </c>
      <c r="T547" s="10"/>
      <c r="U547" t="str">
        <f>"RUNNING_COST_"&amp;IF(PROPERTIES[[#This Row],[ENGINE_CLASS]]="MAGLEV","ELECTRIC",PROPERTIES[[#This Row],[ENGINE_CLASS]])</f>
        <v>RUNNING_COST_ELECTRIC</v>
      </c>
      <c r="V547" s="10" t="s">
        <v>1008</v>
      </c>
      <c r="W547" s="10" t="s">
        <v>1009</v>
      </c>
      <c r="X547" s="10" t="str">
        <f>SUBSTITUTE(SUBSTITUTE(PROPERTIES[[#This Row],[PURCHASECOST_VALUE]], "PURCHASECOST_", ""), "_VALUE", "")</f>
        <v>EMU</v>
      </c>
      <c r="AP547"/>
      <c r="AQ547"/>
      <c r="AR547"/>
    </row>
    <row r="548" spans="1:44">
      <c r="A548" s="2" t="s">
        <v>575</v>
      </c>
      <c r="B548">
        <v>2010</v>
      </c>
      <c r="C548">
        <v>1</v>
      </c>
      <c r="D548" t="s">
        <v>74</v>
      </c>
      <c r="E548" t="s">
        <v>18</v>
      </c>
      <c r="F548">
        <v>52</v>
      </c>
      <c r="G548" s="10">
        <v>42</v>
      </c>
      <c r="H548">
        <v>8</v>
      </c>
      <c r="I548">
        <v>8</v>
      </c>
      <c r="J548" s="2" t="s">
        <v>479</v>
      </c>
      <c r="K548">
        <f>_xlfn.XLOOKUP("LOADINGSPEEDDEF_"&amp;PROPERTIES[[#This Row],[LOADINGSPEED]],LOADINGSPEEDDEF[TYPE],LOADINGSPEEDDEF[SPEED])</f>
        <v>16</v>
      </c>
      <c r="L548" t="s">
        <v>21</v>
      </c>
      <c r="M548">
        <v>1</v>
      </c>
      <c r="N548">
        <v>553</v>
      </c>
      <c r="O548">
        <v>160</v>
      </c>
      <c r="P548" s="2">
        <v>0.3</v>
      </c>
      <c r="Q548" s="6">
        <v>25</v>
      </c>
      <c r="R548" s="10">
        <v>52</v>
      </c>
      <c r="S548" s="10">
        <v>8</v>
      </c>
      <c r="T548" s="10"/>
      <c r="U548" t="str">
        <f>"RUNNING_COST_"&amp;IF(PROPERTIES[[#This Row],[ENGINE_CLASS]]="MAGLEV","ELECTRIC",PROPERTIES[[#This Row],[ENGINE_CLASS]])</f>
        <v>RUNNING_COST_ELECTRIC</v>
      </c>
      <c r="V548" s="10" t="s">
        <v>1008</v>
      </c>
      <c r="W548" s="10" t="s">
        <v>1009</v>
      </c>
      <c r="X548" s="10" t="str">
        <f>SUBSTITUTE(SUBSTITUTE(PROPERTIES[[#This Row],[PURCHASECOST_VALUE]], "PURCHASECOST_", ""), "_VALUE", "")</f>
        <v>EMU</v>
      </c>
      <c r="AP548"/>
      <c r="AQ548"/>
      <c r="AR548"/>
    </row>
    <row r="549" spans="1:44">
      <c r="A549" s="2" t="s">
        <v>576</v>
      </c>
      <c r="B549">
        <v>1955</v>
      </c>
      <c r="C549">
        <v>1</v>
      </c>
      <c r="D549" t="s">
        <v>74</v>
      </c>
      <c r="E549" t="s">
        <v>18</v>
      </c>
      <c r="F549">
        <v>81</v>
      </c>
      <c r="G549" s="10">
        <v>40</v>
      </c>
      <c r="H549">
        <v>8</v>
      </c>
      <c r="I549">
        <v>8</v>
      </c>
      <c r="J549" s="2" t="s">
        <v>24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>
        <v>550</v>
      </c>
      <c r="O549">
        <v>110</v>
      </c>
      <c r="P549" s="2">
        <v>0.2</v>
      </c>
      <c r="Q549" s="6">
        <v>25</v>
      </c>
      <c r="R549" s="10">
        <v>81</v>
      </c>
      <c r="S549" s="10">
        <v>8</v>
      </c>
      <c r="T549" s="10"/>
      <c r="U549" t="str">
        <f>"RUNNING_COST_"&amp;IF(PROPERTIES[[#This Row],[ENGINE_CLASS]]="MAGLEV","ELECTRIC",PROPERTIES[[#This Row],[ENGINE_CLASS]])</f>
        <v>RUNNING_COST_ELECTRIC</v>
      </c>
      <c r="V549" s="10" t="s">
        <v>1008</v>
      </c>
      <c r="W549" s="10" t="s">
        <v>1009</v>
      </c>
      <c r="X549" s="10" t="str">
        <f>SUBSTITUTE(SUBSTITUTE(PROPERTIES[[#This Row],[PURCHASECOST_VALUE]], "PURCHASECOST_", ""), "_VALUE", "")</f>
        <v>EMU</v>
      </c>
      <c r="AP549"/>
      <c r="AQ549"/>
      <c r="AR549"/>
    </row>
    <row r="550" spans="1:44">
      <c r="A550" s="2" t="s">
        <v>577</v>
      </c>
      <c r="B550">
        <v>2010</v>
      </c>
      <c r="C550">
        <v>1</v>
      </c>
      <c r="D550" t="s">
        <v>74</v>
      </c>
      <c r="E550" t="s">
        <v>18</v>
      </c>
      <c r="F550">
        <v>70</v>
      </c>
      <c r="G550" s="10">
        <v>48</v>
      </c>
      <c r="H550">
        <v>8</v>
      </c>
      <c r="I550">
        <v>8</v>
      </c>
      <c r="J550" s="2" t="s">
        <v>24</v>
      </c>
      <c r="K550">
        <f>_xlfn.XLOOKUP("LOADINGSPEEDDEF_"&amp;PROPERTIES[[#This Row],[LOADINGSPEED]],LOADINGSPEEDDEF[TYPE],LOADINGSPEEDDEF[SPEED])</f>
        <v>40</v>
      </c>
      <c r="L550" t="s">
        <v>21</v>
      </c>
      <c r="M550">
        <v>1</v>
      </c>
      <c r="N550">
        <v>6450</v>
      </c>
      <c r="O550">
        <v>380</v>
      </c>
      <c r="P550" s="2">
        <v>0.14000000000000001</v>
      </c>
      <c r="Q550" s="6">
        <v>25</v>
      </c>
      <c r="R550" s="10">
        <v>70</v>
      </c>
      <c r="S550" s="10">
        <v>8</v>
      </c>
      <c r="T550" s="10"/>
      <c r="U550" t="str">
        <f>"RUNNING_COST_"&amp;IF(PROPERTIES[[#This Row],[ENGINE_CLASS]]="MAGLEV","ELECTRIC",PROPERTIES[[#This Row],[ENGINE_CLASS]])</f>
        <v>RUNNING_COST_ELECTRIC</v>
      </c>
      <c r="V550" s="10" t="s">
        <v>1008</v>
      </c>
      <c r="W550" s="10" t="s">
        <v>1009</v>
      </c>
      <c r="X550" s="10" t="str">
        <f>SUBSTITUTE(SUBSTITUTE(PROPERTIES[[#This Row],[PURCHASECOST_VALUE]], "PURCHASECOST_", ""), "_VALUE", "")</f>
        <v>EMU</v>
      </c>
      <c r="AP550"/>
      <c r="AQ550"/>
      <c r="AR550"/>
    </row>
    <row r="551" spans="1:44">
      <c r="A551" s="2" t="s">
        <v>578</v>
      </c>
      <c r="B551">
        <v>1908</v>
      </c>
      <c r="C551">
        <v>1</v>
      </c>
      <c r="D551" t="s">
        <v>74</v>
      </c>
      <c r="E551" t="s">
        <v>18</v>
      </c>
      <c r="F551">
        <v>72</v>
      </c>
      <c r="G551" s="10">
        <v>68</v>
      </c>
      <c r="H551">
        <v>8</v>
      </c>
      <c r="I551">
        <v>8</v>
      </c>
      <c r="J551" s="2" t="s">
        <v>24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>
        <v>450</v>
      </c>
      <c r="O551">
        <v>105</v>
      </c>
      <c r="P551" s="2">
        <v>0.22</v>
      </c>
      <c r="Q551" s="6">
        <v>25</v>
      </c>
      <c r="R551" s="10">
        <v>72</v>
      </c>
      <c r="S551" s="10">
        <v>8</v>
      </c>
      <c r="T551" s="10"/>
      <c r="U551" t="str">
        <f>"RUNNING_COST_"&amp;IF(PROPERTIES[[#This Row],[ENGINE_CLASS]]="MAGLEV","ELECTRIC",PROPERTIES[[#This Row],[ENGINE_CLASS]])</f>
        <v>RUNNING_COST_ELECTRIC</v>
      </c>
      <c r="V551" s="10" t="s">
        <v>996</v>
      </c>
      <c r="W551" s="10" t="s">
        <v>997</v>
      </c>
      <c r="X551" s="10" t="str">
        <f>SUBSTITUTE(SUBSTITUTE(PROPERTIES[[#This Row],[PURCHASECOST_VALUE]], "PURCHASECOST_", ""), "_VALUE", "")</f>
        <v>ELECTRICRAILBUS</v>
      </c>
      <c r="AP551"/>
      <c r="AQ551"/>
      <c r="AR551"/>
    </row>
    <row r="552" spans="1:44">
      <c r="A552" s="2" t="s">
        <v>579</v>
      </c>
      <c r="B552">
        <v>2011</v>
      </c>
      <c r="C552">
        <v>1</v>
      </c>
      <c r="D552" t="s">
        <v>74</v>
      </c>
      <c r="E552" t="s">
        <v>18</v>
      </c>
      <c r="F552">
        <v>42</v>
      </c>
      <c r="G552" s="10">
        <v>30</v>
      </c>
      <c r="H552">
        <v>8</v>
      </c>
      <c r="I552">
        <v>8</v>
      </c>
      <c r="J552" s="2" t="s">
        <v>479</v>
      </c>
      <c r="K552">
        <f>_xlfn.XLOOKUP("LOADINGSPEEDDEF_"&amp;PROPERTIES[[#This Row],[LOADINGSPEED]],LOADINGSPEEDDEF[TYPE],LOADINGSPEEDDEF[SPEED])</f>
        <v>16</v>
      </c>
      <c r="L552" t="s">
        <v>21</v>
      </c>
      <c r="M552">
        <v>1</v>
      </c>
      <c r="N552">
        <v>1150</v>
      </c>
      <c r="O552">
        <v>360</v>
      </c>
      <c r="P552" s="2">
        <v>0.9</v>
      </c>
      <c r="Q552" s="6">
        <v>25</v>
      </c>
      <c r="R552" s="10">
        <v>42</v>
      </c>
      <c r="S552" s="10">
        <v>7</v>
      </c>
      <c r="T552" s="10"/>
      <c r="U552" t="str">
        <f>"RUNNING_COST_"&amp;IF(PROPERTIES[[#This Row],[ENGINE_CLASS]]="MAGLEV","ELECTRIC",PROPERTIES[[#This Row],[ENGINE_CLASS]])</f>
        <v>RUNNING_COST_ELECTRIC</v>
      </c>
      <c r="V552" s="10" t="s">
        <v>1008</v>
      </c>
      <c r="W552" s="10" t="s">
        <v>1009</v>
      </c>
      <c r="X552" s="10" t="str">
        <f>SUBSTITUTE(SUBSTITUTE(PROPERTIES[[#This Row],[PURCHASECOST_VALUE]], "PURCHASECOST_", ""), "_VALUE", "")</f>
        <v>EMU</v>
      </c>
      <c r="AP552"/>
      <c r="AQ552"/>
      <c r="AR552"/>
    </row>
    <row r="553" spans="1:44">
      <c r="A553" s="2" t="s">
        <v>580</v>
      </c>
      <c r="B553">
        <v>2015</v>
      </c>
      <c r="C553">
        <v>1</v>
      </c>
      <c r="D553" t="s">
        <v>74</v>
      </c>
      <c r="E553" t="s">
        <v>18</v>
      </c>
      <c r="F553">
        <v>67</v>
      </c>
      <c r="G553" s="10">
        <v>44</v>
      </c>
      <c r="H553">
        <v>8</v>
      </c>
      <c r="I553">
        <v>8</v>
      </c>
      <c r="J553" s="2" t="s">
        <v>479</v>
      </c>
      <c r="K553">
        <f>_xlfn.XLOOKUP("LOADINGSPEEDDEF_"&amp;PROPERTIES[[#This Row],[LOADINGSPEED]],LOADINGSPEEDDEF[TYPE],LOADINGSPEEDDEF[SPEED])</f>
        <v>16</v>
      </c>
      <c r="L553" t="s">
        <v>21</v>
      </c>
      <c r="M553">
        <v>1</v>
      </c>
      <c r="N553">
        <v>1750</v>
      </c>
      <c r="O553">
        <v>360</v>
      </c>
      <c r="P553" s="2">
        <v>0.83</v>
      </c>
      <c r="Q553" s="6">
        <v>25</v>
      </c>
      <c r="R553" s="10">
        <v>67</v>
      </c>
      <c r="S553" s="10">
        <v>7</v>
      </c>
      <c r="T553" s="10"/>
      <c r="U553" t="str">
        <f>"RUNNING_COST_"&amp;IF(PROPERTIES[[#This Row],[ENGINE_CLASS]]="MAGLEV","ELECTRIC",PROPERTIES[[#This Row],[ENGINE_CLASS]])</f>
        <v>RUNNING_COST_ELECTRIC</v>
      </c>
      <c r="V553" s="10" t="s">
        <v>1008</v>
      </c>
      <c r="W553" s="10" t="s">
        <v>1009</v>
      </c>
      <c r="X553" s="10" t="str">
        <f>SUBSTITUTE(SUBSTITUTE(PROPERTIES[[#This Row],[PURCHASECOST_VALUE]], "PURCHASECOST_", ""), "_VALUE", "")</f>
        <v>EMU</v>
      </c>
      <c r="AP553"/>
      <c r="AQ553"/>
      <c r="AR553"/>
    </row>
    <row r="554" spans="1:44">
      <c r="A554" s="2" t="s">
        <v>581</v>
      </c>
      <c r="B554">
        <v>2012</v>
      </c>
      <c r="C554">
        <v>1</v>
      </c>
      <c r="D554" t="s">
        <v>74</v>
      </c>
      <c r="E554" t="s">
        <v>18</v>
      </c>
      <c r="F554">
        <v>71</v>
      </c>
      <c r="G554" s="10">
        <v>58</v>
      </c>
      <c r="H554">
        <v>8</v>
      </c>
      <c r="I554">
        <v>8</v>
      </c>
      <c r="J554" s="2" t="s">
        <v>24</v>
      </c>
      <c r="K554">
        <f>_xlfn.XLOOKUP("LOADINGSPEEDDEF_"&amp;PROPERTIES[[#This Row],[LOADINGSPEED]],LOADINGSPEEDDEF[TYPE],LOADINGSPEEDDEF[SPEED])</f>
        <v>40</v>
      </c>
      <c r="L554" t="s">
        <v>21</v>
      </c>
      <c r="M554">
        <v>1</v>
      </c>
      <c r="N554">
        <v>1850</v>
      </c>
      <c r="O554">
        <v>251</v>
      </c>
      <c r="P554" s="2">
        <v>0.52</v>
      </c>
      <c r="Q554" s="6">
        <v>25</v>
      </c>
      <c r="R554" s="10">
        <v>71</v>
      </c>
      <c r="S554" s="10">
        <v>8</v>
      </c>
      <c r="T554" s="10"/>
      <c r="U554" t="str">
        <f>"RUNNING_COST_"&amp;IF(PROPERTIES[[#This Row],[ENGINE_CLASS]]="MAGLEV","ELECTRIC",PROPERTIES[[#This Row],[ENGINE_CLASS]])</f>
        <v>RUNNING_COST_ELECTRIC</v>
      </c>
      <c r="V554" s="10" t="s">
        <v>1008</v>
      </c>
      <c r="W554" s="10" t="s">
        <v>1009</v>
      </c>
      <c r="X554" s="10" t="str">
        <f>SUBSTITUTE(SUBSTITUTE(PROPERTIES[[#This Row],[PURCHASECOST_VALUE]], "PURCHASECOST_", ""), "_VALUE", "")</f>
        <v>EMU</v>
      </c>
      <c r="AP554"/>
      <c r="AQ554"/>
      <c r="AR554"/>
    </row>
    <row r="555" spans="1:44">
      <c r="A555" s="2" t="s">
        <v>582</v>
      </c>
      <c r="B555">
        <v>2012</v>
      </c>
      <c r="C555">
        <v>1</v>
      </c>
      <c r="D555" t="s">
        <v>74</v>
      </c>
      <c r="E555" t="s">
        <v>18</v>
      </c>
      <c r="F555">
        <v>42</v>
      </c>
      <c r="G555" s="10">
        <v>35</v>
      </c>
      <c r="H555">
        <v>8</v>
      </c>
      <c r="I555">
        <v>8</v>
      </c>
      <c r="J555" s="2" t="s">
        <v>479</v>
      </c>
      <c r="K555">
        <f>_xlfn.XLOOKUP("LOADINGSPEEDDEF_"&amp;PROPERTIES[[#This Row],[LOADINGSPEED]],LOADINGSPEEDDEF[TYPE],LOADINGSPEEDDEF[SPEED])</f>
        <v>16</v>
      </c>
      <c r="L555" t="s">
        <v>21</v>
      </c>
      <c r="M555">
        <v>1</v>
      </c>
      <c r="N555">
        <v>1000</v>
      </c>
      <c r="O555">
        <v>300</v>
      </c>
      <c r="P555" s="2">
        <v>0.8</v>
      </c>
      <c r="Q555" s="6">
        <v>25</v>
      </c>
      <c r="R555" s="10">
        <v>42</v>
      </c>
      <c r="S555" s="10">
        <v>8</v>
      </c>
      <c r="T555" s="10"/>
      <c r="U555" t="str">
        <f>"RUNNING_COST_"&amp;IF(PROPERTIES[[#This Row],[ENGINE_CLASS]]="MAGLEV","ELECTRIC",PROPERTIES[[#This Row],[ENGINE_CLASS]])</f>
        <v>RUNNING_COST_ELECTRIC</v>
      </c>
      <c r="V555" s="10" t="s">
        <v>1008</v>
      </c>
      <c r="W555" s="10" t="s">
        <v>1009</v>
      </c>
      <c r="X555" s="10" t="str">
        <f>SUBSTITUTE(SUBSTITUTE(PROPERTIES[[#This Row],[PURCHASECOST_VALUE]], "PURCHASECOST_", ""), "_VALUE", "")</f>
        <v>EMU</v>
      </c>
      <c r="AP555"/>
      <c r="AQ555"/>
      <c r="AR555"/>
    </row>
    <row r="556" spans="1:44">
      <c r="A556" s="2" t="s">
        <v>583</v>
      </c>
      <c r="B556">
        <v>1961</v>
      </c>
      <c r="C556">
        <v>1</v>
      </c>
      <c r="D556" t="s">
        <v>74</v>
      </c>
      <c r="E556" t="s">
        <v>18</v>
      </c>
      <c r="F556">
        <v>60</v>
      </c>
      <c r="G556" s="10">
        <v>47</v>
      </c>
      <c r="H556">
        <v>8</v>
      </c>
      <c r="I556">
        <v>8</v>
      </c>
      <c r="J556" s="2" t="s">
        <v>479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>
        <v>425</v>
      </c>
      <c r="O556">
        <v>160</v>
      </c>
      <c r="P556" s="2">
        <v>0.26</v>
      </c>
      <c r="Q556" s="6">
        <v>25</v>
      </c>
      <c r="R556" s="10">
        <v>60</v>
      </c>
      <c r="S556" s="10">
        <v>8</v>
      </c>
      <c r="T556" s="10"/>
      <c r="U556" t="str">
        <f>"RUNNING_COST_"&amp;IF(PROPERTIES[[#This Row],[ENGINE_CLASS]]="MAGLEV","ELECTRIC",PROPERTIES[[#This Row],[ENGINE_CLASS]])</f>
        <v>RUNNING_COST_ELECTRIC</v>
      </c>
      <c r="V556" s="10" t="s">
        <v>1008</v>
      </c>
      <c r="W556" s="10" t="s">
        <v>1009</v>
      </c>
      <c r="X556" s="10" t="str">
        <f>SUBSTITUTE(SUBSTITUTE(PROPERTIES[[#This Row],[PURCHASECOST_VALUE]], "PURCHASECOST_", ""), "_VALUE", "")</f>
        <v>EMU</v>
      </c>
      <c r="AP556"/>
      <c r="AQ556"/>
      <c r="AR556"/>
    </row>
    <row r="557" spans="1:44">
      <c r="A557" s="2" t="s">
        <v>584</v>
      </c>
      <c r="B557">
        <v>1930</v>
      </c>
      <c r="C557">
        <v>1</v>
      </c>
      <c r="D557" t="s">
        <v>74</v>
      </c>
      <c r="E557" t="s">
        <v>18</v>
      </c>
      <c r="F557">
        <v>58</v>
      </c>
      <c r="G557" s="10">
        <v>51</v>
      </c>
      <c r="H557">
        <v>8</v>
      </c>
      <c r="I557">
        <v>8</v>
      </c>
      <c r="J557" s="2" t="s">
        <v>24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>
        <v>510</v>
      </c>
      <c r="O557">
        <v>101</v>
      </c>
      <c r="P557" s="2">
        <v>0.25</v>
      </c>
      <c r="Q557" s="6">
        <v>25</v>
      </c>
      <c r="R557" s="10">
        <v>58</v>
      </c>
      <c r="S557" s="10">
        <v>8</v>
      </c>
      <c r="T557" s="10"/>
      <c r="U557" t="str">
        <f>"RUNNING_COST_"&amp;IF(PROPERTIES[[#This Row],[ENGINE_CLASS]]="MAGLEV","ELECTRIC",PROPERTIES[[#This Row],[ENGINE_CLASS]])</f>
        <v>RUNNING_COST_ELECTRIC</v>
      </c>
      <c r="V557" s="10" t="s">
        <v>1008</v>
      </c>
      <c r="W557" s="10" t="s">
        <v>1009</v>
      </c>
      <c r="X557" s="10" t="str">
        <f>SUBSTITUTE(SUBSTITUTE(PROPERTIES[[#This Row],[PURCHASECOST_VALUE]], "PURCHASECOST_", ""), "_VALUE", "")</f>
        <v>EMU</v>
      </c>
      <c r="AP557"/>
      <c r="AQ557"/>
      <c r="AR557"/>
    </row>
    <row r="558" spans="1:44">
      <c r="A558" s="2" t="s">
        <v>585</v>
      </c>
      <c r="B558">
        <v>1981</v>
      </c>
      <c r="C558">
        <v>1</v>
      </c>
      <c r="D558" t="s">
        <v>74</v>
      </c>
      <c r="E558" t="s">
        <v>18</v>
      </c>
      <c r="F558">
        <v>0</v>
      </c>
      <c r="G558" s="10">
        <v>38</v>
      </c>
      <c r="H558">
        <v>8</v>
      </c>
      <c r="I558">
        <v>8</v>
      </c>
      <c r="J558" s="2" t="s">
        <v>479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>
        <v>9000</v>
      </c>
      <c r="O558">
        <v>240</v>
      </c>
      <c r="P558" s="2">
        <v>0.92</v>
      </c>
      <c r="Q558" s="6">
        <v>25</v>
      </c>
      <c r="R558" s="10">
        <v>43</v>
      </c>
      <c r="S558" s="10">
        <v>6</v>
      </c>
      <c r="T558" s="10"/>
      <c r="U558" t="str">
        <f>"RUNNING_COST_"&amp;IF(PROPERTIES[[#This Row],[ENGINE_CLASS]]="MAGLEV","ELECTRIC",PROPERTIES[[#This Row],[ENGINE_CLASS]])</f>
        <v>RUNNING_COST_ELECTRIC</v>
      </c>
      <c r="V558" s="10" t="s">
        <v>1008</v>
      </c>
      <c r="W558" s="10" t="s">
        <v>1009</v>
      </c>
      <c r="X558" s="10" t="str">
        <f>SUBSTITUTE(SUBSTITUTE(PROPERTIES[[#This Row],[PURCHASECOST_VALUE]], "PURCHASECOST_", ""), "_VALUE", "")</f>
        <v>EMU</v>
      </c>
      <c r="AP558"/>
      <c r="AQ558"/>
      <c r="AR558"/>
    </row>
    <row r="559" spans="1:44">
      <c r="A559" s="2" t="s">
        <v>586</v>
      </c>
      <c r="B559">
        <v>1995</v>
      </c>
      <c r="C559">
        <v>1</v>
      </c>
      <c r="D559" t="s">
        <v>74</v>
      </c>
      <c r="E559" t="s">
        <v>18</v>
      </c>
      <c r="F559">
        <v>0</v>
      </c>
      <c r="G559" s="10">
        <v>43</v>
      </c>
      <c r="H559">
        <v>8</v>
      </c>
      <c r="I559">
        <v>8</v>
      </c>
      <c r="J559" s="2" t="s">
        <v>479</v>
      </c>
      <c r="K559">
        <f>_xlfn.XLOOKUP("LOADINGSPEEDDEF_"&amp;PROPERTIES[[#This Row],[LOADINGSPEED]],LOADINGSPEEDDEF[TYPE],LOADINGSPEEDDEF[SPEED])</f>
        <v>16</v>
      </c>
      <c r="L559" t="s">
        <v>21</v>
      </c>
      <c r="M559">
        <v>1</v>
      </c>
      <c r="N559">
        <v>12800</v>
      </c>
      <c r="O559">
        <v>320</v>
      </c>
      <c r="P559" s="2">
        <v>0.81</v>
      </c>
      <c r="Q559" s="6">
        <v>25</v>
      </c>
      <c r="R559" s="10">
        <v>72</v>
      </c>
      <c r="S559" s="10">
        <v>6</v>
      </c>
      <c r="T559" s="10"/>
      <c r="U559" t="str">
        <f>"RUNNING_COST_"&amp;IF(PROPERTIES[[#This Row],[ENGINE_CLASS]]="MAGLEV","ELECTRIC",PROPERTIES[[#This Row],[ENGINE_CLASS]])</f>
        <v>RUNNING_COST_ELECTRIC</v>
      </c>
      <c r="V559" s="10" t="s">
        <v>1008</v>
      </c>
      <c r="W559" s="10" t="s">
        <v>1009</v>
      </c>
      <c r="X559" s="10" t="str">
        <f>SUBSTITUTE(SUBSTITUTE(PROPERTIES[[#This Row],[PURCHASECOST_VALUE]], "PURCHASECOST_", ""), "_VALUE", "")</f>
        <v>EMU</v>
      </c>
      <c r="AP559"/>
      <c r="AQ559"/>
      <c r="AR559"/>
    </row>
    <row r="560" spans="1:44">
      <c r="A560" s="2" t="s">
        <v>587</v>
      </c>
      <c r="B560">
        <v>1995</v>
      </c>
      <c r="C560">
        <v>1</v>
      </c>
      <c r="D560" t="s">
        <v>74</v>
      </c>
      <c r="E560" t="s">
        <v>18</v>
      </c>
      <c r="F560">
        <v>0</v>
      </c>
      <c r="G560" s="10">
        <v>41</v>
      </c>
      <c r="H560">
        <v>8</v>
      </c>
      <c r="I560">
        <v>8</v>
      </c>
      <c r="J560" s="2" t="s">
        <v>479</v>
      </c>
      <c r="K560">
        <f>_xlfn.XLOOKUP("LOADINGSPEEDDEF_"&amp;PROPERTIES[[#This Row],[LOADINGSPEED]],LOADINGSPEEDDEF[TYPE],LOADINGSPEEDDEF[SPEED])</f>
        <v>16</v>
      </c>
      <c r="L560" t="s">
        <v>21</v>
      </c>
      <c r="M560">
        <v>1</v>
      </c>
      <c r="N560">
        <v>12000</v>
      </c>
      <c r="O560">
        <v>300</v>
      </c>
      <c r="P560" s="2">
        <v>0.85</v>
      </c>
      <c r="Q560" s="6">
        <v>25</v>
      </c>
      <c r="R560" s="10">
        <v>47</v>
      </c>
      <c r="S560" s="10">
        <v>6</v>
      </c>
      <c r="T560" s="10"/>
      <c r="U560" t="str">
        <f>"RUNNING_COST_"&amp;IF(PROPERTIES[[#This Row],[ENGINE_CLASS]]="MAGLEV","ELECTRIC",PROPERTIES[[#This Row],[ENGINE_CLASS]])</f>
        <v>RUNNING_COST_ELECTRIC</v>
      </c>
      <c r="V560" s="10" t="s">
        <v>1008</v>
      </c>
      <c r="W560" s="10" t="s">
        <v>1009</v>
      </c>
      <c r="X560" s="10" t="str">
        <f>SUBSTITUTE(SUBSTITUTE(PROPERTIES[[#This Row],[PURCHASECOST_VALUE]], "PURCHASECOST_", ""), "_VALUE", "")</f>
        <v>EMU</v>
      </c>
      <c r="AP560"/>
      <c r="AQ560"/>
      <c r="AR560"/>
    </row>
    <row r="561" spans="1:44">
      <c r="A561" s="2" t="s">
        <v>588</v>
      </c>
      <c r="B561">
        <v>1999</v>
      </c>
      <c r="C561">
        <v>1</v>
      </c>
      <c r="D561" t="s">
        <v>74</v>
      </c>
      <c r="E561" t="s">
        <v>18</v>
      </c>
      <c r="F561">
        <v>47</v>
      </c>
      <c r="G561" s="10">
        <v>55</v>
      </c>
      <c r="H561">
        <v>8</v>
      </c>
      <c r="I561">
        <v>8</v>
      </c>
      <c r="J561" s="2" t="s">
        <v>479</v>
      </c>
      <c r="K561">
        <f>_xlfn.XLOOKUP("LOADINGSPEEDDEF_"&amp;PROPERTIES[[#This Row],[LOADINGSPEED]],LOADINGSPEEDDEF[TYPE],LOADINGSPEEDDEF[SPEED])</f>
        <v>16</v>
      </c>
      <c r="L561" t="s">
        <v>21</v>
      </c>
      <c r="M561">
        <v>1</v>
      </c>
      <c r="N561">
        <v>750</v>
      </c>
      <c r="O561">
        <v>230</v>
      </c>
      <c r="P561" s="2">
        <v>0.67</v>
      </c>
      <c r="Q561" s="6">
        <v>25</v>
      </c>
      <c r="R561" s="10">
        <v>47</v>
      </c>
      <c r="S561" s="10">
        <v>8</v>
      </c>
      <c r="T561" s="10"/>
      <c r="U561" t="str">
        <f>"RUNNING_COST_"&amp;IF(PROPERTIES[[#This Row],[ENGINE_CLASS]]="MAGLEV","ELECTRIC",PROPERTIES[[#This Row],[ENGINE_CLASS]])</f>
        <v>RUNNING_COST_ELECTRIC</v>
      </c>
      <c r="V561" s="10" t="s">
        <v>1008</v>
      </c>
      <c r="W561" s="10" t="s">
        <v>1009</v>
      </c>
      <c r="X561" s="10" t="str">
        <f>SUBSTITUTE(SUBSTITUTE(PROPERTIES[[#This Row],[PURCHASECOST_VALUE]], "PURCHASECOST_", ""), "_VALUE", "")</f>
        <v>EMU</v>
      </c>
      <c r="AP561"/>
      <c r="AQ561"/>
      <c r="AR561"/>
    </row>
    <row r="562" spans="1:44">
      <c r="A562" s="2" t="s">
        <v>589</v>
      </c>
      <c r="B562">
        <v>2001</v>
      </c>
      <c r="C562">
        <v>1</v>
      </c>
      <c r="D562" t="s">
        <v>74</v>
      </c>
      <c r="E562" t="s">
        <v>18</v>
      </c>
      <c r="F562">
        <v>60</v>
      </c>
      <c r="G562" s="10">
        <v>56</v>
      </c>
      <c r="H562">
        <v>8</v>
      </c>
      <c r="I562">
        <v>8</v>
      </c>
      <c r="J562" s="2" t="s">
        <v>24</v>
      </c>
      <c r="K562">
        <f>_xlfn.XLOOKUP("LOADINGSPEEDDEF_"&amp;PROPERTIES[[#This Row],[LOADINGSPEED]],LOADINGSPEEDDEF[TYPE],LOADINGSPEEDDEF[SPEED])</f>
        <v>40</v>
      </c>
      <c r="L562" t="s">
        <v>21</v>
      </c>
      <c r="M562">
        <v>1</v>
      </c>
      <c r="N562">
        <v>1340</v>
      </c>
      <c r="O562">
        <v>250</v>
      </c>
      <c r="P562" s="2">
        <v>0.36</v>
      </c>
      <c r="Q562" s="6">
        <v>25</v>
      </c>
      <c r="R562" s="10">
        <v>60</v>
      </c>
      <c r="S562" s="10">
        <v>8</v>
      </c>
      <c r="T562" s="10"/>
      <c r="U562" t="str">
        <f>"RUNNING_COST_"&amp;IF(PROPERTIES[[#This Row],[ENGINE_CLASS]]="MAGLEV","ELECTRIC",PROPERTIES[[#This Row],[ENGINE_CLASS]])</f>
        <v>RUNNING_COST_ELECTRIC</v>
      </c>
      <c r="V562" s="10" t="s">
        <v>1008</v>
      </c>
      <c r="W562" s="10" t="s">
        <v>1009</v>
      </c>
      <c r="X562" s="10" t="str">
        <f>SUBSTITUTE(SUBSTITUTE(PROPERTIES[[#This Row],[PURCHASECOST_VALUE]], "PURCHASECOST_", ""), "_VALUE", "")</f>
        <v>EMU</v>
      </c>
      <c r="AP562"/>
      <c r="AQ562"/>
      <c r="AR562"/>
    </row>
    <row r="563" spans="1:44">
      <c r="A563" s="2" t="s">
        <v>590</v>
      </c>
      <c r="B563">
        <v>1999</v>
      </c>
      <c r="C563">
        <v>1</v>
      </c>
      <c r="D563" t="s">
        <v>74</v>
      </c>
      <c r="E563" t="s">
        <v>18</v>
      </c>
      <c r="F563">
        <v>0</v>
      </c>
      <c r="G563" s="10">
        <v>93</v>
      </c>
      <c r="H563">
        <v>8</v>
      </c>
      <c r="I563">
        <v>8</v>
      </c>
      <c r="J563" s="2" t="s">
        <v>24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>
        <v>12400</v>
      </c>
      <c r="O563">
        <v>266</v>
      </c>
      <c r="P563" s="2">
        <v>0.24</v>
      </c>
      <c r="Q563" s="6">
        <v>40</v>
      </c>
      <c r="R563" s="10">
        <v>50</v>
      </c>
      <c r="S563" s="10">
        <v>8</v>
      </c>
      <c r="T563" s="10"/>
      <c r="U563" t="str">
        <f>"RUNNING_COST_"&amp;IF(PROPERTIES[[#This Row],[ENGINE_CLASS]]="MAGLEV","ELECTRIC",PROPERTIES[[#This Row],[ENGINE_CLASS]])</f>
        <v>RUNNING_COST_ELECTRIC</v>
      </c>
      <c r="V563" s="10" t="s">
        <v>1008</v>
      </c>
      <c r="W563" s="10" t="s">
        <v>1009</v>
      </c>
      <c r="X563" s="10" t="str">
        <f>SUBSTITUTE(SUBSTITUTE(PROPERTIES[[#This Row],[PURCHASECOST_VALUE]], "PURCHASECOST_", ""), "_VALUE", "")</f>
        <v>EMU</v>
      </c>
      <c r="AP563"/>
      <c r="AQ563"/>
      <c r="AR563"/>
    </row>
    <row r="564" spans="1:44">
      <c r="A564" s="2" t="s">
        <v>591</v>
      </c>
      <c r="B564">
        <v>1880</v>
      </c>
      <c r="C564">
        <v>0</v>
      </c>
      <c r="D564" t="s">
        <v>19</v>
      </c>
      <c r="E564" t="s">
        <v>325</v>
      </c>
      <c r="F564">
        <v>60</v>
      </c>
      <c r="G564" s="10">
        <v>20</v>
      </c>
      <c r="H564">
        <v>7</v>
      </c>
      <c r="I564">
        <v>7</v>
      </c>
      <c r="J564" s="2" t="s">
        <v>326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>
        <v>200</v>
      </c>
      <c r="O564">
        <v>60</v>
      </c>
      <c r="P564" s="2">
        <v>0.5</v>
      </c>
      <c r="Q564" s="6">
        <v>60</v>
      </c>
      <c r="R564" s="10">
        <v>0</v>
      </c>
      <c r="S564" s="10">
        <v>0</v>
      </c>
      <c r="T564" s="10"/>
      <c r="U564" t="str">
        <f>"RUNNING_COST_"&amp;IF(PROPERTIES[[#This Row],[ENGINE_CLASS]]="MAGLEV","ELECTRIC",PROPERTIES[[#This Row],[ENGINE_CLASS]])</f>
        <v>RUNNING_COST_ELECTRIC</v>
      </c>
      <c r="V564" s="10" t="s">
        <v>1010</v>
      </c>
      <c r="W564" s="10" t="s">
        <v>1011</v>
      </c>
      <c r="X564" s="10" t="str">
        <f>SUBSTITUTE(SUBSTITUTE(PROPERTIES[[#This Row],[PURCHASECOST_VALUE]], "PURCHASECOST_", ""), "_VALUE", "")</f>
        <v>METRORAILBUS</v>
      </c>
      <c r="AP564"/>
      <c r="AQ564"/>
      <c r="AR564"/>
    </row>
    <row r="565" spans="1:44">
      <c r="A565" s="2" t="s">
        <v>592</v>
      </c>
      <c r="B565">
        <v>1894</v>
      </c>
      <c r="C565">
        <v>0</v>
      </c>
      <c r="D565" t="s">
        <v>19</v>
      </c>
      <c r="E565" t="s">
        <v>325</v>
      </c>
      <c r="F565">
        <v>100</v>
      </c>
      <c r="G565" s="10">
        <v>25</v>
      </c>
      <c r="H565">
        <v>8</v>
      </c>
      <c r="I565">
        <v>8</v>
      </c>
      <c r="J565" s="2" t="s">
        <v>326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>
        <v>200</v>
      </c>
      <c r="O565">
        <v>60</v>
      </c>
      <c r="P565" s="2">
        <v>0.32</v>
      </c>
      <c r="Q565" s="6">
        <v>60</v>
      </c>
      <c r="R565" s="10">
        <v>0</v>
      </c>
      <c r="S565" s="10">
        <v>0</v>
      </c>
      <c r="T565" s="10"/>
      <c r="U565" t="str">
        <f>"RUNNING_COST_"&amp;IF(PROPERTIES[[#This Row],[ENGINE_CLASS]]="MAGLEV","ELECTRIC",PROPERTIES[[#This Row],[ENGINE_CLASS]])</f>
        <v>RUNNING_COST_ELECTRIC</v>
      </c>
      <c r="V565" s="10" t="s">
        <v>1010</v>
      </c>
      <c r="W565" s="10" t="s">
        <v>1011</v>
      </c>
      <c r="X565" s="10" t="str">
        <f>SUBSTITUTE(SUBSTITUTE(PROPERTIES[[#This Row],[PURCHASECOST_VALUE]], "PURCHASECOST_", ""), "_VALUE", "")</f>
        <v>METRORAILBUS</v>
      </c>
      <c r="AP565"/>
      <c r="AQ565"/>
      <c r="AR565"/>
    </row>
    <row r="566" spans="1:44">
      <c r="A566" s="2" t="s">
        <v>593</v>
      </c>
      <c r="B566">
        <v>1907</v>
      </c>
      <c r="C566">
        <v>0</v>
      </c>
      <c r="D566" t="s">
        <v>19</v>
      </c>
      <c r="E566" t="s">
        <v>325</v>
      </c>
      <c r="F566">
        <v>130</v>
      </c>
      <c r="G566" s="10">
        <v>50</v>
      </c>
      <c r="H566">
        <v>8</v>
      </c>
      <c r="I566">
        <v>8</v>
      </c>
      <c r="J566" s="2" t="s">
        <v>326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>
        <v>250</v>
      </c>
      <c r="O566">
        <v>70</v>
      </c>
      <c r="P566" s="2">
        <v>0.1</v>
      </c>
      <c r="Q566" s="6">
        <v>60</v>
      </c>
      <c r="R566" s="10">
        <v>0</v>
      </c>
      <c r="S566" s="10">
        <v>0</v>
      </c>
      <c r="T566" s="10"/>
      <c r="U566" t="str">
        <f>"RUNNING_COST_"&amp;IF(PROPERTIES[[#This Row],[ENGINE_CLASS]]="MAGLEV","ELECTRIC",PROPERTIES[[#This Row],[ENGINE_CLASS]])</f>
        <v>RUNNING_COST_ELECTRIC</v>
      </c>
      <c r="V566" s="10" t="s">
        <v>1010</v>
      </c>
      <c r="W566" s="10" t="s">
        <v>1011</v>
      </c>
      <c r="X566" s="10" t="str">
        <f>SUBSTITUTE(SUBSTITUTE(PROPERTIES[[#This Row],[PURCHASECOST_VALUE]], "PURCHASECOST_", ""), "_VALUE", "")</f>
        <v>METRORAILBUS</v>
      </c>
      <c r="AP566"/>
      <c r="AQ566"/>
      <c r="AR566"/>
    </row>
    <row r="567" spans="1:44">
      <c r="A567" s="2" t="s">
        <v>594</v>
      </c>
      <c r="B567">
        <v>1929</v>
      </c>
      <c r="C567">
        <v>0</v>
      </c>
      <c r="D567" t="s">
        <v>19</v>
      </c>
      <c r="E567" t="s">
        <v>325</v>
      </c>
      <c r="F567">
        <v>157</v>
      </c>
      <c r="G567" s="10">
        <v>50</v>
      </c>
      <c r="H567">
        <v>8</v>
      </c>
      <c r="I567">
        <v>8</v>
      </c>
      <c r="J567" s="2" t="s">
        <v>326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>
        <v>375</v>
      </c>
      <c r="O567">
        <v>60</v>
      </c>
      <c r="P567" s="2">
        <v>7.0000000000000007E-2</v>
      </c>
      <c r="Q567" s="6">
        <v>60</v>
      </c>
      <c r="R567" s="10">
        <v>0</v>
      </c>
      <c r="S567" s="10">
        <v>0</v>
      </c>
      <c r="T567" s="10"/>
      <c r="U567" t="str">
        <f>"RUNNING_COST_"&amp;IF(PROPERTIES[[#This Row],[ENGINE_CLASS]]="MAGLEV","ELECTRIC",PROPERTIES[[#This Row],[ENGINE_CLASS]])</f>
        <v>RUNNING_COST_ELECTRIC</v>
      </c>
      <c r="V567" s="10" t="s">
        <v>1010</v>
      </c>
      <c r="W567" s="10" t="s">
        <v>1011</v>
      </c>
      <c r="X567" s="10" t="str">
        <f>SUBSTITUTE(SUBSTITUTE(PROPERTIES[[#This Row],[PURCHASECOST_VALUE]], "PURCHASECOST_", ""), "_VALUE", "")</f>
        <v>METRORAILBUS</v>
      </c>
      <c r="AP567"/>
      <c r="AQ567"/>
      <c r="AR567"/>
    </row>
    <row r="568" spans="1:44">
      <c r="A568" s="2" t="s">
        <v>595</v>
      </c>
      <c r="B568">
        <v>2040</v>
      </c>
      <c r="C568">
        <v>0</v>
      </c>
      <c r="D568" t="s">
        <v>19</v>
      </c>
      <c r="E568" t="s">
        <v>18</v>
      </c>
      <c r="F568">
        <v>45</v>
      </c>
      <c r="G568" s="10">
        <v>30</v>
      </c>
      <c r="H568">
        <v>8</v>
      </c>
      <c r="I568">
        <v>4</v>
      </c>
      <c r="J568" s="2" t="s">
        <v>24</v>
      </c>
      <c r="K568">
        <f>_xlfn.XLOOKUP("LOADINGSPEEDDEF_"&amp;PROPERTIES[[#This Row],[LOADINGSPEED]],LOADINGSPEEDDEF[TYPE],LOADINGSPEEDDEF[SPEED])</f>
        <v>40</v>
      </c>
      <c r="L568" t="s">
        <v>21</v>
      </c>
      <c r="M568">
        <v>1</v>
      </c>
      <c r="N568">
        <v>5070</v>
      </c>
      <c r="O568">
        <v>753</v>
      </c>
      <c r="P568" s="2">
        <v>0.28999999999999998</v>
      </c>
      <c r="Q568" s="6">
        <v>15</v>
      </c>
      <c r="R568" s="10">
        <v>0</v>
      </c>
      <c r="S568" s="10">
        <v>2</v>
      </c>
      <c r="T568" s="10"/>
      <c r="U568" t="str">
        <f>"RUNNING_COST_"&amp;IF(PROPERTIES[[#This Row],[ENGINE_CLASS]]="MAGLEV","ELECTRIC",PROPERTIES[[#This Row],[ENGINE_CLASS]])</f>
        <v>RUNNING_COST_ELECTRIC</v>
      </c>
      <c r="V568" s="10" t="s">
        <v>1012</v>
      </c>
      <c r="W568" s="10" t="s">
        <v>1013</v>
      </c>
      <c r="X568" s="10" t="str">
        <f>SUBSTITUTE(SUBSTITUTE(PROPERTIES[[#This Row],[PURCHASECOST_VALUE]], "PURCHASECOST_", ""), "_VALUE", "")</f>
        <v>MAGLEVRAILBUS</v>
      </c>
      <c r="AP568"/>
      <c r="AQ568"/>
      <c r="AR568"/>
    </row>
    <row r="569" spans="1:44">
      <c r="A569" s="2" t="s">
        <v>596</v>
      </c>
      <c r="B569">
        <v>2005</v>
      </c>
      <c r="C569">
        <v>0</v>
      </c>
      <c r="D569" t="s">
        <v>19</v>
      </c>
      <c r="E569" t="s">
        <v>20</v>
      </c>
      <c r="F569">
        <v>0</v>
      </c>
      <c r="G569" s="10">
        <v>86</v>
      </c>
      <c r="H569">
        <v>8</v>
      </c>
      <c r="I569">
        <v>8</v>
      </c>
      <c r="J569" s="2" t="s">
        <v>20</v>
      </c>
      <c r="K569">
        <f>_xlfn.XLOOKUP("LOADINGSPEEDDEF_"&amp;PROPERTIES[[#This Row],[LOADINGSPEED]],LOADINGSPEEDDEF[TYPE],LOADINGSPEEDDEF[SPEED])</f>
        <v>0</v>
      </c>
      <c r="L569" t="s">
        <v>21</v>
      </c>
      <c r="M569">
        <v>1</v>
      </c>
      <c r="N569">
        <v>11266</v>
      </c>
      <c r="O569">
        <v>230</v>
      </c>
      <c r="P569" s="2">
        <v>0.35</v>
      </c>
      <c r="Q569" s="6">
        <v>40</v>
      </c>
      <c r="R569" s="10">
        <v>0</v>
      </c>
      <c r="S569" s="10">
        <v>0</v>
      </c>
      <c r="T569" s="10"/>
      <c r="U569" t="str">
        <f>"RUNNING_COST_"&amp;IF(PROPERTIES[[#This Row],[ENGINE_CLASS]]="MAGLEV","ELECTRIC",PROPERTIES[[#This Row],[ENGINE_CLASS]])</f>
        <v>RUNNING_COST_ELECTRIC</v>
      </c>
      <c r="V569" s="10" t="s">
        <v>1014</v>
      </c>
      <c r="W569" s="10" t="s">
        <v>1015</v>
      </c>
      <c r="X569" s="10" t="str">
        <f>SUBSTITUTE(SUBSTITUTE(PROPERTIES[[#This Row],[PURCHASECOST_VALUE]], "PURCHASECOST_", ""), "_VALUE", "")</f>
        <v>MAGLEVSU</v>
      </c>
      <c r="AP569"/>
      <c r="AQ569"/>
      <c r="AR569"/>
    </row>
    <row r="570" spans="1:44">
      <c r="A570" s="2" t="s">
        <v>597</v>
      </c>
      <c r="B570">
        <v>2004</v>
      </c>
      <c r="C570">
        <v>1</v>
      </c>
      <c r="D570" t="s">
        <v>19</v>
      </c>
      <c r="E570" t="s">
        <v>18</v>
      </c>
      <c r="F570">
        <v>50</v>
      </c>
      <c r="G570" s="10">
        <v>30</v>
      </c>
      <c r="H570">
        <v>8</v>
      </c>
      <c r="I570">
        <v>8</v>
      </c>
      <c r="J570" s="2" t="s">
        <v>479</v>
      </c>
      <c r="K570">
        <f>_xlfn.XLOOKUP("LOADINGSPEEDDEF_"&amp;PROPERTIES[[#This Row],[LOADINGSPEED]],LOADINGSPEEDDEF[TYPE],LOADINGSPEEDDEF[SPEED])</f>
        <v>16</v>
      </c>
      <c r="L570" t="s">
        <v>21</v>
      </c>
      <c r="M570">
        <v>1</v>
      </c>
      <c r="N570">
        <v>2028</v>
      </c>
      <c r="O570">
        <v>433</v>
      </c>
      <c r="P570" s="2">
        <v>0.3</v>
      </c>
      <c r="Q570" s="6">
        <v>25</v>
      </c>
      <c r="R570" s="10">
        <v>55</v>
      </c>
      <c r="S570" s="10">
        <v>8</v>
      </c>
      <c r="T570" s="10"/>
      <c r="U570" t="str">
        <f>"RUNNING_COST_"&amp;IF(PROPERTIES[[#This Row],[ENGINE_CLASS]]="MAGLEV","ELECTRIC",PROPERTIES[[#This Row],[ENGINE_CLASS]])</f>
        <v>RUNNING_COST_ELECTRIC</v>
      </c>
      <c r="V570" s="10" t="s">
        <v>990</v>
      </c>
      <c r="W570" s="10" t="s">
        <v>991</v>
      </c>
      <c r="X570" s="10" t="str">
        <f>SUBSTITUTE(SUBSTITUTE(PROPERTIES[[#This Row],[PURCHASECOST_VALUE]], "PURCHASECOST_", ""), "_VALUE", "")</f>
        <v>MAGLEVMU</v>
      </c>
      <c r="AP570"/>
      <c r="AQ570"/>
      <c r="AR570"/>
    </row>
    <row r="571" spans="1:44">
      <c r="A571" s="2" t="s">
        <v>598</v>
      </c>
      <c r="B571">
        <v>2025</v>
      </c>
      <c r="C571">
        <v>1</v>
      </c>
      <c r="D571" t="s">
        <v>19</v>
      </c>
      <c r="E571" t="s">
        <v>18</v>
      </c>
      <c r="F571">
        <v>55</v>
      </c>
      <c r="G571" s="10">
        <v>72</v>
      </c>
      <c r="H571">
        <v>8</v>
      </c>
      <c r="I571">
        <v>8</v>
      </c>
      <c r="J571" s="2" t="s">
        <v>479</v>
      </c>
      <c r="K571">
        <f>_xlfn.XLOOKUP("LOADINGSPEEDDEF_"&amp;PROPERTIES[[#This Row],[LOADINGSPEED]],LOADINGSPEEDDEF[TYPE],LOADINGSPEEDDEF[SPEED])</f>
        <v>16</v>
      </c>
      <c r="L571" t="s">
        <v>21</v>
      </c>
      <c r="M571">
        <v>1</v>
      </c>
      <c r="N571">
        <v>3042</v>
      </c>
      <c r="O571">
        <v>603</v>
      </c>
      <c r="P571" s="2">
        <v>0.3</v>
      </c>
      <c r="Q571" s="6">
        <v>25</v>
      </c>
      <c r="R571" s="10">
        <v>55</v>
      </c>
      <c r="S571" s="10">
        <v>8</v>
      </c>
      <c r="T571" s="10"/>
      <c r="U571" t="str">
        <f>"RUNNING_COST_"&amp;IF(PROPERTIES[[#This Row],[ENGINE_CLASS]]="MAGLEV","ELECTRIC",PROPERTIES[[#This Row],[ENGINE_CLASS]])</f>
        <v>RUNNING_COST_ELECTRIC</v>
      </c>
      <c r="V571" s="10" t="s">
        <v>990</v>
      </c>
      <c r="W571" s="10" t="s">
        <v>991</v>
      </c>
      <c r="X571" s="10" t="str">
        <f>SUBSTITUTE(SUBSTITUTE(PROPERTIES[[#This Row],[PURCHASECOST_VALUE]], "PURCHASECOST_", ""), "_VALUE", "")</f>
        <v>MAGLEVMU</v>
      </c>
      <c r="AP571"/>
      <c r="AQ571"/>
      <c r="AR571"/>
    </row>
    <row r="572" spans="1:44">
      <c r="A572" s="2" t="s">
        <v>910</v>
      </c>
      <c r="B572">
        <v>2010</v>
      </c>
      <c r="C572">
        <v>0</v>
      </c>
      <c r="D572" t="s">
        <v>19</v>
      </c>
      <c r="E572" t="s">
        <v>599</v>
      </c>
      <c r="F572">
        <v>74</v>
      </c>
      <c r="G572" s="10">
        <v>27</v>
      </c>
      <c r="H572">
        <v>8</v>
      </c>
      <c r="I572">
        <v>8</v>
      </c>
      <c r="J572" s="2" t="s">
        <v>33</v>
      </c>
      <c r="K572">
        <f>_xlfn.XLOOKUP("LOADINGSPEEDDEF_"&amp;PROPERTIES[[#This Row],[LOADINGSPEED]],LOADINGSPEEDDEF[TYPE],LOADINGSPEEDDEF[SPEED])</f>
        <v>20</v>
      </c>
      <c r="L572" t="s">
        <v>21</v>
      </c>
      <c r="M572">
        <v>0</v>
      </c>
      <c r="N572">
        <v>0</v>
      </c>
      <c r="O572">
        <v>160</v>
      </c>
      <c r="P572" s="2">
        <v>0.3</v>
      </c>
      <c r="Q572" s="6">
        <v>25</v>
      </c>
      <c r="R572" s="10">
        <v>0</v>
      </c>
      <c r="S572" s="10">
        <v>0</v>
      </c>
      <c r="T572" s="10"/>
      <c r="U572" t="str">
        <f>"RUNNING_COST_"&amp;IF(PROPERTIES[[#This Row],[ENGINE_CLASS]]="MAGLEV","ELECTRIC",PROPERTIES[[#This Row],[ENGINE_CLASS]])</f>
        <v>RUNNING_COST_ELECTRIC</v>
      </c>
      <c r="V572" s="10" t="s">
        <v>1016</v>
      </c>
      <c r="W572" s="10" t="s">
        <v>1017</v>
      </c>
      <c r="X572" s="10" t="str">
        <f>SUBSTITUTE(SUBSTITUTE(PROPERTIES[[#This Row],[PURCHASECOST_VALUE]], "PURCHASECOST_", ""), "_VALUE", "")</f>
        <v>WAGON</v>
      </c>
      <c r="AP572"/>
      <c r="AQ572"/>
      <c r="AR572"/>
    </row>
    <row r="573" spans="1:44">
      <c r="A573" s="2" t="s">
        <v>893</v>
      </c>
      <c r="B573">
        <v>2010</v>
      </c>
      <c r="C573">
        <v>0</v>
      </c>
      <c r="D573" t="s">
        <v>19</v>
      </c>
      <c r="E573" t="s">
        <v>599</v>
      </c>
      <c r="F573">
        <v>74</v>
      </c>
      <c r="G573" s="10">
        <v>27</v>
      </c>
      <c r="H573">
        <v>8</v>
      </c>
      <c r="I573">
        <v>8</v>
      </c>
      <c r="J573" s="2" t="s">
        <v>33</v>
      </c>
      <c r="K573">
        <f>_xlfn.XLOOKUP("LOADINGSPEEDDEF_"&amp;PROPERTIES[[#This Row],[LOADINGSPEED]],LOADINGSPEEDDEF[TYPE],LOADINGSPEEDDEF[SPEED])</f>
        <v>20</v>
      </c>
      <c r="L573" t="s">
        <v>21</v>
      </c>
      <c r="M573">
        <v>0</v>
      </c>
      <c r="N573">
        <v>0</v>
      </c>
      <c r="O573">
        <v>160</v>
      </c>
      <c r="P573" s="2">
        <v>0.3</v>
      </c>
      <c r="Q573" s="6">
        <v>25</v>
      </c>
      <c r="R573" s="10">
        <v>0</v>
      </c>
      <c r="S573" s="10">
        <v>0</v>
      </c>
      <c r="T573" s="10"/>
      <c r="U573" t="str">
        <f>"RUNNING_COST_"&amp;IF(PROPERTIES[[#This Row],[ENGINE_CLASS]]="MAGLEV","ELECTRIC",PROPERTIES[[#This Row],[ENGINE_CLASS]])</f>
        <v>RUNNING_COST_ELECTRIC</v>
      </c>
      <c r="V573" s="10" t="s">
        <v>1016</v>
      </c>
      <c r="W573" s="10" t="s">
        <v>1017</v>
      </c>
      <c r="X573" s="10" t="str">
        <f>SUBSTITUTE(SUBSTITUTE(PROPERTIES[[#This Row],[PURCHASECOST_VALUE]], "PURCHASECOST_", ""), "_VALUE", "")</f>
        <v>WAGON</v>
      </c>
      <c r="AP573"/>
      <c r="AQ573"/>
      <c r="AR573"/>
    </row>
    <row r="574" spans="1:44">
      <c r="A574" s="2" t="s">
        <v>894</v>
      </c>
      <c r="B574">
        <v>2020</v>
      </c>
      <c r="C574">
        <v>0</v>
      </c>
      <c r="D574" t="s">
        <v>19</v>
      </c>
      <c r="E574" t="s">
        <v>600</v>
      </c>
      <c r="F574">
        <v>20</v>
      </c>
      <c r="G574" s="10">
        <v>28</v>
      </c>
      <c r="H574">
        <v>8</v>
      </c>
      <c r="I574">
        <v>8</v>
      </c>
      <c r="J574" s="2" t="s">
        <v>33</v>
      </c>
      <c r="K574">
        <f>_xlfn.XLOOKUP("LOADINGSPEEDDEF_"&amp;PROPERTIES[[#This Row],[LOADINGSPEED]],LOADINGSPEEDDEF[TYPE],LOADINGSPEEDDEF[SPEED])</f>
        <v>20</v>
      </c>
      <c r="L574" t="s">
        <v>21</v>
      </c>
      <c r="M574">
        <v>0</v>
      </c>
      <c r="N574">
        <v>0</v>
      </c>
      <c r="O574">
        <v>160</v>
      </c>
      <c r="P574" s="2">
        <v>0.3</v>
      </c>
      <c r="Q574" s="6">
        <v>25</v>
      </c>
      <c r="R574" s="10">
        <v>0</v>
      </c>
      <c r="S574" s="10">
        <v>0</v>
      </c>
      <c r="T574" s="10"/>
      <c r="U574" t="str">
        <f>"RUNNING_COST_"&amp;IF(PROPERTIES[[#This Row],[ENGINE_CLASS]]="MAGLEV","ELECTRIC",PROPERTIES[[#This Row],[ENGINE_CLASS]])</f>
        <v>RUNNING_COST_ELECTRIC</v>
      </c>
      <c r="V574" s="10" t="s">
        <v>1016</v>
      </c>
      <c r="W574" s="10" t="s">
        <v>1017</v>
      </c>
      <c r="X574" s="10" t="str">
        <f>SUBSTITUTE(SUBSTITUTE(PROPERTIES[[#This Row],[PURCHASECOST_VALUE]], "PURCHASECOST_", ""), "_VALUE", "")</f>
        <v>WAGON</v>
      </c>
      <c r="AP574"/>
      <c r="AQ574"/>
      <c r="AR574"/>
    </row>
    <row r="575" spans="1:44">
      <c r="A575" s="2" t="s">
        <v>895</v>
      </c>
      <c r="B575">
        <v>2010</v>
      </c>
      <c r="C575">
        <v>0</v>
      </c>
      <c r="D575" t="s">
        <v>19</v>
      </c>
      <c r="E575" t="s">
        <v>601</v>
      </c>
      <c r="F575">
        <v>65</v>
      </c>
      <c r="G575" s="10">
        <v>40</v>
      </c>
      <c r="H575">
        <v>8</v>
      </c>
      <c r="I575">
        <v>8</v>
      </c>
      <c r="J575" s="2" t="s">
        <v>33</v>
      </c>
      <c r="K575">
        <f>_xlfn.XLOOKUP("LOADINGSPEEDDEF_"&amp;PROPERTIES[[#This Row],[LOADINGSPEED]],LOADINGSPEEDDEF[TYPE],LOADINGSPEEDDEF[SPEED])</f>
        <v>20</v>
      </c>
      <c r="L575" t="s">
        <v>21</v>
      </c>
      <c r="M575">
        <v>0</v>
      </c>
      <c r="N575">
        <v>0</v>
      </c>
      <c r="O575">
        <v>160</v>
      </c>
      <c r="P575" s="2">
        <v>0.3</v>
      </c>
      <c r="Q575" s="6">
        <v>25</v>
      </c>
      <c r="R575" s="10">
        <v>0</v>
      </c>
      <c r="S575" s="10">
        <v>0</v>
      </c>
      <c r="T575" s="10"/>
      <c r="U575" t="str">
        <f>"RUNNING_COST_"&amp;IF(PROPERTIES[[#This Row],[ENGINE_CLASS]]="MAGLEV","ELECTRIC",PROPERTIES[[#This Row],[ENGINE_CLASS]])</f>
        <v>RUNNING_COST_ELECTRIC</v>
      </c>
      <c r="V575" s="10" t="s">
        <v>1016</v>
      </c>
      <c r="W575" s="10" t="s">
        <v>1017</v>
      </c>
      <c r="X575" s="10" t="str">
        <f>SUBSTITUTE(SUBSTITUTE(PROPERTIES[[#This Row],[PURCHASECOST_VALUE]], "PURCHASECOST_", ""), "_VALUE", "")</f>
        <v>WAGON</v>
      </c>
      <c r="AP575"/>
      <c r="AQ575"/>
      <c r="AR575"/>
    </row>
    <row r="576" spans="1:44">
      <c r="A576" s="2" t="s">
        <v>896</v>
      </c>
      <c r="B576">
        <v>2010</v>
      </c>
      <c r="C576">
        <v>0</v>
      </c>
      <c r="D576" t="s">
        <v>19</v>
      </c>
      <c r="E576" t="s">
        <v>532</v>
      </c>
      <c r="F576">
        <v>60</v>
      </c>
      <c r="G576" s="10">
        <v>22</v>
      </c>
      <c r="H576">
        <v>8</v>
      </c>
      <c r="I576">
        <v>8</v>
      </c>
      <c r="J576" s="2" t="s">
        <v>33</v>
      </c>
      <c r="K576">
        <f>_xlfn.XLOOKUP("LOADINGSPEEDDEF_"&amp;PROPERTIES[[#This Row],[LOADINGSPEED]],LOADINGSPEEDDEF[TYPE],LOADINGSPEEDDEF[SPEED])</f>
        <v>20</v>
      </c>
      <c r="L576" t="s">
        <v>21</v>
      </c>
      <c r="M576">
        <v>0</v>
      </c>
      <c r="N576">
        <v>0</v>
      </c>
      <c r="O576">
        <v>160</v>
      </c>
      <c r="P576" s="2">
        <v>0.3</v>
      </c>
      <c r="Q576" s="6">
        <v>25</v>
      </c>
      <c r="R576" s="10">
        <v>0</v>
      </c>
      <c r="S576" s="10">
        <v>0</v>
      </c>
      <c r="T576" s="10"/>
      <c r="U576" t="str">
        <f>"RUNNING_COST_"&amp;IF(PROPERTIES[[#This Row],[ENGINE_CLASS]]="MAGLEV","ELECTRIC",PROPERTIES[[#This Row],[ENGINE_CLASS]])</f>
        <v>RUNNING_COST_ELECTRIC</v>
      </c>
      <c r="V576" s="10" t="s">
        <v>1016</v>
      </c>
      <c r="W576" s="10" t="s">
        <v>1017</v>
      </c>
      <c r="X576" s="10" t="str">
        <f>SUBSTITUTE(SUBSTITUTE(PROPERTIES[[#This Row],[PURCHASECOST_VALUE]], "PURCHASECOST_", ""), "_VALUE", "")</f>
        <v>WAGON</v>
      </c>
      <c r="AP576"/>
      <c r="AQ576"/>
      <c r="AR576"/>
    </row>
    <row r="577" spans="1:44">
      <c r="A577" s="2" t="s">
        <v>897</v>
      </c>
      <c r="B577">
        <v>2000</v>
      </c>
      <c r="C577">
        <v>0</v>
      </c>
      <c r="D577" t="s">
        <v>19</v>
      </c>
      <c r="E577" t="s">
        <v>602</v>
      </c>
      <c r="F577">
        <v>75</v>
      </c>
      <c r="G577" s="10">
        <v>25</v>
      </c>
      <c r="H577">
        <v>8</v>
      </c>
      <c r="I577">
        <v>8</v>
      </c>
      <c r="J577" s="2" t="s">
        <v>33</v>
      </c>
      <c r="K577">
        <f>_xlfn.XLOOKUP("LOADINGSPEEDDEF_"&amp;PROPERTIES[[#This Row],[LOADINGSPEED]],LOADINGSPEEDDEF[TYPE],LOADINGSPEEDDEF[SPEED])</f>
        <v>20</v>
      </c>
      <c r="L577" t="s">
        <v>21</v>
      </c>
      <c r="M577">
        <v>0</v>
      </c>
      <c r="N577">
        <v>0</v>
      </c>
      <c r="O577">
        <v>160</v>
      </c>
      <c r="P577" s="2">
        <v>0.3</v>
      </c>
      <c r="Q577" s="6">
        <v>25</v>
      </c>
      <c r="R577" s="10">
        <v>0</v>
      </c>
      <c r="S577" s="10">
        <v>0</v>
      </c>
      <c r="T577" s="10"/>
      <c r="U577" t="str">
        <f>"RUNNING_COST_"&amp;IF(PROPERTIES[[#This Row],[ENGINE_CLASS]]="MAGLEV","ELECTRIC",PROPERTIES[[#This Row],[ENGINE_CLASS]])</f>
        <v>RUNNING_COST_ELECTRIC</v>
      </c>
      <c r="V577" s="10" t="s">
        <v>1016</v>
      </c>
      <c r="W577" s="10" t="s">
        <v>1017</v>
      </c>
      <c r="X577" s="10" t="str">
        <f>SUBSTITUTE(SUBSTITUTE(PROPERTIES[[#This Row],[PURCHASECOST_VALUE]], "PURCHASECOST_", ""), "_VALUE", "")</f>
        <v>WAGON</v>
      </c>
      <c r="AP577"/>
      <c r="AQ577"/>
      <c r="AR577"/>
    </row>
    <row r="578" spans="1:44">
      <c r="A578" s="2" t="s">
        <v>898</v>
      </c>
      <c r="B578">
        <v>2010</v>
      </c>
      <c r="C578">
        <v>0</v>
      </c>
      <c r="D578" t="s">
        <v>19</v>
      </c>
      <c r="E578" t="s">
        <v>603</v>
      </c>
      <c r="F578">
        <v>72</v>
      </c>
      <c r="G578" s="10">
        <v>23</v>
      </c>
      <c r="H578">
        <v>8</v>
      </c>
      <c r="I578">
        <v>8</v>
      </c>
      <c r="J578" s="2" t="s">
        <v>33</v>
      </c>
      <c r="K578">
        <f>_xlfn.XLOOKUP("LOADINGSPEEDDEF_"&amp;PROPERTIES[[#This Row],[LOADINGSPEED]],LOADINGSPEEDDEF[TYPE],LOADINGSPEEDDEF[SPEED])</f>
        <v>20</v>
      </c>
      <c r="L578" t="s">
        <v>21</v>
      </c>
      <c r="M578">
        <v>0</v>
      </c>
      <c r="N578">
        <v>0</v>
      </c>
      <c r="O578">
        <v>160</v>
      </c>
      <c r="P578" s="2">
        <v>0.3</v>
      </c>
      <c r="Q578" s="6">
        <v>25</v>
      </c>
      <c r="R578" s="10">
        <v>0</v>
      </c>
      <c r="S578" s="10">
        <v>0</v>
      </c>
      <c r="T578" s="10"/>
      <c r="U578" t="str">
        <f>"RUNNING_COST_"&amp;IF(PROPERTIES[[#This Row],[ENGINE_CLASS]]="MAGLEV","ELECTRIC",PROPERTIES[[#This Row],[ENGINE_CLASS]])</f>
        <v>RUNNING_COST_ELECTRIC</v>
      </c>
      <c r="V578" s="10" t="s">
        <v>1016</v>
      </c>
      <c r="W578" s="10" t="s">
        <v>1017</v>
      </c>
      <c r="X578" s="10" t="str">
        <f>SUBSTITUTE(SUBSTITUTE(PROPERTIES[[#This Row],[PURCHASECOST_VALUE]], "PURCHASECOST_", ""), "_VALUE", "")</f>
        <v>WAGON</v>
      </c>
      <c r="AP578"/>
      <c r="AQ578"/>
      <c r="AR578"/>
    </row>
    <row r="579" spans="1:44">
      <c r="A579" s="2" t="s">
        <v>899</v>
      </c>
      <c r="B579">
        <v>2010</v>
      </c>
      <c r="C579">
        <v>0</v>
      </c>
      <c r="D579" t="s">
        <v>19</v>
      </c>
      <c r="E579" t="s">
        <v>604</v>
      </c>
      <c r="F579">
        <v>75</v>
      </c>
      <c r="G579" s="10">
        <v>22</v>
      </c>
      <c r="H579">
        <v>8</v>
      </c>
      <c r="I579">
        <v>8</v>
      </c>
      <c r="J579" s="2" t="s">
        <v>33</v>
      </c>
      <c r="K579">
        <f>_xlfn.XLOOKUP("LOADINGSPEEDDEF_"&amp;PROPERTIES[[#This Row],[LOADINGSPEED]],LOADINGSPEEDDEF[TYPE],LOADINGSPEEDDEF[SPEED])</f>
        <v>20</v>
      </c>
      <c r="L579" t="s">
        <v>21</v>
      </c>
      <c r="M579">
        <v>0</v>
      </c>
      <c r="N579">
        <v>0</v>
      </c>
      <c r="O579">
        <v>160</v>
      </c>
      <c r="P579" s="2">
        <v>0.3</v>
      </c>
      <c r="Q579" s="6">
        <v>25</v>
      </c>
      <c r="R579" s="10">
        <v>0</v>
      </c>
      <c r="S579" s="10">
        <v>0</v>
      </c>
      <c r="T579" s="10"/>
      <c r="U579" t="str">
        <f>"RUNNING_COST_"&amp;IF(PROPERTIES[[#This Row],[ENGINE_CLASS]]="MAGLEV","ELECTRIC",PROPERTIES[[#This Row],[ENGINE_CLASS]])</f>
        <v>RUNNING_COST_ELECTRIC</v>
      </c>
      <c r="V579" s="10" t="s">
        <v>1016</v>
      </c>
      <c r="W579" s="10" t="s">
        <v>1017</v>
      </c>
      <c r="X579" s="10" t="str">
        <f>SUBSTITUTE(SUBSTITUTE(PROPERTIES[[#This Row],[PURCHASECOST_VALUE]], "PURCHASECOST_", ""), "_VALUE", "")</f>
        <v>WAGON</v>
      </c>
      <c r="AP579"/>
      <c r="AQ579"/>
      <c r="AR579"/>
    </row>
    <row r="580" spans="1:44">
      <c r="A580" s="2" t="s">
        <v>900</v>
      </c>
      <c r="B580">
        <v>2020</v>
      </c>
      <c r="C580">
        <v>0</v>
      </c>
      <c r="D580" t="s">
        <v>19</v>
      </c>
      <c r="E580" t="s">
        <v>605</v>
      </c>
      <c r="F580">
        <v>96</v>
      </c>
      <c r="G580" s="10">
        <v>42</v>
      </c>
      <c r="H580">
        <v>8</v>
      </c>
      <c r="I580">
        <v>8</v>
      </c>
      <c r="J580" s="2" t="s">
        <v>33</v>
      </c>
      <c r="K580">
        <f>_xlfn.XLOOKUP("LOADINGSPEEDDEF_"&amp;PROPERTIES[[#This Row],[LOADINGSPEED]],LOADINGSPEEDDEF[TYPE],LOADINGSPEEDDEF[SPEED])</f>
        <v>20</v>
      </c>
      <c r="L580" t="s">
        <v>21</v>
      </c>
      <c r="M580">
        <v>0</v>
      </c>
      <c r="N580">
        <v>0</v>
      </c>
      <c r="O580">
        <v>140</v>
      </c>
      <c r="P580" s="2">
        <v>0.3</v>
      </c>
      <c r="Q580" s="6">
        <v>25</v>
      </c>
      <c r="R580" s="10">
        <v>0</v>
      </c>
      <c r="S580" s="10">
        <v>0</v>
      </c>
      <c r="T580" s="10"/>
      <c r="U580" t="str">
        <f>"RUNNING_COST_"&amp;IF(PROPERTIES[[#This Row],[ENGINE_CLASS]]="MAGLEV","ELECTRIC",PROPERTIES[[#This Row],[ENGINE_CLASS]])</f>
        <v>RUNNING_COST_ELECTRIC</v>
      </c>
      <c r="V580" s="10" t="s">
        <v>1016</v>
      </c>
      <c r="W580" s="10" t="s">
        <v>1017</v>
      </c>
      <c r="X580" s="10" t="str">
        <f>SUBSTITUTE(SUBSTITUTE(PROPERTIES[[#This Row],[PURCHASECOST_VALUE]], "PURCHASECOST_", ""), "_VALUE", "")</f>
        <v>WAGON</v>
      </c>
      <c r="AP580"/>
      <c r="AQ580"/>
      <c r="AR580"/>
    </row>
    <row r="581" spans="1:44">
      <c r="A581" s="2" t="s">
        <v>901</v>
      </c>
      <c r="B581">
        <v>2020</v>
      </c>
      <c r="C581">
        <v>0</v>
      </c>
      <c r="D581" t="s">
        <v>19</v>
      </c>
      <c r="E581" t="s">
        <v>606</v>
      </c>
      <c r="F581">
        <v>75</v>
      </c>
      <c r="G581" s="10">
        <v>26</v>
      </c>
      <c r="H581">
        <v>8</v>
      </c>
      <c r="I581">
        <v>8</v>
      </c>
      <c r="J581" s="2" t="s">
        <v>33</v>
      </c>
      <c r="K581">
        <f>_xlfn.XLOOKUP("LOADINGSPEEDDEF_"&amp;PROPERTIES[[#This Row],[LOADINGSPEED]],LOADINGSPEEDDEF[TYPE],LOADINGSPEEDDEF[SPEED])</f>
        <v>20</v>
      </c>
      <c r="L581" t="s">
        <v>21</v>
      </c>
      <c r="M581">
        <v>0</v>
      </c>
      <c r="N581">
        <v>0</v>
      </c>
      <c r="O581">
        <v>160</v>
      </c>
      <c r="P581" s="2">
        <v>0.3</v>
      </c>
      <c r="Q581" s="6">
        <v>25</v>
      </c>
      <c r="R581" s="10">
        <v>0</v>
      </c>
      <c r="S581" s="10">
        <v>0</v>
      </c>
      <c r="T581" s="10"/>
      <c r="U581" t="str">
        <f>"RUNNING_COST_"&amp;IF(PROPERTIES[[#This Row],[ENGINE_CLASS]]="MAGLEV","ELECTRIC",PROPERTIES[[#This Row],[ENGINE_CLASS]])</f>
        <v>RUNNING_COST_ELECTRIC</v>
      </c>
      <c r="V581" s="10" t="s">
        <v>1016</v>
      </c>
      <c r="W581" s="10" t="s">
        <v>1017</v>
      </c>
      <c r="X581" s="10" t="str">
        <f>SUBSTITUTE(SUBSTITUTE(PROPERTIES[[#This Row],[PURCHASECOST_VALUE]], "PURCHASECOST_", ""), "_VALUE", "")</f>
        <v>WAGON</v>
      </c>
      <c r="AP581"/>
      <c r="AQ581"/>
      <c r="AR581"/>
    </row>
    <row r="582" spans="1:44">
      <c r="A582" s="2" t="s">
        <v>902</v>
      </c>
      <c r="B582">
        <v>2020</v>
      </c>
      <c r="C582">
        <v>0</v>
      </c>
      <c r="D582" t="s">
        <v>19</v>
      </c>
      <c r="E582" t="s">
        <v>606</v>
      </c>
      <c r="F582">
        <v>75</v>
      </c>
      <c r="G582" s="10">
        <v>26</v>
      </c>
      <c r="H582">
        <v>8</v>
      </c>
      <c r="I582">
        <v>8</v>
      </c>
      <c r="J582" s="2" t="s">
        <v>33</v>
      </c>
      <c r="K582">
        <f>_xlfn.XLOOKUP("LOADINGSPEEDDEF_"&amp;PROPERTIES[[#This Row],[LOADINGSPEED]],LOADINGSPEEDDEF[TYPE],LOADINGSPEEDDEF[SPEED])</f>
        <v>20</v>
      </c>
      <c r="L582" t="s">
        <v>21</v>
      </c>
      <c r="M582">
        <v>0</v>
      </c>
      <c r="N582">
        <v>0</v>
      </c>
      <c r="O582">
        <v>160</v>
      </c>
      <c r="P582" s="2">
        <v>0.3</v>
      </c>
      <c r="Q582" s="6">
        <v>25</v>
      </c>
      <c r="R582" s="10">
        <v>0</v>
      </c>
      <c r="S582" s="10">
        <v>0</v>
      </c>
      <c r="T582" s="10"/>
      <c r="U582" t="str">
        <f>"RUNNING_COST_"&amp;IF(PROPERTIES[[#This Row],[ENGINE_CLASS]]="MAGLEV","ELECTRIC",PROPERTIES[[#This Row],[ENGINE_CLASS]])</f>
        <v>RUNNING_COST_ELECTRIC</v>
      </c>
      <c r="V582" s="10" t="s">
        <v>1016</v>
      </c>
      <c r="W582" s="10" t="s">
        <v>1017</v>
      </c>
      <c r="X582" s="10" t="str">
        <f>SUBSTITUTE(SUBSTITUTE(PROPERTIES[[#This Row],[PURCHASECOST_VALUE]], "PURCHASECOST_", ""), "_VALUE", "")</f>
        <v>WAGON</v>
      </c>
      <c r="AP582"/>
      <c r="AQ582"/>
      <c r="AR582"/>
    </row>
    <row r="583" spans="1:44">
      <c r="A583" s="2" t="s">
        <v>903</v>
      </c>
      <c r="B583">
        <v>2020</v>
      </c>
      <c r="C583">
        <v>0</v>
      </c>
      <c r="D583" t="s">
        <v>19</v>
      </c>
      <c r="E583" t="s">
        <v>607</v>
      </c>
      <c r="F583">
        <v>75</v>
      </c>
      <c r="G583" s="10">
        <v>27</v>
      </c>
      <c r="H583">
        <v>8</v>
      </c>
      <c r="I583">
        <v>8</v>
      </c>
      <c r="J583" s="2" t="s">
        <v>33</v>
      </c>
      <c r="K583">
        <f>_xlfn.XLOOKUP("LOADINGSPEEDDEF_"&amp;PROPERTIES[[#This Row],[LOADINGSPEED]],LOADINGSPEEDDEF[TYPE],LOADINGSPEEDDEF[SPEED])</f>
        <v>20</v>
      </c>
      <c r="L583" t="s">
        <v>21</v>
      </c>
      <c r="M583">
        <v>0</v>
      </c>
      <c r="N583">
        <v>0</v>
      </c>
      <c r="O583">
        <v>160</v>
      </c>
      <c r="P583" s="2">
        <v>0.3</v>
      </c>
      <c r="Q583" s="6">
        <v>25</v>
      </c>
      <c r="R583" s="10">
        <v>0</v>
      </c>
      <c r="S583" s="10">
        <v>0</v>
      </c>
      <c r="T583" s="10"/>
      <c r="U583" t="str">
        <f>"RUNNING_COST_"&amp;IF(PROPERTIES[[#This Row],[ENGINE_CLASS]]="MAGLEV","ELECTRIC",PROPERTIES[[#This Row],[ENGINE_CLASS]])</f>
        <v>RUNNING_COST_ELECTRIC</v>
      </c>
      <c r="V583" s="10" t="s">
        <v>1016</v>
      </c>
      <c r="W583" s="10" t="s">
        <v>1017</v>
      </c>
      <c r="X583" s="10" t="str">
        <f>SUBSTITUTE(SUBSTITUTE(PROPERTIES[[#This Row],[PURCHASECOST_VALUE]], "PURCHASECOST_", ""), "_VALUE", "")</f>
        <v>WAGON</v>
      </c>
      <c r="AP583"/>
      <c r="AQ583"/>
      <c r="AR583"/>
    </row>
    <row r="584" spans="1:44">
      <c r="A584" s="2" t="s">
        <v>904</v>
      </c>
      <c r="B584">
        <v>2020</v>
      </c>
      <c r="C584">
        <v>0</v>
      </c>
      <c r="D584" t="s">
        <v>19</v>
      </c>
      <c r="E584" t="s">
        <v>607</v>
      </c>
      <c r="F584">
        <v>75</v>
      </c>
      <c r="G584" s="10">
        <v>27</v>
      </c>
      <c r="H584">
        <v>8</v>
      </c>
      <c r="I584">
        <v>8</v>
      </c>
      <c r="J584" s="2" t="s">
        <v>33</v>
      </c>
      <c r="K584">
        <f>_xlfn.XLOOKUP("LOADINGSPEEDDEF_"&amp;PROPERTIES[[#This Row],[LOADINGSPEED]],LOADINGSPEEDDEF[TYPE],LOADINGSPEEDDEF[SPEED])</f>
        <v>20</v>
      </c>
      <c r="L584" t="s">
        <v>21</v>
      </c>
      <c r="M584">
        <v>0</v>
      </c>
      <c r="N584">
        <v>0</v>
      </c>
      <c r="O584">
        <v>160</v>
      </c>
      <c r="P584" s="2">
        <v>0.3</v>
      </c>
      <c r="Q584" s="6">
        <v>25</v>
      </c>
      <c r="R584" s="10">
        <v>0</v>
      </c>
      <c r="S584" s="10">
        <v>0</v>
      </c>
      <c r="T584" s="10"/>
      <c r="U584" t="str">
        <f>"RUNNING_COST_"&amp;IF(PROPERTIES[[#This Row],[ENGINE_CLASS]]="MAGLEV","ELECTRIC",PROPERTIES[[#This Row],[ENGINE_CLASS]])</f>
        <v>RUNNING_COST_ELECTRIC</v>
      </c>
      <c r="V584" s="10" t="s">
        <v>1016</v>
      </c>
      <c r="W584" s="10" t="s">
        <v>1017</v>
      </c>
      <c r="X584" s="10" t="str">
        <f>SUBSTITUTE(SUBSTITUTE(PROPERTIES[[#This Row],[PURCHASECOST_VALUE]], "PURCHASECOST_", ""), "_VALUE", "")</f>
        <v>WAGON</v>
      </c>
      <c r="AP584"/>
      <c r="AQ584"/>
      <c r="AR584"/>
    </row>
    <row r="585" spans="1:44">
      <c r="A585" s="2" t="s">
        <v>905</v>
      </c>
      <c r="B585">
        <v>2010</v>
      </c>
      <c r="C585">
        <v>0</v>
      </c>
      <c r="D585" t="s">
        <v>19</v>
      </c>
      <c r="E585" t="s">
        <v>608</v>
      </c>
      <c r="F585">
        <v>65</v>
      </c>
      <c r="G585" s="10">
        <v>50</v>
      </c>
      <c r="H585">
        <v>4</v>
      </c>
      <c r="I585">
        <v>12</v>
      </c>
      <c r="J585" s="2" t="s">
        <v>33</v>
      </c>
      <c r="K585">
        <f>_xlfn.XLOOKUP("LOADINGSPEEDDEF_"&amp;PROPERTIES[[#This Row],[LOADINGSPEED]],LOADINGSPEEDDEF[TYPE],LOADINGSPEEDDEF[SPEED])</f>
        <v>20</v>
      </c>
      <c r="L585" t="s">
        <v>21</v>
      </c>
      <c r="M585">
        <v>0</v>
      </c>
      <c r="N585">
        <v>0</v>
      </c>
      <c r="O585">
        <v>140</v>
      </c>
      <c r="P585" s="2">
        <v>0.3</v>
      </c>
      <c r="Q585" s="6">
        <v>25</v>
      </c>
      <c r="R585" s="10">
        <v>0</v>
      </c>
      <c r="S585" s="10">
        <v>0</v>
      </c>
      <c r="T585" s="10"/>
      <c r="U585" t="str">
        <f>"RUNNING_COST_"&amp;IF(PROPERTIES[[#This Row],[ENGINE_CLASS]]="MAGLEV","ELECTRIC",PROPERTIES[[#This Row],[ENGINE_CLASS]])</f>
        <v>RUNNING_COST_ELECTRIC</v>
      </c>
      <c r="V585" s="10" t="s">
        <v>1016</v>
      </c>
      <c r="W585" s="10" t="s">
        <v>1017</v>
      </c>
      <c r="X585" s="10" t="str">
        <f>SUBSTITUTE(SUBSTITUTE(PROPERTIES[[#This Row],[PURCHASECOST_VALUE]], "PURCHASECOST_", ""), "_VALUE", "")</f>
        <v>WAGON</v>
      </c>
      <c r="AP585"/>
      <c r="AQ585"/>
      <c r="AR585"/>
    </row>
    <row r="586" spans="1:44">
      <c r="A586" s="2" t="s">
        <v>906</v>
      </c>
      <c r="B586">
        <v>2020</v>
      </c>
      <c r="C586">
        <v>0</v>
      </c>
      <c r="D586" t="s">
        <v>19</v>
      </c>
      <c r="E586" t="s">
        <v>609</v>
      </c>
      <c r="F586">
        <v>105</v>
      </c>
      <c r="G586" s="10">
        <v>24</v>
      </c>
      <c r="H586">
        <v>8</v>
      </c>
      <c r="I586">
        <v>8</v>
      </c>
      <c r="J586" s="2" t="s">
        <v>33</v>
      </c>
      <c r="K586">
        <f>_xlfn.XLOOKUP("LOADINGSPEEDDEF_"&amp;PROPERTIES[[#This Row],[LOADINGSPEED]],LOADINGSPEEDDEF[TYPE],LOADINGSPEEDDEF[SPEED])</f>
        <v>20</v>
      </c>
      <c r="L586" t="s">
        <v>21</v>
      </c>
      <c r="M586">
        <v>0</v>
      </c>
      <c r="N586">
        <v>0</v>
      </c>
      <c r="O586">
        <v>160</v>
      </c>
      <c r="P586" s="2">
        <v>0.3</v>
      </c>
      <c r="Q586" s="6">
        <v>25</v>
      </c>
      <c r="R586" s="10">
        <v>0</v>
      </c>
      <c r="S586" s="10">
        <v>0</v>
      </c>
      <c r="T586" s="10"/>
      <c r="U586" t="str">
        <f>"RUNNING_COST_"&amp;IF(PROPERTIES[[#This Row],[ENGINE_CLASS]]="MAGLEV","ELECTRIC",PROPERTIES[[#This Row],[ENGINE_CLASS]])</f>
        <v>RUNNING_COST_ELECTRIC</v>
      </c>
      <c r="V586" s="10" t="s">
        <v>1016</v>
      </c>
      <c r="W586" s="10" t="s">
        <v>1017</v>
      </c>
      <c r="X586" s="10" t="str">
        <f>SUBSTITUTE(SUBSTITUTE(PROPERTIES[[#This Row],[PURCHASECOST_VALUE]], "PURCHASECOST_", ""), "_VALUE", "")</f>
        <v>WAGON</v>
      </c>
      <c r="AP586"/>
      <c r="AQ586"/>
      <c r="AR586"/>
    </row>
    <row r="587" spans="1:44">
      <c r="A587" s="2" t="s">
        <v>610</v>
      </c>
      <c r="B587">
        <v>1990</v>
      </c>
      <c r="C587">
        <v>0</v>
      </c>
      <c r="D587" t="s">
        <v>35</v>
      </c>
      <c r="E587" t="s">
        <v>18</v>
      </c>
      <c r="F587">
        <v>70</v>
      </c>
      <c r="G587" s="10">
        <v>32</v>
      </c>
      <c r="H587">
        <v>7</v>
      </c>
      <c r="I587">
        <v>7</v>
      </c>
      <c r="J587" s="2" t="s">
        <v>24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>
        <v>400</v>
      </c>
      <c r="O587">
        <v>110</v>
      </c>
      <c r="P587" s="2">
        <v>0.34</v>
      </c>
      <c r="Q587" s="6">
        <v>15</v>
      </c>
      <c r="R587" s="10">
        <v>0</v>
      </c>
      <c r="S587" s="10">
        <v>0</v>
      </c>
      <c r="T587" s="10"/>
      <c r="U587" t="str">
        <f>"RUNNING_COST_"&amp;IF(PROPERTIES[[#This Row],[ENGINE_CLASS]]="MAGLEV","ELECTRIC",PROPERTIES[[#This Row],[ENGINE_CLASS]])</f>
        <v>RUNNING_COST_DIESEL</v>
      </c>
      <c r="V587" s="10" t="s">
        <v>994</v>
      </c>
      <c r="W587" s="10" t="s">
        <v>995</v>
      </c>
      <c r="X587" s="10" t="str">
        <f>SUBSTITUTE(SUBSTITUTE(PROPERTIES[[#This Row],[PURCHASECOST_VALUE]], "PURCHASECOST_", ""), "_VALUE", "")</f>
        <v>DIESELRAILBUS</v>
      </c>
      <c r="AP587"/>
      <c r="AQ587"/>
      <c r="AR587"/>
    </row>
    <row r="588" spans="1:44">
      <c r="A588" s="2" t="s">
        <v>611</v>
      </c>
      <c r="B588">
        <v>2008</v>
      </c>
      <c r="C588">
        <v>0</v>
      </c>
      <c r="D588" t="s">
        <v>35</v>
      </c>
      <c r="E588" t="s">
        <v>18</v>
      </c>
      <c r="F588">
        <v>39</v>
      </c>
      <c r="G588" s="10">
        <v>39</v>
      </c>
      <c r="H588">
        <v>8</v>
      </c>
      <c r="I588">
        <v>8</v>
      </c>
      <c r="J588" s="2" t="s">
        <v>24</v>
      </c>
      <c r="K588">
        <f>_xlfn.XLOOKUP("LOADINGSPEEDDEF_"&amp;PROPERTIES[[#This Row],[LOADINGSPEED]],LOADINGSPEEDDEF[TYPE],LOADINGSPEEDDEF[SPEED])</f>
        <v>40</v>
      </c>
      <c r="L588" t="s">
        <v>21</v>
      </c>
      <c r="M588">
        <v>1</v>
      </c>
      <c r="N588">
        <v>444</v>
      </c>
      <c r="O588">
        <v>100</v>
      </c>
      <c r="P588" s="2">
        <v>0.26</v>
      </c>
      <c r="Q588" s="6">
        <v>15</v>
      </c>
      <c r="R588" s="10">
        <v>0</v>
      </c>
      <c r="S588" s="10">
        <v>0</v>
      </c>
      <c r="T588" s="10"/>
      <c r="U588" t="str">
        <f>"RUNNING_COST_"&amp;IF(PROPERTIES[[#This Row],[ENGINE_CLASS]]="MAGLEV","ELECTRIC",PROPERTIES[[#This Row],[ENGINE_CLASS]])</f>
        <v>RUNNING_COST_DIESEL</v>
      </c>
      <c r="V588" s="10" t="s">
        <v>994</v>
      </c>
      <c r="W588" s="10" t="s">
        <v>995</v>
      </c>
      <c r="X588" s="10" t="str">
        <f>SUBSTITUTE(SUBSTITUTE(PROPERTIES[[#This Row],[PURCHASECOST_VALUE]], "PURCHASECOST_", ""), "_VALUE", "")</f>
        <v>DIESELRAILBUS</v>
      </c>
      <c r="AP588"/>
      <c r="AQ588"/>
      <c r="AR588"/>
    </row>
    <row r="589" spans="1:44">
      <c r="A589" s="2" t="s">
        <v>612</v>
      </c>
      <c r="B589">
        <v>1961</v>
      </c>
      <c r="C589">
        <v>0</v>
      </c>
      <c r="D589" t="s">
        <v>35</v>
      </c>
      <c r="E589" t="s">
        <v>18</v>
      </c>
      <c r="F589">
        <v>80</v>
      </c>
      <c r="G589" s="10">
        <v>30</v>
      </c>
      <c r="H589">
        <v>8</v>
      </c>
      <c r="I589">
        <v>8</v>
      </c>
      <c r="J589" s="2" t="s">
        <v>24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>
        <v>180</v>
      </c>
      <c r="O589">
        <v>60</v>
      </c>
      <c r="P589" s="2">
        <v>0.22</v>
      </c>
      <c r="Q589" s="6">
        <v>15</v>
      </c>
      <c r="R589" s="10">
        <v>0</v>
      </c>
      <c r="S589" s="10">
        <v>0</v>
      </c>
      <c r="T589" s="10"/>
      <c r="U589" t="str">
        <f>"RUNNING_COST_"&amp;IF(PROPERTIES[[#This Row],[ENGINE_CLASS]]="MAGLEV","ELECTRIC",PROPERTIES[[#This Row],[ENGINE_CLASS]])</f>
        <v>RUNNING_COST_DIESEL</v>
      </c>
      <c r="V589" s="10" t="s">
        <v>994</v>
      </c>
      <c r="W589" s="10" t="s">
        <v>995</v>
      </c>
      <c r="X589" s="10" t="str">
        <f>SUBSTITUTE(SUBSTITUTE(PROPERTIES[[#This Row],[PURCHASECOST_VALUE]], "PURCHASECOST_", ""), "_VALUE", "")</f>
        <v>DIESELRAILBUS</v>
      </c>
      <c r="AP589"/>
      <c r="AQ589"/>
      <c r="AR589"/>
    </row>
    <row r="590" spans="1:44">
      <c r="A590" s="2" t="s">
        <v>613</v>
      </c>
      <c r="B590">
        <v>1935</v>
      </c>
      <c r="C590">
        <v>0</v>
      </c>
      <c r="D590" t="s">
        <v>35</v>
      </c>
      <c r="E590" t="s">
        <v>18</v>
      </c>
      <c r="F590">
        <v>62</v>
      </c>
      <c r="G590" s="10">
        <v>36</v>
      </c>
      <c r="H590">
        <v>7</v>
      </c>
      <c r="I590">
        <v>7</v>
      </c>
      <c r="J590" s="2" t="s">
        <v>24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>
        <v>290</v>
      </c>
      <c r="O590">
        <v>80</v>
      </c>
      <c r="P590" s="2">
        <v>0.14000000000000001</v>
      </c>
      <c r="Q590" s="6">
        <v>15</v>
      </c>
      <c r="R590" s="10">
        <v>0</v>
      </c>
      <c r="S590" s="10">
        <v>0</v>
      </c>
      <c r="T590" s="10"/>
      <c r="U590" t="str">
        <f>"RUNNING_COST_"&amp;IF(PROPERTIES[[#This Row],[ENGINE_CLASS]]="MAGLEV","ELECTRIC",PROPERTIES[[#This Row],[ENGINE_CLASS]])</f>
        <v>RUNNING_COST_DIESEL</v>
      </c>
      <c r="V590" s="10" t="s">
        <v>994</v>
      </c>
      <c r="W590" s="10" t="s">
        <v>995</v>
      </c>
      <c r="X590" s="10" t="str">
        <f>SUBSTITUTE(SUBSTITUTE(PROPERTIES[[#This Row],[PURCHASECOST_VALUE]], "PURCHASECOST_", ""), "_VALUE", "")</f>
        <v>DIESELRAILBUS</v>
      </c>
      <c r="AP590"/>
      <c r="AQ590"/>
      <c r="AR590"/>
    </row>
    <row r="591" spans="1:44">
      <c r="A591" s="2" t="s">
        <v>614</v>
      </c>
      <c r="B591">
        <v>1937</v>
      </c>
      <c r="C591">
        <v>0</v>
      </c>
      <c r="D591" t="s">
        <v>35</v>
      </c>
      <c r="E591" t="s">
        <v>18</v>
      </c>
      <c r="F591">
        <v>32</v>
      </c>
      <c r="G591" s="10">
        <v>18</v>
      </c>
      <c r="H591">
        <v>5</v>
      </c>
      <c r="I591">
        <v>5</v>
      </c>
      <c r="J591" s="2" t="s">
        <v>24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>
        <v>227</v>
      </c>
      <c r="O591">
        <v>68</v>
      </c>
      <c r="P591" s="2">
        <v>0.26</v>
      </c>
      <c r="Q591" s="6">
        <v>15</v>
      </c>
      <c r="R591" s="10">
        <v>0</v>
      </c>
      <c r="S591" s="10">
        <v>0</v>
      </c>
      <c r="T591" s="10"/>
      <c r="U591" t="str">
        <f>"RUNNING_COST_"&amp;IF(PROPERTIES[[#This Row],[ENGINE_CLASS]]="MAGLEV","ELECTRIC",PROPERTIES[[#This Row],[ENGINE_CLASS]])</f>
        <v>RUNNING_COST_DIESEL</v>
      </c>
      <c r="V591" s="10" t="s">
        <v>994</v>
      </c>
      <c r="W591" s="10" t="s">
        <v>995</v>
      </c>
      <c r="X591" s="10" t="str">
        <f>SUBSTITUTE(SUBSTITUTE(PROPERTIES[[#This Row],[PURCHASECOST_VALUE]], "PURCHASECOST_", ""), "_VALUE", "")</f>
        <v>DIESELRAILBUS</v>
      </c>
      <c r="AP591"/>
      <c r="AQ591"/>
      <c r="AR591"/>
    </row>
    <row r="592" spans="1:44">
      <c r="A592" s="2" t="s">
        <v>615</v>
      </c>
      <c r="B592">
        <v>1911</v>
      </c>
      <c r="C592">
        <v>0</v>
      </c>
      <c r="D592" t="s">
        <v>74</v>
      </c>
      <c r="E592" t="s">
        <v>18</v>
      </c>
      <c r="F592">
        <v>24</v>
      </c>
      <c r="G592" s="10">
        <v>24</v>
      </c>
      <c r="H592">
        <v>6</v>
      </c>
      <c r="I592">
        <v>6</v>
      </c>
      <c r="J592" s="2" t="s">
        <v>24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>
        <v>195</v>
      </c>
      <c r="O592">
        <v>35</v>
      </c>
      <c r="P592" s="2">
        <v>0.15</v>
      </c>
      <c r="Q592" s="6">
        <v>15</v>
      </c>
      <c r="R592" s="10">
        <v>0</v>
      </c>
      <c r="S592" s="10">
        <v>0</v>
      </c>
      <c r="T592" s="10"/>
      <c r="U592" t="str">
        <f>"RUNNING_COST_"&amp;IF(PROPERTIES[[#This Row],[ENGINE_CLASS]]="MAGLEV","ELECTRIC",PROPERTIES[[#This Row],[ENGINE_CLASS]])</f>
        <v>RUNNING_COST_ELECTRIC</v>
      </c>
      <c r="V592" s="10" t="s">
        <v>996</v>
      </c>
      <c r="W592" s="10" t="s">
        <v>997</v>
      </c>
      <c r="X592" s="10" t="str">
        <f>SUBSTITUTE(SUBSTITUTE(PROPERTIES[[#This Row],[PURCHASECOST_VALUE]], "PURCHASECOST_", ""), "_VALUE", "")</f>
        <v>ELECTRICRAILBUS</v>
      </c>
      <c r="AP592"/>
      <c r="AQ592"/>
      <c r="AR592"/>
    </row>
    <row r="593" spans="1:44">
      <c r="A593" s="2" t="s">
        <v>616</v>
      </c>
      <c r="B593">
        <v>1907</v>
      </c>
      <c r="C593">
        <v>0</v>
      </c>
      <c r="D593" t="s">
        <v>74</v>
      </c>
      <c r="E593" t="s">
        <v>18</v>
      </c>
      <c r="F593">
        <v>20</v>
      </c>
      <c r="G593" s="10">
        <v>15</v>
      </c>
      <c r="H593">
        <v>4</v>
      </c>
      <c r="I593">
        <v>4</v>
      </c>
      <c r="J593" s="2" t="s">
        <v>24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>
        <v>144</v>
      </c>
      <c r="O593">
        <v>37</v>
      </c>
      <c r="P593" s="2">
        <v>0.33</v>
      </c>
      <c r="Q593" s="6">
        <v>15</v>
      </c>
      <c r="R593" s="10">
        <v>0</v>
      </c>
      <c r="S593" s="10">
        <v>0</v>
      </c>
      <c r="T593" s="10"/>
      <c r="U593" t="str">
        <f>"RUNNING_COST_"&amp;IF(PROPERTIES[[#This Row],[ENGINE_CLASS]]="MAGLEV","ELECTRIC",PROPERTIES[[#This Row],[ENGINE_CLASS]])</f>
        <v>RUNNING_COST_ELECTRIC</v>
      </c>
      <c r="V593" s="10" t="s">
        <v>996</v>
      </c>
      <c r="W593" s="10" t="s">
        <v>997</v>
      </c>
      <c r="X593" s="10" t="str">
        <f>SUBSTITUTE(SUBSTITUTE(PROPERTIES[[#This Row],[PURCHASECOST_VALUE]], "PURCHASECOST_", ""), "_VALUE", "")</f>
        <v>ELECTRICRAILBUS</v>
      </c>
      <c r="AP593"/>
      <c r="AQ593"/>
      <c r="AR593"/>
    </row>
    <row r="594" spans="1:44">
      <c r="A594" s="2" t="s">
        <v>617</v>
      </c>
      <c r="B594">
        <v>1998</v>
      </c>
      <c r="C594">
        <v>0</v>
      </c>
      <c r="D594" t="s">
        <v>74</v>
      </c>
      <c r="E594" t="s">
        <v>18</v>
      </c>
      <c r="F594">
        <v>40</v>
      </c>
      <c r="G594" s="10">
        <v>32</v>
      </c>
      <c r="H594">
        <v>8</v>
      </c>
      <c r="I594">
        <v>8</v>
      </c>
      <c r="J594" s="2" t="s">
        <v>24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>
        <v>752</v>
      </c>
      <c r="O594">
        <v>50</v>
      </c>
      <c r="P594" s="2">
        <v>0.27</v>
      </c>
      <c r="Q594" s="6">
        <v>15</v>
      </c>
      <c r="R594" s="10">
        <v>0</v>
      </c>
      <c r="S594" s="10">
        <v>0</v>
      </c>
      <c r="T594" s="10"/>
      <c r="U594" t="str">
        <f>"RUNNING_COST_"&amp;IF(PROPERTIES[[#This Row],[ENGINE_CLASS]]="MAGLEV","ELECTRIC",PROPERTIES[[#This Row],[ENGINE_CLASS]])</f>
        <v>RUNNING_COST_ELECTRIC</v>
      </c>
      <c r="V594" s="10" t="s">
        <v>996</v>
      </c>
      <c r="W594" s="10" t="s">
        <v>997</v>
      </c>
      <c r="X594" s="10" t="str">
        <f>SUBSTITUTE(SUBSTITUTE(PROPERTIES[[#This Row],[PURCHASECOST_VALUE]], "PURCHASECOST_", ""), "_VALUE", "")</f>
        <v>ELECTRICRAILBUS</v>
      </c>
      <c r="AP594"/>
      <c r="AQ594"/>
      <c r="AR594"/>
    </row>
    <row r="595" spans="1:44">
      <c r="A595" s="2" t="s">
        <v>618</v>
      </c>
      <c r="B595">
        <v>1929</v>
      </c>
      <c r="C595">
        <v>0</v>
      </c>
      <c r="D595" t="s">
        <v>74</v>
      </c>
      <c r="E595" t="s">
        <v>18</v>
      </c>
      <c r="F595">
        <v>44</v>
      </c>
      <c r="G595" s="10">
        <v>38</v>
      </c>
      <c r="H595">
        <v>6</v>
      </c>
      <c r="I595">
        <v>6</v>
      </c>
      <c r="J595" s="2" t="s">
        <v>24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>
        <v>350</v>
      </c>
      <c r="O595">
        <v>60</v>
      </c>
      <c r="P595" s="2">
        <v>0.05</v>
      </c>
      <c r="Q595" s="6">
        <v>15</v>
      </c>
      <c r="R595" s="10">
        <v>0</v>
      </c>
      <c r="S595" s="10">
        <v>0</v>
      </c>
      <c r="T595" s="10"/>
      <c r="U595" t="str">
        <f>"RUNNING_COST_"&amp;IF(PROPERTIES[[#This Row],[ENGINE_CLASS]]="MAGLEV","ELECTRIC",PROPERTIES[[#This Row],[ENGINE_CLASS]])</f>
        <v>RUNNING_COST_ELECTRIC</v>
      </c>
      <c r="V595" s="10" t="s">
        <v>996</v>
      </c>
      <c r="W595" s="10" t="s">
        <v>997</v>
      </c>
      <c r="X595" s="10" t="str">
        <f>SUBSTITUTE(SUBSTITUTE(PROPERTIES[[#This Row],[PURCHASECOST_VALUE]], "PURCHASECOST_", ""), "_VALUE", "")</f>
        <v>ELECTRICRAILBUS</v>
      </c>
      <c r="AP595"/>
      <c r="AQ595"/>
      <c r="AR595"/>
    </row>
    <row r="596" spans="1:44">
      <c r="A596" s="2" t="s">
        <v>619</v>
      </c>
      <c r="B596">
        <v>1960</v>
      </c>
      <c r="C596">
        <v>0</v>
      </c>
      <c r="D596" t="s">
        <v>74</v>
      </c>
      <c r="E596" t="s">
        <v>18</v>
      </c>
      <c r="F596">
        <v>34</v>
      </c>
      <c r="G596" s="10">
        <v>31</v>
      </c>
      <c r="H596">
        <v>7</v>
      </c>
      <c r="I596">
        <v>7</v>
      </c>
      <c r="J596" s="2" t="s">
        <v>24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>
        <v>402</v>
      </c>
      <c r="O596">
        <v>40</v>
      </c>
      <c r="P596" s="2">
        <v>0.18</v>
      </c>
      <c r="Q596" s="6">
        <v>15</v>
      </c>
      <c r="R596" s="10">
        <v>0</v>
      </c>
      <c r="S596" s="10">
        <v>0</v>
      </c>
      <c r="T596" s="10"/>
      <c r="U596" t="str">
        <f>"RUNNING_COST_"&amp;IF(PROPERTIES[[#This Row],[ENGINE_CLASS]]="MAGLEV","ELECTRIC",PROPERTIES[[#This Row],[ENGINE_CLASS]])</f>
        <v>RUNNING_COST_ELECTRIC</v>
      </c>
      <c r="V596" s="10" t="s">
        <v>996</v>
      </c>
      <c r="W596" s="10" t="s">
        <v>997</v>
      </c>
      <c r="X596" s="10" t="str">
        <f>SUBSTITUTE(SUBSTITUTE(PROPERTIES[[#This Row],[PURCHASECOST_VALUE]], "PURCHASECOST_", ""), "_VALUE", "")</f>
        <v>ELECTRICRAILBUS</v>
      </c>
      <c r="AP596"/>
      <c r="AQ596"/>
      <c r="AR596"/>
    </row>
    <row r="597" spans="1:44">
      <c r="A597" s="2" t="s">
        <v>620</v>
      </c>
      <c r="B597">
        <v>1889</v>
      </c>
      <c r="C597">
        <v>0</v>
      </c>
      <c r="D597" t="s">
        <v>23</v>
      </c>
      <c r="E597" t="s">
        <v>18</v>
      </c>
      <c r="F597">
        <v>0</v>
      </c>
      <c r="G597" s="10">
        <v>30</v>
      </c>
      <c r="H597">
        <v>6</v>
      </c>
      <c r="I597">
        <v>6</v>
      </c>
      <c r="J597" s="2" t="s">
        <v>20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>
        <v>247</v>
      </c>
      <c r="O597">
        <v>45</v>
      </c>
      <c r="P597" s="2">
        <v>0.19</v>
      </c>
      <c r="Q597" s="6">
        <v>40</v>
      </c>
      <c r="R597" s="10">
        <v>0</v>
      </c>
      <c r="S597" s="10">
        <v>0</v>
      </c>
      <c r="T597" s="10"/>
      <c r="U597" t="str">
        <f>"RUNNING_COST_"&amp;IF(PROPERTIES[[#This Row],[ENGINE_CLASS]]="MAGLEV","ELECTRIC",PROPERTIES[[#This Row],[ENGINE_CLASS]])</f>
        <v>RUNNING_COST_STEAM</v>
      </c>
      <c r="V597" s="10" t="s">
        <v>998</v>
      </c>
      <c r="W597" s="10" t="s">
        <v>999</v>
      </c>
      <c r="X597" s="10" t="str">
        <f>SUBSTITUTE(SUBSTITUTE(PROPERTIES[[#This Row],[PURCHASECOST_VALUE]], "PURCHASECOST_", ""), "_VALUE", "")</f>
        <v>STEAMENGINE</v>
      </c>
      <c r="AP597"/>
      <c r="AQ597"/>
      <c r="AR597"/>
    </row>
    <row r="598" spans="1:44">
      <c r="A598" s="2" t="s">
        <v>621</v>
      </c>
      <c r="B598">
        <v>1948</v>
      </c>
      <c r="C598">
        <v>0</v>
      </c>
      <c r="D598" t="s">
        <v>23</v>
      </c>
      <c r="E598" t="s">
        <v>18</v>
      </c>
      <c r="F598">
        <v>0</v>
      </c>
      <c r="G598" s="10">
        <v>102</v>
      </c>
      <c r="H598">
        <v>7</v>
      </c>
      <c r="I598">
        <v>7</v>
      </c>
      <c r="J598" s="2" t="s">
        <v>20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>
        <v>1300</v>
      </c>
      <c r="O598">
        <v>65</v>
      </c>
      <c r="P598" s="2">
        <v>0.21</v>
      </c>
      <c r="Q598" s="6">
        <v>40</v>
      </c>
      <c r="R598" s="10">
        <v>0</v>
      </c>
      <c r="S598" s="10">
        <v>0</v>
      </c>
      <c r="T598" s="10"/>
      <c r="U598" t="str">
        <f>"RUNNING_COST_"&amp;IF(PROPERTIES[[#This Row],[ENGINE_CLASS]]="MAGLEV","ELECTRIC",PROPERTIES[[#This Row],[ENGINE_CLASS]])</f>
        <v>RUNNING_COST_STEAM</v>
      </c>
      <c r="V598" s="10" t="s">
        <v>998</v>
      </c>
      <c r="W598" s="10" t="s">
        <v>999</v>
      </c>
      <c r="X598" s="10" t="str">
        <f>SUBSTITUTE(SUBSTITUTE(PROPERTIES[[#This Row],[PURCHASECOST_VALUE]], "PURCHASECOST_", ""), "_VALUE", "")</f>
        <v>STEAMENGINE</v>
      </c>
      <c r="AP598"/>
      <c r="AQ598"/>
      <c r="AR598"/>
    </row>
    <row r="599" spans="1:44">
      <c r="A599" s="2" t="s">
        <v>622</v>
      </c>
      <c r="B599">
        <v>1880</v>
      </c>
      <c r="C599">
        <v>0</v>
      </c>
      <c r="D599" t="s">
        <v>23</v>
      </c>
      <c r="E599" t="s">
        <v>20</v>
      </c>
      <c r="F599">
        <v>0</v>
      </c>
      <c r="G599" s="10">
        <v>31</v>
      </c>
      <c r="H599">
        <v>5</v>
      </c>
      <c r="I599">
        <v>6</v>
      </c>
      <c r="J599" s="2" t="s">
        <v>24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>
        <v>200</v>
      </c>
      <c r="O599">
        <v>36</v>
      </c>
      <c r="P599" s="2">
        <v>7.0000000000000007E-2</v>
      </c>
      <c r="Q599" s="6">
        <v>40</v>
      </c>
      <c r="R599" s="10">
        <v>0</v>
      </c>
      <c r="S599" s="10">
        <v>3</v>
      </c>
      <c r="T599" s="10"/>
      <c r="U599" t="str">
        <f>"RUNNING_COST_"&amp;IF(PROPERTIES[[#This Row],[ENGINE_CLASS]]="MAGLEV","ELECTRIC",PROPERTIES[[#This Row],[ENGINE_CLASS]])</f>
        <v>RUNNING_COST_STEAM</v>
      </c>
      <c r="V599" s="10" t="s">
        <v>998</v>
      </c>
      <c r="W599" s="10" t="s">
        <v>999</v>
      </c>
      <c r="X599" s="10" t="str">
        <f>SUBSTITUTE(SUBSTITUTE(PROPERTIES[[#This Row],[PURCHASECOST_VALUE]], "PURCHASECOST_", ""), "_VALUE", "")</f>
        <v>STEAMENGINE</v>
      </c>
      <c r="AP599"/>
      <c r="AQ599"/>
      <c r="AR599"/>
    </row>
    <row r="600" spans="1:44">
      <c r="A600" s="2" t="s">
        <v>623</v>
      </c>
      <c r="B600">
        <v>1893</v>
      </c>
      <c r="C600">
        <v>0</v>
      </c>
      <c r="D600" t="s">
        <v>23</v>
      </c>
      <c r="E600" t="s">
        <v>20</v>
      </c>
      <c r="F600">
        <v>0</v>
      </c>
      <c r="G600" s="10">
        <v>32</v>
      </c>
      <c r="H600">
        <v>5</v>
      </c>
      <c r="I600">
        <v>5</v>
      </c>
      <c r="J600" s="2" t="s">
        <v>24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>
        <v>186</v>
      </c>
      <c r="O600">
        <v>48</v>
      </c>
      <c r="P600" s="2">
        <v>0.15</v>
      </c>
      <c r="Q600" s="6">
        <v>40</v>
      </c>
      <c r="R600" s="10">
        <v>0</v>
      </c>
      <c r="S600" s="10">
        <v>0</v>
      </c>
      <c r="T600" s="10"/>
      <c r="U600" t="str">
        <f>"RUNNING_COST_"&amp;IF(PROPERTIES[[#This Row],[ENGINE_CLASS]]="MAGLEV","ELECTRIC",PROPERTIES[[#This Row],[ENGINE_CLASS]])</f>
        <v>RUNNING_COST_STEAM</v>
      </c>
      <c r="V600" s="10" t="s">
        <v>998</v>
      </c>
      <c r="W600" s="10" t="s">
        <v>999</v>
      </c>
      <c r="X600" s="10" t="str">
        <f>SUBSTITUTE(SUBSTITUTE(PROPERTIES[[#This Row],[PURCHASECOST_VALUE]], "PURCHASECOST_", ""), "_VALUE", "")</f>
        <v>STEAMENGINE</v>
      </c>
      <c r="AP600"/>
      <c r="AQ600"/>
      <c r="AR600"/>
    </row>
    <row r="601" spans="1:44">
      <c r="A601" s="2" t="s">
        <v>624</v>
      </c>
      <c r="B601">
        <v>1913</v>
      </c>
      <c r="C601">
        <v>0</v>
      </c>
      <c r="D601" t="s">
        <v>23</v>
      </c>
      <c r="E601" t="s">
        <v>20</v>
      </c>
      <c r="F601">
        <v>0</v>
      </c>
      <c r="G601" s="10">
        <v>95</v>
      </c>
      <c r="H601">
        <v>7</v>
      </c>
      <c r="I601">
        <v>8</v>
      </c>
      <c r="J601" s="2" t="s">
        <v>24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>
        <v>870</v>
      </c>
      <c r="O601">
        <v>65</v>
      </c>
      <c r="P601" s="2">
        <v>0.15</v>
      </c>
      <c r="Q601" s="6">
        <v>40</v>
      </c>
      <c r="R601" s="10">
        <v>0</v>
      </c>
      <c r="S601" s="10">
        <v>4</v>
      </c>
      <c r="T601" s="10"/>
      <c r="U601" t="str">
        <f>"RUNNING_COST_"&amp;IF(PROPERTIES[[#This Row],[ENGINE_CLASS]]="MAGLEV","ELECTRIC",PROPERTIES[[#This Row],[ENGINE_CLASS]])</f>
        <v>RUNNING_COST_STEAM</v>
      </c>
      <c r="V601" s="10" t="s">
        <v>998</v>
      </c>
      <c r="W601" s="10" t="s">
        <v>999</v>
      </c>
      <c r="X601" s="10" t="str">
        <f>SUBSTITUTE(SUBSTITUTE(PROPERTIES[[#This Row],[PURCHASECOST_VALUE]], "PURCHASECOST_", ""), "_VALUE", "")</f>
        <v>STEAMENGINE</v>
      </c>
      <c r="AP601"/>
      <c r="AQ601"/>
      <c r="AR601"/>
    </row>
    <row r="602" spans="1:44">
      <c r="A602" s="2" t="s">
        <v>625</v>
      </c>
      <c r="B602">
        <v>1923</v>
      </c>
      <c r="C602">
        <v>0</v>
      </c>
      <c r="D602" t="s">
        <v>23</v>
      </c>
      <c r="E602" t="s">
        <v>20</v>
      </c>
      <c r="F602">
        <v>0</v>
      </c>
      <c r="G602" s="10">
        <v>122</v>
      </c>
      <c r="H602">
        <v>6</v>
      </c>
      <c r="I602">
        <v>8</v>
      </c>
      <c r="J602" s="2" t="s">
        <v>20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>
        <v>1520</v>
      </c>
      <c r="O602">
        <v>70</v>
      </c>
      <c r="P602" s="2">
        <v>0.16</v>
      </c>
      <c r="Q602" s="6">
        <v>40</v>
      </c>
      <c r="R602" s="10">
        <v>0</v>
      </c>
      <c r="S602" s="10">
        <v>4</v>
      </c>
      <c r="T602" s="10"/>
      <c r="U602" t="str">
        <f>"RUNNING_COST_"&amp;IF(PROPERTIES[[#This Row],[ENGINE_CLASS]]="MAGLEV","ELECTRIC",PROPERTIES[[#This Row],[ENGINE_CLASS]])</f>
        <v>RUNNING_COST_STEAM</v>
      </c>
      <c r="V602" s="10" t="s">
        <v>998</v>
      </c>
      <c r="W602" s="10" t="s">
        <v>999</v>
      </c>
      <c r="X602" s="10" t="str">
        <f>SUBSTITUTE(SUBSTITUTE(PROPERTIES[[#This Row],[PURCHASECOST_VALUE]], "PURCHASECOST_", ""), "_VALUE", "")</f>
        <v>STEAMENGINE</v>
      </c>
      <c r="AP602"/>
      <c r="AQ602"/>
      <c r="AR602"/>
    </row>
    <row r="603" spans="1:44">
      <c r="A603" s="2" t="s">
        <v>626</v>
      </c>
      <c r="B603">
        <v>1957</v>
      </c>
      <c r="C603">
        <v>0</v>
      </c>
      <c r="D603" t="s">
        <v>35</v>
      </c>
      <c r="E603" t="s">
        <v>20</v>
      </c>
      <c r="F603">
        <v>0</v>
      </c>
      <c r="G603" s="10">
        <v>85</v>
      </c>
      <c r="H603">
        <v>7</v>
      </c>
      <c r="I603">
        <v>7</v>
      </c>
      <c r="J603" s="2" t="s">
        <v>20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>
        <v>1060</v>
      </c>
      <c r="O603">
        <v>90</v>
      </c>
      <c r="P603" s="2">
        <v>0.28999999999999998</v>
      </c>
      <c r="Q603" s="6">
        <v>40</v>
      </c>
      <c r="R603" s="10">
        <v>0</v>
      </c>
      <c r="S603" s="10">
        <v>0</v>
      </c>
      <c r="T603" s="10"/>
      <c r="U603" t="str">
        <f>"RUNNING_COST_"&amp;IF(PROPERTIES[[#This Row],[ENGINE_CLASS]]="MAGLEV","ELECTRIC",PROPERTIES[[#This Row],[ENGINE_CLASS]])</f>
        <v>RUNNING_COST_DIESEL</v>
      </c>
      <c r="V603" s="10" t="s">
        <v>1000</v>
      </c>
      <c r="W603" s="10" t="s">
        <v>1001</v>
      </c>
      <c r="X603" s="10" t="str">
        <f>SUBSTITUTE(SUBSTITUTE(PROPERTIES[[#This Row],[PURCHASECOST_VALUE]], "PURCHASECOST_", ""), "_VALUE", "")</f>
        <v>DIESELENGINE</v>
      </c>
      <c r="AP603"/>
      <c r="AQ603"/>
      <c r="AR603"/>
    </row>
    <row r="604" spans="1:44">
      <c r="A604" s="2" t="s">
        <v>627</v>
      </c>
      <c r="B604">
        <v>1909</v>
      </c>
      <c r="C604">
        <v>0</v>
      </c>
      <c r="D604" t="s">
        <v>74</v>
      </c>
      <c r="E604" t="s">
        <v>20</v>
      </c>
      <c r="F604">
        <v>0</v>
      </c>
      <c r="G604" s="10">
        <v>16</v>
      </c>
      <c r="H604">
        <v>5</v>
      </c>
      <c r="I604">
        <v>5</v>
      </c>
      <c r="J604" s="2" t="s">
        <v>20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>
        <v>200</v>
      </c>
      <c r="O604">
        <v>45</v>
      </c>
      <c r="P604" s="2">
        <v>0.3</v>
      </c>
      <c r="Q604" s="6">
        <v>40</v>
      </c>
      <c r="R604" s="10">
        <v>0</v>
      </c>
      <c r="S604" s="10">
        <v>0</v>
      </c>
      <c r="T604" s="10"/>
      <c r="U604" t="str">
        <f>"RUNNING_COST_"&amp;IF(PROPERTIES[[#This Row],[ENGINE_CLASS]]="MAGLEV","ELECTRIC",PROPERTIES[[#This Row],[ENGINE_CLASS]])</f>
        <v>RUNNING_COST_ELECTRIC</v>
      </c>
      <c r="V604" s="10" t="s">
        <v>1004</v>
      </c>
      <c r="W604" s="10" t="s">
        <v>1005</v>
      </c>
      <c r="X604" s="10" t="str">
        <f>SUBSTITUTE(SUBSTITUTE(PROPERTIES[[#This Row],[PURCHASECOST_VALUE]], "PURCHASECOST_", ""), "_VALUE", "")</f>
        <v>ELECTRICENGINE</v>
      </c>
      <c r="AP604"/>
      <c r="AQ604"/>
      <c r="AR604"/>
    </row>
    <row r="605" spans="1:44">
      <c r="A605" s="2" t="s">
        <v>628</v>
      </c>
      <c r="B605">
        <v>1954</v>
      </c>
      <c r="C605">
        <v>0</v>
      </c>
      <c r="D605" t="s">
        <v>74</v>
      </c>
      <c r="E605" t="s">
        <v>20</v>
      </c>
      <c r="F605">
        <v>0</v>
      </c>
      <c r="G605" s="10">
        <v>116</v>
      </c>
      <c r="H605">
        <v>7</v>
      </c>
      <c r="I605">
        <v>14</v>
      </c>
      <c r="J605" s="2" t="s">
        <v>20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>
        <v>3390</v>
      </c>
      <c r="O605">
        <v>110</v>
      </c>
      <c r="P605" s="2">
        <v>0.16</v>
      </c>
      <c r="Q605" s="6">
        <v>40</v>
      </c>
      <c r="R605" s="10">
        <v>0</v>
      </c>
      <c r="S605" s="10">
        <v>7</v>
      </c>
      <c r="T605" s="10"/>
      <c r="U605" t="str">
        <f>"RUNNING_COST_"&amp;IF(PROPERTIES[[#This Row],[ENGINE_CLASS]]="MAGLEV","ELECTRIC",PROPERTIES[[#This Row],[ENGINE_CLASS]])</f>
        <v>RUNNING_COST_ELECTRIC</v>
      </c>
      <c r="V605" s="10" t="s">
        <v>1004</v>
      </c>
      <c r="W605" s="10" t="s">
        <v>1005</v>
      </c>
      <c r="X605" s="10" t="str">
        <f>SUBSTITUTE(SUBSTITUTE(PROPERTIES[[#This Row],[PURCHASECOST_VALUE]], "PURCHASECOST_", ""), "_VALUE", "")</f>
        <v>ELECTRICENGINE</v>
      </c>
      <c r="AP605"/>
      <c r="AQ605"/>
      <c r="AR605"/>
    </row>
    <row r="606" spans="1:44">
      <c r="A606" s="2" t="s">
        <v>629</v>
      </c>
      <c r="B606">
        <v>1964</v>
      </c>
      <c r="C606">
        <v>0</v>
      </c>
      <c r="D606" t="s">
        <v>74</v>
      </c>
      <c r="E606" t="s">
        <v>20</v>
      </c>
      <c r="F606">
        <v>0</v>
      </c>
      <c r="G606" s="10">
        <v>96</v>
      </c>
      <c r="H606">
        <v>8</v>
      </c>
      <c r="I606">
        <v>8</v>
      </c>
      <c r="J606" s="2" t="s">
        <v>20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>
        <v>3420</v>
      </c>
      <c r="O606">
        <v>100</v>
      </c>
      <c r="P606" s="2">
        <v>0.3</v>
      </c>
      <c r="Q606" s="6">
        <v>40</v>
      </c>
      <c r="R606" s="10">
        <v>0</v>
      </c>
      <c r="S606" s="10">
        <v>0</v>
      </c>
      <c r="T606" s="10"/>
      <c r="U606" t="str">
        <f>"RUNNING_COST_"&amp;IF(PROPERTIES[[#This Row],[ENGINE_CLASS]]="MAGLEV","ELECTRIC",PROPERTIES[[#This Row],[ENGINE_CLASS]])</f>
        <v>RUNNING_COST_ELECTRIC</v>
      </c>
      <c r="V606" s="10" t="s">
        <v>1004</v>
      </c>
      <c r="W606" s="10" t="s">
        <v>1005</v>
      </c>
      <c r="X606" s="10" t="str">
        <f>SUBSTITUTE(SUBSTITUTE(PROPERTIES[[#This Row],[PURCHASECOST_VALUE]], "PURCHASECOST_", ""), "_VALUE", "")</f>
        <v>ELECTRICENGINE</v>
      </c>
      <c r="AP606"/>
      <c r="AQ606"/>
      <c r="AR606"/>
    </row>
    <row r="607" spans="1:44">
      <c r="A607" s="2" t="s">
        <v>630</v>
      </c>
      <c r="B607">
        <v>1923</v>
      </c>
      <c r="C607">
        <v>0</v>
      </c>
      <c r="D607" t="s">
        <v>74</v>
      </c>
      <c r="E607" t="s">
        <v>20</v>
      </c>
      <c r="F607">
        <v>0</v>
      </c>
      <c r="G607" s="10">
        <v>50</v>
      </c>
      <c r="H607">
        <v>7</v>
      </c>
      <c r="I607">
        <v>7</v>
      </c>
      <c r="J607" s="2" t="s">
        <v>20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>
        <v>680</v>
      </c>
      <c r="O607">
        <v>64</v>
      </c>
      <c r="P607" s="2">
        <v>0.13</v>
      </c>
      <c r="Q607" s="6">
        <v>40</v>
      </c>
      <c r="R607" s="10">
        <v>0</v>
      </c>
      <c r="S607" s="10">
        <v>0</v>
      </c>
      <c r="T607" s="10"/>
      <c r="U607" t="str">
        <f>"RUNNING_COST_"&amp;IF(PROPERTIES[[#This Row],[ENGINE_CLASS]]="MAGLEV","ELECTRIC",PROPERTIES[[#This Row],[ENGINE_CLASS]])</f>
        <v>RUNNING_COST_ELECTRIC</v>
      </c>
      <c r="V607" s="10" t="s">
        <v>1004</v>
      </c>
      <c r="W607" s="10" t="s">
        <v>1005</v>
      </c>
      <c r="X607" s="10" t="str">
        <f>SUBSTITUTE(SUBSTITUTE(PROPERTIES[[#This Row],[PURCHASECOST_VALUE]], "PURCHASECOST_", ""), "_VALUE", "")</f>
        <v>ELECTRICENGINE</v>
      </c>
      <c r="AP607"/>
      <c r="AQ607"/>
      <c r="AR607"/>
    </row>
    <row r="608" spans="1:44">
      <c r="A608" s="2" t="s">
        <v>631</v>
      </c>
      <c r="B608">
        <v>1952</v>
      </c>
      <c r="C608">
        <v>0</v>
      </c>
      <c r="D608" t="s">
        <v>74</v>
      </c>
      <c r="E608" t="s">
        <v>20</v>
      </c>
      <c r="F608">
        <v>0</v>
      </c>
      <c r="G608" s="10">
        <v>110</v>
      </c>
      <c r="H608">
        <v>7</v>
      </c>
      <c r="I608">
        <v>7</v>
      </c>
      <c r="J608" s="2" t="s">
        <v>20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>
        <v>2700</v>
      </c>
      <c r="O608">
        <v>113</v>
      </c>
      <c r="P608" s="2">
        <v>0.11</v>
      </c>
      <c r="Q608" s="6">
        <v>40</v>
      </c>
      <c r="R608" s="10">
        <v>0</v>
      </c>
      <c r="S608" s="10">
        <v>0</v>
      </c>
      <c r="T608" s="10"/>
      <c r="U608" t="str">
        <f>"RUNNING_COST_"&amp;IF(PROPERTIES[[#This Row],[ENGINE_CLASS]]="MAGLEV","ELECTRIC",PROPERTIES[[#This Row],[ENGINE_CLASS]])</f>
        <v>RUNNING_COST_ELECTRIC</v>
      </c>
      <c r="V608" s="10" t="s">
        <v>1004</v>
      </c>
      <c r="W608" s="10" t="s">
        <v>1005</v>
      </c>
      <c r="X608" s="10" t="str">
        <f>SUBSTITUTE(SUBSTITUTE(PROPERTIES[[#This Row],[PURCHASECOST_VALUE]], "PURCHASECOST_", ""), "_VALUE", "")</f>
        <v>ELECTRICENGINE</v>
      </c>
      <c r="AP608"/>
      <c r="AQ608"/>
      <c r="AR608"/>
    </row>
    <row r="609" spans="1:44">
      <c r="A609" s="2" t="s">
        <v>632</v>
      </c>
      <c r="B609">
        <v>1952</v>
      </c>
      <c r="C609">
        <v>0</v>
      </c>
      <c r="D609" t="s">
        <v>74</v>
      </c>
      <c r="E609" t="s">
        <v>20</v>
      </c>
      <c r="F609">
        <v>0</v>
      </c>
      <c r="G609" s="10">
        <v>155</v>
      </c>
      <c r="H609">
        <v>8</v>
      </c>
      <c r="I609">
        <v>8</v>
      </c>
      <c r="J609" s="2" t="s">
        <v>20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>
        <v>2520</v>
      </c>
      <c r="O609">
        <v>97</v>
      </c>
      <c r="P609" s="2">
        <v>0.09</v>
      </c>
      <c r="Q609" s="6">
        <v>40</v>
      </c>
      <c r="R609" s="10">
        <v>0</v>
      </c>
      <c r="S609" s="10">
        <v>0</v>
      </c>
      <c r="T609" s="10"/>
      <c r="U609" t="str">
        <f>"RUNNING_COST_"&amp;IF(PROPERTIES[[#This Row],[ENGINE_CLASS]]="MAGLEV","ELECTRIC",PROPERTIES[[#This Row],[ENGINE_CLASS]])</f>
        <v>RUNNING_COST_ELECTRIC</v>
      </c>
      <c r="V609" s="10" t="s">
        <v>1004</v>
      </c>
      <c r="W609" s="10" t="s">
        <v>1005</v>
      </c>
      <c r="X609" s="10" t="str">
        <f>SUBSTITUTE(SUBSTITUTE(PROPERTIES[[#This Row],[PURCHASECOST_VALUE]], "PURCHASECOST_", ""), "_VALUE", "")</f>
        <v>ELECTRICENGINE</v>
      </c>
      <c r="AP609"/>
      <c r="AQ609"/>
      <c r="AR609"/>
    </row>
    <row r="610" spans="1:44">
      <c r="A610" s="2" t="s">
        <v>633</v>
      </c>
      <c r="B610">
        <v>1965</v>
      </c>
      <c r="C610">
        <v>0</v>
      </c>
      <c r="D610" t="s">
        <v>74</v>
      </c>
      <c r="E610" t="s">
        <v>20</v>
      </c>
      <c r="F610">
        <v>0</v>
      </c>
      <c r="G610" s="10">
        <v>86</v>
      </c>
      <c r="H610">
        <v>7</v>
      </c>
      <c r="I610">
        <v>7</v>
      </c>
      <c r="J610" s="2" t="s">
        <v>20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>
        <v>1456</v>
      </c>
      <c r="O610">
        <v>97</v>
      </c>
      <c r="P610" s="2">
        <v>0.28999999999999998</v>
      </c>
      <c r="Q610" s="6">
        <v>40</v>
      </c>
      <c r="R610" s="10">
        <v>0</v>
      </c>
      <c r="S610" s="10">
        <v>0</v>
      </c>
      <c r="T610" s="10"/>
      <c r="U610" t="str">
        <f>"RUNNING_COST_"&amp;IF(PROPERTIES[[#This Row],[ENGINE_CLASS]]="MAGLEV","ELECTRIC",PROPERTIES[[#This Row],[ENGINE_CLASS]])</f>
        <v>RUNNING_COST_ELECTRIC</v>
      </c>
      <c r="V610" s="10" t="s">
        <v>1004</v>
      </c>
      <c r="W610" s="10" t="s">
        <v>1005</v>
      </c>
      <c r="X610" s="10" t="str">
        <f>SUBSTITUTE(SUBSTITUTE(PROPERTIES[[#This Row],[PURCHASECOST_VALUE]], "PURCHASECOST_", ""), "_VALUE", "")</f>
        <v>ELECTRICENGINE</v>
      </c>
      <c r="AP610"/>
      <c r="AQ610"/>
      <c r="AR610"/>
    </row>
    <row r="611" spans="1:44">
      <c r="A611" s="2" t="s">
        <v>634</v>
      </c>
      <c r="B611">
        <v>1970</v>
      </c>
      <c r="C611">
        <v>0</v>
      </c>
      <c r="D611" t="s">
        <v>74</v>
      </c>
      <c r="E611" t="s">
        <v>20</v>
      </c>
      <c r="F611">
        <v>0</v>
      </c>
      <c r="G611" s="10">
        <v>89</v>
      </c>
      <c r="H611">
        <v>8</v>
      </c>
      <c r="I611">
        <v>8</v>
      </c>
      <c r="J611" s="2" t="s">
        <v>20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>
        <v>3300</v>
      </c>
      <c r="O611">
        <v>115</v>
      </c>
      <c r="P611" s="2">
        <v>0.36</v>
      </c>
      <c r="Q611" s="6">
        <v>40</v>
      </c>
      <c r="R611" s="10">
        <v>0</v>
      </c>
      <c r="S611" s="10">
        <v>0</v>
      </c>
      <c r="T611" s="10"/>
      <c r="U611" t="str">
        <f>"RUNNING_COST_"&amp;IF(PROPERTIES[[#This Row],[ENGINE_CLASS]]="MAGLEV","ELECTRIC",PROPERTIES[[#This Row],[ENGINE_CLASS]])</f>
        <v>RUNNING_COST_ELECTRIC</v>
      </c>
      <c r="V611" s="10" t="s">
        <v>1004</v>
      </c>
      <c r="W611" s="10" t="s">
        <v>1005</v>
      </c>
      <c r="X611" s="10" t="str">
        <f>SUBSTITUTE(SUBSTITUTE(PROPERTIES[[#This Row],[PURCHASECOST_VALUE]], "PURCHASECOST_", ""), "_VALUE", "")</f>
        <v>ELECTRICENGINE</v>
      </c>
      <c r="AP611"/>
      <c r="AQ611"/>
      <c r="AR611"/>
    </row>
    <row r="612" spans="1:44">
      <c r="A612" s="2" t="s">
        <v>635</v>
      </c>
      <c r="B612">
        <v>1947</v>
      </c>
      <c r="C612">
        <v>0</v>
      </c>
      <c r="D612" t="s">
        <v>74</v>
      </c>
      <c r="E612" t="s">
        <v>20</v>
      </c>
      <c r="F612">
        <v>0</v>
      </c>
      <c r="G612" s="10">
        <v>47</v>
      </c>
      <c r="H612">
        <v>8</v>
      </c>
      <c r="I612">
        <v>8</v>
      </c>
      <c r="J612" s="2" t="s">
        <v>20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>
        <v>1590</v>
      </c>
      <c r="O612">
        <v>80</v>
      </c>
      <c r="P612" s="2">
        <v>0.3</v>
      </c>
      <c r="Q612" s="6">
        <v>40</v>
      </c>
      <c r="R612" s="10">
        <v>0</v>
      </c>
      <c r="S612" s="10">
        <v>0</v>
      </c>
      <c r="T612" s="10"/>
      <c r="U612" t="str">
        <f>"RUNNING_COST_"&amp;IF(PROPERTIES[[#This Row],[ENGINE_CLASS]]="MAGLEV","ELECTRIC",PROPERTIES[[#This Row],[ENGINE_CLASS]])</f>
        <v>RUNNING_COST_ELECTRIC</v>
      </c>
      <c r="V612" s="10" t="s">
        <v>1004</v>
      </c>
      <c r="W612" s="10" t="s">
        <v>1005</v>
      </c>
      <c r="X612" s="10" t="str">
        <f>SUBSTITUTE(SUBSTITUTE(PROPERTIES[[#This Row],[PURCHASECOST_VALUE]], "PURCHASECOST_", ""), "_VALUE", "")</f>
        <v>ELECTRICENGINE</v>
      </c>
      <c r="AP612"/>
      <c r="AQ612"/>
      <c r="AR612"/>
    </row>
    <row r="613" spans="1:44">
      <c r="A613" s="2" t="s">
        <v>636</v>
      </c>
      <c r="B613">
        <v>1921</v>
      </c>
      <c r="C613">
        <v>0</v>
      </c>
      <c r="D613" t="s">
        <v>74</v>
      </c>
      <c r="E613" t="s">
        <v>20</v>
      </c>
      <c r="F613">
        <v>0</v>
      </c>
      <c r="G613" s="10">
        <v>66</v>
      </c>
      <c r="H613">
        <v>8</v>
      </c>
      <c r="I613">
        <v>8</v>
      </c>
      <c r="J613" s="2" t="s">
        <v>20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>
        <v>1260</v>
      </c>
      <c r="O613">
        <v>55</v>
      </c>
      <c r="P613" s="2">
        <v>0.26</v>
      </c>
      <c r="Q613" s="6">
        <v>40</v>
      </c>
      <c r="R613" s="10">
        <v>0</v>
      </c>
      <c r="S613" s="10">
        <v>0</v>
      </c>
      <c r="T613" s="10"/>
      <c r="U613" t="str">
        <f>"RUNNING_COST_"&amp;IF(PROPERTIES[[#This Row],[ENGINE_CLASS]]="MAGLEV","ELECTRIC",PROPERTIES[[#This Row],[ENGINE_CLASS]])</f>
        <v>RUNNING_COST_ELECTRIC</v>
      </c>
      <c r="V613" s="10" t="s">
        <v>1004</v>
      </c>
      <c r="W613" s="10" t="s">
        <v>1005</v>
      </c>
      <c r="X613" s="10" t="str">
        <f>SUBSTITUTE(SUBSTITUTE(PROPERTIES[[#This Row],[PURCHASECOST_VALUE]], "PURCHASECOST_", ""), "_VALUE", "")</f>
        <v>ELECTRICENGINE</v>
      </c>
      <c r="AP613"/>
      <c r="AQ613"/>
      <c r="AR613"/>
    </row>
    <row r="614" spans="1:44">
      <c r="A614" s="2" t="s">
        <v>637</v>
      </c>
      <c r="B614">
        <v>2012</v>
      </c>
      <c r="C614">
        <v>0</v>
      </c>
      <c r="D614" t="s">
        <v>74</v>
      </c>
      <c r="E614" t="s">
        <v>20</v>
      </c>
      <c r="F614">
        <v>0</v>
      </c>
      <c r="G614" s="10">
        <v>121</v>
      </c>
      <c r="H614">
        <v>7</v>
      </c>
      <c r="I614">
        <v>7</v>
      </c>
      <c r="J614" s="2" t="s">
        <v>24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>
        <v>6710</v>
      </c>
      <c r="O614">
        <v>60</v>
      </c>
      <c r="P614" s="2">
        <v>0.63</v>
      </c>
      <c r="Q614" s="6">
        <v>40</v>
      </c>
      <c r="R614" s="10">
        <v>0</v>
      </c>
      <c r="S614" s="10">
        <v>0</v>
      </c>
      <c r="T614" s="10"/>
      <c r="U614" t="str">
        <f>"RUNNING_COST_"&amp;IF(PROPERTIES[[#This Row],[ENGINE_CLASS]]="MAGLEV","ELECTRIC",PROPERTIES[[#This Row],[ENGINE_CLASS]])</f>
        <v>RUNNING_COST_ELECTRIC</v>
      </c>
      <c r="V614" s="10" t="s">
        <v>1004</v>
      </c>
      <c r="W614" s="10" t="s">
        <v>1005</v>
      </c>
      <c r="X614" s="10" t="str">
        <f>SUBSTITUTE(SUBSTITUTE(PROPERTIES[[#This Row],[PURCHASECOST_VALUE]], "PURCHASECOST_", ""), "_VALUE", "")</f>
        <v>ELECTRICENGINE</v>
      </c>
      <c r="AP614"/>
      <c r="AQ614"/>
      <c r="AR614"/>
    </row>
    <row r="615" spans="1:44">
      <c r="A615" s="2" t="s">
        <v>638</v>
      </c>
      <c r="B615">
        <v>1978</v>
      </c>
      <c r="C615">
        <v>0</v>
      </c>
      <c r="D615" t="s">
        <v>74</v>
      </c>
      <c r="E615" t="s">
        <v>20</v>
      </c>
      <c r="F615">
        <v>0</v>
      </c>
      <c r="G615" s="10">
        <v>124</v>
      </c>
      <c r="H615">
        <v>7</v>
      </c>
      <c r="I615">
        <v>7</v>
      </c>
      <c r="J615" s="2" t="s">
        <v>24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>
        <v>4000</v>
      </c>
      <c r="O615">
        <v>100</v>
      </c>
      <c r="P615" s="2">
        <v>0.24</v>
      </c>
      <c r="Q615" s="6">
        <v>40</v>
      </c>
      <c r="R615" s="10">
        <v>0</v>
      </c>
      <c r="S615" s="10">
        <v>0</v>
      </c>
      <c r="T615" s="10"/>
      <c r="U615" t="str">
        <f>"RUNNING_COST_"&amp;IF(PROPERTIES[[#This Row],[ENGINE_CLASS]]="MAGLEV","ELECTRIC",PROPERTIES[[#This Row],[ENGINE_CLASS]])</f>
        <v>RUNNING_COST_ELECTRIC</v>
      </c>
      <c r="V615" s="10" t="s">
        <v>1004</v>
      </c>
      <c r="W615" s="10" t="s">
        <v>1005</v>
      </c>
      <c r="X615" s="10" t="str">
        <f>SUBSTITUTE(SUBSTITUTE(PROPERTIES[[#This Row],[PURCHASECOST_VALUE]], "PURCHASECOST_", ""), "_VALUE", "")</f>
        <v>ELECTRICENGINE</v>
      </c>
      <c r="AP615"/>
      <c r="AQ615"/>
      <c r="AR615"/>
    </row>
    <row r="616" spans="1:44">
      <c r="A616" s="2" t="s">
        <v>639</v>
      </c>
      <c r="B616">
        <v>1985</v>
      </c>
      <c r="C616">
        <v>0</v>
      </c>
      <c r="D616" t="s">
        <v>74</v>
      </c>
      <c r="E616" t="s">
        <v>20</v>
      </c>
      <c r="F616">
        <v>0</v>
      </c>
      <c r="G616" s="10">
        <v>172</v>
      </c>
      <c r="H616">
        <v>8</v>
      </c>
      <c r="I616">
        <v>8</v>
      </c>
      <c r="J616" s="2" t="s">
        <v>24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>
        <v>5200</v>
      </c>
      <c r="O616">
        <v>90</v>
      </c>
      <c r="P616" s="2">
        <v>0.23</v>
      </c>
      <c r="Q616" s="6">
        <v>40</v>
      </c>
      <c r="R616" s="10">
        <v>0</v>
      </c>
      <c r="S616" s="10">
        <v>0</v>
      </c>
      <c r="T616" s="10"/>
      <c r="U616" t="str">
        <f>"RUNNING_COST_"&amp;IF(PROPERTIES[[#This Row],[ENGINE_CLASS]]="MAGLEV","ELECTRIC",PROPERTIES[[#This Row],[ENGINE_CLASS]])</f>
        <v>RUNNING_COST_ELECTRIC</v>
      </c>
      <c r="V616" s="10" t="s">
        <v>1004</v>
      </c>
      <c r="W616" s="10" t="s">
        <v>1005</v>
      </c>
      <c r="X616" s="10" t="str">
        <f>SUBSTITUTE(SUBSTITUTE(PROPERTIES[[#This Row],[PURCHASECOST_VALUE]], "PURCHASECOST_", ""), "_VALUE", "")</f>
        <v>ELECTRICENGINE</v>
      </c>
      <c r="AP616"/>
      <c r="AQ616"/>
      <c r="AR616"/>
    </row>
    <row r="617" spans="1:44">
      <c r="A617" s="2" t="s">
        <v>640</v>
      </c>
      <c r="B617">
        <v>1986</v>
      </c>
      <c r="C617">
        <v>0</v>
      </c>
      <c r="D617" t="s">
        <v>74</v>
      </c>
      <c r="E617" t="s">
        <v>20</v>
      </c>
      <c r="F617">
        <v>0</v>
      </c>
      <c r="G617" s="10">
        <v>107</v>
      </c>
      <c r="H617">
        <v>8</v>
      </c>
      <c r="I617">
        <v>8</v>
      </c>
      <c r="J617" s="2" t="s">
        <v>20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>
        <v>4000</v>
      </c>
      <c r="O617">
        <v>105</v>
      </c>
      <c r="P617" s="2">
        <v>0.21</v>
      </c>
      <c r="Q617" s="6">
        <v>40</v>
      </c>
      <c r="R617" s="10">
        <v>0</v>
      </c>
      <c r="S617" s="10">
        <v>0</v>
      </c>
      <c r="T617" s="10"/>
      <c r="U617" t="str">
        <f>"RUNNING_COST_"&amp;IF(PROPERTIES[[#This Row],[ENGINE_CLASS]]="MAGLEV","ELECTRIC",PROPERTIES[[#This Row],[ENGINE_CLASS]])</f>
        <v>RUNNING_COST_ELECTRIC</v>
      </c>
      <c r="V617" s="10" t="s">
        <v>1004</v>
      </c>
      <c r="W617" s="10" t="s">
        <v>1005</v>
      </c>
      <c r="X617" s="10" t="str">
        <f>SUBSTITUTE(SUBSTITUTE(PROPERTIES[[#This Row],[PURCHASECOST_VALUE]], "PURCHASECOST_", ""), "_VALUE", "")</f>
        <v>ELECTRICENGINE</v>
      </c>
      <c r="AP617"/>
      <c r="AQ617"/>
      <c r="AR617"/>
    </row>
    <row r="618" spans="1:44">
      <c r="A618" s="2" t="s">
        <v>641</v>
      </c>
      <c r="B618">
        <v>1962</v>
      </c>
      <c r="C618">
        <v>1</v>
      </c>
      <c r="D618" t="s">
        <v>74</v>
      </c>
      <c r="E618" t="s">
        <v>18</v>
      </c>
      <c r="F618">
        <v>40</v>
      </c>
      <c r="G618" s="10">
        <v>47</v>
      </c>
      <c r="H618">
        <v>8</v>
      </c>
      <c r="I618">
        <v>8</v>
      </c>
      <c r="J618" s="2" t="s">
        <v>24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>
        <v>230</v>
      </c>
      <c r="O618">
        <v>110</v>
      </c>
      <c r="P618" s="2">
        <v>0.27</v>
      </c>
      <c r="Q618" s="6">
        <v>25</v>
      </c>
      <c r="R618" s="10">
        <v>40</v>
      </c>
      <c r="S618" s="10">
        <v>8</v>
      </c>
      <c r="T618" s="10"/>
      <c r="U618" t="str">
        <f>"RUNNING_COST_"&amp;IF(PROPERTIES[[#This Row],[ENGINE_CLASS]]="MAGLEV","ELECTRIC",PROPERTIES[[#This Row],[ENGINE_CLASS]])</f>
        <v>RUNNING_COST_ELECTRIC</v>
      </c>
      <c r="V618" s="10" t="s">
        <v>1008</v>
      </c>
      <c r="W618" s="10" t="s">
        <v>1009</v>
      </c>
      <c r="X618" s="10" t="str">
        <f>SUBSTITUTE(SUBSTITUTE(PROPERTIES[[#This Row],[PURCHASECOST_VALUE]], "PURCHASECOST_", ""), "_VALUE", "")</f>
        <v>EMU</v>
      </c>
      <c r="AP618"/>
      <c r="AQ618"/>
      <c r="AR618"/>
    </row>
    <row r="619" spans="1:44">
      <c r="A619" s="2" t="s">
        <v>642</v>
      </c>
      <c r="B619">
        <v>1986</v>
      </c>
      <c r="C619">
        <v>1</v>
      </c>
      <c r="D619" t="s">
        <v>74</v>
      </c>
      <c r="E619" t="s">
        <v>18</v>
      </c>
      <c r="F619">
        <v>40</v>
      </c>
      <c r="G619" s="10">
        <v>35</v>
      </c>
      <c r="H619">
        <v>8</v>
      </c>
      <c r="I619">
        <v>8</v>
      </c>
      <c r="J619" s="2" t="s">
        <v>24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>
        <v>1550</v>
      </c>
      <c r="O619">
        <v>110</v>
      </c>
      <c r="P619" s="2">
        <v>0.22</v>
      </c>
      <c r="Q619" s="6">
        <v>25</v>
      </c>
      <c r="R619" s="10">
        <v>40</v>
      </c>
      <c r="S619" s="10">
        <v>8</v>
      </c>
      <c r="T619" s="10"/>
      <c r="U619" t="str">
        <f>"RUNNING_COST_"&amp;IF(PROPERTIES[[#This Row],[ENGINE_CLASS]]="MAGLEV","ELECTRIC",PROPERTIES[[#This Row],[ENGINE_CLASS]])</f>
        <v>RUNNING_COST_ELECTRIC</v>
      </c>
      <c r="V619" s="10" t="s">
        <v>1008</v>
      </c>
      <c r="W619" s="10" t="s">
        <v>1009</v>
      </c>
      <c r="X619" s="10" t="str">
        <f>SUBSTITUTE(SUBSTITUTE(PROPERTIES[[#This Row],[PURCHASECOST_VALUE]], "PURCHASECOST_", ""), "_VALUE", "")</f>
        <v>EMU</v>
      </c>
      <c r="AP619"/>
      <c r="AQ619"/>
      <c r="AR619"/>
    </row>
    <row r="620" spans="1:44">
      <c r="A620" s="2" t="s">
        <v>643</v>
      </c>
      <c r="B620">
        <v>1972</v>
      </c>
      <c r="C620">
        <v>1</v>
      </c>
      <c r="D620" t="s">
        <v>74</v>
      </c>
      <c r="E620" t="s">
        <v>18</v>
      </c>
      <c r="F620">
        <v>112</v>
      </c>
      <c r="G620" s="10">
        <v>68</v>
      </c>
      <c r="H620">
        <v>8</v>
      </c>
      <c r="I620">
        <v>8</v>
      </c>
      <c r="J620" s="2" t="s">
        <v>24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>
        <v>800</v>
      </c>
      <c r="O620">
        <v>115</v>
      </c>
      <c r="P620" s="2">
        <v>0.31</v>
      </c>
      <c r="Q620" s="6">
        <v>25</v>
      </c>
      <c r="R620" s="10">
        <v>112</v>
      </c>
      <c r="S620" s="10">
        <v>8</v>
      </c>
      <c r="T620" s="10"/>
      <c r="U620" t="str">
        <f>"RUNNING_COST_"&amp;IF(PROPERTIES[[#This Row],[ENGINE_CLASS]]="MAGLEV","ELECTRIC",PROPERTIES[[#This Row],[ENGINE_CLASS]])</f>
        <v>RUNNING_COST_ELECTRIC</v>
      </c>
      <c r="V620" s="10" t="s">
        <v>1008</v>
      </c>
      <c r="W620" s="10" t="s">
        <v>1009</v>
      </c>
      <c r="X620" s="10" t="str">
        <f>SUBSTITUTE(SUBSTITUTE(PROPERTIES[[#This Row],[PURCHASECOST_VALUE]], "PURCHASECOST_", ""), "_VALUE", "")</f>
        <v>EMU</v>
      </c>
      <c r="AP620"/>
      <c r="AQ620"/>
      <c r="AR620"/>
    </row>
    <row r="621" spans="1:44">
      <c r="A621" s="2" t="s">
        <v>644</v>
      </c>
      <c r="B621">
        <v>2007</v>
      </c>
      <c r="C621">
        <v>1</v>
      </c>
      <c r="D621" t="s">
        <v>74</v>
      </c>
      <c r="E621" t="s">
        <v>18</v>
      </c>
      <c r="F621">
        <v>120</v>
      </c>
      <c r="G621" s="10">
        <v>47</v>
      </c>
      <c r="H621">
        <v>8</v>
      </c>
      <c r="I621">
        <v>8</v>
      </c>
      <c r="J621" s="2" t="s">
        <v>24</v>
      </c>
      <c r="K621">
        <f>_xlfn.XLOOKUP("LOADINGSPEEDDEF_"&amp;PROPERTIES[[#This Row],[LOADINGSPEED]],LOADINGSPEEDDEF[TYPE],LOADINGSPEEDDEF[SPEED])</f>
        <v>40</v>
      </c>
      <c r="L621" t="s">
        <v>21</v>
      </c>
      <c r="M621">
        <v>1</v>
      </c>
      <c r="N621">
        <v>950</v>
      </c>
      <c r="O621">
        <v>130</v>
      </c>
      <c r="P621" s="2">
        <v>0.41</v>
      </c>
      <c r="Q621" s="6">
        <v>25</v>
      </c>
      <c r="R621" s="10">
        <v>120</v>
      </c>
      <c r="S621" s="10">
        <v>8</v>
      </c>
      <c r="T621" s="10"/>
      <c r="U621" t="str">
        <f>"RUNNING_COST_"&amp;IF(PROPERTIES[[#This Row],[ENGINE_CLASS]]="MAGLEV","ELECTRIC",PROPERTIES[[#This Row],[ENGINE_CLASS]])</f>
        <v>RUNNING_COST_ELECTRIC</v>
      </c>
      <c r="V621" s="10" t="s">
        <v>1008</v>
      </c>
      <c r="W621" s="10" t="s">
        <v>1009</v>
      </c>
      <c r="X621" s="10" t="str">
        <f>SUBSTITUTE(SUBSTITUTE(PROPERTIES[[#This Row],[PURCHASECOST_VALUE]], "PURCHASECOST_", ""), "_VALUE", "")</f>
        <v>EMU</v>
      </c>
      <c r="AP621"/>
      <c r="AQ621"/>
      <c r="AR621"/>
    </row>
    <row r="622" spans="1:44">
      <c r="A622" s="2" t="s">
        <v>645</v>
      </c>
      <c r="B622">
        <v>1917</v>
      </c>
      <c r="C622">
        <v>1</v>
      </c>
      <c r="D622" t="s">
        <v>74</v>
      </c>
      <c r="E622" t="s">
        <v>18</v>
      </c>
      <c r="F622">
        <v>48</v>
      </c>
      <c r="G622" s="10">
        <v>55</v>
      </c>
      <c r="H622">
        <v>8</v>
      </c>
      <c r="I622">
        <v>8</v>
      </c>
      <c r="J622" s="2" t="s">
        <v>24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>
        <v>280</v>
      </c>
      <c r="O622">
        <v>83</v>
      </c>
      <c r="P622" s="2">
        <v>0.16</v>
      </c>
      <c r="Q622" s="6">
        <v>25</v>
      </c>
      <c r="R622" s="10">
        <v>48</v>
      </c>
      <c r="S622" s="10">
        <v>8</v>
      </c>
      <c r="T622" s="10"/>
      <c r="U622" t="str">
        <f>"RUNNING_COST_"&amp;IF(PROPERTIES[[#This Row],[ENGINE_CLASS]]="MAGLEV","ELECTRIC",PROPERTIES[[#This Row],[ENGINE_CLASS]])</f>
        <v>RUNNING_COST_ELECTRIC</v>
      </c>
      <c r="V622" s="10" t="s">
        <v>1008</v>
      </c>
      <c r="W622" s="10" t="s">
        <v>1009</v>
      </c>
      <c r="X622" s="10" t="str">
        <f>SUBSTITUTE(SUBSTITUTE(PROPERTIES[[#This Row],[PURCHASECOST_VALUE]], "PURCHASECOST_", ""), "_VALUE", "")</f>
        <v>EMU</v>
      </c>
      <c r="AP622"/>
      <c r="AQ622"/>
      <c r="AR622"/>
    </row>
    <row r="623" spans="1:44">
      <c r="A623" s="2" t="s">
        <v>646</v>
      </c>
      <c r="B623">
        <v>1979</v>
      </c>
      <c r="C623">
        <v>1</v>
      </c>
      <c r="D623" t="s">
        <v>74</v>
      </c>
      <c r="E623" t="s">
        <v>18</v>
      </c>
      <c r="F623">
        <v>74</v>
      </c>
      <c r="G623" s="10">
        <v>37</v>
      </c>
      <c r="H623">
        <v>8</v>
      </c>
      <c r="I623">
        <v>8</v>
      </c>
      <c r="J623" s="2" t="s">
        <v>24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>
        <v>540</v>
      </c>
      <c r="O623">
        <v>110</v>
      </c>
      <c r="P623" s="2">
        <v>0.26</v>
      </c>
      <c r="Q623" s="6">
        <v>25</v>
      </c>
      <c r="R623" s="10">
        <v>74</v>
      </c>
      <c r="S623" s="10">
        <v>8</v>
      </c>
      <c r="T623" s="10"/>
      <c r="U623" t="str">
        <f>"RUNNING_COST_"&amp;IF(PROPERTIES[[#This Row],[ENGINE_CLASS]]="MAGLEV","ELECTRIC",PROPERTIES[[#This Row],[ENGINE_CLASS]])</f>
        <v>RUNNING_COST_ELECTRIC</v>
      </c>
      <c r="V623" s="10" t="s">
        <v>1008</v>
      </c>
      <c r="W623" s="10" t="s">
        <v>1009</v>
      </c>
      <c r="X623" s="10" t="str">
        <f>SUBSTITUTE(SUBSTITUTE(PROPERTIES[[#This Row],[PURCHASECOST_VALUE]], "PURCHASECOST_", ""), "_VALUE", "")</f>
        <v>EMU</v>
      </c>
      <c r="AP623"/>
      <c r="AQ623"/>
      <c r="AR623"/>
    </row>
    <row r="624" spans="1:44">
      <c r="A624" s="2" t="s">
        <v>647</v>
      </c>
      <c r="B624">
        <v>1954</v>
      </c>
      <c r="C624">
        <v>1</v>
      </c>
      <c r="D624" t="s">
        <v>74</v>
      </c>
      <c r="E624" t="s">
        <v>18</v>
      </c>
      <c r="F624">
        <v>52</v>
      </c>
      <c r="G624" s="10">
        <v>60</v>
      </c>
      <c r="H624">
        <v>7</v>
      </c>
      <c r="I624">
        <v>7</v>
      </c>
      <c r="J624" s="2" t="s">
        <v>24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>
        <v>1240</v>
      </c>
      <c r="O624">
        <v>100</v>
      </c>
      <c r="P624" s="2">
        <v>0.26</v>
      </c>
      <c r="Q624" s="6">
        <v>25</v>
      </c>
      <c r="R624" s="10">
        <v>52</v>
      </c>
      <c r="S624" s="10">
        <v>7</v>
      </c>
      <c r="T624" s="10"/>
      <c r="U624" t="str">
        <f>"RUNNING_COST_"&amp;IF(PROPERTIES[[#This Row],[ENGINE_CLASS]]="MAGLEV","ELECTRIC",PROPERTIES[[#This Row],[ENGINE_CLASS]])</f>
        <v>RUNNING_COST_ELECTRIC</v>
      </c>
      <c r="V624" s="10" t="s">
        <v>1008</v>
      </c>
      <c r="W624" s="10" t="s">
        <v>1009</v>
      </c>
      <c r="X624" s="10" t="str">
        <f>SUBSTITUTE(SUBSTITUTE(PROPERTIES[[#This Row],[PURCHASECOST_VALUE]], "PURCHASECOST_", ""), "_VALUE", "")</f>
        <v>EMU</v>
      </c>
      <c r="AP624"/>
      <c r="AQ624"/>
      <c r="AR624"/>
    </row>
    <row r="625" spans="1:44">
      <c r="A625" s="2" t="s">
        <v>648</v>
      </c>
      <c r="B625">
        <v>2005</v>
      </c>
      <c r="C625">
        <v>1</v>
      </c>
      <c r="D625" t="s">
        <v>74</v>
      </c>
      <c r="E625" t="s">
        <v>18</v>
      </c>
      <c r="F625">
        <v>72</v>
      </c>
      <c r="G625" s="10">
        <v>43</v>
      </c>
      <c r="H625">
        <v>8</v>
      </c>
      <c r="I625">
        <v>8</v>
      </c>
      <c r="J625" s="2" t="s">
        <v>24</v>
      </c>
      <c r="K625">
        <f>_xlfn.XLOOKUP("LOADINGSPEEDDEF_"&amp;PROPERTIES[[#This Row],[LOADINGSPEED]],LOADINGSPEEDDEF[TYPE],LOADINGSPEEDDEF[SPEED])</f>
        <v>40</v>
      </c>
      <c r="L625" t="s">
        <v>21</v>
      </c>
      <c r="M625">
        <v>1</v>
      </c>
      <c r="N625">
        <v>720</v>
      </c>
      <c r="O625">
        <v>143</v>
      </c>
      <c r="P625" s="2">
        <v>0.28999999999999998</v>
      </c>
      <c r="Q625" s="6">
        <v>40</v>
      </c>
      <c r="R625" s="10">
        <v>96</v>
      </c>
      <c r="S625" s="10">
        <v>8</v>
      </c>
      <c r="T625" s="10"/>
      <c r="U625" t="str">
        <f>"RUNNING_COST_"&amp;IF(PROPERTIES[[#This Row],[ENGINE_CLASS]]="MAGLEV","ELECTRIC",PROPERTIES[[#This Row],[ENGINE_CLASS]])</f>
        <v>RUNNING_COST_ELECTRIC</v>
      </c>
      <c r="V625" s="10" t="s">
        <v>1008</v>
      </c>
      <c r="W625" s="10" t="s">
        <v>1009</v>
      </c>
      <c r="X625" s="10" t="str">
        <f>SUBSTITUTE(SUBSTITUTE(PROPERTIES[[#This Row],[PURCHASECOST_VALUE]], "PURCHASECOST_", ""), "_VALUE", "")</f>
        <v>EMU</v>
      </c>
      <c r="AP625"/>
      <c r="AQ625"/>
      <c r="AR625"/>
    </row>
    <row r="626" spans="1:44">
      <c r="A626" s="2" t="s">
        <v>649</v>
      </c>
      <c r="B626">
        <v>1976</v>
      </c>
      <c r="C626">
        <v>1</v>
      </c>
      <c r="D626" t="s">
        <v>74</v>
      </c>
      <c r="E626" t="s">
        <v>18</v>
      </c>
      <c r="F626">
        <v>88</v>
      </c>
      <c r="G626" s="10">
        <v>61</v>
      </c>
      <c r="H626">
        <v>7</v>
      </c>
      <c r="I626">
        <v>7</v>
      </c>
      <c r="J626" s="2" t="s">
        <v>24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>
        <v>1500</v>
      </c>
      <c r="O626">
        <v>130</v>
      </c>
      <c r="P626" s="2">
        <v>0.21</v>
      </c>
      <c r="Q626" s="6">
        <v>40</v>
      </c>
      <c r="R626" s="10">
        <v>92</v>
      </c>
      <c r="S626" s="10">
        <v>7</v>
      </c>
      <c r="T626" s="10"/>
      <c r="U626" t="str">
        <f>"RUNNING_COST_"&amp;IF(PROPERTIES[[#This Row],[ENGINE_CLASS]]="MAGLEV","ELECTRIC",PROPERTIES[[#This Row],[ENGINE_CLASS]])</f>
        <v>RUNNING_COST_ELECTRIC</v>
      </c>
      <c r="V626" s="10" t="s">
        <v>1008</v>
      </c>
      <c r="W626" s="10" t="s">
        <v>1009</v>
      </c>
      <c r="X626" s="10" t="str">
        <f>SUBSTITUTE(SUBSTITUTE(PROPERTIES[[#This Row],[PURCHASECOST_VALUE]], "PURCHASECOST_", ""), "_VALUE", "")</f>
        <v>EMU</v>
      </c>
      <c r="AP626"/>
      <c r="AQ626"/>
      <c r="AR626"/>
    </row>
    <row r="627" spans="1:44">
      <c r="A627" s="2" t="s">
        <v>650</v>
      </c>
      <c r="B627">
        <v>1984</v>
      </c>
      <c r="C627">
        <v>1</v>
      </c>
      <c r="D627" t="s">
        <v>74</v>
      </c>
      <c r="E627" t="s">
        <v>18</v>
      </c>
      <c r="F627">
        <v>48</v>
      </c>
      <c r="G627" s="10">
        <v>50</v>
      </c>
      <c r="H627">
        <v>8</v>
      </c>
      <c r="I627">
        <v>8</v>
      </c>
      <c r="J627" s="2" t="s">
        <v>24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>
        <v>2340</v>
      </c>
      <c r="O627">
        <v>110</v>
      </c>
      <c r="P627" s="2">
        <v>0.2</v>
      </c>
      <c r="Q627" s="6">
        <v>40</v>
      </c>
      <c r="R627" s="10">
        <v>54</v>
      </c>
      <c r="S627" s="10">
        <v>8</v>
      </c>
      <c r="T627" s="10"/>
      <c r="U627" t="str">
        <f>"RUNNING_COST_"&amp;IF(PROPERTIES[[#This Row],[ENGINE_CLASS]]="MAGLEV","ELECTRIC",PROPERTIES[[#This Row],[ENGINE_CLASS]])</f>
        <v>RUNNING_COST_ELECTRIC</v>
      </c>
      <c r="V627" s="10" t="s">
        <v>1008</v>
      </c>
      <c r="W627" s="10" t="s">
        <v>1009</v>
      </c>
      <c r="X627" s="10" t="str">
        <f>SUBSTITUTE(SUBSTITUTE(PROPERTIES[[#This Row],[PURCHASECOST_VALUE]], "PURCHASECOST_", ""), "_VALUE", "")</f>
        <v>EMU</v>
      </c>
      <c r="AP627"/>
      <c r="AQ627"/>
      <c r="AR627"/>
    </row>
    <row r="628" spans="1:44">
      <c r="A628" s="2" t="s">
        <v>651</v>
      </c>
      <c r="B628">
        <v>1997</v>
      </c>
      <c r="C628">
        <v>1</v>
      </c>
      <c r="D628" t="s">
        <v>74</v>
      </c>
      <c r="E628" t="s">
        <v>18</v>
      </c>
      <c r="F628">
        <v>56</v>
      </c>
      <c r="G628" s="10">
        <v>47</v>
      </c>
      <c r="H628">
        <v>8</v>
      </c>
      <c r="I628">
        <v>8</v>
      </c>
      <c r="J628" s="2" t="s">
        <v>24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>
        <v>910</v>
      </c>
      <c r="O628">
        <v>160</v>
      </c>
      <c r="P628" s="2">
        <v>0.33</v>
      </c>
      <c r="Q628" s="6">
        <v>40</v>
      </c>
      <c r="R628" s="10">
        <v>56</v>
      </c>
      <c r="S628" s="10">
        <v>8</v>
      </c>
      <c r="T628" s="10"/>
      <c r="U628" t="str">
        <f>"RUNNING_COST_"&amp;IF(PROPERTIES[[#This Row],[ENGINE_CLASS]]="MAGLEV","ELECTRIC",PROPERTIES[[#This Row],[ENGINE_CLASS]])</f>
        <v>RUNNING_COST_ELECTRIC</v>
      </c>
      <c r="V628" s="10" t="s">
        <v>1008</v>
      </c>
      <c r="W628" s="10" t="s">
        <v>1009</v>
      </c>
      <c r="X628" s="10" t="str">
        <f>SUBSTITUTE(SUBSTITUTE(PROPERTIES[[#This Row],[PURCHASECOST_VALUE]], "PURCHASECOST_", ""), "_VALUE", "")</f>
        <v>EMU</v>
      </c>
      <c r="AP628"/>
      <c r="AQ628"/>
      <c r="AR628"/>
    </row>
    <row r="629" spans="1:44">
      <c r="A629" s="2" t="s">
        <v>652</v>
      </c>
      <c r="B629">
        <v>1984</v>
      </c>
      <c r="C629">
        <v>0</v>
      </c>
      <c r="D629" t="s">
        <v>74</v>
      </c>
      <c r="E629" t="s">
        <v>20</v>
      </c>
      <c r="F629">
        <v>0</v>
      </c>
      <c r="G629" s="10">
        <v>150</v>
      </c>
      <c r="H629">
        <v>8</v>
      </c>
      <c r="I629">
        <v>16</v>
      </c>
      <c r="J629" s="2" t="s">
        <v>20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>
        <v>8400</v>
      </c>
      <c r="O629">
        <v>100</v>
      </c>
      <c r="P629" s="2">
        <v>0.23</v>
      </c>
      <c r="Q629" s="6">
        <v>40</v>
      </c>
      <c r="R629" s="10">
        <v>0</v>
      </c>
      <c r="S629" s="10">
        <v>8</v>
      </c>
      <c r="T629" s="10"/>
      <c r="U629" t="str">
        <f>"RUNNING_COST_"&amp;IF(PROPERTIES[[#This Row],[ENGINE_CLASS]]="MAGLEV","ELECTRIC",PROPERTIES[[#This Row],[ENGINE_CLASS]])</f>
        <v>RUNNING_COST_ELECTRIC</v>
      </c>
      <c r="V629" s="10" t="s">
        <v>1004</v>
      </c>
      <c r="W629" s="10" t="s">
        <v>1005</v>
      </c>
      <c r="X629" s="10" t="str">
        <f>SUBSTITUTE(SUBSTITUTE(PROPERTIES[[#This Row],[PURCHASECOST_VALUE]], "PURCHASECOST_", ""), "_VALUE", "")</f>
        <v>ELECTRICENGINE</v>
      </c>
      <c r="AP629"/>
      <c r="AQ629"/>
      <c r="AR629"/>
    </row>
    <row r="630" spans="1:44">
      <c r="A630" s="2" t="s">
        <v>653</v>
      </c>
      <c r="B630">
        <v>1974</v>
      </c>
      <c r="C630">
        <v>0</v>
      </c>
      <c r="D630" t="s">
        <v>74</v>
      </c>
      <c r="E630" t="s">
        <v>20</v>
      </c>
      <c r="F630">
        <v>0</v>
      </c>
      <c r="G630" s="10">
        <v>184</v>
      </c>
      <c r="H630">
        <v>8</v>
      </c>
      <c r="I630">
        <v>16</v>
      </c>
      <c r="J630" s="2" t="s">
        <v>20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>
        <v>7190</v>
      </c>
      <c r="O630">
        <v>100</v>
      </c>
      <c r="P630" s="2">
        <v>0.33</v>
      </c>
      <c r="Q630" s="6">
        <v>40</v>
      </c>
      <c r="R630" s="10">
        <v>0</v>
      </c>
      <c r="S630" s="10">
        <v>8</v>
      </c>
      <c r="T630" s="10"/>
      <c r="U630" t="str">
        <f>"RUNNING_COST_"&amp;IF(PROPERTIES[[#This Row],[ENGINE_CLASS]]="MAGLEV","ELECTRIC",PROPERTIES[[#This Row],[ENGINE_CLASS]])</f>
        <v>RUNNING_COST_ELECTRIC</v>
      </c>
      <c r="V630" s="10" t="s">
        <v>1004</v>
      </c>
      <c r="W630" s="10" t="s">
        <v>1005</v>
      </c>
      <c r="X630" s="10" t="str">
        <f>SUBSTITUTE(SUBSTITUTE(PROPERTIES[[#This Row],[PURCHASECOST_VALUE]], "PURCHASECOST_", ""), "_VALUE", "")</f>
        <v>ELECTRICENGINE</v>
      </c>
      <c r="AP630"/>
      <c r="AQ630"/>
      <c r="AR630"/>
    </row>
    <row r="631" spans="1:44">
      <c r="A631" s="2" t="s">
        <v>654</v>
      </c>
      <c r="B631">
        <v>1945</v>
      </c>
      <c r="C631">
        <v>0</v>
      </c>
      <c r="D631" t="s">
        <v>74</v>
      </c>
      <c r="E631" t="s">
        <v>20</v>
      </c>
      <c r="F631">
        <v>0</v>
      </c>
      <c r="G631" s="10">
        <v>98</v>
      </c>
      <c r="H631">
        <v>8</v>
      </c>
      <c r="I631">
        <v>8</v>
      </c>
      <c r="J631" s="2" t="s">
        <v>20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>
        <v>3220</v>
      </c>
      <c r="O631">
        <v>100</v>
      </c>
      <c r="P631" s="2">
        <v>0.39</v>
      </c>
      <c r="Q631" s="6">
        <v>40</v>
      </c>
      <c r="R631" s="10">
        <v>0</v>
      </c>
      <c r="S631" s="10">
        <v>0</v>
      </c>
      <c r="T631" s="10"/>
      <c r="U631" t="str">
        <f>"RUNNING_COST_"&amp;IF(PROPERTIES[[#This Row],[ENGINE_CLASS]]="MAGLEV","ELECTRIC",PROPERTIES[[#This Row],[ENGINE_CLASS]])</f>
        <v>RUNNING_COST_ELECTRIC</v>
      </c>
      <c r="V631" s="10" t="s">
        <v>1004</v>
      </c>
      <c r="W631" s="10" t="s">
        <v>1005</v>
      </c>
      <c r="X631" s="10" t="str">
        <f>SUBSTITUTE(SUBSTITUTE(PROPERTIES[[#This Row],[PURCHASECOST_VALUE]], "PURCHASECOST_", ""), "_VALUE", "")</f>
        <v>ELECTRICENGINE</v>
      </c>
      <c r="AP631"/>
      <c r="AQ631"/>
      <c r="AR631"/>
    </row>
    <row r="632" spans="1:44">
      <c r="A632" s="2" t="s">
        <v>655</v>
      </c>
      <c r="B632">
        <v>1995</v>
      </c>
      <c r="C632">
        <v>0</v>
      </c>
      <c r="D632" t="s">
        <v>74</v>
      </c>
      <c r="E632" t="s">
        <v>20</v>
      </c>
      <c r="F632">
        <v>0</v>
      </c>
      <c r="G632" s="10">
        <v>184</v>
      </c>
      <c r="H632">
        <v>8</v>
      </c>
      <c r="I632">
        <v>16</v>
      </c>
      <c r="J632" s="2" t="s">
        <v>20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>
        <v>8750</v>
      </c>
      <c r="O632">
        <v>100</v>
      </c>
      <c r="P632" s="2">
        <v>0.23</v>
      </c>
      <c r="Q632" s="6">
        <v>40</v>
      </c>
      <c r="R632" s="10">
        <v>0</v>
      </c>
      <c r="S632" s="10">
        <v>0</v>
      </c>
      <c r="T632" s="10"/>
      <c r="U632" t="str">
        <f>"RUNNING_COST_"&amp;IF(PROPERTIES[[#This Row],[ENGINE_CLASS]]="MAGLEV","ELECTRIC",PROPERTIES[[#This Row],[ENGINE_CLASS]])</f>
        <v>RUNNING_COST_ELECTRIC</v>
      </c>
      <c r="V632" s="10" t="s">
        <v>1004</v>
      </c>
      <c r="W632" s="10" t="s">
        <v>1005</v>
      </c>
      <c r="X632" s="10" t="str">
        <f>SUBSTITUTE(SUBSTITUTE(PROPERTIES[[#This Row],[PURCHASECOST_VALUE]], "PURCHASECOST_", ""), "_VALUE", "")</f>
        <v>ELECTRICENGINE</v>
      </c>
      <c r="AP632"/>
      <c r="AQ632"/>
      <c r="AR632"/>
    </row>
    <row r="633" spans="1:44">
      <c r="A633" s="2" t="s">
        <v>656</v>
      </c>
      <c r="B633">
        <v>1961</v>
      </c>
      <c r="C633">
        <v>0</v>
      </c>
      <c r="D633" t="s">
        <v>74</v>
      </c>
      <c r="E633" t="s">
        <v>20</v>
      </c>
      <c r="F633">
        <v>0</v>
      </c>
      <c r="G633" s="10">
        <v>85</v>
      </c>
      <c r="H633">
        <v>7</v>
      </c>
      <c r="I633">
        <v>7</v>
      </c>
      <c r="J633" s="2" t="s">
        <v>20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>
        <v>2000</v>
      </c>
      <c r="O633">
        <v>120</v>
      </c>
      <c r="P633" s="2">
        <v>0.27</v>
      </c>
      <c r="Q633" s="6">
        <v>40</v>
      </c>
      <c r="R633" s="10">
        <v>0</v>
      </c>
      <c r="S633" s="10">
        <v>0</v>
      </c>
      <c r="T633" s="10"/>
      <c r="U633" t="str">
        <f>"RUNNING_COST_"&amp;IF(PROPERTIES[[#This Row],[ENGINE_CLASS]]="MAGLEV","ELECTRIC",PROPERTIES[[#This Row],[ENGINE_CLASS]])</f>
        <v>RUNNING_COST_ELECTRIC</v>
      </c>
      <c r="V633" s="10" t="s">
        <v>1004</v>
      </c>
      <c r="W633" s="10" t="s">
        <v>1005</v>
      </c>
      <c r="X633" s="10" t="str">
        <f>SUBSTITUTE(SUBSTITUTE(PROPERTIES[[#This Row],[PURCHASECOST_VALUE]], "PURCHASECOST_", ""), "_VALUE", "")</f>
        <v>ELECTRICENGINE</v>
      </c>
      <c r="AP633"/>
      <c r="AQ633"/>
      <c r="AR633"/>
    </row>
    <row r="634" spans="1:44">
      <c r="A634" s="2" t="s">
        <v>657</v>
      </c>
      <c r="B634">
        <v>1983</v>
      </c>
      <c r="C634">
        <v>0</v>
      </c>
      <c r="D634" t="s">
        <v>74</v>
      </c>
      <c r="E634" t="s">
        <v>20</v>
      </c>
      <c r="F634">
        <v>0</v>
      </c>
      <c r="G634" s="10">
        <v>172</v>
      </c>
      <c r="H634">
        <v>7</v>
      </c>
      <c r="I634">
        <v>14</v>
      </c>
      <c r="J634" s="2" t="s">
        <v>20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>
        <v>8624</v>
      </c>
      <c r="O634">
        <v>160</v>
      </c>
      <c r="P634" s="2">
        <v>0.22</v>
      </c>
      <c r="Q634" s="6">
        <v>40</v>
      </c>
      <c r="R634" s="10">
        <v>0</v>
      </c>
      <c r="S634" s="10">
        <v>0</v>
      </c>
      <c r="T634" s="10"/>
      <c r="U634" t="str">
        <f>"RUNNING_COST_"&amp;IF(PROPERTIES[[#This Row],[ENGINE_CLASS]]="MAGLEV","ELECTRIC",PROPERTIES[[#This Row],[ENGINE_CLASS]])</f>
        <v>RUNNING_COST_ELECTRIC</v>
      </c>
      <c r="V634" s="10" t="s">
        <v>1004</v>
      </c>
      <c r="W634" s="10" t="s">
        <v>1005</v>
      </c>
      <c r="X634" s="10" t="str">
        <f>SUBSTITUTE(SUBSTITUTE(PROPERTIES[[#This Row],[PURCHASECOST_VALUE]], "PURCHASECOST_", ""), "_VALUE", "")</f>
        <v>ELECTRICENGINE</v>
      </c>
      <c r="AP634"/>
      <c r="AQ634"/>
      <c r="AR634"/>
    </row>
    <row r="635" spans="1:44">
      <c r="A635" s="2" t="s">
        <v>658</v>
      </c>
      <c r="B635">
        <v>1962</v>
      </c>
      <c r="C635">
        <v>0</v>
      </c>
      <c r="D635" t="s">
        <v>74</v>
      </c>
      <c r="E635" t="s">
        <v>20</v>
      </c>
      <c r="F635">
        <v>0</v>
      </c>
      <c r="G635" s="10">
        <v>123</v>
      </c>
      <c r="H635">
        <v>7</v>
      </c>
      <c r="I635">
        <v>7</v>
      </c>
      <c r="J635" s="2" t="s">
        <v>24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>
        <v>4400</v>
      </c>
      <c r="O635">
        <v>117</v>
      </c>
      <c r="P635" s="2">
        <v>0.21</v>
      </c>
      <c r="Q635" s="6">
        <v>40</v>
      </c>
      <c r="R635" s="10">
        <v>0</v>
      </c>
      <c r="S635" s="10">
        <v>0</v>
      </c>
      <c r="T635" s="10"/>
      <c r="U635" t="str">
        <f>"RUNNING_COST_"&amp;IF(PROPERTIES[[#This Row],[ENGINE_CLASS]]="MAGLEV","ELECTRIC",PROPERTIES[[#This Row],[ENGINE_CLASS]])</f>
        <v>RUNNING_COST_ELECTRIC</v>
      </c>
      <c r="V635" s="10" t="s">
        <v>1004</v>
      </c>
      <c r="W635" s="10" t="s">
        <v>1005</v>
      </c>
      <c r="X635" s="10" t="str">
        <f>SUBSTITUTE(SUBSTITUTE(PROPERTIES[[#This Row],[PURCHASECOST_VALUE]], "PURCHASECOST_", ""), "_VALUE", "")</f>
        <v>ELECTRICENGINE</v>
      </c>
      <c r="AP635"/>
      <c r="AQ635"/>
      <c r="AR635"/>
    </row>
    <row r="636" spans="1:44">
      <c r="A636" s="2" t="s">
        <v>659</v>
      </c>
      <c r="B636">
        <v>1983</v>
      </c>
      <c r="C636">
        <v>0</v>
      </c>
      <c r="D636" t="s">
        <v>74</v>
      </c>
      <c r="E636" t="s">
        <v>20</v>
      </c>
      <c r="F636">
        <v>0</v>
      </c>
      <c r="G636" s="10">
        <v>288</v>
      </c>
      <c r="H636">
        <v>8</v>
      </c>
      <c r="I636">
        <v>16</v>
      </c>
      <c r="J636" s="2" t="s">
        <v>20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>
        <v>12500</v>
      </c>
      <c r="O636">
        <v>110</v>
      </c>
      <c r="P636" s="2">
        <v>0.25</v>
      </c>
      <c r="Q636" s="6">
        <v>40</v>
      </c>
      <c r="R636" s="10">
        <v>0</v>
      </c>
      <c r="S636" s="10">
        <v>8</v>
      </c>
      <c r="T636" s="10"/>
      <c r="U636" t="str">
        <f>"RUNNING_COST_"&amp;IF(PROPERTIES[[#This Row],[ENGINE_CLASS]]="MAGLEV","ELECTRIC",PROPERTIES[[#This Row],[ENGINE_CLASS]])</f>
        <v>RUNNING_COST_ELECTRIC</v>
      </c>
      <c r="V636" s="10" t="s">
        <v>1004</v>
      </c>
      <c r="W636" s="10" t="s">
        <v>1005</v>
      </c>
      <c r="X636" s="10" t="str">
        <f>SUBSTITUTE(SUBSTITUTE(PROPERTIES[[#This Row],[PURCHASECOST_VALUE]], "PURCHASECOST_", ""), "_VALUE", "")</f>
        <v>ELECTRICENGINE</v>
      </c>
      <c r="AP636"/>
      <c r="AQ636"/>
      <c r="AR636"/>
    </row>
    <row r="637" spans="1:44">
      <c r="A637" s="2" t="s">
        <v>660</v>
      </c>
      <c r="B637">
        <v>1963</v>
      </c>
      <c r="C637">
        <v>0</v>
      </c>
      <c r="D637" t="s">
        <v>74</v>
      </c>
      <c r="E637" t="s">
        <v>20</v>
      </c>
      <c r="F637">
        <v>0</v>
      </c>
      <c r="G637" s="10">
        <v>92</v>
      </c>
      <c r="H637">
        <v>8</v>
      </c>
      <c r="I637">
        <v>8</v>
      </c>
      <c r="J637" s="2" t="s">
        <v>20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>
        <v>2280</v>
      </c>
      <c r="O637">
        <v>70</v>
      </c>
      <c r="P637" s="2">
        <v>0.19</v>
      </c>
      <c r="Q637" s="6">
        <v>40</v>
      </c>
      <c r="R637" s="10">
        <v>0</v>
      </c>
      <c r="S637" s="10">
        <v>0</v>
      </c>
      <c r="T637" s="10"/>
      <c r="U637" t="str">
        <f>"RUNNING_COST_"&amp;IF(PROPERTIES[[#This Row],[ENGINE_CLASS]]="MAGLEV","ELECTRIC",PROPERTIES[[#This Row],[ENGINE_CLASS]])</f>
        <v>RUNNING_COST_ELECTRIC</v>
      </c>
      <c r="V637" s="10" t="s">
        <v>1004</v>
      </c>
      <c r="W637" s="10" t="s">
        <v>1005</v>
      </c>
      <c r="X637" s="10" t="str">
        <f>SUBSTITUTE(SUBSTITUTE(PROPERTIES[[#This Row],[PURCHASECOST_VALUE]], "PURCHASECOST_", ""), "_VALUE", "")</f>
        <v>ELECTRICENGINE</v>
      </c>
      <c r="AP637"/>
      <c r="AQ637"/>
      <c r="AR637"/>
    </row>
    <row r="638" spans="1:44">
      <c r="A638" s="2" t="s">
        <v>661</v>
      </c>
      <c r="B638">
        <v>1994</v>
      </c>
      <c r="C638">
        <v>0</v>
      </c>
      <c r="D638" t="s">
        <v>74</v>
      </c>
      <c r="E638" t="s">
        <v>20</v>
      </c>
      <c r="F638">
        <v>0</v>
      </c>
      <c r="G638" s="10">
        <v>113</v>
      </c>
      <c r="H638">
        <v>8</v>
      </c>
      <c r="I638">
        <v>8</v>
      </c>
      <c r="J638" s="2" t="s">
        <v>20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>
        <v>5350</v>
      </c>
      <c r="O638">
        <v>140</v>
      </c>
      <c r="P638" s="2">
        <v>0.28000000000000003</v>
      </c>
      <c r="Q638" s="6">
        <v>40</v>
      </c>
      <c r="R638" s="10">
        <v>0</v>
      </c>
      <c r="S638" s="10">
        <v>0</v>
      </c>
      <c r="T638" s="10"/>
      <c r="U638" t="str">
        <f>"RUNNING_COST_"&amp;IF(PROPERTIES[[#This Row],[ENGINE_CLASS]]="MAGLEV","ELECTRIC",PROPERTIES[[#This Row],[ENGINE_CLASS]])</f>
        <v>RUNNING_COST_ELECTRIC</v>
      </c>
      <c r="V638" s="10" t="s">
        <v>1004</v>
      </c>
      <c r="W638" s="10" t="s">
        <v>1005</v>
      </c>
      <c r="X638" s="10" t="str">
        <f>SUBSTITUTE(SUBSTITUTE(PROPERTIES[[#This Row],[PURCHASECOST_VALUE]], "PURCHASECOST_", ""), "_VALUE", "")</f>
        <v>ELECTRICENGINE</v>
      </c>
      <c r="AP638"/>
      <c r="AQ638"/>
      <c r="AR638"/>
    </row>
    <row r="639" spans="1:44">
      <c r="A639" s="2" t="s">
        <v>662</v>
      </c>
      <c r="B639">
        <v>1973</v>
      </c>
      <c r="C639">
        <v>0</v>
      </c>
      <c r="D639" t="s">
        <v>74</v>
      </c>
      <c r="E639" t="s">
        <v>20</v>
      </c>
      <c r="F639">
        <v>0</v>
      </c>
      <c r="G639" s="10">
        <v>84</v>
      </c>
      <c r="H639">
        <v>8</v>
      </c>
      <c r="I639">
        <v>8</v>
      </c>
      <c r="J639" s="2" t="s">
        <v>20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>
        <v>4428</v>
      </c>
      <c r="O639">
        <v>140</v>
      </c>
      <c r="P639" s="2">
        <v>0.33</v>
      </c>
      <c r="Q639" s="6">
        <v>40</v>
      </c>
      <c r="R639" s="10">
        <v>0</v>
      </c>
      <c r="S639" s="10">
        <v>0</v>
      </c>
      <c r="T639" s="10"/>
      <c r="U639" t="str">
        <f>"RUNNING_COST_"&amp;IF(PROPERTIES[[#This Row],[ENGINE_CLASS]]="MAGLEV","ELECTRIC",PROPERTIES[[#This Row],[ENGINE_CLASS]])</f>
        <v>RUNNING_COST_ELECTRIC</v>
      </c>
      <c r="V639" s="10" t="s">
        <v>1004</v>
      </c>
      <c r="W639" s="10" t="s">
        <v>1005</v>
      </c>
      <c r="X639" s="10" t="str">
        <f>SUBSTITUTE(SUBSTITUTE(PROPERTIES[[#This Row],[PURCHASECOST_VALUE]], "PURCHASECOST_", ""), "_VALUE", "")</f>
        <v>ELECTRICENGINE</v>
      </c>
      <c r="AP639"/>
      <c r="AQ639"/>
      <c r="AR639"/>
    </row>
    <row r="640" spans="1:44">
      <c r="A640" s="2" t="s">
        <v>663</v>
      </c>
      <c r="B640">
        <v>2004</v>
      </c>
      <c r="C640">
        <v>0</v>
      </c>
      <c r="D640" t="s">
        <v>74</v>
      </c>
      <c r="E640" t="s">
        <v>20</v>
      </c>
      <c r="F640">
        <v>0</v>
      </c>
      <c r="G640" s="10">
        <v>82</v>
      </c>
      <c r="H640">
        <v>8</v>
      </c>
      <c r="I640">
        <v>8</v>
      </c>
      <c r="J640" s="2" t="s">
        <v>20</v>
      </c>
      <c r="K640">
        <f>_xlfn.XLOOKUP("LOADINGSPEEDDEF_"&amp;PROPERTIES[[#This Row],[LOADINGSPEED]],LOADINGSPEEDDEF[TYPE],LOADINGSPEEDDEF[SPEED])</f>
        <v>0</v>
      </c>
      <c r="L640" t="s">
        <v>21</v>
      </c>
      <c r="M640">
        <v>1</v>
      </c>
      <c r="N640">
        <v>6500</v>
      </c>
      <c r="O640">
        <v>210</v>
      </c>
      <c r="P640" s="2">
        <v>0.32</v>
      </c>
      <c r="Q640" s="6">
        <v>40</v>
      </c>
      <c r="R640" s="10">
        <v>0</v>
      </c>
      <c r="S640" s="10">
        <v>0</v>
      </c>
      <c r="T640" s="10"/>
      <c r="U640" t="str">
        <f>"RUNNING_COST_"&amp;IF(PROPERTIES[[#This Row],[ENGINE_CLASS]]="MAGLEV","ELECTRIC",PROPERTIES[[#This Row],[ENGINE_CLASS]])</f>
        <v>RUNNING_COST_ELECTRIC</v>
      </c>
      <c r="V640" s="10" t="s">
        <v>1004</v>
      </c>
      <c r="W640" s="10" t="s">
        <v>1005</v>
      </c>
      <c r="X640" s="10" t="str">
        <f>SUBSTITUTE(SUBSTITUTE(PROPERTIES[[#This Row],[PURCHASECOST_VALUE]], "PURCHASECOST_", ""), "_VALUE", "")</f>
        <v>ELECTRICENGINE</v>
      </c>
      <c r="AP640"/>
      <c r="AQ640"/>
      <c r="AR640"/>
    </row>
    <row r="641" spans="1:44">
      <c r="A641" s="2" t="s">
        <v>664</v>
      </c>
      <c r="B641">
        <v>2014</v>
      </c>
      <c r="C641">
        <v>0</v>
      </c>
      <c r="D641" t="s">
        <v>74</v>
      </c>
      <c r="E641" t="s">
        <v>20</v>
      </c>
      <c r="F641">
        <v>0</v>
      </c>
      <c r="G641" s="10">
        <v>200</v>
      </c>
      <c r="H641">
        <v>8</v>
      </c>
      <c r="I641">
        <v>16</v>
      </c>
      <c r="J641" s="2" t="s">
        <v>20</v>
      </c>
      <c r="K641">
        <f>_xlfn.XLOOKUP("LOADINGSPEEDDEF_"&amp;PROPERTIES[[#This Row],[LOADINGSPEED]],LOADINGSPEEDDEF[TYPE],LOADINGSPEEDDEF[SPEED])</f>
        <v>0</v>
      </c>
      <c r="L641" t="s">
        <v>21</v>
      </c>
      <c r="M641">
        <v>1</v>
      </c>
      <c r="N641">
        <v>11800</v>
      </c>
      <c r="O641">
        <v>120</v>
      </c>
      <c r="P641" s="2">
        <v>0.42</v>
      </c>
      <c r="Q641" s="6">
        <v>40</v>
      </c>
      <c r="R641" s="10">
        <v>0</v>
      </c>
      <c r="S641" s="10">
        <v>8</v>
      </c>
      <c r="T641" s="10"/>
      <c r="U641" t="str">
        <f>"RUNNING_COST_"&amp;IF(PROPERTIES[[#This Row],[ENGINE_CLASS]]="MAGLEV","ELECTRIC",PROPERTIES[[#This Row],[ENGINE_CLASS]])</f>
        <v>RUNNING_COST_ELECTRIC</v>
      </c>
      <c r="V641" s="10" t="s">
        <v>1004</v>
      </c>
      <c r="W641" s="10" t="s">
        <v>1005</v>
      </c>
      <c r="X641" s="10" t="str">
        <f>SUBSTITUTE(SUBSTITUTE(PROPERTIES[[#This Row],[PURCHASECOST_VALUE]], "PURCHASECOST_", ""), "_VALUE", "")</f>
        <v>ELECTRICENGINE</v>
      </c>
      <c r="AP641"/>
      <c r="AQ641"/>
      <c r="AR641"/>
    </row>
    <row r="642" spans="1:44">
      <c r="A642" s="2" t="s">
        <v>665</v>
      </c>
      <c r="B642">
        <v>2011</v>
      </c>
      <c r="C642">
        <v>0</v>
      </c>
      <c r="D642" t="s">
        <v>74</v>
      </c>
      <c r="E642" t="s">
        <v>20</v>
      </c>
      <c r="F642">
        <v>0</v>
      </c>
      <c r="G642" s="10">
        <v>135</v>
      </c>
      <c r="H642">
        <v>8</v>
      </c>
      <c r="I642">
        <v>8</v>
      </c>
      <c r="J642" s="2" t="s">
        <v>20</v>
      </c>
      <c r="K642">
        <f>_xlfn.XLOOKUP("LOADINGSPEEDDEF_"&amp;PROPERTIES[[#This Row],[LOADINGSPEED]],LOADINGSPEEDDEF[TYPE],LOADINGSPEEDDEF[SPEED])</f>
        <v>0</v>
      </c>
      <c r="L642" t="s">
        <v>21</v>
      </c>
      <c r="M642">
        <v>1</v>
      </c>
      <c r="N642">
        <v>9655</v>
      </c>
      <c r="O642">
        <v>200</v>
      </c>
      <c r="P642" s="2">
        <v>0.26</v>
      </c>
      <c r="Q642" s="6">
        <v>40</v>
      </c>
      <c r="R642" s="10">
        <v>0</v>
      </c>
      <c r="S642" s="10">
        <v>0</v>
      </c>
      <c r="T642" s="10"/>
      <c r="U642" t="str">
        <f>"RUNNING_COST_"&amp;IF(PROPERTIES[[#This Row],[ENGINE_CLASS]]="MAGLEV","ELECTRIC",PROPERTIES[[#This Row],[ENGINE_CLASS]])</f>
        <v>RUNNING_COST_ELECTRIC</v>
      </c>
      <c r="V642" s="10" t="s">
        <v>1004</v>
      </c>
      <c r="W642" s="10" t="s">
        <v>1005</v>
      </c>
      <c r="X642" s="10" t="str">
        <f>SUBSTITUTE(SUBSTITUTE(PROPERTIES[[#This Row],[PURCHASECOST_VALUE]], "PURCHASECOST_", ""), "_VALUE", "")</f>
        <v>ELECTRICENGINE</v>
      </c>
      <c r="AP642"/>
      <c r="AQ642"/>
      <c r="AR642"/>
    </row>
    <row r="643" spans="1:44">
      <c r="A643" s="2" t="s">
        <v>666</v>
      </c>
      <c r="B643">
        <v>1955</v>
      </c>
      <c r="C643">
        <v>0</v>
      </c>
      <c r="D643" t="s">
        <v>35</v>
      </c>
      <c r="E643" t="s">
        <v>18</v>
      </c>
      <c r="F643">
        <v>64</v>
      </c>
      <c r="G643" s="10">
        <v>18</v>
      </c>
      <c r="H643">
        <v>7</v>
      </c>
      <c r="I643">
        <v>7</v>
      </c>
      <c r="J643" s="2" t="s">
        <v>24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>
        <v>180</v>
      </c>
      <c r="O643">
        <v>95</v>
      </c>
      <c r="P643" s="2">
        <v>0.33</v>
      </c>
      <c r="Q643" s="6">
        <v>15</v>
      </c>
      <c r="R643" s="10">
        <v>0</v>
      </c>
      <c r="S643" s="10">
        <v>0</v>
      </c>
      <c r="T643" s="10"/>
      <c r="U643" t="str">
        <f>"RUNNING_COST_"&amp;IF(PROPERTIES[[#This Row],[ENGINE_CLASS]]="MAGLEV","ELECTRIC",PROPERTIES[[#This Row],[ENGINE_CLASS]])</f>
        <v>RUNNING_COST_DIESEL</v>
      </c>
      <c r="V643" s="10" t="s">
        <v>994</v>
      </c>
      <c r="W643" s="10" t="s">
        <v>995</v>
      </c>
      <c r="X643" s="10" t="str">
        <f>SUBSTITUTE(SUBSTITUTE(PROPERTIES[[#This Row],[PURCHASECOST_VALUE]], "PURCHASECOST_", ""), "_VALUE", "")</f>
        <v>DIESELRAILBUS</v>
      </c>
      <c r="AP643"/>
      <c r="AQ643"/>
      <c r="AR643"/>
    </row>
    <row r="644" spans="1:44">
      <c r="A644" s="2" t="s">
        <v>667</v>
      </c>
      <c r="B644">
        <v>1984</v>
      </c>
      <c r="C644">
        <v>0</v>
      </c>
      <c r="D644" t="s">
        <v>35</v>
      </c>
      <c r="E644" t="s">
        <v>18</v>
      </c>
      <c r="F644">
        <v>67</v>
      </c>
      <c r="G644" s="10">
        <v>59</v>
      </c>
      <c r="H644">
        <v>8</v>
      </c>
      <c r="I644">
        <v>8</v>
      </c>
      <c r="J644" s="2" t="s">
        <v>24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>
        <v>990</v>
      </c>
      <c r="O644">
        <v>120</v>
      </c>
      <c r="P644" s="2">
        <v>0.24</v>
      </c>
      <c r="Q644" s="6">
        <v>15</v>
      </c>
      <c r="R644" s="10">
        <v>0</v>
      </c>
      <c r="S644" s="10">
        <v>0</v>
      </c>
      <c r="T644" s="10"/>
      <c r="U644" t="str">
        <f>"RUNNING_COST_"&amp;IF(PROPERTIES[[#This Row],[ENGINE_CLASS]]="MAGLEV","ELECTRIC",PROPERTIES[[#This Row],[ENGINE_CLASS]])</f>
        <v>RUNNING_COST_DIESEL</v>
      </c>
      <c r="V644" s="10" t="s">
        <v>994</v>
      </c>
      <c r="W644" s="10" t="s">
        <v>995</v>
      </c>
      <c r="X644" s="10" t="str">
        <f>SUBSTITUTE(SUBSTITUTE(PROPERTIES[[#This Row],[PURCHASECOST_VALUE]], "PURCHASECOST_", ""), "_VALUE", "")</f>
        <v>DIESELRAILBUS</v>
      </c>
      <c r="AP644"/>
      <c r="AQ644"/>
      <c r="AR644"/>
    </row>
    <row r="645" spans="1:44">
      <c r="A645" s="2" t="s">
        <v>668</v>
      </c>
      <c r="B645">
        <v>1973</v>
      </c>
      <c r="C645">
        <v>1</v>
      </c>
      <c r="D645" t="s">
        <v>74</v>
      </c>
      <c r="E645" t="s">
        <v>18</v>
      </c>
      <c r="F645">
        <v>64</v>
      </c>
      <c r="G645" s="10">
        <v>49</v>
      </c>
      <c r="H645">
        <v>8</v>
      </c>
      <c r="I645">
        <v>8</v>
      </c>
      <c r="J645" s="2" t="s">
        <v>24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>
        <v>1280</v>
      </c>
      <c r="O645">
        <v>200</v>
      </c>
      <c r="P645" s="2">
        <v>0.13</v>
      </c>
      <c r="Q645" s="6">
        <v>40</v>
      </c>
      <c r="R645" s="10">
        <v>64</v>
      </c>
      <c r="S645" s="10">
        <v>8</v>
      </c>
      <c r="T645" s="10"/>
      <c r="U645" t="str">
        <f>"RUNNING_COST_"&amp;IF(PROPERTIES[[#This Row],[ENGINE_CLASS]]="MAGLEV","ELECTRIC",PROPERTIES[[#This Row],[ENGINE_CLASS]])</f>
        <v>RUNNING_COST_ELECTRIC</v>
      </c>
      <c r="V645" s="10" t="s">
        <v>1008</v>
      </c>
      <c r="W645" s="10" t="s">
        <v>1009</v>
      </c>
      <c r="X645" s="10" t="str">
        <f>SUBSTITUTE(SUBSTITUTE(PROPERTIES[[#This Row],[PURCHASECOST_VALUE]], "PURCHASECOST_", ""), "_VALUE", "")</f>
        <v>EMU</v>
      </c>
      <c r="AP645"/>
      <c r="AQ645"/>
      <c r="AR645"/>
    </row>
    <row r="646" spans="1:44">
      <c r="A646" s="2" t="s">
        <v>669</v>
      </c>
      <c r="B646">
        <v>1929</v>
      </c>
      <c r="C646">
        <v>1</v>
      </c>
      <c r="D646" t="s">
        <v>74</v>
      </c>
      <c r="E646" t="s">
        <v>18</v>
      </c>
      <c r="F646">
        <v>50</v>
      </c>
      <c r="G646" s="10">
        <v>46</v>
      </c>
      <c r="H646">
        <v>7</v>
      </c>
      <c r="I646">
        <v>7</v>
      </c>
      <c r="J646" s="2" t="s">
        <v>24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>
        <v>804</v>
      </c>
      <c r="O646">
        <v>85</v>
      </c>
      <c r="P646" s="2">
        <v>0.08</v>
      </c>
      <c r="Q646" s="6">
        <v>40</v>
      </c>
      <c r="R646" s="10">
        <v>50</v>
      </c>
      <c r="S646" s="10">
        <v>7</v>
      </c>
      <c r="T646" s="10"/>
      <c r="U646" t="str">
        <f>"RUNNING_COST_"&amp;IF(PROPERTIES[[#This Row],[ENGINE_CLASS]]="MAGLEV","ELECTRIC",PROPERTIES[[#This Row],[ENGINE_CLASS]])</f>
        <v>RUNNING_COST_ELECTRIC</v>
      </c>
      <c r="V646" s="10" t="s">
        <v>1008</v>
      </c>
      <c r="W646" s="10" t="s">
        <v>1009</v>
      </c>
      <c r="X646" s="10" t="str">
        <f>SUBSTITUTE(SUBSTITUTE(PROPERTIES[[#This Row],[PURCHASECOST_VALUE]], "PURCHASECOST_", ""), "_VALUE", "")</f>
        <v>EMU</v>
      </c>
      <c r="AP646"/>
      <c r="AQ646"/>
      <c r="AR646"/>
    </row>
    <row r="647" spans="1:44">
      <c r="A647" s="2" t="s">
        <v>670</v>
      </c>
      <c r="B647">
        <v>2015</v>
      </c>
      <c r="C647">
        <v>1</v>
      </c>
      <c r="D647" t="s">
        <v>74</v>
      </c>
      <c r="E647" t="s">
        <v>18</v>
      </c>
      <c r="F647">
        <v>60</v>
      </c>
      <c r="G647" s="10">
        <v>43</v>
      </c>
      <c r="H647">
        <v>8</v>
      </c>
      <c r="I647">
        <v>8</v>
      </c>
      <c r="J647" s="2" t="s">
        <v>24</v>
      </c>
      <c r="K647">
        <f>_xlfn.XLOOKUP("LOADINGSPEEDDEF_"&amp;PROPERTIES[[#This Row],[LOADINGSPEED]],LOADINGSPEEDDEF[TYPE],LOADINGSPEEDDEF[SPEED])</f>
        <v>40</v>
      </c>
      <c r="L647" t="s">
        <v>21</v>
      </c>
      <c r="M647">
        <v>1</v>
      </c>
      <c r="N647">
        <v>2700</v>
      </c>
      <c r="O647">
        <v>160</v>
      </c>
      <c r="P647" s="2">
        <v>0.47</v>
      </c>
      <c r="Q647" s="6">
        <v>40</v>
      </c>
      <c r="R647" s="10">
        <v>60</v>
      </c>
      <c r="S647" s="10">
        <v>8</v>
      </c>
      <c r="T647" s="10"/>
      <c r="U647" t="str">
        <f>"RUNNING_COST_"&amp;IF(PROPERTIES[[#This Row],[ENGINE_CLASS]]="MAGLEV","ELECTRIC",PROPERTIES[[#This Row],[ENGINE_CLASS]])</f>
        <v>RUNNING_COST_ELECTRIC</v>
      </c>
      <c r="V647" s="10" t="s">
        <v>1008</v>
      </c>
      <c r="W647" s="10" t="s">
        <v>1009</v>
      </c>
      <c r="X647" s="10" t="str">
        <f>SUBSTITUTE(SUBSTITUTE(PROPERTIES[[#This Row],[PURCHASECOST_VALUE]], "PURCHASECOST_", ""), "_VALUE", "")</f>
        <v>EMU</v>
      </c>
      <c r="AP647"/>
      <c r="AQ647"/>
      <c r="AR647"/>
    </row>
    <row r="648" spans="1:44">
      <c r="A648" s="2" t="s">
        <v>671</v>
      </c>
      <c r="B648">
        <v>2011</v>
      </c>
      <c r="C648">
        <v>1</v>
      </c>
      <c r="D648" t="s">
        <v>74</v>
      </c>
      <c r="E648" t="s">
        <v>18</v>
      </c>
      <c r="F648">
        <v>88</v>
      </c>
      <c r="G648" s="10">
        <v>56</v>
      </c>
      <c r="H648">
        <v>8</v>
      </c>
      <c r="I648">
        <v>8</v>
      </c>
      <c r="J648" s="2" t="s">
        <v>24</v>
      </c>
      <c r="K648">
        <f>_xlfn.XLOOKUP("LOADINGSPEEDDEF_"&amp;PROPERTIES[[#This Row],[LOADINGSPEED]],LOADINGSPEEDDEF[TYPE],LOADINGSPEEDDEF[SPEED])</f>
        <v>40</v>
      </c>
      <c r="L648" t="s">
        <v>21</v>
      </c>
      <c r="M648">
        <v>1</v>
      </c>
      <c r="N648">
        <v>3400</v>
      </c>
      <c r="O648">
        <v>160</v>
      </c>
      <c r="P648" s="2">
        <v>0.54</v>
      </c>
      <c r="Q648" s="6">
        <v>40</v>
      </c>
      <c r="R648" s="10">
        <v>88</v>
      </c>
      <c r="S648" s="10">
        <v>8</v>
      </c>
      <c r="T648" s="10"/>
      <c r="U648" t="str">
        <f>"RUNNING_COST_"&amp;IF(PROPERTIES[[#This Row],[ENGINE_CLASS]]="MAGLEV","ELECTRIC",PROPERTIES[[#This Row],[ENGINE_CLASS]])</f>
        <v>RUNNING_COST_ELECTRIC</v>
      </c>
      <c r="V648" s="10" t="s">
        <v>1008</v>
      </c>
      <c r="W648" s="10" t="s">
        <v>1009</v>
      </c>
      <c r="X648" s="10" t="str">
        <f>SUBSTITUTE(SUBSTITUTE(PROPERTIES[[#This Row],[PURCHASECOST_VALUE]], "PURCHASECOST_", ""), "_VALUE", "")</f>
        <v>EMU</v>
      </c>
      <c r="AP648"/>
      <c r="AQ648"/>
      <c r="AR648"/>
    </row>
    <row r="649" spans="1:44">
      <c r="A649" s="2" t="s">
        <v>754</v>
      </c>
      <c r="B649">
        <v>1900</v>
      </c>
      <c r="C649">
        <v>0</v>
      </c>
      <c r="D649" t="s">
        <v>19</v>
      </c>
      <c r="E649" t="s">
        <v>325</v>
      </c>
      <c r="F649">
        <v>1</v>
      </c>
      <c r="G649" s="10">
        <v>0</v>
      </c>
      <c r="H649">
        <v>8</v>
      </c>
      <c r="I649">
        <v>8</v>
      </c>
      <c r="J649" s="2" t="s">
        <v>20</v>
      </c>
      <c r="K649">
        <f>_xlfn.XLOOKUP("LOADINGSPEEDDEF_"&amp;PROPERTIES[[#This Row],[LOADINGSPEED]],LOADINGSPEEDDEF[TYPE],LOADINGSPEEDDEF[SPEED])</f>
        <v>0</v>
      </c>
      <c r="L649" t="s">
        <v>21</v>
      </c>
      <c r="M649">
        <v>1</v>
      </c>
      <c r="N649">
        <v>0</v>
      </c>
      <c r="O649">
        <v>0</v>
      </c>
      <c r="P649" s="2">
        <v>0.3</v>
      </c>
      <c r="Q649" s="6">
        <v>60</v>
      </c>
      <c r="R649" s="10">
        <v>0</v>
      </c>
      <c r="S649" s="10">
        <v>0</v>
      </c>
      <c r="T649" s="10"/>
      <c r="U649" t="str">
        <f>"RUNNING_COST_"&amp;IF(PROPERTIES[[#This Row],[ENGINE_CLASS]]="MAGLEV","ELECTRIC",PROPERTIES[[#This Row],[ENGINE_CLASS]])</f>
        <v>RUNNING_COST_ELECTRIC</v>
      </c>
      <c r="V649" s="10" t="s">
        <v>1002</v>
      </c>
      <c r="W649" s="10" t="s">
        <v>1003</v>
      </c>
      <c r="X649" s="10" t="str">
        <f>SUBSTITUTE(SUBSTITUTE(PROPERTIES[[#This Row],[PURCHASECOST_VALUE]], "PURCHASECOST_", ""), "_VALUE", "")</f>
        <v>METRO</v>
      </c>
      <c r="AP649"/>
      <c r="AQ649"/>
      <c r="AR649"/>
    </row>
    <row r="650" spans="1:44">
      <c r="A650" s="2" t="s">
        <v>753</v>
      </c>
      <c r="B650">
        <v>1900</v>
      </c>
      <c r="C650">
        <v>0</v>
      </c>
      <c r="D650" t="s">
        <v>19</v>
      </c>
      <c r="E650" t="s">
        <v>325</v>
      </c>
      <c r="F650">
        <v>1</v>
      </c>
      <c r="G650" s="10">
        <v>0</v>
      </c>
      <c r="H650">
        <v>8</v>
      </c>
      <c r="I650">
        <v>8</v>
      </c>
      <c r="J650" s="2" t="s">
        <v>20</v>
      </c>
      <c r="K650">
        <f>_xlfn.XLOOKUP("LOADINGSPEEDDEF_"&amp;PROPERTIES[[#This Row],[LOADINGSPEED]],LOADINGSPEEDDEF[TYPE],LOADINGSPEEDDEF[SPEED])</f>
        <v>0</v>
      </c>
      <c r="L650" t="s">
        <v>21</v>
      </c>
      <c r="M650">
        <v>1</v>
      </c>
      <c r="N650">
        <v>0</v>
      </c>
      <c r="O650">
        <v>0</v>
      </c>
      <c r="P650" s="2">
        <v>0.3</v>
      </c>
      <c r="Q650" s="6">
        <v>60</v>
      </c>
      <c r="R650" s="10">
        <v>0</v>
      </c>
      <c r="S650" s="10">
        <v>0</v>
      </c>
      <c r="T650" s="10"/>
      <c r="U650" t="str">
        <f>"RUNNING_COST_"&amp;IF(PROPERTIES[[#This Row],[ENGINE_CLASS]]="MAGLEV","ELECTRIC",PROPERTIES[[#This Row],[ENGINE_CLASS]])</f>
        <v>RUNNING_COST_ELECTRIC</v>
      </c>
      <c r="V650" s="10" t="s">
        <v>1002</v>
      </c>
      <c r="W650" s="10" t="s">
        <v>1003</v>
      </c>
      <c r="X650" s="10" t="str">
        <f>SUBSTITUTE(SUBSTITUTE(PROPERTIES[[#This Row],[PURCHASECOST_VALUE]], "PURCHASECOST_", ""), "_VALUE", "")</f>
        <v>METRO</v>
      </c>
      <c r="AP650"/>
      <c r="AQ650"/>
      <c r="AR650"/>
    </row>
    <row r="651" spans="1:44">
      <c r="A651" s="2" t="s">
        <v>755</v>
      </c>
      <c r="B651">
        <v>1992</v>
      </c>
      <c r="C651">
        <v>0</v>
      </c>
      <c r="D651" t="s">
        <v>35</v>
      </c>
      <c r="E651" t="s">
        <v>532</v>
      </c>
      <c r="F651">
        <v>1</v>
      </c>
      <c r="G651" s="10">
        <v>0</v>
      </c>
      <c r="H651">
        <v>8</v>
      </c>
      <c r="I651">
        <v>8</v>
      </c>
      <c r="J651" s="2" t="s">
        <v>20</v>
      </c>
      <c r="K651">
        <f>_xlfn.XLOOKUP("LOADINGSPEEDDEF_"&amp;PROPERTIES[[#This Row],[LOADINGSPEED]],LOADINGSPEEDDEF[TYPE],LOADINGSPEEDDEF[SPEED])</f>
        <v>0</v>
      </c>
      <c r="L651" t="s">
        <v>21</v>
      </c>
      <c r="M651">
        <v>0</v>
      </c>
      <c r="N651">
        <v>0</v>
      </c>
      <c r="O651">
        <v>0</v>
      </c>
      <c r="P651" s="2">
        <v>0.3</v>
      </c>
      <c r="Q651" s="6">
        <v>60</v>
      </c>
      <c r="R651" s="10">
        <v>0</v>
      </c>
      <c r="S651" s="10">
        <v>0</v>
      </c>
      <c r="T651" s="10"/>
      <c r="U651" t="str">
        <f>"RUNNING_COST_"&amp;IF(PROPERTIES[[#This Row],[ENGINE_CLASS]]="MAGLEV","ELECTRIC",PROPERTIES[[#This Row],[ENGINE_CLASS]])</f>
        <v>RUNNING_COST_DIESEL</v>
      </c>
      <c r="V651" s="10" t="s">
        <v>1006</v>
      </c>
      <c r="W651" s="10" t="s">
        <v>1007</v>
      </c>
      <c r="X651" s="10" t="str">
        <f>SUBSTITUTE(SUBSTITUTE(PROPERTIES[[#This Row],[PURCHASECOST_VALUE]], "PURCHASECOST_", ""), "_VALUE", "")</f>
        <v>DMU</v>
      </c>
      <c r="AP651"/>
      <c r="AQ651"/>
      <c r="AR651"/>
    </row>
    <row r="652" spans="1:44">
      <c r="A652" s="2" t="s">
        <v>756</v>
      </c>
      <c r="B652">
        <v>1992</v>
      </c>
      <c r="C652">
        <v>0</v>
      </c>
      <c r="D652" t="s">
        <v>35</v>
      </c>
      <c r="E652" t="s">
        <v>532</v>
      </c>
      <c r="F652">
        <v>1</v>
      </c>
      <c r="G652" s="10">
        <v>0</v>
      </c>
      <c r="H652">
        <v>8</v>
      </c>
      <c r="I652">
        <v>8</v>
      </c>
      <c r="J652" s="2" t="s">
        <v>20</v>
      </c>
      <c r="K652">
        <f>_xlfn.XLOOKUP("LOADINGSPEEDDEF_"&amp;PROPERTIES[[#This Row],[LOADINGSPEED]],LOADINGSPEEDDEF[TYPE],LOADINGSPEEDDEF[SPEED])</f>
        <v>0</v>
      </c>
      <c r="L652" t="s">
        <v>21</v>
      </c>
      <c r="M652">
        <v>0</v>
      </c>
      <c r="N652">
        <v>0</v>
      </c>
      <c r="O652">
        <v>0</v>
      </c>
      <c r="P652" s="2">
        <v>0.3</v>
      </c>
      <c r="Q652" s="6">
        <v>60</v>
      </c>
      <c r="R652" s="10">
        <v>0</v>
      </c>
      <c r="S652" s="10">
        <v>0</v>
      </c>
      <c r="T652" s="10"/>
      <c r="U652" t="str">
        <f>"RUNNING_COST_"&amp;IF(PROPERTIES[[#This Row],[ENGINE_CLASS]]="MAGLEV","ELECTRIC",PROPERTIES[[#This Row],[ENGINE_CLASS]])</f>
        <v>RUNNING_COST_DIESEL</v>
      </c>
      <c r="V652" s="10" t="s">
        <v>1006</v>
      </c>
      <c r="W652" s="10" t="s">
        <v>1007</v>
      </c>
      <c r="X652" s="10" t="str">
        <f>SUBSTITUTE(SUBSTITUTE(PROPERTIES[[#This Row],[PURCHASECOST_VALUE]], "PURCHASECOST_", ""), "_VALUE", "")</f>
        <v>DMU</v>
      </c>
      <c r="AP652"/>
      <c r="AQ652"/>
      <c r="AR652"/>
    </row>
    <row r="653" spans="1:44">
      <c r="A653" s="2" t="s">
        <v>757</v>
      </c>
      <c r="B653">
        <v>1908</v>
      </c>
      <c r="C653">
        <v>0</v>
      </c>
      <c r="D653" t="s">
        <v>35</v>
      </c>
      <c r="E653" t="s">
        <v>18</v>
      </c>
      <c r="F653">
        <v>1</v>
      </c>
      <c r="G653" s="10">
        <v>0</v>
      </c>
      <c r="H653">
        <v>8</v>
      </c>
      <c r="I653">
        <v>8</v>
      </c>
      <c r="J653" s="2" t="s">
        <v>20</v>
      </c>
      <c r="K653">
        <f>_xlfn.XLOOKUP("LOADINGSPEEDDEF_"&amp;PROPERTIES[[#This Row],[LOADINGSPEED]],LOADINGSPEEDDEF[TYPE],LOADINGSPEEDDEF[SPEED])</f>
        <v>0</v>
      </c>
      <c r="L653" t="s">
        <v>21</v>
      </c>
      <c r="M653">
        <v>1</v>
      </c>
      <c r="N653">
        <v>0</v>
      </c>
      <c r="O653">
        <v>0</v>
      </c>
      <c r="P653" s="2">
        <v>0.3</v>
      </c>
      <c r="Q653" s="6">
        <v>60</v>
      </c>
      <c r="R653" s="10">
        <v>0</v>
      </c>
      <c r="S653" s="10">
        <v>0</v>
      </c>
      <c r="T653" s="10"/>
      <c r="U653" t="str">
        <f>"RUNNING_COST_"&amp;IF(PROPERTIES[[#This Row],[ENGINE_CLASS]]="MAGLEV","ELECTRIC",PROPERTIES[[#This Row],[ENGINE_CLASS]])</f>
        <v>RUNNING_COST_DIESEL</v>
      </c>
      <c r="V653" s="10" t="s">
        <v>1006</v>
      </c>
      <c r="W653" s="10" t="s">
        <v>1007</v>
      </c>
      <c r="X653" s="10" t="str">
        <f>SUBSTITUTE(SUBSTITUTE(PROPERTIES[[#This Row],[PURCHASECOST_VALUE]], "PURCHASECOST_", ""), "_VALUE", "")</f>
        <v>DMU</v>
      </c>
      <c r="AP653"/>
      <c r="AQ653"/>
      <c r="AR653"/>
    </row>
    <row r="654" spans="1:44">
      <c r="A654" s="2" t="s">
        <v>758</v>
      </c>
      <c r="B654">
        <v>1908</v>
      </c>
      <c r="C654">
        <v>0</v>
      </c>
      <c r="D654" t="s">
        <v>35</v>
      </c>
      <c r="E654" t="s">
        <v>18</v>
      </c>
      <c r="F654">
        <v>1</v>
      </c>
      <c r="G654" s="10">
        <v>0</v>
      </c>
      <c r="H654">
        <v>8</v>
      </c>
      <c r="I654">
        <v>8</v>
      </c>
      <c r="J654" s="2" t="s">
        <v>20</v>
      </c>
      <c r="K654">
        <f>_xlfn.XLOOKUP("LOADINGSPEEDDEF_"&amp;PROPERTIES[[#This Row],[LOADINGSPEED]],LOADINGSPEEDDEF[TYPE],LOADINGSPEEDDEF[SPEED])</f>
        <v>0</v>
      </c>
      <c r="L654" t="s">
        <v>21</v>
      </c>
      <c r="M654">
        <v>1</v>
      </c>
      <c r="N654">
        <v>0</v>
      </c>
      <c r="O654">
        <v>0</v>
      </c>
      <c r="P654" s="2">
        <v>0.3</v>
      </c>
      <c r="Q654" s="6">
        <v>60</v>
      </c>
      <c r="R654" s="10">
        <v>0</v>
      </c>
      <c r="S654" s="10">
        <v>0</v>
      </c>
      <c r="T654" s="10"/>
      <c r="U654" t="str">
        <f>"RUNNING_COST_"&amp;IF(PROPERTIES[[#This Row],[ENGINE_CLASS]]="MAGLEV","ELECTRIC",PROPERTIES[[#This Row],[ENGINE_CLASS]])</f>
        <v>RUNNING_COST_DIESEL</v>
      </c>
      <c r="V654" s="10" t="s">
        <v>1006</v>
      </c>
      <c r="W654" s="10" t="s">
        <v>1007</v>
      </c>
      <c r="X654" s="10" t="str">
        <f>SUBSTITUTE(SUBSTITUTE(PROPERTIES[[#This Row],[PURCHASECOST_VALUE]], "PURCHASECOST_", ""), "_VALUE", "")</f>
        <v>DMU</v>
      </c>
      <c r="AP654"/>
      <c r="AQ654"/>
      <c r="AR654"/>
    </row>
    <row r="655" spans="1:44">
      <c r="A655" s="2" t="s">
        <v>760</v>
      </c>
      <c r="B655">
        <v>1830</v>
      </c>
      <c r="C655">
        <v>0</v>
      </c>
      <c r="D655" t="s">
        <v>35</v>
      </c>
      <c r="E655" t="s">
        <v>603</v>
      </c>
      <c r="F655">
        <v>20</v>
      </c>
      <c r="G655" s="10">
        <v>5</v>
      </c>
      <c r="H655">
        <v>4</v>
      </c>
      <c r="I655">
        <v>4</v>
      </c>
      <c r="J655" s="2" t="s">
        <v>33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>
        <v>0</v>
      </c>
      <c r="O655">
        <v>55</v>
      </c>
      <c r="P655" s="2">
        <v>0.3</v>
      </c>
      <c r="Q655" s="6">
        <v>25</v>
      </c>
      <c r="R655" s="10">
        <v>0</v>
      </c>
      <c r="S655" s="10">
        <v>0</v>
      </c>
      <c r="T655" s="10"/>
      <c r="U655" t="str">
        <f>"RUNNING_COST_"&amp;IF(PROPERTIES[[#This Row],[ENGINE_CLASS]]="MAGLEV","ELECTRIC",PROPERTIES[[#This Row],[ENGINE_CLASS]])</f>
        <v>RUNNING_COST_DIESEL</v>
      </c>
      <c r="V655" s="10" t="s">
        <v>1016</v>
      </c>
      <c r="W655" s="10" t="s">
        <v>1017</v>
      </c>
      <c r="X655" s="10" t="str">
        <f>SUBSTITUTE(SUBSTITUTE(PROPERTIES[[#This Row],[PURCHASECOST_VALUE]], "PURCHASECOST_", ""), "_VALUE", "")</f>
        <v>WAGON</v>
      </c>
      <c r="AP655"/>
      <c r="AQ655"/>
      <c r="AR655"/>
    </row>
    <row r="656" spans="1:44">
      <c r="A656" s="2" t="s">
        <v>761</v>
      </c>
      <c r="B656">
        <v>1830</v>
      </c>
      <c r="C656">
        <v>0</v>
      </c>
      <c r="D656" t="s">
        <v>35</v>
      </c>
      <c r="E656" t="s">
        <v>599</v>
      </c>
      <c r="F656">
        <v>20</v>
      </c>
      <c r="G656" s="10">
        <v>6</v>
      </c>
      <c r="H656">
        <v>4</v>
      </c>
      <c r="I656">
        <v>4</v>
      </c>
      <c r="J656" s="2" t="s">
        <v>33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>
        <v>0</v>
      </c>
      <c r="O656">
        <v>55</v>
      </c>
      <c r="P656" s="2">
        <v>0.3</v>
      </c>
      <c r="Q656" s="6">
        <v>25</v>
      </c>
      <c r="R656" s="10">
        <v>0</v>
      </c>
      <c r="S656" s="10">
        <v>0</v>
      </c>
      <c r="T656" s="10"/>
      <c r="U656" t="str">
        <f>"RUNNING_COST_"&amp;IF(PROPERTIES[[#This Row],[ENGINE_CLASS]]="MAGLEV","ELECTRIC",PROPERTIES[[#This Row],[ENGINE_CLASS]])</f>
        <v>RUNNING_COST_DIESEL</v>
      </c>
      <c r="V656" s="10" t="s">
        <v>1016</v>
      </c>
      <c r="W656" s="10" t="s">
        <v>1017</v>
      </c>
      <c r="X656" s="10" t="str">
        <f>SUBSTITUTE(SUBSTITUTE(PROPERTIES[[#This Row],[PURCHASECOST_VALUE]], "PURCHASECOST_", ""), "_VALUE", "")</f>
        <v>WAGON</v>
      </c>
      <c r="AP656"/>
      <c r="AQ656"/>
      <c r="AR656"/>
    </row>
    <row r="657" spans="1:44">
      <c r="A657" s="2" t="s">
        <v>762</v>
      </c>
      <c r="B657">
        <v>1830</v>
      </c>
      <c r="C657">
        <v>0</v>
      </c>
      <c r="D657" t="s">
        <v>35</v>
      </c>
      <c r="E657" t="s">
        <v>609</v>
      </c>
      <c r="F657">
        <v>10</v>
      </c>
      <c r="G657" s="10">
        <v>7</v>
      </c>
      <c r="H657">
        <v>4</v>
      </c>
      <c r="I657">
        <v>4</v>
      </c>
      <c r="J657" s="2" t="s">
        <v>33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>
        <v>0</v>
      </c>
      <c r="O657">
        <v>55</v>
      </c>
      <c r="P657" s="2">
        <v>0.3</v>
      </c>
      <c r="Q657" s="6">
        <v>25</v>
      </c>
      <c r="R657" s="10">
        <v>0</v>
      </c>
      <c r="S657" s="10">
        <v>0</v>
      </c>
      <c r="T657" s="10"/>
      <c r="U657" t="str">
        <f>"RUNNING_COST_"&amp;IF(PROPERTIES[[#This Row],[ENGINE_CLASS]]="MAGLEV","ELECTRIC",PROPERTIES[[#This Row],[ENGINE_CLASS]])</f>
        <v>RUNNING_COST_DIESEL</v>
      </c>
      <c r="V657" s="10" t="s">
        <v>1016</v>
      </c>
      <c r="W657" s="10" t="s">
        <v>1017</v>
      </c>
      <c r="X657" s="10" t="str">
        <f>SUBSTITUTE(SUBSTITUTE(PROPERTIES[[#This Row],[PURCHASECOST_VALUE]], "PURCHASECOST_", ""), "_VALUE", "")</f>
        <v>WAGON</v>
      </c>
      <c r="AP657"/>
      <c r="AQ657"/>
      <c r="AR657"/>
    </row>
    <row r="658" spans="1:44">
      <c r="A658" s="2" t="s">
        <v>763</v>
      </c>
      <c r="B658">
        <v>1830</v>
      </c>
      <c r="C658">
        <v>0</v>
      </c>
      <c r="D658" t="s">
        <v>35</v>
      </c>
      <c r="E658" t="s">
        <v>672</v>
      </c>
      <c r="F658">
        <v>18</v>
      </c>
      <c r="G658" s="10">
        <v>6</v>
      </c>
      <c r="H658">
        <v>4</v>
      </c>
      <c r="I658">
        <v>4</v>
      </c>
      <c r="J658" s="2" t="s">
        <v>33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>
        <v>0</v>
      </c>
      <c r="O658">
        <v>55</v>
      </c>
      <c r="P658" s="2">
        <v>0.3</v>
      </c>
      <c r="Q658" s="6">
        <v>25</v>
      </c>
      <c r="R658" s="10">
        <v>0</v>
      </c>
      <c r="S658" s="10">
        <v>0</v>
      </c>
      <c r="T658" s="10"/>
      <c r="U658" t="str">
        <f>"RUNNING_COST_"&amp;IF(PROPERTIES[[#This Row],[ENGINE_CLASS]]="MAGLEV","ELECTRIC",PROPERTIES[[#This Row],[ENGINE_CLASS]])</f>
        <v>RUNNING_COST_DIESEL</v>
      </c>
      <c r="V658" s="10" t="s">
        <v>1016</v>
      </c>
      <c r="W658" s="10" t="s">
        <v>1017</v>
      </c>
      <c r="X658" s="10" t="str">
        <f>SUBSTITUTE(SUBSTITUTE(PROPERTIES[[#This Row],[PURCHASECOST_VALUE]], "PURCHASECOST_", ""), "_VALUE", "")</f>
        <v>WAGON</v>
      </c>
      <c r="AP658"/>
      <c r="AQ658"/>
      <c r="AR658"/>
    </row>
    <row r="659" spans="1:44">
      <c r="A659" s="2" t="s">
        <v>835</v>
      </c>
      <c r="B659">
        <v>1900</v>
      </c>
      <c r="C659">
        <v>0</v>
      </c>
      <c r="D659" t="s">
        <v>35</v>
      </c>
      <c r="E659" t="s">
        <v>603</v>
      </c>
      <c r="F659">
        <v>30</v>
      </c>
      <c r="G659" s="10">
        <v>11</v>
      </c>
      <c r="H659">
        <v>5</v>
      </c>
      <c r="I659">
        <v>5</v>
      </c>
      <c r="J659" s="2" t="s">
        <v>33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>
        <v>0</v>
      </c>
      <c r="O659">
        <v>70</v>
      </c>
      <c r="P659" s="2">
        <v>0.3</v>
      </c>
      <c r="Q659" s="6">
        <v>25</v>
      </c>
      <c r="R659" s="10">
        <v>0</v>
      </c>
      <c r="S659" s="10">
        <v>0</v>
      </c>
      <c r="T659" s="10"/>
      <c r="U659" t="str">
        <f>"RUNNING_COST_"&amp;IF(PROPERTIES[[#This Row],[ENGINE_CLASS]]="MAGLEV","ELECTRIC",PROPERTIES[[#This Row],[ENGINE_CLASS]])</f>
        <v>RUNNING_COST_DIESEL</v>
      </c>
      <c r="V659" s="10" t="s">
        <v>1016</v>
      </c>
      <c r="W659" s="10" t="s">
        <v>1017</v>
      </c>
      <c r="X659" s="10" t="str">
        <f>SUBSTITUTE(SUBSTITUTE(PROPERTIES[[#This Row],[PURCHASECOST_VALUE]], "PURCHASECOST_", ""), "_VALUE", "")</f>
        <v>WAGON</v>
      </c>
      <c r="AP659"/>
      <c r="AQ659"/>
      <c r="AR659"/>
    </row>
    <row r="660" spans="1:44">
      <c r="A660" s="2" t="s">
        <v>836</v>
      </c>
      <c r="B660">
        <v>1890</v>
      </c>
      <c r="C660">
        <v>0</v>
      </c>
      <c r="D660" t="s">
        <v>35</v>
      </c>
      <c r="E660" t="s">
        <v>599</v>
      </c>
      <c r="F660">
        <v>25</v>
      </c>
      <c r="G660" s="10">
        <v>12</v>
      </c>
      <c r="H660">
        <v>5</v>
      </c>
      <c r="I660">
        <v>5</v>
      </c>
      <c r="J660" s="2" t="s">
        <v>33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>
        <v>0</v>
      </c>
      <c r="O660">
        <v>90</v>
      </c>
      <c r="P660" s="2">
        <v>0.3</v>
      </c>
      <c r="Q660" s="6">
        <v>25</v>
      </c>
      <c r="R660" s="10">
        <v>0</v>
      </c>
      <c r="S660" s="10">
        <v>0</v>
      </c>
      <c r="T660" s="10"/>
      <c r="U660" t="str">
        <f>"RUNNING_COST_"&amp;IF(PROPERTIES[[#This Row],[ENGINE_CLASS]]="MAGLEV","ELECTRIC",PROPERTIES[[#This Row],[ENGINE_CLASS]])</f>
        <v>RUNNING_COST_DIESEL</v>
      </c>
      <c r="V660" s="10" t="s">
        <v>1016</v>
      </c>
      <c r="W660" s="10" t="s">
        <v>1017</v>
      </c>
      <c r="X660" s="10" t="str">
        <f>SUBSTITUTE(SUBSTITUTE(PROPERTIES[[#This Row],[PURCHASECOST_VALUE]], "PURCHASECOST_", ""), "_VALUE", "")</f>
        <v>WAGON</v>
      </c>
      <c r="AP660"/>
      <c r="AQ660"/>
      <c r="AR660"/>
    </row>
    <row r="661" spans="1:44">
      <c r="A661" s="2" t="s">
        <v>837</v>
      </c>
      <c r="B661">
        <v>1890</v>
      </c>
      <c r="C661">
        <v>0</v>
      </c>
      <c r="D661" t="s">
        <v>35</v>
      </c>
      <c r="E661" t="s">
        <v>599</v>
      </c>
      <c r="F661">
        <v>25</v>
      </c>
      <c r="G661" s="10">
        <v>12</v>
      </c>
      <c r="H661">
        <v>5</v>
      </c>
      <c r="I661">
        <v>5</v>
      </c>
      <c r="J661" s="2" t="s">
        <v>33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>
        <v>0</v>
      </c>
      <c r="O661">
        <v>90</v>
      </c>
      <c r="P661" s="2">
        <v>0.3</v>
      </c>
      <c r="Q661" s="6">
        <v>25</v>
      </c>
      <c r="R661" s="10">
        <v>0</v>
      </c>
      <c r="S661" s="10">
        <v>0</v>
      </c>
      <c r="T661" s="10"/>
      <c r="U661" t="str">
        <f>"RUNNING_COST_"&amp;IF(PROPERTIES[[#This Row],[ENGINE_CLASS]]="MAGLEV","ELECTRIC",PROPERTIES[[#This Row],[ENGINE_CLASS]])</f>
        <v>RUNNING_COST_DIESEL</v>
      </c>
      <c r="V661" s="10" t="s">
        <v>1016</v>
      </c>
      <c r="W661" s="10" t="s">
        <v>1017</v>
      </c>
      <c r="X661" s="10" t="str">
        <f>SUBSTITUTE(SUBSTITUTE(PROPERTIES[[#This Row],[PURCHASECOST_VALUE]], "PURCHASECOST_", ""), "_VALUE", "")</f>
        <v>WAGON</v>
      </c>
      <c r="AP661"/>
      <c r="AQ661"/>
      <c r="AR661"/>
    </row>
    <row r="662" spans="1:44">
      <c r="A662" s="2" t="s">
        <v>838</v>
      </c>
      <c r="B662">
        <v>1900</v>
      </c>
      <c r="C662">
        <v>0</v>
      </c>
      <c r="D662" t="s">
        <v>35</v>
      </c>
      <c r="E662" t="s">
        <v>609</v>
      </c>
      <c r="F662">
        <v>20</v>
      </c>
      <c r="G662" s="10">
        <v>14</v>
      </c>
      <c r="H662">
        <v>5</v>
      </c>
      <c r="I662">
        <v>5</v>
      </c>
      <c r="J662" s="2" t="s">
        <v>33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>
        <v>0</v>
      </c>
      <c r="O662">
        <v>70</v>
      </c>
      <c r="P662" s="2">
        <v>0.3</v>
      </c>
      <c r="Q662" s="6">
        <v>25</v>
      </c>
      <c r="R662" s="10">
        <v>0</v>
      </c>
      <c r="S662" s="10">
        <v>0</v>
      </c>
      <c r="T662" s="10"/>
      <c r="U662" t="str">
        <f>"RUNNING_COST_"&amp;IF(PROPERTIES[[#This Row],[ENGINE_CLASS]]="MAGLEV","ELECTRIC",PROPERTIES[[#This Row],[ENGINE_CLASS]])</f>
        <v>RUNNING_COST_DIESEL</v>
      </c>
      <c r="V662" s="10" t="s">
        <v>1016</v>
      </c>
      <c r="W662" s="10" t="s">
        <v>1017</v>
      </c>
      <c r="X662" s="10" t="str">
        <f>SUBSTITUTE(SUBSTITUTE(PROPERTIES[[#This Row],[PURCHASECOST_VALUE]], "PURCHASECOST_", ""), "_VALUE", "")</f>
        <v>WAGON</v>
      </c>
      <c r="AP662"/>
      <c r="AQ662"/>
      <c r="AR662"/>
    </row>
    <row r="663" spans="1:44">
      <c r="A663" s="2" t="s">
        <v>839</v>
      </c>
      <c r="B663">
        <v>1890</v>
      </c>
      <c r="C663">
        <v>0</v>
      </c>
      <c r="D663" t="s">
        <v>35</v>
      </c>
      <c r="E663" t="s">
        <v>672</v>
      </c>
      <c r="F663">
        <v>26</v>
      </c>
      <c r="G663" s="10">
        <v>11</v>
      </c>
      <c r="H663">
        <v>5</v>
      </c>
      <c r="I663">
        <v>5</v>
      </c>
      <c r="J663" s="2" t="s">
        <v>33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>
        <v>0</v>
      </c>
      <c r="O663">
        <v>70</v>
      </c>
      <c r="P663" s="2">
        <v>0.3</v>
      </c>
      <c r="Q663" s="6">
        <v>25</v>
      </c>
      <c r="R663" s="10">
        <v>0</v>
      </c>
      <c r="S663" s="10">
        <v>0</v>
      </c>
      <c r="T663" s="10"/>
      <c r="U663" t="str">
        <f>"RUNNING_COST_"&amp;IF(PROPERTIES[[#This Row],[ENGINE_CLASS]]="MAGLEV","ELECTRIC",PROPERTIES[[#This Row],[ENGINE_CLASS]])</f>
        <v>RUNNING_COST_DIESEL</v>
      </c>
      <c r="V663" s="10" t="s">
        <v>1016</v>
      </c>
      <c r="W663" s="10" t="s">
        <v>1017</v>
      </c>
      <c r="X663" s="10" t="str">
        <f>SUBSTITUTE(SUBSTITUTE(PROPERTIES[[#This Row],[PURCHASECOST_VALUE]], "PURCHASECOST_", ""), "_VALUE", "")</f>
        <v>WAGON</v>
      </c>
      <c r="AP663"/>
      <c r="AQ663"/>
      <c r="AR663"/>
    </row>
    <row r="664" spans="1:44">
      <c r="A664" s="2" t="s">
        <v>840</v>
      </c>
      <c r="B664">
        <v>1900</v>
      </c>
      <c r="C664">
        <v>0</v>
      </c>
      <c r="D664" t="s">
        <v>35</v>
      </c>
      <c r="E664" t="s">
        <v>607</v>
      </c>
      <c r="F664">
        <v>25</v>
      </c>
      <c r="G664" s="10">
        <v>14</v>
      </c>
      <c r="H664">
        <v>5</v>
      </c>
      <c r="I664">
        <v>5</v>
      </c>
      <c r="J664" s="2" t="s">
        <v>33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>
        <v>0</v>
      </c>
      <c r="O664">
        <v>70</v>
      </c>
      <c r="P664" s="2">
        <v>0.3</v>
      </c>
      <c r="Q664" s="6">
        <v>25</v>
      </c>
      <c r="R664" s="10">
        <v>0</v>
      </c>
      <c r="S664" s="10">
        <v>0</v>
      </c>
      <c r="T664" s="10"/>
      <c r="U664" t="str">
        <f>"RUNNING_COST_"&amp;IF(PROPERTIES[[#This Row],[ENGINE_CLASS]]="MAGLEV","ELECTRIC",PROPERTIES[[#This Row],[ENGINE_CLASS]])</f>
        <v>RUNNING_COST_DIESEL</v>
      </c>
      <c r="V664" s="10" t="s">
        <v>1016</v>
      </c>
      <c r="W664" s="10" t="s">
        <v>1017</v>
      </c>
      <c r="X664" s="10" t="str">
        <f>SUBSTITUTE(SUBSTITUTE(PROPERTIES[[#This Row],[PURCHASECOST_VALUE]], "PURCHASECOST_", ""), "_VALUE", "")</f>
        <v>WAGON</v>
      </c>
      <c r="AP664"/>
      <c r="AQ664"/>
      <c r="AR664"/>
    </row>
    <row r="665" spans="1:44">
      <c r="A665" s="2" t="s">
        <v>841</v>
      </c>
      <c r="B665">
        <v>1890</v>
      </c>
      <c r="C665">
        <v>0</v>
      </c>
      <c r="D665" t="s">
        <v>35</v>
      </c>
      <c r="E665" t="s">
        <v>606</v>
      </c>
      <c r="F665">
        <v>30</v>
      </c>
      <c r="G665" s="10">
        <v>12</v>
      </c>
      <c r="H665">
        <v>5</v>
      </c>
      <c r="I665">
        <v>5</v>
      </c>
      <c r="J665" s="2" t="s">
        <v>33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>
        <v>0</v>
      </c>
      <c r="O665">
        <v>70</v>
      </c>
      <c r="P665" s="2">
        <v>0.3</v>
      </c>
      <c r="Q665" s="6">
        <v>25</v>
      </c>
      <c r="R665" s="10">
        <v>0</v>
      </c>
      <c r="S665" s="10">
        <v>0</v>
      </c>
      <c r="T665" s="10"/>
      <c r="U665" t="str">
        <f>"RUNNING_COST_"&amp;IF(PROPERTIES[[#This Row],[ENGINE_CLASS]]="MAGLEV","ELECTRIC",PROPERTIES[[#This Row],[ENGINE_CLASS]])</f>
        <v>RUNNING_COST_DIESEL</v>
      </c>
      <c r="V665" s="10" t="s">
        <v>1016</v>
      </c>
      <c r="W665" s="10" t="s">
        <v>1017</v>
      </c>
      <c r="X665" s="10" t="str">
        <f>SUBSTITUTE(SUBSTITUTE(PROPERTIES[[#This Row],[PURCHASECOST_VALUE]], "PURCHASECOST_", ""), "_VALUE", "")</f>
        <v>WAGON</v>
      </c>
      <c r="AP665"/>
      <c r="AQ665"/>
      <c r="AR665"/>
    </row>
    <row r="666" spans="1:44">
      <c r="A666" s="2" t="s">
        <v>842</v>
      </c>
      <c r="B666">
        <v>1930</v>
      </c>
      <c r="C666">
        <v>0</v>
      </c>
      <c r="D666" t="s">
        <v>35</v>
      </c>
      <c r="E666" t="s">
        <v>603</v>
      </c>
      <c r="F666">
        <v>40</v>
      </c>
      <c r="G666" s="10">
        <v>21</v>
      </c>
      <c r="H666">
        <v>6</v>
      </c>
      <c r="I666">
        <v>6</v>
      </c>
      <c r="J666" s="2" t="s">
        <v>33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>
        <v>0</v>
      </c>
      <c r="O666">
        <v>80</v>
      </c>
      <c r="P666" s="2">
        <v>0.3</v>
      </c>
      <c r="Q666" s="6">
        <v>25</v>
      </c>
      <c r="R666" s="10">
        <v>0</v>
      </c>
      <c r="S666" s="10">
        <v>0</v>
      </c>
      <c r="T666" s="10"/>
      <c r="U666" t="str">
        <f>"RUNNING_COST_"&amp;IF(PROPERTIES[[#This Row],[ENGINE_CLASS]]="MAGLEV","ELECTRIC",PROPERTIES[[#This Row],[ENGINE_CLASS]])</f>
        <v>RUNNING_COST_DIESEL</v>
      </c>
      <c r="V666" s="10" t="s">
        <v>1016</v>
      </c>
      <c r="W666" s="10" t="s">
        <v>1017</v>
      </c>
      <c r="X666" s="10" t="str">
        <f>SUBSTITUTE(SUBSTITUTE(PROPERTIES[[#This Row],[PURCHASECOST_VALUE]], "PURCHASECOST_", ""), "_VALUE", "")</f>
        <v>WAGON</v>
      </c>
      <c r="AP666"/>
      <c r="AQ666"/>
      <c r="AR666"/>
    </row>
    <row r="667" spans="1:44">
      <c r="A667" s="2" t="s">
        <v>843</v>
      </c>
      <c r="B667">
        <v>1920</v>
      </c>
      <c r="C667">
        <v>0</v>
      </c>
      <c r="D667" t="s">
        <v>35</v>
      </c>
      <c r="E667" t="s">
        <v>599</v>
      </c>
      <c r="F667">
        <v>40</v>
      </c>
      <c r="G667" s="10">
        <v>23</v>
      </c>
      <c r="H667">
        <v>6</v>
      </c>
      <c r="I667">
        <v>6</v>
      </c>
      <c r="J667" s="2" t="s">
        <v>33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>
        <v>0</v>
      </c>
      <c r="O667">
        <v>100</v>
      </c>
      <c r="P667" s="2">
        <v>0.3</v>
      </c>
      <c r="Q667" s="6">
        <v>25</v>
      </c>
      <c r="R667" s="10">
        <v>0</v>
      </c>
      <c r="S667" s="10">
        <v>0</v>
      </c>
      <c r="T667" s="10"/>
      <c r="U667" t="str">
        <f>"RUNNING_COST_"&amp;IF(PROPERTIES[[#This Row],[ENGINE_CLASS]]="MAGLEV","ELECTRIC",PROPERTIES[[#This Row],[ENGINE_CLASS]])</f>
        <v>RUNNING_COST_DIESEL</v>
      </c>
      <c r="V667" s="10" t="s">
        <v>1016</v>
      </c>
      <c r="W667" s="10" t="s">
        <v>1017</v>
      </c>
      <c r="X667" s="10" t="str">
        <f>SUBSTITUTE(SUBSTITUTE(PROPERTIES[[#This Row],[PURCHASECOST_VALUE]], "PURCHASECOST_", ""), "_VALUE", "")</f>
        <v>WAGON</v>
      </c>
      <c r="AP667"/>
      <c r="AQ667"/>
      <c r="AR667"/>
    </row>
    <row r="668" spans="1:44">
      <c r="A668" s="2" t="s">
        <v>844</v>
      </c>
      <c r="B668">
        <v>1920</v>
      </c>
      <c r="C668">
        <v>0</v>
      </c>
      <c r="D668" t="s">
        <v>35</v>
      </c>
      <c r="E668" t="s">
        <v>599</v>
      </c>
      <c r="F668">
        <v>40</v>
      </c>
      <c r="G668" s="10">
        <v>23</v>
      </c>
      <c r="H668">
        <v>6</v>
      </c>
      <c r="I668">
        <v>6</v>
      </c>
      <c r="J668" s="2" t="s">
        <v>33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>
        <v>0</v>
      </c>
      <c r="O668">
        <v>100</v>
      </c>
      <c r="P668" s="2">
        <v>0.3</v>
      </c>
      <c r="Q668" s="6">
        <v>25</v>
      </c>
      <c r="R668" s="10">
        <v>0</v>
      </c>
      <c r="S668" s="10">
        <v>0</v>
      </c>
      <c r="T668" s="10"/>
      <c r="U668" t="str">
        <f>"RUNNING_COST_"&amp;IF(PROPERTIES[[#This Row],[ENGINE_CLASS]]="MAGLEV","ELECTRIC",PROPERTIES[[#This Row],[ENGINE_CLASS]])</f>
        <v>RUNNING_COST_DIESEL</v>
      </c>
      <c r="V668" s="10" t="s">
        <v>1016</v>
      </c>
      <c r="W668" s="10" t="s">
        <v>1017</v>
      </c>
      <c r="X668" s="10" t="str">
        <f>SUBSTITUTE(SUBSTITUTE(PROPERTIES[[#This Row],[PURCHASECOST_VALUE]], "PURCHASECOST_", ""), "_VALUE", "")</f>
        <v>WAGON</v>
      </c>
      <c r="AP668"/>
      <c r="AQ668"/>
      <c r="AR668"/>
    </row>
    <row r="669" spans="1:44">
      <c r="A669" s="2" t="s">
        <v>845</v>
      </c>
      <c r="B669">
        <v>1930</v>
      </c>
      <c r="C669">
        <v>0</v>
      </c>
      <c r="D669" t="s">
        <v>35</v>
      </c>
      <c r="E669" t="s">
        <v>609</v>
      </c>
      <c r="F669">
        <v>35</v>
      </c>
      <c r="G669" s="10">
        <v>20</v>
      </c>
      <c r="H669">
        <v>6</v>
      </c>
      <c r="I669">
        <v>6</v>
      </c>
      <c r="J669" s="2" t="s">
        <v>33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>
        <v>0</v>
      </c>
      <c r="O669">
        <v>80</v>
      </c>
      <c r="P669" s="2">
        <v>0.3</v>
      </c>
      <c r="Q669" s="6">
        <v>25</v>
      </c>
      <c r="R669" s="10">
        <v>0</v>
      </c>
      <c r="S669" s="10">
        <v>0</v>
      </c>
      <c r="T669" s="10"/>
      <c r="U669" t="str">
        <f>"RUNNING_COST_"&amp;IF(PROPERTIES[[#This Row],[ENGINE_CLASS]]="MAGLEV","ELECTRIC",PROPERTIES[[#This Row],[ENGINE_CLASS]])</f>
        <v>RUNNING_COST_DIESEL</v>
      </c>
      <c r="V669" s="10" t="s">
        <v>1016</v>
      </c>
      <c r="W669" s="10" t="s">
        <v>1017</v>
      </c>
      <c r="X669" s="10" t="str">
        <f>SUBSTITUTE(SUBSTITUTE(PROPERTIES[[#This Row],[PURCHASECOST_VALUE]], "PURCHASECOST_", ""), "_VALUE", "")</f>
        <v>WAGON</v>
      </c>
      <c r="AP669"/>
      <c r="AQ669"/>
      <c r="AR669"/>
    </row>
    <row r="670" spans="1:44">
      <c r="A670" s="2" t="s">
        <v>846</v>
      </c>
      <c r="B670">
        <v>1920</v>
      </c>
      <c r="C670">
        <v>0</v>
      </c>
      <c r="D670" t="s">
        <v>35</v>
      </c>
      <c r="E670" t="s">
        <v>672</v>
      </c>
      <c r="F670">
        <v>35</v>
      </c>
      <c r="G670" s="10">
        <v>22</v>
      </c>
      <c r="H670">
        <v>6</v>
      </c>
      <c r="I670">
        <v>6</v>
      </c>
      <c r="J670" s="2" t="s">
        <v>33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>
        <v>0</v>
      </c>
      <c r="O670">
        <v>80</v>
      </c>
      <c r="P670" s="2">
        <v>0.3</v>
      </c>
      <c r="Q670" s="6">
        <v>25</v>
      </c>
      <c r="R670" s="10">
        <v>0</v>
      </c>
      <c r="S670" s="10">
        <v>0</v>
      </c>
      <c r="T670" s="10"/>
      <c r="U670" t="str">
        <f>"RUNNING_COST_"&amp;IF(PROPERTIES[[#This Row],[ENGINE_CLASS]]="MAGLEV","ELECTRIC",PROPERTIES[[#This Row],[ENGINE_CLASS]])</f>
        <v>RUNNING_COST_DIESEL</v>
      </c>
      <c r="V670" s="10" t="s">
        <v>1016</v>
      </c>
      <c r="W670" s="10" t="s">
        <v>1017</v>
      </c>
      <c r="X670" s="10" t="str">
        <f>SUBSTITUTE(SUBSTITUTE(PROPERTIES[[#This Row],[PURCHASECOST_VALUE]], "PURCHASECOST_", ""), "_VALUE", "")</f>
        <v>WAGON</v>
      </c>
      <c r="AP670"/>
      <c r="AQ670"/>
      <c r="AR670"/>
    </row>
    <row r="671" spans="1:44">
      <c r="A671" s="2" t="s">
        <v>847</v>
      </c>
      <c r="B671">
        <v>1930</v>
      </c>
      <c r="C671">
        <v>0</v>
      </c>
      <c r="D671" t="s">
        <v>35</v>
      </c>
      <c r="E671" t="s">
        <v>607</v>
      </c>
      <c r="F671">
        <v>40</v>
      </c>
      <c r="G671" s="10">
        <v>23</v>
      </c>
      <c r="H671">
        <v>6</v>
      </c>
      <c r="I671">
        <v>6</v>
      </c>
      <c r="J671" s="2" t="s">
        <v>33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>
        <v>0</v>
      </c>
      <c r="O671">
        <v>80</v>
      </c>
      <c r="P671" s="2">
        <v>0.3</v>
      </c>
      <c r="Q671" s="6">
        <v>25</v>
      </c>
      <c r="R671" s="10">
        <v>0</v>
      </c>
      <c r="S671" s="10">
        <v>0</v>
      </c>
      <c r="T671" s="10"/>
      <c r="U671" t="str">
        <f>"RUNNING_COST_"&amp;IF(PROPERTIES[[#This Row],[ENGINE_CLASS]]="MAGLEV","ELECTRIC",PROPERTIES[[#This Row],[ENGINE_CLASS]])</f>
        <v>RUNNING_COST_DIESEL</v>
      </c>
      <c r="V671" s="10" t="s">
        <v>1016</v>
      </c>
      <c r="W671" s="10" t="s">
        <v>1017</v>
      </c>
      <c r="X671" s="10" t="str">
        <f>SUBSTITUTE(SUBSTITUTE(PROPERTIES[[#This Row],[PURCHASECOST_VALUE]], "PURCHASECOST_", ""), "_VALUE", "")</f>
        <v>WAGON</v>
      </c>
      <c r="AP671"/>
      <c r="AQ671"/>
      <c r="AR671"/>
    </row>
    <row r="672" spans="1:44">
      <c r="A672" s="2" t="s">
        <v>848</v>
      </c>
      <c r="B672">
        <v>1930</v>
      </c>
      <c r="C672">
        <v>0</v>
      </c>
      <c r="D672" t="s">
        <v>35</v>
      </c>
      <c r="E672" t="s">
        <v>607</v>
      </c>
      <c r="F672">
        <v>40</v>
      </c>
      <c r="G672" s="10">
        <v>23</v>
      </c>
      <c r="H672">
        <v>6</v>
      </c>
      <c r="I672">
        <v>6</v>
      </c>
      <c r="J672" s="2" t="s">
        <v>33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>
        <v>0</v>
      </c>
      <c r="O672">
        <v>80</v>
      </c>
      <c r="P672" s="2">
        <v>0.3</v>
      </c>
      <c r="Q672" s="6">
        <v>25</v>
      </c>
      <c r="R672" s="10">
        <v>0</v>
      </c>
      <c r="S672" s="10">
        <v>0</v>
      </c>
      <c r="T672" s="10"/>
      <c r="U672" t="str">
        <f>"RUNNING_COST_"&amp;IF(PROPERTIES[[#This Row],[ENGINE_CLASS]]="MAGLEV","ELECTRIC",PROPERTIES[[#This Row],[ENGINE_CLASS]])</f>
        <v>RUNNING_COST_DIESEL</v>
      </c>
      <c r="V672" s="10" t="s">
        <v>1016</v>
      </c>
      <c r="W672" s="10" t="s">
        <v>1017</v>
      </c>
      <c r="X672" s="10" t="str">
        <f>SUBSTITUTE(SUBSTITUTE(PROPERTIES[[#This Row],[PURCHASECOST_VALUE]], "PURCHASECOST_", ""), "_VALUE", "")</f>
        <v>WAGON</v>
      </c>
      <c r="AP672"/>
      <c r="AQ672"/>
      <c r="AR672"/>
    </row>
    <row r="673" spans="1:44">
      <c r="A673" s="2" t="s">
        <v>849</v>
      </c>
      <c r="B673">
        <v>1920</v>
      </c>
      <c r="C673">
        <v>0</v>
      </c>
      <c r="D673" t="s">
        <v>35</v>
      </c>
      <c r="E673" t="s">
        <v>606</v>
      </c>
      <c r="F673">
        <v>40</v>
      </c>
      <c r="G673" s="10">
        <v>26</v>
      </c>
      <c r="H673">
        <v>6</v>
      </c>
      <c r="I673">
        <v>6</v>
      </c>
      <c r="J673" s="2" t="s">
        <v>33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>
        <v>0</v>
      </c>
      <c r="O673">
        <v>80</v>
      </c>
      <c r="P673" s="2">
        <v>0.3</v>
      </c>
      <c r="Q673" s="6">
        <v>25</v>
      </c>
      <c r="R673" s="10">
        <v>0</v>
      </c>
      <c r="S673" s="10">
        <v>0</v>
      </c>
      <c r="T673" s="10"/>
      <c r="U673" t="str">
        <f>"RUNNING_COST_"&amp;IF(PROPERTIES[[#This Row],[ENGINE_CLASS]]="MAGLEV","ELECTRIC",PROPERTIES[[#This Row],[ENGINE_CLASS]])</f>
        <v>RUNNING_COST_DIESEL</v>
      </c>
      <c r="V673" s="10" t="s">
        <v>1016</v>
      </c>
      <c r="W673" s="10" t="s">
        <v>1017</v>
      </c>
      <c r="X673" s="10" t="str">
        <f>SUBSTITUTE(SUBSTITUTE(PROPERTIES[[#This Row],[PURCHASECOST_VALUE]], "PURCHASECOST_", ""), "_VALUE", "")</f>
        <v>WAGON</v>
      </c>
      <c r="AP673"/>
      <c r="AQ673"/>
      <c r="AR673"/>
    </row>
    <row r="674" spans="1:44">
      <c r="A674" s="2" t="s">
        <v>850</v>
      </c>
      <c r="B674">
        <v>1960</v>
      </c>
      <c r="C674">
        <v>0</v>
      </c>
      <c r="D674" t="s">
        <v>35</v>
      </c>
      <c r="E674" t="s">
        <v>603</v>
      </c>
      <c r="F674">
        <v>50</v>
      </c>
      <c r="G674" s="10">
        <v>25</v>
      </c>
      <c r="H674">
        <v>7</v>
      </c>
      <c r="I674">
        <v>7</v>
      </c>
      <c r="J674" s="2" t="s">
        <v>33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>
        <v>0</v>
      </c>
      <c r="O674">
        <v>100</v>
      </c>
      <c r="P674" s="2">
        <v>0.3</v>
      </c>
      <c r="Q674" s="6">
        <v>25</v>
      </c>
      <c r="R674" s="10">
        <v>0</v>
      </c>
      <c r="S674" s="10">
        <v>0</v>
      </c>
      <c r="T674" s="10"/>
      <c r="U674" t="str">
        <f>"RUNNING_COST_"&amp;IF(PROPERTIES[[#This Row],[ENGINE_CLASS]]="MAGLEV","ELECTRIC",PROPERTIES[[#This Row],[ENGINE_CLASS]])</f>
        <v>RUNNING_COST_DIESEL</v>
      </c>
      <c r="V674" s="10" t="s">
        <v>1016</v>
      </c>
      <c r="W674" s="10" t="s">
        <v>1017</v>
      </c>
      <c r="X674" s="10" t="str">
        <f>SUBSTITUTE(SUBSTITUTE(PROPERTIES[[#This Row],[PURCHASECOST_VALUE]], "PURCHASECOST_", ""), "_VALUE", "")</f>
        <v>WAGON</v>
      </c>
      <c r="AP674"/>
      <c r="AQ674"/>
      <c r="AR674"/>
    </row>
    <row r="675" spans="1:44">
      <c r="A675" s="2" t="s">
        <v>851</v>
      </c>
      <c r="B675">
        <v>1960</v>
      </c>
      <c r="C675">
        <v>0</v>
      </c>
      <c r="D675" t="s">
        <v>35</v>
      </c>
      <c r="E675" t="s">
        <v>605</v>
      </c>
      <c r="F675">
        <v>70</v>
      </c>
      <c r="G675" s="10">
        <v>30</v>
      </c>
      <c r="H675">
        <v>7</v>
      </c>
      <c r="I675">
        <v>7</v>
      </c>
      <c r="J675" s="2" t="s">
        <v>33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>
        <v>0</v>
      </c>
      <c r="O675">
        <v>100</v>
      </c>
      <c r="P675" s="2">
        <v>0.3</v>
      </c>
      <c r="Q675" s="6">
        <v>25</v>
      </c>
      <c r="R675" s="10">
        <v>0</v>
      </c>
      <c r="S675" s="10">
        <v>0</v>
      </c>
      <c r="T675" s="10"/>
      <c r="U675" t="str">
        <f>"RUNNING_COST_"&amp;IF(PROPERTIES[[#This Row],[ENGINE_CLASS]]="MAGLEV","ELECTRIC",PROPERTIES[[#This Row],[ENGINE_CLASS]])</f>
        <v>RUNNING_COST_DIESEL</v>
      </c>
      <c r="V675" s="10" t="s">
        <v>1016</v>
      </c>
      <c r="W675" s="10" t="s">
        <v>1017</v>
      </c>
      <c r="X675" s="10" t="str">
        <f>SUBSTITUTE(SUBSTITUTE(PROPERTIES[[#This Row],[PURCHASECOST_VALUE]], "PURCHASECOST_", ""), "_VALUE", "")</f>
        <v>WAGON</v>
      </c>
      <c r="AP675"/>
      <c r="AQ675"/>
      <c r="AR675"/>
    </row>
    <row r="676" spans="1:44">
      <c r="A676" s="2" t="s">
        <v>852</v>
      </c>
      <c r="B676">
        <v>1950</v>
      </c>
      <c r="C676">
        <v>0</v>
      </c>
      <c r="D676" t="s">
        <v>35</v>
      </c>
      <c r="E676" t="s">
        <v>599</v>
      </c>
      <c r="F676">
        <v>42</v>
      </c>
      <c r="G676" s="10">
        <v>30</v>
      </c>
      <c r="H676">
        <v>7</v>
      </c>
      <c r="I676">
        <v>7</v>
      </c>
      <c r="J676" s="2" t="s">
        <v>33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>
        <v>0</v>
      </c>
      <c r="O676">
        <v>120</v>
      </c>
      <c r="P676" s="2">
        <v>0.3</v>
      </c>
      <c r="Q676" s="6">
        <v>25</v>
      </c>
      <c r="R676" s="10">
        <v>0</v>
      </c>
      <c r="S676" s="10">
        <v>0</v>
      </c>
      <c r="T676" s="10"/>
      <c r="U676" t="str">
        <f>"RUNNING_COST_"&amp;IF(PROPERTIES[[#This Row],[ENGINE_CLASS]]="MAGLEV","ELECTRIC",PROPERTIES[[#This Row],[ENGINE_CLASS]])</f>
        <v>RUNNING_COST_DIESEL</v>
      </c>
      <c r="V676" s="10" t="s">
        <v>1016</v>
      </c>
      <c r="W676" s="10" t="s">
        <v>1017</v>
      </c>
      <c r="X676" s="10" t="str">
        <f>SUBSTITUTE(SUBSTITUTE(PROPERTIES[[#This Row],[PURCHASECOST_VALUE]], "PURCHASECOST_", ""), "_VALUE", "")</f>
        <v>WAGON</v>
      </c>
      <c r="AP676"/>
      <c r="AQ676"/>
      <c r="AR676"/>
    </row>
    <row r="677" spans="1:44">
      <c r="A677" s="2" t="s">
        <v>853</v>
      </c>
      <c r="B677">
        <v>1950</v>
      </c>
      <c r="C677">
        <v>0</v>
      </c>
      <c r="D677" t="s">
        <v>35</v>
      </c>
      <c r="E677" t="s">
        <v>599</v>
      </c>
      <c r="F677">
        <v>42</v>
      </c>
      <c r="G677" s="10">
        <v>30</v>
      </c>
      <c r="H677">
        <v>7</v>
      </c>
      <c r="I677">
        <v>7</v>
      </c>
      <c r="J677" s="2" t="s">
        <v>33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>
        <v>0</v>
      </c>
      <c r="O677">
        <v>120</v>
      </c>
      <c r="P677" s="2">
        <v>0.3</v>
      </c>
      <c r="Q677" s="6">
        <v>25</v>
      </c>
      <c r="R677" s="10">
        <v>0</v>
      </c>
      <c r="S677" s="10">
        <v>0</v>
      </c>
      <c r="T677" s="10"/>
      <c r="U677" t="str">
        <f>"RUNNING_COST_"&amp;IF(PROPERTIES[[#This Row],[ENGINE_CLASS]]="MAGLEV","ELECTRIC",PROPERTIES[[#This Row],[ENGINE_CLASS]])</f>
        <v>RUNNING_COST_DIESEL</v>
      </c>
      <c r="V677" s="10" t="s">
        <v>1016</v>
      </c>
      <c r="W677" s="10" t="s">
        <v>1017</v>
      </c>
      <c r="X677" s="10" t="str">
        <f>SUBSTITUTE(SUBSTITUTE(PROPERTIES[[#This Row],[PURCHASECOST_VALUE]], "PURCHASECOST_", ""), "_VALUE", "")</f>
        <v>WAGON</v>
      </c>
      <c r="AP677"/>
      <c r="AQ677"/>
      <c r="AR677"/>
    </row>
    <row r="678" spans="1:44">
      <c r="A678" s="2" t="s">
        <v>854</v>
      </c>
      <c r="B678">
        <v>1950</v>
      </c>
      <c r="C678">
        <v>0</v>
      </c>
      <c r="D678" t="s">
        <v>35</v>
      </c>
      <c r="E678" t="s">
        <v>609</v>
      </c>
      <c r="F678">
        <v>80</v>
      </c>
      <c r="G678" s="10">
        <v>22</v>
      </c>
      <c r="H678">
        <v>7</v>
      </c>
      <c r="I678">
        <v>7</v>
      </c>
      <c r="J678" s="2" t="s">
        <v>33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>
        <v>0</v>
      </c>
      <c r="O678">
        <v>100</v>
      </c>
      <c r="P678" s="2">
        <v>0.3</v>
      </c>
      <c r="Q678" s="6">
        <v>25</v>
      </c>
      <c r="R678" s="10">
        <v>0</v>
      </c>
      <c r="S678" s="10">
        <v>0</v>
      </c>
      <c r="T678" s="10"/>
      <c r="U678" t="str">
        <f>"RUNNING_COST_"&amp;IF(PROPERTIES[[#This Row],[ENGINE_CLASS]]="MAGLEV","ELECTRIC",PROPERTIES[[#This Row],[ENGINE_CLASS]])</f>
        <v>RUNNING_COST_DIESEL</v>
      </c>
      <c r="V678" s="10" t="s">
        <v>1016</v>
      </c>
      <c r="W678" s="10" t="s">
        <v>1017</v>
      </c>
      <c r="X678" s="10" t="str">
        <f>SUBSTITUTE(SUBSTITUTE(PROPERTIES[[#This Row],[PURCHASECOST_VALUE]], "PURCHASECOST_", ""), "_VALUE", "")</f>
        <v>WAGON</v>
      </c>
      <c r="AP678"/>
      <c r="AQ678"/>
      <c r="AR678"/>
    </row>
    <row r="679" spans="1:44">
      <c r="A679" s="2" t="s">
        <v>855</v>
      </c>
      <c r="B679">
        <v>1950</v>
      </c>
      <c r="C679">
        <v>0</v>
      </c>
      <c r="D679" t="s">
        <v>35</v>
      </c>
      <c r="E679" t="s">
        <v>604</v>
      </c>
      <c r="F679">
        <v>55</v>
      </c>
      <c r="G679" s="10">
        <v>22</v>
      </c>
      <c r="H679">
        <v>7</v>
      </c>
      <c r="I679">
        <v>7</v>
      </c>
      <c r="J679" s="2" t="s">
        <v>33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>
        <v>0</v>
      </c>
      <c r="O679">
        <v>100</v>
      </c>
      <c r="P679" s="2">
        <v>0.3</v>
      </c>
      <c r="Q679" s="6">
        <v>25</v>
      </c>
      <c r="R679" s="10">
        <v>0</v>
      </c>
      <c r="S679" s="10">
        <v>0</v>
      </c>
      <c r="T679" s="10"/>
      <c r="U679" t="str">
        <f>"RUNNING_COST_"&amp;IF(PROPERTIES[[#This Row],[ENGINE_CLASS]]="MAGLEV","ELECTRIC",PROPERTIES[[#This Row],[ENGINE_CLASS]])</f>
        <v>RUNNING_COST_DIESEL</v>
      </c>
      <c r="V679" s="10" t="s">
        <v>1016</v>
      </c>
      <c r="W679" s="10" t="s">
        <v>1017</v>
      </c>
      <c r="X679" s="10" t="str">
        <f>SUBSTITUTE(SUBSTITUTE(PROPERTIES[[#This Row],[PURCHASECOST_VALUE]], "PURCHASECOST_", ""), "_VALUE", "")</f>
        <v>WAGON</v>
      </c>
      <c r="AP679"/>
      <c r="AQ679"/>
      <c r="AR679"/>
    </row>
    <row r="680" spans="1:44">
      <c r="A680" s="2" t="s">
        <v>856</v>
      </c>
      <c r="B680">
        <v>1950</v>
      </c>
      <c r="C680">
        <v>0</v>
      </c>
      <c r="D680" t="s">
        <v>35</v>
      </c>
      <c r="E680" t="s">
        <v>607</v>
      </c>
      <c r="F680">
        <v>55</v>
      </c>
      <c r="G680" s="10">
        <v>25</v>
      </c>
      <c r="H680">
        <v>7</v>
      </c>
      <c r="I680">
        <v>7</v>
      </c>
      <c r="J680" s="2" t="s">
        <v>33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>
        <v>0</v>
      </c>
      <c r="O680">
        <v>100</v>
      </c>
      <c r="P680" s="2">
        <v>0.3</v>
      </c>
      <c r="Q680" s="6">
        <v>25</v>
      </c>
      <c r="R680" s="10">
        <v>0</v>
      </c>
      <c r="S680" s="10">
        <v>0</v>
      </c>
      <c r="T680" s="10"/>
      <c r="U680" t="str">
        <f>"RUNNING_COST_"&amp;IF(PROPERTIES[[#This Row],[ENGINE_CLASS]]="MAGLEV","ELECTRIC",PROPERTIES[[#This Row],[ENGINE_CLASS]])</f>
        <v>RUNNING_COST_DIESEL</v>
      </c>
      <c r="V680" s="10" t="s">
        <v>1016</v>
      </c>
      <c r="W680" s="10" t="s">
        <v>1017</v>
      </c>
      <c r="X680" s="10" t="str">
        <f>SUBSTITUTE(SUBSTITUTE(PROPERTIES[[#This Row],[PURCHASECOST_VALUE]], "PURCHASECOST_", ""), "_VALUE", "")</f>
        <v>WAGON</v>
      </c>
      <c r="AP680"/>
      <c r="AQ680"/>
      <c r="AR680"/>
    </row>
    <row r="681" spans="1:44">
      <c r="A681" s="2" t="s">
        <v>857</v>
      </c>
      <c r="B681">
        <v>1950</v>
      </c>
      <c r="C681">
        <v>0</v>
      </c>
      <c r="D681" t="s">
        <v>35</v>
      </c>
      <c r="E681" t="s">
        <v>607</v>
      </c>
      <c r="F681">
        <v>55</v>
      </c>
      <c r="G681" s="10">
        <v>25</v>
      </c>
      <c r="H681">
        <v>7</v>
      </c>
      <c r="I681">
        <v>7</v>
      </c>
      <c r="J681" s="2" t="s">
        <v>33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>
        <v>0</v>
      </c>
      <c r="O681">
        <v>100</v>
      </c>
      <c r="P681" s="2">
        <v>0.3</v>
      </c>
      <c r="Q681" s="6">
        <v>25</v>
      </c>
      <c r="R681" s="10">
        <v>0</v>
      </c>
      <c r="S681" s="10">
        <v>0</v>
      </c>
      <c r="T681" s="10"/>
      <c r="U681" t="str">
        <f>"RUNNING_COST_"&amp;IF(PROPERTIES[[#This Row],[ENGINE_CLASS]]="MAGLEV","ELECTRIC",PROPERTIES[[#This Row],[ENGINE_CLASS]])</f>
        <v>RUNNING_COST_DIESEL</v>
      </c>
      <c r="V681" s="10" t="s">
        <v>1016</v>
      </c>
      <c r="W681" s="10" t="s">
        <v>1017</v>
      </c>
      <c r="X681" s="10" t="str">
        <f>SUBSTITUTE(SUBSTITUTE(PROPERTIES[[#This Row],[PURCHASECOST_VALUE]], "PURCHASECOST_", ""), "_VALUE", "")</f>
        <v>WAGON</v>
      </c>
      <c r="AP681"/>
      <c r="AQ681"/>
      <c r="AR681"/>
    </row>
    <row r="682" spans="1:44">
      <c r="A682" s="2" t="s">
        <v>858</v>
      </c>
      <c r="B682">
        <v>1960</v>
      </c>
      <c r="C682">
        <v>0</v>
      </c>
      <c r="D682" t="s">
        <v>35</v>
      </c>
      <c r="E682" t="s">
        <v>606</v>
      </c>
      <c r="F682">
        <v>55</v>
      </c>
      <c r="G682" s="10">
        <v>25</v>
      </c>
      <c r="H682">
        <v>7</v>
      </c>
      <c r="I682">
        <v>7</v>
      </c>
      <c r="J682" s="2" t="s">
        <v>33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>
        <v>0</v>
      </c>
      <c r="O682">
        <v>100</v>
      </c>
      <c r="P682" s="2">
        <v>0.3</v>
      </c>
      <c r="Q682" s="6">
        <v>25</v>
      </c>
      <c r="R682" s="10">
        <v>0</v>
      </c>
      <c r="S682" s="10">
        <v>0</v>
      </c>
      <c r="T682" s="10"/>
      <c r="U682" t="str">
        <f>"RUNNING_COST_"&amp;IF(PROPERTIES[[#This Row],[ENGINE_CLASS]]="MAGLEV","ELECTRIC",PROPERTIES[[#This Row],[ENGINE_CLASS]])</f>
        <v>RUNNING_COST_DIESEL</v>
      </c>
      <c r="V682" s="10" t="s">
        <v>1016</v>
      </c>
      <c r="W682" s="10" t="s">
        <v>1017</v>
      </c>
      <c r="X682" s="10" t="str">
        <f>SUBSTITUTE(SUBSTITUTE(PROPERTIES[[#This Row],[PURCHASECOST_VALUE]], "PURCHASECOST_", ""), "_VALUE", "")</f>
        <v>WAGON</v>
      </c>
      <c r="AP682"/>
      <c r="AQ682"/>
      <c r="AR682"/>
    </row>
    <row r="683" spans="1:44">
      <c r="A683" s="2" t="s">
        <v>859</v>
      </c>
      <c r="B683">
        <v>1960</v>
      </c>
      <c r="C683">
        <v>0</v>
      </c>
      <c r="D683" t="s">
        <v>35</v>
      </c>
      <c r="E683" t="s">
        <v>606</v>
      </c>
      <c r="F683">
        <v>55</v>
      </c>
      <c r="G683" s="10">
        <v>25</v>
      </c>
      <c r="H683">
        <v>7</v>
      </c>
      <c r="I683">
        <v>7</v>
      </c>
      <c r="J683" s="2" t="s">
        <v>33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>
        <v>0</v>
      </c>
      <c r="O683">
        <v>100</v>
      </c>
      <c r="P683" s="2">
        <v>0.3</v>
      </c>
      <c r="Q683" s="6">
        <v>25</v>
      </c>
      <c r="R683" s="10">
        <v>0</v>
      </c>
      <c r="S683" s="10">
        <v>0</v>
      </c>
      <c r="T683" s="10"/>
      <c r="U683" t="str">
        <f>"RUNNING_COST_"&amp;IF(PROPERTIES[[#This Row],[ENGINE_CLASS]]="MAGLEV","ELECTRIC",PROPERTIES[[#This Row],[ENGINE_CLASS]])</f>
        <v>RUNNING_COST_DIESEL</v>
      </c>
      <c r="V683" s="10" t="s">
        <v>1016</v>
      </c>
      <c r="W683" s="10" t="s">
        <v>1017</v>
      </c>
      <c r="X683" s="10" t="str">
        <f>SUBSTITUTE(SUBSTITUTE(PROPERTIES[[#This Row],[PURCHASECOST_VALUE]], "PURCHASECOST_", ""), "_VALUE", "")</f>
        <v>WAGON</v>
      </c>
      <c r="AP683"/>
      <c r="AQ683"/>
      <c r="AR683"/>
    </row>
    <row r="684" spans="1:44">
      <c r="A684" s="2" t="s">
        <v>860</v>
      </c>
      <c r="B684">
        <v>1960</v>
      </c>
      <c r="C684">
        <v>0</v>
      </c>
      <c r="D684" t="s">
        <v>35</v>
      </c>
      <c r="E684" t="s">
        <v>600</v>
      </c>
      <c r="F684">
        <v>16</v>
      </c>
      <c r="G684" s="10">
        <v>26</v>
      </c>
      <c r="H684">
        <v>7</v>
      </c>
      <c r="I684">
        <v>7</v>
      </c>
      <c r="J684" s="2" t="s">
        <v>33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>
        <v>0</v>
      </c>
      <c r="O684">
        <v>100</v>
      </c>
      <c r="P684" s="2">
        <v>0.3</v>
      </c>
      <c r="Q684" s="6">
        <v>25</v>
      </c>
      <c r="R684" s="10">
        <v>0</v>
      </c>
      <c r="S684" s="10">
        <v>0</v>
      </c>
      <c r="T684" s="10"/>
      <c r="U684" t="str">
        <f>"RUNNING_COST_"&amp;IF(PROPERTIES[[#This Row],[ENGINE_CLASS]]="MAGLEV","ELECTRIC",PROPERTIES[[#This Row],[ENGINE_CLASS]])</f>
        <v>RUNNING_COST_DIESEL</v>
      </c>
      <c r="V684" s="10" t="s">
        <v>1016</v>
      </c>
      <c r="W684" s="10" t="s">
        <v>1017</v>
      </c>
      <c r="X684" s="10" t="str">
        <f>SUBSTITUTE(SUBSTITUTE(PROPERTIES[[#This Row],[PURCHASECOST_VALUE]], "PURCHASECOST_", ""), "_VALUE", "")</f>
        <v>WAGON</v>
      </c>
      <c r="AP684"/>
      <c r="AQ684"/>
      <c r="AR684"/>
    </row>
    <row r="685" spans="1:44">
      <c r="A685" s="2" t="s">
        <v>861</v>
      </c>
      <c r="B685">
        <v>1960</v>
      </c>
      <c r="C685">
        <v>0</v>
      </c>
      <c r="D685" t="s">
        <v>35</v>
      </c>
      <c r="E685" t="s">
        <v>532</v>
      </c>
      <c r="F685">
        <v>37</v>
      </c>
      <c r="G685" s="10">
        <v>19</v>
      </c>
      <c r="H685">
        <v>7</v>
      </c>
      <c r="I685">
        <v>7</v>
      </c>
      <c r="J685" s="2" t="s">
        <v>33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>
        <v>0</v>
      </c>
      <c r="O685">
        <v>120</v>
      </c>
      <c r="P685" s="2">
        <v>0.3</v>
      </c>
      <c r="Q685" s="6">
        <v>25</v>
      </c>
      <c r="R685" s="10">
        <v>0</v>
      </c>
      <c r="S685" s="10">
        <v>0</v>
      </c>
      <c r="T685" s="10"/>
      <c r="U685" t="str">
        <f>"RUNNING_COST_"&amp;IF(PROPERTIES[[#This Row],[ENGINE_CLASS]]="MAGLEV","ELECTRIC",PROPERTIES[[#This Row],[ENGINE_CLASS]])</f>
        <v>RUNNING_COST_DIESEL</v>
      </c>
      <c r="V685" s="10" t="s">
        <v>1016</v>
      </c>
      <c r="W685" s="10" t="s">
        <v>1017</v>
      </c>
      <c r="X685" s="10" t="str">
        <f>SUBSTITUTE(SUBSTITUTE(PROPERTIES[[#This Row],[PURCHASECOST_VALUE]], "PURCHASECOST_", ""), "_VALUE", "")</f>
        <v>WAGON</v>
      </c>
      <c r="AP685"/>
      <c r="AQ685"/>
      <c r="AR685"/>
    </row>
    <row r="686" spans="1:44">
      <c r="A686" s="2" t="s">
        <v>862</v>
      </c>
      <c r="B686">
        <v>1950</v>
      </c>
      <c r="C686">
        <v>0</v>
      </c>
      <c r="D686" t="s">
        <v>35</v>
      </c>
      <c r="E686" t="s">
        <v>601</v>
      </c>
      <c r="F686">
        <v>45</v>
      </c>
      <c r="G686" s="10">
        <v>42</v>
      </c>
      <c r="H686">
        <v>7</v>
      </c>
      <c r="I686">
        <v>7</v>
      </c>
      <c r="J686" s="2" t="s">
        <v>33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>
        <v>0</v>
      </c>
      <c r="O686">
        <v>100</v>
      </c>
      <c r="P686" s="2">
        <v>0.3</v>
      </c>
      <c r="Q686" s="6">
        <v>25</v>
      </c>
      <c r="R686" s="10">
        <v>0</v>
      </c>
      <c r="S686" s="10">
        <v>0</v>
      </c>
      <c r="T686" s="10"/>
      <c r="U686" t="str">
        <f>"RUNNING_COST_"&amp;IF(PROPERTIES[[#This Row],[ENGINE_CLASS]]="MAGLEV","ELECTRIC",PROPERTIES[[#This Row],[ENGINE_CLASS]])</f>
        <v>RUNNING_COST_DIESEL</v>
      </c>
      <c r="V686" s="10" t="s">
        <v>1016</v>
      </c>
      <c r="W686" s="10" t="s">
        <v>1017</v>
      </c>
      <c r="X686" s="10" t="str">
        <f>SUBSTITUTE(SUBSTITUTE(PROPERTIES[[#This Row],[PURCHASECOST_VALUE]], "PURCHASECOST_", ""), "_VALUE", "")</f>
        <v>WAGON</v>
      </c>
      <c r="AP686"/>
      <c r="AQ686"/>
      <c r="AR686"/>
    </row>
    <row r="687" spans="1:44">
      <c r="A687" s="2" t="s">
        <v>863</v>
      </c>
      <c r="B687">
        <v>1990</v>
      </c>
      <c r="C687">
        <v>0</v>
      </c>
      <c r="D687" t="s">
        <v>35</v>
      </c>
      <c r="E687" t="s">
        <v>603</v>
      </c>
      <c r="F687">
        <v>60</v>
      </c>
      <c r="G687" s="10">
        <v>23</v>
      </c>
      <c r="H687">
        <v>8</v>
      </c>
      <c r="I687">
        <v>8</v>
      </c>
      <c r="J687" s="2" t="s">
        <v>33</v>
      </c>
      <c r="K687">
        <f>_xlfn.XLOOKUP("LOADINGSPEEDDEF_"&amp;PROPERTIES[[#This Row],[LOADINGSPEED]],LOADINGSPEEDDEF[TYPE],LOADINGSPEEDDEF[SPEED])</f>
        <v>20</v>
      </c>
      <c r="L687" t="s">
        <v>21</v>
      </c>
      <c r="M687">
        <v>0</v>
      </c>
      <c r="N687">
        <v>0</v>
      </c>
      <c r="O687">
        <v>120</v>
      </c>
      <c r="P687" s="2">
        <v>0.3</v>
      </c>
      <c r="Q687" s="6">
        <v>25</v>
      </c>
      <c r="R687" s="10">
        <v>0</v>
      </c>
      <c r="S687" s="10">
        <v>0</v>
      </c>
      <c r="T687" s="10"/>
      <c r="U687" t="str">
        <f>"RUNNING_COST_"&amp;IF(PROPERTIES[[#This Row],[ENGINE_CLASS]]="MAGLEV","ELECTRIC",PROPERTIES[[#This Row],[ENGINE_CLASS]])</f>
        <v>RUNNING_COST_DIESEL</v>
      </c>
      <c r="V687" s="10" t="s">
        <v>1016</v>
      </c>
      <c r="W687" s="10" t="s">
        <v>1017</v>
      </c>
      <c r="X687" s="10" t="str">
        <f>SUBSTITUTE(SUBSTITUTE(PROPERTIES[[#This Row],[PURCHASECOST_VALUE]], "PURCHASECOST_", ""), "_VALUE", "")</f>
        <v>WAGON</v>
      </c>
      <c r="AP687"/>
      <c r="AQ687"/>
      <c r="AR687"/>
    </row>
    <row r="688" spans="1:44">
      <c r="A688" s="2" t="s">
        <v>864</v>
      </c>
      <c r="B688">
        <v>2000</v>
      </c>
      <c r="C688">
        <v>0</v>
      </c>
      <c r="D688" t="s">
        <v>35</v>
      </c>
      <c r="E688" t="s">
        <v>605</v>
      </c>
      <c r="F688">
        <v>84</v>
      </c>
      <c r="G688" s="10">
        <v>42</v>
      </c>
      <c r="H688">
        <v>8</v>
      </c>
      <c r="I688">
        <v>8</v>
      </c>
      <c r="J688" s="2" t="s">
        <v>33</v>
      </c>
      <c r="K688">
        <f>_xlfn.XLOOKUP("LOADINGSPEEDDEF_"&amp;PROPERTIES[[#This Row],[LOADINGSPEED]],LOADINGSPEEDDEF[TYPE],LOADINGSPEEDDEF[SPEED])</f>
        <v>20</v>
      </c>
      <c r="L688" t="s">
        <v>21</v>
      </c>
      <c r="M688">
        <v>0</v>
      </c>
      <c r="N688">
        <v>0</v>
      </c>
      <c r="O688">
        <v>100</v>
      </c>
      <c r="P688" s="2">
        <v>0.3</v>
      </c>
      <c r="Q688" s="6">
        <v>25</v>
      </c>
      <c r="R688" s="10">
        <v>0</v>
      </c>
      <c r="S688" s="10">
        <v>0</v>
      </c>
      <c r="T688" s="10"/>
      <c r="U688" t="str">
        <f>"RUNNING_COST_"&amp;IF(PROPERTIES[[#This Row],[ENGINE_CLASS]]="MAGLEV","ELECTRIC",PROPERTIES[[#This Row],[ENGINE_CLASS]])</f>
        <v>RUNNING_COST_DIESEL</v>
      </c>
      <c r="V688" s="10" t="s">
        <v>1016</v>
      </c>
      <c r="W688" s="10" t="s">
        <v>1017</v>
      </c>
      <c r="X688" s="10" t="str">
        <f>SUBSTITUTE(SUBSTITUTE(PROPERTIES[[#This Row],[PURCHASECOST_VALUE]], "PURCHASECOST_", ""), "_VALUE", "")</f>
        <v>WAGON</v>
      </c>
      <c r="AP688"/>
      <c r="AQ688"/>
      <c r="AR688"/>
    </row>
    <row r="689" spans="1:44">
      <c r="A689" s="2" t="s">
        <v>865</v>
      </c>
      <c r="B689">
        <v>1990</v>
      </c>
      <c r="C689">
        <v>0</v>
      </c>
      <c r="D689" t="s">
        <v>35</v>
      </c>
      <c r="E689" t="s">
        <v>599</v>
      </c>
      <c r="F689">
        <v>63</v>
      </c>
      <c r="G689" s="10">
        <v>27</v>
      </c>
      <c r="H689">
        <v>8</v>
      </c>
      <c r="I689">
        <v>8</v>
      </c>
      <c r="J689" s="2" t="s">
        <v>33</v>
      </c>
      <c r="K689">
        <f>_xlfn.XLOOKUP("LOADINGSPEEDDEF_"&amp;PROPERTIES[[#This Row],[LOADINGSPEED]],LOADINGSPEEDDEF[TYPE],LOADINGSPEEDDEF[SPEED])</f>
        <v>20</v>
      </c>
      <c r="L689" t="s">
        <v>21</v>
      </c>
      <c r="M689">
        <v>0</v>
      </c>
      <c r="N689">
        <v>0</v>
      </c>
      <c r="O689">
        <v>120</v>
      </c>
      <c r="P689" s="2">
        <v>0.3</v>
      </c>
      <c r="Q689" s="6">
        <v>25</v>
      </c>
      <c r="R689" s="10">
        <v>0</v>
      </c>
      <c r="S689" s="10">
        <v>0</v>
      </c>
      <c r="T689" s="10"/>
      <c r="U689" t="str">
        <f>"RUNNING_COST_"&amp;IF(PROPERTIES[[#This Row],[ENGINE_CLASS]]="MAGLEV","ELECTRIC",PROPERTIES[[#This Row],[ENGINE_CLASS]])</f>
        <v>RUNNING_COST_DIESEL</v>
      </c>
      <c r="V689" s="10" t="s">
        <v>1016</v>
      </c>
      <c r="W689" s="10" t="s">
        <v>1017</v>
      </c>
      <c r="X689" s="10" t="str">
        <f>SUBSTITUTE(SUBSTITUTE(PROPERTIES[[#This Row],[PURCHASECOST_VALUE]], "PURCHASECOST_", ""), "_VALUE", "")</f>
        <v>WAGON</v>
      </c>
      <c r="AP689"/>
      <c r="AQ689"/>
      <c r="AR689"/>
    </row>
    <row r="690" spans="1:44">
      <c r="A690" s="2" t="s">
        <v>866</v>
      </c>
      <c r="B690">
        <v>1990</v>
      </c>
      <c r="C690">
        <v>0</v>
      </c>
      <c r="D690" t="s">
        <v>35</v>
      </c>
      <c r="E690" t="s">
        <v>599</v>
      </c>
      <c r="F690">
        <v>63</v>
      </c>
      <c r="G690" s="10">
        <v>27</v>
      </c>
      <c r="H690">
        <v>8</v>
      </c>
      <c r="I690">
        <v>8</v>
      </c>
      <c r="J690" s="2" t="s">
        <v>33</v>
      </c>
      <c r="K690">
        <f>_xlfn.XLOOKUP("LOADINGSPEEDDEF_"&amp;PROPERTIES[[#This Row],[LOADINGSPEED]],LOADINGSPEEDDEF[TYPE],LOADINGSPEEDDEF[SPEED])</f>
        <v>20</v>
      </c>
      <c r="L690" t="s">
        <v>21</v>
      </c>
      <c r="M690">
        <v>0</v>
      </c>
      <c r="N690">
        <v>0</v>
      </c>
      <c r="O690">
        <v>120</v>
      </c>
      <c r="P690" s="2">
        <v>0.3</v>
      </c>
      <c r="Q690" s="6">
        <v>25</v>
      </c>
      <c r="R690" s="10">
        <v>0</v>
      </c>
      <c r="S690" s="10">
        <v>0</v>
      </c>
      <c r="T690" s="10"/>
      <c r="U690" t="str">
        <f>"RUNNING_COST_"&amp;IF(PROPERTIES[[#This Row],[ENGINE_CLASS]]="MAGLEV","ELECTRIC",PROPERTIES[[#This Row],[ENGINE_CLASS]])</f>
        <v>RUNNING_COST_DIESEL</v>
      </c>
      <c r="V690" s="10" t="s">
        <v>1016</v>
      </c>
      <c r="W690" s="10" t="s">
        <v>1017</v>
      </c>
      <c r="X690" s="10" t="str">
        <f>SUBSTITUTE(SUBSTITUTE(PROPERTIES[[#This Row],[PURCHASECOST_VALUE]], "PURCHASECOST_", ""), "_VALUE", "")</f>
        <v>WAGON</v>
      </c>
      <c r="AP690"/>
      <c r="AQ690"/>
      <c r="AR690"/>
    </row>
    <row r="691" spans="1:44">
      <c r="A691" s="2" t="s">
        <v>867</v>
      </c>
      <c r="B691">
        <v>2000</v>
      </c>
      <c r="C691">
        <v>0</v>
      </c>
      <c r="D691" t="s">
        <v>35</v>
      </c>
      <c r="E691" t="s">
        <v>609</v>
      </c>
      <c r="F691">
        <v>95</v>
      </c>
      <c r="G691" s="10">
        <v>24</v>
      </c>
      <c r="H691">
        <v>8</v>
      </c>
      <c r="I691">
        <v>8</v>
      </c>
      <c r="J691" s="2" t="s">
        <v>33</v>
      </c>
      <c r="K691">
        <f>_xlfn.XLOOKUP("LOADINGSPEEDDEF_"&amp;PROPERTIES[[#This Row],[LOADINGSPEED]],LOADINGSPEEDDEF[TYPE],LOADINGSPEEDDEF[SPEED])</f>
        <v>20</v>
      </c>
      <c r="L691" t="s">
        <v>21</v>
      </c>
      <c r="M691">
        <v>0</v>
      </c>
      <c r="N691">
        <v>0</v>
      </c>
      <c r="O691">
        <v>120</v>
      </c>
      <c r="P691" s="2">
        <v>0.3</v>
      </c>
      <c r="Q691" s="6">
        <v>25</v>
      </c>
      <c r="R691" s="10">
        <v>0</v>
      </c>
      <c r="S691" s="10">
        <v>0</v>
      </c>
      <c r="T691" s="10"/>
      <c r="U691" t="str">
        <f>"RUNNING_COST_"&amp;IF(PROPERTIES[[#This Row],[ENGINE_CLASS]]="MAGLEV","ELECTRIC",PROPERTIES[[#This Row],[ENGINE_CLASS]])</f>
        <v>RUNNING_COST_DIESEL</v>
      </c>
      <c r="V691" s="10" t="s">
        <v>1016</v>
      </c>
      <c r="W691" s="10" t="s">
        <v>1017</v>
      </c>
      <c r="X691" s="10" t="str">
        <f>SUBSTITUTE(SUBSTITUTE(PROPERTIES[[#This Row],[PURCHASECOST_VALUE]], "PURCHASECOST_", ""), "_VALUE", "")</f>
        <v>WAGON</v>
      </c>
      <c r="AP691"/>
      <c r="AQ691"/>
      <c r="AR691"/>
    </row>
    <row r="692" spans="1:44">
      <c r="A692" s="2" t="s">
        <v>868</v>
      </c>
      <c r="B692">
        <v>1990</v>
      </c>
      <c r="C692">
        <v>0</v>
      </c>
      <c r="D692" t="s">
        <v>35</v>
      </c>
      <c r="E692" t="s">
        <v>604</v>
      </c>
      <c r="F692">
        <v>65</v>
      </c>
      <c r="G692" s="10">
        <v>22</v>
      </c>
      <c r="H692">
        <v>8</v>
      </c>
      <c r="I692">
        <v>8</v>
      </c>
      <c r="J692" s="2" t="s">
        <v>33</v>
      </c>
      <c r="K692">
        <f>_xlfn.XLOOKUP("LOADINGSPEEDDEF_"&amp;PROPERTIES[[#This Row],[LOADINGSPEED]],LOADINGSPEEDDEF[TYPE],LOADINGSPEEDDEF[SPEED])</f>
        <v>20</v>
      </c>
      <c r="L692" t="s">
        <v>21</v>
      </c>
      <c r="M692">
        <v>0</v>
      </c>
      <c r="N692">
        <v>0</v>
      </c>
      <c r="O692">
        <v>120</v>
      </c>
      <c r="P692" s="2">
        <v>0.3</v>
      </c>
      <c r="Q692" s="6">
        <v>25</v>
      </c>
      <c r="R692" s="10">
        <v>0</v>
      </c>
      <c r="S692" s="10">
        <v>0</v>
      </c>
      <c r="T692" s="10"/>
      <c r="U692" t="str">
        <f>"RUNNING_COST_"&amp;IF(PROPERTIES[[#This Row],[ENGINE_CLASS]]="MAGLEV","ELECTRIC",PROPERTIES[[#This Row],[ENGINE_CLASS]])</f>
        <v>RUNNING_COST_DIESEL</v>
      </c>
      <c r="V692" s="10" t="s">
        <v>1016</v>
      </c>
      <c r="W692" s="10" t="s">
        <v>1017</v>
      </c>
      <c r="X692" s="10" t="str">
        <f>SUBSTITUTE(SUBSTITUTE(PROPERTIES[[#This Row],[PURCHASECOST_VALUE]], "PURCHASECOST_", ""), "_VALUE", "")</f>
        <v>WAGON</v>
      </c>
      <c r="AP692"/>
      <c r="AQ692"/>
      <c r="AR692"/>
    </row>
    <row r="693" spans="1:44">
      <c r="A693" s="2" t="s">
        <v>869</v>
      </c>
      <c r="B693">
        <v>2000</v>
      </c>
      <c r="C693">
        <v>0</v>
      </c>
      <c r="D693" t="s">
        <v>35</v>
      </c>
      <c r="E693" t="s">
        <v>607</v>
      </c>
      <c r="F693">
        <v>65</v>
      </c>
      <c r="G693" s="10">
        <v>27</v>
      </c>
      <c r="H693">
        <v>8</v>
      </c>
      <c r="I693">
        <v>8</v>
      </c>
      <c r="J693" s="2" t="s">
        <v>33</v>
      </c>
      <c r="K693">
        <f>_xlfn.XLOOKUP("LOADINGSPEEDDEF_"&amp;PROPERTIES[[#This Row],[LOADINGSPEED]],LOADINGSPEEDDEF[TYPE],LOADINGSPEEDDEF[SPEED])</f>
        <v>20</v>
      </c>
      <c r="L693" t="s">
        <v>21</v>
      </c>
      <c r="M693">
        <v>0</v>
      </c>
      <c r="N693">
        <v>0</v>
      </c>
      <c r="O693">
        <v>120</v>
      </c>
      <c r="P693" s="2">
        <v>0.3</v>
      </c>
      <c r="Q693" s="6">
        <v>25</v>
      </c>
      <c r="R693" s="10">
        <v>0</v>
      </c>
      <c r="S693" s="10">
        <v>0</v>
      </c>
      <c r="T693" s="10"/>
      <c r="U693" t="str">
        <f>"RUNNING_COST_"&amp;IF(PROPERTIES[[#This Row],[ENGINE_CLASS]]="MAGLEV","ELECTRIC",PROPERTIES[[#This Row],[ENGINE_CLASS]])</f>
        <v>RUNNING_COST_DIESEL</v>
      </c>
      <c r="V693" s="10" t="s">
        <v>1016</v>
      </c>
      <c r="W693" s="10" t="s">
        <v>1017</v>
      </c>
      <c r="X693" s="10" t="str">
        <f>SUBSTITUTE(SUBSTITUTE(PROPERTIES[[#This Row],[PURCHASECOST_VALUE]], "PURCHASECOST_", ""), "_VALUE", "")</f>
        <v>WAGON</v>
      </c>
      <c r="AP693"/>
      <c r="AQ693"/>
      <c r="AR693"/>
    </row>
    <row r="694" spans="1:44">
      <c r="A694" s="2" t="s">
        <v>870</v>
      </c>
      <c r="B694">
        <v>2000</v>
      </c>
      <c r="C694">
        <v>0</v>
      </c>
      <c r="D694" t="s">
        <v>35</v>
      </c>
      <c r="E694" t="s">
        <v>607</v>
      </c>
      <c r="F694">
        <v>65</v>
      </c>
      <c r="G694" s="10">
        <v>27</v>
      </c>
      <c r="H694">
        <v>8</v>
      </c>
      <c r="I694">
        <v>8</v>
      </c>
      <c r="J694" s="2" t="s">
        <v>33</v>
      </c>
      <c r="K694">
        <f>_xlfn.XLOOKUP("LOADINGSPEEDDEF_"&amp;PROPERTIES[[#This Row],[LOADINGSPEED]],LOADINGSPEEDDEF[TYPE],LOADINGSPEEDDEF[SPEED])</f>
        <v>20</v>
      </c>
      <c r="L694" t="s">
        <v>21</v>
      </c>
      <c r="M694">
        <v>0</v>
      </c>
      <c r="N694">
        <v>0</v>
      </c>
      <c r="O694">
        <v>120</v>
      </c>
      <c r="P694" s="2">
        <v>0.3</v>
      </c>
      <c r="Q694" s="6">
        <v>25</v>
      </c>
      <c r="R694" s="10">
        <v>0</v>
      </c>
      <c r="S694" s="10">
        <v>0</v>
      </c>
      <c r="T694" s="10"/>
      <c r="U694" t="str">
        <f>"RUNNING_COST_"&amp;IF(PROPERTIES[[#This Row],[ENGINE_CLASS]]="MAGLEV","ELECTRIC",PROPERTIES[[#This Row],[ENGINE_CLASS]])</f>
        <v>RUNNING_COST_DIESEL</v>
      </c>
      <c r="V694" s="10" t="s">
        <v>1016</v>
      </c>
      <c r="W694" s="10" t="s">
        <v>1017</v>
      </c>
      <c r="X694" s="10" t="str">
        <f>SUBSTITUTE(SUBSTITUTE(PROPERTIES[[#This Row],[PURCHASECOST_VALUE]], "PURCHASECOST_", ""), "_VALUE", "")</f>
        <v>WAGON</v>
      </c>
      <c r="AP694"/>
      <c r="AQ694"/>
      <c r="AR694"/>
    </row>
    <row r="695" spans="1:44">
      <c r="A695" s="2" t="s">
        <v>871</v>
      </c>
      <c r="B695">
        <v>2000</v>
      </c>
      <c r="C695">
        <v>0</v>
      </c>
      <c r="D695" t="s">
        <v>35</v>
      </c>
      <c r="E695" t="s">
        <v>606</v>
      </c>
      <c r="F695">
        <v>65</v>
      </c>
      <c r="G695" s="10">
        <v>26</v>
      </c>
      <c r="H695">
        <v>8</v>
      </c>
      <c r="I695">
        <v>8</v>
      </c>
      <c r="J695" s="2" t="s">
        <v>33</v>
      </c>
      <c r="K695">
        <f>_xlfn.XLOOKUP("LOADINGSPEEDDEF_"&amp;PROPERTIES[[#This Row],[LOADINGSPEED]],LOADINGSPEEDDEF[TYPE],LOADINGSPEEDDEF[SPEED])</f>
        <v>20</v>
      </c>
      <c r="L695" t="s">
        <v>21</v>
      </c>
      <c r="M695">
        <v>0</v>
      </c>
      <c r="N695">
        <v>0</v>
      </c>
      <c r="O695">
        <v>120</v>
      </c>
      <c r="P695" s="2">
        <v>0.3</v>
      </c>
      <c r="Q695" s="6">
        <v>25</v>
      </c>
      <c r="R695" s="10">
        <v>0</v>
      </c>
      <c r="S695" s="10">
        <v>0</v>
      </c>
      <c r="T695" s="10"/>
      <c r="U695" t="str">
        <f>"RUNNING_COST_"&amp;IF(PROPERTIES[[#This Row],[ENGINE_CLASS]]="MAGLEV","ELECTRIC",PROPERTIES[[#This Row],[ENGINE_CLASS]])</f>
        <v>RUNNING_COST_DIESEL</v>
      </c>
      <c r="V695" s="10" t="s">
        <v>1016</v>
      </c>
      <c r="W695" s="10" t="s">
        <v>1017</v>
      </c>
      <c r="X695" s="10" t="str">
        <f>SUBSTITUTE(SUBSTITUTE(PROPERTIES[[#This Row],[PURCHASECOST_VALUE]], "PURCHASECOST_", ""), "_VALUE", "")</f>
        <v>WAGON</v>
      </c>
      <c r="AP695"/>
      <c r="AQ695"/>
      <c r="AR695"/>
    </row>
    <row r="696" spans="1:44">
      <c r="A696" s="2" t="s">
        <v>872</v>
      </c>
      <c r="B696">
        <v>2000</v>
      </c>
      <c r="C696">
        <v>0</v>
      </c>
      <c r="D696" t="s">
        <v>35</v>
      </c>
      <c r="E696" t="s">
        <v>606</v>
      </c>
      <c r="F696">
        <v>65</v>
      </c>
      <c r="G696" s="10">
        <v>26</v>
      </c>
      <c r="H696">
        <v>8</v>
      </c>
      <c r="I696">
        <v>8</v>
      </c>
      <c r="J696" s="2" t="s">
        <v>33</v>
      </c>
      <c r="K696">
        <f>_xlfn.XLOOKUP("LOADINGSPEEDDEF_"&amp;PROPERTIES[[#This Row],[LOADINGSPEED]],LOADINGSPEEDDEF[TYPE],LOADINGSPEEDDEF[SPEED])</f>
        <v>20</v>
      </c>
      <c r="L696" t="s">
        <v>21</v>
      </c>
      <c r="M696">
        <v>0</v>
      </c>
      <c r="N696">
        <v>0</v>
      </c>
      <c r="O696">
        <v>120</v>
      </c>
      <c r="P696" s="2">
        <v>0.3</v>
      </c>
      <c r="Q696" s="6">
        <v>25</v>
      </c>
      <c r="R696" s="10">
        <v>0</v>
      </c>
      <c r="S696" s="10">
        <v>0</v>
      </c>
      <c r="T696" s="10"/>
      <c r="U696" t="str">
        <f>"RUNNING_COST_"&amp;IF(PROPERTIES[[#This Row],[ENGINE_CLASS]]="MAGLEV","ELECTRIC",PROPERTIES[[#This Row],[ENGINE_CLASS]])</f>
        <v>RUNNING_COST_DIESEL</v>
      </c>
      <c r="V696" s="10" t="s">
        <v>1016</v>
      </c>
      <c r="W696" s="10" t="s">
        <v>1017</v>
      </c>
      <c r="X696" s="10" t="str">
        <f>SUBSTITUTE(SUBSTITUTE(PROPERTIES[[#This Row],[PURCHASECOST_VALUE]], "PURCHASECOST_", ""), "_VALUE", "")</f>
        <v>WAGON</v>
      </c>
      <c r="AP696"/>
      <c r="AQ696"/>
      <c r="AR696"/>
    </row>
    <row r="697" spans="1:44">
      <c r="A697" s="2" t="s">
        <v>873</v>
      </c>
      <c r="B697">
        <v>2000</v>
      </c>
      <c r="C697">
        <v>0</v>
      </c>
      <c r="D697" t="s">
        <v>35</v>
      </c>
      <c r="E697" t="s">
        <v>600</v>
      </c>
      <c r="F697">
        <v>16</v>
      </c>
      <c r="G697" s="10">
        <v>28</v>
      </c>
      <c r="H697">
        <v>8</v>
      </c>
      <c r="I697">
        <v>8</v>
      </c>
      <c r="J697" s="2" t="s">
        <v>33</v>
      </c>
      <c r="K697">
        <f>_xlfn.XLOOKUP("LOADINGSPEEDDEF_"&amp;PROPERTIES[[#This Row],[LOADINGSPEED]],LOADINGSPEEDDEF[TYPE],LOADINGSPEEDDEF[SPEED])</f>
        <v>20</v>
      </c>
      <c r="L697" t="s">
        <v>21</v>
      </c>
      <c r="M697">
        <v>0</v>
      </c>
      <c r="N697">
        <v>0</v>
      </c>
      <c r="O697">
        <v>160</v>
      </c>
      <c r="P697" s="2">
        <v>0.3</v>
      </c>
      <c r="Q697" s="6">
        <v>25</v>
      </c>
      <c r="R697" s="10">
        <v>0</v>
      </c>
      <c r="S697" s="10">
        <v>0</v>
      </c>
      <c r="T697" s="10"/>
      <c r="U697" t="str">
        <f>"RUNNING_COST_"&amp;IF(PROPERTIES[[#This Row],[ENGINE_CLASS]]="MAGLEV","ELECTRIC",PROPERTIES[[#This Row],[ENGINE_CLASS]])</f>
        <v>RUNNING_COST_DIESEL</v>
      </c>
      <c r="V697" s="10" t="s">
        <v>1016</v>
      </c>
      <c r="W697" s="10" t="s">
        <v>1017</v>
      </c>
      <c r="X697" s="10" t="str">
        <f>SUBSTITUTE(SUBSTITUTE(PROPERTIES[[#This Row],[PURCHASECOST_VALUE]], "PURCHASECOST_", ""), "_VALUE", "")</f>
        <v>WAGON</v>
      </c>
      <c r="AP697"/>
      <c r="AQ697"/>
      <c r="AR697"/>
    </row>
    <row r="698" spans="1:44">
      <c r="A698" s="2" t="s">
        <v>874</v>
      </c>
      <c r="B698">
        <v>1990</v>
      </c>
      <c r="C698">
        <v>0</v>
      </c>
      <c r="D698" t="s">
        <v>35</v>
      </c>
      <c r="E698" t="s">
        <v>532</v>
      </c>
      <c r="F698">
        <v>50</v>
      </c>
      <c r="G698" s="10">
        <v>22</v>
      </c>
      <c r="H698">
        <v>8</v>
      </c>
      <c r="I698">
        <v>8</v>
      </c>
      <c r="J698" s="2" t="s">
        <v>33</v>
      </c>
      <c r="K698">
        <f>_xlfn.XLOOKUP("LOADINGSPEEDDEF_"&amp;PROPERTIES[[#This Row],[LOADINGSPEED]],LOADINGSPEEDDEF[TYPE],LOADINGSPEEDDEF[SPEED])</f>
        <v>20</v>
      </c>
      <c r="L698" t="s">
        <v>21</v>
      </c>
      <c r="M698">
        <v>0</v>
      </c>
      <c r="N698">
        <v>0</v>
      </c>
      <c r="O698">
        <v>160</v>
      </c>
      <c r="P698" s="2">
        <v>0.3</v>
      </c>
      <c r="Q698" s="6">
        <v>25</v>
      </c>
      <c r="R698" s="10">
        <v>0</v>
      </c>
      <c r="S698" s="10">
        <v>0</v>
      </c>
      <c r="T698" s="10"/>
      <c r="U698" t="str">
        <f>"RUNNING_COST_"&amp;IF(PROPERTIES[[#This Row],[ENGINE_CLASS]]="MAGLEV","ELECTRIC",PROPERTIES[[#This Row],[ENGINE_CLASS]])</f>
        <v>RUNNING_COST_DIESEL</v>
      </c>
      <c r="V698" s="10" t="s">
        <v>1016</v>
      </c>
      <c r="W698" s="10" t="s">
        <v>1017</v>
      </c>
      <c r="X698" s="10" t="str">
        <f>SUBSTITUTE(SUBSTITUTE(PROPERTIES[[#This Row],[PURCHASECOST_VALUE]], "PURCHASECOST_", ""), "_VALUE", "")</f>
        <v>WAGON</v>
      </c>
      <c r="AP698"/>
      <c r="AQ698"/>
      <c r="AR698"/>
    </row>
    <row r="699" spans="1:44">
      <c r="A699" s="2" t="s">
        <v>875</v>
      </c>
      <c r="B699">
        <v>1990</v>
      </c>
      <c r="C699">
        <v>0</v>
      </c>
      <c r="D699" t="s">
        <v>35</v>
      </c>
      <c r="E699" t="s">
        <v>601</v>
      </c>
      <c r="F699">
        <v>55</v>
      </c>
      <c r="G699" s="10">
        <v>40</v>
      </c>
      <c r="H699">
        <v>8</v>
      </c>
      <c r="I699">
        <v>8</v>
      </c>
      <c r="J699" s="2" t="s">
        <v>33</v>
      </c>
      <c r="K699">
        <f>_xlfn.XLOOKUP("LOADINGSPEEDDEF_"&amp;PROPERTIES[[#This Row],[LOADINGSPEED]],LOADINGSPEEDDEF[TYPE],LOADINGSPEEDDEF[SPEED])</f>
        <v>20</v>
      </c>
      <c r="L699" t="s">
        <v>21</v>
      </c>
      <c r="M699">
        <v>0</v>
      </c>
      <c r="N699">
        <v>0</v>
      </c>
      <c r="O699">
        <v>120</v>
      </c>
      <c r="P699" s="2">
        <v>0.3</v>
      </c>
      <c r="Q699" s="6">
        <v>25</v>
      </c>
      <c r="R699" s="10">
        <v>0</v>
      </c>
      <c r="S699" s="10">
        <v>0</v>
      </c>
      <c r="T699" s="10"/>
      <c r="U699" t="str">
        <f>"RUNNING_COST_"&amp;IF(PROPERTIES[[#This Row],[ENGINE_CLASS]]="MAGLEV","ELECTRIC",PROPERTIES[[#This Row],[ENGINE_CLASS]])</f>
        <v>RUNNING_COST_DIESEL</v>
      </c>
      <c r="V699" s="10" t="s">
        <v>1016</v>
      </c>
      <c r="W699" s="10" t="s">
        <v>1017</v>
      </c>
      <c r="X699" s="10" t="str">
        <f>SUBSTITUTE(SUBSTITUTE(PROPERTIES[[#This Row],[PURCHASECOST_VALUE]], "PURCHASECOST_", ""), "_VALUE", "")</f>
        <v>WAGON</v>
      </c>
      <c r="AP699"/>
      <c r="AQ699"/>
      <c r="AR699"/>
    </row>
    <row r="700" spans="1:44">
      <c r="A700" s="2" t="s">
        <v>876</v>
      </c>
      <c r="B700">
        <v>1980</v>
      </c>
      <c r="C700">
        <v>0</v>
      </c>
      <c r="D700" t="s">
        <v>35</v>
      </c>
      <c r="E700" t="s">
        <v>602</v>
      </c>
      <c r="F700">
        <v>65</v>
      </c>
      <c r="G700" s="10">
        <v>25</v>
      </c>
      <c r="H700">
        <v>8</v>
      </c>
      <c r="I700">
        <v>8</v>
      </c>
      <c r="J700" s="2" t="s">
        <v>33</v>
      </c>
      <c r="K700">
        <f>_xlfn.XLOOKUP("LOADINGSPEEDDEF_"&amp;PROPERTIES[[#This Row],[LOADINGSPEED]],LOADINGSPEEDDEF[TYPE],LOADINGSPEEDDEF[SPEED])</f>
        <v>20</v>
      </c>
      <c r="L700" t="s">
        <v>21</v>
      </c>
      <c r="M700">
        <v>0</v>
      </c>
      <c r="N700">
        <v>0</v>
      </c>
      <c r="O700">
        <v>120</v>
      </c>
      <c r="P700" s="2">
        <v>0.3</v>
      </c>
      <c r="Q700" s="6">
        <v>25</v>
      </c>
      <c r="R700" s="10">
        <v>0</v>
      </c>
      <c r="S700" s="10">
        <v>0</v>
      </c>
      <c r="T700" s="10"/>
      <c r="U700" t="str">
        <f>"RUNNING_COST_"&amp;IF(PROPERTIES[[#This Row],[ENGINE_CLASS]]="MAGLEV","ELECTRIC",PROPERTIES[[#This Row],[ENGINE_CLASS]])</f>
        <v>RUNNING_COST_DIESEL</v>
      </c>
      <c r="V700" s="10" t="s">
        <v>1016</v>
      </c>
      <c r="W700" s="10" t="s">
        <v>1017</v>
      </c>
      <c r="X700" s="10" t="str">
        <f>SUBSTITUTE(SUBSTITUTE(PROPERTIES[[#This Row],[PURCHASECOST_VALUE]], "PURCHASECOST_", ""), "_VALUE", "")</f>
        <v>WAGON</v>
      </c>
      <c r="AP700"/>
      <c r="AQ700"/>
      <c r="AR700"/>
    </row>
    <row r="701" spans="1:44">
      <c r="A701" s="2" t="s">
        <v>877</v>
      </c>
      <c r="B701">
        <v>1990</v>
      </c>
      <c r="C701">
        <v>0</v>
      </c>
      <c r="D701" t="s">
        <v>35</v>
      </c>
      <c r="E701" t="s">
        <v>608</v>
      </c>
      <c r="F701">
        <v>50</v>
      </c>
      <c r="G701" s="10">
        <v>50</v>
      </c>
      <c r="H701">
        <v>4</v>
      </c>
      <c r="I701">
        <v>12</v>
      </c>
      <c r="J701" s="2" t="s">
        <v>33</v>
      </c>
      <c r="K701">
        <f>_xlfn.XLOOKUP("LOADINGSPEEDDEF_"&amp;PROPERTIES[[#This Row],[LOADINGSPEED]],LOADINGSPEEDDEF[TYPE],LOADINGSPEEDDEF[SPEED])</f>
        <v>20</v>
      </c>
      <c r="L701" t="s">
        <v>21</v>
      </c>
      <c r="M701">
        <v>0</v>
      </c>
      <c r="N701">
        <v>0</v>
      </c>
      <c r="O701">
        <v>100</v>
      </c>
      <c r="P701" s="2">
        <v>0.3</v>
      </c>
      <c r="Q701" s="6">
        <v>25</v>
      </c>
      <c r="R701" s="10">
        <v>0</v>
      </c>
      <c r="S701" s="10">
        <v>0</v>
      </c>
      <c r="T701" s="10"/>
      <c r="U701" t="str">
        <f>"RUNNING_COST_"&amp;IF(PROPERTIES[[#This Row],[ENGINE_CLASS]]="MAGLEV","ELECTRIC",PROPERTIES[[#This Row],[ENGINE_CLASS]])</f>
        <v>RUNNING_COST_DIESEL</v>
      </c>
      <c r="V701" s="10" t="s">
        <v>1016</v>
      </c>
      <c r="W701" s="10" t="s">
        <v>1017</v>
      </c>
      <c r="X701" s="10" t="str">
        <f>SUBSTITUTE(SUBSTITUTE(PROPERTIES[[#This Row],[PURCHASECOST_VALUE]], "PURCHASECOST_", ""), "_VALUE", "")</f>
        <v>WAGON</v>
      </c>
      <c r="AP701"/>
      <c r="AQ701"/>
      <c r="AR701"/>
    </row>
    <row r="702" spans="1:44">
      <c r="A702" s="2" t="s">
        <v>878</v>
      </c>
      <c r="B702">
        <v>2010</v>
      </c>
      <c r="C702">
        <v>0</v>
      </c>
      <c r="D702" t="s">
        <v>35</v>
      </c>
      <c r="E702" t="s">
        <v>603</v>
      </c>
      <c r="F702">
        <v>72</v>
      </c>
      <c r="G702" s="10">
        <v>23</v>
      </c>
      <c r="H702">
        <v>8</v>
      </c>
      <c r="I702">
        <v>8</v>
      </c>
      <c r="J702" s="2" t="s">
        <v>33</v>
      </c>
      <c r="K702">
        <f>_xlfn.XLOOKUP("LOADINGSPEEDDEF_"&amp;PROPERTIES[[#This Row],[LOADINGSPEED]],LOADINGSPEEDDEF[TYPE],LOADINGSPEEDDEF[SPEED])</f>
        <v>20</v>
      </c>
      <c r="L702" t="s">
        <v>21</v>
      </c>
      <c r="M702">
        <v>0</v>
      </c>
      <c r="N702">
        <v>0</v>
      </c>
      <c r="O702">
        <v>160</v>
      </c>
      <c r="P702" s="2">
        <v>0.3</v>
      </c>
      <c r="Q702" s="6">
        <v>25</v>
      </c>
      <c r="R702" s="10">
        <v>0</v>
      </c>
      <c r="S702" s="10">
        <v>0</v>
      </c>
      <c r="T702" s="10"/>
      <c r="U702" t="str">
        <f>"RUNNING_COST_"&amp;IF(PROPERTIES[[#This Row],[ENGINE_CLASS]]="MAGLEV","ELECTRIC",PROPERTIES[[#This Row],[ENGINE_CLASS]])</f>
        <v>RUNNING_COST_DIESEL</v>
      </c>
      <c r="V702" s="10" t="s">
        <v>1016</v>
      </c>
      <c r="W702" s="10" t="s">
        <v>1017</v>
      </c>
      <c r="X702" s="10" t="str">
        <f>SUBSTITUTE(SUBSTITUTE(PROPERTIES[[#This Row],[PURCHASECOST_VALUE]], "PURCHASECOST_", ""), "_VALUE", "")</f>
        <v>WAGON</v>
      </c>
      <c r="AP702"/>
      <c r="AQ702"/>
      <c r="AR702"/>
    </row>
    <row r="703" spans="1:44">
      <c r="A703" s="2" t="s">
        <v>879</v>
      </c>
      <c r="B703">
        <v>2020</v>
      </c>
      <c r="C703">
        <v>0</v>
      </c>
      <c r="D703" t="s">
        <v>35</v>
      </c>
      <c r="E703" t="s">
        <v>605</v>
      </c>
      <c r="F703">
        <v>96</v>
      </c>
      <c r="G703" s="10">
        <v>42</v>
      </c>
      <c r="H703">
        <v>8</v>
      </c>
      <c r="I703">
        <v>8</v>
      </c>
      <c r="J703" s="2" t="s">
        <v>33</v>
      </c>
      <c r="K703">
        <f>_xlfn.XLOOKUP("LOADINGSPEEDDEF_"&amp;PROPERTIES[[#This Row],[LOADINGSPEED]],LOADINGSPEEDDEF[TYPE],LOADINGSPEEDDEF[SPEED])</f>
        <v>20</v>
      </c>
      <c r="L703" t="s">
        <v>21</v>
      </c>
      <c r="M703">
        <v>0</v>
      </c>
      <c r="N703">
        <v>0</v>
      </c>
      <c r="O703">
        <v>140</v>
      </c>
      <c r="P703" s="2">
        <v>0.3</v>
      </c>
      <c r="Q703" s="6">
        <v>25</v>
      </c>
      <c r="R703" s="10">
        <v>0</v>
      </c>
      <c r="S703" s="10">
        <v>0</v>
      </c>
      <c r="T703" s="10"/>
      <c r="U703" t="str">
        <f>"RUNNING_COST_"&amp;IF(PROPERTIES[[#This Row],[ENGINE_CLASS]]="MAGLEV","ELECTRIC",PROPERTIES[[#This Row],[ENGINE_CLASS]])</f>
        <v>RUNNING_COST_DIESEL</v>
      </c>
      <c r="V703" s="10" t="s">
        <v>1016</v>
      </c>
      <c r="W703" s="10" t="s">
        <v>1017</v>
      </c>
      <c r="X703" s="10" t="str">
        <f>SUBSTITUTE(SUBSTITUTE(PROPERTIES[[#This Row],[PURCHASECOST_VALUE]], "PURCHASECOST_", ""), "_VALUE", "")</f>
        <v>WAGON</v>
      </c>
      <c r="AP703"/>
      <c r="AQ703"/>
      <c r="AR703"/>
    </row>
    <row r="704" spans="1:44">
      <c r="A704" s="2" t="s">
        <v>880</v>
      </c>
      <c r="B704">
        <v>2010</v>
      </c>
      <c r="C704">
        <v>0</v>
      </c>
      <c r="D704" t="s">
        <v>35</v>
      </c>
      <c r="E704" t="s">
        <v>599</v>
      </c>
      <c r="F704">
        <v>74</v>
      </c>
      <c r="G704" s="10">
        <v>27</v>
      </c>
      <c r="H704">
        <v>8</v>
      </c>
      <c r="I704">
        <v>8</v>
      </c>
      <c r="J704" s="2" t="s">
        <v>33</v>
      </c>
      <c r="K704">
        <f>_xlfn.XLOOKUP("LOADINGSPEEDDEF_"&amp;PROPERTIES[[#This Row],[LOADINGSPEED]],LOADINGSPEEDDEF[TYPE],LOADINGSPEEDDEF[SPEED])</f>
        <v>20</v>
      </c>
      <c r="L704" t="s">
        <v>21</v>
      </c>
      <c r="M704">
        <v>0</v>
      </c>
      <c r="N704">
        <v>0</v>
      </c>
      <c r="O704">
        <v>160</v>
      </c>
      <c r="P704" s="2">
        <v>0.3</v>
      </c>
      <c r="Q704" s="6">
        <v>25</v>
      </c>
      <c r="R704" s="10">
        <v>0</v>
      </c>
      <c r="S704" s="10">
        <v>0</v>
      </c>
      <c r="T704" s="10"/>
      <c r="U704" t="str">
        <f>"RUNNING_COST_"&amp;IF(PROPERTIES[[#This Row],[ENGINE_CLASS]]="MAGLEV","ELECTRIC",PROPERTIES[[#This Row],[ENGINE_CLASS]])</f>
        <v>RUNNING_COST_DIESEL</v>
      </c>
      <c r="V704" s="10" t="s">
        <v>1016</v>
      </c>
      <c r="W704" s="10" t="s">
        <v>1017</v>
      </c>
      <c r="X704" s="10" t="str">
        <f>SUBSTITUTE(SUBSTITUTE(PROPERTIES[[#This Row],[PURCHASECOST_VALUE]], "PURCHASECOST_", ""), "_VALUE", "")</f>
        <v>WAGON</v>
      </c>
      <c r="AP704"/>
      <c r="AQ704"/>
      <c r="AR704"/>
    </row>
    <row r="705" spans="1:44">
      <c r="A705" s="2" t="s">
        <v>881</v>
      </c>
      <c r="B705">
        <v>2010</v>
      </c>
      <c r="C705">
        <v>0</v>
      </c>
      <c r="D705" t="s">
        <v>35</v>
      </c>
      <c r="E705" t="s">
        <v>599</v>
      </c>
      <c r="F705">
        <v>74</v>
      </c>
      <c r="G705" s="10">
        <v>27</v>
      </c>
      <c r="H705">
        <v>8</v>
      </c>
      <c r="I705">
        <v>8</v>
      </c>
      <c r="J705" s="2" t="s">
        <v>33</v>
      </c>
      <c r="K705">
        <f>_xlfn.XLOOKUP("LOADINGSPEEDDEF_"&amp;PROPERTIES[[#This Row],[LOADINGSPEED]],LOADINGSPEEDDEF[TYPE],LOADINGSPEEDDEF[SPEED])</f>
        <v>20</v>
      </c>
      <c r="L705" t="s">
        <v>21</v>
      </c>
      <c r="M705">
        <v>0</v>
      </c>
      <c r="N705">
        <v>0</v>
      </c>
      <c r="O705">
        <v>160</v>
      </c>
      <c r="P705" s="2">
        <v>0.3</v>
      </c>
      <c r="Q705" s="6">
        <v>25</v>
      </c>
      <c r="R705" s="10">
        <v>0</v>
      </c>
      <c r="S705" s="10">
        <v>0</v>
      </c>
      <c r="T705" s="10"/>
      <c r="U705" t="str">
        <f>"RUNNING_COST_"&amp;IF(PROPERTIES[[#This Row],[ENGINE_CLASS]]="MAGLEV","ELECTRIC",PROPERTIES[[#This Row],[ENGINE_CLASS]])</f>
        <v>RUNNING_COST_DIESEL</v>
      </c>
      <c r="V705" s="10" t="s">
        <v>1016</v>
      </c>
      <c r="W705" s="10" t="s">
        <v>1017</v>
      </c>
      <c r="X705" s="10" t="str">
        <f>SUBSTITUTE(SUBSTITUTE(PROPERTIES[[#This Row],[PURCHASECOST_VALUE]], "PURCHASECOST_", ""), "_VALUE", "")</f>
        <v>WAGON</v>
      </c>
      <c r="AP705"/>
      <c r="AQ705"/>
      <c r="AR705"/>
    </row>
    <row r="706" spans="1:44">
      <c r="A706" s="2" t="s">
        <v>882</v>
      </c>
      <c r="B706">
        <v>2020</v>
      </c>
      <c r="C706">
        <v>0</v>
      </c>
      <c r="D706" t="s">
        <v>35</v>
      </c>
      <c r="E706" t="s">
        <v>609</v>
      </c>
      <c r="F706">
        <v>105</v>
      </c>
      <c r="G706" s="10">
        <v>24</v>
      </c>
      <c r="H706">
        <v>8</v>
      </c>
      <c r="I706">
        <v>8</v>
      </c>
      <c r="J706" s="2" t="s">
        <v>33</v>
      </c>
      <c r="K706">
        <f>_xlfn.XLOOKUP("LOADINGSPEEDDEF_"&amp;PROPERTIES[[#This Row],[LOADINGSPEED]],LOADINGSPEEDDEF[TYPE],LOADINGSPEEDDEF[SPEED])</f>
        <v>20</v>
      </c>
      <c r="L706" t="s">
        <v>21</v>
      </c>
      <c r="M706">
        <v>0</v>
      </c>
      <c r="N706">
        <v>0</v>
      </c>
      <c r="O706">
        <v>160</v>
      </c>
      <c r="P706" s="2">
        <v>0.3</v>
      </c>
      <c r="Q706" s="6">
        <v>25</v>
      </c>
      <c r="R706" s="10">
        <v>0</v>
      </c>
      <c r="S706" s="10">
        <v>0</v>
      </c>
      <c r="T706" s="10"/>
      <c r="U706" t="str">
        <f>"RUNNING_COST_"&amp;IF(PROPERTIES[[#This Row],[ENGINE_CLASS]]="MAGLEV","ELECTRIC",PROPERTIES[[#This Row],[ENGINE_CLASS]])</f>
        <v>RUNNING_COST_DIESEL</v>
      </c>
      <c r="V706" s="10" t="s">
        <v>1016</v>
      </c>
      <c r="W706" s="10" t="s">
        <v>1017</v>
      </c>
      <c r="X706" s="10" t="str">
        <f>SUBSTITUTE(SUBSTITUTE(PROPERTIES[[#This Row],[PURCHASECOST_VALUE]], "PURCHASECOST_", ""), "_VALUE", "")</f>
        <v>WAGON</v>
      </c>
      <c r="AP706"/>
      <c r="AQ706"/>
      <c r="AR706"/>
    </row>
    <row r="707" spans="1:44">
      <c r="A707" s="2" t="s">
        <v>883</v>
      </c>
      <c r="B707">
        <v>2010</v>
      </c>
      <c r="C707">
        <v>0</v>
      </c>
      <c r="D707" t="s">
        <v>35</v>
      </c>
      <c r="E707" t="s">
        <v>604</v>
      </c>
      <c r="F707">
        <v>75</v>
      </c>
      <c r="G707" s="10">
        <v>22</v>
      </c>
      <c r="H707">
        <v>8</v>
      </c>
      <c r="I707">
        <v>8</v>
      </c>
      <c r="J707" s="2" t="s">
        <v>33</v>
      </c>
      <c r="K707">
        <f>_xlfn.XLOOKUP("LOADINGSPEEDDEF_"&amp;PROPERTIES[[#This Row],[LOADINGSPEED]],LOADINGSPEEDDEF[TYPE],LOADINGSPEEDDEF[SPEED])</f>
        <v>20</v>
      </c>
      <c r="L707" t="s">
        <v>21</v>
      </c>
      <c r="M707">
        <v>0</v>
      </c>
      <c r="N707">
        <v>0</v>
      </c>
      <c r="O707">
        <v>160</v>
      </c>
      <c r="P707" s="2">
        <v>0.3</v>
      </c>
      <c r="Q707" s="6">
        <v>25</v>
      </c>
      <c r="R707" s="10">
        <v>0</v>
      </c>
      <c r="S707" s="10">
        <v>0</v>
      </c>
      <c r="T707" s="10"/>
      <c r="U707" t="str">
        <f>"RUNNING_COST_"&amp;IF(PROPERTIES[[#This Row],[ENGINE_CLASS]]="MAGLEV","ELECTRIC",PROPERTIES[[#This Row],[ENGINE_CLASS]])</f>
        <v>RUNNING_COST_DIESEL</v>
      </c>
      <c r="V707" s="10" t="s">
        <v>1016</v>
      </c>
      <c r="W707" s="10" t="s">
        <v>1017</v>
      </c>
      <c r="X707" s="10" t="str">
        <f>SUBSTITUTE(SUBSTITUTE(PROPERTIES[[#This Row],[PURCHASECOST_VALUE]], "PURCHASECOST_", ""), "_VALUE", "")</f>
        <v>WAGON</v>
      </c>
      <c r="AP707"/>
      <c r="AQ707"/>
      <c r="AR707"/>
    </row>
    <row r="708" spans="1:44">
      <c r="A708" s="2" t="s">
        <v>884</v>
      </c>
      <c r="B708">
        <v>2020</v>
      </c>
      <c r="C708">
        <v>0</v>
      </c>
      <c r="D708" t="s">
        <v>35</v>
      </c>
      <c r="E708" t="s">
        <v>607</v>
      </c>
      <c r="F708">
        <v>75</v>
      </c>
      <c r="G708" s="10">
        <v>27</v>
      </c>
      <c r="H708">
        <v>8</v>
      </c>
      <c r="I708">
        <v>8</v>
      </c>
      <c r="J708" s="2" t="s">
        <v>33</v>
      </c>
      <c r="K708">
        <f>_xlfn.XLOOKUP("LOADINGSPEEDDEF_"&amp;PROPERTIES[[#This Row],[LOADINGSPEED]],LOADINGSPEEDDEF[TYPE],LOADINGSPEEDDEF[SPEED])</f>
        <v>20</v>
      </c>
      <c r="L708" t="s">
        <v>21</v>
      </c>
      <c r="M708">
        <v>0</v>
      </c>
      <c r="N708">
        <v>0</v>
      </c>
      <c r="O708">
        <v>160</v>
      </c>
      <c r="P708" s="2">
        <v>0.3</v>
      </c>
      <c r="Q708" s="6">
        <v>25</v>
      </c>
      <c r="R708" s="10">
        <v>0</v>
      </c>
      <c r="S708" s="10">
        <v>0</v>
      </c>
      <c r="T708" s="10"/>
      <c r="U708" t="str">
        <f>"RUNNING_COST_"&amp;IF(PROPERTIES[[#This Row],[ENGINE_CLASS]]="MAGLEV","ELECTRIC",PROPERTIES[[#This Row],[ENGINE_CLASS]])</f>
        <v>RUNNING_COST_DIESEL</v>
      </c>
      <c r="V708" s="10" t="s">
        <v>1016</v>
      </c>
      <c r="W708" s="10" t="s">
        <v>1017</v>
      </c>
      <c r="X708" s="10" t="str">
        <f>SUBSTITUTE(SUBSTITUTE(PROPERTIES[[#This Row],[PURCHASECOST_VALUE]], "PURCHASECOST_", ""), "_VALUE", "")</f>
        <v>WAGON</v>
      </c>
      <c r="AP708"/>
      <c r="AQ708"/>
      <c r="AR708"/>
    </row>
    <row r="709" spans="1:44">
      <c r="A709" s="2" t="s">
        <v>885</v>
      </c>
      <c r="B709">
        <v>2020</v>
      </c>
      <c r="C709">
        <v>0</v>
      </c>
      <c r="D709" t="s">
        <v>35</v>
      </c>
      <c r="E709" t="s">
        <v>607</v>
      </c>
      <c r="F709">
        <v>75</v>
      </c>
      <c r="G709" s="10">
        <v>27</v>
      </c>
      <c r="H709">
        <v>8</v>
      </c>
      <c r="I709">
        <v>8</v>
      </c>
      <c r="J709" s="2" t="s">
        <v>33</v>
      </c>
      <c r="K709">
        <f>_xlfn.XLOOKUP("LOADINGSPEEDDEF_"&amp;PROPERTIES[[#This Row],[LOADINGSPEED]],LOADINGSPEEDDEF[TYPE],LOADINGSPEEDDEF[SPEED])</f>
        <v>20</v>
      </c>
      <c r="L709" t="s">
        <v>21</v>
      </c>
      <c r="M709">
        <v>0</v>
      </c>
      <c r="N709">
        <v>0</v>
      </c>
      <c r="O709">
        <v>160</v>
      </c>
      <c r="P709" s="2">
        <v>0.3</v>
      </c>
      <c r="Q709" s="6">
        <v>25</v>
      </c>
      <c r="R709" s="10">
        <v>0</v>
      </c>
      <c r="S709" s="10">
        <v>0</v>
      </c>
      <c r="T709" s="10"/>
      <c r="U709" t="str">
        <f>"RUNNING_COST_"&amp;IF(PROPERTIES[[#This Row],[ENGINE_CLASS]]="MAGLEV","ELECTRIC",PROPERTIES[[#This Row],[ENGINE_CLASS]])</f>
        <v>RUNNING_COST_DIESEL</v>
      </c>
      <c r="V709" s="10" t="s">
        <v>1016</v>
      </c>
      <c r="W709" s="10" t="s">
        <v>1017</v>
      </c>
      <c r="X709" s="10" t="str">
        <f>SUBSTITUTE(SUBSTITUTE(PROPERTIES[[#This Row],[PURCHASECOST_VALUE]], "PURCHASECOST_", ""), "_VALUE", "")</f>
        <v>WAGON</v>
      </c>
      <c r="AP709"/>
      <c r="AQ709"/>
      <c r="AR709"/>
    </row>
    <row r="710" spans="1:44">
      <c r="A710" s="2" t="s">
        <v>886</v>
      </c>
      <c r="B710">
        <v>2020</v>
      </c>
      <c r="C710">
        <v>0</v>
      </c>
      <c r="D710" t="s">
        <v>35</v>
      </c>
      <c r="E710" t="s">
        <v>606</v>
      </c>
      <c r="F710">
        <v>75</v>
      </c>
      <c r="G710" s="10">
        <v>26</v>
      </c>
      <c r="H710">
        <v>8</v>
      </c>
      <c r="I710">
        <v>8</v>
      </c>
      <c r="J710" s="2" t="s">
        <v>33</v>
      </c>
      <c r="K710">
        <f>_xlfn.XLOOKUP("LOADINGSPEEDDEF_"&amp;PROPERTIES[[#This Row],[LOADINGSPEED]],LOADINGSPEEDDEF[TYPE],LOADINGSPEEDDEF[SPEED])</f>
        <v>20</v>
      </c>
      <c r="L710" t="s">
        <v>21</v>
      </c>
      <c r="M710">
        <v>0</v>
      </c>
      <c r="N710">
        <v>0</v>
      </c>
      <c r="O710">
        <v>160</v>
      </c>
      <c r="P710" s="2">
        <v>0.3</v>
      </c>
      <c r="Q710" s="6">
        <v>25</v>
      </c>
      <c r="R710" s="10">
        <v>0</v>
      </c>
      <c r="S710" s="10">
        <v>0</v>
      </c>
      <c r="T710" s="10"/>
      <c r="U710" t="str">
        <f>"RUNNING_COST_"&amp;IF(PROPERTIES[[#This Row],[ENGINE_CLASS]]="MAGLEV","ELECTRIC",PROPERTIES[[#This Row],[ENGINE_CLASS]])</f>
        <v>RUNNING_COST_DIESEL</v>
      </c>
      <c r="V710" s="10" t="s">
        <v>1016</v>
      </c>
      <c r="W710" s="10" t="s">
        <v>1017</v>
      </c>
      <c r="X710" s="10" t="str">
        <f>SUBSTITUTE(SUBSTITUTE(PROPERTIES[[#This Row],[PURCHASECOST_VALUE]], "PURCHASECOST_", ""), "_VALUE", "")</f>
        <v>WAGON</v>
      </c>
      <c r="AP710"/>
      <c r="AQ710"/>
      <c r="AR710"/>
    </row>
    <row r="711" spans="1:44">
      <c r="A711" s="2" t="s">
        <v>887</v>
      </c>
      <c r="B711">
        <v>2020</v>
      </c>
      <c r="C711">
        <v>0</v>
      </c>
      <c r="D711" t="s">
        <v>35</v>
      </c>
      <c r="E711" t="s">
        <v>606</v>
      </c>
      <c r="F711">
        <v>75</v>
      </c>
      <c r="G711" s="10">
        <v>26</v>
      </c>
      <c r="H711">
        <v>8</v>
      </c>
      <c r="I711">
        <v>8</v>
      </c>
      <c r="J711" s="2" t="s">
        <v>33</v>
      </c>
      <c r="K711">
        <f>_xlfn.XLOOKUP("LOADINGSPEEDDEF_"&amp;PROPERTIES[[#This Row],[LOADINGSPEED]],LOADINGSPEEDDEF[TYPE],LOADINGSPEEDDEF[SPEED])</f>
        <v>20</v>
      </c>
      <c r="L711" t="s">
        <v>21</v>
      </c>
      <c r="M711">
        <v>0</v>
      </c>
      <c r="N711">
        <v>0</v>
      </c>
      <c r="O711">
        <v>160</v>
      </c>
      <c r="P711" s="2">
        <v>0.3</v>
      </c>
      <c r="Q711" s="6">
        <v>25</v>
      </c>
      <c r="R711" s="10">
        <v>0</v>
      </c>
      <c r="S711" s="10">
        <v>0</v>
      </c>
      <c r="T711" s="10"/>
      <c r="U711" t="str">
        <f>"RUNNING_COST_"&amp;IF(PROPERTIES[[#This Row],[ENGINE_CLASS]]="MAGLEV","ELECTRIC",PROPERTIES[[#This Row],[ENGINE_CLASS]])</f>
        <v>RUNNING_COST_DIESEL</v>
      </c>
      <c r="V711" s="10" t="s">
        <v>1016</v>
      </c>
      <c r="W711" s="10" t="s">
        <v>1017</v>
      </c>
      <c r="X711" s="10" t="str">
        <f>SUBSTITUTE(SUBSTITUTE(PROPERTIES[[#This Row],[PURCHASECOST_VALUE]], "PURCHASECOST_", ""), "_VALUE", "")</f>
        <v>WAGON</v>
      </c>
      <c r="AP711"/>
      <c r="AQ711"/>
      <c r="AR711"/>
    </row>
    <row r="712" spans="1:44">
      <c r="A712" s="2" t="s">
        <v>888</v>
      </c>
      <c r="B712">
        <v>2020</v>
      </c>
      <c r="C712">
        <v>0</v>
      </c>
      <c r="D712" t="s">
        <v>35</v>
      </c>
      <c r="E712" t="s">
        <v>600</v>
      </c>
      <c r="F712">
        <v>20</v>
      </c>
      <c r="G712" s="10">
        <v>28</v>
      </c>
      <c r="H712">
        <v>8</v>
      </c>
      <c r="I712">
        <v>8</v>
      </c>
      <c r="J712" s="2" t="s">
        <v>33</v>
      </c>
      <c r="K712">
        <f>_xlfn.XLOOKUP("LOADINGSPEEDDEF_"&amp;PROPERTIES[[#This Row],[LOADINGSPEED]],LOADINGSPEEDDEF[TYPE],LOADINGSPEEDDEF[SPEED])</f>
        <v>20</v>
      </c>
      <c r="L712" t="s">
        <v>21</v>
      </c>
      <c r="M712">
        <v>0</v>
      </c>
      <c r="N712">
        <v>0</v>
      </c>
      <c r="O712">
        <v>160</v>
      </c>
      <c r="P712" s="2">
        <v>0.3</v>
      </c>
      <c r="Q712" s="6">
        <v>25</v>
      </c>
      <c r="R712" s="10">
        <v>0</v>
      </c>
      <c r="S712" s="10">
        <v>0</v>
      </c>
      <c r="T712" s="10"/>
      <c r="U712" t="str">
        <f>"RUNNING_COST_"&amp;IF(PROPERTIES[[#This Row],[ENGINE_CLASS]]="MAGLEV","ELECTRIC",PROPERTIES[[#This Row],[ENGINE_CLASS]])</f>
        <v>RUNNING_COST_DIESEL</v>
      </c>
      <c r="V712" s="10" t="s">
        <v>1016</v>
      </c>
      <c r="W712" s="10" t="s">
        <v>1017</v>
      </c>
      <c r="X712" s="10" t="str">
        <f>SUBSTITUTE(SUBSTITUTE(PROPERTIES[[#This Row],[PURCHASECOST_VALUE]], "PURCHASECOST_", ""), "_VALUE", "")</f>
        <v>WAGON</v>
      </c>
      <c r="AP712"/>
      <c r="AQ712"/>
      <c r="AR712"/>
    </row>
    <row r="713" spans="1:44">
      <c r="A713" s="2" t="s">
        <v>889</v>
      </c>
      <c r="B713">
        <v>2010</v>
      </c>
      <c r="C713">
        <v>0</v>
      </c>
      <c r="D713" t="s">
        <v>35</v>
      </c>
      <c r="E713" t="s">
        <v>532</v>
      </c>
      <c r="F713">
        <v>60</v>
      </c>
      <c r="G713" s="10">
        <v>22</v>
      </c>
      <c r="H713">
        <v>8</v>
      </c>
      <c r="I713">
        <v>8</v>
      </c>
      <c r="J713" s="2" t="s">
        <v>33</v>
      </c>
      <c r="K713">
        <f>_xlfn.XLOOKUP("LOADINGSPEEDDEF_"&amp;PROPERTIES[[#This Row],[LOADINGSPEED]],LOADINGSPEEDDEF[TYPE],LOADINGSPEEDDEF[SPEED])</f>
        <v>20</v>
      </c>
      <c r="L713" t="s">
        <v>21</v>
      </c>
      <c r="M713">
        <v>0</v>
      </c>
      <c r="N713">
        <v>0</v>
      </c>
      <c r="O713">
        <v>160</v>
      </c>
      <c r="P713" s="2">
        <v>0.3</v>
      </c>
      <c r="Q713" s="6">
        <v>25</v>
      </c>
      <c r="R713" s="10">
        <v>0</v>
      </c>
      <c r="S713" s="10">
        <v>0</v>
      </c>
      <c r="T713" s="10"/>
      <c r="U713" t="str">
        <f>"RUNNING_COST_"&amp;IF(PROPERTIES[[#This Row],[ENGINE_CLASS]]="MAGLEV","ELECTRIC",PROPERTIES[[#This Row],[ENGINE_CLASS]])</f>
        <v>RUNNING_COST_DIESEL</v>
      </c>
      <c r="V713" s="10" t="s">
        <v>1016</v>
      </c>
      <c r="W713" s="10" t="s">
        <v>1017</v>
      </c>
      <c r="X713" s="10" t="str">
        <f>SUBSTITUTE(SUBSTITUTE(PROPERTIES[[#This Row],[PURCHASECOST_VALUE]], "PURCHASECOST_", ""), "_VALUE", "")</f>
        <v>WAGON</v>
      </c>
      <c r="AP713"/>
      <c r="AQ713"/>
      <c r="AR713"/>
    </row>
    <row r="714" spans="1:44">
      <c r="A714" s="2" t="s">
        <v>890</v>
      </c>
      <c r="B714">
        <v>2010</v>
      </c>
      <c r="C714">
        <v>0</v>
      </c>
      <c r="D714" t="s">
        <v>35</v>
      </c>
      <c r="E714" t="s">
        <v>601</v>
      </c>
      <c r="F714">
        <v>65</v>
      </c>
      <c r="G714" s="10">
        <v>40</v>
      </c>
      <c r="H714">
        <v>8</v>
      </c>
      <c r="I714">
        <v>8</v>
      </c>
      <c r="J714" s="2" t="s">
        <v>33</v>
      </c>
      <c r="K714">
        <f>_xlfn.XLOOKUP("LOADINGSPEEDDEF_"&amp;PROPERTIES[[#This Row],[LOADINGSPEED]],LOADINGSPEEDDEF[TYPE],LOADINGSPEEDDEF[SPEED])</f>
        <v>20</v>
      </c>
      <c r="L714" t="s">
        <v>21</v>
      </c>
      <c r="M714">
        <v>0</v>
      </c>
      <c r="N714">
        <v>0</v>
      </c>
      <c r="O714">
        <v>160</v>
      </c>
      <c r="P714" s="2">
        <v>0.3</v>
      </c>
      <c r="Q714" s="6">
        <v>25</v>
      </c>
      <c r="R714" s="10">
        <v>0</v>
      </c>
      <c r="S714" s="10">
        <v>0</v>
      </c>
      <c r="T714" s="10"/>
      <c r="U714" t="str">
        <f>"RUNNING_COST_"&amp;IF(PROPERTIES[[#This Row],[ENGINE_CLASS]]="MAGLEV","ELECTRIC",PROPERTIES[[#This Row],[ENGINE_CLASS]])</f>
        <v>RUNNING_COST_DIESEL</v>
      </c>
      <c r="V714" s="10" t="s">
        <v>1016</v>
      </c>
      <c r="W714" s="10" t="s">
        <v>1017</v>
      </c>
      <c r="X714" s="10" t="str">
        <f>SUBSTITUTE(SUBSTITUTE(PROPERTIES[[#This Row],[PURCHASECOST_VALUE]], "PURCHASECOST_", ""), "_VALUE", "")</f>
        <v>WAGON</v>
      </c>
      <c r="AP714"/>
      <c r="AQ714"/>
      <c r="AR714"/>
    </row>
    <row r="715" spans="1:44">
      <c r="A715" s="2" t="s">
        <v>891</v>
      </c>
      <c r="B715">
        <v>2000</v>
      </c>
      <c r="C715">
        <v>0</v>
      </c>
      <c r="D715" t="s">
        <v>35</v>
      </c>
      <c r="E715" t="s">
        <v>602</v>
      </c>
      <c r="F715">
        <v>75</v>
      </c>
      <c r="G715" s="10">
        <v>25</v>
      </c>
      <c r="H715">
        <v>8</v>
      </c>
      <c r="I715">
        <v>8</v>
      </c>
      <c r="J715" s="2" t="s">
        <v>33</v>
      </c>
      <c r="K715">
        <f>_xlfn.XLOOKUP("LOADINGSPEEDDEF_"&amp;PROPERTIES[[#This Row],[LOADINGSPEED]],LOADINGSPEEDDEF[TYPE],LOADINGSPEEDDEF[SPEED])</f>
        <v>20</v>
      </c>
      <c r="L715" t="s">
        <v>21</v>
      </c>
      <c r="M715">
        <v>0</v>
      </c>
      <c r="N715">
        <v>0</v>
      </c>
      <c r="O715">
        <v>160</v>
      </c>
      <c r="P715" s="2">
        <v>0.3</v>
      </c>
      <c r="Q715" s="6">
        <v>25</v>
      </c>
      <c r="R715" s="10">
        <v>0</v>
      </c>
      <c r="S715" s="10">
        <v>0</v>
      </c>
      <c r="T715" s="10"/>
      <c r="U715" t="str">
        <f>"RUNNING_COST_"&amp;IF(PROPERTIES[[#This Row],[ENGINE_CLASS]]="MAGLEV","ELECTRIC",PROPERTIES[[#This Row],[ENGINE_CLASS]])</f>
        <v>RUNNING_COST_DIESEL</v>
      </c>
      <c r="V715" s="10" t="s">
        <v>1016</v>
      </c>
      <c r="W715" s="10" t="s">
        <v>1017</v>
      </c>
      <c r="X715" s="10" t="str">
        <f>SUBSTITUTE(SUBSTITUTE(PROPERTIES[[#This Row],[PURCHASECOST_VALUE]], "PURCHASECOST_", ""), "_VALUE", "")</f>
        <v>WAGON</v>
      </c>
      <c r="AP715"/>
      <c r="AQ715"/>
      <c r="AR715"/>
    </row>
    <row r="716" spans="1:44">
      <c r="A716" s="2" t="s">
        <v>892</v>
      </c>
      <c r="B716">
        <v>2010</v>
      </c>
      <c r="C716">
        <v>0</v>
      </c>
      <c r="D716" t="s">
        <v>35</v>
      </c>
      <c r="E716" t="s">
        <v>608</v>
      </c>
      <c r="F716">
        <v>65</v>
      </c>
      <c r="G716" s="10">
        <v>50</v>
      </c>
      <c r="H716">
        <v>4</v>
      </c>
      <c r="I716">
        <v>12</v>
      </c>
      <c r="J716" s="2" t="s">
        <v>33</v>
      </c>
      <c r="K716">
        <f>_xlfn.XLOOKUP("LOADINGSPEEDDEF_"&amp;PROPERTIES[[#This Row],[LOADINGSPEED]],LOADINGSPEEDDEF[TYPE],LOADINGSPEEDDEF[SPEED])</f>
        <v>20</v>
      </c>
      <c r="L716" t="s">
        <v>21</v>
      </c>
      <c r="M716">
        <v>0</v>
      </c>
      <c r="N716">
        <v>0</v>
      </c>
      <c r="O716">
        <v>140</v>
      </c>
      <c r="P716" s="2">
        <v>0.3</v>
      </c>
      <c r="Q716" s="6">
        <v>25</v>
      </c>
      <c r="R716" s="10">
        <v>0</v>
      </c>
      <c r="S716" s="10">
        <v>0</v>
      </c>
      <c r="T716" s="10"/>
      <c r="U716" t="str">
        <f>"RUNNING_COST_"&amp;IF(PROPERTIES[[#This Row],[ENGINE_CLASS]]="MAGLEV","ELECTRIC",PROPERTIES[[#This Row],[ENGINE_CLASS]])</f>
        <v>RUNNING_COST_DIESEL</v>
      </c>
      <c r="V716" s="10" t="s">
        <v>1016</v>
      </c>
      <c r="W716" s="10" t="s">
        <v>1017</v>
      </c>
      <c r="X716" s="10" t="str">
        <f>SUBSTITUTE(SUBSTITUTE(PROPERTIES[[#This Row],[PURCHASECOST_VALUE]], "PURCHASECOST_", ""), "_VALUE", "")</f>
        <v>WAGON</v>
      </c>
      <c r="AP716"/>
      <c r="AQ716"/>
      <c r="AR716"/>
    </row>
    <row r="717" spans="1:44">
      <c r="A717" s="2" t="s">
        <v>907</v>
      </c>
      <c r="B717">
        <v>1660</v>
      </c>
      <c r="C717">
        <v>0</v>
      </c>
      <c r="D717" t="s">
        <v>35</v>
      </c>
      <c r="E717" t="s">
        <v>20</v>
      </c>
      <c r="F717">
        <v>0</v>
      </c>
      <c r="G717" s="10">
        <v>15</v>
      </c>
      <c r="H717">
        <v>5</v>
      </c>
      <c r="I717">
        <v>5</v>
      </c>
      <c r="J717" s="2" t="s">
        <v>33</v>
      </c>
      <c r="K717">
        <f>_xlfn.XLOOKUP("LOADINGSPEEDDEF_"&amp;PROPERTIES[[#This Row],[LOADINGSPEED]],LOADINGSPEEDDEF[TYPE],LOADINGSPEEDDEF[SPEED])</f>
        <v>20</v>
      </c>
      <c r="L717" t="s">
        <v>21</v>
      </c>
      <c r="M717">
        <v>0</v>
      </c>
      <c r="N717">
        <v>0</v>
      </c>
      <c r="O717">
        <v>0</v>
      </c>
      <c r="P717" s="2">
        <v>0.3</v>
      </c>
      <c r="Q717" s="6">
        <v>25</v>
      </c>
      <c r="R717" s="10">
        <v>0</v>
      </c>
      <c r="S717" s="10">
        <v>0</v>
      </c>
      <c r="T717" s="10"/>
      <c r="U717" t="str">
        <f>"RUNNING_COST_"&amp;IF(PROPERTIES[[#This Row],[ENGINE_CLASS]]="MAGLEV","ELECTRIC",PROPERTIES[[#This Row],[ENGINE_CLASS]])</f>
        <v>RUNNING_COST_DIESEL</v>
      </c>
      <c r="V717" s="10" t="s">
        <v>1016</v>
      </c>
      <c r="W717" s="10" t="s">
        <v>1017</v>
      </c>
      <c r="X717" s="10" t="str">
        <f>SUBSTITUTE(SUBSTITUTE(PROPERTIES[[#This Row],[PURCHASECOST_VALUE]], "PURCHASECOST_", ""), "_VALUE", "")</f>
        <v>WAGON</v>
      </c>
      <c r="AP717"/>
      <c r="AQ717"/>
      <c r="AR717"/>
    </row>
    <row r="718" spans="1:44">
      <c r="A718" s="2" t="s">
        <v>908</v>
      </c>
      <c r="B718">
        <v>1660</v>
      </c>
      <c r="C718">
        <v>0</v>
      </c>
      <c r="D718" t="s">
        <v>35</v>
      </c>
      <c r="E718" t="s">
        <v>20</v>
      </c>
      <c r="F718">
        <v>0</v>
      </c>
      <c r="G718" s="10">
        <v>15</v>
      </c>
      <c r="H718">
        <v>5</v>
      </c>
      <c r="I718">
        <v>5</v>
      </c>
      <c r="J718" s="2" t="s">
        <v>33</v>
      </c>
      <c r="K718">
        <f>_xlfn.XLOOKUP("LOADINGSPEEDDEF_"&amp;PROPERTIES[[#This Row],[LOADINGSPEED]],LOADINGSPEEDDEF[TYPE],LOADINGSPEEDDEF[SPEED])</f>
        <v>20</v>
      </c>
      <c r="L718" t="s">
        <v>21</v>
      </c>
      <c r="M718">
        <v>0</v>
      </c>
      <c r="N718">
        <v>0</v>
      </c>
      <c r="O718">
        <v>0</v>
      </c>
      <c r="P718" s="2">
        <v>0.3</v>
      </c>
      <c r="Q718" s="6">
        <v>25</v>
      </c>
      <c r="R718" s="10">
        <v>0</v>
      </c>
      <c r="S718" s="10">
        <v>0</v>
      </c>
      <c r="T718" s="10"/>
      <c r="U718" t="str">
        <f>"RUNNING_COST_"&amp;IF(PROPERTIES[[#This Row],[ENGINE_CLASS]]="MAGLEV","ELECTRIC",PROPERTIES[[#This Row],[ENGINE_CLASS]])</f>
        <v>RUNNING_COST_DIESEL</v>
      </c>
      <c r="V718" s="10" t="s">
        <v>1016</v>
      </c>
      <c r="W718" s="10" t="s">
        <v>1017</v>
      </c>
      <c r="X718" s="10" t="str">
        <f>SUBSTITUTE(SUBSTITUTE(PROPERTIES[[#This Row],[PURCHASECOST_VALUE]], "PURCHASECOST_", ""), "_VALUE", "")</f>
        <v>WAGON</v>
      </c>
      <c r="AP718"/>
      <c r="AQ718"/>
      <c r="AR718"/>
    </row>
    <row r="719" spans="1:44">
      <c r="A719" s="2" t="s">
        <v>764</v>
      </c>
      <c r="B719">
        <v>1830</v>
      </c>
      <c r="C719">
        <v>0</v>
      </c>
      <c r="D719" t="s">
        <v>35</v>
      </c>
      <c r="E719" t="s">
        <v>325</v>
      </c>
      <c r="F719">
        <v>20</v>
      </c>
      <c r="G719" s="10">
        <v>5</v>
      </c>
      <c r="H719">
        <v>4</v>
      </c>
      <c r="I719">
        <v>4</v>
      </c>
      <c r="J719" s="2" t="s">
        <v>24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>
        <v>0</v>
      </c>
      <c r="O719">
        <v>50</v>
      </c>
      <c r="P719" s="2">
        <v>0.3</v>
      </c>
      <c r="Q719" s="6">
        <v>25</v>
      </c>
      <c r="R719" s="10">
        <v>0</v>
      </c>
      <c r="S719" s="10">
        <v>0</v>
      </c>
      <c r="T719" s="10"/>
      <c r="U719" t="str">
        <f>"RUNNING_COST_"&amp;IF(PROPERTIES[[#This Row],[ENGINE_CLASS]]="MAGLEV","ELECTRIC",PROPERTIES[[#This Row],[ENGINE_CLASS]])</f>
        <v>RUNNING_COST_DIESEL</v>
      </c>
      <c r="V719" s="10" t="s">
        <v>1018</v>
      </c>
      <c r="W719" s="10" t="s">
        <v>1019</v>
      </c>
      <c r="X719" s="10" t="str">
        <f>SUBSTITUTE(SUBSTITUTE(PROPERTIES[[#This Row],[PURCHASECOST_VALUE]], "PURCHASECOST_", ""), "_VALUE", "")</f>
        <v>COACH</v>
      </c>
      <c r="AP719"/>
      <c r="AQ719"/>
      <c r="AR719"/>
    </row>
    <row r="720" spans="1:44">
      <c r="A720" s="2" t="s">
        <v>765</v>
      </c>
      <c r="B720">
        <v>1830</v>
      </c>
      <c r="C720">
        <v>0</v>
      </c>
      <c r="D720" t="s">
        <v>35</v>
      </c>
      <c r="E720" t="s">
        <v>325</v>
      </c>
      <c r="F720">
        <v>16</v>
      </c>
      <c r="G720" s="10">
        <v>5</v>
      </c>
      <c r="H720">
        <v>4</v>
      </c>
      <c r="I720">
        <v>4</v>
      </c>
      <c r="J720" s="2" t="s">
        <v>479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>
        <v>0</v>
      </c>
      <c r="O720">
        <v>65</v>
      </c>
      <c r="P720" s="2">
        <v>0.3</v>
      </c>
      <c r="Q720" s="6">
        <v>25</v>
      </c>
      <c r="R720" s="10">
        <v>0</v>
      </c>
      <c r="S720" s="10">
        <v>0</v>
      </c>
      <c r="T720" s="10"/>
      <c r="U720" t="str">
        <f>"RUNNING_COST_"&amp;IF(PROPERTIES[[#This Row],[ENGINE_CLASS]]="MAGLEV","ELECTRIC",PROPERTIES[[#This Row],[ENGINE_CLASS]])</f>
        <v>RUNNING_COST_DIESEL</v>
      </c>
      <c r="V720" s="10" t="s">
        <v>1018</v>
      </c>
      <c r="W720" s="10" t="s">
        <v>1019</v>
      </c>
      <c r="X720" s="10" t="str">
        <f>SUBSTITUTE(SUBSTITUTE(PROPERTIES[[#This Row],[PURCHASECOST_VALUE]], "PURCHASECOST_", ""), "_VALUE", "")</f>
        <v>COACH</v>
      </c>
      <c r="AP720"/>
      <c r="AQ720"/>
      <c r="AR720"/>
    </row>
    <row r="721" spans="1:44">
      <c r="A721" s="2" t="s">
        <v>766</v>
      </c>
      <c r="B721">
        <v>1830</v>
      </c>
      <c r="C721">
        <v>0</v>
      </c>
      <c r="D721" t="s">
        <v>35</v>
      </c>
      <c r="E721" t="s">
        <v>673</v>
      </c>
      <c r="F721">
        <v>12</v>
      </c>
      <c r="G721" s="10">
        <v>5</v>
      </c>
      <c r="H721">
        <v>4</v>
      </c>
      <c r="I721">
        <v>4</v>
      </c>
      <c r="J721" s="2" t="s">
        <v>674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>
        <v>0</v>
      </c>
      <c r="O721">
        <v>50</v>
      </c>
      <c r="P721" s="2">
        <v>0.3</v>
      </c>
      <c r="Q721" s="6">
        <v>25</v>
      </c>
      <c r="R721" s="10">
        <v>0</v>
      </c>
      <c r="S721" s="10">
        <v>0</v>
      </c>
      <c r="T721" s="10"/>
      <c r="U721" t="str">
        <f>"RUNNING_COST_"&amp;IF(PROPERTIES[[#This Row],[ENGINE_CLASS]]="MAGLEV","ELECTRIC",PROPERTIES[[#This Row],[ENGINE_CLASS]])</f>
        <v>RUNNING_COST_DIESEL</v>
      </c>
      <c r="V721" s="10" t="s">
        <v>1018</v>
      </c>
      <c r="W721" s="10" t="s">
        <v>1019</v>
      </c>
      <c r="X721" s="10" t="str">
        <f>SUBSTITUTE(SUBSTITUTE(PROPERTIES[[#This Row],[PURCHASECOST_VALUE]], "PURCHASECOST_", ""), "_VALUE", "")</f>
        <v>COACH</v>
      </c>
      <c r="AP721"/>
      <c r="AQ721"/>
      <c r="AR721"/>
    </row>
    <row r="722" spans="1:44">
      <c r="A722" s="2" t="s">
        <v>767</v>
      </c>
      <c r="B722">
        <v>1840</v>
      </c>
      <c r="C722">
        <v>0</v>
      </c>
      <c r="D722" t="s">
        <v>35</v>
      </c>
      <c r="E722" t="s">
        <v>325</v>
      </c>
      <c r="F722">
        <v>60</v>
      </c>
      <c r="G722" s="10">
        <v>28</v>
      </c>
      <c r="H722">
        <v>6</v>
      </c>
      <c r="I722">
        <v>6</v>
      </c>
      <c r="J722" s="2" t="s">
        <v>24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>
        <v>0</v>
      </c>
      <c r="O722">
        <v>80</v>
      </c>
      <c r="P722" s="2">
        <v>0.3</v>
      </c>
      <c r="Q722" s="6">
        <v>25</v>
      </c>
      <c r="R722" s="10">
        <v>0</v>
      </c>
      <c r="S722" s="10">
        <v>0</v>
      </c>
      <c r="T722" s="10"/>
      <c r="U722" t="str">
        <f>"RUNNING_COST_"&amp;IF(PROPERTIES[[#This Row],[ENGINE_CLASS]]="MAGLEV","ELECTRIC",PROPERTIES[[#This Row],[ENGINE_CLASS]])</f>
        <v>RUNNING_COST_DIESEL</v>
      </c>
      <c r="V722" s="10" t="s">
        <v>1018</v>
      </c>
      <c r="W722" s="10" t="s">
        <v>1019</v>
      </c>
      <c r="X722" s="10" t="str">
        <f>SUBSTITUTE(SUBSTITUTE(PROPERTIES[[#This Row],[PURCHASECOST_VALUE]], "PURCHASECOST_", ""), "_VALUE", "")</f>
        <v>COACH</v>
      </c>
      <c r="AP722"/>
      <c r="AQ722"/>
      <c r="AR722"/>
    </row>
    <row r="723" spans="1:44">
      <c r="A723" s="2" t="s">
        <v>768</v>
      </c>
      <c r="B723">
        <v>1840</v>
      </c>
      <c r="C723">
        <v>0</v>
      </c>
      <c r="D723" t="s">
        <v>35</v>
      </c>
      <c r="E723" t="s">
        <v>325</v>
      </c>
      <c r="F723">
        <v>50</v>
      </c>
      <c r="G723" s="10">
        <v>28</v>
      </c>
      <c r="H723">
        <v>6</v>
      </c>
      <c r="I723">
        <v>6</v>
      </c>
      <c r="J723" s="2" t="s">
        <v>479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>
        <v>0</v>
      </c>
      <c r="O723">
        <v>90</v>
      </c>
      <c r="P723" s="2">
        <v>0.3</v>
      </c>
      <c r="Q723" s="6">
        <v>25</v>
      </c>
      <c r="R723" s="10">
        <v>0</v>
      </c>
      <c r="S723" s="10">
        <v>0</v>
      </c>
      <c r="T723" s="10"/>
      <c r="U723" t="str">
        <f>"RUNNING_COST_"&amp;IF(PROPERTIES[[#This Row],[ENGINE_CLASS]]="MAGLEV","ELECTRIC",PROPERTIES[[#This Row],[ENGINE_CLASS]])</f>
        <v>RUNNING_COST_DIESEL</v>
      </c>
      <c r="V723" s="10" t="s">
        <v>1018</v>
      </c>
      <c r="W723" s="10" t="s">
        <v>1019</v>
      </c>
      <c r="X723" s="10" t="str">
        <f>SUBSTITUTE(SUBSTITUTE(PROPERTIES[[#This Row],[PURCHASECOST_VALUE]], "PURCHASECOST_", ""), "_VALUE", "")</f>
        <v>COACH</v>
      </c>
      <c r="AP723"/>
      <c r="AQ723"/>
      <c r="AR723"/>
    </row>
    <row r="724" spans="1:44">
      <c r="A724" s="2" t="s">
        <v>769</v>
      </c>
      <c r="B724">
        <v>1840</v>
      </c>
      <c r="C724">
        <v>0</v>
      </c>
      <c r="D724" t="s">
        <v>35</v>
      </c>
      <c r="E724" t="s">
        <v>673</v>
      </c>
      <c r="F724">
        <v>40</v>
      </c>
      <c r="G724" s="10">
        <v>28</v>
      </c>
      <c r="H724">
        <v>6</v>
      </c>
      <c r="I724">
        <v>6</v>
      </c>
      <c r="J724" s="2" t="s">
        <v>674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>
        <v>0</v>
      </c>
      <c r="O724">
        <v>90</v>
      </c>
      <c r="P724" s="2">
        <v>0.3</v>
      </c>
      <c r="Q724" s="6">
        <v>25</v>
      </c>
      <c r="R724" s="10">
        <v>0</v>
      </c>
      <c r="S724" s="10">
        <v>0</v>
      </c>
      <c r="T724" s="10"/>
      <c r="U724" t="str">
        <f>"RUNNING_COST_"&amp;IF(PROPERTIES[[#This Row],[ENGINE_CLASS]]="MAGLEV","ELECTRIC",PROPERTIES[[#This Row],[ENGINE_CLASS]])</f>
        <v>RUNNING_COST_DIESEL</v>
      </c>
      <c r="V724" s="10" t="s">
        <v>1018</v>
      </c>
      <c r="W724" s="10" t="s">
        <v>1019</v>
      </c>
      <c r="X724" s="10" t="str">
        <f>SUBSTITUTE(SUBSTITUTE(PROPERTIES[[#This Row],[PURCHASECOST_VALUE]], "PURCHASECOST_", ""), "_VALUE", "")</f>
        <v>COACH</v>
      </c>
      <c r="AP724"/>
      <c r="AQ724"/>
      <c r="AR724"/>
    </row>
    <row r="725" spans="1:44">
      <c r="A725" s="2" t="s">
        <v>770</v>
      </c>
      <c r="B725">
        <v>1850</v>
      </c>
      <c r="C725">
        <v>0</v>
      </c>
      <c r="D725" t="s">
        <v>35</v>
      </c>
      <c r="E725" t="s">
        <v>325</v>
      </c>
      <c r="F725">
        <v>50</v>
      </c>
      <c r="G725" s="10">
        <v>13</v>
      </c>
      <c r="H725">
        <v>5</v>
      </c>
      <c r="I725">
        <v>5</v>
      </c>
      <c r="J725" s="2" t="s">
        <v>24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>
        <v>0</v>
      </c>
      <c r="O725">
        <v>80</v>
      </c>
      <c r="P725" s="2">
        <v>0.3</v>
      </c>
      <c r="Q725" s="6">
        <v>25</v>
      </c>
      <c r="R725" s="10">
        <v>0</v>
      </c>
      <c r="S725" s="10">
        <v>0</v>
      </c>
      <c r="T725" s="10"/>
      <c r="U725" t="str">
        <f>"RUNNING_COST_"&amp;IF(PROPERTIES[[#This Row],[ENGINE_CLASS]]="MAGLEV","ELECTRIC",PROPERTIES[[#This Row],[ENGINE_CLASS]])</f>
        <v>RUNNING_COST_DIESEL</v>
      </c>
      <c r="V725" s="10" t="s">
        <v>1018</v>
      </c>
      <c r="W725" s="10" t="s">
        <v>1019</v>
      </c>
      <c r="X725" s="10" t="str">
        <f>SUBSTITUTE(SUBSTITUTE(PROPERTIES[[#This Row],[PURCHASECOST_VALUE]], "PURCHASECOST_", ""), "_VALUE", "")</f>
        <v>COACH</v>
      </c>
      <c r="AP725"/>
      <c r="AQ725"/>
      <c r="AR725"/>
    </row>
    <row r="726" spans="1:44">
      <c r="A726" s="2" t="s">
        <v>771</v>
      </c>
      <c r="B726">
        <v>1850</v>
      </c>
      <c r="C726">
        <v>0</v>
      </c>
      <c r="D726" t="s">
        <v>35</v>
      </c>
      <c r="E726" t="s">
        <v>325</v>
      </c>
      <c r="F726">
        <v>40</v>
      </c>
      <c r="G726" s="10">
        <v>13</v>
      </c>
      <c r="H726">
        <v>5</v>
      </c>
      <c r="I726">
        <v>5</v>
      </c>
      <c r="J726" s="2" t="s">
        <v>479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>
        <v>0</v>
      </c>
      <c r="O726">
        <v>90</v>
      </c>
      <c r="P726" s="2">
        <v>0.3</v>
      </c>
      <c r="Q726" s="6">
        <v>25</v>
      </c>
      <c r="R726" s="10">
        <v>0</v>
      </c>
      <c r="S726" s="10">
        <v>0</v>
      </c>
      <c r="T726" s="10"/>
      <c r="U726" t="str">
        <f>"RUNNING_COST_"&amp;IF(PROPERTIES[[#This Row],[ENGINE_CLASS]]="MAGLEV","ELECTRIC",PROPERTIES[[#This Row],[ENGINE_CLASS]])</f>
        <v>RUNNING_COST_DIESEL</v>
      </c>
      <c r="V726" s="10" t="s">
        <v>1018</v>
      </c>
      <c r="W726" s="10" t="s">
        <v>1019</v>
      </c>
      <c r="X726" s="10" t="str">
        <f>SUBSTITUTE(SUBSTITUTE(PROPERTIES[[#This Row],[PURCHASECOST_VALUE]], "PURCHASECOST_", ""), "_VALUE", "")</f>
        <v>COACH</v>
      </c>
      <c r="AP726"/>
      <c r="AQ726"/>
      <c r="AR726"/>
    </row>
    <row r="727" spans="1:44">
      <c r="A727" s="2" t="s">
        <v>772</v>
      </c>
      <c r="B727">
        <v>1850</v>
      </c>
      <c r="C727">
        <v>0</v>
      </c>
      <c r="D727" t="s">
        <v>35</v>
      </c>
      <c r="E727" t="s">
        <v>673</v>
      </c>
      <c r="F727">
        <v>24</v>
      </c>
      <c r="G727" s="10">
        <v>13</v>
      </c>
      <c r="H727">
        <v>5</v>
      </c>
      <c r="I727">
        <v>5</v>
      </c>
      <c r="J727" s="2" t="s">
        <v>674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>
        <v>0</v>
      </c>
      <c r="O727">
        <v>80</v>
      </c>
      <c r="P727" s="2">
        <v>0.3</v>
      </c>
      <c r="Q727" s="6">
        <v>25</v>
      </c>
      <c r="R727" s="10">
        <v>0</v>
      </c>
      <c r="S727" s="10">
        <v>0</v>
      </c>
      <c r="T727" s="10"/>
      <c r="U727" t="str">
        <f>"RUNNING_COST_"&amp;IF(PROPERTIES[[#This Row],[ENGINE_CLASS]]="MAGLEV","ELECTRIC",PROPERTIES[[#This Row],[ENGINE_CLASS]])</f>
        <v>RUNNING_COST_DIESEL</v>
      </c>
      <c r="V727" s="10" t="s">
        <v>1018</v>
      </c>
      <c r="W727" s="10" t="s">
        <v>1019</v>
      </c>
      <c r="X727" s="10" t="str">
        <f>SUBSTITUTE(SUBSTITUTE(PROPERTIES[[#This Row],[PURCHASECOST_VALUE]], "PURCHASECOST_", ""), "_VALUE", "")</f>
        <v>COACH</v>
      </c>
      <c r="AP727"/>
      <c r="AQ727"/>
      <c r="AR727"/>
    </row>
    <row r="728" spans="1:44">
      <c r="A728" s="2" t="s">
        <v>773</v>
      </c>
      <c r="B728">
        <v>1900</v>
      </c>
      <c r="C728">
        <v>0</v>
      </c>
      <c r="D728" t="s">
        <v>35</v>
      </c>
      <c r="E728" t="s">
        <v>325</v>
      </c>
      <c r="F728">
        <v>60</v>
      </c>
      <c r="G728" s="10">
        <v>73</v>
      </c>
      <c r="H728">
        <v>8</v>
      </c>
      <c r="I728">
        <v>8</v>
      </c>
      <c r="J728" s="2" t="s">
        <v>479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>
        <v>0</v>
      </c>
      <c r="O728">
        <v>160</v>
      </c>
      <c r="P728" s="2">
        <v>0.3</v>
      </c>
      <c r="Q728" s="6">
        <v>25</v>
      </c>
      <c r="R728" s="10">
        <v>0</v>
      </c>
      <c r="S728" s="10">
        <v>0</v>
      </c>
      <c r="T728" s="10"/>
      <c r="U728" t="str">
        <f>"RUNNING_COST_"&amp;IF(PROPERTIES[[#This Row],[ENGINE_CLASS]]="MAGLEV","ELECTRIC",PROPERTIES[[#This Row],[ENGINE_CLASS]])</f>
        <v>RUNNING_COST_DIESEL</v>
      </c>
      <c r="V728" s="10" t="s">
        <v>1018</v>
      </c>
      <c r="W728" s="10" t="s">
        <v>1019</v>
      </c>
      <c r="X728" s="10" t="str">
        <f>SUBSTITUTE(SUBSTITUTE(PROPERTIES[[#This Row],[PURCHASECOST_VALUE]], "PURCHASECOST_", ""), "_VALUE", "")</f>
        <v>COACH</v>
      </c>
      <c r="AP728"/>
      <c r="AQ728"/>
      <c r="AR728"/>
    </row>
    <row r="729" spans="1:44">
      <c r="A729" s="2" t="s">
        <v>774</v>
      </c>
      <c r="B729">
        <v>1900</v>
      </c>
      <c r="C729">
        <v>0</v>
      </c>
      <c r="D729" t="s">
        <v>35</v>
      </c>
      <c r="E729" t="s">
        <v>673</v>
      </c>
      <c r="F729">
        <v>90</v>
      </c>
      <c r="G729" s="10">
        <v>58</v>
      </c>
      <c r="H729">
        <v>8</v>
      </c>
      <c r="I729">
        <v>8</v>
      </c>
      <c r="J729" s="2" t="s">
        <v>479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>
        <v>0</v>
      </c>
      <c r="O729">
        <v>120</v>
      </c>
      <c r="P729" s="2">
        <v>0.3</v>
      </c>
      <c r="Q729" s="6">
        <v>25</v>
      </c>
      <c r="R729" s="10">
        <v>0</v>
      </c>
      <c r="S729" s="10">
        <v>0</v>
      </c>
      <c r="T729" s="10"/>
      <c r="U729" t="str">
        <f>"RUNNING_COST_"&amp;IF(PROPERTIES[[#This Row],[ENGINE_CLASS]]="MAGLEV","ELECTRIC",PROPERTIES[[#This Row],[ENGINE_CLASS]])</f>
        <v>RUNNING_COST_DIESEL</v>
      </c>
      <c r="V729" s="10" t="s">
        <v>1018</v>
      </c>
      <c r="W729" s="10" t="s">
        <v>1019</v>
      </c>
      <c r="X729" s="10" t="str">
        <f>SUBSTITUTE(SUBSTITUTE(PROPERTIES[[#This Row],[PURCHASECOST_VALUE]], "PURCHASECOST_", ""), "_VALUE", "")</f>
        <v>COACH</v>
      </c>
      <c r="AP729"/>
      <c r="AQ729"/>
      <c r="AR729"/>
    </row>
    <row r="730" spans="1:44">
      <c r="A730" s="2" t="s">
        <v>775</v>
      </c>
      <c r="B730">
        <v>1910</v>
      </c>
      <c r="C730">
        <v>0</v>
      </c>
      <c r="D730" t="s">
        <v>35</v>
      </c>
      <c r="E730" t="s">
        <v>325</v>
      </c>
      <c r="F730">
        <v>55</v>
      </c>
      <c r="G730" s="10">
        <v>40</v>
      </c>
      <c r="H730">
        <v>7</v>
      </c>
      <c r="I730">
        <v>7</v>
      </c>
      <c r="J730" s="2" t="s">
        <v>479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>
        <v>0</v>
      </c>
      <c r="O730">
        <v>120</v>
      </c>
      <c r="P730" s="2">
        <v>0.3</v>
      </c>
      <c r="Q730" s="6">
        <v>25</v>
      </c>
      <c r="R730" s="10">
        <v>0</v>
      </c>
      <c r="S730" s="10">
        <v>0</v>
      </c>
      <c r="T730" s="10"/>
      <c r="U730" t="str">
        <f>"RUNNING_COST_"&amp;IF(PROPERTIES[[#This Row],[ENGINE_CLASS]]="MAGLEV","ELECTRIC",PROPERTIES[[#This Row],[ENGINE_CLASS]])</f>
        <v>RUNNING_COST_DIESEL</v>
      </c>
      <c r="V730" s="10" t="s">
        <v>1018</v>
      </c>
      <c r="W730" s="10" t="s">
        <v>1019</v>
      </c>
      <c r="X730" s="10" t="str">
        <f>SUBSTITUTE(SUBSTITUTE(PROPERTIES[[#This Row],[PURCHASECOST_VALUE]], "PURCHASECOST_", ""), "_VALUE", "")</f>
        <v>COACH</v>
      </c>
      <c r="AP730"/>
      <c r="AQ730"/>
      <c r="AR730"/>
    </row>
    <row r="731" spans="1:44">
      <c r="A731" s="2" t="s">
        <v>776</v>
      </c>
      <c r="B731">
        <v>1910</v>
      </c>
      <c r="C731">
        <v>0</v>
      </c>
      <c r="D731" t="s">
        <v>35</v>
      </c>
      <c r="E731" t="s">
        <v>325</v>
      </c>
      <c r="F731">
        <v>75</v>
      </c>
      <c r="G731" s="10">
        <v>36</v>
      </c>
      <c r="H731">
        <v>7</v>
      </c>
      <c r="I731">
        <v>7</v>
      </c>
      <c r="J731" s="2" t="s">
        <v>24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>
        <v>0</v>
      </c>
      <c r="O731">
        <v>110</v>
      </c>
      <c r="P731" s="2">
        <v>0.3</v>
      </c>
      <c r="Q731" s="6">
        <v>25</v>
      </c>
      <c r="R731" s="10">
        <v>0</v>
      </c>
      <c r="S731" s="10">
        <v>0</v>
      </c>
      <c r="T731" s="10"/>
      <c r="U731" t="str">
        <f>"RUNNING_COST_"&amp;IF(PROPERTIES[[#This Row],[ENGINE_CLASS]]="MAGLEV","ELECTRIC",PROPERTIES[[#This Row],[ENGINE_CLASS]])</f>
        <v>RUNNING_COST_DIESEL</v>
      </c>
      <c r="V731" s="10" t="s">
        <v>1018</v>
      </c>
      <c r="W731" s="10" t="s">
        <v>1019</v>
      </c>
      <c r="X731" s="10" t="str">
        <f>SUBSTITUTE(SUBSTITUTE(PROPERTIES[[#This Row],[PURCHASECOST_VALUE]], "PURCHASECOST_", ""), "_VALUE", "")</f>
        <v>COACH</v>
      </c>
      <c r="AP731"/>
      <c r="AQ731"/>
      <c r="AR731"/>
    </row>
    <row r="732" spans="1:44">
      <c r="A732" s="2" t="s">
        <v>777</v>
      </c>
      <c r="B732">
        <v>1910</v>
      </c>
      <c r="C732">
        <v>0</v>
      </c>
      <c r="D732" t="s">
        <v>35</v>
      </c>
      <c r="E732" t="s">
        <v>325</v>
      </c>
      <c r="F732">
        <v>65</v>
      </c>
      <c r="G732" s="10">
        <v>33</v>
      </c>
      <c r="H732">
        <v>7</v>
      </c>
      <c r="I732">
        <v>7</v>
      </c>
      <c r="J732" s="2" t="s">
        <v>479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>
        <v>0</v>
      </c>
      <c r="O732">
        <v>110</v>
      </c>
      <c r="P732" s="2">
        <v>0.3</v>
      </c>
      <c r="Q732" s="6">
        <v>25</v>
      </c>
      <c r="R732" s="10">
        <v>0</v>
      </c>
      <c r="S732" s="10">
        <v>0</v>
      </c>
      <c r="T732" s="10"/>
      <c r="U732" t="str">
        <f>"RUNNING_COST_"&amp;IF(PROPERTIES[[#This Row],[ENGINE_CLASS]]="MAGLEV","ELECTRIC",PROPERTIES[[#This Row],[ENGINE_CLASS]])</f>
        <v>RUNNING_COST_DIESEL</v>
      </c>
      <c r="V732" s="10" t="s">
        <v>1018</v>
      </c>
      <c r="W732" s="10" t="s">
        <v>1019</v>
      </c>
      <c r="X732" s="10" t="str">
        <f>SUBSTITUTE(SUBSTITUTE(PROPERTIES[[#This Row],[PURCHASECOST_VALUE]], "PURCHASECOST_", ""), "_VALUE", "")</f>
        <v>COACH</v>
      </c>
      <c r="AP732"/>
      <c r="AQ732"/>
      <c r="AR732"/>
    </row>
    <row r="733" spans="1:44">
      <c r="A733" s="2" t="s">
        <v>778</v>
      </c>
      <c r="B733">
        <v>1910</v>
      </c>
      <c r="C733">
        <v>0</v>
      </c>
      <c r="D733" t="s">
        <v>35</v>
      </c>
      <c r="E733" t="s">
        <v>673</v>
      </c>
      <c r="F733">
        <v>56</v>
      </c>
      <c r="G733" s="10">
        <v>35</v>
      </c>
      <c r="H733">
        <v>7</v>
      </c>
      <c r="I733">
        <v>7</v>
      </c>
      <c r="J733" s="2" t="s">
        <v>674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>
        <v>0</v>
      </c>
      <c r="O733">
        <v>120</v>
      </c>
      <c r="P733" s="2">
        <v>0.3</v>
      </c>
      <c r="Q733" s="6">
        <v>25</v>
      </c>
      <c r="R733" s="10">
        <v>0</v>
      </c>
      <c r="S733" s="10">
        <v>0</v>
      </c>
      <c r="T733" s="10"/>
      <c r="U733" t="str">
        <f>"RUNNING_COST_"&amp;IF(PROPERTIES[[#This Row],[ENGINE_CLASS]]="MAGLEV","ELECTRIC",PROPERTIES[[#This Row],[ENGINE_CLASS]])</f>
        <v>RUNNING_COST_DIESEL</v>
      </c>
      <c r="V733" s="10" t="s">
        <v>1018</v>
      </c>
      <c r="W733" s="10" t="s">
        <v>1019</v>
      </c>
      <c r="X733" s="10" t="str">
        <f>SUBSTITUTE(SUBSTITUTE(PROPERTIES[[#This Row],[PURCHASECOST_VALUE]], "PURCHASECOST_", ""), "_VALUE", "")</f>
        <v>COACH</v>
      </c>
      <c r="AP733"/>
      <c r="AQ733"/>
      <c r="AR733"/>
    </row>
    <row r="734" spans="1:44">
      <c r="A734" s="2" t="s">
        <v>779</v>
      </c>
      <c r="B734">
        <v>1920</v>
      </c>
      <c r="C734">
        <v>0</v>
      </c>
      <c r="D734" t="s">
        <v>35</v>
      </c>
      <c r="E734" t="s">
        <v>325</v>
      </c>
      <c r="F734">
        <v>40</v>
      </c>
      <c r="G734" s="10">
        <v>20</v>
      </c>
      <c r="H734">
        <v>5</v>
      </c>
      <c r="I734">
        <v>5</v>
      </c>
      <c r="J734" s="2" t="s">
        <v>24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>
        <v>0</v>
      </c>
      <c r="O734">
        <v>100</v>
      </c>
      <c r="P734" s="2">
        <v>0.3</v>
      </c>
      <c r="Q734" s="6">
        <v>25</v>
      </c>
      <c r="R734" s="10">
        <v>0</v>
      </c>
      <c r="S734" s="10">
        <v>0</v>
      </c>
      <c r="T734" s="10"/>
      <c r="U734" t="str">
        <f>"RUNNING_COST_"&amp;IF(PROPERTIES[[#This Row],[ENGINE_CLASS]]="MAGLEV","ELECTRIC",PROPERTIES[[#This Row],[ENGINE_CLASS]])</f>
        <v>RUNNING_COST_DIESEL</v>
      </c>
      <c r="V734" s="10" t="s">
        <v>1018</v>
      </c>
      <c r="W734" s="10" t="s">
        <v>1019</v>
      </c>
      <c r="X734" s="10" t="str">
        <f>SUBSTITUTE(SUBSTITUTE(PROPERTIES[[#This Row],[PURCHASECOST_VALUE]], "PURCHASECOST_", ""), "_VALUE", "")</f>
        <v>COACH</v>
      </c>
      <c r="AP734"/>
      <c r="AQ734"/>
      <c r="AR734"/>
    </row>
    <row r="735" spans="1:44">
      <c r="A735" s="2" t="s">
        <v>780</v>
      </c>
      <c r="B735">
        <v>1920</v>
      </c>
      <c r="C735">
        <v>0</v>
      </c>
      <c r="D735" t="s">
        <v>35</v>
      </c>
      <c r="E735" t="s">
        <v>325</v>
      </c>
      <c r="F735">
        <v>40</v>
      </c>
      <c r="G735" s="10">
        <v>20</v>
      </c>
      <c r="H735">
        <v>5</v>
      </c>
      <c r="I735">
        <v>5</v>
      </c>
      <c r="J735" s="2" t="s">
        <v>479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>
        <v>0</v>
      </c>
      <c r="O735">
        <v>100</v>
      </c>
      <c r="P735" s="2">
        <v>0.3</v>
      </c>
      <c r="Q735" s="6">
        <v>25</v>
      </c>
      <c r="R735" s="10">
        <v>0</v>
      </c>
      <c r="S735" s="10">
        <v>0</v>
      </c>
      <c r="T735" s="10"/>
      <c r="U735" t="str">
        <f>"RUNNING_COST_"&amp;IF(PROPERTIES[[#This Row],[ENGINE_CLASS]]="MAGLEV","ELECTRIC",PROPERTIES[[#This Row],[ENGINE_CLASS]])</f>
        <v>RUNNING_COST_DIESEL</v>
      </c>
      <c r="V735" s="10" t="s">
        <v>1018</v>
      </c>
      <c r="W735" s="10" t="s">
        <v>1019</v>
      </c>
      <c r="X735" s="10" t="str">
        <f>SUBSTITUTE(SUBSTITUTE(PROPERTIES[[#This Row],[PURCHASECOST_VALUE]], "PURCHASECOST_", ""), "_VALUE", "")</f>
        <v>COACH</v>
      </c>
      <c r="AP735"/>
      <c r="AQ735"/>
      <c r="AR735"/>
    </row>
    <row r="736" spans="1:44">
      <c r="A736" s="2" t="s">
        <v>781</v>
      </c>
      <c r="B736">
        <v>1920</v>
      </c>
      <c r="C736">
        <v>0</v>
      </c>
      <c r="D736" t="s">
        <v>35</v>
      </c>
      <c r="E736" t="s">
        <v>673</v>
      </c>
      <c r="F736">
        <v>35</v>
      </c>
      <c r="G736" s="10">
        <v>20</v>
      </c>
      <c r="H736">
        <v>5</v>
      </c>
      <c r="I736">
        <v>5</v>
      </c>
      <c r="J736" s="2" t="s">
        <v>674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>
        <v>0</v>
      </c>
      <c r="O736">
        <v>100</v>
      </c>
      <c r="P736" s="2">
        <v>0.3</v>
      </c>
      <c r="Q736" s="6">
        <v>25</v>
      </c>
      <c r="R736" s="10">
        <v>0</v>
      </c>
      <c r="S736" s="10">
        <v>0</v>
      </c>
      <c r="T736" s="10"/>
      <c r="U736" t="str">
        <f>"RUNNING_COST_"&amp;IF(PROPERTIES[[#This Row],[ENGINE_CLASS]]="MAGLEV","ELECTRIC",PROPERTIES[[#This Row],[ENGINE_CLASS]])</f>
        <v>RUNNING_COST_DIESEL</v>
      </c>
      <c r="V736" s="10" t="s">
        <v>1018</v>
      </c>
      <c r="W736" s="10" t="s">
        <v>1019</v>
      </c>
      <c r="X736" s="10" t="str">
        <f>SUBSTITUTE(SUBSTITUTE(PROPERTIES[[#This Row],[PURCHASECOST_VALUE]], "PURCHASECOST_", ""), "_VALUE", "")</f>
        <v>COACH</v>
      </c>
      <c r="AP736"/>
      <c r="AQ736"/>
      <c r="AR736"/>
    </row>
    <row r="737" spans="1:44">
      <c r="A737" s="2" t="s">
        <v>782</v>
      </c>
      <c r="B737">
        <v>1920</v>
      </c>
      <c r="C737">
        <v>0</v>
      </c>
      <c r="D737" t="s">
        <v>35</v>
      </c>
      <c r="E737" t="s">
        <v>325</v>
      </c>
      <c r="F737">
        <v>40</v>
      </c>
      <c r="G737" s="10">
        <v>21</v>
      </c>
      <c r="H737">
        <v>6</v>
      </c>
      <c r="I737">
        <v>6</v>
      </c>
      <c r="J737" s="2" t="s">
        <v>24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>
        <v>0</v>
      </c>
      <c r="O737">
        <v>110</v>
      </c>
      <c r="P737" s="2">
        <v>0.3</v>
      </c>
      <c r="Q737" s="6">
        <v>25</v>
      </c>
      <c r="R737" s="10">
        <v>0</v>
      </c>
      <c r="S737" s="10">
        <v>0</v>
      </c>
      <c r="T737" s="10"/>
      <c r="U737" t="str">
        <f>"RUNNING_COST_"&amp;IF(PROPERTIES[[#This Row],[ENGINE_CLASS]]="MAGLEV","ELECTRIC",PROPERTIES[[#This Row],[ENGINE_CLASS]])</f>
        <v>RUNNING_COST_DIESEL</v>
      </c>
      <c r="V737" s="10" t="s">
        <v>1018</v>
      </c>
      <c r="W737" s="10" t="s">
        <v>1019</v>
      </c>
      <c r="X737" s="10" t="str">
        <f>SUBSTITUTE(SUBSTITUTE(PROPERTIES[[#This Row],[PURCHASECOST_VALUE]], "PURCHASECOST_", ""), "_VALUE", "")</f>
        <v>COACH</v>
      </c>
      <c r="AP737"/>
      <c r="AQ737"/>
      <c r="AR737"/>
    </row>
    <row r="738" spans="1:44">
      <c r="A738" s="2" t="s">
        <v>783</v>
      </c>
      <c r="B738">
        <v>1920</v>
      </c>
      <c r="C738">
        <v>0</v>
      </c>
      <c r="D738" t="s">
        <v>35</v>
      </c>
      <c r="E738" t="s">
        <v>325</v>
      </c>
      <c r="F738">
        <v>35</v>
      </c>
      <c r="G738" s="10">
        <v>22</v>
      </c>
      <c r="H738">
        <v>6</v>
      </c>
      <c r="I738">
        <v>6</v>
      </c>
      <c r="J738" s="2" t="s">
        <v>479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>
        <v>0</v>
      </c>
      <c r="O738">
        <v>120</v>
      </c>
      <c r="P738" s="2">
        <v>0.3</v>
      </c>
      <c r="Q738" s="6">
        <v>25</v>
      </c>
      <c r="R738" s="10">
        <v>0</v>
      </c>
      <c r="S738" s="10">
        <v>0</v>
      </c>
      <c r="T738" s="10"/>
      <c r="U738" t="str">
        <f>"RUNNING_COST_"&amp;IF(PROPERTIES[[#This Row],[ENGINE_CLASS]]="MAGLEV","ELECTRIC",PROPERTIES[[#This Row],[ENGINE_CLASS]])</f>
        <v>RUNNING_COST_DIESEL</v>
      </c>
      <c r="V738" s="10" t="s">
        <v>1018</v>
      </c>
      <c r="W738" s="10" t="s">
        <v>1019</v>
      </c>
      <c r="X738" s="10" t="str">
        <f>SUBSTITUTE(SUBSTITUTE(PROPERTIES[[#This Row],[PURCHASECOST_VALUE]], "PURCHASECOST_", ""), "_VALUE", "")</f>
        <v>COACH</v>
      </c>
      <c r="AP738"/>
      <c r="AQ738"/>
      <c r="AR738"/>
    </row>
    <row r="739" spans="1:44">
      <c r="A739" s="2" t="s">
        <v>784</v>
      </c>
      <c r="B739">
        <v>1920</v>
      </c>
      <c r="C739">
        <v>0</v>
      </c>
      <c r="D739" t="s">
        <v>35</v>
      </c>
      <c r="E739" t="s">
        <v>673</v>
      </c>
      <c r="F739">
        <v>40</v>
      </c>
      <c r="G739" s="10">
        <v>21</v>
      </c>
      <c r="H739">
        <v>6</v>
      </c>
      <c r="I739">
        <v>6</v>
      </c>
      <c r="J739" s="2" t="s">
        <v>674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>
        <v>0</v>
      </c>
      <c r="O739">
        <v>120</v>
      </c>
      <c r="P739" s="2">
        <v>0.3</v>
      </c>
      <c r="Q739" s="6">
        <v>25</v>
      </c>
      <c r="R739" s="10">
        <v>0</v>
      </c>
      <c r="S739" s="10">
        <v>0</v>
      </c>
      <c r="T739" s="10"/>
      <c r="U739" t="str">
        <f>"RUNNING_COST_"&amp;IF(PROPERTIES[[#This Row],[ENGINE_CLASS]]="MAGLEV","ELECTRIC",PROPERTIES[[#This Row],[ENGINE_CLASS]])</f>
        <v>RUNNING_COST_DIESEL</v>
      </c>
      <c r="V739" s="10" t="s">
        <v>1018</v>
      </c>
      <c r="W739" s="10" t="s">
        <v>1019</v>
      </c>
      <c r="X739" s="10" t="str">
        <f>SUBSTITUTE(SUBSTITUTE(PROPERTIES[[#This Row],[PURCHASECOST_VALUE]], "PURCHASECOST_", ""), "_VALUE", "")</f>
        <v>COACH</v>
      </c>
      <c r="AP739"/>
      <c r="AQ739"/>
      <c r="AR739"/>
    </row>
    <row r="740" spans="1:44">
      <c r="A740" s="2" t="s">
        <v>785</v>
      </c>
      <c r="B740">
        <v>1930</v>
      </c>
      <c r="C740">
        <v>0</v>
      </c>
      <c r="D740" t="s">
        <v>35</v>
      </c>
      <c r="E740" t="s">
        <v>325</v>
      </c>
      <c r="F740">
        <v>60</v>
      </c>
      <c r="G740" s="10">
        <v>38</v>
      </c>
      <c r="H740">
        <v>8</v>
      </c>
      <c r="I740">
        <v>8</v>
      </c>
      <c r="J740" s="2" t="s">
        <v>479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>
        <v>0</v>
      </c>
      <c r="O740">
        <v>160</v>
      </c>
      <c r="P740" s="2">
        <v>0.3</v>
      </c>
      <c r="Q740" s="6">
        <v>25</v>
      </c>
      <c r="R740" s="10">
        <v>0</v>
      </c>
      <c r="S740" s="10">
        <v>0</v>
      </c>
      <c r="T740" s="10"/>
      <c r="U740" t="str">
        <f>"RUNNING_COST_"&amp;IF(PROPERTIES[[#This Row],[ENGINE_CLASS]]="MAGLEV","ELECTRIC",PROPERTIES[[#This Row],[ENGINE_CLASS]])</f>
        <v>RUNNING_COST_DIESEL</v>
      </c>
      <c r="V740" s="10" t="s">
        <v>1018</v>
      </c>
      <c r="W740" s="10" t="s">
        <v>1019</v>
      </c>
      <c r="X740" s="10" t="str">
        <f>SUBSTITUTE(SUBSTITUTE(PROPERTIES[[#This Row],[PURCHASECOST_VALUE]], "PURCHASECOST_", ""), "_VALUE", "")</f>
        <v>COACH</v>
      </c>
      <c r="AP740"/>
      <c r="AQ740"/>
      <c r="AR740"/>
    </row>
    <row r="741" spans="1:44">
      <c r="A741" s="2" t="s">
        <v>786</v>
      </c>
      <c r="B741">
        <v>1930</v>
      </c>
      <c r="C741">
        <v>0</v>
      </c>
      <c r="D741" t="s">
        <v>35</v>
      </c>
      <c r="E741" t="s">
        <v>325</v>
      </c>
      <c r="F741">
        <v>55</v>
      </c>
      <c r="G741" s="10">
        <v>35</v>
      </c>
      <c r="H741">
        <v>8</v>
      </c>
      <c r="I741">
        <v>8</v>
      </c>
      <c r="J741" s="2" t="s">
        <v>479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>
        <v>0</v>
      </c>
      <c r="O741">
        <v>120</v>
      </c>
      <c r="P741" s="2">
        <v>0.3</v>
      </c>
      <c r="Q741" s="6">
        <v>25</v>
      </c>
      <c r="R741" s="10">
        <v>0</v>
      </c>
      <c r="S741" s="10">
        <v>0</v>
      </c>
      <c r="T741" s="10"/>
      <c r="U741" t="str">
        <f>"RUNNING_COST_"&amp;IF(PROPERTIES[[#This Row],[ENGINE_CLASS]]="MAGLEV","ELECTRIC",PROPERTIES[[#This Row],[ENGINE_CLASS]])</f>
        <v>RUNNING_COST_DIESEL</v>
      </c>
      <c r="V741" s="10" t="s">
        <v>1018</v>
      </c>
      <c r="W741" s="10" t="s">
        <v>1019</v>
      </c>
      <c r="X741" s="10" t="str">
        <f>SUBSTITUTE(SUBSTITUTE(PROPERTIES[[#This Row],[PURCHASECOST_VALUE]], "PURCHASECOST_", ""), "_VALUE", "")</f>
        <v>COACH</v>
      </c>
      <c r="AP741"/>
      <c r="AQ741"/>
      <c r="AR741"/>
    </row>
    <row r="742" spans="1:44">
      <c r="A742" s="2" t="s">
        <v>787</v>
      </c>
      <c r="B742">
        <v>1930</v>
      </c>
      <c r="C742">
        <v>0</v>
      </c>
      <c r="D742" t="s">
        <v>35</v>
      </c>
      <c r="E742" t="s">
        <v>673</v>
      </c>
      <c r="F742">
        <v>64</v>
      </c>
      <c r="G742" s="10">
        <v>31</v>
      </c>
      <c r="H742">
        <v>8</v>
      </c>
      <c r="I742">
        <v>8</v>
      </c>
      <c r="J742" s="2" t="s">
        <v>674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>
        <v>0</v>
      </c>
      <c r="O742">
        <v>140</v>
      </c>
      <c r="P742" s="2">
        <v>0.3</v>
      </c>
      <c r="Q742" s="6">
        <v>25</v>
      </c>
      <c r="R742" s="10">
        <v>0</v>
      </c>
      <c r="S742" s="10">
        <v>0</v>
      </c>
      <c r="T742" s="10"/>
      <c r="U742" t="str">
        <f>"RUNNING_COST_"&amp;IF(PROPERTIES[[#This Row],[ENGINE_CLASS]]="MAGLEV","ELECTRIC",PROPERTIES[[#This Row],[ENGINE_CLASS]])</f>
        <v>RUNNING_COST_DIESEL</v>
      </c>
      <c r="V742" s="10" t="s">
        <v>1018</v>
      </c>
      <c r="W742" s="10" t="s">
        <v>1019</v>
      </c>
      <c r="X742" s="10" t="str">
        <f>SUBSTITUTE(SUBSTITUTE(PROPERTIES[[#This Row],[PURCHASECOST_VALUE]], "PURCHASECOST_", ""), "_VALUE", "")</f>
        <v>COACH</v>
      </c>
      <c r="AP742"/>
      <c r="AQ742"/>
      <c r="AR742"/>
    </row>
    <row r="743" spans="1:44">
      <c r="A743" s="2" t="s">
        <v>788</v>
      </c>
      <c r="B743">
        <v>1940</v>
      </c>
      <c r="C743">
        <v>0</v>
      </c>
      <c r="D743" t="s">
        <v>35</v>
      </c>
      <c r="E743" t="s">
        <v>325</v>
      </c>
      <c r="F743">
        <v>60</v>
      </c>
      <c r="G743" s="10">
        <v>55</v>
      </c>
      <c r="H743">
        <v>8</v>
      </c>
      <c r="I743">
        <v>8</v>
      </c>
      <c r="J743" s="2" t="s">
        <v>479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>
        <v>0</v>
      </c>
      <c r="O743">
        <v>180</v>
      </c>
      <c r="P743" s="2">
        <v>0.3</v>
      </c>
      <c r="Q743" s="6">
        <v>25</v>
      </c>
      <c r="R743" s="10">
        <v>0</v>
      </c>
      <c r="S743" s="10">
        <v>0</v>
      </c>
      <c r="T743" s="10"/>
      <c r="U743" t="str">
        <f>"RUNNING_COST_"&amp;IF(PROPERTIES[[#This Row],[ENGINE_CLASS]]="MAGLEV","ELECTRIC",PROPERTIES[[#This Row],[ENGINE_CLASS]])</f>
        <v>RUNNING_COST_DIESEL</v>
      </c>
      <c r="V743" s="10" t="s">
        <v>1018</v>
      </c>
      <c r="W743" s="10" t="s">
        <v>1019</v>
      </c>
      <c r="X743" s="10" t="str">
        <f>SUBSTITUTE(SUBSTITUTE(PROPERTIES[[#This Row],[PURCHASECOST_VALUE]], "PURCHASECOST_", ""), "_VALUE", "")</f>
        <v>COACH</v>
      </c>
      <c r="AP743"/>
      <c r="AQ743"/>
      <c r="AR743"/>
    </row>
    <row r="744" spans="1:44">
      <c r="A744" s="2" t="s">
        <v>789</v>
      </c>
      <c r="B744">
        <v>1940</v>
      </c>
      <c r="C744">
        <v>0</v>
      </c>
      <c r="D744" t="s">
        <v>35</v>
      </c>
      <c r="E744" t="s">
        <v>325</v>
      </c>
      <c r="F744">
        <v>90</v>
      </c>
      <c r="G744" s="10">
        <v>52</v>
      </c>
      <c r="H744">
        <v>8</v>
      </c>
      <c r="I744">
        <v>8</v>
      </c>
      <c r="J744" s="2" t="s">
        <v>479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>
        <v>0</v>
      </c>
      <c r="O744">
        <v>160</v>
      </c>
      <c r="P744" s="2">
        <v>0.3</v>
      </c>
      <c r="Q744" s="6">
        <v>25</v>
      </c>
      <c r="R744" s="10">
        <v>0</v>
      </c>
      <c r="S744" s="10">
        <v>0</v>
      </c>
      <c r="T744" s="10"/>
      <c r="U744" t="str">
        <f>"RUNNING_COST_"&amp;IF(PROPERTIES[[#This Row],[ENGINE_CLASS]]="MAGLEV","ELECTRIC",PROPERTIES[[#This Row],[ENGINE_CLASS]])</f>
        <v>RUNNING_COST_DIESEL</v>
      </c>
      <c r="V744" s="10" t="s">
        <v>1018</v>
      </c>
      <c r="W744" s="10" t="s">
        <v>1019</v>
      </c>
      <c r="X744" s="10" t="str">
        <f>SUBSTITUTE(SUBSTITUTE(PROPERTIES[[#This Row],[PURCHASECOST_VALUE]], "PURCHASECOST_", ""), "_VALUE", "")</f>
        <v>COACH</v>
      </c>
      <c r="AP744"/>
      <c r="AQ744"/>
      <c r="AR744"/>
    </row>
    <row r="745" spans="1:44">
      <c r="A745" s="2" t="s">
        <v>790</v>
      </c>
      <c r="B745">
        <v>1940</v>
      </c>
      <c r="C745">
        <v>0</v>
      </c>
      <c r="D745" t="s">
        <v>35</v>
      </c>
      <c r="E745" t="s">
        <v>673</v>
      </c>
      <c r="F745">
        <v>85</v>
      </c>
      <c r="G745" s="10">
        <v>52</v>
      </c>
      <c r="H745">
        <v>8</v>
      </c>
      <c r="I745">
        <v>8</v>
      </c>
      <c r="J745" s="2" t="s">
        <v>674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>
        <v>0</v>
      </c>
      <c r="O745">
        <v>180</v>
      </c>
      <c r="P745" s="2">
        <v>0.3</v>
      </c>
      <c r="Q745" s="6">
        <v>25</v>
      </c>
      <c r="R745" s="10">
        <v>0</v>
      </c>
      <c r="S745" s="10">
        <v>0</v>
      </c>
      <c r="T745" s="10"/>
      <c r="U745" t="str">
        <f>"RUNNING_COST_"&amp;IF(PROPERTIES[[#This Row],[ENGINE_CLASS]]="MAGLEV","ELECTRIC",PROPERTIES[[#This Row],[ENGINE_CLASS]])</f>
        <v>RUNNING_COST_DIESEL</v>
      </c>
      <c r="V745" s="10" t="s">
        <v>1018</v>
      </c>
      <c r="W745" s="10" t="s">
        <v>1019</v>
      </c>
      <c r="X745" s="10" t="str">
        <f>SUBSTITUTE(SUBSTITUTE(PROPERTIES[[#This Row],[PURCHASECOST_VALUE]], "PURCHASECOST_", ""), "_VALUE", "")</f>
        <v>COACH</v>
      </c>
      <c r="AP745"/>
      <c r="AQ745"/>
      <c r="AR745"/>
    </row>
    <row r="746" spans="1:44">
      <c r="A746" s="2" t="s">
        <v>791</v>
      </c>
      <c r="B746">
        <v>1950</v>
      </c>
      <c r="C746">
        <v>0</v>
      </c>
      <c r="D746" t="s">
        <v>35</v>
      </c>
      <c r="E746" t="s">
        <v>325</v>
      </c>
      <c r="F746">
        <v>160</v>
      </c>
      <c r="G746" s="10">
        <v>56</v>
      </c>
      <c r="H746">
        <v>8</v>
      </c>
      <c r="I746">
        <v>8</v>
      </c>
      <c r="J746" s="2" t="s">
        <v>479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>
        <v>0</v>
      </c>
      <c r="O746">
        <v>140</v>
      </c>
      <c r="P746" s="2">
        <v>0.3</v>
      </c>
      <c r="Q746" s="6">
        <v>25</v>
      </c>
      <c r="R746" s="10">
        <v>0</v>
      </c>
      <c r="S746" s="10">
        <v>0</v>
      </c>
      <c r="T746" s="10"/>
      <c r="U746" t="str">
        <f>"RUNNING_COST_"&amp;IF(PROPERTIES[[#This Row],[ENGINE_CLASS]]="MAGLEV","ELECTRIC",PROPERTIES[[#This Row],[ENGINE_CLASS]])</f>
        <v>RUNNING_COST_DIESEL</v>
      </c>
      <c r="V746" s="10" t="s">
        <v>1018</v>
      </c>
      <c r="W746" s="10" t="s">
        <v>1019</v>
      </c>
      <c r="X746" s="10" t="str">
        <f>SUBSTITUTE(SUBSTITUTE(PROPERTIES[[#This Row],[PURCHASECOST_VALUE]], "PURCHASECOST_", ""), "_VALUE", "")</f>
        <v>COACH</v>
      </c>
      <c r="AP746"/>
      <c r="AQ746"/>
      <c r="AR746"/>
    </row>
    <row r="747" spans="1:44">
      <c r="A747" s="2" t="s">
        <v>792</v>
      </c>
      <c r="B747">
        <v>1950</v>
      </c>
      <c r="C747">
        <v>0</v>
      </c>
      <c r="D747" t="s">
        <v>35</v>
      </c>
      <c r="E747" t="s">
        <v>325</v>
      </c>
      <c r="F747">
        <v>55</v>
      </c>
      <c r="G747" s="10">
        <v>33</v>
      </c>
      <c r="H747">
        <v>7</v>
      </c>
      <c r="I747">
        <v>7</v>
      </c>
      <c r="J747" s="2" t="s">
        <v>479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>
        <v>0</v>
      </c>
      <c r="O747">
        <v>160</v>
      </c>
      <c r="P747" s="2">
        <v>0.3</v>
      </c>
      <c r="Q747" s="6">
        <v>25</v>
      </c>
      <c r="R747" s="10">
        <v>0</v>
      </c>
      <c r="S747" s="10">
        <v>0</v>
      </c>
      <c r="T747" s="10"/>
      <c r="U747" t="str">
        <f>"RUNNING_COST_"&amp;IF(PROPERTIES[[#This Row],[ENGINE_CLASS]]="MAGLEV","ELECTRIC",PROPERTIES[[#This Row],[ENGINE_CLASS]])</f>
        <v>RUNNING_COST_DIESEL</v>
      </c>
      <c r="V747" s="10" t="s">
        <v>1018</v>
      </c>
      <c r="W747" s="10" t="s">
        <v>1019</v>
      </c>
      <c r="X747" s="10" t="str">
        <f>SUBSTITUTE(SUBSTITUTE(PROPERTIES[[#This Row],[PURCHASECOST_VALUE]], "PURCHASECOST_", ""), "_VALUE", "")</f>
        <v>COACH</v>
      </c>
      <c r="AP747"/>
      <c r="AQ747"/>
      <c r="AR747"/>
    </row>
    <row r="748" spans="1:44">
      <c r="A748" s="2" t="s">
        <v>793</v>
      </c>
      <c r="B748">
        <v>1950</v>
      </c>
      <c r="C748">
        <v>0</v>
      </c>
      <c r="D748" t="s">
        <v>35</v>
      </c>
      <c r="E748" t="s">
        <v>325</v>
      </c>
      <c r="F748">
        <v>108</v>
      </c>
      <c r="G748" s="10">
        <v>33</v>
      </c>
      <c r="H748">
        <v>7</v>
      </c>
      <c r="I748">
        <v>7</v>
      </c>
      <c r="J748" s="2" t="s">
        <v>479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>
        <v>0</v>
      </c>
      <c r="O748">
        <v>130</v>
      </c>
      <c r="P748" s="2">
        <v>0.3</v>
      </c>
      <c r="Q748" s="6">
        <v>25</v>
      </c>
      <c r="R748" s="10">
        <v>0</v>
      </c>
      <c r="S748" s="10">
        <v>0</v>
      </c>
      <c r="T748" s="10"/>
      <c r="U748" t="str">
        <f>"RUNNING_COST_"&amp;IF(PROPERTIES[[#This Row],[ENGINE_CLASS]]="MAGLEV","ELECTRIC",PROPERTIES[[#This Row],[ENGINE_CLASS]])</f>
        <v>RUNNING_COST_DIESEL</v>
      </c>
      <c r="V748" s="10" t="s">
        <v>1018</v>
      </c>
      <c r="W748" s="10" t="s">
        <v>1019</v>
      </c>
      <c r="X748" s="10" t="str">
        <f>SUBSTITUTE(SUBSTITUTE(PROPERTIES[[#This Row],[PURCHASECOST_VALUE]], "PURCHASECOST_", ""), "_VALUE", "")</f>
        <v>COACH</v>
      </c>
      <c r="AP748"/>
      <c r="AQ748"/>
      <c r="AR748"/>
    </row>
    <row r="749" spans="1:44">
      <c r="A749" s="2" t="s">
        <v>794</v>
      </c>
      <c r="B749">
        <v>1950</v>
      </c>
      <c r="C749">
        <v>0</v>
      </c>
      <c r="D749" t="s">
        <v>35</v>
      </c>
      <c r="E749" t="s">
        <v>673</v>
      </c>
      <c r="F749">
        <v>55</v>
      </c>
      <c r="G749" s="10">
        <v>35</v>
      </c>
      <c r="H749">
        <v>7</v>
      </c>
      <c r="I749">
        <v>7</v>
      </c>
      <c r="J749" s="2" t="s">
        <v>674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>
        <v>0</v>
      </c>
      <c r="O749">
        <v>160</v>
      </c>
      <c r="P749" s="2">
        <v>0.3</v>
      </c>
      <c r="Q749" s="6">
        <v>25</v>
      </c>
      <c r="R749" s="10">
        <v>0</v>
      </c>
      <c r="S749" s="10">
        <v>0</v>
      </c>
      <c r="T749" s="10"/>
      <c r="U749" t="str">
        <f>"RUNNING_COST_"&amp;IF(PROPERTIES[[#This Row],[ENGINE_CLASS]]="MAGLEV","ELECTRIC",PROPERTIES[[#This Row],[ENGINE_CLASS]])</f>
        <v>RUNNING_COST_DIESEL</v>
      </c>
      <c r="V749" s="10" t="s">
        <v>1018</v>
      </c>
      <c r="W749" s="10" t="s">
        <v>1019</v>
      </c>
      <c r="X749" s="10" t="str">
        <f>SUBSTITUTE(SUBSTITUTE(PROPERTIES[[#This Row],[PURCHASECOST_VALUE]], "PURCHASECOST_", ""), "_VALUE", "")</f>
        <v>COACH</v>
      </c>
      <c r="AP749"/>
      <c r="AQ749"/>
      <c r="AR749"/>
    </row>
    <row r="750" spans="1:44">
      <c r="A750" s="2" t="s">
        <v>795</v>
      </c>
      <c r="B750">
        <v>1950</v>
      </c>
      <c r="C750">
        <v>0</v>
      </c>
      <c r="D750" t="s">
        <v>35</v>
      </c>
      <c r="E750" t="s">
        <v>325</v>
      </c>
      <c r="F750">
        <v>65</v>
      </c>
      <c r="G750" s="10">
        <v>38</v>
      </c>
      <c r="H750">
        <v>8</v>
      </c>
      <c r="I750">
        <v>8</v>
      </c>
      <c r="J750" s="2" t="s">
        <v>479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>
        <v>0</v>
      </c>
      <c r="O750">
        <v>160</v>
      </c>
      <c r="P750" s="2">
        <v>0.3</v>
      </c>
      <c r="Q750" s="6">
        <v>25</v>
      </c>
      <c r="R750" s="10">
        <v>0</v>
      </c>
      <c r="S750" s="10">
        <v>0</v>
      </c>
      <c r="T750" s="10"/>
      <c r="U750" t="str">
        <f>"RUNNING_COST_"&amp;IF(PROPERTIES[[#This Row],[ENGINE_CLASS]]="MAGLEV","ELECTRIC",PROPERTIES[[#This Row],[ENGINE_CLASS]])</f>
        <v>RUNNING_COST_DIESEL</v>
      </c>
      <c r="V750" s="10" t="s">
        <v>1018</v>
      </c>
      <c r="W750" s="10" t="s">
        <v>1019</v>
      </c>
      <c r="X750" s="10" t="str">
        <f>SUBSTITUTE(SUBSTITUTE(PROPERTIES[[#This Row],[PURCHASECOST_VALUE]], "PURCHASECOST_", ""), "_VALUE", "")</f>
        <v>COACH</v>
      </c>
      <c r="AP750"/>
      <c r="AQ750"/>
      <c r="AR750"/>
    </row>
    <row r="751" spans="1:44">
      <c r="A751" s="2" t="s">
        <v>796</v>
      </c>
      <c r="B751">
        <v>1950</v>
      </c>
      <c r="C751">
        <v>0</v>
      </c>
      <c r="D751" t="s">
        <v>35</v>
      </c>
      <c r="E751" t="s">
        <v>325</v>
      </c>
      <c r="F751">
        <v>48</v>
      </c>
      <c r="G751" s="10">
        <v>45</v>
      </c>
      <c r="H751">
        <v>8</v>
      </c>
      <c r="I751">
        <v>8</v>
      </c>
      <c r="J751" s="2" t="s">
        <v>479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>
        <v>0</v>
      </c>
      <c r="O751">
        <v>240</v>
      </c>
      <c r="P751" s="2">
        <v>0.3</v>
      </c>
      <c r="Q751" s="6">
        <v>25</v>
      </c>
      <c r="R751" s="10">
        <v>0</v>
      </c>
      <c r="S751" s="10">
        <v>0</v>
      </c>
      <c r="T751" s="10"/>
      <c r="U751" t="str">
        <f>"RUNNING_COST_"&amp;IF(PROPERTIES[[#This Row],[ENGINE_CLASS]]="MAGLEV","ELECTRIC",PROPERTIES[[#This Row],[ENGINE_CLASS]])</f>
        <v>RUNNING_COST_DIESEL</v>
      </c>
      <c r="V751" s="10" t="s">
        <v>1018</v>
      </c>
      <c r="W751" s="10" t="s">
        <v>1019</v>
      </c>
      <c r="X751" s="10" t="str">
        <f>SUBSTITUTE(SUBSTITUTE(PROPERTIES[[#This Row],[PURCHASECOST_VALUE]], "PURCHASECOST_", ""), "_VALUE", "")</f>
        <v>COACH</v>
      </c>
      <c r="AP751"/>
      <c r="AQ751"/>
      <c r="AR751"/>
    </row>
    <row r="752" spans="1:44">
      <c r="A752" s="2" t="s">
        <v>797</v>
      </c>
      <c r="B752">
        <v>1950</v>
      </c>
      <c r="C752">
        <v>0</v>
      </c>
      <c r="D752" t="s">
        <v>35</v>
      </c>
      <c r="E752" t="s">
        <v>325</v>
      </c>
      <c r="F752">
        <v>80</v>
      </c>
      <c r="G752" s="10">
        <v>35</v>
      </c>
      <c r="H752">
        <v>8</v>
      </c>
      <c r="I752">
        <v>8</v>
      </c>
      <c r="J752" s="2" t="s">
        <v>479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>
        <v>0</v>
      </c>
      <c r="O752">
        <v>120</v>
      </c>
      <c r="P752" s="2">
        <v>0.3</v>
      </c>
      <c r="Q752" s="6">
        <v>25</v>
      </c>
      <c r="R752" s="10">
        <v>0</v>
      </c>
      <c r="S752" s="10">
        <v>0</v>
      </c>
      <c r="T752" s="10"/>
      <c r="U752" t="str">
        <f>"RUNNING_COST_"&amp;IF(PROPERTIES[[#This Row],[ENGINE_CLASS]]="MAGLEV","ELECTRIC",PROPERTIES[[#This Row],[ENGINE_CLASS]])</f>
        <v>RUNNING_COST_DIESEL</v>
      </c>
      <c r="V752" s="10" t="s">
        <v>1018</v>
      </c>
      <c r="W752" s="10" t="s">
        <v>1019</v>
      </c>
      <c r="X752" s="10" t="str">
        <f>SUBSTITUTE(SUBSTITUTE(PROPERTIES[[#This Row],[PURCHASECOST_VALUE]], "PURCHASECOST_", ""), "_VALUE", "")</f>
        <v>COACH</v>
      </c>
      <c r="AP752"/>
      <c r="AQ752"/>
      <c r="AR752"/>
    </row>
    <row r="753" spans="1:44">
      <c r="A753" s="2" t="s">
        <v>798</v>
      </c>
      <c r="B753">
        <v>1950</v>
      </c>
      <c r="C753">
        <v>0</v>
      </c>
      <c r="D753" t="s">
        <v>35</v>
      </c>
      <c r="E753" t="s">
        <v>325</v>
      </c>
      <c r="F753">
        <v>70</v>
      </c>
      <c r="G753" s="10">
        <v>29</v>
      </c>
      <c r="H753">
        <v>7</v>
      </c>
      <c r="I753">
        <v>7</v>
      </c>
      <c r="J753" s="2" t="s">
        <v>24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>
        <v>0</v>
      </c>
      <c r="O753">
        <v>120</v>
      </c>
      <c r="P753" s="2">
        <v>0.3</v>
      </c>
      <c r="Q753" s="6">
        <v>25</v>
      </c>
      <c r="R753" s="10">
        <v>0</v>
      </c>
      <c r="S753" s="10">
        <v>0</v>
      </c>
      <c r="T753" s="10"/>
      <c r="U753" t="str">
        <f>"RUNNING_COST_"&amp;IF(PROPERTIES[[#This Row],[ENGINE_CLASS]]="MAGLEV","ELECTRIC",PROPERTIES[[#This Row],[ENGINE_CLASS]])</f>
        <v>RUNNING_COST_DIESEL</v>
      </c>
      <c r="V753" s="10" t="s">
        <v>1018</v>
      </c>
      <c r="W753" s="10" t="s">
        <v>1019</v>
      </c>
      <c r="X753" s="10" t="str">
        <f>SUBSTITUTE(SUBSTITUTE(PROPERTIES[[#This Row],[PURCHASECOST_VALUE]], "PURCHASECOST_", ""), "_VALUE", "")</f>
        <v>COACH</v>
      </c>
      <c r="AP753"/>
      <c r="AQ753"/>
      <c r="AR753"/>
    </row>
    <row r="754" spans="1:44">
      <c r="A754" s="2" t="s">
        <v>799</v>
      </c>
      <c r="B754">
        <v>1950</v>
      </c>
      <c r="C754">
        <v>0</v>
      </c>
      <c r="D754" t="s">
        <v>35</v>
      </c>
      <c r="E754" t="s">
        <v>325</v>
      </c>
      <c r="F754">
        <v>130</v>
      </c>
      <c r="G754" s="10">
        <v>45</v>
      </c>
      <c r="H754">
        <v>8</v>
      </c>
      <c r="I754">
        <v>8</v>
      </c>
      <c r="J754" s="2" t="s">
        <v>24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>
        <v>0</v>
      </c>
      <c r="O754">
        <v>120</v>
      </c>
      <c r="P754" s="2">
        <v>0.3</v>
      </c>
      <c r="Q754" s="6">
        <v>25</v>
      </c>
      <c r="R754" s="10">
        <v>0</v>
      </c>
      <c r="S754" s="10">
        <v>0</v>
      </c>
      <c r="T754" s="10"/>
      <c r="U754" t="str">
        <f>"RUNNING_COST_"&amp;IF(PROPERTIES[[#This Row],[ENGINE_CLASS]]="MAGLEV","ELECTRIC",PROPERTIES[[#This Row],[ENGINE_CLASS]])</f>
        <v>RUNNING_COST_DIESEL</v>
      </c>
      <c r="V754" s="10" t="s">
        <v>1018</v>
      </c>
      <c r="W754" s="10" t="s">
        <v>1019</v>
      </c>
      <c r="X754" s="10" t="str">
        <f>SUBSTITUTE(SUBSTITUTE(PROPERTIES[[#This Row],[PURCHASECOST_VALUE]], "PURCHASECOST_", ""), "_VALUE", "")</f>
        <v>COACH</v>
      </c>
      <c r="AP754"/>
      <c r="AQ754"/>
      <c r="AR754"/>
    </row>
    <row r="755" spans="1:44">
      <c r="A755" s="2" t="s">
        <v>800</v>
      </c>
      <c r="B755">
        <v>1950</v>
      </c>
      <c r="C755">
        <v>0</v>
      </c>
      <c r="D755" t="s">
        <v>35</v>
      </c>
      <c r="E755" t="s">
        <v>673</v>
      </c>
      <c r="F755">
        <v>96</v>
      </c>
      <c r="G755" s="10">
        <v>34</v>
      </c>
      <c r="H755">
        <v>8</v>
      </c>
      <c r="I755">
        <v>8</v>
      </c>
      <c r="J755" s="2" t="s">
        <v>674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>
        <v>0</v>
      </c>
      <c r="O755">
        <v>140</v>
      </c>
      <c r="P755" s="2">
        <v>0.3</v>
      </c>
      <c r="Q755" s="6">
        <v>25</v>
      </c>
      <c r="R755" s="10">
        <v>0</v>
      </c>
      <c r="S755" s="10">
        <v>0</v>
      </c>
      <c r="T755" s="10"/>
      <c r="U755" t="str">
        <f>"RUNNING_COST_"&amp;IF(PROPERTIES[[#This Row],[ENGINE_CLASS]]="MAGLEV","ELECTRIC",PROPERTIES[[#This Row],[ENGINE_CLASS]])</f>
        <v>RUNNING_COST_DIESEL</v>
      </c>
      <c r="V755" s="10" t="s">
        <v>1018</v>
      </c>
      <c r="W755" s="10" t="s">
        <v>1019</v>
      </c>
      <c r="X755" s="10" t="str">
        <f>SUBSTITUTE(SUBSTITUTE(PROPERTIES[[#This Row],[PURCHASECOST_VALUE]], "PURCHASECOST_", ""), "_VALUE", "")</f>
        <v>COACH</v>
      </c>
      <c r="AP755"/>
      <c r="AQ755"/>
      <c r="AR755"/>
    </row>
    <row r="756" spans="1:44">
      <c r="A756" s="2" t="s">
        <v>801</v>
      </c>
      <c r="B756">
        <v>1950</v>
      </c>
      <c r="C756">
        <v>0</v>
      </c>
      <c r="D756" t="s">
        <v>35</v>
      </c>
      <c r="E756" t="s">
        <v>325</v>
      </c>
      <c r="F756">
        <v>64</v>
      </c>
      <c r="G756" s="10">
        <v>38</v>
      </c>
      <c r="H756">
        <v>8</v>
      </c>
      <c r="I756">
        <v>8</v>
      </c>
      <c r="J756" s="2" t="s">
        <v>479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>
        <v>0</v>
      </c>
      <c r="O756">
        <v>140</v>
      </c>
      <c r="P756" s="2">
        <v>0.3</v>
      </c>
      <c r="Q756" s="6">
        <v>25</v>
      </c>
      <c r="R756" s="10">
        <v>0</v>
      </c>
      <c r="S756" s="10">
        <v>0</v>
      </c>
      <c r="T756" s="10"/>
      <c r="U756" t="str">
        <f>"RUNNING_COST_"&amp;IF(PROPERTIES[[#This Row],[ENGINE_CLASS]]="MAGLEV","ELECTRIC",PROPERTIES[[#This Row],[ENGINE_CLASS]])</f>
        <v>RUNNING_COST_DIESEL</v>
      </c>
      <c r="V756" s="10" t="s">
        <v>1018</v>
      </c>
      <c r="W756" s="10" t="s">
        <v>1019</v>
      </c>
      <c r="X756" s="10" t="str">
        <f>SUBSTITUTE(SUBSTITUTE(PROPERTIES[[#This Row],[PURCHASECOST_VALUE]], "PURCHASECOST_", ""), "_VALUE", "")</f>
        <v>COACH</v>
      </c>
      <c r="AP756"/>
      <c r="AQ756"/>
      <c r="AR756"/>
    </row>
    <row r="757" spans="1:44">
      <c r="A757" s="2" t="s">
        <v>802</v>
      </c>
      <c r="B757">
        <v>1950</v>
      </c>
      <c r="C757">
        <v>0</v>
      </c>
      <c r="D757" t="s">
        <v>35</v>
      </c>
      <c r="E757" t="s">
        <v>325</v>
      </c>
      <c r="F757">
        <v>100</v>
      </c>
      <c r="G757" s="10">
        <v>38</v>
      </c>
      <c r="H757">
        <v>8</v>
      </c>
      <c r="I757">
        <v>8</v>
      </c>
      <c r="J757" s="2" t="s">
        <v>24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>
        <v>0</v>
      </c>
      <c r="O757">
        <v>80</v>
      </c>
      <c r="P757" s="2">
        <v>0.3</v>
      </c>
      <c r="Q757" s="6">
        <v>25</v>
      </c>
      <c r="R757" s="10">
        <v>0</v>
      </c>
      <c r="S757" s="10">
        <v>0</v>
      </c>
      <c r="T757" s="10"/>
      <c r="U757" t="str">
        <f>"RUNNING_COST_"&amp;IF(PROPERTIES[[#This Row],[ENGINE_CLASS]]="MAGLEV","ELECTRIC",PROPERTIES[[#This Row],[ENGINE_CLASS]])</f>
        <v>RUNNING_COST_DIESEL</v>
      </c>
      <c r="V757" s="10" t="s">
        <v>1018</v>
      </c>
      <c r="W757" s="10" t="s">
        <v>1019</v>
      </c>
      <c r="X757" s="10" t="str">
        <f>SUBSTITUTE(SUBSTITUTE(PROPERTIES[[#This Row],[PURCHASECOST_VALUE]], "PURCHASECOST_", ""), "_VALUE", "")</f>
        <v>COACH</v>
      </c>
      <c r="AP757"/>
      <c r="AQ757"/>
      <c r="AR757"/>
    </row>
    <row r="758" spans="1:44">
      <c r="A758" s="2" t="s">
        <v>803</v>
      </c>
      <c r="B758">
        <v>1950</v>
      </c>
      <c r="C758">
        <v>0</v>
      </c>
      <c r="D758" t="s">
        <v>35</v>
      </c>
      <c r="E758" t="s">
        <v>325</v>
      </c>
      <c r="F758">
        <v>80</v>
      </c>
      <c r="G758" s="10">
        <v>38</v>
      </c>
      <c r="H758">
        <v>8</v>
      </c>
      <c r="I758">
        <v>8</v>
      </c>
      <c r="J758" s="2" t="s">
        <v>479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>
        <v>0</v>
      </c>
      <c r="O758">
        <v>110</v>
      </c>
      <c r="P758" s="2">
        <v>0.3</v>
      </c>
      <c r="Q758" s="6">
        <v>25</v>
      </c>
      <c r="R758" s="10">
        <v>0</v>
      </c>
      <c r="S758" s="10">
        <v>0</v>
      </c>
      <c r="T758" s="10"/>
      <c r="U758" t="str">
        <f>"RUNNING_COST_"&amp;IF(PROPERTIES[[#This Row],[ENGINE_CLASS]]="MAGLEV","ELECTRIC",PROPERTIES[[#This Row],[ENGINE_CLASS]])</f>
        <v>RUNNING_COST_DIESEL</v>
      </c>
      <c r="V758" s="10" t="s">
        <v>1018</v>
      </c>
      <c r="W758" s="10" t="s">
        <v>1019</v>
      </c>
      <c r="X758" s="10" t="str">
        <f>SUBSTITUTE(SUBSTITUTE(PROPERTIES[[#This Row],[PURCHASECOST_VALUE]], "PURCHASECOST_", ""), "_VALUE", "")</f>
        <v>COACH</v>
      </c>
      <c r="AP758"/>
      <c r="AQ758"/>
      <c r="AR758"/>
    </row>
    <row r="759" spans="1:44">
      <c r="A759" s="2" t="s">
        <v>804</v>
      </c>
      <c r="B759">
        <v>1950</v>
      </c>
      <c r="C759">
        <v>0</v>
      </c>
      <c r="D759" t="s">
        <v>35</v>
      </c>
      <c r="E759" t="s">
        <v>673</v>
      </c>
      <c r="F759">
        <v>60</v>
      </c>
      <c r="G759" s="10">
        <v>36</v>
      </c>
      <c r="H759">
        <v>8</v>
      </c>
      <c r="I759">
        <v>8</v>
      </c>
      <c r="J759" s="2" t="s">
        <v>674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>
        <v>0</v>
      </c>
      <c r="O759">
        <v>140</v>
      </c>
      <c r="P759" s="2">
        <v>0.3</v>
      </c>
      <c r="Q759" s="6">
        <v>25</v>
      </c>
      <c r="R759" s="10">
        <v>0</v>
      </c>
      <c r="S759" s="10">
        <v>0</v>
      </c>
      <c r="T759" s="10"/>
      <c r="U759" t="str">
        <f>"RUNNING_COST_"&amp;IF(PROPERTIES[[#This Row],[ENGINE_CLASS]]="MAGLEV","ELECTRIC",PROPERTIES[[#This Row],[ENGINE_CLASS]])</f>
        <v>RUNNING_COST_DIESEL</v>
      </c>
      <c r="V759" s="10" t="s">
        <v>1018</v>
      </c>
      <c r="W759" s="10" t="s">
        <v>1019</v>
      </c>
      <c r="X759" s="10" t="str">
        <f>SUBSTITUTE(SUBSTITUTE(PROPERTIES[[#This Row],[PURCHASECOST_VALUE]], "PURCHASECOST_", ""), "_VALUE", "")</f>
        <v>COACH</v>
      </c>
      <c r="AP759"/>
      <c r="AQ759"/>
      <c r="AR759"/>
    </row>
    <row r="760" spans="1:44">
      <c r="A760" s="2" t="s">
        <v>805</v>
      </c>
      <c r="B760">
        <v>1970</v>
      </c>
      <c r="C760">
        <v>0</v>
      </c>
      <c r="D760" t="s">
        <v>35</v>
      </c>
      <c r="E760" t="s">
        <v>325</v>
      </c>
      <c r="F760">
        <v>60</v>
      </c>
      <c r="G760" s="10">
        <v>42</v>
      </c>
      <c r="H760">
        <v>8</v>
      </c>
      <c r="I760">
        <v>8</v>
      </c>
      <c r="J760" s="2" t="s">
        <v>479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>
        <v>0</v>
      </c>
      <c r="O760">
        <v>200</v>
      </c>
      <c r="P760" s="2">
        <v>0.3</v>
      </c>
      <c r="Q760" s="6">
        <v>25</v>
      </c>
      <c r="R760" s="10">
        <v>0</v>
      </c>
      <c r="S760" s="10">
        <v>0</v>
      </c>
      <c r="T760" s="10"/>
      <c r="U760" t="str">
        <f>"RUNNING_COST_"&amp;IF(PROPERTIES[[#This Row],[ENGINE_CLASS]]="MAGLEV","ELECTRIC",PROPERTIES[[#This Row],[ENGINE_CLASS]])</f>
        <v>RUNNING_COST_DIESEL</v>
      </c>
      <c r="V760" s="10" t="s">
        <v>1018</v>
      </c>
      <c r="W760" s="10" t="s">
        <v>1019</v>
      </c>
      <c r="X760" s="10" t="str">
        <f>SUBSTITUTE(SUBSTITUTE(PROPERTIES[[#This Row],[PURCHASECOST_VALUE]], "PURCHASECOST_", ""), "_VALUE", "")</f>
        <v>COACH</v>
      </c>
      <c r="AP760"/>
      <c r="AQ760"/>
      <c r="AR760"/>
    </row>
    <row r="761" spans="1:44">
      <c r="A761" s="2" t="s">
        <v>806</v>
      </c>
      <c r="B761">
        <v>1970</v>
      </c>
      <c r="C761">
        <v>0</v>
      </c>
      <c r="D761" t="s">
        <v>35</v>
      </c>
      <c r="E761" t="s">
        <v>325</v>
      </c>
      <c r="F761">
        <v>60</v>
      </c>
      <c r="G761" s="10">
        <v>42</v>
      </c>
      <c r="H761">
        <v>8</v>
      </c>
      <c r="I761">
        <v>8</v>
      </c>
      <c r="J761" s="2" t="s">
        <v>479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>
        <v>0</v>
      </c>
      <c r="O761">
        <v>200</v>
      </c>
      <c r="P761" s="2">
        <v>0.3</v>
      </c>
      <c r="Q761" s="6">
        <v>25</v>
      </c>
      <c r="R761" s="10">
        <v>0</v>
      </c>
      <c r="S761" s="10">
        <v>0</v>
      </c>
      <c r="T761" s="10"/>
      <c r="U761" t="str">
        <f>"RUNNING_COST_"&amp;IF(PROPERTIES[[#This Row],[ENGINE_CLASS]]="MAGLEV","ELECTRIC",PROPERTIES[[#This Row],[ENGINE_CLASS]])</f>
        <v>RUNNING_COST_DIESEL</v>
      </c>
      <c r="V761" s="10" t="s">
        <v>1018</v>
      </c>
      <c r="W761" s="10" t="s">
        <v>1019</v>
      </c>
      <c r="X761" s="10" t="str">
        <f>SUBSTITUTE(SUBSTITUTE(PROPERTIES[[#This Row],[PURCHASECOST_VALUE]], "PURCHASECOST_", ""), "_VALUE", "")</f>
        <v>COACH</v>
      </c>
      <c r="AP761"/>
      <c r="AQ761"/>
      <c r="AR761"/>
    </row>
    <row r="762" spans="1:44">
      <c r="A762" s="2" t="s">
        <v>807</v>
      </c>
      <c r="B762">
        <v>1960</v>
      </c>
      <c r="C762">
        <v>0</v>
      </c>
      <c r="D762" t="s">
        <v>35</v>
      </c>
      <c r="E762" t="s">
        <v>325</v>
      </c>
      <c r="F762">
        <v>90</v>
      </c>
      <c r="G762" s="10">
        <v>28</v>
      </c>
      <c r="H762">
        <v>8</v>
      </c>
      <c r="I762">
        <v>8</v>
      </c>
      <c r="J762" s="2" t="s">
        <v>24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>
        <v>0</v>
      </c>
      <c r="O762">
        <v>140</v>
      </c>
      <c r="P762" s="2">
        <v>0.3</v>
      </c>
      <c r="Q762" s="6">
        <v>25</v>
      </c>
      <c r="R762" s="10">
        <v>0</v>
      </c>
      <c r="S762" s="10">
        <v>0</v>
      </c>
      <c r="T762" s="10"/>
      <c r="U762" t="str">
        <f>"RUNNING_COST_"&amp;IF(PROPERTIES[[#This Row],[ENGINE_CLASS]]="MAGLEV","ELECTRIC",PROPERTIES[[#This Row],[ENGINE_CLASS]])</f>
        <v>RUNNING_COST_DIESEL</v>
      </c>
      <c r="V762" s="10" t="s">
        <v>1018</v>
      </c>
      <c r="W762" s="10" t="s">
        <v>1019</v>
      </c>
      <c r="X762" s="10" t="str">
        <f>SUBSTITUTE(SUBSTITUTE(PROPERTIES[[#This Row],[PURCHASECOST_VALUE]], "PURCHASECOST_", ""), "_VALUE", "")</f>
        <v>COACH</v>
      </c>
      <c r="AP762"/>
      <c r="AQ762"/>
      <c r="AR762"/>
    </row>
    <row r="763" spans="1:44">
      <c r="A763" s="2" t="s">
        <v>808</v>
      </c>
      <c r="B763">
        <v>1970</v>
      </c>
      <c r="C763">
        <v>0</v>
      </c>
      <c r="D763" t="s">
        <v>35</v>
      </c>
      <c r="E763" t="s">
        <v>673</v>
      </c>
      <c r="F763">
        <v>75</v>
      </c>
      <c r="G763" s="10">
        <v>42</v>
      </c>
      <c r="H763">
        <v>8</v>
      </c>
      <c r="I763">
        <v>8</v>
      </c>
      <c r="J763" s="2" t="s">
        <v>674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>
        <v>0</v>
      </c>
      <c r="O763">
        <v>200</v>
      </c>
      <c r="P763" s="2">
        <v>0.3</v>
      </c>
      <c r="Q763" s="6">
        <v>25</v>
      </c>
      <c r="R763" s="10">
        <v>0</v>
      </c>
      <c r="S763" s="10">
        <v>0</v>
      </c>
      <c r="T763" s="10"/>
      <c r="U763" t="str">
        <f>"RUNNING_COST_"&amp;IF(PROPERTIES[[#This Row],[ENGINE_CLASS]]="MAGLEV","ELECTRIC",PROPERTIES[[#This Row],[ENGINE_CLASS]])</f>
        <v>RUNNING_COST_DIESEL</v>
      </c>
      <c r="V763" s="10" t="s">
        <v>1018</v>
      </c>
      <c r="W763" s="10" t="s">
        <v>1019</v>
      </c>
      <c r="X763" s="10" t="str">
        <f>SUBSTITUTE(SUBSTITUTE(PROPERTIES[[#This Row],[PURCHASECOST_VALUE]], "PURCHASECOST_", ""), "_VALUE", "")</f>
        <v>COACH</v>
      </c>
      <c r="AP763"/>
      <c r="AQ763"/>
      <c r="AR763"/>
    </row>
    <row r="764" spans="1:44">
      <c r="A764" s="2" t="s">
        <v>809</v>
      </c>
      <c r="B764">
        <v>1970</v>
      </c>
      <c r="C764">
        <v>0</v>
      </c>
      <c r="D764" t="s">
        <v>35</v>
      </c>
      <c r="E764" t="s">
        <v>325</v>
      </c>
      <c r="F764">
        <v>150</v>
      </c>
      <c r="G764" s="10">
        <v>48</v>
      </c>
      <c r="H764">
        <v>8</v>
      </c>
      <c r="I764">
        <v>8</v>
      </c>
      <c r="J764" s="2" t="s">
        <v>479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>
        <v>0</v>
      </c>
      <c r="O764">
        <v>140</v>
      </c>
      <c r="P764" s="2">
        <v>0.3</v>
      </c>
      <c r="Q764" s="6">
        <v>25</v>
      </c>
      <c r="R764" s="10">
        <v>0</v>
      </c>
      <c r="S764" s="10">
        <v>0</v>
      </c>
      <c r="T764" s="10"/>
      <c r="U764" t="str">
        <f>"RUNNING_COST_"&amp;IF(PROPERTIES[[#This Row],[ENGINE_CLASS]]="MAGLEV","ELECTRIC",PROPERTIES[[#This Row],[ENGINE_CLASS]])</f>
        <v>RUNNING_COST_DIESEL</v>
      </c>
      <c r="V764" s="10" t="s">
        <v>1018</v>
      </c>
      <c r="W764" s="10" t="s">
        <v>1019</v>
      </c>
      <c r="X764" s="10" t="str">
        <f>SUBSTITUTE(SUBSTITUTE(PROPERTIES[[#This Row],[PURCHASECOST_VALUE]], "PURCHASECOST_", ""), "_VALUE", "")</f>
        <v>COACH</v>
      </c>
      <c r="AP764"/>
      <c r="AQ764"/>
      <c r="AR764"/>
    </row>
    <row r="765" spans="1:44">
      <c r="A765" s="2" t="s">
        <v>810</v>
      </c>
      <c r="B765">
        <v>1960</v>
      </c>
      <c r="C765">
        <v>0</v>
      </c>
      <c r="D765" t="s">
        <v>35</v>
      </c>
      <c r="E765" t="s">
        <v>325</v>
      </c>
      <c r="F765">
        <v>55</v>
      </c>
      <c r="G765" s="10">
        <v>55</v>
      </c>
      <c r="H765">
        <v>8</v>
      </c>
      <c r="I765">
        <v>8</v>
      </c>
      <c r="J765" s="2" t="s">
        <v>479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>
        <v>0</v>
      </c>
      <c r="O765">
        <v>140</v>
      </c>
      <c r="P765" s="2">
        <v>0.3</v>
      </c>
      <c r="Q765" s="6">
        <v>25</v>
      </c>
      <c r="R765" s="10">
        <v>0</v>
      </c>
      <c r="S765" s="10">
        <v>0</v>
      </c>
      <c r="T765" s="10"/>
      <c r="U765" t="str">
        <f>"RUNNING_COST_"&amp;IF(PROPERTIES[[#This Row],[ENGINE_CLASS]]="MAGLEV","ELECTRIC",PROPERTIES[[#This Row],[ENGINE_CLASS]])</f>
        <v>RUNNING_COST_DIESEL</v>
      </c>
      <c r="V765" s="10" t="s">
        <v>1018</v>
      </c>
      <c r="W765" s="10" t="s">
        <v>1019</v>
      </c>
      <c r="X765" s="10" t="str">
        <f>SUBSTITUTE(SUBSTITUTE(PROPERTIES[[#This Row],[PURCHASECOST_VALUE]], "PURCHASECOST_", ""), "_VALUE", "")</f>
        <v>COACH</v>
      </c>
      <c r="AP765"/>
      <c r="AQ765"/>
      <c r="AR765"/>
    </row>
    <row r="766" spans="1:44">
      <c r="A766" s="2" t="s">
        <v>811</v>
      </c>
      <c r="B766">
        <v>1960</v>
      </c>
      <c r="C766">
        <v>0</v>
      </c>
      <c r="D766" t="s">
        <v>35</v>
      </c>
      <c r="E766" t="s">
        <v>325</v>
      </c>
      <c r="F766">
        <v>90</v>
      </c>
      <c r="G766" s="10">
        <v>45</v>
      </c>
      <c r="H766">
        <v>8</v>
      </c>
      <c r="I766">
        <v>8</v>
      </c>
      <c r="J766" s="2" t="s">
        <v>479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>
        <v>0</v>
      </c>
      <c r="O766">
        <v>130</v>
      </c>
      <c r="P766" s="2">
        <v>0.3</v>
      </c>
      <c r="Q766" s="6">
        <v>25</v>
      </c>
      <c r="R766" s="10">
        <v>0</v>
      </c>
      <c r="S766" s="10">
        <v>0</v>
      </c>
      <c r="T766" s="10"/>
      <c r="U766" t="str">
        <f>"RUNNING_COST_"&amp;IF(PROPERTIES[[#This Row],[ENGINE_CLASS]]="MAGLEV","ELECTRIC",PROPERTIES[[#This Row],[ENGINE_CLASS]])</f>
        <v>RUNNING_COST_DIESEL</v>
      </c>
      <c r="V766" s="10" t="s">
        <v>1018</v>
      </c>
      <c r="W766" s="10" t="s">
        <v>1019</v>
      </c>
      <c r="X766" s="10" t="str">
        <f>SUBSTITUTE(SUBSTITUTE(PROPERTIES[[#This Row],[PURCHASECOST_VALUE]], "PURCHASECOST_", ""), "_VALUE", "")</f>
        <v>COACH</v>
      </c>
      <c r="AP766"/>
      <c r="AQ766"/>
      <c r="AR766"/>
    </row>
    <row r="767" spans="1:44">
      <c r="A767" s="2" t="s">
        <v>812</v>
      </c>
      <c r="B767">
        <v>1960</v>
      </c>
      <c r="C767">
        <v>0</v>
      </c>
      <c r="D767" t="s">
        <v>35</v>
      </c>
      <c r="E767" t="s">
        <v>673</v>
      </c>
      <c r="F767">
        <v>80</v>
      </c>
      <c r="G767" s="10">
        <v>46</v>
      </c>
      <c r="H767">
        <v>8</v>
      </c>
      <c r="I767">
        <v>8</v>
      </c>
      <c r="J767" s="2" t="s">
        <v>674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>
        <v>0</v>
      </c>
      <c r="O767">
        <v>160</v>
      </c>
      <c r="P767" s="2">
        <v>0.3</v>
      </c>
      <c r="Q767" s="6">
        <v>25</v>
      </c>
      <c r="R767" s="10">
        <v>0</v>
      </c>
      <c r="S767" s="10">
        <v>0</v>
      </c>
      <c r="T767" s="10"/>
      <c r="U767" t="str">
        <f>"RUNNING_COST_"&amp;IF(PROPERTIES[[#This Row],[ENGINE_CLASS]]="MAGLEV","ELECTRIC",PROPERTIES[[#This Row],[ENGINE_CLASS]])</f>
        <v>RUNNING_COST_DIESEL</v>
      </c>
      <c r="V767" s="10" t="s">
        <v>1018</v>
      </c>
      <c r="W767" s="10" t="s">
        <v>1019</v>
      </c>
      <c r="X767" s="10" t="str">
        <f>SUBSTITUTE(SUBSTITUTE(PROPERTIES[[#This Row],[PURCHASECOST_VALUE]], "PURCHASECOST_", ""), "_VALUE", "")</f>
        <v>COACH</v>
      </c>
      <c r="AP767"/>
      <c r="AQ767"/>
      <c r="AR767"/>
    </row>
    <row r="768" spans="1:44">
      <c r="A768" s="2" t="s">
        <v>813</v>
      </c>
      <c r="B768">
        <v>1980</v>
      </c>
      <c r="C768">
        <v>0</v>
      </c>
      <c r="D768" t="s">
        <v>35</v>
      </c>
      <c r="E768" t="s">
        <v>325</v>
      </c>
      <c r="F768">
        <v>96</v>
      </c>
      <c r="G768" s="10">
        <v>67</v>
      </c>
      <c r="H768">
        <v>8</v>
      </c>
      <c r="I768">
        <v>8</v>
      </c>
      <c r="J768" s="2" t="s">
        <v>479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>
        <v>0</v>
      </c>
      <c r="O768">
        <v>160</v>
      </c>
      <c r="P768" s="2">
        <v>0.3</v>
      </c>
      <c r="Q768" s="6">
        <v>25</v>
      </c>
      <c r="R768" s="10">
        <v>0</v>
      </c>
      <c r="S768" s="10">
        <v>0</v>
      </c>
      <c r="T768" s="10"/>
      <c r="U768" t="str">
        <f>"RUNNING_COST_"&amp;IF(PROPERTIES[[#This Row],[ENGINE_CLASS]]="MAGLEV","ELECTRIC",PROPERTIES[[#This Row],[ENGINE_CLASS]])</f>
        <v>RUNNING_COST_DIESEL</v>
      </c>
      <c r="V768" s="10" t="s">
        <v>1018</v>
      </c>
      <c r="W768" s="10" t="s">
        <v>1019</v>
      </c>
      <c r="X768" s="10" t="str">
        <f>SUBSTITUTE(SUBSTITUTE(PROPERTIES[[#This Row],[PURCHASECOST_VALUE]], "PURCHASECOST_", ""), "_VALUE", "")</f>
        <v>COACH</v>
      </c>
      <c r="AP768"/>
      <c r="AQ768"/>
      <c r="AR768"/>
    </row>
    <row r="769" spans="1:44">
      <c r="A769" s="2" t="s">
        <v>814</v>
      </c>
      <c r="B769">
        <v>1990</v>
      </c>
      <c r="C769">
        <v>0</v>
      </c>
      <c r="D769" t="s">
        <v>35</v>
      </c>
      <c r="E769" t="s">
        <v>325</v>
      </c>
      <c r="F769">
        <v>80</v>
      </c>
      <c r="G769" s="10">
        <v>67</v>
      </c>
      <c r="H769">
        <v>8</v>
      </c>
      <c r="I769">
        <v>8</v>
      </c>
      <c r="J769" s="2" t="s">
        <v>479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>
        <v>0</v>
      </c>
      <c r="O769">
        <v>200</v>
      </c>
      <c r="P769" s="2">
        <v>0.3</v>
      </c>
      <c r="Q769" s="6">
        <v>25</v>
      </c>
      <c r="R769" s="10">
        <v>0</v>
      </c>
      <c r="S769" s="10">
        <v>0</v>
      </c>
      <c r="T769" s="10"/>
      <c r="U769" t="str">
        <f>"RUNNING_COST_"&amp;IF(PROPERTIES[[#This Row],[ENGINE_CLASS]]="MAGLEV","ELECTRIC",PROPERTIES[[#This Row],[ENGINE_CLASS]])</f>
        <v>RUNNING_COST_DIESEL</v>
      </c>
      <c r="V769" s="10" t="s">
        <v>1018</v>
      </c>
      <c r="W769" s="10" t="s">
        <v>1019</v>
      </c>
      <c r="X769" s="10" t="str">
        <f>SUBSTITUTE(SUBSTITUTE(PROPERTIES[[#This Row],[PURCHASECOST_VALUE]], "PURCHASECOST_", ""), "_VALUE", "")</f>
        <v>COACH</v>
      </c>
      <c r="AP769"/>
      <c r="AQ769"/>
      <c r="AR769"/>
    </row>
    <row r="770" spans="1:44">
      <c r="A770" s="2" t="s">
        <v>815</v>
      </c>
      <c r="B770">
        <v>1970</v>
      </c>
      <c r="C770">
        <v>0</v>
      </c>
      <c r="D770" t="s">
        <v>35</v>
      </c>
      <c r="E770" t="s">
        <v>325</v>
      </c>
      <c r="F770">
        <v>84</v>
      </c>
      <c r="G770" s="10">
        <v>50</v>
      </c>
      <c r="H770">
        <v>8</v>
      </c>
      <c r="I770">
        <v>8</v>
      </c>
      <c r="J770" s="2" t="s">
        <v>479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>
        <v>0</v>
      </c>
      <c r="O770">
        <v>200</v>
      </c>
      <c r="P770" s="2">
        <v>0.3</v>
      </c>
      <c r="Q770" s="6">
        <v>25</v>
      </c>
      <c r="R770" s="10">
        <v>0</v>
      </c>
      <c r="S770" s="10">
        <v>0</v>
      </c>
      <c r="T770" s="10"/>
      <c r="U770" t="str">
        <f>"RUNNING_COST_"&amp;IF(PROPERTIES[[#This Row],[ENGINE_CLASS]]="MAGLEV","ELECTRIC",PROPERTIES[[#This Row],[ENGINE_CLASS]])</f>
        <v>RUNNING_COST_DIESEL</v>
      </c>
      <c r="V770" s="10" t="s">
        <v>1018</v>
      </c>
      <c r="W770" s="10" t="s">
        <v>1019</v>
      </c>
      <c r="X770" s="10" t="str">
        <f>SUBSTITUTE(SUBSTITUTE(PROPERTIES[[#This Row],[PURCHASECOST_VALUE]], "PURCHASECOST_", ""), "_VALUE", "")</f>
        <v>COACH</v>
      </c>
      <c r="AP770"/>
      <c r="AQ770"/>
      <c r="AR770"/>
    </row>
    <row r="771" spans="1:44">
      <c r="A771" s="2" t="s">
        <v>816</v>
      </c>
      <c r="B771">
        <v>1970</v>
      </c>
      <c r="C771">
        <v>0</v>
      </c>
      <c r="D771" t="s">
        <v>35</v>
      </c>
      <c r="E771" t="s">
        <v>325</v>
      </c>
      <c r="F771">
        <v>60</v>
      </c>
      <c r="G771" s="10">
        <v>50</v>
      </c>
      <c r="H771">
        <v>8</v>
      </c>
      <c r="I771">
        <v>8</v>
      </c>
      <c r="J771" s="2" t="s">
        <v>479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>
        <v>0</v>
      </c>
      <c r="O771">
        <v>200</v>
      </c>
      <c r="P771" s="2">
        <v>0.3</v>
      </c>
      <c r="Q771" s="6">
        <v>25</v>
      </c>
      <c r="R771" s="10">
        <v>0</v>
      </c>
      <c r="S771" s="10">
        <v>0</v>
      </c>
      <c r="T771" s="10"/>
      <c r="U771" t="str">
        <f>"RUNNING_COST_"&amp;IF(PROPERTIES[[#This Row],[ENGINE_CLASS]]="MAGLEV","ELECTRIC",PROPERTIES[[#This Row],[ENGINE_CLASS]])</f>
        <v>RUNNING_COST_DIESEL</v>
      </c>
      <c r="V771" s="10" t="s">
        <v>1018</v>
      </c>
      <c r="W771" s="10" t="s">
        <v>1019</v>
      </c>
      <c r="X771" s="10" t="str">
        <f>SUBSTITUTE(SUBSTITUTE(PROPERTIES[[#This Row],[PURCHASECOST_VALUE]], "PURCHASECOST_", ""), "_VALUE", "")</f>
        <v>COACH</v>
      </c>
      <c r="AP771"/>
      <c r="AQ771"/>
      <c r="AR771"/>
    </row>
    <row r="772" spans="1:44">
      <c r="A772" s="2" t="s">
        <v>817</v>
      </c>
      <c r="B772">
        <v>1970</v>
      </c>
      <c r="C772">
        <v>0</v>
      </c>
      <c r="D772" t="s">
        <v>35</v>
      </c>
      <c r="E772" t="s">
        <v>325</v>
      </c>
      <c r="F772">
        <v>105</v>
      </c>
      <c r="G772" s="10">
        <v>34</v>
      </c>
      <c r="H772">
        <v>8</v>
      </c>
      <c r="I772">
        <v>8</v>
      </c>
      <c r="J772" s="2" t="s">
        <v>24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>
        <v>0</v>
      </c>
      <c r="O772">
        <v>128</v>
      </c>
      <c r="P772" s="2">
        <v>0.3</v>
      </c>
      <c r="Q772" s="6">
        <v>25</v>
      </c>
      <c r="R772" s="10">
        <v>0</v>
      </c>
      <c r="S772" s="10">
        <v>0</v>
      </c>
      <c r="T772" s="10"/>
      <c r="U772" t="str">
        <f>"RUNNING_COST_"&amp;IF(PROPERTIES[[#This Row],[ENGINE_CLASS]]="MAGLEV","ELECTRIC",PROPERTIES[[#This Row],[ENGINE_CLASS]])</f>
        <v>RUNNING_COST_DIESEL</v>
      </c>
      <c r="V772" s="10" t="s">
        <v>1018</v>
      </c>
      <c r="W772" s="10" t="s">
        <v>1019</v>
      </c>
      <c r="X772" s="10" t="str">
        <f>SUBSTITUTE(SUBSTITUTE(PROPERTIES[[#This Row],[PURCHASECOST_VALUE]], "PURCHASECOST_", ""), "_VALUE", "")</f>
        <v>COACH</v>
      </c>
      <c r="AP772"/>
      <c r="AQ772"/>
      <c r="AR772"/>
    </row>
    <row r="773" spans="1:44">
      <c r="A773" s="2" t="s">
        <v>818</v>
      </c>
      <c r="B773">
        <v>1970</v>
      </c>
      <c r="C773">
        <v>0</v>
      </c>
      <c r="D773" t="s">
        <v>35</v>
      </c>
      <c r="E773" t="s">
        <v>325</v>
      </c>
      <c r="F773">
        <v>70</v>
      </c>
      <c r="G773" s="10">
        <v>51</v>
      </c>
      <c r="H773">
        <v>8</v>
      </c>
      <c r="I773">
        <v>8</v>
      </c>
      <c r="J773" s="2" t="s">
        <v>479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>
        <v>0</v>
      </c>
      <c r="O773">
        <v>177</v>
      </c>
      <c r="P773" s="2">
        <v>0.3</v>
      </c>
      <c r="Q773" s="6">
        <v>25</v>
      </c>
      <c r="R773" s="10">
        <v>0</v>
      </c>
      <c r="S773" s="10">
        <v>0</v>
      </c>
      <c r="T773" s="10"/>
      <c r="U773" t="str">
        <f>"RUNNING_COST_"&amp;IF(PROPERTIES[[#This Row],[ENGINE_CLASS]]="MAGLEV","ELECTRIC",PROPERTIES[[#This Row],[ENGINE_CLASS]])</f>
        <v>RUNNING_COST_DIESEL</v>
      </c>
      <c r="V773" s="10" t="s">
        <v>1018</v>
      </c>
      <c r="W773" s="10" t="s">
        <v>1019</v>
      </c>
      <c r="X773" s="10" t="str">
        <f>SUBSTITUTE(SUBSTITUTE(PROPERTIES[[#This Row],[PURCHASECOST_VALUE]], "PURCHASECOST_", ""), "_VALUE", "")</f>
        <v>COACH</v>
      </c>
      <c r="AP773"/>
      <c r="AQ773"/>
      <c r="AR773"/>
    </row>
    <row r="774" spans="1:44">
      <c r="A774" s="2" t="s">
        <v>819</v>
      </c>
      <c r="B774">
        <v>1970</v>
      </c>
      <c r="C774">
        <v>0</v>
      </c>
      <c r="D774" t="s">
        <v>35</v>
      </c>
      <c r="E774" t="s">
        <v>673</v>
      </c>
      <c r="F774">
        <v>90</v>
      </c>
      <c r="G774" s="10">
        <v>50</v>
      </c>
      <c r="H774">
        <v>8</v>
      </c>
      <c r="I774">
        <v>8</v>
      </c>
      <c r="J774" s="2" t="s">
        <v>674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>
        <v>0</v>
      </c>
      <c r="O774">
        <v>177</v>
      </c>
      <c r="P774" s="2">
        <v>0.3</v>
      </c>
      <c r="Q774" s="6">
        <v>25</v>
      </c>
      <c r="R774" s="10">
        <v>0</v>
      </c>
      <c r="S774" s="10">
        <v>0</v>
      </c>
      <c r="T774" s="10"/>
      <c r="U774" t="str">
        <f>"RUNNING_COST_"&amp;IF(PROPERTIES[[#This Row],[ENGINE_CLASS]]="MAGLEV","ELECTRIC",PROPERTIES[[#This Row],[ENGINE_CLASS]])</f>
        <v>RUNNING_COST_DIESEL</v>
      </c>
      <c r="V774" s="10" t="s">
        <v>1018</v>
      </c>
      <c r="W774" s="10" t="s">
        <v>1019</v>
      </c>
      <c r="X774" s="10" t="str">
        <f>SUBSTITUTE(SUBSTITUTE(PROPERTIES[[#This Row],[PURCHASECOST_VALUE]], "PURCHASECOST_", ""), "_VALUE", "")</f>
        <v>COACH</v>
      </c>
      <c r="AP774"/>
      <c r="AQ774"/>
      <c r="AR774"/>
    </row>
    <row r="775" spans="1:44">
      <c r="A775" s="2" t="s">
        <v>820</v>
      </c>
      <c r="B775">
        <v>1970</v>
      </c>
      <c r="C775">
        <v>0</v>
      </c>
      <c r="D775" t="s">
        <v>35</v>
      </c>
      <c r="E775" t="s">
        <v>325</v>
      </c>
      <c r="F775">
        <v>150</v>
      </c>
      <c r="G775" s="10">
        <v>50</v>
      </c>
      <c r="H775">
        <v>8</v>
      </c>
      <c r="I775">
        <v>8</v>
      </c>
      <c r="J775" s="2" t="s">
        <v>479</v>
      </c>
      <c r="K775">
        <f>_xlfn.XLOOKUP("LOADINGSPEEDDEF_"&amp;PROPERTIES[[#This Row],[LOADINGSPEED]],LOADINGSPEEDDEF[TYPE],LOADINGSPEEDDEF[SPEED])</f>
        <v>16</v>
      </c>
      <c r="L775" t="s">
        <v>21</v>
      </c>
      <c r="M775">
        <v>1</v>
      </c>
      <c r="N775">
        <v>0</v>
      </c>
      <c r="O775">
        <v>160</v>
      </c>
      <c r="P775" s="2">
        <v>0.3</v>
      </c>
      <c r="Q775" s="6">
        <v>25</v>
      </c>
      <c r="R775" s="10">
        <v>0</v>
      </c>
      <c r="S775" s="10">
        <v>0</v>
      </c>
      <c r="T775" s="10"/>
      <c r="U775" t="str">
        <f>"RUNNING_COST_"&amp;IF(PROPERTIES[[#This Row],[ENGINE_CLASS]]="MAGLEV","ELECTRIC",PROPERTIES[[#This Row],[ENGINE_CLASS]])</f>
        <v>RUNNING_COST_DIESEL</v>
      </c>
      <c r="V775" s="10" t="s">
        <v>1018</v>
      </c>
      <c r="W775" s="10" t="s">
        <v>1019</v>
      </c>
      <c r="X775" s="10" t="str">
        <f>SUBSTITUTE(SUBSTITUTE(PROPERTIES[[#This Row],[PURCHASECOST_VALUE]], "PURCHASECOST_", ""), "_VALUE", "")</f>
        <v>COACH</v>
      </c>
      <c r="AP775"/>
      <c r="AQ775"/>
      <c r="AR775"/>
    </row>
    <row r="776" spans="1:44">
      <c r="A776" s="2" t="s">
        <v>821</v>
      </c>
      <c r="B776">
        <v>2000</v>
      </c>
      <c r="C776">
        <v>0</v>
      </c>
      <c r="D776" t="s">
        <v>35</v>
      </c>
      <c r="E776" t="s">
        <v>325</v>
      </c>
      <c r="F776">
        <v>70</v>
      </c>
      <c r="G776" s="10">
        <v>47</v>
      </c>
      <c r="H776">
        <v>8</v>
      </c>
      <c r="I776">
        <v>8</v>
      </c>
      <c r="J776" s="2" t="s">
        <v>479</v>
      </c>
      <c r="K776">
        <f>_xlfn.XLOOKUP("LOADINGSPEEDDEF_"&amp;PROPERTIES[[#This Row],[LOADINGSPEED]],LOADINGSPEEDDEF[TYPE],LOADINGSPEEDDEF[SPEED])</f>
        <v>16</v>
      </c>
      <c r="L776" t="s">
        <v>21</v>
      </c>
      <c r="M776">
        <v>1</v>
      </c>
      <c r="N776">
        <v>0</v>
      </c>
      <c r="O776">
        <v>230</v>
      </c>
      <c r="P776" s="2">
        <v>0.3</v>
      </c>
      <c r="Q776" s="6">
        <v>25</v>
      </c>
      <c r="R776" s="10">
        <v>0</v>
      </c>
      <c r="S776" s="10">
        <v>0</v>
      </c>
      <c r="T776" s="10"/>
      <c r="U776" t="str">
        <f>"RUNNING_COST_"&amp;IF(PROPERTIES[[#This Row],[ENGINE_CLASS]]="MAGLEV","ELECTRIC",PROPERTIES[[#This Row],[ENGINE_CLASS]])</f>
        <v>RUNNING_COST_DIESEL</v>
      </c>
      <c r="V776" s="10" t="s">
        <v>1018</v>
      </c>
      <c r="W776" s="10" t="s">
        <v>1019</v>
      </c>
      <c r="X776" s="10" t="str">
        <f>SUBSTITUTE(SUBSTITUTE(PROPERTIES[[#This Row],[PURCHASECOST_VALUE]], "PURCHASECOST_", ""), "_VALUE", "")</f>
        <v>COACH</v>
      </c>
      <c r="AP776"/>
      <c r="AQ776"/>
      <c r="AR776"/>
    </row>
    <row r="777" spans="1:44">
      <c r="A777" s="2" t="s">
        <v>822</v>
      </c>
      <c r="B777">
        <v>2000</v>
      </c>
      <c r="C777">
        <v>0</v>
      </c>
      <c r="D777" t="s">
        <v>35</v>
      </c>
      <c r="E777" t="s">
        <v>325</v>
      </c>
      <c r="F777">
        <v>85</v>
      </c>
      <c r="G777" s="10">
        <v>44</v>
      </c>
      <c r="H777">
        <v>8</v>
      </c>
      <c r="I777">
        <v>8</v>
      </c>
      <c r="J777" s="2" t="s">
        <v>479</v>
      </c>
      <c r="K777">
        <f>_xlfn.XLOOKUP("LOADINGSPEEDDEF_"&amp;PROPERTIES[[#This Row],[LOADINGSPEED]],LOADINGSPEEDDEF[TYPE],LOADINGSPEEDDEF[SPEED])</f>
        <v>16</v>
      </c>
      <c r="L777" t="s">
        <v>21</v>
      </c>
      <c r="M777">
        <v>1</v>
      </c>
      <c r="N777">
        <v>0</v>
      </c>
      <c r="O777">
        <v>160</v>
      </c>
      <c r="P777" s="2">
        <v>0.3</v>
      </c>
      <c r="Q777" s="6">
        <v>25</v>
      </c>
      <c r="R777" s="10">
        <v>0</v>
      </c>
      <c r="S777" s="10">
        <v>0</v>
      </c>
      <c r="T777" s="10"/>
      <c r="U777" t="str">
        <f>"RUNNING_COST_"&amp;IF(PROPERTIES[[#This Row],[ENGINE_CLASS]]="MAGLEV","ELECTRIC",PROPERTIES[[#This Row],[ENGINE_CLASS]])</f>
        <v>RUNNING_COST_DIESEL</v>
      </c>
      <c r="V777" s="10" t="s">
        <v>1018</v>
      </c>
      <c r="W777" s="10" t="s">
        <v>1019</v>
      </c>
      <c r="X777" s="10" t="str">
        <f>SUBSTITUTE(SUBSTITUTE(PROPERTIES[[#This Row],[PURCHASECOST_VALUE]], "PURCHASECOST_", ""), "_VALUE", "")</f>
        <v>COACH</v>
      </c>
      <c r="AP777"/>
      <c r="AQ777"/>
      <c r="AR777"/>
    </row>
    <row r="778" spans="1:44">
      <c r="A778" s="2" t="s">
        <v>823</v>
      </c>
      <c r="B778">
        <v>2000</v>
      </c>
      <c r="C778">
        <v>0</v>
      </c>
      <c r="D778" t="s">
        <v>35</v>
      </c>
      <c r="E778" t="s">
        <v>325</v>
      </c>
      <c r="F778">
        <v>115</v>
      </c>
      <c r="G778" s="10">
        <v>45</v>
      </c>
      <c r="H778">
        <v>8</v>
      </c>
      <c r="I778">
        <v>8</v>
      </c>
      <c r="J778" s="2" t="s">
        <v>24</v>
      </c>
      <c r="K778">
        <f>_xlfn.XLOOKUP("LOADINGSPEEDDEF_"&amp;PROPERTIES[[#This Row],[LOADINGSPEED]],LOADINGSPEEDDEF[TYPE],LOADINGSPEEDDEF[SPEED])</f>
        <v>40</v>
      </c>
      <c r="L778" t="s">
        <v>21</v>
      </c>
      <c r="M778">
        <v>1</v>
      </c>
      <c r="N778">
        <v>0</v>
      </c>
      <c r="O778">
        <v>140</v>
      </c>
      <c r="P778" s="2">
        <v>0.3</v>
      </c>
      <c r="Q778" s="6">
        <v>25</v>
      </c>
      <c r="R778" s="10">
        <v>0</v>
      </c>
      <c r="S778" s="10">
        <v>0</v>
      </c>
      <c r="T778" s="10"/>
      <c r="U778" t="str">
        <f>"RUNNING_COST_"&amp;IF(PROPERTIES[[#This Row],[ENGINE_CLASS]]="MAGLEV","ELECTRIC",PROPERTIES[[#This Row],[ENGINE_CLASS]])</f>
        <v>RUNNING_COST_DIESEL</v>
      </c>
      <c r="V778" s="10" t="s">
        <v>1018</v>
      </c>
      <c r="W778" s="10" t="s">
        <v>1019</v>
      </c>
      <c r="X778" s="10" t="str">
        <f>SUBSTITUTE(SUBSTITUTE(PROPERTIES[[#This Row],[PURCHASECOST_VALUE]], "PURCHASECOST_", ""), "_VALUE", "")</f>
        <v>COACH</v>
      </c>
      <c r="AP778"/>
      <c r="AQ778"/>
      <c r="AR778"/>
    </row>
    <row r="779" spans="1:44">
      <c r="A779" s="2" t="s">
        <v>824</v>
      </c>
      <c r="B779">
        <v>2000</v>
      </c>
      <c r="C779">
        <v>0</v>
      </c>
      <c r="D779" t="s">
        <v>35</v>
      </c>
      <c r="E779" t="s">
        <v>325</v>
      </c>
      <c r="F779">
        <v>145</v>
      </c>
      <c r="G779" s="10">
        <v>47</v>
      </c>
      <c r="H779">
        <v>8</v>
      </c>
      <c r="I779">
        <v>8</v>
      </c>
      <c r="J779" s="2" t="s">
        <v>479</v>
      </c>
      <c r="K779">
        <f>_xlfn.XLOOKUP("LOADINGSPEEDDEF_"&amp;PROPERTIES[[#This Row],[LOADINGSPEED]],LOADINGSPEEDDEF[TYPE],LOADINGSPEEDDEF[SPEED])</f>
        <v>16</v>
      </c>
      <c r="L779" t="s">
        <v>21</v>
      </c>
      <c r="M779">
        <v>1</v>
      </c>
      <c r="N779">
        <v>0</v>
      </c>
      <c r="O779">
        <v>160</v>
      </c>
      <c r="P779" s="2">
        <v>0.3</v>
      </c>
      <c r="Q779" s="6">
        <v>25</v>
      </c>
      <c r="R779" s="10">
        <v>0</v>
      </c>
      <c r="S779" s="10">
        <v>0</v>
      </c>
      <c r="T779" s="10"/>
      <c r="U779" t="str">
        <f>"RUNNING_COST_"&amp;IF(PROPERTIES[[#This Row],[ENGINE_CLASS]]="MAGLEV","ELECTRIC",PROPERTIES[[#This Row],[ENGINE_CLASS]])</f>
        <v>RUNNING_COST_DIESEL</v>
      </c>
      <c r="V779" s="10" t="s">
        <v>1018</v>
      </c>
      <c r="W779" s="10" t="s">
        <v>1019</v>
      </c>
      <c r="X779" s="10" t="str">
        <f>SUBSTITUTE(SUBSTITUTE(PROPERTIES[[#This Row],[PURCHASECOST_VALUE]], "PURCHASECOST_", ""), "_VALUE", "")</f>
        <v>COACH</v>
      </c>
      <c r="AP779"/>
      <c r="AQ779"/>
      <c r="AR779"/>
    </row>
    <row r="780" spans="1:44">
      <c r="A780" s="2" t="s">
        <v>825</v>
      </c>
      <c r="B780">
        <v>2000</v>
      </c>
      <c r="C780">
        <v>0</v>
      </c>
      <c r="D780" t="s">
        <v>35</v>
      </c>
      <c r="E780" t="s">
        <v>325</v>
      </c>
      <c r="F780">
        <v>115</v>
      </c>
      <c r="G780" s="10">
        <v>47</v>
      </c>
      <c r="H780">
        <v>8</v>
      </c>
      <c r="I780">
        <v>8</v>
      </c>
      <c r="J780" s="2" t="s">
        <v>479</v>
      </c>
      <c r="K780">
        <f>_xlfn.XLOOKUP("LOADINGSPEEDDEF_"&amp;PROPERTIES[[#This Row],[LOADINGSPEED]],LOADINGSPEEDDEF[TYPE],LOADINGSPEEDDEF[SPEED])</f>
        <v>16</v>
      </c>
      <c r="L780" t="s">
        <v>21</v>
      </c>
      <c r="M780">
        <v>1</v>
      </c>
      <c r="N780">
        <v>0</v>
      </c>
      <c r="O780">
        <v>200</v>
      </c>
      <c r="P780" s="2">
        <v>0.3</v>
      </c>
      <c r="Q780" s="6">
        <v>25</v>
      </c>
      <c r="R780" s="10">
        <v>0</v>
      </c>
      <c r="S780" s="10">
        <v>0</v>
      </c>
      <c r="T780" s="10"/>
      <c r="U780" t="str">
        <f>"RUNNING_COST_"&amp;IF(PROPERTIES[[#This Row],[ENGINE_CLASS]]="MAGLEV","ELECTRIC",PROPERTIES[[#This Row],[ENGINE_CLASS]])</f>
        <v>RUNNING_COST_DIESEL</v>
      </c>
      <c r="V780" s="10" t="s">
        <v>1018</v>
      </c>
      <c r="W780" s="10" t="s">
        <v>1019</v>
      </c>
      <c r="X780" s="10" t="str">
        <f>SUBSTITUTE(SUBSTITUTE(PROPERTIES[[#This Row],[PURCHASECOST_VALUE]], "PURCHASECOST_", ""), "_VALUE", "")</f>
        <v>COACH</v>
      </c>
      <c r="AP780"/>
      <c r="AQ780"/>
      <c r="AR780"/>
    </row>
    <row r="781" spans="1:44">
      <c r="A781" s="2" t="s">
        <v>826</v>
      </c>
      <c r="B781">
        <v>2000</v>
      </c>
      <c r="C781">
        <v>0</v>
      </c>
      <c r="D781" t="s">
        <v>35</v>
      </c>
      <c r="E781" t="s">
        <v>673</v>
      </c>
      <c r="F781">
        <v>70</v>
      </c>
      <c r="G781" s="10">
        <v>46</v>
      </c>
      <c r="H781">
        <v>8</v>
      </c>
      <c r="I781">
        <v>8</v>
      </c>
      <c r="J781" s="2" t="s">
        <v>674</v>
      </c>
      <c r="K781">
        <f>_xlfn.XLOOKUP("LOADINGSPEEDDEF_"&amp;PROPERTIES[[#This Row],[LOADINGSPEED]],LOADINGSPEEDDEF[TYPE],LOADINGSPEEDDEF[SPEED])</f>
        <v>15</v>
      </c>
      <c r="L781" t="s">
        <v>21</v>
      </c>
      <c r="M781">
        <v>1</v>
      </c>
      <c r="N781">
        <v>0</v>
      </c>
      <c r="O781">
        <v>230</v>
      </c>
      <c r="P781" s="2">
        <v>0.3</v>
      </c>
      <c r="Q781" s="6">
        <v>25</v>
      </c>
      <c r="R781" s="10">
        <v>0</v>
      </c>
      <c r="S781" s="10">
        <v>0</v>
      </c>
      <c r="T781" s="10"/>
      <c r="U781" t="str">
        <f>"RUNNING_COST_"&amp;IF(PROPERTIES[[#This Row],[ENGINE_CLASS]]="MAGLEV","ELECTRIC",PROPERTIES[[#This Row],[ENGINE_CLASS]])</f>
        <v>RUNNING_COST_DIESEL</v>
      </c>
      <c r="V781" s="10" t="s">
        <v>1018</v>
      </c>
      <c r="W781" s="10" t="s">
        <v>1019</v>
      </c>
      <c r="X781" s="10" t="str">
        <f>SUBSTITUTE(SUBSTITUTE(PROPERTIES[[#This Row],[PURCHASECOST_VALUE]], "PURCHASECOST_", ""), "_VALUE", "")</f>
        <v>COACH</v>
      </c>
      <c r="AP781"/>
      <c r="AQ781"/>
      <c r="AR781"/>
    </row>
    <row r="782" spans="1:44">
      <c r="A782" s="2" t="s">
        <v>827</v>
      </c>
      <c r="B782">
        <v>1980</v>
      </c>
      <c r="C782">
        <v>0</v>
      </c>
      <c r="D782" t="s">
        <v>35</v>
      </c>
      <c r="E782" t="s">
        <v>325</v>
      </c>
      <c r="F782">
        <v>40</v>
      </c>
      <c r="G782" s="10">
        <v>15</v>
      </c>
      <c r="H782">
        <v>6</v>
      </c>
      <c r="I782">
        <v>6</v>
      </c>
      <c r="J782" s="2" t="s">
        <v>24</v>
      </c>
      <c r="K782">
        <f>_xlfn.XLOOKUP("LOADINGSPEEDDEF_"&amp;PROPERTIES[[#This Row],[LOADINGSPEED]],LOADINGSPEEDDEF[TYPE],LOADINGSPEEDDEF[SPEED])</f>
        <v>40</v>
      </c>
      <c r="L782" t="s">
        <v>21</v>
      </c>
      <c r="M782">
        <v>1</v>
      </c>
      <c r="N782">
        <v>0</v>
      </c>
      <c r="O782">
        <v>250</v>
      </c>
      <c r="P782" s="2">
        <v>0.3</v>
      </c>
      <c r="Q782" s="6">
        <v>25</v>
      </c>
      <c r="R782" s="10">
        <v>0</v>
      </c>
      <c r="S782" s="10">
        <v>0</v>
      </c>
      <c r="T782" s="10"/>
      <c r="U782" t="str">
        <f>"RUNNING_COST_"&amp;IF(PROPERTIES[[#This Row],[ENGINE_CLASS]]="MAGLEV","ELECTRIC",PROPERTIES[[#This Row],[ENGINE_CLASS]])</f>
        <v>RUNNING_COST_DIESEL</v>
      </c>
      <c r="V782" s="10" t="s">
        <v>1018</v>
      </c>
      <c r="W782" s="10" t="s">
        <v>1019</v>
      </c>
      <c r="X782" s="10" t="str">
        <f>SUBSTITUTE(SUBSTITUTE(PROPERTIES[[#This Row],[PURCHASECOST_VALUE]], "PURCHASECOST_", ""), "_VALUE", "")</f>
        <v>COACH</v>
      </c>
      <c r="AP782"/>
      <c r="AQ782"/>
      <c r="AR782"/>
    </row>
    <row r="783" spans="1:44">
      <c r="A783" s="2" t="s">
        <v>828</v>
      </c>
      <c r="B783">
        <v>1980</v>
      </c>
      <c r="C783">
        <v>0</v>
      </c>
      <c r="D783" t="s">
        <v>35</v>
      </c>
      <c r="E783" t="s">
        <v>673</v>
      </c>
      <c r="F783">
        <v>40</v>
      </c>
      <c r="G783" s="10">
        <v>15</v>
      </c>
      <c r="H783">
        <v>6</v>
      </c>
      <c r="I783">
        <v>6</v>
      </c>
      <c r="J783" s="2" t="s">
        <v>674</v>
      </c>
      <c r="K783">
        <f>_xlfn.XLOOKUP("LOADINGSPEEDDEF_"&amp;PROPERTIES[[#This Row],[LOADINGSPEED]],LOADINGSPEEDDEF[TYPE],LOADINGSPEEDDEF[SPEED])</f>
        <v>15</v>
      </c>
      <c r="L783" t="s">
        <v>21</v>
      </c>
      <c r="M783">
        <v>1</v>
      </c>
      <c r="N783">
        <v>0</v>
      </c>
      <c r="O783">
        <v>250</v>
      </c>
      <c r="P783" s="2">
        <v>0.3</v>
      </c>
      <c r="Q783" s="6">
        <v>25</v>
      </c>
      <c r="R783" s="10">
        <v>0</v>
      </c>
      <c r="S783" s="10">
        <v>0</v>
      </c>
      <c r="T783" s="10"/>
      <c r="U783" t="str">
        <f>"RUNNING_COST_"&amp;IF(PROPERTIES[[#This Row],[ENGINE_CLASS]]="MAGLEV","ELECTRIC",PROPERTIES[[#This Row],[ENGINE_CLASS]])</f>
        <v>RUNNING_COST_DIESEL</v>
      </c>
      <c r="V783" s="10" t="s">
        <v>1018</v>
      </c>
      <c r="W783" s="10" t="s">
        <v>1019</v>
      </c>
      <c r="X783" s="10" t="str">
        <f>SUBSTITUTE(SUBSTITUTE(PROPERTIES[[#This Row],[PURCHASECOST_VALUE]], "PURCHASECOST_", ""), "_VALUE", "")</f>
        <v>COACH</v>
      </c>
      <c r="AP783"/>
      <c r="AQ783"/>
      <c r="AR783"/>
    </row>
    <row r="784" spans="1:44">
      <c r="A784" s="2" t="s">
        <v>829</v>
      </c>
      <c r="B784">
        <v>2030</v>
      </c>
      <c r="C784">
        <v>0</v>
      </c>
      <c r="D784" t="s">
        <v>35</v>
      </c>
      <c r="E784" t="s">
        <v>325</v>
      </c>
      <c r="F784">
        <v>80</v>
      </c>
      <c r="G784" s="10">
        <v>39</v>
      </c>
      <c r="H784">
        <v>8</v>
      </c>
      <c r="I784">
        <v>8</v>
      </c>
      <c r="J784" s="2" t="s">
        <v>479</v>
      </c>
      <c r="K784">
        <f>_xlfn.XLOOKUP("LOADINGSPEEDDEF_"&amp;PROPERTIES[[#This Row],[LOADINGSPEED]],LOADINGSPEEDDEF[TYPE],LOADINGSPEEDDEF[SPEED])</f>
        <v>16</v>
      </c>
      <c r="L784" t="s">
        <v>21</v>
      </c>
      <c r="M784">
        <v>1</v>
      </c>
      <c r="N784">
        <v>0</v>
      </c>
      <c r="O784">
        <v>0</v>
      </c>
      <c r="P784" s="2">
        <v>0.3</v>
      </c>
      <c r="Q784" s="6">
        <v>25</v>
      </c>
      <c r="R784" s="10">
        <v>0</v>
      </c>
      <c r="S784" s="10">
        <v>0</v>
      </c>
      <c r="T784" s="10"/>
      <c r="U784" t="str">
        <f>"RUNNING_COST_"&amp;IF(PROPERTIES[[#This Row],[ENGINE_CLASS]]="MAGLEV","ELECTRIC",PROPERTIES[[#This Row],[ENGINE_CLASS]])</f>
        <v>RUNNING_COST_DIESEL</v>
      </c>
      <c r="V784" s="10" t="s">
        <v>1018</v>
      </c>
      <c r="W784" s="10" t="s">
        <v>1019</v>
      </c>
      <c r="X784" s="10" t="str">
        <f>SUBSTITUTE(SUBSTITUTE(PROPERTIES[[#This Row],[PURCHASECOST_VALUE]], "PURCHASECOST_", ""), "_VALUE", "")</f>
        <v>COACH</v>
      </c>
      <c r="AP784"/>
      <c r="AQ784"/>
      <c r="AR784"/>
    </row>
    <row r="785" spans="1:44">
      <c r="A785" s="2" t="s">
        <v>830</v>
      </c>
      <c r="B785">
        <v>2030</v>
      </c>
      <c r="C785">
        <v>0</v>
      </c>
      <c r="D785" t="s">
        <v>35</v>
      </c>
      <c r="E785" t="s">
        <v>325</v>
      </c>
      <c r="F785">
        <v>100</v>
      </c>
      <c r="G785" s="10">
        <v>38</v>
      </c>
      <c r="H785">
        <v>8</v>
      </c>
      <c r="I785">
        <v>8</v>
      </c>
      <c r="J785" s="2" t="s">
        <v>479</v>
      </c>
      <c r="K785">
        <f>_xlfn.XLOOKUP("LOADINGSPEEDDEF_"&amp;PROPERTIES[[#This Row],[LOADINGSPEED]],LOADINGSPEEDDEF[TYPE],LOADINGSPEEDDEF[SPEED])</f>
        <v>16</v>
      </c>
      <c r="L785" t="s">
        <v>21</v>
      </c>
      <c r="M785">
        <v>1</v>
      </c>
      <c r="N785">
        <v>0</v>
      </c>
      <c r="O785">
        <v>200</v>
      </c>
      <c r="P785" s="2">
        <v>0.3</v>
      </c>
      <c r="Q785" s="6">
        <v>25</v>
      </c>
      <c r="R785" s="10">
        <v>0</v>
      </c>
      <c r="S785" s="10">
        <v>0</v>
      </c>
      <c r="T785" s="10"/>
      <c r="U785" t="str">
        <f>"RUNNING_COST_"&amp;IF(PROPERTIES[[#This Row],[ENGINE_CLASS]]="MAGLEV","ELECTRIC",PROPERTIES[[#This Row],[ENGINE_CLASS]])</f>
        <v>RUNNING_COST_DIESEL</v>
      </c>
      <c r="V785" s="10" t="s">
        <v>1018</v>
      </c>
      <c r="W785" s="10" t="s">
        <v>1019</v>
      </c>
      <c r="X785" s="10" t="str">
        <f>SUBSTITUTE(SUBSTITUTE(PROPERTIES[[#This Row],[PURCHASECOST_VALUE]], "PURCHASECOST_", ""), "_VALUE", "")</f>
        <v>COACH</v>
      </c>
      <c r="AP785"/>
      <c r="AQ785"/>
      <c r="AR785"/>
    </row>
    <row r="786" spans="1:44">
      <c r="A786" s="2" t="s">
        <v>831</v>
      </c>
      <c r="B786">
        <v>2030</v>
      </c>
      <c r="C786">
        <v>0</v>
      </c>
      <c r="D786" t="s">
        <v>35</v>
      </c>
      <c r="E786" t="s">
        <v>325</v>
      </c>
      <c r="F786">
        <v>115</v>
      </c>
      <c r="G786" s="10">
        <v>39</v>
      </c>
      <c r="H786">
        <v>8</v>
      </c>
      <c r="I786">
        <v>8</v>
      </c>
      <c r="J786" s="2" t="s">
        <v>24</v>
      </c>
      <c r="K786">
        <f>_xlfn.XLOOKUP("LOADINGSPEEDDEF_"&amp;PROPERTIES[[#This Row],[LOADINGSPEED]],LOADINGSPEEDDEF[TYPE],LOADINGSPEEDDEF[SPEED])</f>
        <v>40</v>
      </c>
      <c r="L786" t="s">
        <v>21</v>
      </c>
      <c r="M786">
        <v>1</v>
      </c>
      <c r="N786">
        <v>0</v>
      </c>
      <c r="O786">
        <v>180</v>
      </c>
      <c r="P786" s="2">
        <v>0.3</v>
      </c>
      <c r="Q786" s="6">
        <v>25</v>
      </c>
      <c r="R786" s="10">
        <v>0</v>
      </c>
      <c r="S786" s="10">
        <v>0</v>
      </c>
      <c r="T786" s="10"/>
      <c r="U786" t="str">
        <f>"RUNNING_COST_"&amp;IF(PROPERTIES[[#This Row],[ENGINE_CLASS]]="MAGLEV","ELECTRIC",PROPERTIES[[#This Row],[ENGINE_CLASS]])</f>
        <v>RUNNING_COST_DIESEL</v>
      </c>
      <c r="V786" s="10" t="s">
        <v>1018</v>
      </c>
      <c r="W786" s="10" t="s">
        <v>1019</v>
      </c>
      <c r="X786" s="10" t="str">
        <f>SUBSTITUTE(SUBSTITUTE(PROPERTIES[[#This Row],[PURCHASECOST_VALUE]], "PURCHASECOST_", ""), "_VALUE", "")</f>
        <v>COACH</v>
      </c>
      <c r="AP786"/>
      <c r="AQ786"/>
      <c r="AR786"/>
    </row>
    <row r="787" spans="1:44">
      <c r="A787" s="2" t="s">
        <v>832</v>
      </c>
      <c r="B787">
        <v>2030</v>
      </c>
      <c r="C787">
        <v>0</v>
      </c>
      <c r="D787" t="s">
        <v>35</v>
      </c>
      <c r="E787" t="s">
        <v>673</v>
      </c>
      <c r="F787">
        <v>85</v>
      </c>
      <c r="G787" s="10">
        <v>38</v>
      </c>
      <c r="H787">
        <v>8</v>
      </c>
      <c r="I787">
        <v>8</v>
      </c>
      <c r="J787" s="2" t="s">
        <v>674</v>
      </c>
      <c r="K787">
        <f>_xlfn.XLOOKUP("LOADINGSPEEDDEF_"&amp;PROPERTIES[[#This Row],[LOADINGSPEED]],LOADINGSPEEDDEF[TYPE],LOADINGSPEEDDEF[SPEED])</f>
        <v>15</v>
      </c>
      <c r="L787" t="s">
        <v>21</v>
      </c>
      <c r="M787">
        <v>1</v>
      </c>
      <c r="N787">
        <v>0</v>
      </c>
      <c r="O787">
        <v>0</v>
      </c>
      <c r="P787" s="2">
        <v>0.3</v>
      </c>
      <c r="Q787" s="6">
        <v>25</v>
      </c>
      <c r="R787" s="10">
        <v>0</v>
      </c>
      <c r="S787" s="10">
        <v>0</v>
      </c>
      <c r="T787" s="10"/>
      <c r="U787" t="str">
        <f>"RUNNING_COST_"&amp;IF(PROPERTIES[[#This Row],[ENGINE_CLASS]]="MAGLEV","ELECTRIC",PROPERTIES[[#This Row],[ENGINE_CLASS]])</f>
        <v>RUNNING_COST_DIESEL</v>
      </c>
      <c r="V787" s="10" t="s">
        <v>1018</v>
      </c>
      <c r="W787" s="10" t="s">
        <v>1019</v>
      </c>
      <c r="X787" s="10" t="str">
        <f>SUBSTITUTE(SUBSTITUTE(PROPERTIES[[#This Row],[PURCHASECOST_VALUE]], "PURCHASECOST_", ""), "_VALUE", "")</f>
        <v>COACH</v>
      </c>
      <c r="AP787"/>
      <c r="AQ787"/>
      <c r="AR787"/>
    </row>
    <row r="788" spans="1:44">
      <c r="A788" s="2" t="s">
        <v>833</v>
      </c>
      <c r="B788">
        <v>2030</v>
      </c>
      <c r="C788">
        <v>0</v>
      </c>
      <c r="D788" t="s">
        <v>35</v>
      </c>
      <c r="E788" t="s">
        <v>325</v>
      </c>
      <c r="F788">
        <v>160</v>
      </c>
      <c r="G788" s="10">
        <v>41</v>
      </c>
      <c r="H788">
        <v>8</v>
      </c>
      <c r="I788">
        <v>8</v>
      </c>
      <c r="J788" s="2" t="s">
        <v>479</v>
      </c>
      <c r="K788">
        <f>_xlfn.XLOOKUP("LOADINGSPEEDDEF_"&amp;PROPERTIES[[#This Row],[LOADINGSPEED]],LOADINGSPEEDDEF[TYPE],LOADINGSPEEDDEF[SPEED])</f>
        <v>16</v>
      </c>
      <c r="L788" t="s">
        <v>21</v>
      </c>
      <c r="M788">
        <v>1</v>
      </c>
      <c r="N788">
        <v>0</v>
      </c>
      <c r="O788">
        <v>200</v>
      </c>
      <c r="P788" s="2">
        <v>0.3</v>
      </c>
      <c r="Q788" s="6">
        <v>25</v>
      </c>
      <c r="R788" s="10">
        <v>0</v>
      </c>
      <c r="S788" s="10">
        <v>0</v>
      </c>
      <c r="T788" s="10"/>
      <c r="U788" t="str">
        <f>"RUNNING_COST_"&amp;IF(PROPERTIES[[#This Row],[ENGINE_CLASS]]="MAGLEV","ELECTRIC",PROPERTIES[[#This Row],[ENGINE_CLASS]])</f>
        <v>RUNNING_COST_DIESEL</v>
      </c>
      <c r="V788" s="10" t="s">
        <v>1018</v>
      </c>
      <c r="W788" s="10" t="s">
        <v>1019</v>
      </c>
      <c r="X788" s="10" t="str">
        <f>SUBSTITUTE(SUBSTITUTE(PROPERTIES[[#This Row],[PURCHASECOST_VALUE]], "PURCHASECOST_", ""), "_VALUE", "")</f>
        <v>COACH</v>
      </c>
      <c r="AP788"/>
      <c r="AQ788"/>
      <c r="AR788"/>
    </row>
    <row r="789" spans="1:44">
      <c r="A789" s="2" t="s">
        <v>834</v>
      </c>
      <c r="B789">
        <v>2030</v>
      </c>
      <c r="C789">
        <v>0</v>
      </c>
      <c r="D789" t="s">
        <v>35</v>
      </c>
      <c r="E789" t="s">
        <v>325</v>
      </c>
      <c r="F789">
        <v>130</v>
      </c>
      <c r="G789" s="10">
        <v>43</v>
      </c>
      <c r="H789">
        <v>8</v>
      </c>
      <c r="I789">
        <v>8</v>
      </c>
      <c r="J789" s="2" t="s">
        <v>479</v>
      </c>
      <c r="K789">
        <f>_xlfn.XLOOKUP("LOADINGSPEEDDEF_"&amp;PROPERTIES[[#This Row],[LOADINGSPEED]],LOADINGSPEEDDEF[TYPE],LOADINGSPEEDDEF[SPEED])</f>
        <v>16</v>
      </c>
      <c r="L789" t="s">
        <v>21</v>
      </c>
      <c r="M789">
        <v>1</v>
      </c>
      <c r="N789">
        <v>0</v>
      </c>
      <c r="O789">
        <v>0</v>
      </c>
      <c r="P789" s="2">
        <v>0.3</v>
      </c>
      <c r="Q789" s="6">
        <v>25</v>
      </c>
      <c r="R789" s="10">
        <v>0</v>
      </c>
      <c r="S789" s="10">
        <v>0</v>
      </c>
      <c r="T789" s="10"/>
      <c r="U789" t="str">
        <f>"RUNNING_COST_"&amp;IF(PROPERTIES[[#This Row],[ENGINE_CLASS]]="MAGLEV","ELECTRIC",PROPERTIES[[#This Row],[ENGINE_CLASS]])</f>
        <v>RUNNING_COST_DIESEL</v>
      </c>
      <c r="V789" s="10" t="s">
        <v>1018</v>
      </c>
      <c r="W789" s="10" t="s">
        <v>1019</v>
      </c>
      <c r="X789" s="10" t="str">
        <f>SUBSTITUTE(SUBSTITUTE(PROPERTIES[[#This Row],[PURCHASECOST_VALUE]], "PURCHASECOST_", ""), "_VALUE", "")</f>
        <v>COACH</v>
      </c>
      <c r="AP789"/>
      <c r="AQ789"/>
      <c r="AR789"/>
    </row>
    <row r="790" spans="1:44">
      <c r="A790" s="2" t="s">
        <v>1881</v>
      </c>
      <c r="B790">
        <v>1978</v>
      </c>
      <c r="C790">
        <v>0</v>
      </c>
      <c r="D790" t="s">
        <v>35</v>
      </c>
      <c r="E790" t="s">
        <v>20</v>
      </c>
      <c r="F790">
        <v>0</v>
      </c>
      <c r="G790" s="10">
        <v>92</v>
      </c>
      <c r="H790">
        <v>8</v>
      </c>
      <c r="I790">
        <v>8</v>
      </c>
      <c r="J790" s="2" t="s">
        <v>20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>
        <v>3000</v>
      </c>
      <c r="O790">
        <v>105</v>
      </c>
      <c r="P790" s="2">
        <f>IF(PROPERTIES[[#This Row],[INTRODUCTION_YEAR]]&gt;1980,0.3,IF(PROPERTIES[[#This Row],[ENGINE_CLASS]]="STEAM",0.2,0.25))</f>
        <v>0.25</v>
      </c>
      <c r="Q790" s="6">
        <v>25</v>
      </c>
      <c r="R790" s="10">
        <v>0</v>
      </c>
      <c r="S790" s="10">
        <v>0</v>
      </c>
      <c r="T790" s="11"/>
      <c r="U790" s="10" t="str">
        <f>"RUNNING_COST_"&amp;IF(PROPERTIES[[#This Row],[ENGINE_CLASS]]="MAGLEV","ELECTRIC",PROPERTIES[[#This Row],[ENGINE_CLASS]])</f>
        <v>RUNNING_COST_DIESEL</v>
      </c>
      <c r="V790" s="10" t="s">
        <v>1000</v>
      </c>
      <c r="W790" s="10" t="s">
        <v>1001</v>
      </c>
      <c r="X790" t="str">
        <f>SUBSTITUTE(SUBSTITUTE(PROPERTIES[[#This Row],[PURCHASECOST_VALUE]], "PURCHASECOST_", ""), "_VALUE", "")</f>
        <v>DIESELENGINE</v>
      </c>
    </row>
    <row r="791" spans="1:44">
      <c r="A791" s="2" t="s">
        <v>1884</v>
      </c>
      <c r="B791">
        <v>1917</v>
      </c>
      <c r="C791">
        <v>0</v>
      </c>
      <c r="D791" t="s">
        <v>23</v>
      </c>
      <c r="E791" t="s">
        <v>20</v>
      </c>
      <c r="F791">
        <v>0</v>
      </c>
      <c r="G791" s="10">
        <v>69</v>
      </c>
      <c r="H791">
        <v>7</v>
      </c>
      <c r="I791">
        <v>8</v>
      </c>
      <c r="J791" s="2" t="s">
        <v>20</v>
      </c>
      <c r="K791" s="30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>
        <v>950</v>
      </c>
      <c r="O791">
        <v>55</v>
      </c>
      <c r="P791" s="2">
        <v>0.12</v>
      </c>
      <c r="Q791" s="6">
        <v>40</v>
      </c>
      <c r="R791" s="10">
        <v>0</v>
      </c>
      <c r="S791" s="10">
        <v>5</v>
      </c>
      <c r="T791" s="11"/>
      <c r="U791" s="10" t="str">
        <f>"RUNNING_COST_"&amp;IF(PROPERTIES[[#This Row],[ENGINE_CLASS]]="MAGLEV","ELECTRIC",PROPERTIES[[#This Row],[ENGINE_CLASS]])</f>
        <v>RUNNING_COST_STEAM</v>
      </c>
      <c r="V791" s="10" t="s">
        <v>998</v>
      </c>
      <c r="W791" s="10" t="s">
        <v>999</v>
      </c>
      <c r="X791" s="10" t="str">
        <f>SUBSTITUTE(SUBSTITUTE(PROPERTIES[[#This Row],[PURCHASECOST_VALUE]], "PURCHASECOST_", ""), "_VALUE", "")</f>
        <v>STEAMENGINE</v>
      </c>
    </row>
  </sheetData>
  <conditionalFormatting sqref="AF790:AH1048576">
    <cfRule type="cellIs" dxfId="5" priority="1" operator="equal">
      <formula>FALSE</formula>
    </cfRule>
  </conditionalFormatting>
  <dataValidations count="12">
    <dataValidation type="whole" operator="greaterThanOrEqual" allowBlank="1" showInputMessage="1" showErrorMessage="1" sqref="I2:I789" xr:uid="{CF98E2EA-D1C7-4D7A-8577-5E38E9FB16EB}">
      <formula1>1</formula1>
    </dataValidation>
    <dataValidation type="whole" allowBlank="1" showInputMessage="1" showErrorMessage="1" sqref="C2:C791" xr:uid="{C9FB6BB5-B3CF-40B9-A6CD-3E0B48B95DF5}">
      <formula1>0</formula1>
      <formula2>1</formula2>
    </dataValidation>
    <dataValidation type="whole" operator="greaterThanOrEqual" allowBlank="1" showInputMessage="1" showErrorMessage="1" sqref="M2:O791 F2:G791 R2:T791" xr:uid="{699258F9-37E8-437E-9547-ACEA0AFD7DA4}">
      <formula1>0</formula1>
    </dataValidation>
    <dataValidation type="whole" allowBlank="1" showInputMessage="1" showErrorMessage="1" sqref="H2:H789" xr:uid="{0976A28D-137D-4542-827E-3A73EFE0615E}">
      <formula1>1</formula1>
      <formula2>20</formula2>
    </dataValidation>
    <dataValidation type="decimal" operator="greaterThanOrEqual" allowBlank="1" showInputMessage="1" showErrorMessage="1" sqref="P2:P791" xr:uid="{F342F512-E760-4CD3-801B-E5B9CF70B7FD}">
      <formula1>0</formula1>
    </dataValidation>
    <dataValidation type="whole" allowBlank="1" showInputMessage="1" showErrorMessage="1" sqref="Q2:Q791" xr:uid="{7D4429EE-1046-4DE2-A6D7-76E6899E9B8A}">
      <formula1>5</formula1>
      <formula2>100</formula2>
    </dataValidation>
    <dataValidation type="list" allowBlank="1" showInputMessage="1" showErrorMessage="1" sqref="AM790:AQ1048576 AF790:AI1048576" xr:uid="{9652105D-A1DA-4D87-8399-EE85E90529F0}">
      <formula1>"TRUE"</formula1>
    </dataValidation>
    <dataValidation operator="greaterThanOrEqual" allowBlank="1" showInputMessage="1" showErrorMessage="1" sqref="AB790:AC1048576 U2:U791" xr:uid="{2D963A9D-C2E3-4020-ABFA-FD04EDA25119}"/>
    <dataValidation type="list" allowBlank="1" showInputMessage="1" showErrorMessage="1" sqref="W2:W791" xr:uid="{E34DA190-67B0-4000-AB81-045D705EF781}">
      <formula1>INDIRECT("VALID_RUNNINGCOSTVALUE[RUNNINGCOSTVALUE]")</formula1>
    </dataValidation>
    <dataValidation type="whole" allowBlank="1" showInputMessage="1" showErrorMessage="1" sqref="H2:I789 B2:B789" xr:uid="{DEF10C41-55B4-45CA-9782-0B79331628F3}">
      <formula1>1660</formula1>
      <formula2>3000</formula2>
    </dataValidation>
    <dataValidation type="list" allowBlank="1" showInputMessage="1" showErrorMessage="1" sqref="D2:D791" xr:uid="{EB4398F4-10E4-463B-A52E-1F5C116A99EF}">
      <formula1>INDIRECT("VALID_ENGINE_CLASS[ENGINE_CLASS]")</formula1>
    </dataValidation>
    <dataValidation type="list" operator="greaterThanOrEqual" allowBlank="1" showInputMessage="1" showErrorMessage="1" sqref="V2:V791" xr:uid="{D83E915C-A301-4BE3-9E12-6790BD0E2284}">
      <formula1>INDIRECT("VALID_PURCHASECOSTVALUE[PURCHASECOSTVALUE]")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1881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1884</v>
      </c>
      <c r="B791" s="30"/>
      <c r="C791" s="30"/>
      <c r="D791" s="30"/>
      <c r="E791" s="30"/>
      <c r="F791" s="30"/>
      <c r="G791" s="30"/>
      <c r="H791" s="30"/>
      <c r="I791" s="30"/>
      <c r="J791" s="31"/>
      <c r="K791" s="30"/>
      <c r="L791" s="30"/>
      <c r="M791" s="30"/>
      <c r="N791" s="30"/>
      <c r="O791" s="30"/>
      <c r="P791" s="30"/>
      <c r="Q791" s="30"/>
      <c r="R791" s="30"/>
      <c r="S791" s="31" t="b">
        <v>1</v>
      </c>
      <c r="T791" s="30"/>
      <c r="U791" s="30"/>
      <c r="V791" s="30"/>
      <c r="W791" s="30"/>
      <c r="X791" s="30"/>
      <c r="Y791" s="30"/>
      <c r="Z791" s="30"/>
      <c r="AA791" s="30"/>
      <c r="AB791" s="31"/>
      <c r="AC791" s="30"/>
      <c r="AD791" s="30"/>
      <c r="AE791" s="31"/>
      <c r="AF791" s="31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4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1"/>
  <sheetViews>
    <sheetView zoomScaleNormal="100" workbookViewId="0">
      <pane xSplit="1" ySplit="1" topLeftCell="B740" activePane="bottomRight" state="frozen"/>
      <selection pane="topRight" activeCell="B1" sqref="B1"/>
      <selection pane="bottomLeft" activeCell="A2" sqref="A2"/>
      <selection pane="bottomRight" activeCell="A765" sqref="A76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1881</v>
      </c>
      <c r="B790" t="s">
        <v>916</v>
      </c>
      <c r="C790" s="2" t="s">
        <v>912</v>
      </c>
      <c r="D790" t="s">
        <v>930</v>
      </c>
    </row>
    <row r="791" spans="1:18">
      <c r="A791" s="2" t="s">
        <v>1884</v>
      </c>
      <c r="B791" t="s">
        <v>916</v>
      </c>
      <c r="C791" s="2" t="s">
        <v>912</v>
      </c>
      <c r="D791" t="s">
        <v>930</v>
      </c>
    </row>
  </sheetData>
  <conditionalFormatting sqref="F790:H1048576 B1:D791">
    <cfRule type="cellIs" dxfId="3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1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1" sqref="A791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1" si="97">B771</f>
        <v>0</v>
      </c>
      <c r="C772">
        <f t="shared" ref="C772:C791" si="98">C771</f>
        <v>0</v>
      </c>
      <c r="D772">
        <f t="shared" ref="D772:D791" si="99">D771</f>
        <v>185</v>
      </c>
      <c r="E772">
        <f t="shared" ref="E772:E791" si="100">E771</f>
        <v>0</v>
      </c>
      <c r="F772">
        <f t="shared" ref="F772:F791" si="101">F771</f>
        <v>0</v>
      </c>
      <c r="G772">
        <f t="shared" ref="G772:G791" si="102">G771</f>
        <v>20</v>
      </c>
      <c r="H772">
        <f t="shared" ref="H772:H791" si="103">H771</f>
        <v>20</v>
      </c>
      <c r="I772" t="str">
        <f t="shared" ref="I772:I791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1881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1884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</sheetData>
  <conditionalFormatting sqref="K790:M1048576">
    <cfRule type="cellIs" dxfId="2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1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1"/>
  <sheetViews>
    <sheetView zoomScaleNormal="100" workbookViewId="0">
      <pane xSplit="1" ySplit="1" topLeftCell="B767" activePane="bottomRight" state="frozen"/>
      <selection pane="topRight" activeCell="B1" sqref="B1"/>
      <selection pane="bottomLeft" activeCell="A2" sqref="A2"/>
      <selection pane="bottomRight" activeCell="B791" sqref="B79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1881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1884</v>
      </c>
      <c r="B791" t="b">
        <v>1</v>
      </c>
      <c r="C791" s="30"/>
      <c r="D791" s="31"/>
      <c r="E791" s="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 s="30">
        <v>0</v>
      </c>
      <c r="G791" t="s">
        <v>724</v>
      </c>
    </row>
  </sheetData>
  <conditionalFormatting sqref="I790:K1048576">
    <cfRule type="cellIs" dxfId="1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1"/>
  <sheetViews>
    <sheetView zoomScaleNormal="100" workbookViewId="0">
      <pane xSplit="1" ySplit="1" topLeftCell="B417" activePane="bottomRight" state="frozen"/>
      <selection activeCell="Q19" sqref="Q19"/>
      <selection pane="topRight" activeCell="Q19" sqref="Q19"/>
      <selection pane="bottomLeft" activeCell="Q19" sqref="Q19"/>
      <selection pane="bottomRight" activeCell="A779" sqref="A1:M791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1876</v>
      </c>
      <c r="C1" s="1" t="s">
        <v>1848</v>
      </c>
      <c r="D1" s="1" t="s">
        <v>1858</v>
      </c>
    </row>
    <row r="2" spans="1:13" hidden="1">
      <c r="A2" s="2" t="s">
        <v>531</v>
      </c>
      <c r="B2" t="s">
        <v>1877</v>
      </c>
      <c r="C2" t="s">
        <v>1849</v>
      </c>
      <c r="D2" t="s">
        <v>1859</v>
      </c>
      <c r="K2"/>
      <c r="L2"/>
      <c r="M2"/>
    </row>
    <row r="3" spans="1:13" hidden="1">
      <c r="A3" s="2" t="s">
        <v>300</v>
      </c>
      <c r="B3" t="s">
        <v>1877</v>
      </c>
      <c r="C3" t="s">
        <v>1850</v>
      </c>
      <c r="D3" t="s">
        <v>1859</v>
      </c>
      <c r="K3"/>
      <c r="L3"/>
      <c r="M3"/>
    </row>
    <row r="4" spans="1:13" hidden="1">
      <c r="A4" s="2" t="s">
        <v>266</v>
      </c>
      <c r="B4" t="s">
        <v>1877</v>
      </c>
      <c r="C4" t="s">
        <v>1850</v>
      </c>
      <c r="D4" t="s">
        <v>1859</v>
      </c>
      <c r="K4"/>
      <c r="L4"/>
      <c r="M4"/>
    </row>
    <row r="5" spans="1:13" hidden="1">
      <c r="A5" s="2" t="s">
        <v>291</v>
      </c>
      <c r="B5" t="s">
        <v>1877</v>
      </c>
      <c r="C5" t="s">
        <v>1850</v>
      </c>
      <c r="D5" t="s">
        <v>1859</v>
      </c>
      <c r="K5"/>
      <c r="L5"/>
      <c r="M5"/>
    </row>
    <row r="6" spans="1:13" hidden="1">
      <c r="A6" s="2" t="s">
        <v>247</v>
      </c>
      <c r="B6" t="s">
        <v>1877</v>
      </c>
      <c r="C6" t="s">
        <v>1850</v>
      </c>
      <c r="D6" t="s">
        <v>1859</v>
      </c>
      <c r="K6"/>
      <c r="L6"/>
      <c r="M6"/>
    </row>
    <row r="7" spans="1:13" hidden="1">
      <c r="A7" s="2" t="s">
        <v>230</v>
      </c>
      <c r="B7" t="s">
        <v>1877</v>
      </c>
      <c r="C7" t="s">
        <v>1850</v>
      </c>
      <c r="D7" t="s">
        <v>1859</v>
      </c>
      <c r="K7"/>
      <c r="L7"/>
      <c r="M7"/>
    </row>
    <row r="8" spans="1:13" hidden="1">
      <c r="A8" s="2" t="s">
        <v>297</v>
      </c>
      <c r="B8" t="s">
        <v>1877</v>
      </c>
      <c r="C8" t="s">
        <v>1850</v>
      </c>
      <c r="D8" t="s">
        <v>1859</v>
      </c>
      <c r="K8"/>
      <c r="L8"/>
      <c r="M8"/>
    </row>
    <row r="9" spans="1:13" hidden="1">
      <c r="A9" s="2" t="s">
        <v>298</v>
      </c>
      <c r="B9" t="s">
        <v>1877</v>
      </c>
      <c r="C9" t="s">
        <v>1850</v>
      </c>
      <c r="D9" t="s">
        <v>1859</v>
      </c>
      <c r="K9"/>
      <c r="L9"/>
      <c r="M9"/>
    </row>
    <row r="10" spans="1:13" hidden="1">
      <c r="A10" s="2" t="s">
        <v>244</v>
      </c>
      <c r="B10" t="s">
        <v>1877</v>
      </c>
      <c r="C10" t="s">
        <v>1850</v>
      </c>
      <c r="D10" t="s">
        <v>1859</v>
      </c>
      <c r="K10"/>
      <c r="L10"/>
      <c r="M10"/>
    </row>
    <row r="11" spans="1:13" hidden="1">
      <c r="A11" s="2" t="s">
        <v>232</v>
      </c>
      <c r="B11" t="s">
        <v>1877</v>
      </c>
      <c r="C11" t="s">
        <v>1850</v>
      </c>
      <c r="D11" t="s">
        <v>1859</v>
      </c>
      <c r="K11"/>
      <c r="L11"/>
      <c r="M11"/>
    </row>
    <row r="12" spans="1:13" hidden="1">
      <c r="A12" s="2" t="s">
        <v>274</v>
      </c>
      <c r="B12" t="s">
        <v>1877</v>
      </c>
      <c r="C12" t="s">
        <v>1850</v>
      </c>
      <c r="D12" t="s">
        <v>1859</v>
      </c>
      <c r="K12"/>
      <c r="L12"/>
      <c r="M12"/>
    </row>
    <row r="13" spans="1:13" hidden="1">
      <c r="A13" s="2" t="s">
        <v>201</v>
      </c>
      <c r="B13" t="s">
        <v>1877</v>
      </c>
      <c r="C13" t="s">
        <v>1850</v>
      </c>
      <c r="D13" t="s">
        <v>1859</v>
      </c>
      <c r="K13"/>
      <c r="L13"/>
      <c r="M13"/>
    </row>
    <row r="14" spans="1:13" hidden="1">
      <c r="A14" s="2" t="s">
        <v>321</v>
      </c>
      <c r="B14" t="s">
        <v>1877</v>
      </c>
      <c r="C14" t="s">
        <v>1850</v>
      </c>
      <c r="D14" t="s">
        <v>1859</v>
      </c>
      <c r="K14"/>
      <c r="L14"/>
      <c r="M14"/>
    </row>
    <row r="15" spans="1:13" hidden="1">
      <c r="A15" s="2" t="s">
        <v>280</v>
      </c>
      <c r="B15" t="s">
        <v>1877</v>
      </c>
      <c r="C15" t="s">
        <v>1850</v>
      </c>
      <c r="D15" t="s">
        <v>1859</v>
      </c>
      <c r="K15"/>
      <c r="L15"/>
      <c r="M15"/>
    </row>
    <row r="16" spans="1:13" hidden="1">
      <c r="A16" s="2" t="s">
        <v>319</v>
      </c>
      <c r="B16" t="s">
        <v>1877</v>
      </c>
      <c r="C16" t="s">
        <v>1851</v>
      </c>
      <c r="D16" t="s">
        <v>1860</v>
      </c>
      <c r="K16"/>
      <c r="L16"/>
      <c r="M16"/>
    </row>
    <row r="17" spans="1:13" hidden="1">
      <c r="A17" s="2" t="s">
        <v>235</v>
      </c>
      <c r="B17" t="s">
        <v>1877</v>
      </c>
      <c r="C17" t="s">
        <v>1850</v>
      </c>
      <c r="D17" t="s">
        <v>1859</v>
      </c>
      <c r="K17"/>
      <c r="L17"/>
      <c r="M17"/>
    </row>
    <row r="18" spans="1:13" hidden="1">
      <c r="A18" s="2" t="s">
        <v>264</v>
      </c>
      <c r="B18" t="s">
        <v>1877</v>
      </c>
      <c r="C18" t="s">
        <v>1857</v>
      </c>
      <c r="D18" t="s">
        <v>1860</v>
      </c>
      <c r="K18"/>
      <c r="L18"/>
      <c r="M18"/>
    </row>
    <row r="19" spans="1:13" hidden="1">
      <c r="A19" s="2" t="s">
        <v>270</v>
      </c>
      <c r="B19" t="s">
        <v>1877</v>
      </c>
      <c r="C19" t="s">
        <v>1850</v>
      </c>
      <c r="D19" t="s">
        <v>1859</v>
      </c>
      <c r="K19"/>
      <c r="L19"/>
      <c r="M19"/>
    </row>
    <row r="20" spans="1:13" hidden="1">
      <c r="A20" s="2" t="s">
        <v>282</v>
      </c>
      <c r="B20" t="s">
        <v>1877</v>
      </c>
      <c r="C20" t="s">
        <v>1850</v>
      </c>
      <c r="D20" t="s">
        <v>1859</v>
      </c>
      <c r="K20"/>
      <c r="L20"/>
      <c r="M20"/>
    </row>
    <row r="21" spans="1:13" hidden="1">
      <c r="A21" s="2" t="s">
        <v>211</v>
      </c>
      <c r="B21" t="s">
        <v>1877</v>
      </c>
      <c r="C21" t="s">
        <v>1850</v>
      </c>
      <c r="D21" t="s">
        <v>1859</v>
      </c>
      <c r="K21"/>
      <c r="L21"/>
      <c r="M21"/>
    </row>
    <row r="22" spans="1:13" hidden="1">
      <c r="A22" s="2" t="s">
        <v>306</v>
      </c>
      <c r="B22" t="s">
        <v>1877</v>
      </c>
      <c r="C22" t="s">
        <v>1851</v>
      </c>
      <c r="D22" t="s">
        <v>1859</v>
      </c>
      <c r="K22"/>
      <c r="L22"/>
      <c r="M22"/>
    </row>
    <row r="23" spans="1:13" hidden="1">
      <c r="A23" s="2" t="s">
        <v>225</v>
      </c>
      <c r="B23" t="s">
        <v>1877</v>
      </c>
      <c r="C23" t="s">
        <v>1850</v>
      </c>
      <c r="D23" t="s">
        <v>1859</v>
      </c>
      <c r="K23"/>
      <c r="L23"/>
      <c r="M23"/>
    </row>
    <row r="24" spans="1:13" hidden="1">
      <c r="A24" s="2" t="s">
        <v>248</v>
      </c>
      <c r="B24" t="s">
        <v>1877</v>
      </c>
      <c r="C24" t="s">
        <v>1850</v>
      </c>
      <c r="D24" t="s">
        <v>1859</v>
      </c>
      <c r="K24"/>
      <c r="L24"/>
      <c r="M24"/>
    </row>
    <row r="25" spans="1:13" hidden="1">
      <c r="A25" s="2" t="s">
        <v>216</v>
      </c>
      <c r="B25" t="s">
        <v>1877</v>
      </c>
      <c r="C25" t="s">
        <v>1857</v>
      </c>
      <c r="D25" t="s">
        <v>1860</v>
      </c>
      <c r="K25"/>
      <c r="L25"/>
      <c r="M25"/>
    </row>
    <row r="26" spans="1:13" hidden="1">
      <c r="A26" s="2" t="s">
        <v>222</v>
      </c>
      <c r="B26" t="s">
        <v>1877</v>
      </c>
      <c r="C26" t="s">
        <v>1857</v>
      </c>
      <c r="D26" t="s">
        <v>1864</v>
      </c>
      <c r="K26"/>
      <c r="L26"/>
      <c r="M26"/>
    </row>
    <row r="27" spans="1:13" hidden="1">
      <c r="A27" s="2" t="s">
        <v>292</v>
      </c>
      <c r="B27" t="s">
        <v>1877</v>
      </c>
      <c r="C27" t="s">
        <v>1850</v>
      </c>
      <c r="D27" t="s">
        <v>1859</v>
      </c>
      <c r="K27"/>
      <c r="L27"/>
      <c r="M27"/>
    </row>
    <row r="28" spans="1:13" hidden="1">
      <c r="A28" s="2" t="s">
        <v>268</v>
      </c>
      <c r="B28" t="s">
        <v>1877</v>
      </c>
      <c r="C28" t="s">
        <v>1850</v>
      </c>
      <c r="D28" t="s">
        <v>1859</v>
      </c>
      <c r="K28"/>
      <c r="L28"/>
      <c r="M28"/>
    </row>
    <row r="29" spans="1:13" hidden="1">
      <c r="A29" s="2" t="s">
        <v>205</v>
      </c>
      <c r="B29" t="s">
        <v>1877</v>
      </c>
      <c r="C29" t="s">
        <v>1850</v>
      </c>
      <c r="D29" t="s">
        <v>1859</v>
      </c>
      <c r="K29"/>
      <c r="L29"/>
      <c r="M29"/>
    </row>
    <row r="30" spans="1:13" hidden="1">
      <c r="A30" s="2" t="s">
        <v>295</v>
      </c>
      <c r="B30" t="s">
        <v>1877</v>
      </c>
      <c r="C30" t="s">
        <v>1850</v>
      </c>
      <c r="D30" t="s">
        <v>1859</v>
      </c>
      <c r="K30"/>
      <c r="L30"/>
      <c r="M30"/>
    </row>
    <row r="31" spans="1:13" hidden="1">
      <c r="A31" s="2" t="s">
        <v>223</v>
      </c>
      <c r="B31" t="s">
        <v>1877</v>
      </c>
      <c r="C31" t="s">
        <v>1850</v>
      </c>
      <c r="D31" t="s">
        <v>1859</v>
      </c>
      <c r="K31"/>
      <c r="L31"/>
      <c r="M31"/>
    </row>
    <row r="32" spans="1:13" hidden="1">
      <c r="A32" s="2" t="s">
        <v>259</v>
      </c>
      <c r="B32" t="s">
        <v>1877</v>
      </c>
      <c r="C32" t="s">
        <v>1857</v>
      </c>
      <c r="D32" t="s">
        <v>1863</v>
      </c>
      <c r="K32"/>
      <c r="L32"/>
      <c r="M32"/>
    </row>
    <row r="33" spans="1:13" hidden="1">
      <c r="A33" s="2" t="s">
        <v>238</v>
      </c>
      <c r="B33" t="s">
        <v>1877</v>
      </c>
      <c r="C33" t="s">
        <v>1850</v>
      </c>
      <c r="D33" t="s">
        <v>1859</v>
      </c>
      <c r="K33"/>
      <c r="L33"/>
      <c r="M33"/>
    </row>
    <row r="34" spans="1:13" hidden="1">
      <c r="A34" s="2" t="s">
        <v>212</v>
      </c>
      <c r="B34" t="s">
        <v>1877</v>
      </c>
      <c r="C34" t="s">
        <v>1850</v>
      </c>
      <c r="D34" t="s">
        <v>1859</v>
      </c>
      <c r="K34"/>
      <c r="L34"/>
      <c r="M34"/>
    </row>
    <row r="35" spans="1:13" hidden="1">
      <c r="A35" s="2" t="s">
        <v>209</v>
      </c>
      <c r="B35" t="s">
        <v>1877</v>
      </c>
      <c r="C35" t="s">
        <v>1850</v>
      </c>
      <c r="D35" t="s">
        <v>1859</v>
      </c>
      <c r="K35"/>
      <c r="L35"/>
      <c r="M35"/>
    </row>
    <row r="36" spans="1:13" hidden="1">
      <c r="A36" s="2" t="s">
        <v>288</v>
      </c>
      <c r="B36" t="s">
        <v>1877</v>
      </c>
      <c r="C36" t="s">
        <v>1850</v>
      </c>
      <c r="D36" t="s">
        <v>1859</v>
      </c>
      <c r="K36"/>
      <c r="L36"/>
      <c r="M36"/>
    </row>
    <row r="37" spans="1:13" hidden="1">
      <c r="A37" s="2" t="s">
        <v>213</v>
      </c>
      <c r="B37" t="s">
        <v>1877</v>
      </c>
      <c r="C37" t="s">
        <v>1851</v>
      </c>
      <c r="D37" t="s">
        <v>1860</v>
      </c>
      <c r="K37"/>
      <c r="L37"/>
      <c r="M37"/>
    </row>
    <row r="38" spans="1:13" hidden="1">
      <c r="A38" s="2" t="s">
        <v>293</v>
      </c>
      <c r="B38" t="s">
        <v>1877</v>
      </c>
      <c r="C38" t="s">
        <v>1850</v>
      </c>
      <c r="D38" t="s">
        <v>1859</v>
      </c>
      <c r="K38"/>
      <c r="L38"/>
      <c r="M38"/>
    </row>
    <row r="39" spans="1:13" hidden="1">
      <c r="A39" s="2" t="s">
        <v>279</v>
      </c>
      <c r="B39" t="s">
        <v>1877</v>
      </c>
      <c r="C39" t="s">
        <v>1850</v>
      </c>
      <c r="D39" t="s">
        <v>1859</v>
      </c>
      <c r="K39"/>
      <c r="L39"/>
      <c r="M39"/>
    </row>
    <row r="40" spans="1:13" hidden="1">
      <c r="A40" s="2" t="s">
        <v>239</v>
      </c>
      <c r="B40" t="s">
        <v>1877</v>
      </c>
      <c r="C40" t="s">
        <v>1850</v>
      </c>
      <c r="D40" t="s">
        <v>1859</v>
      </c>
      <c r="K40"/>
      <c r="L40"/>
      <c r="M40"/>
    </row>
    <row r="41" spans="1:13" hidden="1">
      <c r="A41" s="2" t="s">
        <v>253</v>
      </c>
      <c r="B41" t="s">
        <v>1877</v>
      </c>
      <c r="C41" t="s">
        <v>1850</v>
      </c>
      <c r="D41" t="s">
        <v>1859</v>
      </c>
      <c r="K41"/>
      <c r="L41"/>
      <c r="M41"/>
    </row>
    <row r="42" spans="1:13" hidden="1">
      <c r="A42" s="2" t="s">
        <v>256</v>
      </c>
      <c r="B42" t="s">
        <v>1877</v>
      </c>
      <c r="C42" t="s">
        <v>1850</v>
      </c>
      <c r="D42" t="s">
        <v>1859</v>
      </c>
      <c r="K42"/>
      <c r="L42"/>
      <c r="M42"/>
    </row>
    <row r="43" spans="1:13" hidden="1">
      <c r="A43" s="2" t="s">
        <v>236</v>
      </c>
      <c r="B43" t="s">
        <v>1877</v>
      </c>
      <c r="C43" t="s">
        <v>1850</v>
      </c>
      <c r="D43" t="s">
        <v>1859</v>
      </c>
      <c r="K43"/>
      <c r="L43"/>
      <c r="M43"/>
    </row>
    <row r="44" spans="1:13" hidden="1">
      <c r="A44" s="2" t="s">
        <v>219</v>
      </c>
      <c r="B44" t="s">
        <v>1877</v>
      </c>
      <c r="C44" t="s">
        <v>1850</v>
      </c>
      <c r="D44" t="s">
        <v>1859</v>
      </c>
      <c r="K44"/>
      <c r="L44"/>
      <c r="M44"/>
    </row>
    <row r="45" spans="1:13" hidden="1">
      <c r="A45" s="2" t="s">
        <v>226</v>
      </c>
      <c r="B45" t="s">
        <v>1877</v>
      </c>
      <c r="C45" t="s">
        <v>1850</v>
      </c>
      <c r="D45" t="s">
        <v>1859</v>
      </c>
      <c r="K45"/>
      <c r="L45"/>
      <c r="M45"/>
    </row>
    <row r="46" spans="1:13" hidden="1">
      <c r="A46" s="2" t="s">
        <v>316</v>
      </c>
      <c r="B46" t="s">
        <v>1877</v>
      </c>
      <c r="C46" t="s">
        <v>1850</v>
      </c>
      <c r="D46" t="s">
        <v>1859</v>
      </c>
      <c r="K46"/>
      <c r="L46"/>
      <c r="M46"/>
    </row>
    <row r="47" spans="1:13" hidden="1">
      <c r="A47" s="2" t="s">
        <v>233</v>
      </c>
      <c r="B47" t="s">
        <v>1877</v>
      </c>
      <c r="C47" t="s">
        <v>1850</v>
      </c>
      <c r="D47" t="s">
        <v>1859</v>
      </c>
      <c r="K47"/>
      <c r="L47"/>
      <c r="M47"/>
    </row>
    <row r="48" spans="1:13" hidden="1">
      <c r="A48" s="2" t="s">
        <v>302</v>
      </c>
      <c r="B48" t="s">
        <v>1877</v>
      </c>
      <c r="C48" t="s">
        <v>1850</v>
      </c>
      <c r="D48" t="s">
        <v>1859</v>
      </c>
      <c r="K48"/>
      <c r="L48"/>
      <c r="M48"/>
    </row>
    <row r="49" spans="1:13" hidden="1">
      <c r="A49" s="2" t="s">
        <v>220</v>
      </c>
      <c r="B49" t="s">
        <v>1877</v>
      </c>
      <c r="C49" t="s">
        <v>1850</v>
      </c>
      <c r="D49" t="s">
        <v>1859</v>
      </c>
      <c r="K49"/>
      <c r="L49"/>
      <c r="M49"/>
    </row>
    <row r="50" spans="1:13" hidden="1">
      <c r="A50" s="2" t="s">
        <v>242</v>
      </c>
      <c r="B50" t="s">
        <v>1877</v>
      </c>
      <c r="C50" t="s">
        <v>1850</v>
      </c>
      <c r="D50" t="s">
        <v>1859</v>
      </c>
      <c r="K50"/>
      <c r="L50"/>
      <c r="M50"/>
    </row>
    <row r="51" spans="1:13" hidden="1">
      <c r="A51" s="2" t="s">
        <v>286</v>
      </c>
      <c r="B51" t="s">
        <v>1877</v>
      </c>
      <c r="C51" t="s">
        <v>1850</v>
      </c>
      <c r="D51" t="s">
        <v>1859</v>
      </c>
      <c r="K51"/>
      <c r="L51"/>
      <c r="M51"/>
    </row>
    <row r="52" spans="1:13" hidden="1">
      <c r="A52" s="2" t="s">
        <v>314</v>
      </c>
      <c r="B52" t="s">
        <v>1877</v>
      </c>
      <c r="C52" t="s">
        <v>1850</v>
      </c>
      <c r="D52" t="s">
        <v>1859</v>
      </c>
      <c r="K52"/>
      <c r="L52"/>
      <c r="M52"/>
    </row>
    <row r="53" spans="1:13" hidden="1">
      <c r="A53" s="2" t="s">
        <v>217</v>
      </c>
      <c r="B53" t="s">
        <v>1877</v>
      </c>
      <c r="C53" t="s">
        <v>1850</v>
      </c>
      <c r="D53" t="s">
        <v>1859</v>
      </c>
      <c r="K53"/>
      <c r="L53"/>
      <c r="M53"/>
    </row>
    <row r="54" spans="1:13" hidden="1">
      <c r="A54" s="2" t="s">
        <v>254</v>
      </c>
      <c r="B54" t="s">
        <v>1877</v>
      </c>
      <c r="C54" t="s">
        <v>1850</v>
      </c>
      <c r="D54" t="s">
        <v>1859</v>
      </c>
      <c r="K54"/>
      <c r="L54"/>
      <c r="M54"/>
    </row>
    <row r="55" spans="1:13" hidden="1">
      <c r="A55" s="2" t="s">
        <v>199</v>
      </c>
      <c r="B55" t="s">
        <v>1877</v>
      </c>
      <c r="C55" t="s">
        <v>1857</v>
      </c>
      <c r="D55" t="s">
        <v>1860</v>
      </c>
      <c r="K55"/>
      <c r="L55"/>
      <c r="M55"/>
    </row>
    <row r="56" spans="1:13" hidden="1">
      <c r="A56" s="2" t="s">
        <v>196</v>
      </c>
      <c r="B56" t="s">
        <v>1877</v>
      </c>
      <c r="C56" t="s">
        <v>1850</v>
      </c>
      <c r="D56" t="s">
        <v>1859</v>
      </c>
      <c r="K56"/>
      <c r="L56"/>
      <c r="M56"/>
    </row>
    <row r="57" spans="1:13" hidden="1">
      <c r="A57" s="2" t="s">
        <v>257</v>
      </c>
      <c r="B57" t="s">
        <v>1877</v>
      </c>
      <c r="C57" t="s">
        <v>1850</v>
      </c>
      <c r="D57" t="s">
        <v>1859</v>
      </c>
      <c r="K57"/>
      <c r="L57"/>
      <c r="M57"/>
    </row>
    <row r="58" spans="1:13" hidden="1">
      <c r="A58" s="2" t="s">
        <v>215</v>
      </c>
      <c r="B58" t="s">
        <v>1877</v>
      </c>
      <c r="C58" t="s">
        <v>1850</v>
      </c>
      <c r="D58" t="s">
        <v>1859</v>
      </c>
      <c r="K58"/>
      <c r="L58"/>
      <c r="M58"/>
    </row>
    <row r="59" spans="1:13" hidden="1">
      <c r="A59" s="2" t="s">
        <v>214</v>
      </c>
      <c r="B59" t="s">
        <v>1877</v>
      </c>
      <c r="C59" t="s">
        <v>1850</v>
      </c>
      <c r="D59" t="s">
        <v>1859</v>
      </c>
      <c r="K59"/>
      <c r="L59"/>
      <c r="M59"/>
    </row>
    <row r="60" spans="1:13" hidden="1">
      <c r="A60" s="2" t="s">
        <v>227</v>
      </c>
      <c r="B60" t="s">
        <v>1877</v>
      </c>
      <c r="C60" t="s">
        <v>1850</v>
      </c>
      <c r="D60" t="s">
        <v>1859</v>
      </c>
      <c r="K60"/>
      <c r="L60"/>
      <c r="M60"/>
    </row>
    <row r="61" spans="1:13" hidden="1">
      <c r="A61" s="2" t="s">
        <v>290</v>
      </c>
      <c r="B61" t="s">
        <v>1877</v>
      </c>
      <c r="C61" t="s">
        <v>1850</v>
      </c>
      <c r="D61" t="s">
        <v>1859</v>
      </c>
      <c r="K61"/>
      <c r="L61"/>
      <c r="M61"/>
    </row>
    <row r="62" spans="1:13" hidden="1">
      <c r="A62" s="2" t="s">
        <v>251</v>
      </c>
      <c r="B62" t="s">
        <v>1877</v>
      </c>
      <c r="C62" t="s">
        <v>1850</v>
      </c>
      <c r="D62" t="s">
        <v>1859</v>
      </c>
      <c r="K62"/>
      <c r="L62"/>
      <c r="M62"/>
    </row>
    <row r="63" spans="1:13" hidden="1">
      <c r="A63" s="2" t="s">
        <v>272</v>
      </c>
      <c r="B63" t="s">
        <v>1877</v>
      </c>
      <c r="C63" t="s">
        <v>1850</v>
      </c>
      <c r="D63" t="s">
        <v>1859</v>
      </c>
      <c r="K63"/>
      <c r="L63"/>
      <c r="M63"/>
    </row>
    <row r="64" spans="1:13" hidden="1">
      <c r="A64" s="2" t="s">
        <v>267</v>
      </c>
      <c r="B64" t="s">
        <v>1877</v>
      </c>
      <c r="C64" t="s">
        <v>1850</v>
      </c>
      <c r="D64" t="s">
        <v>1859</v>
      </c>
      <c r="K64"/>
      <c r="L64"/>
      <c r="M64"/>
    </row>
    <row r="65" spans="1:13" hidden="1">
      <c r="A65" s="2" t="s">
        <v>284</v>
      </c>
      <c r="B65" t="s">
        <v>1877</v>
      </c>
      <c r="C65" t="s">
        <v>1850</v>
      </c>
      <c r="D65" t="s">
        <v>1859</v>
      </c>
      <c r="K65"/>
      <c r="L65"/>
      <c r="M65"/>
    </row>
    <row r="66" spans="1:13" hidden="1">
      <c r="A66" s="2" t="s">
        <v>287</v>
      </c>
      <c r="B66" t="s">
        <v>1877</v>
      </c>
      <c r="C66" t="s">
        <v>1850</v>
      </c>
      <c r="D66" t="s">
        <v>1859</v>
      </c>
      <c r="K66"/>
      <c r="L66"/>
      <c r="M66"/>
    </row>
    <row r="67" spans="1:13" hidden="1">
      <c r="A67" s="2" t="s">
        <v>311</v>
      </c>
      <c r="B67" t="s">
        <v>1877</v>
      </c>
      <c r="C67" t="s">
        <v>1850</v>
      </c>
      <c r="D67" t="s">
        <v>1859</v>
      </c>
      <c r="K67"/>
      <c r="L67"/>
      <c r="M67"/>
    </row>
    <row r="68" spans="1:13" hidden="1">
      <c r="A68" s="2" t="s">
        <v>273</v>
      </c>
      <c r="B68" t="s">
        <v>1877</v>
      </c>
      <c r="C68" t="s">
        <v>1850</v>
      </c>
      <c r="D68" t="s">
        <v>1859</v>
      </c>
      <c r="K68"/>
      <c r="L68"/>
      <c r="M68"/>
    </row>
    <row r="69" spans="1:13" hidden="1">
      <c r="A69" s="2" t="s">
        <v>277</v>
      </c>
      <c r="B69" t="s">
        <v>1877</v>
      </c>
      <c r="C69" t="s">
        <v>1850</v>
      </c>
      <c r="D69" t="s">
        <v>1859</v>
      </c>
      <c r="K69"/>
      <c r="L69"/>
      <c r="M69"/>
    </row>
    <row r="70" spans="1:13" hidden="1">
      <c r="A70" s="2" t="s">
        <v>626</v>
      </c>
      <c r="B70" t="s">
        <v>1877</v>
      </c>
      <c r="C70" t="s">
        <v>1850</v>
      </c>
      <c r="D70" t="s">
        <v>1859</v>
      </c>
      <c r="K70"/>
      <c r="L70"/>
      <c r="M70"/>
    </row>
    <row r="71" spans="1:13" hidden="1">
      <c r="A71" s="2" t="s">
        <v>210</v>
      </c>
      <c r="B71" t="s">
        <v>1877</v>
      </c>
      <c r="C71" t="s">
        <v>1857</v>
      </c>
      <c r="D71" t="s">
        <v>1860</v>
      </c>
      <c r="K71"/>
      <c r="L71"/>
      <c r="M71"/>
    </row>
    <row r="72" spans="1:13" hidden="1">
      <c r="A72" s="2" t="s">
        <v>269</v>
      </c>
      <c r="B72" t="s">
        <v>1877</v>
      </c>
      <c r="C72" t="s">
        <v>1850</v>
      </c>
      <c r="D72" t="s">
        <v>1859</v>
      </c>
      <c r="K72"/>
      <c r="L72"/>
      <c r="M72"/>
    </row>
    <row r="73" spans="1:13" hidden="1">
      <c r="A73" s="2" t="s">
        <v>304</v>
      </c>
      <c r="B73" t="s">
        <v>1877</v>
      </c>
      <c r="C73" t="s">
        <v>1850</v>
      </c>
      <c r="D73" t="s">
        <v>1859</v>
      </c>
      <c r="K73"/>
      <c r="L73"/>
      <c r="M73"/>
    </row>
    <row r="74" spans="1:13" hidden="1">
      <c r="A74" s="2" t="s">
        <v>198</v>
      </c>
      <c r="B74" t="s">
        <v>1877</v>
      </c>
      <c r="C74" t="s">
        <v>1850</v>
      </c>
      <c r="D74" t="s">
        <v>1859</v>
      </c>
      <c r="K74"/>
      <c r="L74"/>
      <c r="M74"/>
    </row>
    <row r="75" spans="1:13" hidden="1">
      <c r="A75" s="2" t="s">
        <v>206</v>
      </c>
      <c r="B75" t="s">
        <v>1877</v>
      </c>
      <c r="C75" t="s">
        <v>1857</v>
      </c>
      <c r="D75" t="s">
        <v>1860</v>
      </c>
      <c r="K75"/>
      <c r="L75"/>
      <c r="M75"/>
    </row>
    <row r="76" spans="1:13" hidden="1">
      <c r="A76" s="2" t="s">
        <v>315</v>
      </c>
      <c r="B76" t="s">
        <v>1877</v>
      </c>
      <c r="C76" t="s">
        <v>1850</v>
      </c>
      <c r="D76" t="s">
        <v>1859</v>
      </c>
      <c r="K76"/>
      <c r="L76"/>
      <c r="M76"/>
    </row>
    <row r="77" spans="1:13" hidden="1">
      <c r="A77" s="2" t="s">
        <v>320</v>
      </c>
      <c r="B77" t="s">
        <v>1877</v>
      </c>
      <c r="C77" t="s">
        <v>1850</v>
      </c>
      <c r="D77" t="s">
        <v>1859</v>
      </c>
      <c r="K77"/>
      <c r="L77"/>
      <c r="M77"/>
    </row>
    <row r="78" spans="1:13" hidden="1">
      <c r="A78" s="2" t="s">
        <v>278</v>
      </c>
      <c r="B78" t="s">
        <v>1877</v>
      </c>
      <c r="C78" t="s">
        <v>1850</v>
      </c>
      <c r="D78" t="s">
        <v>1859</v>
      </c>
      <c r="K78"/>
      <c r="L78"/>
      <c r="M78"/>
    </row>
    <row r="79" spans="1:13" hidden="1">
      <c r="A79" s="2" t="s">
        <v>240</v>
      </c>
      <c r="B79" t="s">
        <v>1877</v>
      </c>
      <c r="C79" t="s">
        <v>1857</v>
      </c>
      <c r="D79" t="s">
        <v>1864</v>
      </c>
      <c r="K79"/>
      <c r="L79"/>
      <c r="M79"/>
    </row>
    <row r="80" spans="1:13" hidden="1">
      <c r="A80" s="2" t="s">
        <v>294</v>
      </c>
      <c r="B80" t="s">
        <v>1877</v>
      </c>
      <c r="C80" t="s">
        <v>1850</v>
      </c>
      <c r="D80" t="s">
        <v>1859</v>
      </c>
      <c r="K80"/>
      <c r="L80"/>
      <c r="M80"/>
    </row>
    <row r="81" spans="1:13" hidden="1">
      <c r="A81" s="2" t="s">
        <v>296</v>
      </c>
      <c r="B81" t="s">
        <v>1877</v>
      </c>
      <c r="C81" t="s">
        <v>1850</v>
      </c>
      <c r="D81" t="s">
        <v>1859</v>
      </c>
      <c r="K81"/>
      <c r="L81"/>
      <c r="M81"/>
    </row>
    <row r="82" spans="1:13" hidden="1">
      <c r="A82" s="2" t="s">
        <v>307</v>
      </c>
      <c r="B82" t="s">
        <v>1877</v>
      </c>
      <c r="C82" t="s">
        <v>1850</v>
      </c>
      <c r="D82" t="s">
        <v>1859</v>
      </c>
      <c r="K82"/>
      <c r="L82"/>
      <c r="M82"/>
    </row>
    <row r="83" spans="1:13" hidden="1">
      <c r="A83" s="2" t="s">
        <v>313</v>
      </c>
      <c r="B83" t="s">
        <v>1877</v>
      </c>
      <c r="C83" t="s">
        <v>1850</v>
      </c>
      <c r="D83" t="s">
        <v>1859</v>
      </c>
      <c r="K83"/>
      <c r="L83"/>
      <c r="M83"/>
    </row>
    <row r="84" spans="1:13" hidden="1">
      <c r="A84" s="2" t="s">
        <v>241</v>
      </c>
      <c r="B84" t="s">
        <v>1877</v>
      </c>
      <c r="C84" t="s">
        <v>1850</v>
      </c>
      <c r="D84" t="s">
        <v>1859</v>
      </c>
      <c r="K84"/>
      <c r="L84"/>
      <c r="M84"/>
    </row>
    <row r="85" spans="1:13" hidden="1">
      <c r="A85" s="2" t="s">
        <v>221</v>
      </c>
      <c r="B85" t="s">
        <v>1877</v>
      </c>
      <c r="C85" t="s">
        <v>1850</v>
      </c>
      <c r="D85" t="s">
        <v>1859</v>
      </c>
      <c r="K85"/>
      <c r="L85"/>
      <c r="M85"/>
    </row>
    <row r="86" spans="1:13" hidden="1">
      <c r="A86" s="2" t="s">
        <v>229</v>
      </c>
      <c r="B86" t="s">
        <v>1877</v>
      </c>
      <c r="C86" t="s">
        <v>1850</v>
      </c>
      <c r="D86" t="s">
        <v>1859</v>
      </c>
      <c r="K86"/>
      <c r="L86"/>
      <c r="M86"/>
    </row>
    <row r="87" spans="1:13" hidden="1">
      <c r="A87" s="2" t="s">
        <v>312</v>
      </c>
      <c r="B87" t="s">
        <v>1877</v>
      </c>
      <c r="C87" t="s">
        <v>1850</v>
      </c>
      <c r="D87" t="s">
        <v>1859</v>
      </c>
      <c r="K87"/>
      <c r="L87"/>
      <c r="M87"/>
    </row>
    <row r="88" spans="1:13" hidden="1">
      <c r="A88" s="2" t="s">
        <v>258</v>
      </c>
      <c r="B88" t="s">
        <v>1877</v>
      </c>
      <c r="C88" t="s">
        <v>1857</v>
      </c>
      <c r="D88" t="s">
        <v>1860</v>
      </c>
      <c r="K88"/>
      <c r="L88"/>
      <c r="M88"/>
    </row>
    <row r="89" spans="1:13" hidden="1">
      <c r="A89" s="2" t="s">
        <v>255</v>
      </c>
      <c r="B89" t="s">
        <v>1877</v>
      </c>
      <c r="C89" t="s">
        <v>1857</v>
      </c>
      <c r="D89" t="s">
        <v>1863</v>
      </c>
      <c r="K89"/>
      <c r="L89"/>
      <c r="M89"/>
    </row>
    <row r="90" spans="1:13" hidden="1">
      <c r="A90" s="2" t="s">
        <v>231</v>
      </c>
      <c r="B90" t="s">
        <v>1877</v>
      </c>
      <c r="C90" t="s">
        <v>1850</v>
      </c>
      <c r="D90" t="s">
        <v>1859</v>
      </c>
      <c r="K90"/>
      <c r="L90"/>
      <c r="M90"/>
    </row>
    <row r="91" spans="1:13" hidden="1">
      <c r="A91" s="2" t="s">
        <v>224</v>
      </c>
      <c r="B91" t="s">
        <v>1877</v>
      </c>
      <c r="C91" t="s">
        <v>1850</v>
      </c>
      <c r="D91" t="s">
        <v>1859</v>
      </c>
      <c r="K91"/>
      <c r="L91"/>
      <c r="M91"/>
    </row>
    <row r="92" spans="1:13" hidden="1">
      <c r="A92" s="2" t="s">
        <v>243</v>
      </c>
      <c r="B92" t="s">
        <v>1877</v>
      </c>
      <c r="C92" t="s">
        <v>1850</v>
      </c>
      <c r="D92" t="s">
        <v>1859</v>
      </c>
      <c r="K92"/>
      <c r="L92"/>
      <c r="M92"/>
    </row>
    <row r="93" spans="1:13" hidden="1">
      <c r="A93" s="2" t="s">
        <v>283</v>
      </c>
      <c r="B93" t="s">
        <v>1877</v>
      </c>
      <c r="C93" t="s">
        <v>1850</v>
      </c>
      <c r="D93" t="s">
        <v>1859</v>
      </c>
      <c r="K93"/>
      <c r="L93"/>
      <c r="M93"/>
    </row>
    <row r="94" spans="1:13" hidden="1">
      <c r="A94" s="2" t="s">
        <v>310</v>
      </c>
      <c r="B94" t="s">
        <v>1877</v>
      </c>
      <c r="C94" t="s">
        <v>1850</v>
      </c>
      <c r="D94" t="s">
        <v>1859</v>
      </c>
      <c r="K94"/>
      <c r="L94"/>
      <c r="M94"/>
    </row>
    <row r="95" spans="1:13" hidden="1">
      <c r="A95" s="2" t="s">
        <v>317</v>
      </c>
      <c r="B95" t="s">
        <v>1877</v>
      </c>
      <c r="C95" t="s">
        <v>1850</v>
      </c>
      <c r="D95" t="s">
        <v>1859</v>
      </c>
      <c r="K95"/>
      <c r="L95"/>
      <c r="M95"/>
    </row>
    <row r="96" spans="1:13" hidden="1">
      <c r="A96" s="2" t="s">
        <v>299</v>
      </c>
      <c r="B96" t="s">
        <v>1877</v>
      </c>
      <c r="C96" t="s">
        <v>1850</v>
      </c>
      <c r="D96" t="s">
        <v>1859</v>
      </c>
      <c r="K96"/>
      <c r="L96"/>
      <c r="M96"/>
    </row>
    <row r="97" spans="1:13" hidden="1">
      <c r="A97" s="2" t="s">
        <v>276</v>
      </c>
      <c r="B97" t="s">
        <v>1877</v>
      </c>
      <c r="C97" t="s">
        <v>1850</v>
      </c>
      <c r="D97" t="s">
        <v>1859</v>
      </c>
      <c r="K97"/>
      <c r="L97"/>
      <c r="M97"/>
    </row>
    <row r="98" spans="1:13" hidden="1">
      <c r="A98" s="2" t="s">
        <v>318</v>
      </c>
      <c r="B98" t="s">
        <v>1877</v>
      </c>
      <c r="C98" t="s">
        <v>1850</v>
      </c>
      <c r="D98" t="s">
        <v>1859</v>
      </c>
      <c r="K98"/>
      <c r="L98"/>
      <c r="M98"/>
    </row>
    <row r="99" spans="1:13" hidden="1">
      <c r="A99" s="2" t="s">
        <v>289</v>
      </c>
      <c r="B99" t="s">
        <v>1877</v>
      </c>
      <c r="C99" t="s">
        <v>1850</v>
      </c>
      <c r="D99" t="s">
        <v>1859</v>
      </c>
      <c r="K99"/>
      <c r="L99"/>
      <c r="M99"/>
    </row>
    <row r="100" spans="1:13" hidden="1">
      <c r="A100" s="2" t="s">
        <v>271</v>
      </c>
      <c r="B100" t="s">
        <v>1877</v>
      </c>
      <c r="C100" t="s">
        <v>1850</v>
      </c>
      <c r="D100" t="s">
        <v>1859</v>
      </c>
      <c r="K100"/>
      <c r="L100"/>
      <c r="M100"/>
    </row>
    <row r="101" spans="1:13" hidden="1">
      <c r="A101" s="2" t="s">
        <v>237</v>
      </c>
      <c r="B101" t="s">
        <v>1877</v>
      </c>
      <c r="C101" t="s">
        <v>1850</v>
      </c>
      <c r="D101" t="s">
        <v>1859</v>
      </c>
      <c r="K101"/>
      <c r="L101"/>
      <c r="M101"/>
    </row>
    <row r="102" spans="1:13" hidden="1">
      <c r="A102" s="2" t="s">
        <v>200</v>
      </c>
      <c r="B102" t="s">
        <v>1877</v>
      </c>
      <c r="C102" t="s">
        <v>1850</v>
      </c>
      <c r="D102" t="s">
        <v>1859</v>
      </c>
      <c r="K102"/>
      <c r="L102"/>
      <c r="M102"/>
    </row>
    <row r="103" spans="1:13" hidden="1">
      <c r="A103" s="2" t="s">
        <v>301</v>
      </c>
      <c r="B103" t="s">
        <v>1877</v>
      </c>
      <c r="C103" t="s">
        <v>1850</v>
      </c>
      <c r="D103" t="s">
        <v>1859</v>
      </c>
      <c r="K103"/>
      <c r="L103"/>
      <c r="M103"/>
    </row>
    <row r="104" spans="1:13" hidden="1">
      <c r="A104" s="2" t="s">
        <v>303</v>
      </c>
      <c r="B104" t="s">
        <v>1877</v>
      </c>
      <c r="C104" t="s">
        <v>1850</v>
      </c>
      <c r="D104" t="s">
        <v>1859</v>
      </c>
      <c r="K104"/>
      <c r="L104"/>
      <c r="M104"/>
    </row>
    <row r="105" spans="1:13" hidden="1">
      <c r="A105" s="2" t="s">
        <v>246</v>
      </c>
      <c r="B105" t="s">
        <v>1877</v>
      </c>
      <c r="C105" t="s">
        <v>1850</v>
      </c>
      <c r="D105" t="s">
        <v>1859</v>
      </c>
      <c r="K105"/>
      <c r="L105"/>
      <c r="M105"/>
    </row>
    <row r="106" spans="1:13" hidden="1">
      <c r="A106" s="2" t="s">
        <v>228</v>
      </c>
      <c r="B106" t="s">
        <v>1877</v>
      </c>
      <c r="C106" t="s">
        <v>1857</v>
      </c>
      <c r="D106" t="s">
        <v>1860</v>
      </c>
      <c r="K106"/>
      <c r="L106"/>
      <c r="M106"/>
    </row>
    <row r="107" spans="1:13" hidden="1">
      <c r="A107" s="2" t="s">
        <v>281</v>
      </c>
      <c r="B107" t="s">
        <v>1877</v>
      </c>
      <c r="C107" t="s">
        <v>1850</v>
      </c>
      <c r="D107" t="s">
        <v>1859</v>
      </c>
      <c r="K107"/>
      <c r="L107"/>
      <c r="M107"/>
    </row>
    <row r="108" spans="1:13" hidden="1">
      <c r="A108" s="2" t="s">
        <v>249</v>
      </c>
      <c r="B108" t="s">
        <v>1877</v>
      </c>
      <c r="C108" t="s">
        <v>1850</v>
      </c>
      <c r="D108" t="s">
        <v>1859</v>
      </c>
      <c r="K108"/>
      <c r="L108"/>
      <c r="M108"/>
    </row>
    <row r="109" spans="1:13" hidden="1">
      <c r="A109" s="2" t="s">
        <v>250</v>
      </c>
      <c r="B109" t="s">
        <v>1877</v>
      </c>
      <c r="C109" t="s">
        <v>1850</v>
      </c>
      <c r="D109" t="s">
        <v>1859</v>
      </c>
      <c r="K109"/>
      <c r="L109"/>
      <c r="M109"/>
    </row>
    <row r="110" spans="1:13" hidden="1">
      <c r="A110" s="2" t="s">
        <v>322</v>
      </c>
      <c r="B110" t="s">
        <v>1877</v>
      </c>
      <c r="C110" t="s">
        <v>1850</v>
      </c>
      <c r="D110" t="s">
        <v>1859</v>
      </c>
      <c r="K110"/>
      <c r="L110"/>
      <c r="M110"/>
    </row>
    <row r="111" spans="1:13" hidden="1">
      <c r="A111" s="2" t="s">
        <v>263</v>
      </c>
      <c r="B111" t="s">
        <v>1877</v>
      </c>
      <c r="C111" t="s">
        <v>1857</v>
      </c>
      <c r="D111" t="s">
        <v>1860</v>
      </c>
      <c r="K111"/>
      <c r="L111"/>
      <c r="M111"/>
    </row>
    <row r="112" spans="1:13" hidden="1">
      <c r="A112" s="2" t="s">
        <v>260</v>
      </c>
      <c r="B112" t="s">
        <v>1877</v>
      </c>
      <c r="C112" t="s">
        <v>1857</v>
      </c>
      <c r="D112" t="s">
        <v>1860</v>
      </c>
      <c r="K112"/>
      <c r="L112"/>
      <c r="M112"/>
    </row>
    <row r="113" spans="1:13" hidden="1">
      <c r="A113" s="2" t="s">
        <v>309</v>
      </c>
      <c r="B113" t="s">
        <v>1877</v>
      </c>
      <c r="C113" t="s">
        <v>1851</v>
      </c>
      <c r="D113" t="s">
        <v>1859</v>
      </c>
      <c r="K113"/>
      <c r="L113"/>
      <c r="M113"/>
    </row>
    <row r="114" spans="1:13" hidden="1">
      <c r="A114" s="2" t="s">
        <v>308</v>
      </c>
      <c r="B114" t="s">
        <v>1877</v>
      </c>
      <c r="C114" t="s">
        <v>1852</v>
      </c>
      <c r="D114" t="s">
        <v>1859</v>
      </c>
      <c r="K114"/>
      <c r="L114"/>
      <c r="M114"/>
    </row>
    <row r="115" spans="1:13" hidden="1">
      <c r="A115" s="2" t="s">
        <v>305</v>
      </c>
      <c r="B115" t="s">
        <v>1877</v>
      </c>
      <c r="C115" t="s">
        <v>1850</v>
      </c>
      <c r="D115" t="s">
        <v>1859</v>
      </c>
      <c r="K115"/>
      <c r="L115"/>
      <c r="M115"/>
    </row>
    <row r="116" spans="1:13" hidden="1">
      <c r="A116" s="2" t="s">
        <v>252</v>
      </c>
      <c r="B116" t="s">
        <v>1877</v>
      </c>
      <c r="C116" t="s">
        <v>1850</v>
      </c>
      <c r="D116" t="s">
        <v>1859</v>
      </c>
      <c r="K116"/>
      <c r="L116"/>
      <c r="M116"/>
    </row>
    <row r="117" spans="1:13" hidden="1">
      <c r="A117" s="2" t="s">
        <v>208</v>
      </c>
      <c r="B117" t="s">
        <v>1877</v>
      </c>
      <c r="C117" t="s">
        <v>1850</v>
      </c>
      <c r="D117" t="s">
        <v>1859</v>
      </c>
      <c r="K117"/>
      <c r="L117"/>
      <c r="M117"/>
    </row>
    <row r="118" spans="1:13" hidden="1">
      <c r="A118" s="2" t="s">
        <v>323</v>
      </c>
      <c r="B118" t="s">
        <v>1877</v>
      </c>
      <c r="C118" t="s">
        <v>1850</v>
      </c>
      <c r="D118" t="s">
        <v>1859</v>
      </c>
      <c r="K118"/>
      <c r="L118"/>
      <c r="M118"/>
    </row>
    <row r="119" spans="1:13" hidden="1">
      <c r="A119" s="2" t="s">
        <v>218</v>
      </c>
      <c r="B119" t="s">
        <v>1877</v>
      </c>
      <c r="C119" t="s">
        <v>1850</v>
      </c>
      <c r="D119" t="s">
        <v>1859</v>
      </c>
      <c r="K119"/>
      <c r="L119"/>
      <c r="M119"/>
    </row>
    <row r="120" spans="1:13" hidden="1">
      <c r="A120" s="2" t="s">
        <v>245</v>
      </c>
      <c r="B120" t="s">
        <v>1877</v>
      </c>
      <c r="C120" t="s">
        <v>1857</v>
      </c>
      <c r="D120" t="s">
        <v>1864</v>
      </c>
      <c r="K120"/>
      <c r="L120"/>
      <c r="M120"/>
    </row>
    <row r="121" spans="1:13" hidden="1">
      <c r="A121" s="2" t="s">
        <v>936</v>
      </c>
      <c r="B121" t="s">
        <v>1877</v>
      </c>
      <c r="C121" t="s">
        <v>1857</v>
      </c>
      <c r="D121" t="s">
        <v>1864</v>
      </c>
      <c r="K121"/>
      <c r="L121"/>
      <c r="M121"/>
    </row>
    <row r="122" spans="1:13" hidden="1">
      <c r="A122" s="2" t="s">
        <v>203</v>
      </c>
      <c r="B122" t="s">
        <v>1877</v>
      </c>
      <c r="C122" t="s">
        <v>1851</v>
      </c>
      <c r="D122" t="s">
        <v>1860</v>
      </c>
      <c r="K122"/>
      <c r="L122"/>
      <c r="M122"/>
    </row>
    <row r="123" spans="1:13" hidden="1">
      <c r="A123" s="2" t="s">
        <v>197</v>
      </c>
      <c r="B123" t="s">
        <v>1877</v>
      </c>
      <c r="C123" t="s">
        <v>1850</v>
      </c>
      <c r="D123" t="s">
        <v>1859</v>
      </c>
      <c r="K123"/>
      <c r="L123"/>
      <c r="M123"/>
    </row>
    <row r="124" spans="1:13" hidden="1">
      <c r="A124" s="2" t="s">
        <v>285</v>
      </c>
      <c r="B124" t="s">
        <v>1877</v>
      </c>
      <c r="C124" t="s">
        <v>1850</v>
      </c>
      <c r="D124" t="s">
        <v>1859</v>
      </c>
      <c r="K124"/>
      <c r="L124"/>
      <c r="M124"/>
    </row>
    <row r="125" spans="1:13" hidden="1">
      <c r="A125" s="2" t="s">
        <v>262</v>
      </c>
      <c r="B125" t="s">
        <v>1877</v>
      </c>
      <c r="C125" t="s">
        <v>1850</v>
      </c>
      <c r="D125" t="s">
        <v>1859</v>
      </c>
      <c r="K125"/>
      <c r="L125"/>
      <c r="M125"/>
    </row>
    <row r="126" spans="1:13" hidden="1">
      <c r="A126" s="2" t="s">
        <v>207</v>
      </c>
      <c r="B126" t="s">
        <v>1877</v>
      </c>
      <c r="C126" t="s">
        <v>1851</v>
      </c>
      <c r="D126" t="s">
        <v>1860</v>
      </c>
      <c r="K126"/>
      <c r="L126"/>
      <c r="M126"/>
    </row>
    <row r="127" spans="1:13" hidden="1">
      <c r="A127" s="2" t="s">
        <v>265</v>
      </c>
      <c r="B127" t="s">
        <v>1877</v>
      </c>
      <c r="C127" t="s">
        <v>1850</v>
      </c>
      <c r="D127" t="s">
        <v>1859</v>
      </c>
      <c r="K127"/>
      <c r="L127"/>
      <c r="M127"/>
    </row>
    <row r="128" spans="1:13" hidden="1">
      <c r="A128" s="2" t="s">
        <v>261</v>
      </c>
      <c r="B128" t="s">
        <v>1877</v>
      </c>
      <c r="C128" t="s">
        <v>1850</v>
      </c>
      <c r="D128" t="s">
        <v>1859</v>
      </c>
      <c r="K128"/>
      <c r="L128"/>
      <c r="M128"/>
    </row>
    <row r="129" spans="1:13" hidden="1">
      <c r="A129" s="2" t="s">
        <v>234</v>
      </c>
      <c r="B129" t="s">
        <v>1877</v>
      </c>
      <c r="C129" t="s">
        <v>1853</v>
      </c>
      <c r="D129" t="s">
        <v>1859</v>
      </c>
      <c r="K129"/>
      <c r="L129"/>
      <c r="M129"/>
    </row>
    <row r="130" spans="1:13" hidden="1">
      <c r="A130" s="2" t="s">
        <v>204</v>
      </c>
      <c r="B130" t="s">
        <v>1877</v>
      </c>
      <c r="C130" t="s">
        <v>1851</v>
      </c>
      <c r="D130" t="s">
        <v>1860</v>
      </c>
      <c r="K130"/>
      <c r="L130"/>
      <c r="M130"/>
    </row>
    <row r="131" spans="1:13" hidden="1">
      <c r="A131" s="2" t="s">
        <v>202</v>
      </c>
      <c r="B131" t="s">
        <v>1877</v>
      </c>
      <c r="C131" t="s">
        <v>1850</v>
      </c>
      <c r="D131" t="s">
        <v>1859</v>
      </c>
      <c r="K131"/>
      <c r="L131"/>
      <c r="M131"/>
    </row>
    <row r="132" spans="1:13" hidden="1">
      <c r="A132" s="2" t="s">
        <v>275</v>
      </c>
      <c r="B132" t="s">
        <v>1877</v>
      </c>
      <c r="C132" t="s">
        <v>1850</v>
      </c>
      <c r="D132" t="s">
        <v>1859</v>
      </c>
      <c r="K132"/>
      <c r="L132"/>
      <c r="M132"/>
    </row>
    <row r="133" spans="1:13" hidden="1">
      <c r="A133" s="2" t="s">
        <v>521</v>
      </c>
      <c r="B133" t="s">
        <v>1877</v>
      </c>
      <c r="C133" t="s">
        <v>1854</v>
      </c>
      <c r="D133" t="s">
        <v>1859</v>
      </c>
      <c r="K133"/>
      <c r="L133"/>
      <c r="M133"/>
    </row>
    <row r="134" spans="1:13" hidden="1">
      <c r="A134" s="2" t="s">
        <v>526</v>
      </c>
      <c r="B134" t="s">
        <v>1877</v>
      </c>
      <c r="C134" t="s">
        <v>1854</v>
      </c>
      <c r="D134" t="s">
        <v>1859</v>
      </c>
      <c r="K134"/>
      <c r="L134"/>
      <c r="M134"/>
    </row>
    <row r="135" spans="1:13" hidden="1">
      <c r="A135" s="2" t="s">
        <v>498</v>
      </c>
      <c r="B135" t="s">
        <v>1877</v>
      </c>
      <c r="C135" t="s">
        <v>1854</v>
      </c>
      <c r="D135" t="s">
        <v>1859</v>
      </c>
      <c r="K135"/>
      <c r="L135"/>
      <c r="M135"/>
    </row>
    <row r="136" spans="1:13" hidden="1">
      <c r="A136" s="2" t="s">
        <v>480</v>
      </c>
      <c r="B136" t="s">
        <v>1877</v>
      </c>
      <c r="C136" t="s">
        <v>1854</v>
      </c>
      <c r="D136" t="s">
        <v>1859</v>
      </c>
      <c r="K136"/>
      <c r="L136"/>
      <c r="M136"/>
    </row>
    <row r="137" spans="1:13" hidden="1">
      <c r="A137" s="2" t="s">
        <v>509</v>
      </c>
      <c r="B137" t="s">
        <v>1877</v>
      </c>
      <c r="C137" t="s">
        <v>1854</v>
      </c>
      <c r="D137" t="s">
        <v>1859</v>
      </c>
      <c r="K137"/>
      <c r="L137"/>
      <c r="M137"/>
    </row>
    <row r="138" spans="1:13" hidden="1">
      <c r="A138" s="2" t="s">
        <v>483</v>
      </c>
      <c r="B138" t="s">
        <v>1877</v>
      </c>
      <c r="C138" t="s">
        <v>1854</v>
      </c>
      <c r="D138" t="s">
        <v>1859</v>
      </c>
      <c r="K138"/>
      <c r="L138"/>
      <c r="M138"/>
    </row>
    <row r="139" spans="1:13" hidden="1">
      <c r="A139" s="2" t="s">
        <v>524</v>
      </c>
      <c r="B139" t="s">
        <v>1877</v>
      </c>
      <c r="C139" t="s">
        <v>1854</v>
      </c>
      <c r="D139" t="s">
        <v>1859</v>
      </c>
      <c r="K139"/>
      <c r="L139"/>
      <c r="M139"/>
    </row>
    <row r="140" spans="1:13" hidden="1">
      <c r="A140" s="2" t="s">
        <v>508</v>
      </c>
      <c r="B140" t="s">
        <v>1877</v>
      </c>
      <c r="C140" t="s">
        <v>1854</v>
      </c>
      <c r="D140" t="s">
        <v>1859</v>
      </c>
      <c r="K140"/>
      <c r="L140"/>
      <c r="M140"/>
    </row>
    <row r="141" spans="1:13" hidden="1">
      <c r="A141" s="2" t="s">
        <v>497</v>
      </c>
      <c r="B141" t="s">
        <v>1877</v>
      </c>
      <c r="C141" t="s">
        <v>1854</v>
      </c>
      <c r="D141" t="s">
        <v>1859</v>
      </c>
      <c r="K141"/>
      <c r="L141"/>
      <c r="M141"/>
    </row>
    <row r="142" spans="1:13" hidden="1">
      <c r="A142" s="2" t="s">
        <v>516</v>
      </c>
      <c r="B142" t="s">
        <v>1877</v>
      </c>
      <c r="C142" t="s">
        <v>1854</v>
      </c>
      <c r="D142" t="s">
        <v>1859</v>
      </c>
      <c r="K142"/>
      <c r="L142"/>
      <c r="M142"/>
    </row>
    <row r="143" spans="1:13" hidden="1">
      <c r="A143" s="2" t="s">
        <v>514</v>
      </c>
      <c r="B143" t="s">
        <v>1877</v>
      </c>
      <c r="C143" t="s">
        <v>1854</v>
      </c>
      <c r="D143" t="s">
        <v>1859</v>
      </c>
      <c r="K143"/>
      <c r="L143"/>
      <c r="M143"/>
    </row>
    <row r="144" spans="1:13" hidden="1">
      <c r="A144" s="2" t="s">
        <v>486</v>
      </c>
      <c r="B144" t="s">
        <v>1877</v>
      </c>
      <c r="C144" t="s">
        <v>1854</v>
      </c>
      <c r="D144" t="s">
        <v>1859</v>
      </c>
      <c r="K144"/>
      <c r="L144"/>
      <c r="M144"/>
    </row>
    <row r="145" spans="1:13" hidden="1">
      <c r="A145" s="2" t="s">
        <v>525</v>
      </c>
      <c r="B145" t="s">
        <v>1877</v>
      </c>
      <c r="C145" t="s">
        <v>1854</v>
      </c>
      <c r="D145" t="s">
        <v>1859</v>
      </c>
      <c r="K145"/>
      <c r="L145"/>
      <c r="M145"/>
    </row>
    <row r="146" spans="1:13" hidden="1">
      <c r="A146" s="2" t="s">
        <v>489</v>
      </c>
      <c r="B146" t="s">
        <v>1877</v>
      </c>
      <c r="C146" t="s">
        <v>1854</v>
      </c>
      <c r="D146" t="s">
        <v>1859</v>
      </c>
      <c r="K146"/>
      <c r="L146"/>
      <c r="M146"/>
    </row>
    <row r="147" spans="1:13" hidden="1">
      <c r="A147" s="2" t="s">
        <v>513</v>
      </c>
      <c r="B147" t="s">
        <v>1877</v>
      </c>
      <c r="C147" t="s">
        <v>1854</v>
      </c>
      <c r="D147" t="s">
        <v>1859</v>
      </c>
      <c r="K147"/>
      <c r="L147"/>
      <c r="M147"/>
    </row>
    <row r="148" spans="1:13" hidden="1">
      <c r="A148" s="2" t="s">
        <v>501</v>
      </c>
      <c r="B148" t="s">
        <v>1877</v>
      </c>
      <c r="C148" t="s">
        <v>1854</v>
      </c>
      <c r="D148" t="s">
        <v>1859</v>
      </c>
      <c r="K148"/>
      <c r="L148"/>
      <c r="M148"/>
    </row>
    <row r="149" spans="1:13" hidden="1">
      <c r="A149" s="2" t="s">
        <v>504</v>
      </c>
      <c r="B149" t="s">
        <v>1877</v>
      </c>
      <c r="C149" t="s">
        <v>1854</v>
      </c>
      <c r="D149" t="s">
        <v>1859</v>
      </c>
      <c r="K149"/>
      <c r="L149"/>
      <c r="M149"/>
    </row>
    <row r="150" spans="1:13" hidden="1">
      <c r="A150" s="2" t="s">
        <v>481</v>
      </c>
      <c r="B150" t="s">
        <v>1877</v>
      </c>
      <c r="C150" t="s">
        <v>1854</v>
      </c>
      <c r="D150" t="s">
        <v>1859</v>
      </c>
      <c r="K150"/>
      <c r="L150"/>
      <c r="M150"/>
    </row>
    <row r="151" spans="1:13" hidden="1">
      <c r="A151" s="2" t="s">
        <v>495</v>
      </c>
      <c r="B151" t="s">
        <v>1877</v>
      </c>
      <c r="C151" t="s">
        <v>1854</v>
      </c>
      <c r="D151" t="s">
        <v>1859</v>
      </c>
      <c r="K151"/>
      <c r="L151"/>
      <c r="M151"/>
    </row>
    <row r="152" spans="1:13" hidden="1">
      <c r="A152" s="2" t="s">
        <v>500</v>
      </c>
      <c r="B152" t="s">
        <v>1877</v>
      </c>
      <c r="C152" t="s">
        <v>1854</v>
      </c>
      <c r="D152" t="s">
        <v>1859</v>
      </c>
      <c r="K152"/>
      <c r="L152"/>
      <c r="M152"/>
    </row>
    <row r="153" spans="1:13" hidden="1">
      <c r="A153" s="2" t="s">
        <v>518</v>
      </c>
      <c r="B153" t="s">
        <v>1877</v>
      </c>
      <c r="C153" t="s">
        <v>1854</v>
      </c>
      <c r="D153" t="s">
        <v>1859</v>
      </c>
      <c r="K153"/>
      <c r="L153"/>
      <c r="M153"/>
    </row>
    <row r="154" spans="1:13" hidden="1">
      <c r="A154" s="2" t="s">
        <v>517</v>
      </c>
      <c r="B154" t="s">
        <v>1877</v>
      </c>
      <c r="C154" t="s">
        <v>1854</v>
      </c>
      <c r="D154" t="s">
        <v>1859</v>
      </c>
      <c r="K154"/>
      <c r="L154"/>
      <c r="M154"/>
    </row>
    <row r="155" spans="1:13" hidden="1">
      <c r="A155" s="2" t="s">
        <v>493</v>
      </c>
      <c r="B155" t="s">
        <v>1877</v>
      </c>
      <c r="C155" t="s">
        <v>1854</v>
      </c>
      <c r="D155" t="s">
        <v>1859</v>
      </c>
      <c r="K155"/>
      <c r="L155"/>
      <c r="M155"/>
    </row>
    <row r="156" spans="1:13" hidden="1">
      <c r="A156" s="2" t="s">
        <v>520</v>
      </c>
      <c r="B156" t="s">
        <v>1877</v>
      </c>
      <c r="C156" t="s">
        <v>1854</v>
      </c>
      <c r="D156" t="s">
        <v>1859</v>
      </c>
      <c r="K156"/>
      <c r="L156"/>
      <c r="M156"/>
    </row>
    <row r="157" spans="1:13" hidden="1">
      <c r="A157" s="2" t="s">
        <v>494</v>
      </c>
      <c r="B157" t="s">
        <v>1877</v>
      </c>
      <c r="C157" t="s">
        <v>1854</v>
      </c>
      <c r="D157" t="s">
        <v>1859</v>
      </c>
      <c r="K157"/>
      <c r="L157"/>
      <c r="M157"/>
    </row>
    <row r="158" spans="1:13" hidden="1">
      <c r="A158" s="2" t="s">
        <v>478</v>
      </c>
      <c r="B158" t="s">
        <v>1877</v>
      </c>
      <c r="C158" t="s">
        <v>1854</v>
      </c>
      <c r="D158" t="s">
        <v>1859</v>
      </c>
      <c r="K158"/>
      <c r="L158"/>
      <c r="M158"/>
    </row>
    <row r="159" spans="1:13" hidden="1">
      <c r="A159" s="2" t="s">
        <v>482</v>
      </c>
      <c r="B159" t="s">
        <v>1877</v>
      </c>
      <c r="C159" t="s">
        <v>1854</v>
      </c>
      <c r="D159" t="s">
        <v>1859</v>
      </c>
      <c r="K159"/>
      <c r="L159"/>
      <c r="M159"/>
    </row>
    <row r="160" spans="1:13" hidden="1">
      <c r="A160" s="2" t="s">
        <v>484</v>
      </c>
      <c r="B160" t="s">
        <v>1877</v>
      </c>
      <c r="C160" t="s">
        <v>1854</v>
      </c>
      <c r="D160" t="s">
        <v>1859</v>
      </c>
      <c r="K160"/>
      <c r="L160"/>
      <c r="M160"/>
    </row>
    <row r="161" spans="1:13" hidden="1">
      <c r="A161" s="2" t="s">
        <v>523</v>
      </c>
      <c r="B161" t="s">
        <v>1877</v>
      </c>
      <c r="C161" t="s">
        <v>1854</v>
      </c>
      <c r="D161" t="s">
        <v>1859</v>
      </c>
      <c r="K161"/>
      <c r="L161"/>
      <c r="M161"/>
    </row>
    <row r="162" spans="1:13" hidden="1">
      <c r="A162" s="2" t="s">
        <v>506</v>
      </c>
      <c r="B162" t="s">
        <v>1877</v>
      </c>
      <c r="C162" t="s">
        <v>1854</v>
      </c>
      <c r="D162" t="s">
        <v>1859</v>
      </c>
      <c r="K162"/>
      <c r="L162"/>
      <c r="M162"/>
    </row>
    <row r="163" spans="1:13" hidden="1">
      <c r="A163" s="2" t="s">
        <v>507</v>
      </c>
      <c r="B163" t="s">
        <v>1877</v>
      </c>
      <c r="C163" t="s">
        <v>1854</v>
      </c>
      <c r="D163" t="s">
        <v>1859</v>
      </c>
      <c r="K163"/>
      <c r="L163"/>
      <c r="M163"/>
    </row>
    <row r="164" spans="1:13" hidden="1">
      <c r="A164" s="2" t="s">
        <v>527</v>
      </c>
      <c r="B164" t="s">
        <v>1877</v>
      </c>
      <c r="C164" t="s">
        <v>1854</v>
      </c>
      <c r="D164" t="s">
        <v>1859</v>
      </c>
      <c r="K164"/>
      <c r="L164"/>
      <c r="M164"/>
    </row>
    <row r="165" spans="1:13" hidden="1">
      <c r="A165" s="2" t="s">
        <v>503</v>
      </c>
      <c r="B165" t="s">
        <v>1877</v>
      </c>
      <c r="C165" t="s">
        <v>1854</v>
      </c>
      <c r="D165" t="s">
        <v>1859</v>
      </c>
      <c r="K165"/>
      <c r="L165"/>
      <c r="M165"/>
    </row>
    <row r="166" spans="1:13" hidden="1">
      <c r="A166" s="2" t="s">
        <v>510</v>
      </c>
      <c r="B166" t="s">
        <v>1877</v>
      </c>
      <c r="C166" t="s">
        <v>1854</v>
      </c>
      <c r="D166" t="s">
        <v>1859</v>
      </c>
      <c r="K166"/>
      <c r="L166"/>
      <c r="M166"/>
    </row>
    <row r="167" spans="1:13" hidden="1">
      <c r="A167" s="2" t="s">
        <v>519</v>
      </c>
      <c r="B167" t="s">
        <v>1877</v>
      </c>
      <c r="C167" t="s">
        <v>1854</v>
      </c>
      <c r="D167" t="s">
        <v>1859</v>
      </c>
      <c r="K167"/>
      <c r="L167"/>
      <c r="M167"/>
    </row>
    <row r="168" spans="1:13" hidden="1">
      <c r="A168" s="2" t="s">
        <v>485</v>
      </c>
      <c r="B168" t="s">
        <v>1877</v>
      </c>
      <c r="C168" t="s">
        <v>1854</v>
      </c>
      <c r="D168" t="s">
        <v>1859</v>
      </c>
      <c r="K168"/>
      <c r="L168"/>
      <c r="M168"/>
    </row>
    <row r="169" spans="1:13" hidden="1">
      <c r="A169" s="2" t="s">
        <v>496</v>
      </c>
      <c r="B169" t="s">
        <v>1877</v>
      </c>
      <c r="C169" t="s">
        <v>1854</v>
      </c>
      <c r="D169" t="s">
        <v>1859</v>
      </c>
      <c r="K169"/>
      <c r="L169"/>
      <c r="M169"/>
    </row>
    <row r="170" spans="1:13" hidden="1">
      <c r="A170" s="2" t="s">
        <v>528</v>
      </c>
      <c r="B170" t="s">
        <v>1877</v>
      </c>
      <c r="C170" t="s">
        <v>1854</v>
      </c>
      <c r="D170" t="s">
        <v>1859</v>
      </c>
      <c r="K170"/>
      <c r="L170"/>
      <c r="M170"/>
    </row>
    <row r="171" spans="1:13" hidden="1">
      <c r="A171" s="2" t="s">
        <v>529</v>
      </c>
      <c r="B171" t="s">
        <v>1877</v>
      </c>
      <c r="C171" t="s">
        <v>1854</v>
      </c>
      <c r="D171" t="s">
        <v>1859</v>
      </c>
      <c r="K171"/>
      <c r="L171"/>
      <c r="M171"/>
    </row>
    <row r="172" spans="1:13" hidden="1">
      <c r="A172" s="2" t="s">
        <v>499</v>
      </c>
      <c r="B172" t="s">
        <v>1877</v>
      </c>
      <c r="C172" t="s">
        <v>1854</v>
      </c>
      <c r="D172" t="s">
        <v>1859</v>
      </c>
      <c r="K172"/>
      <c r="L172"/>
      <c r="M172"/>
    </row>
    <row r="173" spans="1:13" hidden="1">
      <c r="A173" s="2" t="s">
        <v>487</v>
      </c>
      <c r="B173" t="s">
        <v>1877</v>
      </c>
      <c r="C173" t="s">
        <v>1854</v>
      </c>
      <c r="D173" t="s">
        <v>1859</v>
      </c>
      <c r="K173"/>
      <c r="L173"/>
      <c r="M173"/>
    </row>
    <row r="174" spans="1:13" hidden="1">
      <c r="A174" s="2" t="s">
        <v>512</v>
      </c>
      <c r="B174" t="s">
        <v>1877</v>
      </c>
      <c r="C174" t="s">
        <v>1854</v>
      </c>
      <c r="D174" t="s">
        <v>1859</v>
      </c>
      <c r="K174"/>
      <c r="L174"/>
      <c r="M174"/>
    </row>
    <row r="175" spans="1:13" hidden="1">
      <c r="A175" s="2" t="s">
        <v>530</v>
      </c>
      <c r="B175" t="s">
        <v>1877</v>
      </c>
      <c r="C175" t="s">
        <v>1854</v>
      </c>
      <c r="D175" t="s">
        <v>1859</v>
      </c>
      <c r="K175"/>
      <c r="L175"/>
      <c r="M175"/>
    </row>
    <row r="176" spans="1:13" hidden="1">
      <c r="A176" s="2" t="s">
        <v>491</v>
      </c>
      <c r="B176" t="s">
        <v>1877</v>
      </c>
      <c r="C176" t="s">
        <v>1854</v>
      </c>
      <c r="D176" t="s">
        <v>1859</v>
      </c>
      <c r="K176"/>
      <c r="L176"/>
      <c r="M176"/>
    </row>
    <row r="177" spans="1:13" hidden="1">
      <c r="A177" s="2" t="s">
        <v>511</v>
      </c>
      <c r="B177" t="s">
        <v>1877</v>
      </c>
      <c r="C177" t="s">
        <v>1854</v>
      </c>
      <c r="D177" t="s">
        <v>1859</v>
      </c>
      <c r="K177"/>
      <c r="L177"/>
      <c r="M177"/>
    </row>
    <row r="178" spans="1:13" hidden="1">
      <c r="A178" s="2" t="s">
        <v>490</v>
      </c>
      <c r="B178" t="s">
        <v>1877</v>
      </c>
      <c r="C178" t="s">
        <v>1854</v>
      </c>
      <c r="D178" t="s">
        <v>1859</v>
      </c>
      <c r="K178"/>
      <c r="L178"/>
      <c r="M178"/>
    </row>
    <row r="179" spans="1:13" hidden="1">
      <c r="A179" s="2" t="s">
        <v>522</v>
      </c>
      <c r="B179" t="s">
        <v>1877</v>
      </c>
      <c r="C179" t="s">
        <v>1854</v>
      </c>
      <c r="D179" t="s">
        <v>1859</v>
      </c>
      <c r="K179"/>
      <c r="L179"/>
      <c r="M179"/>
    </row>
    <row r="180" spans="1:13" hidden="1">
      <c r="A180" s="2" t="s">
        <v>502</v>
      </c>
      <c r="B180" t="s">
        <v>1877</v>
      </c>
      <c r="C180" t="s">
        <v>1854</v>
      </c>
      <c r="D180" t="s">
        <v>1859</v>
      </c>
      <c r="K180"/>
      <c r="L180"/>
      <c r="M180"/>
    </row>
    <row r="181" spans="1:13" hidden="1">
      <c r="A181" s="2" t="s">
        <v>505</v>
      </c>
      <c r="B181" t="s">
        <v>1877</v>
      </c>
      <c r="C181" t="s">
        <v>1854</v>
      </c>
      <c r="D181" t="s">
        <v>1859</v>
      </c>
      <c r="K181"/>
      <c r="L181"/>
      <c r="M181"/>
    </row>
    <row r="182" spans="1:13" hidden="1">
      <c r="A182" s="2" t="s">
        <v>492</v>
      </c>
      <c r="B182" t="s">
        <v>1877</v>
      </c>
      <c r="C182" t="s">
        <v>1854</v>
      </c>
      <c r="D182" t="s">
        <v>1859</v>
      </c>
      <c r="K182"/>
      <c r="L182"/>
      <c r="M182"/>
    </row>
    <row r="183" spans="1:13" hidden="1">
      <c r="A183" s="2" t="s">
        <v>515</v>
      </c>
      <c r="B183" t="s">
        <v>1877</v>
      </c>
      <c r="C183" t="s">
        <v>1854</v>
      </c>
      <c r="D183" t="s">
        <v>1859</v>
      </c>
      <c r="K183"/>
      <c r="L183"/>
      <c r="M183"/>
    </row>
    <row r="184" spans="1:13" hidden="1">
      <c r="A184" s="2" t="s">
        <v>488</v>
      </c>
      <c r="B184" t="s">
        <v>1877</v>
      </c>
      <c r="C184" t="s">
        <v>1854</v>
      </c>
      <c r="D184" t="s">
        <v>1859</v>
      </c>
      <c r="K184"/>
      <c r="L184"/>
      <c r="M184"/>
    </row>
    <row r="185" spans="1:13" hidden="1">
      <c r="A185" s="2" t="s">
        <v>439</v>
      </c>
      <c r="B185" t="s">
        <v>1878</v>
      </c>
      <c r="C185" t="s">
        <v>1850</v>
      </c>
      <c r="D185" t="s">
        <v>1859</v>
      </c>
      <c r="K185"/>
      <c r="L185"/>
      <c r="M185"/>
    </row>
    <row r="186" spans="1:13" hidden="1">
      <c r="A186" s="2" t="s">
        <v>631</v>
      </c>
      <c r="B186" t="s">
        <v>1878</v>
      </c>
      <c r="C186" t="s">
        <v>1850</v>
      </c>
      <c r="D186" t="s">
        <v>1859</v>
      </c>
      <c r="K186"/>
      <c r="L186"/>
      <c r="M186"/>
    </row>
    <row r="187" spans="1:13" hidden="1">
      <c r="A187" s="2" t="s">
        <v>383</v>
      </c>
      <c r="B187" t="s">
        <v>1878</v>
      </c>
      <c r="C187" t="s">
        <v>1850</v>
      </c>
      <c r="D187" t="s">
        <v>1859</v>
      </c>
      <c r="K187"/>
      <c r="L187"/>
      <c r="M187"/>
    </row>
    <row r="188" spans="1:13" hidden="1">
      <c r="A188" s="2" t="s">
        <v>421</v>
      </c>
      <c r="B188" t="s">
        <v>1878</v>
      </c>
      <c r="C188" t="s">
        <v>1850</v>
      </c>
      <c r="D188" t="s">
        <v>1859</v>
      </c>
      <c r="K188"/>
      <c r="L188"/>
      <c r="M188"/>
    </row>
    <row r="189" spans="1:13" hidden="1">
      <c r="A189" s="2" t="s">
        <v>428</v>
      </c>
      <c r="B189" t="s">
        <v>1878</v>
      </c>
      <c r="C189" t="s">
        <v>1850</v>
      </c>
      <c r="D189" t="s">
        <v>1859</v>
      </c>
      <c r="K189"/>
      <c r="L189"/>
      <c r="M189"/>
    </row>
    <row r="190" spans="1:13" hidden="1">
      <c r="A190" s="2" t="s">
        <v>429</v>
      </c>
      <c r="B190" t="s">
        <v>1878</v>
      </c>
      <c r="C190" t="s">
        <v>1850</v>
      </c>
      <c r="D190" t="s">
        <v>1859</v>
      </c>
      <c r="K190"/>
      <c r="L190"/>
      <c r="M190"/>
    </row>
    <row r="191" spans="1:13" hidden="1">
      <c r="A191" s="2" t="s">
        <v>416</v>
      </c>
      <c r="B191" t="s">
        <v>1878</v>
      </c>
      <c r="C191" t="s">
        <v>1857</v>
      </c>
      <c r="D191" t="s">
        <v>1860</v>
      </c>
      <c r="K191"/>
      <c r="L191"/>
      <c r="M191"/>
    </row>
    <row r="192" spans="1:13" hidden="1">
      <c r="A192" s="2" t="s">
        <v>405</v>
      </c>
      <c r="B192" t="s">
        <v>1878</v>
      </c>
      <c r="C192" t="s">
        <v>1850</v>
      </c>
      <c r="D192" t="s">
        <v>1859</v>
      </c>
      <c r="K192"/>
      <c r="L192"/>
      <c r="M192"/>
    </row>
    <row r="193" spans="1:13" hidden="1">
      <c r="A193" s="2" t="s">
        <v>477</v>
      </c>
      <c r="B193" t="s">
        <v>1878</v>
      </c>
      <c r="C193" t="s">
        <v>1850</v>
      </c>
      <c r="D193" t="s">
        <v>1859</v>
      </c>
      <c r="K193"/>
      <c r="L193"/>
      <c r="M193"/>
    </row>
    <row r="194" spans="1:13" hidden="1">
      <c r="A194" s="2" t="s">
        <v>637</v>
      </c>
      <c r="B194" t="s">
        <v>1878</v>
      </c>
      <c r="C194" t="s">
        <v>1850</v>
      </c>
      <c r="D194" t="s">
        <v>1859</v>
      </c>
      <c r="K194"/>
      <c r="L194"/>
      <c r="M194"/>
    </row>
    <row r="195" spans="1:13" hidden="1">
      <c r="A195" s="2" t="s">
        <v>658</v>
      </c>
      <c r="B195" t="s">
        <v>1878</v>
      </c>
      <c r="C195" t="s">
        <v>1850</v>
      </c>
      <c r="D195" t="s">
        <v>1859</v>
      </c>
      <c r="K195"/>
      <c r="L195"/>
      <c r="M195"/>
    </row>
    <row r="196" spans="1:13" hidden="1">
      <c r="A196" s="2" t="s">
        <v>461</v>
      </c>
      <c r="B196" t="s">
        <v>1878</v>
      </c>
      <c r="C196" t="s">
        <v>1850</v>
      </c>
      <c r="D196" t="s">
        <v>1859</v>
      </c>
      <c r="K196"/>
      <c r="L196"/>
      <c r="M196"/>
    </row>
    <row r="197" spans="1:13" hidden="1">
      <c r="A197" s="2" t="s">
        <v>408</v>
      </c>
      <c r="B197" t="s">
        <v>1878</v>
      </c>
      <c r="C197" t="s">
        <v>1850</v>
      </c>
      <c r="D197" t="s">
        <v>1859</v>
      </c>
      <c r="K197"/>
      <c r="L197"/>
      <c r="M197"/>
    </row>
    <row r="198" spans="1:13" hidden="1">
      <c r="A198" s="2" t="s">
        <v>412</v>
      </c>
      <c r="B198" t="s">
        <v>1878</v>
      </c>
      <c r="C198" t="s">
        <v>1850</v>
      </c>
      <c r="D198" t="s">
        <v>1859</v>
      </c>
      <c r="K198"/>
      <c r="L198"/>
      <c r="M198"/>
    </row>
    <row r="199" spans="1:13" hidden="1">
      <c r="A199" s="2" t="s">
        <v>394</v>
      </c>
      <c r="B199" t="s">
        <v>1878</v>
      </c>
      <c r="C199" t="s">
        <v>1850</v>
      </c>
      <c r="D199" t="s">
        <v>1859</v>
      </c>
      <c r="K199"/>
      <c r="L199"/>
      <c r="M199"/>
    </row>
    <row r="200" spans="1:13" hidden="1">
      <c r="A200" s="2" t="s">
        <v>407</v>
      </c>
      <c r="B200" t="s">
        <v>1878</v>
      </c>
      <c r="C200" t="s">
        <v>1853</v>
      </c>
      <c r="D200" t="s">
        <v>1859</v>
      </c>
      <c r="K200"/>
      <c r="L200"/>
      <c r="M200"/>
    </row>
    <row r="201" spans="1:13" hidden="1">
      <c r="A201" s="2" t="s">
        <v>444</v>
      </c>
      <c r="B201" t="s">
        <v>1878</v>
      </c>
      <c r="C201" t="s">
        <v>1850</v>
      </c>
      <c r="D201" t="s">
        <v>1859</v>
      </c>
      <c r="K201"/>
      <c r="L201"/>
      <c r="M201"/>
    </row>
    <row r="202" spans="1:13" hidden="1">
      <c r="A202" s="2" t="s">
        <v>443</v>
      </c>
      <c r="B202" t="s">
        <v>1878</v>
      </c>
      <c r="C202" t="s">
        <v>1850</v>
      </c>
      <c r="D202" t="s">
        <v>1859</v>
      </c>
      <c r="K202"/>
      <c r="L202"/>
      <c r="M202"/>
    </row>
    <row r="203" spans="1:13" hidden="1">
      <c r="A203" s="2" t="s">
        <v>442</v>
      </c>
      <c r="B203" t="s">
        <v>1878</v>
      </c>
      <c r="C203" t="s">
        <v>1850</v>
      </c>
      <c r="D203" t="s">
        <v>1859</v>
      </c>
      <c r="K203"/>
      <c r="L203"/>
      <c r="M203"/>
    </row>
    <row r="204" spans="1:13" hidden="1">
      <c r="A204" s="2" t="s">
        <v>441</v>
      </c>
      <c r="B204" t="s">
        <v>1878</v>
      </c>
      <c r="C204" t="s">
        <v>1850</v>
      </c>
      <c r="D204" t="s">
        <v>1859</v>
      </c>
      <c r="K204"/>
      <c r="L204"/>
      <c r="M204"/>
    </row>
    <row r="205" spans="1:13" hidden="1">
      <c r="A205" s="2" t="s">
        <v>440</v>
      </c>
      <c r="B205" t="s">
        <v>1878</v>
      </c>
      <c r="C205" t="s">
        <v>1850</v>
      </c>
      <c r="D205" t="s">
        <v>1859</v>
      </c>
      <c r="K205"/>
      <c r="L205"/>
      <c r="M205"/>
    </row>
    <row r="206" spans="1:13" hidden="1">
      <c r="A206" s="2" t="s">
        <v>446</v>
      </c>
      <c r="B206" t="s">
        <v>1878</v>
      </c>
      <c r="C206" t="s">
        <v>1850</v>
      </c>
      <c r="D206" t="s">
        <v>1859</v>
      </c>
      <c r="K206"/>
      <c r="L206"/>
      <c r="M206"/>
    </row>
    <row r="207" spans="1:13" hidden="1">
      <c r="A207" s="2" t="s">
        <v>413</v>
      </c>
      <c r="B207" t="s">
        <v>1878</v>
      </c>
      <c r="C207" t="s">
        <v>1850</v>
      </c>
      <c r="D207" t="s">
        <v>1859</v>
      </c>
      <c r="K207"/>
      <c r="L207"/>
      <c r="M207"/>
    </row>
    <row r="208" spans="1:13" hidden="1">
      <c r="A208" s="2" t="s">
        <v>469</v>
      </c>
      <c r="B208" t="s">
        <v>1878</v>
      </c>
      <c r="C208" t="s">
        <v>1850</v>
      </c>
      <c r="D208" t="s">
        <v>1859</v>
      </c>
      <c r="K208"/>
      <c r="L208"/>
      <c r="M208"/>
    </row>
    <row r="209" spans="1:13" hidden="1">
      <c r="A209" s="2" t="s">
        <v>453</v>
      </c>
      <c r="B209" t="s">
        <v>1878</v>
      </c>
      <c r="C209" t="s">
        <v>1850</v>
      </c>
      <c r="D209" t="s">
        <v>1859</v>
      </c>
      <c r="K209"/>
      <c r="L209"/>
      <c r="M209"/>
    </row>
    <row r="210" spans="1:13" hidden="1">
      <c r="A210" s="2" t="s">
        <v>662</v>
      </c>
      <c r="B210" t="s">
        <v>1878</v>
      </c>
      <c r="C210" t="s">
        <v>1850</v>
      </c>
      <c r="D210" t="s">
        <v>1859</v>
      </c>
      <c r="K210"/>
      <c r="L210"/>
      <c r="M210"/>
    </row>
    <row r="211" spans="1:13" hidden="1">
      <c r="A211" s="2" t="s">
        <v>462</v>
      </c>
      <c r="B211" t="s">
        <v>1878</v>
      </c>
      <c r="C211" t="s">
        <v>1850</v>
      </c>
      <c r="D211" t="s">
        <v>1859</v>
      </c>
      <c r="K211"/>
      <c r="L211"/>
      <c r="M211"/>
    </row>
    <row r="212" spans="1:13" hidden="1">
      <c r="A212" s="2" t="s">
        <v>464</v>
      </c>
      <c r="B212" t="s">
        <v>1878</v>
      </c>
      <c r="C212" t="s">
        <v>1850</v>
      </c>
      <c r="D212" t="s">
        <v>1859</v>
      </c>
      <c r="K212"/>
      <c r="L212"/>
      <c r="M212"/>
    </row>
    <row r="213" spans="1:13" hidden="1">
      <c r="A213" s="2" t="s">
        <v>463</v>
      </c>
      <c r="B213" t="s">
        <v>1878</v>
      </c>
      <c r="C213" t="s">
        <v>1850</v>
      </c>
      <c r="D213" t="s">
        <v>1859</v>
      </c>
      <c r="K213"/>
      <c r="L213"/>
      <c r="M213"/>
    </row>
    <row r="214" spans="1:13" hidden="1">
      <c r="A214" s="2" t="s">
        <v>388</v>
      </c>
      <c r="B214" t="s">
        <v>1878</v>
      </c>
      <c r="C214" t="s">
        <v>1850</v>
      </c>
      <c r="D214" t="s">
        <v>1859</v>
      </c>
      <c r="K214"/>
      <c r="L214"/>
      <c r="M214"/>
    </row>
    <row r="215" spans="1:13" hidden="1">
      <c r="A215" s="2" t="s">
        <v>476</v>
      </c>
      <c r="B215" t="s">
        <v>1878</v>
      </c>
      <c r="C215" t="s">
        <v>1850</v>
      </c>
      <c r="D215" t="s">
        <v>1859</v>
      </c>
      <c r="K215"/>
      <c r="L215"/>
      <c r="M215"/>
    </row>
    <row r="216" spans="1:13" hidden="1">
      <c r="A216" s="2" t="s">
        <v>422</v>
      </c>
      <c r="B216" t="s">
        <v>1878</v>
      </c>
      <c r="C216" t="s">
        <v>1850</v>
      </c>
      <c r="D216" t="s">
        <v>1859</v>
      </c>
      <c r="K216"/>
      <c r="L216"/>
      <c r="M216"/>
    </row>
    <row r="217" spans="1:13" hidden="1">
      <c r="A217" s="2" t="s">
        <v>419</v>
      </c>
      <c r="B217" t="s">
        <v>1878</v>
      </c>
      <c r="C217" t="s">
        <v>1850</v>
      </c>
      <c r="D217" t="s">
        <v>1859</v>
      </c>
      <c r="K217"/>
      <c r="L217"/>
      <c r="M217"/>
    </row>
    <row r="218" spans="1:13" hidden="1">
      <c r="A218" s="2" t="s">
        <v>417</v>
      </c>
      <c r="B218" t="s">
        <v>1878</v>
      </c>
      <c r="C218" t="s">
        <v>1850</v>
      </c>
      <c r="D218" t="s">
        <v>1859</v>
      </c>
      <c r="K218"/>
      <c r="L218"/>
      <c r="M218"/>
    </row>
    <row r="219" spans="1:13" hidden="1">
      <c r="A219" s="2" t="s">
        <v>465</v>
      </c>
      <c r="B219" t="s">
        <v>1878</v>
      </c>
      <c r="C219" t="s">
        <v>1850</v>
      </c>
      <c r="D219" t="s">
        <v>1859</v>
      </c>
      <c r="K219"/>
      <c r="L219"/>
      <c r="M219"/>
    </row>
    <row r="220" spans="1:13" hidden="1">
      <c r="A220" s="2" t="s">
        <v>471</v>
      </c>
      <c r="B220" t="s">
        <v>1878</v>
      </c>
      <c r="C220" t="s">
        <v>1850</v>
      </c>
      <c r="D220" t="s">
        <v>1859</v>
      </c>
      <c r="K220"/>
      <c r="L220"/>
      <c r="M220"/>
    </row>
    <row r="221" spans="1:13" hidden="1">
      <c r="A221" s="2" t="s">
        <v>423</v>
      </c>
      <c r="B221" t="s">
        <v>1878</v>
      </c>
      <c r="C221" t="s">
        <v>1850</v>
      </c>
      <c r="D221" t="s">
        <v>1859</v>
      </c>
      <c r="K221"/>
      <c r="L221"/>
      <c r="M221"/>
    </row>
    <row r="222" spans="1:13" hidden="1">
      <c r="A222" s="2" t="s">
        <v>435</v>
      </c>
      <c r="B222" t="s">
        <v>1878</v>
      </c>
      <c r="C222" t="s">
        <v>1857</v>
      </c>
      <c r="D222" t="s">
        <v>1860</v>
      </c>
      <c r="K222"/>
      <c r="L222"/>
      <c r="M222"/>
    </row>
    <row r="223" spans="1:13" hidden="1">
      <c r="A223" s="2" t="s">
        <v>447</v>
      </c>
      <c r="B223" t="s">
        <v>1878</v>
      </c>
      <c r="C223" t="s">
        <v>1850</v>
      </c>
      <c r="D223" t="s">
        <v>1859</v>
      </c>
      <c r="K223"/>
      <c r="L223"/>
      <c r="M223"/>
    </row>
    <row r="224" spans="1:13" hidden="1">
      <c r="A224" s="2" t="s">
        <v>661</v>
      </c>
      <c r="B224" t="s">
        <v>1878</v>
      </c>
      <c r="C224" t="s">
        <v>1850</v>
      </c>
      <c r="D224" t="s">
        <v>1859</v>
      </c>
      <c r="K224"/>
      <c r="L224"/>
      <c r="M224"/>
    </row>
    <row r="225" spans="1:13" hidden="1">
      <c r="A225" s="2" t="s">
        <v>387</v>
      </c>
      <c r="B225" t="s">
        <v>1878</v>
      </c>
      <c r="C225" t="s">
        <v>1857</v>
      </c>
      <c r="D225" t="s">
        <v>1860</v>
      </c>
      <c r="K225"/>
      <c r="L225"/>
      <c r="M225"/>
    </row>
    <row r="226" spans="1:13" hidden="1">
      <c r="A226" s="2" t="s">
        <v>410</v>
      </c>
      <c r="B226" t="s">
        <v>1878</v>
      </c>
      <c r="C226" t="s">
        <v>1850</v>
      </c>
      <c r="D226" t="s">
        <v>1859</v>
      </c>
      <c r="K226"/>
      <c r="L226"/>
      <c r="M226"/>
    </row>
    <row r="227" spans="1:13" hidden="1">
      <c r="A227" s="2" t="s">
        <v>389</v>
      </c>
      <c r="B227" t="s">
        <v>1878</v>
      </c>
      <c r="C227" t="s">
        <v>1850</v>
      </c>
      <c r="D227" t="s">
        <v>1859</v>
      </c>
      <c r="K227"/>
      <c r="L227"/>
      <c r="M227"/>
    </row>
    <row r="228" spans="1:13" hidden="1">
      <c r="A228" s="2" t="s">
        <v>402</v>
      </c>
      <c r="B228" t="s">
        <v>1878</v>
      </c>
      <c r="C228" t="s">
        <v>1850</v>
      </c>
      <c r="D228" t="s">
        <v>1859</v>
      </c>
      <c r="K228"/>
      <c r="L228"/>
      <c r="M228"/>
    </row>
    <row r="229" spans="1:13" hidden="1">
      <c r="A229" s="2" t="s">
        <v>395</v>
      </c>
      <c r="B229" t="s">
        <v>1878</v>
      </c>
      <c r="C229" t="s">
        <v>1850</v>
      </c>
      <c r="D229" t="s">
        <v>1859</v>
      </c>
      <c r="K229"/>
      <c r="L229"/>
      <c r="M229"/>
    </row>
    <row r="230" spans="1:13" hidden="1">
      <c r="A230" s="2" t="s">
        <v>403</v>
      </c>
      <c r="B230" t="s">
        <v>1878</v>
      </c>
      <c r="C230" t="s">
        <v>1850</v>
      </c>
      <c r="D230" t="s">
        <v>1859</v>
      </c>
      <c r="K230"/>
      <c r="L230"/>
      <c r="M230"/>
    </row>
    <row r="231" spans="1:13" hidden="1">
      <c r="A231" s="2" t="s">
        <v>454</v>
      </c>
      <c r="B231" t="s">
        <v>1878</v>
      </c>
      <c r="C231" t="s">
        <v>1850</v>
      </c>
      <c r="D231" t="s">
        <v>1859</v>
      </c>
      <c r="K231"/>
      <c r="L231"/>
      <c r="M231"/>
    </row>
    <row r="232" spans="1:13" hidden="1">
      <c r="A232" s="2" t="s">
        <v>472</v>
      </c>
      <c r="B232" t="s">
        <v>1878</v>
      </c>
      <c r="C232" t="s">
        <v>1857</v>
      </c>
      <c r="D232" t="s">
        <v>1860</v>
      </c>
      <c r="K232"/>
      <c r="L232"/>
      <c r="M232"/>
    </row>
    <row r="233" spans="1:13" hidden="1">
      <c r="A233" s="2" t="s">
        <v>404</v>
      </c>
      <c r="B233" t="s">
        <v>1878</v>
      </c>
      <c r="C233" t="s">
        <v>1850</v>
      </c>
      <c r="D233" t="s">
        <v>1859</v>
      </c>
      <c r="K233"/>
      <c r="L233"/>
      <c r="M233"/>
    </row>
    <row r="234" spans="1:13" hidden="1">
      <c r="A234" s="2" t="s">
        <v>401</v>
      </c>
      <c r="B234" t="s">
        <v>1878</v>
      </c>
      <c r="C234" t="s">
        <v>1857</v>
      </c>
      <c r="D234" t="s">
        <v>1863</v>
      </c>
      <c r="K234"/>
      <c r="L234"/>
      <c r="M234"/>
    </row>
    <row r="235" spans="1:13" hidden="1">
      <c r="A235" s="2" t="s">
        <v>386</v>
      </c>
      <c r="B235" t="s">
        <v>1878</v>
      </c>
      <c r="C235" t="s">
        <v>1850</v>
      </c>
      <c r="D235" t="s">
        <v>1859</v>
      </c>
      <c r="K235"/>
      <c r="L235"/>
      <c r="M235"/>
    </row>
    <row r="236" spans="1:13" hidden="1">
      <c r="A236" s="2" t="s">
        <v>379</v>
      </c>
      <c r="B236" t="s">
        <v>1878</v>
      </c>
      <c r="C236" t="s">
        <v>1850</v>
      </c>
      <c r="D236" t="s">
        <v>1859</v>
      </c>
      <c r="K236"/>
      <c r="L236"/>
      <c r="M236"/>
    </row>
    <row r="237" spans="1:13" hidden="1">
      <c r="A237" s="2" t="s">
        <v>380</v>
      </c>
      <c r="B237" t="s">
        <v>1878</v>
      </c>
      <c r="C237" t="s">
        <v>1850</v>
      </c>
      <c r="D237" t="s">
        <v>1859</v>
      </c>
      <c r="K237"/>
      <c r="L237"/>
      <c r="M237"/>
    </row>
    <row r="238" spans="1:13" hidden="1">
      <c r="A238" s="2" t="s">
        <v>629</v>
      </c>
      <c r="B238" t="s">
        <v>1878</v>
      </c>
      <c r="C238" t="s">
        <v>1850</v>
      </c>
      <c r="D238" t="s">
        <v>1859</v>
      </c>
      <c r="K238"/>
      <c r="L238"/>
      <c r="M238"/>
    </row>
    <row r="239" spans="1:13" hidden="1">
      <c r="A239" s="2" t="s">
        <v>473</v>
      </c>
      <c r="B239" t="s">
        <v>1878</v>
      </c>
      <c r="C239" t="s">
        <v>1850</v>
      </c>
      <c r="D239" t="s">
        <v>1859</v>
      </c>
      <c r="K239"/>
      <c r="L239"/>
      <c r="M239"/>
    </row>
    <row r="240" spans="1:13" hidden="1">
      <c r="A240" s="2" t="s">
        <v>628</v>
      </c>
      <c r="B240" t="s">
        <v>1878</v>
      </c>
      <c r="C240" t="s">
        <v>1857</v>
      </c>
      <c r="D240" t="s">
        <v>1863</v>
      </c>
      <c r="K240"/>
      <c r="L240"/>
      <c r="M240"/>
    </row>
    <row r="241" spans="1:13" hidden="1">
      <c r="A241" s="2" t="s">
        <v>466</v>
      </c>
      <c r="B241" t="s">
        <v>1878</v>
      </c>
      <c r="C241" t="s">
        <v>1857</v>
      </c>
      <c r="D241" t="s">
        <v>1863</v>
      </c>
      <c r="K241"/>
      <c r="L241"/>
      <c r="M241"/>
    </row>
    <row r="242" spans="1:13" hidden="1">
      <c r="A242" s="2" t="s">
        <v>663</v>
      </c>
      <c r="B242" t="s">
        <v>1878</v>
      </c>
      <c r="C242" t="s">
        <v>1850</v>
      </c>
      <c r="D242" t="s">
        <v>1859</v>
      </c>
      <c r="K242"/>
      <c r="L242"/>
      <c r="M242"/>
    </row>
    <row r="243" spans="1:13" hidden="1">
      <c r="A243" s="2" t="s">
        <v>664</v>
      </c>
      <c r="B243" t="s">
        <v>1878</v>
      </c>
      <c r="C243" t="s">
        <v>1857</v>
      </c>
      <c r="D243" t="s">
        <v>1863</v>
      </c>
      <c r="K243"/>
      <c r="L243"/>
      <c r="M243"/>
    </row>
    <row r="244" spans="1:13" hidden="1">
      <c r="A244" s="2" t="s">
        <v>455</v>
      </c>
      <c r="B244" t="s">
        <v>1878</v>
      </c>
      <c r="C244" t="s">
        <v>1850</v>
      </c>
      <c r="D244" t="s">
        <v>1859</v>
      </c>
      <c r="K244"/>
      <c r="L244"/>
      <c r="M244"/>
    </row>
    <row r="245" spans="1:13" hidden="1">
      <c r="A245" s="2" t="s">
        <v>458</v>
      </c>
      <c r="B245" t="s">
        <v>1878</v>
      </c>
      <c r="C245" t="s">
        <v>1850</v>
      </c>
      <c r="D245" t="s">
        <v>1859</v>
      </c>
      <c r="K245"/>
      <c r="L245"/>
      <c r="M245"/>
    </row>
    <row r="246" spans="1:13" hidden="1">
      <c r="A246" s="2" t="s">
        <v>459</v>
      </c>
      <c r="B246" t="s">
        <v>1878</v>
      </c>
      <c r="C246" t="s">
        <v>1850</v>
      </c>
      <c r="D246" t="s">
        <v>1859</v>
      </c>
      <c r="K246"/>
      <c r="L246"/>
      <c r="M246"/>
    </row>
    <row r="247" spans="1:13" hidden="1">
      <c r="A247" s="2" t="s">
        <v>409</v>
      </c>
      <c r="B247" t="s">
        <v>1878</v>
      </c>
      <c r="C247" t="s">
        <v>1850</v>
      </c>
      <c r="D247" t="s">
        <v>1859</v>
      </c>
      <c r="K247"/>
      <c r="L247"/>
      <c r="M247"/>
    </row>
    <row r="248" spans="1:13" hidden="1">
      <c r="A248" s="2" t="s">
        <v>456</v>
      </c>
      <c r="B248" t="s">
        <v>1878</v>
      </c>
      <c r="C248" t="s">
        <v>1850</v>
      </c>
      <c r="D248" t="s">
        <v>1859</v>
      </c>
      <c r="K248"/>
      <c r="L248"/>
      <c r="M248"/>
    </row>
    <row r="249" spans="1:13" hidden="1">
      <c r="A249" s="2" t="s">
        <v>381</v>
      </c>
      <c r="B249" t="s">
        <v>1878</v>
      </c>
      <c r="C249" t="s">
        <v>1850</v>
      </c>
      <c r="D249" t="s">
        <v>1859</v>
      </c>
      <c r="K249"/>
      <c r="L249"/>
      <c r="M249"/>
    </row>
    <row r="250" spans="1:13" hidden="1">
      <c r="A250" s="2" t="s">
        <v>382</v>
      </c>
      <c r="B250" t="s">
        <v>1878</v>
      </c>
      <c r="C250" t="s">
        <v>1850</v>
      </c>
      <c r="D250" t="s">
        <v>1859</v>
      </c>
      <c r="K250"/>
      <c r="L250"/>
      <c r="M250"/>
    </row>
    <row r="251" spans="1:13" hidden="1">
      <c r="A251" s="2" t="s">
        <v>460</v>
      </c>
      <c r="B251" t="s">
        <v>1878</v>
      </c>
      <c r="C251" t="s">
        <v>1850</v>
      </c>
      <c r="D251" t="s">
        <v>1859</v>
      </c>
      <c r="K251"/>
      <c r="L251"/>
      <c r="M251"/>
    </row>
    <row r="252" spans="1:13" hidden="1">
      <c r="A252" s="2" t="s">
        <v>630</v>
      </c>
      <c r="B252" t="s">
        <v>1878</v>
      </c>
      <c r="C252" t="s">
        <v>1850</v>
      </c>
      <c r="D252" t="s">
        <v>1859</v>
      </c>
      <c r="K252"/>
      <c r="L252"/>
      <c r="M252"/>
    </row>
    <row r="253" spans="1:13" hidden="1">
      <c r="A253" s="2" t="s">
        <v>640</v>
      </c>
      <c r="B253" t="s">
        <v>1878</v>
      </c>
      <c r="C253" t="s">
        <v>1850</v>
      </c>
      <c r="D253" t="s">
        <v>1859</v>
      </c>
      <c r="K253"/>
      <c r="L253"/>
      <c r="M253"/>
    </row>
    <row r="254" spans="1:13" hidden="1">
      <c r="A254" s="2" t="s">
        <v>418</v>
      </c>
      <c r="B254" t="s">
        <v>1878</v>
      </c>
      <c r="C254" t="s">
        <v>1850</v>
      </c>
      <c r="D254" t="s">
        <v>1859</v>
      </c>
      <c r="K254"/>
      <c r="L254"/>
      <c r="M254"/>
    </row>
    <row r="255" spans="1:13" hidden="1">
      <c r="A255" s="2" t="s">
        <v>434</v>
      </c>
      <c r="B255" t="s">
        <v>1878</v>
      </c>
      <c r="C255" t="s">
        <v>1850</v>
      </c>
      <c r="D255" t="s">
        <v>1859</v>
      </c>
      <c r="K255"/>
      <c r="L255"/>
      <c r="M255"/>
    </row>
    <row r="256" spans="1:13" hidden="1">
      <c r="A256" s="2" t="s">
        <v>414</v>
      </c>
      <c r="B256" t="s">
        <v>1878</v>
      </c>
      <c r="C256" t="s">
        <v>1850</v>
      </c>
      <c r="D256" t="s">
        <v>1859</v>
      </c>
      <c r="K256"/>
      <c r="L256"/>
      <c r="M256"/>
    </row>
    <row r="257" spans="1:13" hidden="1">
      <c r="A257" s="2" t="s">
        <v>399</v>
      </c>
      <c r="B257" t="s">
        <v>1878</v>
      </c>
      <c r="C257" t="s">
        <v>1850</v>
      </c>
      <c r="D257" t="s">
        <v>1859</v>
      </c>
      <c r="K257"/>
      <c r="L257"/>
      <c r="M257"/>
    </row>
    <row r="258" spans="1:13" hidden="1">
      <c r="A258" s="2" t="s">
        <v>398</v>
      </c>
      <c r="B258" t="s">
        <v>1878</v>
      </c>
      <c r="C258" t="s">
        <v>1857</v>
      </c>
      <c r="D258" t="s">
        <v>1863</v>
      </c>
      <c r="K258"/>
      <c r="L258"/>
      <c r="M258"/>
    </row>
    <row r="259" spans="1:13" hidden="1">
      <c r="A259" s="2" t="s">
        <v>397</v>
      </c>
      <c r="B259" t="s">
        <v>1878</v>
      </c>
      <c r="C259" t="s">
        <v>1850</v>
      </c>
      <c r="D259" t="s">
        <v>1859</v>
      </c>
      <c r="K259"/>
      <c r="L259"/>
      <c r="M259"/>
    </row>
    <row r="260" spans="1:13" hidden="1">
      <c r="A260" s="2" t="s">
        <v>448</v>
      </c>
      <c r="B260" t="s">
        <v>1878</v>
      </c>
      <c r="C260" t="s">
        <v>1850</v>
      </c>
      <c r="D260" t="s">
        <v>1859</v>
      </c>
      <c r="K260"/>
      <c r="L260"/>
      <c r="M260"/>
    </row>
    <row r="261" spans="1:13" hidden="1">
      <c r="A261" s="2" t="s">
        <v>449</v>
      </c>
      <c r="B261" t="s">
        <v>1878</v>
      </c>
      <c r="C261" t="s">
        <v>1850</v>
      </c>
      <c r="D261" t="s">
        <v>1859</v>
      </c>
      <c r="K261"/>
      <c r="L261"/>
      <c r="M261"/>
    </row>
    <row r="262" spans="1:13" hidden="1">
      <c r="A262" s="2" t="s">
        <v>656</v>
      </c>
      <c r="B262" t="s">
        <v>1878</v>
      </c>
      <c r="C262" t="s">
        <v>1850</v>
      </c>
      <c r="D262" t="s">
        <v>1859</v>
      </c>
      <c r="K262"/>
      <c r="L262"/>
      <c r="M262"/>
    </row>
    <row r="263" spans="1:13" hidden="1">
      <c r="A263" s="2" t="s">
        <v>665</v>
      </c>
      <c r="B263" t="s">
        <v>1878</v>
      </c>
      <c r="C263" t="s">
        <v>1850</v>
      </c>
      <c r="D263" t="s">
        <v>1859</v>
      </c>
      <c r="K263"/>
      <c r="L263"/>
      <c r="M263"/>
    </row>
    <row r="264" spans="1:13" hidden="1">
      <c r="A264" s="2" t="s">
        <v>653</v>
      </c>
      <c r="B264" t="s">
        <v>1878</v>
      </c>
      <c r="C264" t="s">
        <v>1857</v>
      </c>
      <c r="D264" t="s">
        <v>1863</v>
      </c>
      <c r="K264"/>
      <c r="L264"/>
      <c r="M264"/>
    </row>
    <row r="265" spans="1:13" hidden="1">
      <c r="A265" s="2" t="s">
        <v>652</v>
      </c>
      <c r="B265" t="s">
        <v>1878</v>
      </c>
      <c r="C265" t="s">
        <v>1857</v>
      </c>
      <c r="D265" t="s">
        <v>1863</v>
      </c>
      <c r="K265"/>
      <c r="L265"/>
      <c r="M265"/>
    </row>
    <row r="266" spans="1:13" hidden="1">
      <c r="A266" s="2" t="s">
        <v>654</v>
      </c>
      <c r="B266" t="s">
        <v>1878</v>
      </c>
      <c r="C266" t="s">
        <v>1850</v>
      </c>
      <c r="D266" t="s">
        <v>1859</v>
      </c>
      <c r="K266"/>
      <c r="L266"/>
      <c r="M266"/>
    </row>
    <row r="267" spans="1:13" hidden="1">
      <c r="A267" s="2" t="s">
        <v>660</v>
      </c>
      <c r="B267" t="s">
        <v>1878</v>
      </c>
      <c r="C267" t="s">
        <v>1850</v>
      </c>
      <c r="D267" t="s">
        <v>1859</v>
      </c>
      <c r="K267"/>
      <c r="L267"/>
      <c r="M267"/>
    </row>
    <row r="268" spans="1:13" hidden="1">
      <c r="A268" s="2" t="s">
        <v>659</v>
      </c>
      <c r="B268" t="s">
        <v>1878</v>
      </c>
      <c r="C268" t="s">
        <v>1857</v>
      </c>
      <c r="D268" t="s">
        <v>1863</v>
      </c>
      <c r="K268"/>
      <c r="L268"/>
      <c r="M268"/>
    </row>
    <row r="269" spans="1:13" hidden="1">
      <c r="A269" s="2" t="s">
        <v>400</v>
      </c>
      <c r="B269" t="s">
        <v>1878</v>
      </c>
      <c r="C269" t="s">
        <v>1850</v>
      </c>
      <c r="D269" t="s">
        <v>1859</v>
      </c>
      <c r="K269"/>
      <c r="L269"/>
      <c r="M269"/>
    </row>
    <row r="270" spans="1:13" hidden="1">
      <c r="A270" s="2" t="s">
        <v>639</v>
      </c>
      <c r="B270" t="s">
        <v>1878</v>
      </c>
      <c r="C270" t="s">
        <v>1850</v>
      </c>
      <c r="D270" t="s">
        <v>1859</v>
      </c>
      <c r="K270"/>
      <c r="L270"/>
      <c r="M270"/>
    </row>
    <row r="271" spans="1:13" hidden="1">
      <c r="A271" s="2" t="s">
        <v>450</v>
      </c>
      <c r="B271" t="s">
        <v>1878</v>
      </c>
      <c r="C271" t="s">
        <v>1850</v>
      </c>
      <c r="D271" t="s">
        <v>1859</v>
      </c>
      <c r="K271"/>
      <c r="L271"/>
      <c r="M271"/>
    </row>
    <row r="272" spans="1:13" hidden="1">
      <c r="A272" s="2" t="s">
        <v>632</v>
      </c>
      <c r="B272" t="s">
        <v>1878</v>
      </c>
      <c r="C272" t="s">
        <v>1850</v>
      </c>
      <c r="D272" t="s">
        <v>1859</v>
      </c>
      <c r="K272"/>
      <c r="L272"/>
      <c r="M272"/>
    </row>
    <row r="273" spans="1:13" hidden="1">
      <c r="A273" s="2" t="s">
        <v>633</v>
      </c>
      <c r="B273" t="s">
        <v>1878</v>
      </c>
      <c r="C273" t="s">
        <v>1850</v>
      </c>
      <c r="D273" t="s">
        <v>1859</v>
      </c>
      <c r="K273"/>
      <c r="L273"/>
      <c r="M273"/>
    </row>
    <row r="274" spans="1:13" hidden="1">
      <c r="A274" s="2" t="s">
        <v>634</v>
      </c>
      <c r="B274" t="s">
        <v>1878</v>
      </c>
      <c r="C274" t="s">
        <v>1850</v>
      </c>
      <c r="D274" t="s">
        <v>1859</v>
      </c>
      <c r="K274"/>
      <c r="L274"/>
      <c r="M274"/>
    </row>
    <row r="275" spans="1:13" hidden="1">
      <c r="A275" s="2" t="s">
        <v>638</v>
      </c>
      <c r="B275" t="s">
        <v>1878</v>
      </c>
      <c r="C275" t="s">
        <v>1850</v>
      </c>
      <c r="D275" t="s">
        <v>1859</v>
      </c>
      <c r="K275"/>
      <c r="L275"/>
      <c r="M275"/>
    </row>
    <row r="276" spans="1:13" hidden="1">
      <c r="A276" s="2" t="s">
        <v>411</v>
      </c>
      <c r="B276" t="s">
        <v>1878</v>
      </c>
      <c r="C276" t="s">
        <v>1850</v>
      </c>
      <c r="D276" t="s">
        <v>1859</v>
      </c>
      <c r="K276"/>
      <c r="L276"/>
      <c r="M276"/>
    </row>
    <row r="277" spans="1:13" hidden="1">
      <c r="A277" s="2" t="s">
        <v>396</v>
      </c>
      <c r="B277" t="s">
        <v>1878</v>
      </c>
      <c r="C277" t="s">
        <v>1850</v>
      </c>
      <c r="D277" t="s">
        <v>1859</v>
      </c>
      <c r="K277"/>
      <c r="L277"/>
      <c r="M277"/>
    </row>
    <row r="278" spans="1:13" hidden="1">
      <c r="A278" s="2" t="s">
        <v>451</v>
      </c>
      <c r="B278" t="s">
        <v>1878</v>
      </c>
      <c r="C278" t="s">
        <v>1850</v>
      </c>
      <c r="D278" t="s">
        <v>1859</v>
      </c>
      <c r="K278"/>
      <c r="L278"/>
      <c r="M278"/>
    </row>
    <row r="279" spans="1:13" hidden="1">
      <c r="A279" s="2" t="s">
        <v>406</v>
      </c>
      <c r="B279" t="s">
        <v>1878</v>
      </c>
      <c r="C279" t="s">
        <v>1850</v>
      </c>
      <c r="D279" t="s">
        <v>1859</v>
      </c>
      <c r="K279"/>
      <c r="L279"/>
      <c r="M279"/>
    </row>
    <row r="280" spans="1:13" hidden="1">
      <c r="A280" s="2" t="s">
        <v>470</v>
      </c>
      <c r="B280" t="s">
        <v>1878</v>
      </c>
      <c r="C280" t="s">
        <v>1850</v>
      </c>
      <c r="D280" t="s">
        <v>1859</v>
      </c>
      <c r="K280"/>
      <c r="L280"/>
      <c r="M280"/>
    </row>
    <row r="281" spans="1:13" hidden="1">
      <c r="A281" s="2" t="s">
        <v>430</v>
      </c>
      <c r="B281" t="s">
        <v>1878</v>
      </c>
      <c r="C281" t="s">
        <v>1851</v>
      </c>
      <c r="D281" t="s">
        <v>1863</v>
      </c>
      <c r="K281"/>
      <c r="L281"/>
      <c r="M281"/>
    </row>
    <row r="282" spans="1:13" hidden="1">
      <c r="A282" s="2" t="s">
        <v>431</v>
      </c>
      <c r="B282" t="s">
        <v>1878</v>
      </c>
      <c r="C282" t="s">
        <v>1857</v>
      </c>
      <c r="D282" t="s">
        <v>1863</v>
      </c>
      <c r="K282"/>
      <c r="L282"/>
      <c r="M282"/>
    </row>
    <row r="283" spans="1:13" hidden="1">
      <c r="A283" s="2" t="s">
        <v>433</v>
      </c>
      <c r="B283" t="s">
        <v>1878</v>
      </c>
      <c r="C283" t="s">
        <v>1850</v>
      </c>
      <c r="D283" t="s">
        <v>1859</v>
      </c>
      <c r="K283"/>
      <c r="L283"/>
      <c r="M283"/>
    </row>
    <row r="284" spans="1:13" hidden="1">
      <c r="A284" s="2" t="s">
        <v>432</v>
      </c>
      <c r="B284" t="s">
        <v>1878</v>
      </c>
      <c r="C284" t="s">
        <v>1851</v>
      </c>
      <c r="D284" t="s">
        <v>1862</v>
      </c>
      <c r="K284"/>
      <c r="L284"/>
      <c r="M284"/>
    </row>
    <row r="285" spans="1:13" hidden="1">
      <c r="A285" s="2" t="s">
        <v>424</v>
      </c>
      <c r="B285" t="s">
        <v>1878</v>
      </c>
      <c r="C285" t="s">
        <v>1850</v>
      </c>
      <c r="D285" t="s">
        <v>1859</v>
      </c>
      <c r="K285"/>
      <c r="L285"/>
      <c r="M285"/>
    </row>
    <row r="286" spans="1:13" hidden="1">
      <c r="A286" s="2" t="s">
        <v>627</v>
      </c>
      <c r="B286" t="s">
        <v>1878</v>
      </c>
      <c r="C286" t="s">
        <v>1850</v>
      </c>
      <c r="D286" t="s">
        <v>1859</v>
      </c>
      <c r="K286"/>
      <c r="L286"/>
      <c r="M286"/>
    </row>
    <row r="287" spans="1:13" hidden="1">
      <c r="A287" s="2" t="s">
        <v>635</v>
      </c>
      <c r="B287" t="s">
        <v>1878</v>
      </c>
      <c r="C287" t="s">
        <v>1850</v>
      </c>
      <c r="D287" t="s">
        <v>1859</v>
      </c>
      <c r="K287"/>
      <c r="L287"/>
      <c r="M287"/>
    </row>
    <row r="288" spans="1:13" hidden="1">
      <c r="A288" s="2" t="s">
        <v>636</v>
      </c>
      <c r="B288" t="s">
        <v>1878</v>
      </c>
      <c r="C288" t="s">
        <v>1857</v>
      </c>
      <c r="D288" t="s">
        <v>1860</v>
      </c>
      <c r="K288"/>
      <c r="L288"/>
      <c r="M288"/>
    </row>
    <row r="289" spans="1:13" hidden="1">
      <c r="A289" s="2" t="s">
        <v>425</v>
      </c>
      <c r="B289" t="s">
        <v>1878</v>
      </c>
      <c r="C289" t="s">
        <v>1850</v>
      </c>
      <c r="D289" t="s">
        <v>1859</v>
      </c>
      <c r="K289"/>
      <c r="L289"/>
      <c r="M289"/>
    </row>
    <row r="290" spans="1:13" hidden="1">
      <c r="A290" s="2" t="s">
        <v>427</v>
      </c>
      <c r="B290" t="s">
        <v>1878</v>
      </c>
      <c r="C290" t="s">
        <v>1850</v>
      </c>
      <c r="D290" t="s">
        <v>1859</v>
      </c>
      <c r="K290"/>
      <c r="L290"/>
      <c r="M290"/>
    </row>
    <row r="291" spans="1:13" hidden="1">
      <c r="A291" s="2" t="s">
        <v>426</v>
      </c>
      <c r="B291" t="s">
        <v>1878</v>
      </c>
      <c r="C291" t="s">
        <v>1850</v>
      </c>
      <c r="D291" t="s">
        <v>1859</v>
      </c>
      <c r="K291"/>
      <c r="L291"/>
      <c r="M291"/>
    </row>
    <row r="292" spans="1:13" hidden="1">
      <c r="A292" s="2" t="s">
        <v>390</v>
      </c>
      <c r="B292" t="s">
        <v>1878</v>
      </c>
      <c r="C292" t="s">
        <v>1850</v>
      </c>
      <c r="D292" t="s">
        <v>1859</v>
      </c>
      <c r="K292"/>
      <c r="L292"/>
      <c r="M292"/>
    </row>
    <row r="293" spans="1:13" hidden="1">
      <c r="A293" s="2" t="s">
        <v>457</v>
      </c>
      <c r="B293" t="s">
        <v>1878</v>
      </c>
      <c r="C293" t="s">
        <v>1850</v>
      </c>
      <c r="D293" t="s">
        <v>1859</v>
      </c>
      <c r="K293"/>
      <c r="L293"/>
      <c r="M293"/>
    </row>
    <row r="294" spans="1:13" hidden="1">
      <c r="A294" s="2" t="s">
        <v>474</v>
      </c>
      <c r="B294" t="s">
        <v>1878</v>
      </c>
      <c r="C294" t="s">
        <v>1850</v>
      </c>
      <c r="D294" t="s">
        <v>1859</v>
      </c>
      <c r="K294"/>
      <c r="L294"/>
      <c r="M294"/>
    </row>
    <row r="295" spans="1:13" hidden="1">
      <c r="A295" s="2" t="s">
        <v>391</v>
      </c>
      <c r="B295" t="s">
        <v>1878</v>
      </c>
      <c r="C295" t="s">
        <v>1850</v>
      </c>
      <c r="D295" t="s">
        <v>1859</v>
      </c>
      <c r="K295"/>
      <c r="L295"/>
      <c r="M295"/>
    </row>
    <row r="296" spans="1:13" hidden="1">
      <c r="A296" s="2" t="s">
        <v>378</v>
      </c>
      <c r="B296" t="s">
        <v>1878</v>
      </c>
      <c r="C296" t="s">
        <v>1850</v>
      </c>
      <c r="D296" t="s">
        <v>1859</v>
      </c>
      <c r="K296"/>
      <c r="L296"/>
      <c r="M296"/>
    </row>
    <row r="297" spans="1:13" hidden="1">
      <c r="A297" s="2" t="s">
        <v>384</v>
      </c>
      <c r="B297" t="s">
        <v>1878</v>
      </c>
      <c r="C297" t="s">
        <v>1850</v>
      </c>
      <c r="D297" t="s">
        <v>1859</v>
      </c>
      <c r="K297"/>
      <c r="L297"/>
      <c r="M297"/>
    </row>
    <row r="298" spans="1:13" hidden="1">
      <c r="A298" s="2" t="s">
        <v>657</v>
      </c>
      <c r="B298" t="s">
        <v>1878</v>
      </c>
      <c r="C298" t="s">
        <v>1851</v>
      </c>
      <c r="D298" t="s">
        <v>1859</v>
      </c>
      <c r="K298"/>
      <c r="L298"/>
      <c r="M298"/>
    </row>
    <row r="299" spans="1:13" hidden="1">
      <c r="A299" s="2" t="s">
        <v>655</v>
      </c>
      <c r="B299" t="s">
        <v>1878</v>
      </c>
      <c r="C299" t="s">
        <v>1851</v>
      </c>
      <c r="D299" t="s">
        <v>1859</v>
      </c>
      <c r="K299"/>
      <c r="L299"/>
      <c r="M299"/>
    </row>
    <row r="300" spans="1:13" hidden="1">
      <c r="A300" s="2" t="s">
        <v>452</v>
      </c>
      <c r="B300" t="s">
        <v>1878</v>
      </c>
      <c r="C300" t="s">
        <v>1850</v>
      </c>
      <c r="D300" t="s">
        <v>1859</v>
      </c>
      <c r="K300"/>
      <c r="L300"/>
      <c r="M300"/>
    </row>
    <row r="301" spans="1:13" hidden="1">
      <c r="A301" s="2" t="s">
        <v>475</v>
      </c>
      <c r="B301" t="s">
        <v>1878</v>
      </c>
      <c r="C301" t="s">
        <v>1850</v>
      </c>
      <c r="D301" t="s">
        <v>1859</v>
      </c>
      <c r="K301"/>
      <c r="L301"/>
      <c r="M301"/>
    </row>
    <row r="302" spans="1:13" hidden="1">
      <c r="A302" s="2" t="s">
        <v>467</v>
      </c>
      <c r="B302" t="s">
        <v>1878</v>
      </c>
      <c r="C302" t="s">
        <v>1850</v>
      </c>
      <c r="D302" t="s">
        <v>1859</v>
      </c>
      <c r="K302"/>
      <c r="L302"/>
      <c r="M302"/>
    </row>
    <row r="303" spans="1:13" hidden="1">
      <c r="A303" s="2" t="s">
        <v>468</v>
      </c>
      <c r="B303" t="s">
        <v>1878</v>
      </c>
      <c r="C303" t="s">
        <v>1850</v>
      </c>
      <c r="D303" t="s">
        <v>1859</v>
      </c>
      <c r="K303"/>
      <c r="L303"/>
      <c r="M303"/>
    </row>
    <row r="304" spans="1:13" hidden="1">
      <c r="A304" s="2" t="s">
        <v>437</v>
      </c>
      <c r="B304" t="s">
        <v>1878</v>
      </c>
      <c r="C304" t="s">
        <v>1853</v>
      </c>
      <c r="D304" t="s">
        <v>1859</v>
      </c>
      <c r="K304"/>
      <c r="L304"/>
      <c r="M304"/>
    </row>
    <row r="305" spans="1:13" hidden="1">
      <c r="A305" s="2" t="s">
        <v>393</v>
      </c>
      <c r="B305" t="s">
        <v>1878</v>
      </c>
      <c r="C305" t="s">
        <v>1853</v>
      </c>
      <c r="D305" t="s">
        <v>1859</v>
      </c>
      <c r="K305"/>
      <c r="L305"/>
      <c r="M305"/>
    </row>
    <row r="306" spans="1:13" hidden="1">
      <c r="A306" s="2" t="s">
        <v>392</v>
      </c>
      <c r="B306" t="s">
        <v>1878</v>
      </c>
      <c r="C306" t="s">
        <v>1850</v>
      </c>
      <c r="D306" t="s">
        <v>1859</v>
      </c>
      <c r="K306"/>
      <c r="L306"/>
      <c r="M306"/>
    </row>
    <row r="307" spans="1:13" hidden="1">
      <c r="A307" s="2" t="s">
        <v>385</v>
      </c>
      <c r="B307" t="s">
        <v>1878</v>
      </c>
      <c r="C307" t="s">
        <v>1850</v>
      </c>
      <c r="D307" t="s">
        <v>1859</v>
      </c>
      <c r="K307"/>
      <c r="L307"/>
      <c r="M307"/>
    </row>
    <row r="308" spans="1:13" hidden="1">
      <c r="A308" s="2" t="s">
        <v>415</v>
      </c>
      <c r="B308" t="s">
        <v>1878</v>
      </c>
      <c r="C308" t="s">
        <v>1852</v>
      </c>
      <c r="D308" t="s">
        <v>1861</v>
      </c>
      <c r="K308"/>
      <c r="L308"/>
      <c r="M308"/>
    </row>
    <row r="309" spans="1:13" hidden="1">
      <c r="A309" s="2" t="s">
        <v>420</v>
      </c>
      <c r="B309" t="s">
        <v>1878</v>
      </c>
      <c r="C309" t="s">
        <v>1853</v>
      </c>
      <c r="D309" t="s">
        <v>1859</v>
      </c>
      <c r="K309"/>
      <c r="L309"/>
      <c r="M309"/>
    </row>
    <row r="310" spans="1:13" hidden="1">
      <c r="A310" s="2" t="s">
        <v>438</v>
      </c>
      <c r="B310" t="s">
        <v>1878</v>
      </c>
      <c r="C310" t="s">
        <v>1850</v>
      </c>
      <c r="D310" t="s">
        <v>1859</v>
      </c>
      <c r="K310"/>
      <c r="L310"/>
      <c r="M310"/>
    </row>
    <row r="311" spans="1:13" hidden="1">
      <c r="A311" s="2" t="s">
        <v>445</v>
      </c>
      <c r="B311" t="s">
        <v>1878</v>
      </c>
      <c r="C311" t="s">
        <v>1850</v>
      </c>
      <c r="D311" t="s">
        <v>1859</v>
      </c>
      <c r="K311"/>
      <c r="L311"/>
      <c r="M311"/>
    </row>
    <row r="312" spans="1:13" hidden="1">
      <c r="A312" s="2" t="s">
        <v>436</v>
      </c>
      <c r="B312" t="s">
        <v>1878</v>
      </c>
      <c r="C312" t="s">
        <v>1851</v>
      </c>
      <c r="D312" t="s">
        <v>1859</v>
      </c>
      <c r="K312"/>
      <c r="L312"/>
      <c r="M312"/>
    </row>
    <row r="313" spans="1:13" hidden="1">
      <c r="A313" s="2" t="s">
        <v>651</v>
      </c>
      <c r="B313" t="s">
        <v>1879</v>
      </c>
      <c r="C313" t="s">
        <v>1854</v>
      </c>
      <c r="D313" t="s">
        <v>1863</v>
      </c>
      <c r="K313"/>
      <c r="L313"/>
      <c r="M313"/>
    </row>
    <row r="314" spans="1:13" hidden="1">
      <c r="A314" s="2" t="s">
        <v>533</v>
      </c>
      <c r="B314" t="s">
        <v>1878</v>
      </c>
      <c r="C314" t="s">
        <v>1854</v>
      </c>
      <c r="D314" t="s">
        <v>1859</v>
      </c>
      <c r="K314"/>
      <c r="L314"/>
      <c r="M314"/>
    </row>
    <row r="315" spans="1:13" hidden="1">
      <c r="A315" s="2" t="s">
        <v>644</v>
      </c>
      <c r="B315" t="s">
        <v>1878</v>
      </c>
      <c r="C315" t="s">
        <v>1854</v>
      </c>
      <c r="D315" t="s">
        <v>1859</v>
      </c>
      <c r="K315"/>
      <c r="L315"/>
      <c r="M315"/>
    </row>
    <row r="316" spans="1:13" hidden="1">
      <c r="A316" s="2" t="s">
        <v>643</v>
      </c>
      <c r="B316" t="s">
        <v>1878</v>
      </c>
      <c r="C316" t="s">
        <v>1854</v>
      </c>
      <c r="D316" t="s">
        <v>1859</v>
      </c>
      <c r="K316"/>
      <c r="L316"/>
      <c r="M316"/>
    </row>
    <row r="317" spans="1:13" hidden="1">
      <c r="A317" s="2" t="s">
        <v>645</v>
      </c>
      <c r="B317" t="s">
        <v>1878</v>
      </c>
      <c r="C317" t="s">
        <v>1854</v>
      </c>
      <c r="D317" t="s">
        <v>1859</v>
      </c>
      <c r="K317"/>
      <c r="L317"/>
      <c r="M317"/>
    </row>
    <row r="318" spans="1:13" hidden="1">
      <c r="A318" s="2" t="s">
        <v>552</v>
      </c>
      <c r="B318" t="s">
        <v>1878</v>
      </c>
      <c r="C318" t="s">
        <v>1854</v>
      </c>
      <c r="D318" t="s">
        <v>1859</v>
      </c>
      <c r="K318"/>
      <c r="L318"/>
      <c r="M318"/>
    </row>
    <row r="319" spans="1:13" hidden="1">
      <c r="A319" s="2" t="s">
        <v>553</v>
      </c>
      <c r="B319" t="s">
        <v>1878</v>
      </c>
      <c r="C319" t="s">
        <v>1854</v>
      </c>
      <c r="D319" t="s">
        <v>1859</v>
      </c>
      <c r="K319"/>
      <c r="L319"/>
      <c r="M319"/>
    </row>
    <row r="320" spans="1:13" hidden="1">
      <c r="A320" s="2" t="s">
        <v>554</v>
      </c>
      <c r="B320" t="s">
        <v>1878</v>
      </c>
      <c r="C320" t="s">
        <v>1854</v>
      </c>
      <c r="D320" t="s">
        <v>1859</v>
      </c>
      <c r="K320"/>
      <c r="L320"/>
      <c r="M320"/>
    </row>
    <row r="321" spans="1:13" hidden="1">
      <c r="A321" s="2" t="s">
        <v>564</v>
      </c>
      <c r="B321" t="s">
        <v>1878</v>
      </c>
      <c r="C321" t="s">
        <v>1854</v>
      </c>
      <c r="D321" t="s">
        <v>1859</v>
      </c>
      <c r="K321"/>
      <c r="L321"/>
      <c r="M321"/>
    </row>
    <row r="322" spans="1:13" hidden="1">
      <c r="A322" s="2" t="s">
        <v>649</v>
      </c>
      <c r="B322" t="s">
        <v>1878</v>
      </c>
      <c r="C322" t="s">
        <v>1854</v>
      </c>
      <c r="D322" t="s">
        <v>1859</v>
      </c>
      <c r="K322"/>
      <c r="L322"/>
      <c r="M322"/>
    </row>
    <row r="323" spans="1:13" hidden="1">
      <c r="A323" s="2" t="s">
        <v>648</v>
      </c>
      <c r="B323" t="s">
        <v>1878</v>
      </c>
      <c r="C323" t="s">
        <v>1854</v>
      </c>
      <c r="D323" t="s">
        <v>1859</v>
      </c>
      <c r="K323"/>
      <c r="L323"/>
      <c r="M323"/>
    </row>
    <row r="324" spans="1:13" hidden="1">
      <c r="A324" s="2" t="s">
        <v>577</v>
      </c>
      <c r="B324" t="s">
        <v>1879</v>
      </c>
      <c r="C324" t="s">
        <v>1854</v>
      </c>
      <c r="D324" t="s">
        <v>1863</v>
      </c>
      <c r="K324"/>
      <c r="L324"/>
      <c r="M324"/>
    </row>
    <row r="325" spans="1:13" hidden="1">
      <c r="A325" s="2" t="s">
        <v>670</v>
      </c>
      <c r="B325" t="s">
        <v>1878</v>
      </c>
      <c r="C325" t="s">
        <v>1854</v>
      </c>
      <c r="D325" t="s">
        <v>1859</v>
      </c>
      <c r="K325"/>
      <c r="L325"/>
      <c r="M325"/>
    </row>
    <row r="326" spans="1:13" hidden="1">
      <c r="A326" s="2" t="s">
        <v>588</v>
      </c>
      <c r="B326" t="s">
        <v>1878</v>
      </c>
      <c r="C326" t="s">
        <v>1854</v>
      </c>
      <c r="D326" t="s">
        <v>1859</v>
      </c>
      <c r="K326"/>
      <c r="L326"/>
      <c r="M326"/>
    </row>
    <row r="327" spans="1:13" hidden="1">
      <c r="A327" s="2" t="s">
        <v>534</v>
      </c>
      <c r="B327" t="s">
        <v>1879</v>
      </c>
      <c r="C327" t="s">
        <v>1854</v>
      </c>
      <c r="D327" t="s">
        <v>1863</v>
      </c>
      <c r="K327"/>
      <c r="L327"/>
      <c r="M327"/>
    </row>
    <row r="328" spans="1:13" hidden="1">
      <c r="A328" s="2" t="s">
        <v>535</v>
      </c>
      <c r="B328" t="s">
        <v>1879</v>
      </c>
      <c r="C328" t="s">
        <v>1854</v>
      </c>
      <c r="D328" t="s">
        <v>1863</v>
      </c>
      <c r="K328"/>
      <c r="L328"/>
      <c r="M328"/>
    </row>
    <row r="329" spans="1:13" hidden="1">
      <c r="A329" s="2" t="s">
        <v>568</v>
      </c>
      <c r="B329" t="s">
        <v>1878</v>
      </c>
      <c r="C329" t="s">
        <v>1854</v>
      </c>
      <c r="D329" t="s">
        <v>1864</v>
      </c>
      <c r="K329"/>
      <c r="L329"/>
      <c r="M329"/>
    </row>
    <row r="330" spans="1:13" hidden="1">
      <c r="A330" s="2" t="s">
        <v>565</v>
      </c>
      <c r="B330" t="s">
        <v>1878</v>
      </c>
      <c r="C330" t="s">
        <v>1854</v>
      </c>
      <c r="D330" t="s">
        <v>1859</v>
      </c>
      <c r="K330"/>
      <c r="L330"/>
      <c r="M330"/>
    </row>
    <row r="331" spans="1:13" hidden="1">
      <c r="A331" s="2" t="s">
        <v>566</v>
      </c>
      <c r="B331" t="s">
        <v>1878</v>
      </c>
      <c r="C331" t="s">
        <v>1854</v>
      </c>
      <c r="D331" t="s">
        <v>1859</v>
      </c>
      <c r="K331"/>
      <c r="L331"/>
      <c r="M331"/>
    </row>
    <row r="332" spans="1:13" hidden="1">
      <c r="A332" s="2" t="s">
        <v>586</v>
      </c>
      <c r="B332" t="s">
        <v>1878</v>
      </c>
      <c r="C332" t="s">
        <v>1854</v>
      </c>
      <c r="D332" t="s">
        <v>1864</v>
      </c>
      <c r="K332"/>
      <c r="L332"/>
      <c r="M332"/>
    </row>
    <row r="333" spans="1:13" hidden="1">
      <c r="A333" s="2" t="s">
        <v>585</v>
      </c>
      <c r="B333" t="s">
        <v>1879</v>
      </c>
      <c r="C333" t="s">
        <v>1854</v>
      </c>
      <c r="D333" t="s">
        <v>1862</v>
      </c>
      <c r="K333"/>
      <c r="L333"/>
      <c r="M333"/>
    </row>
    <row r="334" spans="1:13" hidden="1">
      <c r="A334" s="2" t="s">
        <v>587</v>
      </c>
      <c r="B334" t="s">
        <v>1879</v>
      </c>
      <c r="C334" t="s">
        <v>1854</v>
      </c>
      <c r="D334" t="s">
        <v>1862</v>
      </c>
      <c r="K334"/>
      <c r="L334"/>
      <c r="M334"/>
    </row>
    <row r="335" spans="1:13" hidden="1">
      <c r="A335" s="2" t="s">
        <v>563</v>
      </c>
      <c r="B335" t="s">
        <v>1879</v>
      </c>
      <c r="C335" t="s">
        <v>1854</v>
      </c>
      <c r="D335" t="s">
        <v>1863</v>
      </c>
      <c r="K335"/>
      <c r="L335"/>
      <c r="M335"/>
    </row>
    <row r="336" spans="1:13" hidden="1">
      <c r="A336" s="2" t="s">
        <v>555</v>
      </c>
      <c r="B336" t="s">
        <v>1879</v>
      </c>
      <c r="C336" t="s">
        <v>1854</v>
      </c>
      <c r="D336" t="s">
        <v>1863</v>
      </c>
      <c r="K336"/>
      <c r="L336"/>
      <c r="M336"/>
    </row>
    <row r="337" spans="1:13" hidden="1">
      <c r="A337" s="2" t="s">
        <v>567</v>
      </c>
      <c r="B337" t="s">
        <v>1878</v>
      </c>
      <c r="C337" t="s">
        <v>1854</v>
      </c>
      <c r="D337" t="s">
        <v>1859</v>
      </c>
      <c r="K337"/>
      <c r="L337"/>
      <c r="M337"/>
    </row>
    <row r="338" spans="1:13" hidden="1">
      <c r="A338" s="2" t="s">
        <v>536</v>
      </c>
      <c r="B338" t="s">
        <v>1878</v>
      </c>
      <c r="C338" t="s">
        <v>1854</v>
      </c>
      <c r="D338" t="s">
        <v>1859</v>
      </c>
      <c r="K338"/>
      <c r="L338"/>
      <c r="M338"/>
    </row>
    <row r="339" spans="1:13" hidden="1">
      <c r="A339" s="2" t="s">
        <v>551</v>
      </c>
      <c r="B339" t="s">
        <v>1878</v>
      </c>
      <c r="C339" t="s">
        <v>1854</v>
      </c>
      <c r="D339" t="s">
        <v>1859</v>
      </c>
      <c r="K339"/>
      <c r="L339"/>
      <c r="M339"/>
    </row>
    <row r="340" spans="1:13" hidden="1">
      <c r="A340" s="2" t="s">
        <v>548</v>
      </c>
      <c r="B340" t="s">
        <v>1878</v>
      </c>
      <c r="C340" t="s">
        <v>1854</v>
      </c>
      <c r="D340" t="s">
        <v>1859</v>
      </c>
      <c r="K340"/>
      <c r="L340"/>
      <c r="M340"/>
    </row>
    <row r="341" spans="1:13" hidden="1">
      <c r="A341" s="2" t="s">
        <v>545</v>
      </c>
      <c r="B341" t="s">
        <v>1878</v>
      </c>
      <c r="C341" t="s">
        <v>1854</v>
      </c>
      <c r="D341" t="s">
        <v>1859</v>
      </c>
      <c r="K341"/>
      <c r="L341"/>
      <c r="M341"/>
    </row>
    <row r="342" spans="1:13" hidden="1">
      <c r="A342" s="2" t="s">
        <v>546</v>
      </c>
      <c r="B342" t="s">
        <v>1879</v>
      </c>
      <c r="C342" t="s">
        <v>1854</v>
      </c>
      <c r="D342" t="s">
        <v>1863</v>
      </c>
      <c r="K342"/>
      <c r="L342"/>
      <c r="M342"/>
    </row>
    <row r="343" spans="1:13" hidden="1">
      <c r="A343" s="2" t="s">
        <v>547</v>
      </c>
      <c r="B343" t="s">
        <v>1878</v>
      </c>
      <c r="C343" t="s">
        <v>1854</v>
      </c>
      <c r="D343" t="s">
        <v>1859</v>
      </c>
      <c r="K343"/>
      <c r="L343"/>
      <c r="M343"/>
    </row>
    <row r="344" spans="1:13" hidden="1">
      <c r="A344" s="2" t="s">
        <v>579</v>
      </c>
      <c r="B344" t="s">
        <v>1879</v>
      </c>
      <c r="C344" t="s">
        <v>1854</v>
      </c>
      <c r="D344" t="s">
        <v>1862</v>
      </c>
      <c r="K344"/>
      <c r="L344"/>
      <c r="M344"/>
    </row>
    <row r="345" spans="1:13" hidden="1">
      <c r="A345" s="2" t="s">
        <v>580</v>
      </c>
      <c r="B345" t="s">
        <v>1879</v>
      </c>
      <c r="C345" t="s">
        <v>1854</v>
      </c>
      <c r="D345" t="s">
        <v>1862</v>
      </c>
      <c r="K345"/>
      <c r="L345"/>
      <c r="M345"/>
    </row>
    <row r="346" spans="1:13" hidden="1">
      <c r="A346" s="2" t="s">
        <v>569</v>
      </c>
      <c r="B346" t="s">
        <v>1879</v>
      </c>
      <c r="C346" t="s">
        <v>1854</v>
      </c>
      <c r="D346" t="s">
        <v>1863</v>
      </c>
      <c r="K346"/>
      <c r="L346"/>
      <c r="M346"/>
    </row>
    <row r="347" spans="1:13" hidden="1">
      <c r="A347" s="2" t="s">
        <v>570</v>
      </c>
      <c r="B347" t="s">
        <v>1879</v>
      </c>
      <c r="C347" t="s">
        <v>1854</v>
      </c>
      <c r="D347" t="s">
        <v>1863</v>
      </c>
      <c r="K347"/>
      <c r="L347"/>
      <c r="M347"/>
    </row>
    <row r="348" spans="1:13" hidden="1">
      <c r="A348" s="2" t="s">
        <v>571</v>
      </c>
      <c r="B348" t="s">
        <v>1879</v>
      </c>
      <c r="C348" t="s">
        <v>1854</v>
      </c>
      <c r="D348" t="s">
        <v>1863</v>
      </c>
      <c r="K348"/>
      <c r="L348"/>
      <c r="M348"/>
    </row>
    <row r="349" spans="1:13" hidden="1">
      <c r="A349" s="2" t="s">
        <v>642</v>
      </c>
      <c r="B349" t="s">
        <v>1879</v>
      </c>
      <c r="C349" t="s">
        <v>1854</v>
      </c>
      <c r="D349" t="s">
        <v>1863</v>
      </c>
      <c r="K349"/>
      <c r="L349"/>
      <c r="M349"/>
    </row>
    <row r="350" spans="1:13" hidden="1">
      <c r="A350" s="2" t="s">
        <v>641</v>
      </c>
      <c r="B350" t="s">
        <v>1879</v>
      </c>
      <c r="C350" t="s">
        <v>1854</v>
      </c>
      <c r="D350" t="s">
        <v>1863</v>
      </c>
      <c r="K350"/>
      <c r="L350"/>
      <c r="M350"/>
    </row>
    <row r="351" spans="1:13" hidden="1">
      <c r="A351" s="2" t="s">
        <v>572</v>
      </c>
      <c r="B351" t="s">
        <v>1878</v>
      </c>
      <c r="C351" t="s">
        <v>1854</v>
      </c>
      <c r="D351" t="s">
        <v>1859</v>
      </c>
      <c r="K351"/>
      <c r="L351"/>
      <c r="M351"/>
    </row>
    <row r="352" spans="1:13" hidden="1">
      <c r="A352" s="2" t="s">
        <v>573</v>
      </c>
      <c r="B352" t="s">
        <v>1878</v>
      </c>
      <c r="C352" t="s">
        <v>1854</v>
      </c>
      <c r="D352" t="s">
        <v>1859</v>
      </c>
      <c r="K352"/>
      <c r="L352"/>
      <c r="M352"/>
    </row>
    <row r="353" spans="1:13" hidden="1">
      <c r="A353" s="2" t="s">
        <v>549</v>
      </c>
      <c r="B353" t="s">
        <v>1878</v>
      </c>
      <c r="C353" t="s">
        <v>1854</v>
      </c>
      <c r="D353" t="s">
        <v>1859</v>
      </c>
      <c r="K353"/>
      <c r="L353"/>
      <c r="M353"/>
    </row>
    <row r="354" spans="1:13" hidden="1">
      <c r="A354" s="2" t="s">
        <v>582</v>
      </c>
      <c r="B354" t="s">
        <v>1879</v>
      </c>
      <c r="C354" t="s">
        <v>1854</v>
      </c>
      <c r="D354" t="s">
        <v>1862</v>
      </c>
      <c r="K354"/>
      <c r="L354"/>
      <c r="M354"/>
    </row>
    <row r="355" spans="1:13" hidden="1">
      <c r="A355" s="2" t="s">
        <v>542</v>
      </c>
      <c r="B355" t="s">
        <v>1878</v>
      </c>
      <c r="C355" t="s">
        <v>1854</v>
      </c>
      <c r="D355" t="s">
        <v>1859</v>
      </c>
      <c r="K355"/>
      <c r="L355"/>
      <c r="M355"/>
    </row>
    <row r="356" spans="1:13" hidden="1">
      <c r="A356" s="2" t="s">
        <v>581</v>
      </c>
      <c r="B356" t="s">
        <v>1878</v>
      </c>
      <c r="C356" t="s">
        <v>1854</v>
      </c>
      <c r="D356" t="s">
        <v>1859</v>
      </c>
      <c r="K356"/>
      <c r="L356"/>
      <c r="M356"/>
    </row>
    <row r="357" spans="1:13" hidden="1">
      <c r="A357" s="2" t="s">
        <v>541</v>
      </c>
      <c r="B357" t="s">
        <v>1878</v>
      </c>
      <c r="C357" t="s">
        <v>1854</v>
      </c>
      <c r="D357" t="s">
        <v>1859</v>
      </c>
      <c r="K357"/>
      <c r="L357"/>
      <c r="M357"/>
    </row>
    <row r="358" spans="1:13" hidden="1">
      <c r="A358" s="2" t="s">
        <v>537</v>
      </c>
      <c r="B358" t="s">
        <v>1878</v>
      </c>
      <c r="C358" t="s">
        <v>1854</v>
      </c>
      <c r="D358" t="s">
        <v>1859</v>
      </c>
      <c r="K358"/>
      <c r="L358"/>
      <c r="M358"/>
    </row>
    <row r="359" spans="1:13" hidden="1">
      <c r="A359" s="2" t="s">
        <v>538</v>
      </c>
      <c r="B359" t="s">
        <v>1878</v>
      </c>
      <c r="C359" t="s">
        <v>1854</v>
      </c>
      <c r="D359" t="s">
        <v>1859</v>
      </c>
      <c r="K359"/>
      <c r="L359"/>
      <c r="M359"/>
    </row>
    <row r="360" spans="1:13" hidden="1">
      <c r="A360" s="2" t="s">
        <v>539</v>
      </c>
      <c r="B360" t="s">
        <v>1878</v>
      </c>
      <c r="C360" t="s">
        <v>1854</v>
      </c>
      <c r="D360" t="s">
        <v>1859</v>
      </c>
      <c r="K360"/>
      <c r="L360"/>
      <c r="M360"/>
    </row>
    <row r="361" spans="1:13" hidden="1">
      <c r="A361" s="2" t="s">
        <v>543</v>
      </c>
      <c r="B361" t="s">
        <v>1878</v>
      </c>
      <c r="C361" t="s">
        <v>1854</v>
      </c>
      <c r="D361" t="s">
        <v>1859</v>
      </c>
      <c r="K361"/>
      <c r="L361"/>
      <c r="M361"/>
    </row>
    <row r="362" spans="1:13" hidden="1">
      <c r="A362" s="2" t="s">
        <v>540</v>
      </c>
      <c r="B362" t="s">
        <v>1878</v>
      </c>
      <c r="C362" t="s">
        <v>1854</v>
      </c>
      <c r="D362" t="s">
        <v>1859</v>
      </c>
      <c r="K362"/>
      <c r="L362"/>
      <c r="M362"/>
    </row>
    <row r="363" spans="1:13" hidden="1">
      <c r="A363" s="2" t="s">
        <v>646</v>
      </c>
      <c r="B363" t="s">
        <v>1878</v>
      </c>
      <c r="C363" t="s">
        <v>1854</v>
      </c>
      <c r="D363" t="s">
        <v>1859</v>
      </c>
      <c r="K363"/>
      <c r="L363"/>
      <c r="M363"/>
    </row>
    <row r="364" spans="1:13" hidden="1">
      <c r="A364" s="2" t="s">
        <v>557</v>
      </c>
      <c r="B364" t="s">
        <v>1878</v>
      </c>
      <c r="C364" t="s">
        <v>1854</v>
      </c>
      <c r="D364" t="s">
        <v>1859</v>
      </c>
      <c r="K364"/>
      <c r="L364"/>
      <c r="M364"/>
    </row>
    <row r="365" spans="1:13" hidden="1">
      <c r="A365" s="2" t="s">
        <v>556</v>
      </c>
      <c r="B365" t="s">
        <v>1879</v>
      </c>
      <c r="C365" t="s">
        <v>1854</v>
      </c>
      <c r="D365" t="s">
        <v>1863</v>
      </c>
      <c r="K365"/>
      <c r="L365"/>
      <c r="M365"/>
    </row>
    <row r="366" spans="1:13" hidden="1">
      <c r="A366" s="2" t="s">
        <v>550</v>
      </c>
      <c r="B366" t="s">
        <v>1879</v>
      </c>
      <c r="C366" t="s">
        <v>1854</v>
      </c>
      <c r="D366" t="s">
        <v>1863</v>
      </c>
      <c r="K366"/>
      <c r="L366"/>
      <c r="M366"/>
    </row>
    <row r="367" spans="1:13" hidden="1">
      <c r="A367" s="2" t="s">
        <v>544</v>
      </c>
      <c r="B367" t="s">
        <v>1878</v>
      </c>
      <c r="C367" t="s">
        <v>1854</v>
      </c>
      <c r="D367" t="s">
        <v>1859</v>
      </c>
      <c r="K367"/>
      <c r="L367"/>
      <c r="M367"/>
    </row>
    <row r="368" spans="1:13" hidden="1">
      <c r="A368" s="2" t="s">
        <v>574</v>
      </c>
      <c r="B368" t="s">
        <v>1878</v>
      </c>
      <c r="C368" t="s">
        <v>1854</v>
      </c>
      <c r="D368" t="s">
        <v>1859</v>
      </c>
      <c r="K368"/>
      <c r="L368"/>
      <c r="M368"/>
    </row>
    <row r="369" spans="1:13" hidden="1">
      <c r="A369" s="2" t="s">
        <v>668</v>
      </c>
      <c r="B369" t="s">
        <v>1879</v>
      </c>
      <c r="C369" t="s">
        <v>1854</v>
      </c>
      <c r="D369" t="s">
        <v>1863</v>
      </c>
      <c r="K369"/>
      <c r="L369"/>
      <c r="M369"/>
    </row>
    <row r="370" spans="1:13" hidden="1">
      <c r="A370" s="2" t="s">
        <v>671</v>
      </c>
      <c r="B370" t="s">
        <v>1879</v>
      </c>
      <c r="C370" t="s">
        <v>1854</v>
      </c>
      <c r="D370" t="s">
        <v>1863</v>
      </c>
      <c r="K370"/>
      <c r="L370"/>
      <c r="M370"/>
    </row>
    <row r="371" spans="1:13" hidden="1">
      <c r="A371" s="2" t="s">
        <v>669</v>
      </c>
      <c r="B371" t="s">
        <v>1878</v>
      </c>
      <c r="C371" t="s">
        <v>1854</v>
      </c>
      <c r="D371" t="s">
        <v>1859</v>
      </c>
      <c r="K371"/>
      <c r="L371"/>
      <c r="M371"/>
    </row>
    <row r="372" spans="1:13" hidden="1">
      <c r="A372" s="2" t="s">
        <v>575</v>
      </c>
      <c r="B372" t="s">
        <v>1878</v>
      </c>
      <c r="C372" t="s">
        <v>1854</v>
      </c>
      <c r="D372" t="s">
        <v>1859</v>
      </c>
      <c r="K372"/>
      <c r="L372"/>
      <c r="M372"/>
    </row>
    <row r="373" spans="1:13" hidden="1">
      <c r="A373" s="2" t="s">
        <v>647</v>
      </c>
      <c r="B373" t="s">
        <v>1878</v>
      </c>
      <c r="C373" t="s">
        <v>1854</v>
      </c>
      <c r="D373" t="s">
        <v>1859</v>
      </c>
      <c r="K373"/>
      <c r="L373"/>
      <c r="M373"/>
    </row>
    <row r="374" spans="1:13" hidden="1">
      <c r="A374" s="2" t="s">
        <v>589</v>
      </c>
      <c r="B374" t="s">
        <v>1878</v>
      </c>
      <c r="C374" t="s">
        <v>1854</v>
      </c>
      <c r="D374" t="s">
        <v>1859</v>
      </c>
      <c r="K374"/>
      <c r="L374"/>
      <c r="M374"/>
    </row>
    <row r="375" spans="1:13" hidden="1">
      <c r="A375" s="2" t="s">
        <v>558</v>
      </c>
      <c r="B375" t="s">
        <v>1878</v>
      </c>
      <c r="C375" t="s">
        <v>1854</v>
      </c>
      <c r="D375" t="s">
        <v>1859</v>
      </c>
      <c r="K375"/>
      <c r="L375"/>
      <c r="M375"/>
    </row>
    <row r="376" spans="1:13" hidden="1">
      <c r="A376" s="2" t="s">
        <v>559</v>
      </c>
      <c r="B376" t="s">
        <v>1879</v>
      </c>
      <c r="C376" t="s">
        <v>1854</v>
      </c>
      <c r="D376" t="s">
        <v>1863</v>
      </c>
      <c r="K376"/>
      <c r="L376"/>
      <c r="M376"/>
    </row>
    <row r="377" spans="1:13" hidden="1">
      <c r="A377" s="2" t="s">
        <v>561</v>
      </c>
      <c r="B377" t="s">
        <v>1878</v>
      </c>
      <c r="C377" t="s">
        <v>1854</v>
      </c>
      <c r="D377" t="s">
        <v>1859</v>
      </c>
      <c r="K377"/>
      <c r="L377"/>
      <c r="M377"/>
    </row>
    <row r="378" spans="1:13" hidden="1">
      <c r="A378" s="2" t="s">
        <v>583</v>
      </c>
      <c r="B378" t="s">
        <v>1879</v>
      </c>
      <c r="C378" t="s">
        <v>1854</v>
      </c>
      <c r="D378" t="s">
        <v>1863</v>
      </c>
      <c r="K378"/>
      <c r="L378"/>
      <c r="M378"/>
    </row>
    <row r="379" spans="1:13" hidden="1">
      <c r="A379" s="2" t="s">
        <v>560</v>
      </c>
      <c r="B379" t="s">
        <v>1878</v>
      </c>
      <c r="C379" t="s">
        <v>1854</v>
      </c>
      <c r="D379" t="s">
        <v>1859</v>
      </c>
      <c r="K379"/>
      <c r="L379"/>
      <c r="M379"/>
    </row>
    <row r="380" spans="1:13" hidden="1">
      <c r="A380" s="2" t="s">
        <v>650</v>
      </c>
      <c r="B380" t="s">
        <v>1879</v>
      </c>
      <c r="C380" t="s">
        <v>1854</v>
      </c>
      <c r="D380" t="s">
        <v>1863</v>
      </c>
      <c r="K380"/>
      <c r="L380"/>
      <c r="M380"/>
    </row>
    <row r="381" spans="1:13" hidden="1">
      <c r="A381" s="2" t="s">
        <v>576</v>
      </c>
      <c r="B381" t="s">
        <v>1878</v>
      </c>
      <c r="C381" t="s">
        <v>1854</v>
      </c>
      <c r="D381" t="s">
        <v>1859</v>
      </c>
      <c r="K381"/>
      <c r="L381"/>
      <c r="M381"/>
    </row>
    <row r="382" spans="1:13" hidden="1">
      <c r="A382" s="2" t="s">
        <v>590</v>
      </c>
      <c r="B382" t="s">
        <v>1878</v>
      </c>
      <c r="C382" t="s">
        <v>1854</v>
      </c>
      <c r="D382" t="s">
        <v>1859</v>
      </c>
      <c r="K382"/>
      <c r="L382"/>
      <c r="M382"/>
    </row>
    <row r="383" spans="1:13" hidden="1">
      <c r="A383" s="2" t="s">
        <v>562</v>
      </c>
      <c r="B383" t="s">
        <v>1878</v>
      </c>
      <c r="C383" t="s">
        <v>1854</v>
      </c>
      <c r="D383" t="s">
        <v>1859</v>
      </c>
      <c r="K383"/>
      <c r="L383"/>
      <c r="M383"/>
    </row>
    <row r="384" spans="1:13" hidden="1">
      <c r="A384" s="2" t="s">
        <v>584</v>
      </c>
      <c r="B384" t="s">
        <v>1878</v>
      </c>
      <c r="C384" t="s">
        <v>1854</v>
      </c>
      <c r="D384" t="s">
        <v>1859</v>
      </c>
      <c r="K384"/>
      <c r="L384"/>
      <c r="M384"/>
    </row>
    <row r="385" spans="1:13" hidden="1">
      <c r="A385" s="2" t="s">
        <v>578</v>
      </c>
      <c r="B385" t="s">
        <v>1878</v>
      </c>
      <c r="C385" t="s">
        <v>1854</v>
      </c>
      <c r="D385" t="s">
        <v>1859</v>
      </c>
      <c r="K385"/>
      <c r="L385"/>
      <c r="M385"/>
    </row>
    <row r="386" spans="1:13" hidden="1">
      <c r="A386" s="2" t="s">
        <v>597</v>
      </c>
      <c r="B386" t="s">
        <v>1877</v>
      </c>
      <c r="C386" t="s">
        <v>1854</v>
      </c>
      <c r="D386" t="s">
        <v>1859</v>
      </c>
      <c r="K386"/>
      <c r="L386"/>
      <c r="M386"/>
    </row>
    <row r="387" spans="1:13" hidden="1">
      <c r="A387" s="2" t="s">
        <v>596</v>
      </c>
      <c r="B387" t="s">
        <v>1877</v>
      </c>
      <c r="C387" t="s">
        <v>1850</v>
      </c>
      <c r="D387" t="s">
        <v>1859</v>
      </c>
      <c r="K387"/>
      <c r="L387"/>
      <c r="M387"/>
    </row>
    <row r="388" spans="1:13" hidden="1">
      <c r="A388" s="2" t="s">
        <v>598</v>
      </c>
      <c r="B388" t="s">
        <v>1877</v>
      </c>
      <c r="C388" t="s">
        <v>1854</v>
      </c>
      <c r="D388" t="s">
        <v>1859</v>
      </c>
      <c r="K388"/>
      <c r="L388"/>
      <c r="M388"/>
    </row>
    <row r="389" spans="1:13" hidden="1">
      <c r="A389" s="2" t="s">
        <v>751</v>
      </c>
      <c r="B389" t="s">
        <v>1877</v>
      </c>
      <c r="C389" t="s">
        <v>1850</v>
      </c>
      <c r="D389" t="s">
        <v>1864</v>
      </c>
      <c r="K389"/>
      <c r="L389"/>
      <c r="M389"/>
    </row>
    <row r="390" spans="1:13" hidden="1">
      <c r="A390" s="2" t="s">
        <v>752</v>
      </c>
      <c r="B390" t="s">
        <v>1877</v>
      </c>
      <c r="C390" t="s">
        <v>1850</v>
      </c>
      <c r="D390" t="s">
        <v>1864</v>
      </c>
      <c r="K390"/>
      <c r="L390"/>
      <c r="M390"/>
    </row>
    <row r="391" spans="1:13" hidden="1">
      <c r="A391" s="2" t="s">
        <v>910</v>
      </c>
      <c r="B391" t="s">
        <v>1877</v>
      </c>
      <c r="C391" t="s">
        <v>1856</v>
      </c>
      <c r="D391" t="s">
        <v>1861</v>
      </c>
      <c r="K391"/>
      <c r="L391"/>
      <c r="M391"/>
    </row>
    <row r="392" spans="1:13" hidden="1">
      <c r="A392" s="2" t="s">
        <v>893</v>
      </c>
      <c r="B392" t="s">
        <v>1877</v>
      </c>
      <c r="C392" t="s">
        <v>1856</v>
      </c>
      <c r="D392" t="s">
        <v>1863</v>
      </c>
      <c r="K392"/>
      <c r="L392"/>
      <c r="M392"/>
    </row>
    <row r="393" spans="1:13" hidden="1">
      <c r="A393" s="2" t="s">
        <v>894</v>
      </c>
      <c r="B393" t="s">
        <v>1877</v>
      </c>
      <c r="C393" t="s">
        <v>1856</v>
      </c>
      <c r="D393" t="s">
        <v>1860</v>
      </c>
      <c r="K393"/>
      <c r="L393"/>
      <c r="M393"/>
    </row>
    <row r="394" spans="1:13" hidden="1">
      <c r="A394" s="2" t="s">
        <v>895</v>
      </c>
      <c r="B394" t="s">
        <v>1877</v>
      </c>
      <c r="C394" t="s">
        <v>1856</v>
      </c>
      <c r="D394" t="s">
        <v>1862</v>
      </c>
      <c r="K394"/>
      <c r="L394"/>
      <c r="M394"/>
    </row>
    <row r="395" spans="1:13" hidden="1">
      <c r="A395" s="2" t="s">
        <v>896</v>
      </c>
      <c r="B395" t="s">
        <v>1877</v>
      </c>
      <c r="C395" t="s">
        <v>1856</v>
      </c>
      <c r="D395" t="s">
        <v>1864</v>
      </c>
      <c r="K395"/>
      <c r="L395"/>
      <c r="M395"/>
    </row>
    <row r="396" spans="1:13" hidden="1">
      <c r="A396" s="2" t="s">
        <v>897</v>
      </c>
      <c r="B396" t="s">
        <v>1877</v>
      </c>
      <c r="C396" t="s">
        <v>1856</v>
      </c>
      <c r="D396" t="s">
        <v>1865</v>
      </c>
      <c r="K396"/>
      <c r="L396"/>
      <c r="M396"/>
    </row>
    <row r="397" spans="1:13" hidden="1">
      <c r="A397" s="2" t="s">
        <v>898</v>
      </c>
      <c r="B397" t="s">
        <v>1877</v>
      </c>
      <c r="C397" t="s">
        <v>1856</v>
      </c>
      <c r="D397" t="s">
        <v>1867</v>
      </c>
      <c r="K397"/>
      <c r="L397"/>
      <c r="M397"/>
    </row>
    <row r="398" spans="1:13" hidden="1">
      <c r="A398" s="2" t="s">
        <v>899</v>
      </c>
      <c r="B398" t="s">
        <v>1877</v>
      </c>
      <c r="C398" t="s">
        <v>1856</v>
      </c>
      <c r="D398" t="s">
        <v>1872</v>
      </c>
      <c r="K398"/>
      <c r="L398"/>
      <c r="M398"/>
    </row>
    <row r="399" spans="1:13" hidden="1">
      <c r="A399" s="2" t="s">
        <v>900</v>
      </c>
      <c r="B399" t="s">
        <v>1877</v>
      </c>
      <c r="C399" t="s">
        <v>1856</v>
      </c>
      <c r="D399" t="s">
        <v>1873</v>
      </c>
      <c r="K399"/>
      <c r="L399"/>
      <c r="M399"/>
    </row>
    <row r="400" spans="1:13" hidden="1">
      <c r="A400" s="2" t="s">
        <v>901</v>
      </c>
      <c r="B400" t="s">
        <v>1877</v>
      </c>
      <c r="C400" t="s">
        <v>1856</v>
      </c>
      <c r="D400" t="s">
        <v>1866</v>
      </c>
      <c r="K400"/>
      <c r="L400"/>
      <c r="M400"/>
    </row>
    <row r="401" spans="1:13" hidden="1">
      <c r="A401" s="2" t="s">
        <v>902</v>
      </c>
      <c r="B401" t="s">
        <v>1877</v>
      </c>
      <c r="C401" t="s">
        <v>1856</v>
      </c>
      <c r="D401" t="s">
        <v>1866</v>
      </c>
      <c r="K401"/>
      <c r="L401"/>
      <c r="M401"/>
    </row>
    <row r="402" spans="1:13" hidden="1">
      <c r="A402" s="2" t="s">
        <v>903</v>
      </c>
      <c r="B402" t="s">
        <v>1877</v>
      </c>
      <c r="C402" t="s">
        <v>1856</v>
      </c>
      <c r="D402" t="s">
        <v>1860</v>
      </c>
      <c r="K402"/>
      <c r="L402"/>
      <c r="M402"/>
    </row>
    <row r="403" spans="1:13" hidden="1">
      <c r="A403" s="2" t="s">
        <v>904</v>
      </c>
      <c r="B403" t="s">
        <v>1877</v>
      </c>
      <c r="C403" t="s">
        <v>1856</v>
      </c>
      <c r="D403" t="s">
        <v>1860</v>
      </c>
      <c r="K403"/>
      <c r="L403"/>
      <c r="M403"/>
    </row>
    <row r="404" spans="1:13" hidden="1">
      <c r="A404" s="2" t="s">
        <v>905</v>
      </c>
      <c r="B404" t="s">
        <v>1877</v>
      </c>
      <c r="C404" t="s">
        <v>1855</v>
      </c>
      <c r="D404" t="s">
        <v>1859</v>
      </c>
      <c r="K404"/>
      <c r="L404"/>
      <c r="M404"/>
    </row>
    <row r="405" spans="1:13" hidden="1">
      <c r="A405" s="2" t="s">
        <v>906</v>
      </c>
      <c r="B405" t="s">
        <v>1877</v>
      </c>
      <c r="C405" t="s">
        <v>1856</v>
      </c>
      <c r="D405" t="s">
        <v>1868</v>
      </c>
      <c r="K405"/>
      <c r="L405"/>
      <c r="M405"/>
    </row>
    <row r="406" spans="1:13" hidden="1">
      <c r="A406" s="2" t="s">
        <v>373</v>
      </c>
      <c r="B406" t="s">
        <v>1877</v>
      </c>
      <c r="C406" t="s">
        <v>1854</v>
      </c>
      <c r="D406" t="s">
        <v>1861</v>
      </c>
      <c r="K406"/>
      <c r="L406"/>
      <c r="M406"/>
    </row>
    <row r="407" spans="1:13" hidden="1">
      <c r="A407" s="2" t="s">
        <v>367</v>
      </c>
      <c r="B407" t="s">
        <v>1877</v>
      </c>
      <c r="C407" t="s">
        <v>1854</v>
      </c>
      <c r="D407" t="s">
        <v>1861</v>
      </c>
      <c r="K407"/>
      <c r="L407"/>
      <c r="M407"/>
    </row>
    <row r="408" spans="1:13" hidden="1">
      <c r="A408" s="2" t="s">
        <v>324</v>
      </c>
      <c r="B408" t="s">
        <v>1877</v>
      </c>
      <c r="C408" t="s">
        <v>1854</v>
      </c>
      <c r="D408" t="s">
        <v>1861</v>
      </c>
      <c r="K408"/>
      <c r="L408"/>
      <c r="M408"/>
    </row>
    <row r="409" spans="1:13" hidden="1">
      <c r="A409" s="2" t="s">
        <v>370</v>
      </c>
      <c r="B409" t="s">
        <v>1877</v>
      </c>
      <c r="C409" t="s">
        <v>1854</v>
      </c>
      <c r="D409" t="s">
        <v>1861</v>
      </c>
      <c r="K409"/>
      <c r="L409"/>
      <c r="M409"/>
    </row>
    <row r="410" spans="1:13" hidden="1">
      <c r="A410" s="2" t="s">
        <v>340</v>
      </c>
      <c r="B410" t="s">
        <v>1877</v>
      </c>
      <c r="C410" t="s">
        <v>1854</v>
      </c>
      <c r="D410" t="s">
        <v>1861</v>
      </c>
      <c r="K410"/>
      <c r="L410"/>
      <c r="M410"/>
    </row>
    <row r="411" spans="1:13" hidden="1">
      <c r="A411" s="2" t="s">
        <v>333</v>
      </c>
      <c r="B411" t="s">
        <v>1877</v>
      </c>
      <c r="C411" t="s">
        <v>1854</v>
      </c>
      <c r="D411" t="s">
        <v>1861</v>
      </c>
      <c r="K411"/>
      <c r="L411"/>
      <c r="M411"/>
    </row>
    <row r="412" spans="1:13" hidden="1">
      <c r="A412" s="2" t="s">
        <v>369</v>
      </c>
      <c r="B412" t="s">
        <v>1877</v>
      </c>
      <c r="C412" t="s">
        <v>1854</v>
      </c>
      <c r="D412" t="s">
        <v>1861</v>
      </c>
      <c r="K412"/>
      <c r="L412"/>
      <c r="M412"/>
    </row>
    <row r="413" spans="1:13" hidden="1">
      <c r="A413" s="2" t="s">
        <v>368</v>
      </c>
      <c r="B413" t="s">
        <v>1877</v>
      </c>
      <c r="C413" t="s">
        <v>1854</v>
      </c>
      <c r="D413" t="s">
        <v>1861</v>
      </c>
      <c r="K413"/>
      <c r="L413"/>
      <c r="M413"/>
    </row>
    <row r="414" spans="1:13" hidden="1">
      <c r="A414" s="2" t="s">
        <v>366</v>
      </c>
      <c r="B414" t="s">
        <v>1877</v>
      </c>
      <c r="C414" t="s">
        <v>1854</v>
      </c>
      <c r="D414" t="s">
        <v>1861</v>
      </c>
      <c r="K414"/>
      <c r="L414"/>
      <c r="M414"/>
    </row>
    <row r="415" spans="1:13" hidden="1">
      <c r="A415" s="2" t="s">
        <v>343</v>
      </c>
      <c r="B415" t="s">
        <v>1877</v>
      </c>
      <c r="C415" t="s">
        <v>1854</v>
      </c>
      <c r="D415" t="s">
        <v>1861</v>
      </c>
      <c r="K415"/>
      <c r="L415"/>
      <c r="M415"/>
    </row>
    <row r="416" spans="1:13" hidden="1">
      <c r="A416" s="2" t="s">
        <v>339</v>
      </c>
      <c r="B416" t="s">
        <v>1877</v>
      </c>
      <c r="C416" t="s">
        <v>1854</v>
      </c>
      <c r="D416" t="s">
        <v>1861</v>
      </c>
      <c r="K416"/>
      <c r="L416"/>
      <c r="M416"/>
    </row>
    <row r="417" spans="1:13">
      <c r="A417" s="2" t="s">
        <v>329</v>
      </c>
      <c r="B417" t="s">
        <v>1877</v>
      </c>
      <c r="C417" t="s">
        <v>1854</v>
      </c>
      <c r="D417" t="s">
        <v>1861</v>
      </c>
      <c r="K417"/>
      <c r="L417"/>
      <c r="M417"/>
    </row>
    <row r="418" spans="1:13" hidden="1">
      <c r="A418" s="2" t="s">
        <v>350</v>
      </c>
      <c r="B418" t="s">
        <v>1877</v>
      </c>
      <c r="C418" t="s">
        <v>1854</v>
      </c>
      <c r="D418" t="s">
        <v>1861</v>
      </c>
      <c r="K418"/>
      <c r="L418"/>
      <c r="M418"/>
    </row>
    <row r="419" spans="1:13" hidden="1">
      <c r="A419" s="2" t="s">
        <v>358</v>
      </c>
      <c r="B419" t="s">
        <v>1877</v>
      </c>
      <c r="C419" t="s">
        <v>1854</v>
      </c>
      <c r="D419" t="s">
        <v>1861</v>
      </c>
      <c r="K419"/>
      <c r="L419"/>
      <c r="M419"/>
    </row>
    <row r="420" spans="1:13" hidden="1">
      <c r="A420" s="2" t="s">
        <v>374</v>
      </c>
      <c r="B420" t="s">
        <v>1877</v>
      </c>
      <c r="C420" t="s">
        <v>1854</v>
      </c>
      <c r="D420" t="s">
        <v>1861</v>
      </c>
      <c r="K420"/>
      <c r="L420"/>
      <c r="M420"/>
    </row>
    <row r="421" spans="1:13" hidden="1">
      <c r="A421" s="2" t="s">
        <v>328</v>
      </c>
      <c r="B421" t="s">
        <v>1877</v>
      </c>
      <c r="C421" t="s">
        <v>1854</v>
      </c>
      <c r="D421" t="s">
        <v>1861</v>
      </c>
      <c r="K421"/>
      <c r="L421"/>
      <c r="M421"/>
    </row>
    <row r="422" spans="1:13" hidden="1">
      <c r="A422" s="2" t="s">
        <v>334</v>
      </c>
      <c r="B422" t="s">
        <v>1877</v>
      </c>
      <c r="C422" t="s">
        <v>1854</v>
      </c>
      <c r="D422" t="s">
        <v>1861</v>
      </c>
      <c r="K422"/>
      <c r="L422"/>
      <c r="M422"/>
    </row>
    <row r="423" spans="1:13" hidden="1">
      <c r="A423" s="2" t="s">
        <v>357</v>
      </c>
      <c r="B423" t="s">
        <v>1877</v>
      </c>
      <c r="C423" t="s">
        <v>1854</v>
      </c>
      <c r="D423" t="s">
        <v>1861</v>
      </c>
      <c r="K423"/>
      <c r="L423"/>
      <c r="M423"/>
    </row>
    <row r="424" spans="1:13" hidden="1">
      <c r="A424" s="2" t="s">
        <v>331</v>
      </c>
      <c r="B424" t="s">
        <v>1877</v>
      </c>
      <c r="C424" t="s">
        <v>1854</v>
      </c>
      <c r="D424" t="s">
        <v>1861</v>
      </c>
      <c r="K424"/>
      <c r="L424"/>
      <c r="M424"/>
    </row>
    <row r="425" spans="1:13" hidden="1">
      <c r="A425" s="2" t="s">
        <v>363</v>
      </c>
      <c r="B425" t="s">
        <v>1877</v>
      </c>
      <c r="C425" t="s">
        <v>1854</v>
      </c>
      <c r="D425" t="s">
        <v>1861</v>
      </c>
      <c r="K425"/>
      <c r="L425"/>
      <c r="M425"/>
    </row>
    <row r="426" spans="1:13" hidden="1">
      <c r="A426" s="2" t="s">
        <v>372</v>
      </c>
      <c r="B426" t="s">
        <v>1877</v>
      </c>
      <c r="C426" t="s">
        <v>1854</v>
      </c>
      <c r="D426" t="s">
        <v>1861</v>
      </c>
      <c r="K426"/>
      <c r="L426"/>
      <c r="M426"/>
    </row>
    <row r="427" spans="1:13" hidden="1">
      <c r="A427" s="2" t="s">
        <v>360</v>
      </c>
      <c r="B427" t="s">
        <v>1877</v>
      </c>
      <c r="C427" t="s">
        <v>1854</v>
      </c>
      <c r="D427" t="s">
        <v>1861</v>
      </c>
      <c r="K427"/>
      <c r="L427"/>
      <c r="M427"/>
    </row>
    <row r="428" spans="1:13" hidden="1">
      <c r="A428" s="2" t="s">
        <v>354</v>
      </c>
      <c r="B428" t="s">
        <v>1877</v>
      </c>
      <c r="C428" t="s">
        <v>1854</v>
      </c>
      <c r="D428" t="s">
        <v>1861</v>
      </c>
      <c r="K428"/>
      <c r="L428"/>
      <c r="M428"/>
    </row>
    <row r="429" spans="1:13" hidden="1">
      <c r="A429" s="2" t="s">
        <v>342</v>
      </c>
      <c r="B429" t="s">
        <v>1877</v>
      </c>
      <c r="C429" t="s">
        <v>1854</v>
      </c>
      <c r="D429" t="s">
        <v>1861</v>
      </c>
      <c r="K429"/>
      <c r="L429"/>
      <c r="M429"/>
    </row>
    <row r="430" spans="1:13" hidden="1">
      <c r="A430" s="2" t="s">
        <v>754</v>
      </c>
      <c r="B430" t="s">
        <v>1877</v>
      </c>
      <c r="C430" t="s">
        <v>1850</v>
      </c>
      <c r="D430" t="s">
        <v>1864</v>
      </c>
      <c r="K430"/>
      <c r="L430"/>
      <c r="M430"/>
    </row>
    <row r="431" spans="1:13" hidden="1">
      <c r="A431" s="2" t="s">
        <v>753</v>
      </c>
      <c r="B431" t="s">
        <v>1877</v>
      </c>
      <c r="C431" t="s">
        <v>1850</v>
      </c>
      <c r="D431" t="s">
        <v>1864</v>
      </c>
      <c r="K431"/>
      <c r="L431"/>
      <c r="M431"/>
    </row>
    <row r="432" spans="1:13" hidden="1">
      <c r="A432" s="2" t="s">
        <v>349</v>
      </c>
      <c r="B432" t="s">
        <v>1877</v>
      </c>
      <c r="C432" t="s">
        <v>1854</v>
      </c>
      <c r="D432" t="s">
        <v>1861</v>
      </c>
      <c r="K432"/>
      <c r="L432"/>
      <c r="M432"/>
    </row>
    <row r="433" spans="1:13" hidden="1">
      <c r="A433" s="2" t="s">
        <v>336</v>
      </c>
      <c r="B433" t="s">
        <v>1877</v>
      </c>
      <c r="C433" t="s">
        <v>1854</v>
      </c>
      <c r="D433" t="s">
        <v>1861</v>
      </c>
      <c r="K433"/>
      <c r="L433"/>
      <c r="M433"/>
    </row>
    <row r="434" spans="1:13" hidden="1">
      <c r="A434" s="2" t="s">
        <v>365</v>
      </c>
      <c r="B434" t="s">
        <v>1877</v>
      </c>
      <c r="C434" t="s">
        <v>1854</v>
      </c>
      <c r="D434" t="s">
        <v>1861</v>
      </c>
      <c r="K434"/>
      <c r="L434"/>
      <c r="M434"/>
    </row>
    <row r="435" spans="1:13" hidden="1">
      <c r="A435" s="2" t="s">
        <v>338</v>
      </c>
      <c r="B435" t="s">
        <v>1877</v>
      </c>
      <c r="C435" t="s">
        <v>1854</v>
      </c>
      <c r="D435" t="s">
        <v>1861</v>
      </c>
      <c r="K435"/>
      <c r="L435"/>
      <c r="M435"/>
    </row>
    <row r="436" spans="1:13" hidden="1">
      <c r="A436" s="2" t="s">
        <v>353</v>
      </c>
      <c r="B436" t="s">
        <v>1877</v>
      </c>
      <c r="C436" t="s">
        <v>1854</v>
      </c>
      <c r="D436" t="s">
        <v>1861</v>
      </c>
      <c r="K436"/>
      <c r="L436"/>
      <c r="M436"/>
    </row>
    <row r="437" spans="1:13" hidden="1">
      <c r="A437" s="2" t="s">
        <v>332</v>
      </c>
      <c r="B437" t="s">
        <v>1877</v>
      </c>
      <c r="C437" t="s">
        <v>1854</v>
      </c>
      <c r="D437" t="s">
        <v>1861</v>
      </c>
      <c r="K437"/>
      <c r="L437"/>
      <c r="M437"/>
    </row>
    <row r="438" spans="1:13" hidden="1">
      <c r="A438" s="2" t="s">
        <v>330</v>
      </c>
      <c r="B438" t="s">
        <v>1877</v>
      </c>
      <c r="C438" t="s">
        <v>1854</v>
      </c>
      <c r="D438" t="s">
        <v>1861</v>
      </c>
      <c r="K438"/>
      <c r="L438"/>
      <c r="M438"/>
    </row>
    <row r="439" spans="1:13" hidden="1">
      <c r="A439" s="2" t="s">
        <v>345</v>
      </c>
      <c r="B439" t="s">
        <v>1877</v>
      </c>
      <c r="C439" t="s">
        <v>1854</v>
      </c>
      <c r="D439" t="s">
        <v>1861</v>
      </c>
      <c r="K439"/>
      <c r="L439"/>
      <c r="M439"/>
    </row>
    <row r="440" spans="1:13" hidden="1">
      <c r="A440" s="2" t="s">
        <v>341</v>
      </c>
      <c r="B440" t="s">
        <v>1877</v>
      </c>
      <c r="C440" t="s">
        <v>1854</v>
      </c>
      <c r="D440" t="s">
        <v>1861</v>
      </c>
      <c r="K440"/>
      <c r="L440"/>
      <c r="M440"/>
    </row>
    <row r="441" spans="1:13" hidden="1">
      <c r="A441" s="2" t="s">
        <v>351</v>
      </c>
      <c r="B441" t="s">
        <v>1877</v>
      </c>
      <c r="C441" t="s">
        <v>1854</v>
      </c>
      <c r="D441" t="s">
        <v>1861</v>
      </c>
      <c r="K441"/>
      <c r="L441"/>
      <c r="M441"/>
    </row>
    <row r="442" spans="1:13" hidden="1">
      <c r="A442" s="2" t="s">
        <v>361</v>
      </c>
      <c r="B442" t="s">
        <v>1877</v>
      </c>
      <c r="C442" t="s">
        <v>1854</v>
      </c>
      <c r="D442" t="s">
        <v>1861</v>
      </c>
      <c r="K442"/>
      <c r="L442"/>
      <c r="M442"/>
    </row>
    <row r="443" spans="1:13" hidden="1">
      <c r="A443" s="2" t="s">
        <v>364</v>
      </c>
      <c r="B443" t="s">
        <v>1877</v>
      </c>
      <c r="C443" t="s">
        <v>1854</v>
      </c>
      <c r="D443" t="s">
        <v>1861</v>
      </c>
      <c r="K443"/>
      <c r="L443"/>
      <c r="M443"/>
    </row>
    <row r="444" spans="1:13" hidden="1">
      <c r="A444" s="2" t="s">
        <v>355</v>
      </c>
      <c r="B444" t="s">
        <v>1877</v>
      </c>
      <c r="C444" t="s">
        <v>1854</v>
      </c>
      <c r="D444" t="s">
        <v>1861</v>
      </c>
      <c r="K444"/>
      <c r="L444"/>
      <c r="M444"/>
    </row>
    <row r="445" spans="1:13" hidden="1">
      <c r="A445" s="2" t="s">
        <v>352</v>
      </c>
      <c r="B445" t="s">
        <v>1877</v>
      </c>
      <c r="C445" t="s">
        <v>1854</v>
      </c>
      <c r="D445" t="s">
        <v>1861</v>
      </c>
      <c r="K445"/>
      <c r="L445"/>
      <c r="M445"/>
    </row>
    <row r="446" spans="1:13" hidden="1">
      <c r="A446" s="2" t="s">
        <v>371</v>
      </c>
      <c r="B446" t="s">
        <v>1877</v>
      </c>
      <c r="C446" t="s">
        <v>1854</v>
      </c>
      <c r="D446" t="s">
        <v>1861</v>
      </c>
      <c r="K446"/>
      <c r="L446"/>
      <c r="M446"/>
    </row>
    <row r="447" spans="1:13" hidden="1">
      <c r="A447" s="2" t="s">
        <v>337</v>
      </c>
      <c r="B447" t="s">
        <v>1877</v>
      </c>
      <c r="C447" t="s">
        <v>1854</v>
      </c>
      <c r="D447" t="s">
        <v>1861</v>
      </c>
      <c r="K447"/>
      <c r="L447"/>
      <c r="M447"/>
    </row>
    <row r="448" spans="1:13" hidden="1">
      <c r="A448" s="2" t="s">
        <v>348</v>
      </c>
      <c r="B448" t="s">
        <v>1877</v>
      </c>
      <c r="C448" t="s">
        <v>1854</v>
      </c>
      <c r="D448" t="s">
        <v>1861</v>
      </c>
      <c r="K448"/>
      <c r="L448"/>
      <c r="M448"/>
    </row>
    <row r="449" spans="1:13" hidden="1">
      <c r="A449" s="2" t="s">
        <v>344</v>
      </c>
      <c r="B449" t="s">
        <v>1877</v>
      </c>
      <c r="C449" t="s">
        <v>1854</v>
      </c>
      <c r="D449" t="s">
        <v>1861</v>
      </c>
      <c r="K449"/>
      <c r="L449"/>
      <c r="M449"/>
    </row>
    <row r="450" spans="1:13" hidden="1">
      <c r="A450" s="2" t="s">
        <v>376</v>
      </c>
      <c r="B450" t="s">
        <v>1877</v>
      </c>
      <c r="C450" t="s">
        <v>1854</v>
      </c>
      <c r="D450" t="s">
        <v>1861</v>
      </c>
      <c r="K450"/>
      <c r="L450"/>
      <c r="M450"/>
    </row>
    <row r="451" spans="1:13" hidden="1">
      <c r="A451" s="2" t="s">
        <v>377</v>
      </c>
      <c r="B451" t="s">
        <v>1877</v>
      </c>
      <c r="C451" t="s">
        <v>1854</v>
      </c>
      <c r="D451" t="s">
        <v>1861</v>
      </c>
      <c r="K451"/>
      <c r="L451"/>
      <c r="M451"/>
    </row>
    <row r="452" spans="1:13" hidden="1">
      <c r="A452" s="2" t="s">
        <v>346</v>
      </c>
      <c r="B452" t="s">
        <v>1877</v>
      </c>
      <c r="C452" t="s">
        <v>1854</v>
      </c>
      <c r="D452" t="s">
        <v>1861</v>
      </c>
      <c r="K452"/>
      <c r="L452"/>
      <c r="M452"/>
    </row>
    <row r="453" spans="1:13" hidden="1">
      <c r="A453" s="2" t="s">
        <v>375</v>
      </c>
      <c r="B453" t="s">
        <v>1877</v>
      </c>
      <c r="C453" t="s">
        <v>1854</v>
      </c>
      <c r="D453" t="s">
        <v>1861</v>
      </c>
      <c r="K453"/>
      <c r="L453"/>
      <c r="M453"/>
    </row>
    <row r="454" spans="1:13" hidden="1">
      <c r="A454" s="2" t="s">
        <v>347</v>
      </c>
      <c r="B454" t="s">
        <v>1877</v>
      </c>
      <c r="C454" t="s">
        <v>1854</v>
      </c>
      <c r="D454" t="s">
        <v>1861</v>
      </c>
      <c r="K454"/>
      <c r="L454"/>
      <c r="M454"/>
    </row>
    <row r="455" spans="1:13" hidden="1">
      <c r="A455" s="2" t="s">
        <v>359</v>
      </c>
      <c r="B455" t="s">
        <v>1877</v>
      </c>
      <c r="C455" t="s">
        <v>1854</v>
      </c>
      <c r="D455" t="s">
        <v>1861</v>
      </c>
      <c r="K455"/>
      <c r="L455"/>
      <c r="M455"/>
    </row>
    <row r="456" spans="1:13" hidden="1">
      <c r="A456" s="2" t="s">
        <v>327</v>
      </c>
      <c r="B456" t="s">
        <v>1877</v>
      </c>
      <c r="C456" t="s">
        <v>1854</v>
      </c>
      <c r="D456" t="s">
        <v>1861</v>
      </c>
      <c r="K456"/>
      <c r="L456"/>
      <c r="M456"/>
    </row>
    <row r="457" spans="1:13" hidden="1">
      <c r="A457" s="2" t="s">
        <v>362</v>
      </c>
      <c r="B457" t="s">
        <v>1877</v>
      </c>
      <c r="C457" t="s">
        <v>1854</v>
      </c>
      <c r="D457" t="s">
        <v>1861</v>
      </c>
      <c r="K457"/>
      <c r="L457"/>
      <c r="M457"/>
    </row>
    <row r="458" spans="1:13" hidden="1">
      <c r="A458" s="2" t="s">
        <v>335</v>
      </c>
      <c r="B458" t="s">
        <v>1877</v>
      </c>
      <c r="C458" t="s">
        <v>1854</v>
      </c>
      <c r="D458" t="s">
        <v>1861</v>
      </c>
      <c r="K458"/>
      <c r="L458"/>
      <c r="M458"/>
    </row>
    <row r="459" spans="1:13" hidden="1">
      <c r="A459" s="2" t="s">
        <v>356</v>
      </c>
      <c r="B459" t="s">
        <v>1877</v>
      </c>
      <c r="C459" t="s">
        <v>1854</v>
      </c>
      <c r="D459" t="s">
        <v>1861</v>
      </c>
      <c r="K459"/>
      <c r="L459"/>
      <c r="M459"/>
    </row>
    <row r="460" spans="1:13" hidden="1">
      <c r="A460" s="2" t="s">
        <v>767</v>
      </c>
      <c r="B460" t="s">
        <v>1877</v>
      </c>
      <c r="C460" t="s">
        <v>1856</v>
      </c>
      <c r="D460" t="s">
        <v>1859</v>
      </c>
      <c r="K460"/>
      <c r="L460"/>
      <c r="M460"/>
    </row>
    <row r="461" spans="1:13" hidden="1">
      <c r="A461" s="2" t="s">
        <v>769</v>
      </c>
      <c r="B461" t="s">
        <v>1877</v>
      </c>
      <c r="C461" t="s">
        <v>1856</v>
      </c>
      <c r="D461" t="s">
        <v>1859</v>
      </c>
      <c r="K461"/>
      <c r="L461"/>
      <c r="M461"/>
    </row>
    <row r="462" spans="1:13" hidden="1">
      <c r="A462" s="2" t="s">
        <v>768</v>
      </c>
      <c r="B462" t="s">
        <v>1877</v>
      </c>
      <c r="C462" t="s">
        <v>1856</v>
      </c>
      <c r="D462" t="s">
        <v>1859</v>
      </c>
      <c r="K462"/>
      <c r="L462"/>
      <c r="M462"/>
    </row>
    <row r="463" spans="1:13" hidden="1">
      <c r="A463" s="2" t="s">
        <v>764</v>
      </c>
      <c r="B463" t="s">
        <v>1877</v>
      </c>
      <c r="C463" t="s">
        <v>1856</v>
      </c>
      <c r="D463" t="s">
        <v>1859</v>
      </c>
      <c r="K463"/>
      <c r="L463"/>
      <c r="M463"/>
    </row>
    <row r="464" spans="1:13" hidden="1">
      <c r="A464" s="2" t="s">
        <v>766</v>
      </c>
      <c r="B464" t="s">
        <v>1877</v>
      </c>
      <c r="C464" t="s">
        <v>1856</v>
      </c>
      <c r="D464" t="s">
        <v>1859</v>
      </c>
      <c r="K464"/>
      <c r="L464"/>
      <c r="M464"/>
    </row>
    <row r="465" spans="1:13" hidden="1">
      <c r="A465" s="2" t="s">
        <v>765</v>
      </c>
      <c r="B465" t="s">
        <v>1877</v>
      </c>
      <c r="C465" t="s">
        <v>1856</v>
      </c>
      <c r="D465" t="s">
        <v>1859</v>
      </c>
      <c r="K465"/>
      <c r="L465"/>
      <c r="M465"/>
    </row>
    <row r="466" spans="1:13" hidden="1">
      <c r="A466" s="2" t="s">
        <v>770</v>
      </c>
      <c r="B466" t="s">
        <v>1877</v>
      </c>
      <c r="C466" t="s">
        <v>1856</v>
      </c>
      <c r="D466" t="s">
        <v>1859</v>
      </c>
      <c r="K466"/>
      <c r="L466"/>
      <c r="M466"/>
    </row>
    <row r="467" spans="1:13" hidden="1">
      <c r="A467" s="2" t="s">
        <v>772</v>
      </c>
      <c r="B467" t="s">
        <v>1877</v>
      </c>
      <c r="C467" t="s">
        <v>1856</v>
      </c>
      <c r="D467" t="s">
        <v>1859</v>
      </c>
      <c r="K467"/>
      <c r="L467"/>
      <c r="M467"/>
    </row>
    <row r="468" spans="1:13" hidden="1">
      <c r="A468" s="2" t="s">
        <v>771</v>
      </c>
      <c r="B468" t="s">
        <v>1877</v>
      </c>
      <c r="C468" t="s">
        <v>1856</v>
      </c>
      <c r="D468" t="s">
        <v>1859</v>
      </c>
      <c r="K468"/>
      <c r="L468"/>
      <c r="M468"/>
    </row>
    <row r="469" spans="1:13" hidden="1">
      <c r="A469" s="2" t="s">
        <v>773</v>
      </c>
      <c r="B469" t="s">
        <v>1877</v>
      </c>
      <c r="C469" t="s">
        <v>1856</v>
      </c>
      <c r="D469" t="s">
        <v>1859</v>
      </c>
      <c r="K469"/>
      <c r="L469"/>
      <c r="M469"/>
    </row>
    <row r="470" spans="1:13" hidden="1">
      <c r="A470" s="2" t="s">
        <v>774</v>
      </c>
      <c r="B470" t="s">
        <v>1877</v>
      </c>
      <c r="C470" t="s">
        <v>1856</v>
      </c>
      <c r="D470" t="s">
        <v>1859</v>
      </c>
      <c r="K470"/>
      <c r="L470"/>
      <c r="M470"/>
    </row>
    <row r="471" spans="1:13" hidden="1">
      <c r="A471" s="2" t="s">
        <v>779</v>
      </c>
      <c r="B471" t="s">
        <v>1877</v>
      </c>
      <c r="C471" t="s">
        <v>1856</v>
      </c>
      <c r="D471" t="s">
        <v>1859</v>
      </c>
      <c r="K471"/>
      <c r="L471"/>
      <c r="M471"/>
    </row>
    <row r="472" spans="1:13" hidden="1">
      <c r="A472" s="2" t="s">
        <v>781</v>
      </c>
      <c r="B472" t="s">
        <v>1877</v>
      </c>
      <c r="C472" t="s">
        <v>1856</v>
      </c>
      <c r="D472" t="s">
        <v>1859</v>
      </c>
      <c r="K472"/>
      <c r="L472"/>
      <c r="M472"/>
    </row>
    <row r="473" spans="1:13" hidden="1">
      <c r="A473" s="2" t="s">
        <v>780</v>
      </c>
      <c r="B473" t="s">
        <v>1877</v>
      </c>
      <c r="C473" t="s">
        <v>1856</v>
      </c>
      <c r="D473" t="s">
        <v>1859</v>
      </c>
      <c r="K473"/>
      <c r="L473"/>
      <c r="M473"/>
    </row>
    <row r="474" spans="1:13" hidden="1">
      <c r="A474" s="2" t="s">
        <v>782</v>
      </c>
      <c r="B474" t="s">
        <v>1877</v>
      </c>
      <c r="C474" t="s">
        <v>1856</v>
      </c>
      <c r="D474" t="s">
        <v>1859</v>
      </c>
      <c r="K474"/>
      <c r="L474"/>
      <c r="M474"/>
    </row>
    <row r="475" spans="1:13" hidden="1">
      <c r="A475" s="2" t="s">
        <v>784</v>
      </c>
      <c r="B475" t="s">
        <v>1877</v>
      </c>
      <c r="C475" t="s">
        <v>1856</v>
      </c>
      <c r="D475" t="s">
        <v>1859</v>
      </c>
      <c r="K475"/>
      <c r="L475"/>
      <c r="M475"/>
    </row>
    <row r="476" spans="1:13" hidden="1">
      <c r="A476" s="2" t="s">
        <v>783</v>
      </c>
      <c r="B476" t="s">
        <v>1877</v>
      </c>
      <c r="C476" t="s">
        <v>1856</v>
      </c>
      <c r="D476" t="s">
        <v>1859</v>
      </c>
      <c r="K476"/>
      <c r="L476"/>
      <c r="M476"/>
    </row>
    <row r="477" spans="1:13" hidden="1">
      <c r="A477" s="2" t="s">
        <v>776</v>
      </c>
      <c r="B477" t="s">
        <v>1877</v>
      </c>
      <c r="C477" t="s">
        <v>1856</v>
      </c>
      <c r="D477" t="s">
        <v>1859</v>
      </c>
      <c r="K477"/>
      <c r="L477"/>
      <c r="M477"/>
    </row>
    <row r="478" spans="1:13" hidden="1">
      <c r="A478" s="2" t="s">
        <v>775</v>
      </c>
      <c r="B478" t="s">
        <v>1877</v>
      </c>
      <c r="C478" t="s">
        <v>1856</v>
      </c>
      <c r="D478" t="s">
        <v>1859</v>
      </c>
      <c r="K478"/>
      <c r="L478"/>
      <c r="M478"/>
    </row>
    <row r="479" spans="1:13" hidden="1">
      <c r="A479" s="2" t="s">
        <v>778</v>
      </c>
      <c r="B479" t="s">
        <v>1877</v>
      </c>
      <c r="C479" t="s">
        <v>1856</v>
      </c>
      <c r="D479" t="s">
        <v>1859</v>
      </c>
      <c r="K479"/>
      <c r="L479"/>
      <c r="M479"/>
    </row>
    <row r="480" spans="1:13" hidden="1">
      <c r="A480" s="2" t="s">
        <v>777</v>
      </c>
      <c r="B480" t="s">
        <v>1877</v>
      </c>
      <c r="C480" t="s">
        <v>1856</v>
      </c>
      <c r="D480" t="s">
        <v>1859</v>
      </c>
      <c r="K480"/>
      <c r="L480"/>
      <c r="M480"/>
    </row>
    <row r="481" spans="1:13" hidden="1">
      <c r="A481" s="2" t="s">
        <v>788</v>
      </c>
      <c r="B481" t="s">
        <v>1877</v>
      </c>
      <c r="C481" t="s">
        <v>1856</v>
      </c>
      <c r="D481" t="s">
        <v>1859</v>
      </c>
      <c r="K481"/>
      <c r="L481"/>
      <c r="M481"/>
    </row>
    <row r="482" spans="1:13" hidden="1">
      <c r="A482" s="2" t="s">
        <v>790</v>
      </c>
      <c r="B482" t="s">
        <v>1877</v>
      </c>
      <c r="C482" t="s">
        <v>1856</v>
      </c>
      <c r="D482" t="s">
        <v>1859</v>
      </c>
      <c r="K482"/>
      <c r="L482"/>
      <c r="M482"/>
    </row>
    <row r="483" spans="1:13" hidden="1">
      <c r="A483" s="2" t="s">
        <v>789</v>
      </c>
      <c r="B483" t="s">
        <v>1877</v>
      </c>
      <c r="C483" t="s">
        <v>1856</v>
      </c>
      <c r="D483" t="s">
        <v>1859</v>
      </c>
      <c r="K483"/>
      <c r="L483"/>
      <c r="M483"/>
    </row>
    <row r="484" spans="1:13" hidden="1">
      <c r="A484" s="2" t="s">
        <v>799</v>
      </c>
      <c r="B484" t="s">
        <v>1877</v>
      </c>
      <c r="C484" t="s">
        <v>1856</v>
      </c>
      <c r="D484" t="s">
        <v>1859</v>
      </c>
      <c r="K484"/>
      <c r="L484"/>
      <c r="M484"/>
    </row>
    <row r="485" spans="1:13" hidden="1">
      <c r="A485" s="2" t="s">
        <v>791</v>
      </c>
      <c r="B485" t="s">
        <v>1877</v>
      </c>
      <c r="C485" t="s">
        <v>1856</v>
      </c>
      <c r="D485" t="s">
        <v>1859</v>
      </c>
      <c r="K485"/>
      <c r="L485"/>
      <c r="M485"/>
    </row>
    <row r="486" spans="1:13" hidden="1">
      <c r="A486" s="2" t="s">
        <v>801</v>
      </c>
      <c r="B486" t="s">
        <v>1877</v>
      </c>
      <c r="C486" t="s">
        <v>1856</v>
      </c>
      <c r="D486" t="s">
        <v>1859</v>
      </c>
      <c r="K486"/>
      <c r="L486"/>
      <c r="M486"/>
    </row>
    <row r="487" spans="1:13" hidden="1">
      <c r="A487" s="2" t="s">
        <v>802</v>
      </c>
      <c r="B487" t="s">
        <v>1877</v>
      </c>
      <c r="C487" t="s">
        <v>1856</v>
      </c>
      <c r="D487" t="s">
        <v>1860</v>
      </c>
      <c r="K487"/>
      <c r="L487"/>
      <c r="M487"/>
    </row>
    <row r="488" spans="1:13" hidden="1">
      <c r="A488" s="2" t="s">
        <v>804</v>
      </c>
      <c r="B488" t="s">
        <v>1877</v>
      </c>
      <c r="C488" t="s">
        <v>1856</v>
      </c>
      <c r="D488" t="s">
        <v>1859</v>
      </c>
      <c r="K488"/>
      <c r="L488"/>
      <c r="M488"/>
    </row>
    <row r="489" spans="1:13" hidden="1">
      <c r="A489" s="2" t="s">
        <v>803</v>
      </c>
      <c r="B489" t="s">
        <v>1877</v>
      </c>
      <c r="C489" t="s">
        <v>1856</v>
      </c>
      <c r="D489" t="s">
        <v>1860</v>
      </c>
      <c r="K489"/>
      <c r="L489"/>
      <c r="M489"/>
    </row>
    <row r="490" spans="1:13" hidden="1">
      <c r="A490" s="2" t="s">
        <v>792</v>
      </c>
      <c r="B490" t="s">
        <v>1877</v>
      </c>
      <c r="C490" t="s">
        <v>1856</v>
      </c>
      <c r="D490" t="s">
        <v>1859</v>
      </c>
      <c r="K490"/>
      <c r="L490"/>
      <c r="M490"/>
    </row>
    <row r="491" spans="1:13" hidden="1">
      <c r="A491" s="2" t="s">
        <v>794</v>
      </c>
      <c r="B491" t="s">
        <v>1877</v>
      </c>
      <c r="C491" t="s">
        <v>1856</v>
      </c>
      <c r="D491" t="s">
        <v>1859</v>
      </c>
      <c r="K491"/>
      <c r="L491"/>
      <c r="M491"/>
    </row>
    <row r="492" spans="1:13" hidden="1">
      <c r="A492" s="2" t="s">
        <v>793</v>
      </c>
      <c r="B492" t="s">
        <v>1877</v>
      </c>
      <c r="C492" t="s">
        <v>1856</v>
      </c>
      <c r="D492" t="s">
        <v>1859</v>
      </c>
      <c r="K492"/>
      <c r="L492"/>
      <c r="M492"/>
    </row>
    <row r="493" spans="1:13" hidden="1">
      <c r="A493" s="2" t="s">
        <v>785</v>
      </c>
      <c r="B493" t="s">
        <v>1877</v>
      </c>
      <c r="C493" t="s">
        <v>1856</v>
      </c>
      <c r="D493" t="s">
        <v>1859</v>
      </c>
      <c r="K493"/>
      <c r="L493"/>
      <c r="M493"/>
    </row>
    <row r="494" spans="1:13" hidden="1">
      <c r="A494" s="2" t="s">
        <v>787</v>
      </c>
      <c r="B494" t="s">
        <v>1877</v>
      </c>
      <c r="C494" t="s">
        <v>1856</v>
      </c>
      <c r="D494" t="s">
        <v>1859</v>
      </c>
      <c r="K494"/>
      <c r="L494"/>
      <c r="M494"/>
    </row>
    <row r="495" spans="1:13" hidden="1">
      <c r="A495" s="2" t="s">
        <v>786</v>
      </c>
      <c r="B495" t="s">
        <v>1877</v>
      </c>
      <c r="C495" t="s">
        <v>1856</v>
      </c>
      <c r="D495" t="s">
        <v>1859</v>
      </c>
      <c r="K495"/>
      <c r="L495"/>
      <c r="M495"/>
    </row>
    <row r="496" spans="1:13" hidden="1">
      <c r="A496" s="2" t="s">
        <v>796</v>
      </c>
      <c r="B496" t="s">
        <v>1877</v>
      </c>
      <c r="C496" t="s">
        <v>1856</v>
      </c>
      <c r="D496" t="s">
        <v>1859</v>
      </c>
      <c r="K496"/>
      <c r="L496"/>
      <c r="M496"/>
    </row>
    <row r="497" spans="1:13" hidden="1">
      <c r="A497" s="2" t="s">
        <v>795</v>
      </c>
      <c r="B497" t="s">
        <v>1877</v>
      </c>
      <c r="C497" t="s">
        <v>1856</v>
      </c>
      <c r="D497" t="s">
        <v>1859</v>
      </c>
      <c r="K497"/>
      <c r="L497"/>
      <c r="M497"/>
    </row>
    <row r="498" spans="1:13" hidden="1">
      <c r="A498" s="2" t="s">
        <v>800</v>
      </c>
      <c r="B498" t="s">
        <v>1877</v>
      </c>
      <c r="C498" t="s">
        <v>1856</v>
      </c>
      <c r="D498" t="s">
        <v>1859</v>
      </c>
      <c r="K498"/>
      <c r="L498"/>
      <c r="M498"/>
    </row>
    <row r="499" spans="1:13" hidden="1">
      <c r="A499" s="2" t="s">
        <v>797</v>
      </c>
      <c r="B499" t="s">
        <v>1877</v>
      </c>
      <c r="C499" t="s">
        <v>1856</v>
      </c>
      <c r="D499" t="s">
        <v>1859</v>
      </c>
      <c r="K499"/>
      <c r="L499"/>
      <c r="M499"/>
    </row>
    <row r="500" spans="1:13" hidden="1">
      <c r="A500" s="2" t="s">
        <v>798</v>
      </c>
      <c r="B500" t="s">
        <v>1877</v>
      </c>
      <c r="C500" t="s">
        <v>1856</v>
      </c>
      <c r="D500" t="s">
        <v>1859</v>
      </c>
      <c r="K500"/>
      <c r="L500"/>
      <c r="M500"/>
    </row>
    <row r="501" spans="1:13" hidden="1">
      <c r="A501" s="2" t="s">
        <v>816</v>
      </c>
      <c r="B501" t="s">
        <v>1877</v>
      </c>
      <c r="C501" t="s">
        <v>1856</v>
      </c>
      <c r="D501" t="s">
        <v>1859</v>
      </c>
      <c r="K501"/>
      <c r="L501"/>
      <c r="M501"/>
    </row>
    <row r="502" spans="1:13" hidden="1">
      <c r="A502" s="2" t="s">
        <v>815</v>
      </c>
      <c r="B502" t="s">
        <v>1877</v>
      </c>
      <c r="C502" t="s">
        <v>1856</v>
      </c>
      <c r="D502" t="s">
        <v>1859</v>
      </c>
      <c r="K502"/>
      <c r="L502"/>
      <c r="M502"/>
    </row>
    <row r="503" spans="1:13" hidden="1">
      <c r="A503" s="2" t="s">
        <v>820</v>
      </c>
      <c r="B503" t="s">
        <v>1877</v>
      </c>
      <c r="C503" t="s">
        <v>1856</v>
      </c>
      <c r="D503" t="s">
        <v>1859</v>
      </c>
      <c r="K503"/>
      <c r="L503"/>
      <c r="M503"/>
    </row>
    <row r="504" spans="1:13" hidden="1">
      <c r="A504" s="2" t="s">
        <v>817</v>
      </c>
      <c r="B504" t="s">
        <v>1877</v>
      </c>
      <c r="C504" t="s">
        <v>1856</v>
      </c>
      <c r="D504" t="s">
        <v>1859</v>
      </c>
      <c r="K504"/>
      <c r="L504"/>
      <c r="M504"/>
    </row>
    <row r="505" spans="1:13" hidden="1">
      <c r="A505" s="2" t="s">
        <v>809</v>
      </c>
      <c r="B505" t="s">
        <v>1877</v>
      </c>
      <c r="C505" t="s">
        <v>1856</v>
      </c>
      <c r="D505" t="s">
        <v>1859</v>
      </c>
      <c r="K505"/>
      <c r="L505"/>
      <c r="M505"/>
    </row>
    <row r="506" spans="1:13" hidden="1">
      <c r="A506" s="2" t="s">
        <v>805</v>
      </c>
      <c r="B506" t="s">
        <v>1877</v>
      </c>
      <c r="C506" t="s">
        <v>1856</v>
      </c>
      <c r="D506" t="s">
        <v>1859</v>
      </c>
      <c r="K506"/>
      <c r="L506"/>
      <c r="M506"/>
    </row>
    <row r="507" spans="1:13" hidden="1">
      <c r="A507" s="2" t="s">
        <v>808</v>
      </c>
      <c r="B507" t="s">
        <v>1877</v>
      </c>
      <c r="C507" t="s">
        <v>1856</v>
      </c>
      <c r="D507" t="s">
        <v>1859</v>
      </c>
      <c r="K507"/>
      <c r="L507"/>
      <c r="M507"/>
    </row>
    <row r="508" spans="1:13" hidden="1">
      <c r="A508" s="2" t="s">
        <v>819</v>
      </c>
      <c r="B508" t="s">
        <v>1877</v>
      </c>
      <c r="C508" t="s">
        <v>1856</v>
      </c>
      <c r="D508" t="s">
        <v>1859</v>
      </c>
      <c r="K508"/>
      <c r="L508"/>
      <c r="M508"/>
    </row>
    <row r="509" spans="1:13" hidden="1">
      <c r="A509" s="2" t="s">
        <v>818</v>
      </c>
      <c r="B509" t="s">
        <v>1877</v>
      </c>
      <c r="C509" t="s">
        <v>1856</v>
      </c>
      <c r="D509" t="s">
        <v>1859</v>
      </c>
      <c r="K509"/>
      <c r="L509"/>
      <c r="M509"/>
    </row>
    <row r="510" spans="1:13" hidden="1">
      <c r="A510" s="2" t="s">
        <v>806</v>
      </c>
      <c r="B510" t="s">
        <v>1877</v>
      </c>
      <c r="C510" t="s">
        <v>1856</v>
      </c>
      <c r="D510" t="s">
        <v>1859</v>
      </c>
      <c r="K510"/>
      <c r="L510"/>
      <c r="M510"/>
    </row>
    <row r="511" spans="1:13" hidden="1">
      <c r="A511" s="2" t="s">
        <v>810</v>
      </c>
      <c r="B511" t="s">
        <v>1877</v>
      </c>
      <c r="C511" t="s">
        <v>1856</v>
      </c>
      <c r="D511" t="s">
        <v>1859</v>
      </c>
      <c r="K511"/>
      <c r="L511"/>
      <c r="M511"/>
    </row>
    <row r="512" spans="1:13" hidden="1">
      <c r="A512" s="2" t="s">
        <v>812</v>
      </c>
      <c r="B512" t="s">
        <v>1877</v>
      </c>
      <c r="C512" t="s">
        <v>1856</v>
      </c>
      <c r="D512" t="s">
        <v>1859</v>
      </c>
      <c r="K512"/>
      <c r="L512"/>
      <c r="M512"/>
    </row>
    <row r="513" spans="1:13" hidden="1">
      <c r="A513" s="2" t="s">
        <v>811</v>
      </c>
      <c r="B513" t="s">
        <v>1877</v>
      </c>
      <c r="C513" t="s">
        <v>1856</v>
      </c>
      <c r="D513" t="s">
        <v>1859</v>
      </c>
      <c r="K513"/>
      <c r="L513"/>
      <c r="M513"/>
    </row>
    <row r="514" spans="1:13" hidden="1">
      <c r="A514" s="2" t="s">
        <v>807</v>
      </c>
      <c r="B514" t="s">
        <v>1877</v>
      </c>
      <c r="C514" t="s">
        <v>1856</v>
      </c>
      <c r="D514" t="s">
        <v>1859</v>
      </c>
      <c r="K514"/>
      <c r="L514"/>
      <c r="M514"/>
    </row>
    <row r="515" spans="1:13" hidden="1">
      <c r="A515" s="2" t="s">
        <v>814</v>
      </c>
      <c r="B515" t="s">
        <v>1877</v>
      </c>
      <c r="C515" t="s">
        <v>1856</v>
      </c>
      <c r="D515" t="s">
        <v>1859</v>
      </c>
      <c r="K515"/>
      <c r="L515"/>
      <c r="M515"/>
    </row>
    <row r="516" spans="1:13" hidden="1">
      <c r="A516" s="2" t="s">
        <v>813</v>
      </c>
      <c r="B516" t="s">
        <v>1877</v>
      </c>
      <c r="C516" t="s">
        <v>1856</v>
      </c>
      <c r="D516" t="s">
        <v>1859</v>
      </c>
      <c r="K516"/>
      <c r="L516"/>
      <c r="M516"/>
    </row>
    <row r="517" spans="1:13" hidden="1">
      <c r="A517" s="2" t="s">
        <v>821</v>
      </c>
      <c r="B517" t="s">
        <v>1877</v>
      </c>
      <c r="C517" t="s">
        <v>1856</v>
      </c>
      <c r="D517" t="s">
        <v>1859</v>
      </c>
      <c r="K517"/>
      <c r="L517"/>
      <c r="M517"/>
    </row>
    <row r="518" spans="1:13" hidden="1">
      <c r="A518" s="2" t="s">
        <v>825</v>
      </c>
      <c r="B518" t="s">
        <v>1877</v>
      </c>
      <c r="C518" t="s">
        <v>1856</v>
      </c>
      <c r="D518" t="s">
        <v>1859</v>
      </c>
      <c r="K518"/>
      <c r="L518"/>
      <c r="M518"/>
    </row>
    <row r="519" spans="1:13" hidden="1">
      <c r="A519" s="2" t="s">
        <v>826</v>
      </c>
      <c r="B519" t="s">
        <v>1877</v>
      </c>
      <c r="C519" t="s">
        <v>1856</v>
      </c>
      <c r="D519" t="s">
        <v>1859</v>
      </c>
      <c r="K519"/>
      <c r="L519"/>
      <c r="M519"/>
    </row>
    <row r="520" spans="1:13" hidden="1">
      <c r="A520" s="2" t="s">
        <v>823</v>
      </c>
      <c r="B520" t="s">
        <v>1877</v>
      </c>
      <c r="C520" t="s">
        <v>1856</v>
      </c>
      <c r="D520" t="s">
        <v>1859</v>
      </c>
      <c r="K520"/>
      <c r="L520"/>
      <c r="M520"/>
    </row>
    <row r="521" spans="1:13" hidden="1">
      <c r="A521" s="2" t="s">
        <v>824</v>
      </c>
      <c r="B521" t="s">
        <v>1877</v>
      </c>
      <c r="C521" t="s">
        <v>1856</v>
      </c>
      <c r="D521" t="s">
        <v>1859</v>
      </c>
      <c r="K521"/>
      <c r="L521"/>
      <c r="M521"/>
    </row>
    <row r="522" spans="1:13" hidden="1">
      <c r="A522" s="2" t="s">
        <v>822</v>
      </c>
      <c r="B522" t="s">
        <v>1877</v>
      </c>
      <c r="C522" t="s">
        <v>1856</v>
      </c>
      <c r="D522" t="s">
        <v>1859</v>
      </c>
      <c r="K522"/>
      <c r="L522"/>
      <c r="M522"/>
    </row>
    <row r="523" spans="1:13" hidden="1">
      <c r="A523" s="2" t="s">
        <v>827</v>
      </c>
      <c r="B523" t="s">
        <v>1877</v>
      </c>
      <c r="C523" t="s">
        <v>1856</v>
      </c>
      <c r="D523" t="s">
        <v>1859</v>
      </c>
      <c r="K523"/>
      <c r="L523"/>
      <c r="M523"/>
    </row>
    <row r="524" spans="1:13" hidden="1">
      <c r="A524" s="2" t="s">
        <v>828</v>
      </c>
      <c r="B524" t="s">
        <v>1877</v>
      </c>
      <c r="C524" t="s">
        <v>1856</v>
      </c>
      <c r="D524" t="s">
        <v>1859</v>
      </c>
      <c r="K524"/>
      <c r="L524"/>
      <c r="M524"/>
    </row>
    <row r="525" spans="1:13" hidden="1">
      <c r="A525" s="2" t="s">
        <v>830</v>
      </c>
      <c r="B525" t="s">
        <v>1877</v>
      </c>
      <c r="C525" t="s">
        <v>1856</v>
      </c>
      <c r="D525" t="s">
        <v>1859</v>
      </c>
      <c r="K525"/>
      <c r="L525"/>
      <c r="M525"/>
    </row>
    <row r="526" spans="1:13" hidden="1">
      <c r="A526" s="2" t="s">
        <v>829</v>
      </c>
      <c r="B526" t="s">
        <v>1877</v>
      </c>
      <c r="C526" t="s">
        <v>1856</v>
      </c>
      <c r="D526" t="s">
        <v>1859</v>
      </c>
      <c r="K526"/>
      <c r="L526"/>
      <c r="M526"/>
    </row>
    <row r="527" spans="1:13" hidden="1">
      <c r="A527" s="2" t="s">
        <v>831</v>
      </c>
      <c r="B527" t="s">
        <v>1877</v>
      </c>
      <c r="C527" t="s">
        <v>1856</v>
      </c>
      <c r="D527" t="s">
        <v>1859</v>
      </c>
      <c r="K527"/>
      <c r="L527"/>
      <c r="M527"/>
    </row>
    <row r="528" spans="1:13" hidden="1">
      <c r="A528" s="2" t="s">
        <v>832</v>
      </c>
      <c r="B528" t="s">
        <v>1877</v>
      </c>
      <c r="C528" t="s">
        <v>1856</v>
      </c>
      <c r="D528" t="s">
        <v>1859</v>
      </c>
      <c r="K528"/>
      <c r="L528"/>
      <c r="M528"/>
    </row>
    <row r="529" spans="1:13" hidden="1">
      <c r="A529" s="2" t="s">
        <v>833</v>
      </c>
      <c r="B529" t="s">
        <v>1877</v>
      </c>
      <c r="C529" t="s">
        <v>1856</v>
      </c>
      <c r="D529" t="s">
        <v>1859</v>
      </c>
      <c r="K529"/>
      <c r="L529"/>
      <c r="M529"/>
    </row>
    <row r="530" spans="1:13" hidden="1">
      <c r="A530" s="2" t="s">
        <v>834</v>
      </c>
      <c r="B530" t="s">
        <v>1877</v>
      </c>
      <c r="C530" t="s">
        <v>1856</v>
      </c>
      <c r="D530" t="s">
        <v>1859</v>
      </c>
      <c r="K530"/>
      <c r="L530"/>
      <c r="M530"/>
    </row>
    <row r="531" spans="1:13" hidden="1">
      <c r="A531" s="2" t="s">
        <v>755</v>
      </c>
      <c r="B531" t="s">
        <v>1877</v>
      </c>
      <c r="C531" t="s">
        <v>1850</v>
      </c>
      <c r="D531" t="s">
        <v>1864</v>
      </c>
      <c r="K531"/>
      <c r="L531"/>
      <c r="M531"/>
    </row>
    <row r="532" spans="1:13" hidden="1">
      <c r="A532" s="2" t="s">
        <v>756</v>
      </c>
      <c r="B532" t="s">
        <v>1877</v>
      </c>
      <c r="C532" t="s">
        <v>1850</v>
      </c>
      <c r="D532" t="s">
        <v>1864</v>
      </c>
      <c r="K532"/>
      <c r="L532"/>
      <c r="M532"/>
    </row>
    <row r="533" spans="1:13" hidden="1">
      <c r="A533" s="2" t="s">
        <v>757</v>
      </c>
      <c r="B533" t="s">
        <v>1877</v>
      </c>
      <c r="C533" t="s">
        <v>1850</v>
      </c>
      <c r="D533" t="s">
        <v>1864</v>
      </c>
      <c r="K533"/>
      <c r="L533"/>
      <c r="M533"/>
    </row>
    <row r="534" spans="1:13" hidden="1">
      <c r="A534" s="2" t="s">
        <v>758</v>
      </c>
      <c r="B534" t="s">
        <v>1877</v>
      </c>
      <c r="C534" t="s">
        <v>1850</v>
      </c>
      <c r="D534" t="s">
        <v>1864</v>
      </c>
      <c r="K534"/>
      <c r="L534"/>
      <c r="M534"/>
    </row>
    <row r="535" spans="1:13" hidden="1">
      <c r="A535" s="2" t="s">
        <v>761</v>
      </c>
      <c r="B535" t="s">
        <v>1877</v>
      </c>
      <c r="C535" t="s">
        <v>1856</v>
      </c>
      <c r="D535" t="s">
        <v>1861</v>
      </c>
      <c r="K535"/>
      <c r="L535"/>
      <c r="M535"/>
    </row>
    <row r="536" spans="1:13" hidden="1">
      <c r="A536" s="2" t="s">
        <v>760</v>
      </c>
      <c r="B536" t="s">
        <v>1877</v>
      </c>
      <c r="C536" t="s">
        <v>1856</v>
      </c>
      <c r="D536" t="s">
        <v>1867</v>
      </c>
      <c r="K536"/>
      <c r="L536"/>
      <c r="M536"/>
    </row>
    <row r="537" spans="1:13" hidden="1">
      <c r="A537" s="2" t="s">
        <v>763</v>
      </c>
      <c r="B537" t="s">
        <v>1877</v>
      </c>
      <c r="C537" t="s">
        <v>1856</v>
      </c>
      <c r="D537" t="s">
        <v>1875</v>
      </c>
      <c r="K537"/>
      <c r="L537"/>
      <c r="M537"/>
    </row>
    <row r="538" spans="1:13" hidden="1">
      <c r="A538" s="2" t="s">
        <v>762</v>
      </c>
      <c r="B538" t="s">
        <v>1877</v>
      </c>
      <c r="C538" t="s">
        <v>1856</v>
      </c>
      <c r="D538" t="s">
        <v>1868</v>
      </c>
      <c r="K538"/>
      <c r="L538"/>
      <c r="M538"/>
    </row>
    <row r="539" spans="1:13" hidden="1">
      <c r="A539" s="2" t="s">
        <v>836</v>
      </c>
      <c r="B539" t="s">
        <v>1877</v>
      </c>
      <c r="C539" t="s">
        <v>1856</v>
      </c>
      <c r="D539" t="s">
        <v>1861</v>
      </c>
      <c r="K539"/>
      <c r="L539"/>
      <c r="M539"/>
    </row>
    <row r="540" spans="1:13" hidden="1">
      <c r="A540" s="2" t="s">
        <v>837</v>
      </c>
      <c r="B540" t="s">
        <v>1877</v>
      </c>
      <c r="C540" t="s">
        <v>1856</v>
      </c>
      <c r="D540" t="s">
        <v>1874</v>
      </c>
      <c r="K540"/>
      <c r="L540"/>
      <c r="M540"/>
    </row>
    <row r="541" spans="1:13" hidden="1">
      <c r="A541" s="2" t="s">
        <v>835</v>
      </c>
      <c r="B541" t="s">
        <v>1877</v>
      </c>
      <c r="C541" t="s">
        <v>1856</v>
      </c>
      <c r="D541" t="s">
        <v>1867</v>
      </c>
      <c r="K541"/>
      <c r="L541"/>
      <c r="M541"/>
    </row>
    <row r="542" spans="1:13" hidden="1">
      <c r="A542" s="2" t="s">
        <v>841</v>
      </c>
      <c r="B542" t="s">
        <v>1877</v>
      </c>
      <c r="C542" t="s">
        <v>1856</v>
      </c>
      <c r="D542" t="s">
        <v>1866</v>
      </c>
      <c r="K542"/>
      <c r="L542"/>
      <c r="M542"/>
    </row>
    <row r="543" spans="1:13" hidden="1">
      <c r="A543" s="2" t="s">
        <v>839</v>
      </c>
      <c r="B543" t="s">
        <v>1877</v>
      </c>
      <c r="C543" t="s">
        <v>1856</v>
      </c>
      <c r="D543" t="s">
        <v>1870</v>
      </c>
      <c r="K543"/>
      <c r="L543"/>
      <c r="M543"/>
    </row>
    <row r="544" spans="1:13" hidden="1">
      <c r="A544" s="2" t="s">
        <v>840</v>
      </c>
      <c r="B544" t="s">
        <v>1877</v>
      </c>
      <c r="C544" t="s">
        <v>1856</v>
      </c>
      <c r="D544" t="s">
        <v>1860</v>
      </c>
      <c r="K544"/>
      <c r="L544"/>
      <c r="M544"/>
    </row>
    <row r="545" spans="1:13" hidden="1">
      <c r="A545" s="2" t="s">
        <v>838</v>
      </c>
      <c r="B545" t="s">
        <v>1877</v>
      </c>
      <c r="C545" t="s">
        <v>1856</v>
      </c>
      <c r="D545" t="s">
        <v>1869</v>
      </c>
      <c r="K545"/>
      <c r="L545"/>
      <c r="M545"/>
    </row>
    <row r="546" spans="1:13" hidden="1">
      <c r="A546" s="2" t="s">
        <v>843</v>
      </c>
      <c r="B546" t="s">
        <v>1877</v>
      </c>
      <c r="C546" t="s">
        <v>1856</v>
      </c>
      <c r="D546" t="s">
        <v>1861</v>
      </c>
      <c r="K546"/>
      <c r="L546"/>
      <c r="M546"/>
    </row>
    <row r="547" spans="1:13" hidden="1">
      <c r="A547" s="2" t="s">
        <v>844</v>
      </c>
      <c r="B547" t="s">
        <v>1877</v>
      </c>
      <c r="C547" t="s">
        <v>1856</v>
      </c>
      <c r="D547" t="s">
        <v>1871</v>
      </c>
      <c r="K547"/>
      <c r="L547"/>
      <c r="M547"/>
    </row>
    <row r="548" spans="1:13" hidden="1">
      <c r="A548" s="2" t="s">
        <v>842</v>
      </c>
      <c r="B548" t="s">
        <v>1877</v>
      </c>
      <c r="C548" t="s">
        <v>1856</v>
      </c>
      <c r="D548" t="s">
        <v>1867</v>
      </c>
      <c r="K548"/>
      <c r="L548"/>
      <c r="M548"/>
    </row>
    <row r="549" spans="1:13" hidden="1">
      <c r="A549" s="2" t="s">
        <v>849</v>
      </c>
      <c r="B549" t="s">
        <v>1877</v>
      </c>
      <c r="C549" t="s">
        <v>1856</v>
      </c>
      <c r="D549" t="s">
        <v>1866</v>
      </c>
      <c r="K549"/>
      <c r="L549"/>
      <c r="M549"/>
    </row>
    <row r="550" spans="1:13" hidden="1">
      <c r="A550" s="2" t="s">
        <v>846</v>
      </c>
      <c r="B550" t="s">
        <v>1877</v>
      </c>
      <c r="C550" t="s">
        <v>1856</v>
      </c>
      <c r="D550" t="s">
        <v>1870</v>
      </c>
      <c r="K550"/>
      <c r="L550"/>
      <c r="M550"/>
    </row>
    <row r="551" spans="1:13" hidden="1">
      <c r="A551" s="2" t="s">
        <v>847</v>
      </c>
      <c r="B551" t="s">
        <v>1877</v>
      </c>
      <c r="C551" t="s">
        <v>1856</v>
      </c>
      <c r="D551" t="s">
        <v>1860</v>
      </c>
      <c r="K551"/>
      <c r="L551"/>
      <c r="M551"/>
    </row>
    <row r="552" spans="1:13" hidden="1">
      <c r="A552" s="2" t="s">
        <v>848</v>
      </c>
      <c r="B552" t="s">
        <v>1877</v>
      </c>
      <c r="C552" t="s">
        <v>1856</v>
      </c>
      <c r="D552" t="s">
        <v>1860</v>
      </c>
      <c r="K552"/>
      <c r="L552"/>
      <c r="M552"/>
    </row>
    <row r="553" spans="1:13" hidden="1">
      <c r="A553" s="2" t="s">
        <v>845</v>
      </c>
      <c r="B553" t="s">
        <v>1877</v>
      </c>
      <c r="C553" t="s">
        <v>1856</v>
      </c>
      <c r="D553" t="s">
        <v>1868</v>
      </c>
      <c r="K553"/>
      <c r="L553"/>
      <c r="M553"/>
    </row>
    <row r="554" spans="1:13" hidden="1">
      <c r="A554" s="2" t="s">
        <v>852</v>
      </c>
      <c r="B554" t="s">
        <v>1877</v>
      </c>
      <c r="C554" t="s">
        <v>1856</v>
      </c>
      <c r="D554" t="s">
        <v>1861</v>
      </c>
      <c r="K554"/>
      <c r="L554"/>
      <c r="M554"/>
    </row>
    <row r="555" spans="1:13" hidden="1">
      <c r="A555" s="2" t="s">
        <v>853</v>
      </c>
      <c r="B555" t="s">
        <v>1877</v>
      </c>
      <c r="C555" t="s">
        <v>1856</v>
      </c>
      <c r="D555" t="s">
        <v>1871</v>
      </c>
      <c r="K555"/>
      <c r="L555"/>
      <c r="M555"/>
    </row>
    <row r="556" spans="1:13" hidden="1">
      <c r="A556" s="2" t="s">
        <v>860</v>
      </c>
      <c r="B556" t="s">
        <v>1877</v>
      </c>
      <c r="C556" t="s">
        <v>1856</v>
      </c>
      <c r="D556" t="s">
        <v>1860</v>
      </c>
      <c r="K556"/>
      <c r="L556"/>
      <c r="M556"/>
    </row>
    <row r="557" spans="1:13" hidden="1">
      <c r="A557" s="2" t="s">
        <v>862</v>
      </c>
      <c r="B557" t="s">
        <v>1877</v>
      </c>
      <c r="C557" t="s">
        <v>1856</v>
      </c>
      <c r="D557" t="s">
        <v>1862</v>
      </c>
      <c r="K557"/>
      <c r="L557"/>
      <c r="M557"/>
    </row>
    <row r="558" spans="1:13" hidden="1">
      <c r="A558" s="2" t="s">
        <v>861</v>
      </c>
      <c r="B558" t="s">
        <v>1877</v>
      </c>
      <c r="C558" t="s">
        <v>1856</v>
      </c>
      <c r="D558" t="s">
        <v>1864</v>
      </c>
      <c r="K558"/>
      <c r="L558"/>
      <c r="M558"/>
    </row>
    <row r="559" spans="1:13" hidden="1">
      <c r="A559" s="2" t="s">
        <v>850</v>
      </c>
      <c r="B559" t="s">
        <v>1877</v>
      </c>
      <c r="C559" t="s">
        <v>1856</v>
      </c>
      <c r="D559" t="s">
        <v>1867</v>
      </c>
      <c r="K559"/>
      <c r="L559"/>
      <c r="M559"/>
    </row>
    <row r="560" spans="1:13" hidden="1">
      <c r="A560" s="2" t="s">
        <v>855</v>
      </c>
      <c r="B560" t="s">
        <v>1877</v>
      </c>
      <c r="C560" t="s">
        <v>1856</v>
      </c>
      <c r="D560" t="s">
        <v>1872</v>
      </c>
      <c r="K560"/>
      <c r="L560"/>
      <c r="M560"/>
    </row>
    <row r="561" spans="1:13" hidden="1">
      <c r="A561" s="2" t="s">
        <v>851</v>
      </c>
      <c r="B561" t="s">
        <v>1877</v>
      </c>
      <c r="C561" t="s">
        <v>1856</v>
      </c>
      <c r="D561" t="s">
        <v>1873</v>
      </c>
      <c r="K561"/>
      <c r="L561"/>
      <c r="M561"/>
    </row>
    <row r="562" spans="1:13" hidden="1">
      <c r="A562" s="2" t="s">
        <v>858</v>
      </c>
      <c r="B562" t="s">
        <v>1877</v>
      </c>
      <c r="C562" t="s">
        <v>1856</v>
      </c>
      <c r="D562" t="s">
        <v>1866</v>
      </c>
      <c r="K562"/>
      <c r="L562"/>
      <c r="M562"/>
    </row>
    <row r="563" spans="1:13" hidden="1">
      <c r="A563" s="2" t="s">
        <v>859</v>
      </c>
      <c r="B563" t="s">
        <v>1877</v>
      </c>
      <c r="C563" t="s">
        <v>1856</v>
      </c>
      <c r="D563" t="s">
        <v>1866</v>
      </c>
      <c r="K563"/>
      <c r="L563"/>
      <c r="M563"/>
    </row>
    <row r="564" spans="1:13" hidden="1">
      <c r="A564" s="2" t="s">
        <v>856</v>
      </c>
      <c r="B564" t="s">
        <v>1877</v>
      </c>
      <c r="C564" t="s">
        <v>1856</v>
      </c>
      <c r="D564" t="s">
        <v>1860</v>
      </c>
      <c r="K564"/>
      <c r="L564"/>
      <c r="M564"/>
    </row>
    <row r="565" spans="1:13" hidden="1">
      <c r="A565" s="2" t="s">
        <v>857</v>
      </c>
      <c r="B565" t="s">
        <v>1877</v>
      </c>
      <c r="C565" t="s">
        <v>1856</v>
      </c>
      <c r="D565" t="s">
        <v>1860</v>
      </c>
      <c r="K565"/>
      <c r="L565"/>
      <c r="M565"/>
    </row>
    <row r="566" spans="1:13" hidden="1">
      <c r="A566" s="2" t="s">
        <v>854</v>
      </c>
      <c r="B566" t="s">
        <v>1877</v>
      </c>
      <c r="C566" t="s">
        <v>1856</v>
      </c>
      <c r="D566" t="s">
        <v>1868</v>
      </c>
      <c r="K566"/>
      <c r="L566"/>
      <c r="M566"/>
    </row>
    <row r="567" spans="1:13" hidden="1">
      <c r="A567" s="2" t="s">
        <v>865</v>
      </c>
      <c r="B567" t="s">
        <v>1877</v>
      </c>
      <c r="C567" t="s">
        <v>1856</v>
      </c>
      <c r="D567" t="s">
        <v>1861</v>
      </c>
      <c r="K567"/>
      <c r="L567"/>
      <c r="M567"/>
    </row>
    <row r="568" spans="1:13" hidden="1">
      <c r="A568" s="2" t="s">
        <v>866</v>
      </c>
      <c r="B568" t="s">
        <v>1877</v>
      </c>
      <c r="C568" t="s">
        <v>1856</v>
      </c>
      <c r="D568" t="s">
        <v>1863</v>
      </c>
      <c r="K568"/>
      <c r="L568"/>
      <c r="M568"/>
    </row>
    <row r="569" spans="1:13" hidden="1">
      <c r="A569" s="2" t="s">
        <v>873</v>
      </c>
      <c r="B569" t="s">
        <v>1877</v>
      </c>
      <c r="C569" t="s">
        <v>1856</v>
      </c>
      <c r="D569" t="s">
        <v>1860</v>
      </c>
      <c r="K569"/>
      <c r="L569"/>
      <c r="M569"/>
    </row>
    <row r="570" spans="1:13" hidden="1">
      <c r="A570" s="2" t="s">
        <v>875</v>
      </c>
      <c r="B570" t="s">
        <v>1877</v>
      </c>
      <c r="C570" t="s">
        <v>1856</v>
      </c>
      <c r="D570" t="s">
        <v>1862</v>
      </c>
      <c r="K570"/>
      <c r="L570"/>
      <c r="M570"/>
    </row>
    <row r="571" spans="1:13" hidden="1">
      <c r="A571" s="2" t="s">
        <v>874</v>
      </c>
      <c r="B571" t="s">
        <v>1877</v>
      </c>
      <c r="C571" t="s">
        <v>1856</v>
      </c>
      <c r="D571" t="s">
        <v>1864</v>
      </c>
      <c r="K571"/>
      <c r="L571"/>
      <c r="M571"/>
    </row>
    <row r="572" spans="1:13" hidden="1">
      <c r="A572" s="2" t="s">
        <v>876</v>
      </c>
      <c r="B572" t="s">
        <v>1877</v>
      </c>
      <c r="C572" t="s">
        <v>1856</v>
      </c>
      <c r="D572" t="s">
        <v>1865</v>
      </c>
      <c r="K572"/>
      <c r="L572"/>
      <c r="M572"/>
    </row>
    <row r="573" spans="1:13" hidden="1">
      <c r="A573" s="2" t="s">
        <v>863</v>
      </c>
      <c r="B573" t="s">
        <v>1877</v>
      </c>
      <c r="C573" t="s">
        <v>1856</v>
      </c>
      <c r="D573" t="s">
        <v>1867</v>
      </c>
      <c r="K573"/>
      <c r="L573"/>
      <c r="M573"/>
    </row>
    <row r="574" spans="1:13" hidden="1">
      <c r="A574" s="2" t="s">
        <v>868</v>
      </c>
      <c r="B574" t="s">
        <v>1877</v>
      </c>
      <c r="C574" t="s">
        <v>1856</v>
      </c>
      <c r="D574" t="s">
        <v>1872</v>
      </c>
      <c r="K574"/>
      <c r="L574"/>
      <c r="M574"/>
    </row>
    <row r="575" spans="1:13" hidden="1">
      <c r="A575" s="2" t="s">
        <v>864</v>
      </c>
      <c r="B575" t="s">
        <v>1877</v>
      </c>
      <c r="C575" t="s">
        <v>1856</v>
      </c>
      <c r="D575" t="s">
        <v>1873</v>
      </c>
      <c r="K575"/>
      <c r="L575"/>
      <c r="M575"/>
    </row>
    <row r="576" spans="1:13" hidden="1">
      <c r="A576" s="2" t="s">
        <v>871</v>
      </c>
      <c r="B576" t="s">
        <v>1877</v>
      </c>
      <c r="C576" t="s">
        <v>1856</v>
      </c>
      <c r="D576" t="s">
        <v>1866</v>
      </c>
      <c r="K576"/>
      <c r="L576"/>
      <c r="M576"/>
    </row>
    <row r="577" spans="1:13" hidden="1">
      <c r="A577" s="2" t="s">
        <v>872</v>
      </c>
      <c r="B577" t="s">
        <v>1877</v>
      </c>
      <c r="C577" t="s">
        <v>1856</v>
      </c>
      <c r="D577" t="s">
        <v>1866</v>
      </c>
      <c r="K577"/>
      <c r="L577"/>
      <c r="M577"/>
    </row>
    <row r="578" spans="1:13" hidden="1">
      <c r="A578" s="2" t="s">
        <v>869</v>
      </c>
      <c r="B578" t="s">
        <v>1877</v>
      </c>
      <c r="C578" t="s">
        <v>1856</v>
      </c>
      <c r="D578" t="s">
        <v>1860</v>
      </c>
      <c r="K578"/>
      <c r="L578"/>
      <c r="M578"/>
    </row>
    <row r="579" spans="1:13" hidden="1">
      <c r="A579" s="2" t="s">
        <v>870</v>
      </c>
      <c r="B579" t="s">
        <v>1877</v>
      </c>
      <c r="C579" t="s">
        <v>1856</v>
      </c>
      <c r="D579" t="s">
        <v>1860</v>
      </c>
      <c r="K579"/>
      <c r="L579"/>
      <c r="M579"/>
    </row>
    <row r="580" spans="1:13" hidden="1">
      <c r="A580" s="2" t="s">
        <v>877</v>
      </c>
      <c r="B580" t="s">
        <v>1877</v>
      </c>
      <c r="C580" t="s">
        <v>1855</v>
      </c>
      <c r="D580" t="s">
        <v>1859</v>
      </c>
      <c r="K580"/>
      <c r="L580"/>
      <c r="M580"/>
    </row>
    <row r="581" spans="1:13" hidden="1">
      <c r="A581" s="2" t="s">
        <v>867</v>
      </c>
      <c r="B581" t="s">
        <v>1877</v>
      </c>
      <c r="C581" t="s">
        <v>1856</v>
      </c>
      <c r="D581" t="s">
        <v>1868</v>
      </c>
      <c r="K581"/>
      <c r="L581"/>
      <c r="M581"/>
    </row>
    <row r="582" spans="1:13" hidden="1">
      <c r="A582" s="2" t="s">
        <v>880</v>
      </c>
      <c r="B582" t="s">
        <v>1877</v>
      </c>
      <c r="C582" t="s">
        <v>1856</v>
      </c>
      <c r="D582" t="s">
        <v>1861</v>
      </c>
      <c r="K582"/>
      <c r="L582"/>
      <c r="M582"/>
    </row>
    <row r="583" spans="1:13" hidden="1">
      <c r="A583" s="2" t="s">
        <v>881</v>
      </c>
      <c r="B583" t="s">
        <v>1877</v>
      </c>
      <c r="C583" t="s">
        <v>1856</v>
      </c>
      <c r="D583" t="s">
        <v>1863</v>
      </c>
      <c r="K583"/>
      <c r="L583"/>
      <c r="M583"/>
    </row>
    <row r="584" spans="1:13" hidden="1">
      <c r="A584" s="2" t="s">
        <v>888</v>
      </c>
      <c r="B584" t="s">
        <v>1877</v>
      </c>
      <c r="C584" t="s">
        <v>1856</v>
      </c>
      <c r="D584" t="s">
        <v>1860</v>
      </c>
      <c r="K584"/>
      <c r="L584"/>
      <c r="M584"/>
    </row>
    <row r="585" spans="1:13" hidden="1">
      <c r="A585" s="2" t="s">
        <v>890</v>
      </c>
      <c r="B585" t="s">
        <v>1877</v>
      </c>
      <c r="C585" t="s">
        <v>1856</v>
      </c>
      <c r="D585" t="s">
        <v>1862</v>
      </c>
      <c r="K585"/>
      <c r="L585"/>
      <c r="M585"/>
    </row>
    <row r="586" spans="1:13" hidden="1">
      <c r="A586" s="2" t="s">
        <v>889</v>
      </c>
      <c r="B586" t="s">
        <v>1877</v>
      </c>
      <c r="C586" t="s">
        <v>1856</v>
      </c>
      <c r="D586" t="s">
        <v>1864</v>
      </c>
      <c r="K586"/>
      <c r="L586"/>
      <c r="M586"/>
    </row>
    <row r="587" spans="1:13" hidden="1">
      <c r="A587" s="2" t="s">
        <v>891</v>
      </c>
      <c r="B587" t="s">
        <v>1877</v>
      </c>
      <c r="C587" t="s">
        <v>1856</v>
      </c>
      <c r="D587" t="s">
        <v>1865</v>
      </c>
      <c r="K587"/>
      <c r="L587"/>
      <c r="M587"/>
    </row>
    <row r="588" spans="1:13" hidden="1">
      <c r="A588" s="2" t="s">
        <v>878</v>
      </c>
      <c r="B588" t="s">
        <v>1877</v>
      </c>
      <c r="C588" t="s">
        <v>1856</v>
      </c>
      <c r="D588" t="s">
        <v>1867</v>
      </c>
      <c r="K588"/>
      <c r="L588"/>
      <c r="M588"/>
    </row>
    <row r="589" spans="1:13" hidden="1">
      <c r="A589" s="2" t="s">
        <v>883</v>
      </c>
      <c r="B589" t="s">
        <v>1877</v>
      </c>
      <c r="C589" t="s">
        <v>1856</v>
      </c>
      <c r="D589" t="s">
        <v>1872</v>
      </c>
      <c r="K589"/>
      <c r="L589"/>
      <c r="M589"/>
    </row>
    <row r="590" spans="1:13" hidden="1">
      <c r="A590" s="2" t="s">
        <v>879</v>
      </c>
      <c r="B590" t="s">
        <v>1877</v>
      </c>
      <c r="C590" t="s">
        <v>1856</v>
      </c>
      <c r="D590" t="s">
        <v>1873</v>
      </c>
      <c r="K590"/>
      <c r="L590"/>
      <c r="M590"/>
    </row>
    <row r="591" spans="1:13" hidden="1">
      <c r="A591" s="2" t="s">
        <v>886</v>
      </c>
      <c r="B591" t="s">
        <v>1877</v>
      </c>
      <c r="C591" t="s">
        <v>1856</v>
      </c>
      <c r="D591" t="s">
        <v>1866</v>
      </c>
      <c r="K591"/>
      <c r="L591"/>
      <c r="M591"/>
    </row>
    <row r="592" spans="1:13" hidden="1">
      <c r="A592" s="2" t="s">
        <v>887</v>
      </c>
      <c r="B592" t="s">
        <v>1877</v>
      </c>
      <c r="C592" t="s">
        <v>1856</v>
      </c>
      <c r="D592" t="s">
        <v>1866</v>
      </c>
      <c r="K592"/>
      <c r="L592"/>
      <c r="M592"/>
    </row>
    <row r="593" spans="1:13" hidden="1">
      <c r="A593" s="2" t="s">
        <v>884</v>
      </c>
      <c r="B593" t="s">
        <v>1877</v>
      </c>
      <c r="C593" t="s">
        <v>1856</v>
      </c>
      <c r="D593" t="s">
        <v>1860</v>
      </c>
      <c r="K593"/>
      <c r="L593"/>
      <c r="M593"/>
    </row>
    <row r="594" spans="1:13" hidden="1">
      <c r="A594" s="2" t="s">
        <v>885</v>
      </c>
      <c r="B594" t="s">
        <v>1877</v>
      </c>
      <c r="C594" t="s">
        <v>1856</v>
      </c>
      <c r="D594" t="s">
        <v>1860</v>
      </c>
      <c r="K594"/>
      <c r="L594"/>
      <c r="M594"/>
    </row>
    <row r="595" spans="1:13" hidden="1">
      <c r="A595" s="2" t="s">
        <v>892</v>
      </c>
      <c r="B595" t="s">
        <v>1877</v>
      </c>
      <c r="C595" t="s">
        <v>1855</v>
      </c>
      <c r="D595" t="s">
        <v>1859</v>
      </c>
      <c r="K595"/>
      <c r="L595"/>
      <c r="M595"/>
    </row>
    <row r="596" spans="1:13" hidden="1">
      <c r="A596" s="2" t="s">
        <v>882</v>
      </c>
      <c r="B596" t="s">
        <v>1877</v>
      </c>
      <c r="C596" t="s">
        <v>1856</v>
      </c>
      <c r="D596" t="s">
        <v>1868</v>
      </c>
      <c r="K596"/>
      <c r="L596"/>
      <c r="M596"/>
    </row>
    <row r="597" spans="1:13" hidden="1">
      <c r="A597" s="2" t="s">
        <v>907</v>
      </c>
      <c r="B597" t="s">
        <v>1877</v>
      </c>
      <c r="C597" t="s">
        <v>1856</v>
      </c>
      <c r="D597" t="s">
        <v>1880</v>
      </c>
      <c r="K597"/>
      <c r="L597"/>
      <c r="M597"/>
    </row>
    <row r="598" spans="1:13" hidden="1">
      <c r="A598" s="2" t="s">
        <v>908</v>
      </c>
      <c r="B598" t="s">
        <v>1877</v>
      </c>
      <c r="C598" t="s">
        <v>1856</v>
      </c>
      <c r="D598" t="s">
        <v>1880</v>
      </c>
      <c r="K598"/>
      <c r="L598"/>
      <c r="M598"/>
    </row>
    <row r="599" spans="1:13" hidden="1">
      <c r="A599" s="2" t="s">
        <v>613</v>
      </c>
      <c r="B599" t="s">
        <v>1877</v>
      </c>
      <c r="C599" t="s">
        <v>1850</v>
      </c>
      <c r="D599" t="s">
        <v>1860</v>
      </c>
      <c r="K599"/>
      <c r="L599"/>
      <c r="M599"/>
    </row>
    <row r="600" spans="1:13" hidden="1">
      <c r="A600" s="2" t="s">
        <v>63</v>
      </c>
      <c r="B600" t="s">
        <v>1877</v>
      </c>
      <c r="C600" t="s">
        <v>1850</v>
      </c>
      <c r="D600" t="s">
        <v>1860</v>
      </c>
      <c r="K600"/>
      <c r="L600"/>
      <c r="M600"/>
    </row>
    <row r="601" spans="1:13" hidden="1">
      <c r="A601" s="2" t="s">
        <v>34</v>
      </c>
      <c r="B601" t="s">
        <v>1877</v>
      </c>
      <c r="C601" t="s">
        <v>1850</v>
      </c>
      <c r="D601" t="s">
        <v>1860</v>
      </c>
      <c r="K601"/>
      <c r="L601"/>
      <c r="M601"/>
    </row>
    <row r="602" spans="1:13" hidden="1">
      <c r="A602" s="2" t="s">
        <v>56</v>
      </c>
      <c r="B602" t="s">
        <v>1877</v>
      </c>
      <c r="C602" t="s">
        <v>1850</v>
      </c>
      <c r="D602" t="s">
        <v>1860</v>
      </c>
      <c r="K602"/>
      <c r="L602"/>
      <c r="M602"/>
    </row>
    <row r="603" spans="1:13" hidden="1">
      <c r="A603" s="2" t="s">
        <v>51</v>
      </c>
      <c r="B603" t="s">
        <v>1877</v>
      </c>
      <c r="C603" t="s">
        <v>1850</v>
      </c>
      <c r="D603" t="s">
        <v>1860</v>
      </c>
      <c r="K603"/>
      <c r="L603"/>
      <c r="M603"/>
    </row>
    <row r="604" spans="1:13" hidden="1">
      <c r="A604" s="2" t="s">
        <v>38</v>
      </c>
      <c r="B604" t="s">
        <v>1877</v>
      </c>
      <c r="C604" t="s">
        <v>1850</v>
      </c>
      <c r="D604" t="s">
        <v>1860</v>
      </c>
      <c r="K604"/>
      <c r="L604"/>
      <c r="M604"/>
    </row>
    <row r="605" spans="1:13" hidden="1">
      <c r="A605" s="2" t="s">
        <v>46</v>
      </c>
      <c r="B605" t="s">
        <v>1877</v>
      </c>
      <c r="C605" t="s">
        <v>1850</v>
      </c>
      <c r="D605" t="s">
        <v>1860</v>
      </c>
      <c r="K605"/>
      <c r="L605"/>
      <c r="M605"/>
    </row>
    <row r="606" spans="1:13" hidden="1">
      <c r="A606" s="2" t="s">
        <v>65</v>
      </c>
      <c r="B606" t="s">
        <v>1877</v>
      </c>
      <c r="C606" t="s">
        <v>1850</v>
      </c>
      <c r="D606" t="s">
        <v>1860</v>
      </c>
      <c r="K606"/>
      <c r="L606"/>
      <c r="M606"/>
    </row>
    <row r="607" spans="1:13" hidden="1">
      <c r="A607" s="2" t="s">
        <v>66</v>
      </c>
      <c r="B607" t="s">
        <v>1877</v>
      </c>
      <c r="C607" t="s">
        <v>1850</v>
      </c>
      <c r="D607" t="s">
        <v>1860</v>
      </c>
      <c r="K607"/>
      <c r="L607"/>
      <c r="M607"/>
    </row>
    <row r="608" spans="1:13" hidden="1">
      <c r="A608" s="2" t="s">
        <v>612</v>
      </c>
      <c r="B608" t="s">
        <v>1877</v>
      </c>
      <c r="C608" t="s">
        <v>1850</v>
      </c>
      <c r="D608" t="s">
        <v>1860</v>
      </c>
      <c r="K608"/>
      <c r="L608"/>
      <c r="M608"/>
    </row>
    <row r="609" spans="1:13" hidden="1">
      <c r="A609" s="2" t="s">
        <v>48</v>
      </c>
      <c r="B609" t="s">
        <v>1877</v>
      </c>
      <c r="C609" t="s">
        <v>1850</v>
      </c>
      <c r="D609" t="s">
        <v>1860</v>
      </c>
      <c r="K609"/>
      <c r="L609"/>
      <c r="M609"/>
    </row>
    <row r="610" spans="1:13" hidden="1">
      <c r="A610" s="2" t="s">
        <v>71</v>
      </c>
      <c r="B610" t="s">
        <v>1877</v>
      </c>
      <c r="C610" t="s">
        <v>1850</v>
      </c>
      <c r="D610" t="s">
        <v>1860</v>
      </c>
      <c r="K610"/>
      <c r="L610"/>
      <c r="M610"/>
    </row>
    <row r="611" spans="1:13" hidden="1">
      <c r="A611" s="2" t="s">
        <v>57</v>
      </c>
      <c r="B611" t="s">
        <v>1877</v>
      </c>
      <c r="C611" t="s">
        <v>1850</v>
      </c>
      <c r="D611" t="s">
        <v>1860</v>
      </c>
      <c r="K611"/>
      <c r="L611"/>
      <c r="M611"/>
    </row>
    <row r="612" spans="1:13" hidden="1">
      <c r="A612" s="2" t="s">
        <v>61</v>
      </c>
      <c r="B612" t="s">
        <v>1877</v>
      </c>
      <c r="C612" t="s">
        <v>1850</v>
      </c>
      <c r="D612" t="s">
        <v>1860</v>
      </c>
      <c r="K612"/>
      <c r="L612"/>
      <c r="M612"/>
    </row>
    <row r="613" spans="1:13" hidden="1">
      <c r="A613" s="2" t="s">
        <v>59</v>
      </c>
      <c r="B613" t="s">
        <v>1877</v>
      </c>
      <c r="C613" t="s">
        <v>1850</v>
      </c>
      <c r="D613" t="s">
        <v>1860</v>
      </c>
      <c r="K613"/>
      <c r="L613"/>
      <c r="M613"/>
    </row>
    <row r="614" spans="1:13" hidden="1">
      <c r="A614" s="2" t="s">
        <v>614</v>
      </c>
      <c r="B614" t="s">
        <v>1877</v>
      </c>
      <c r="C614" t="s">
        <v>1850</v>
      </c>
      <c r="D614" t="s">
        <v>1860</v>
      </c>
      <c r="K614"/>
      <c r="L614"/>
      <c r="M614"/>
    </row>
    <row r="615" spans="1:13" hidden="1">
      <c r="A615" s="2" t="s">
        <v>70</v>
      </c>
      <c r="B615" t="s">
        <v>1877</v>
      </c>
      <c r="C615" t="s">
        <v>1850</v>
      </c>
      <c r="D615" t="s">
        <v>1860</v>
      </c>
      <c r="K615"/>
      <c r="L615"/>
      <c r="M615"/>
    </row>
    <row r="616" spans="1:13" hidden="1">
      <c r="A616" s="2" t="s">
        <v>666</v>
      </c>
      <c r="B616" t="s">
        <v>1877</v>
      </c>
      <c r="C616" t="s">
        <v>1850</v>
      </c>
      <c r="D616" t="s">
        <v>1860</v>
      </c>
      <c r="K616"/>
      <c r="L616"/>
      <c r="M616"/>
    </row>
    <row r="617" spans="1:13" hidden="1">
      <c r="A617" s="2" t="s">
        <v>55</v>
      </c>
      <c r="B617" t="s">
        <v>1877</v>
      </c>
      <c r="C617" t="s">
        <v>1850</v>
      </c>
      <c r="D617" t="s">
        <v>1860</v>
      </c>
      <c r="K617"/>
      <c r="L617"/>
      <c r="M617"/>
    </row>
    <row r="618" spans="1:13" hidden="1">
      <c r="A618" s="2" t="s">
        <v>49</v>
      </c>
      <c r="B618" t="s">
        <v>1877</v>
      </c>
      <c r="C618" t="s">
        <v>1850</v>
      </c>
      <c r="D618" t="s">
        <v>1860</v>
      </c>
      <c r="K618"/>
      <c r="L618"/>
      <c r="M618"/>
    </row>
    <row r="619" spans="1:13" hidden="1">
      <c r="A619" s="2" t="s">
        <v>36</v>
      </c>
      <c r="B619" t="s">
        <v>1877</v>
      </c>
      <c r="C619" t="s">
        <v>1850</v>
      </c>
      <c r="D619" t="s">
        <v>1860</v>
      </c>
      <c r="K619"/>
      <c r="L619"/>
      <c r="M619"/>
    </row>
    <row r="620" spans="1:13" hidden="1">
      <c r="A620" s="2" t="s">
        <v>42</v>
      </c>
      <c r="B620" t="s">
        <v>1877</v>
      </c>
      <c r="C620" t="s">
        <v>1850</v>
      </c>
      <c r="D620" t="s">
        <v>1860</v>
      </c>
      <c r="K620"/>
      <c r="L620"/>
      <c r="M620"/>
    </row>
    <row r="621" spans="1:13" hidden="1">
      <c r="A621" s="2" t="s">
        <v>43</v>
      </c>
      <c r="B621" t="s">
        <v>1877</v>
      </c>
      <c r="C621" t="s">
        <v>1850</v>
      </c>
      <c r="D621" t="s">
        <v>1860</v>
      </c>
      <c r="K621"/>
      <c r="L621"/>
      <c r="M621"/>
    </row>
    <row r="622" spans="1:13" hidden="1">
      <c r="A622" s="2" t="s">
        <v>53</v>
      </c>
      <c r="B622" t="s">
        <v>1877</v>
      </c>
      <c r="C622" t="s">
        <v>1853</v>
      </c>
      <c r="D622" t="s">
        <v>1859</v>
      </c>
      <c r="K622"/>
      <c r="L622"/>
      <c r="M622"/>
    </row>
    <row r="623" spans="1:13" hidden="1">
      <c r="A623" s="2" t="s">
        <v>58</v>
      </c>
      <c r="B623" t="s">
        <v>1877</v>
      </c>
      <c r="C623" t="s">
        <v>1857</v>
      </c>
      <c r="D623" t="s">
        <v>1860</v>
      </c>
      <c r="K623"/>
      <c r="L623"/>
      <c r="M623"/>
    </row>
    <row r="624" spans="1:13" hidden="1">
      <c r="A624" s="2" t="s">
        <v>67</v>
      </c>
      <c r="B624" t="s">
        <v>1877</v>
      </c>
      <c r="C624" t="s">
        <v>1850</v>
      </c>
      <c r="D624" t="s">
        <v>1860</v>
      </c>
      <c r="K624"/>
      <c r="L624"/>
      <c r="M624"/>
    </row>
    <row r="625" spans="1:13" hidden="1">
      <c r="A625" s="2" t="s">
        <v>72</v>
      </c>
      <c r="B625" t="s">
        <v>1877</v>
      </c>
      <c r="C625" t="s">
        <v>1850</v>
      </c>
      <c r="D625" t="s">
        <v>1860</v>
      </c>
      <c r="K625"/>
      <c r="L625"/>
      <c r="M625"/>
    </row>
    <row r="626" spans="1:13" hidden="1">
      <c r="A626" s="2" t="s">
        <v>611</v>
      </c>
      <c r="B626" t="s">
        <v>1877</v>
      </c>
      <c r="C626" t="s">
        <v>1850</v>
      </c>
      <c r="D626" t="s">
        <v>1860</v>
      </c>
      <c r="K626"/>
      <c r="L626"/>
      <c r="M626"/>
    </row>
    <row r="627" spans="1:13" hidden="1">
      <c r="A627" s="2" t="s">
        <v>610</v>
      </c>
      <c r="B627" t="s">
        <v>1877</v>
      </c>
      <c r="C627" t="s">
        <v>1850</v>
      </c>
      <c r="D627" t="s">
        <v>1860</v>
      </c>
      <c r="K627"/>
      <c r="L627"/>
      <c r="M627"/>
    </row>
    <row r="628" spans="1:13" hidden="1">
      <c r="A628" s="2" t="s">
        <v>50</v>
      </c>
      <c r="B628" t="s">
        <v>1877</v>
      </c>
      <c r="C628" t="s">
        <v>1850</v>
      </c>
      <c r="D628" t="s">
        <v>1860</v>
      </c>
      <c r="K628"/>
      <c r="L628"/>
      <c r="M628"/>
    </row>
    <row r="629" spans="1:13" hidden="1">
      <c r="A629" s="2" t="s">
        <v>44</v>
      </c>
      <c r="B629" t="s">
        <v>1877</v>
      </c>
      <c r="C629" t="s">
        <v>1850</v>
      </c>
      <c r="D629" t="s">
        <v>1860</v>
      </c>
      <c r="K629"/>
      <c r="L629"/>
      <c r="M629"/>
    </row>
    <row r="630" spans="1:13" hidden="1">
      <c r="A630" s="2" t="s">
        <v>45</v>
      </c>
      <c r="B630" t="s">
        <v>1877</v>
      </c>
      <c r="C630" t="s">
        <v>1850</v>
      </c>
      <c r="D630" t="s">
        <v>1860</v>
      </c>
      <c r="K630"/>
      <c r="L630"/>
      <c r="M630"/>
    </row>
    <row r="631" spans="1:13" hidden="1">
      <c r="A631" s="2" t="s">
        <v>62</v>
      </c>
      <c r="B631" t="s">
        <v>1877</v>
      </c>
      <c r="C631" t="s">
        <v>1850</v>
      </c>
      <c r="D631" t="s">
        <v>1860</v>
      </c>
      <c r="K631"/>
      <c r="L631"/>
      <c r="M631"/>
    </row>
    <row r="632" spans="1:13" hidden="1">
      <c r="A632" s="2" t="s">
        <v>39</v>
      </c>
      <c r="B632" t="s">
        <v>1877</v>
      </c>
      <c r="C632" t="s">
        <v>1850</v>
      </c>
      <c r="D632" t="s">
        <v>1860</v>
      </c>
      <c r="K632"/>
      <c r="L632"/>
      <c r="M632"/>
    </row>
    <row r="633" spans="1:13" hidden="1">
      <c r="A633" s="2" t="s">
        <v>60</v>
      </c>
      <c r="B633" t="s">
        <v>1877</v>
      </c>
      <c r="C633" t="s">
        <v>1850</v>
      </c>
      <c r="D633" t="s">
        <v>1860</v>
      </c>
      <c r="K633"/>
      <c r="L633"/>
      <c r="M633"/>
    </row>
    <row r="634" spans="1:13" hidden="1">
      <c r="A634" s="2" t="s">
        <v>40</v>
      </c>
      <c r="B634" t="s">
        <v>1877</v>
      </c>
      <c r="C634" t="s">
        <v>1850</v>
      </c>
      <c r="D634" t="s">
        <v>1860</v>
      </c>
      <c r="K634"/>
      <c r="L634"/>
      <c r="M634"/>
    </row>
    <row r="635" spans="1:13" hidden="1">
      <c r="A635" s="2" t="s">
        <v>64</v>
      </c>
      <c r="B635" t="s">
        <v>1877</v>
      </c>
      <c r="C635" t="s">
        <v>1850</v>
      </c>
      <c r="D635" t="s">
        <v>1860</v>
      </c>
      <c r="K635"/>
      <c r="L635"/>
      <c r="M635"/>
    </row>
    <row r="636" spans="1:13" hidden="1">
      <c r="A636" s="2" t="s">
        <v>667</v>
      </c>
      <c r="B636" t="s">
        <v>1877</v>
      </c>
      <c r="C636" t="s">
        <v>1850</v>
      </c>
      <c r="D636" t="s">
        <v>1860</v>
      </c>
      <c r="K636"/>
      <c r="L636"/>
      <c r="M636"/>
    </row>
    <row r="637" spans="1:13" hidden="1">
      <c r="A637" s="2" t="s">
        <v>68</v>
      </c>
      <c r="B637" t="s">
        <v>1877</v>
      </c>
      <c r="C637" t="s">
        <v>1850</v>
      </c>
      <c r="D637" t="s">
        <v>1860</v>
      </c>
      <c r="K637"/>
      <c r="L637"/>
      <c r="M637"/>
    </row>
    <row r="638" spans="1:13" hidden="1">
      <c r="A638" s="2" t="s">
        <v>54</v>
      </c>
      <c r="B638" t="s">
        <v>1877</v>
      </c>
      <c r="C638" t="s">
        <v>1850</v>
      </c>
      <c r="D638" t="s">
        <v>1860</v>
      </c>
      <c r="K638"/>
      <c r="L638"/>
      <c r="M638"/>
    </row>
    <row r="639" spans="1:13" hidden="1">
      <c r="A639" s="2" t="s">
        <v>47</v>
      </c>
      <c r="B639" t="s">
        <v>1877</v>
      </c>
      <c r="C639" t="s">
        <v>1850</v>
      </c>
      <c r="D639" t="s">
        <v>1860</v>
      </c>
      <c r="K639"/>
      <c r="L639"/>
      <c r="M639"/>
    </row>
    <row r="640" spans="1:13" hidden="1">
      <c r="A640" s="2" t="s">
        <v>37</v>
      </c>
      <c r="B640" t="s">
        <v>1877</v>
      </c>
      <c r="C640" t="s">
        <v>1850</v>
      </c>
      <c r="D640" t="s">
        <v>1860</v>
      </c>
      <c r="K640"/>
      <c r="L640"/>
      <c r="M640"/>
    </row>
    <row r="641" spans="1:13" hidden="1">
      <c r="A641" s="2" t="s">
        <v>41</v>
      </c>
      <c r="B641" t="s">
        <v>1877</v>
      </c>
      <c r="C641" t="s">
        <v>1850</v>
      </c>
      <c r="D641" t="s">
        <v>1860</v>
      </c>
      <c r="K641"/>
      <c r="L641"/>
      <c r="M641"/>
    </row>
    <row r="642" spans="1:13" hidden="1">
      <c r="A642" s="2" t="s">
        <v>69</v>
      </c>
      <c r="B642" t="s">
        <v>1877</v>
      </c>
      <c r="C642" t="s">
        <v>1850</v>
      </c>
      <c r="D642" t="s">
        <v>1860</v>
      </c>
      <c r="K642"/>
      <c r="L642"/>
      <c r="M642"/>
    </row>
    <row r="643" spans="1:13" hidden="1">
      <c r="A643" s="2" t="s">
        <v>52</v>
      </c>
      <c r="B643" t="s">
        <v>1877</v>
      </c>
      <c r="C643" t="s">
        <v>1850</v>
      </c>
      <c r="D643" t="s">
        <v>1860</v>
      </c>
      <c r="K643"/>
      <c r="L643"/>
      <c r="M643"/>
    </row>
    <row r="644" spans="1:13" hidden="1">
      <c r="A644" s="2" t="s">
        <v>85</v>
      </c>
      <c r="B644" t="s">
        <v>1877</v>
      </c>
      <c r="C644" t="s">
        <v>1850</v>
      </c>
      <c r="D644" t="s">
        <v>1860</v>
      </c>
      <c r="K644"/>
      <c r="L644"/>
      <c r="M644"/>
    </row>
    <row r="645" spans="1:13" hidden="1">
      <c r="A645" s="2" t="s">
        <v>84</v>
      </c>
      <c r="B645" t="s">
        <v>1877</v>
      </c>
      <c r="C645" t="s">
        <v>1850</v>
      </c>
      <c r="D645" t="s">
        <v>1860</v>
      </c>
      <c r="K645"/>
      <c r="L645"/>
      <c r="M645"/>
    </row>
    <row r="646" spans="1:13" hidden="1">
      <c r="A646" s="2" t="s">
        <v>73</v>
      </c>
      <c r="B646" t="s">
        <v>1877</v>
      </c>
      <c r="C646" t="s">
        <v>1850</v>
      </c>
      <c r="D646" t="s">
        <v>1860</v>
      </c>
      <c r="K646"/>
      <c r="L646"/>
      <c r="M646"/>
    </row>
    <row r="647" spans="1:13" hidden="1">
      <c r="A647" s="2" t="s">
        <v>75</v>
      </c>
      <c r="B647" t="s">
        <v>1877</v>
      </c>
      <c r="C647" t="s">
        <v>1850</v>
      </c>
      <c r="D647" t="s">
        <v>1860</v>
      </c>
      <c r="K647"/>
      <c r="L647"/>
      <c r="M647"/>
    </row>
    <row r="648" spans="1:13" hidden="1">
      <c r="A648" s="2" t="s">
        <v>76</v>
      </c>
      <c r="B648" t="s">
        <v>1877</v>
      </c>
      <c r="C648" t="s">
        <v>1850</v>
      </c>
      <c r="D648" t="s">
        <v>1860</v>
      </c>
      <c r="K648"/>
      <c r="L648"/>
      <c r="M648"/>
    </row>
    <row r="649" spans="1:13" hidden="1">
      <c r="A649" s="2" t="s">
        <v>77</v>
      </c>
      <c r="B649" t="s">
        <v>1877</v>
      </c>
      <c r="C649" t="s">
        <v>1850</v>
      </c>
      <c r="D649" t="s">
        <v>1860</v>
      </c>
      <c r="K649"/>
      <c r="L649"/>
      <c r="M649"/>
    </row>
    <row r="650" spans="1:13" hidden="1">
      <c r="A650" s="2" t="s">
        <v>86</v>
      </c>
      <c r="B650" t="s">
        <v>1877</v>
      </c>
      <c r="C650" t="s">
        <v>1850</v>
      </c>
      <c r="D650" t="s">
        <v>1860</v>
      </c>
      <c r="K650"/>
      <c r="L650"/>
      <c r="M650"/>
    </row>
    <row r="651" spans="1:13" hidden="1">
      <c r="A651" s="2" t="s">
        <v>80</v>
      </c>
      <c r="B651" t="s">
        <v>1877</v>
      </c>
      <c r="C651" t="s">
        <v>1850</v>
      </c>
      <c r="D651" t="s">
        <v>1860</v>
      </c>
      <c r="K651"/>
      <c r="L651"/>
      <c r="M651"/>
    </row>
    <row r="652" spans="1:13" hidden="1">
      <c r="A652" s="2" t="s">
        <v>79</v>
      </c>
      <c r="B652" t="s">
        <v>1877</v>
      </c>
      <c r="C652" t="s">
        <v>1850</v>
      </c>
      <c r="D652" t="s">
        <v>1860</v>
      </c>
      <c r="K652"/>
      <c r="L652"/>
      <c r="M652"/>
    </row>
    <row r="653" spans="1:13" hidden="1">
      <c r="A653" s="2" t="s">
        <v>81</v>
      </c>
      <c r="B653" t="s">
        <v>1877</v>
      </c>
      <c r="C653" t="s">
        <v>1850</v>
      </c>
      <c r="D653" t="s">
        <v>1860</v>
      </c>
      <c r="K653"/>
      <c r="L653"/>
      <c r="M653"/>
    </row>
    <row r="654" spans="1:13" hidden="1">
      <c r="A654" s="2" t="s">
        <v>619</v>
      </c>
      <c r="B654" t="s">
        <v>1877</v>
      </c>
      <c r="C654" t="s">
        <v>1850</v>
      </c>
      <c r="D654" t="s">
        <v>1860</v>
      </c>
      <c r="K654"/>
      <c r="L654"/>
      <c r="M654"/>
    </row>
    <row r="655" spans="1:13" hidden="1">
      <c r="A655" s="2" t="s">
        <v>82</v>
      </c>
      <c r="B655" t="s">
        <v>1877</v>
      </c>
      <c r="C655" t="s">
        <v>1850</v>
      </c>
      <c r="D655" t="s">
        <v>1860</v>
      </c>
      <c r="K655"/>
      <c r="L655"/>
      <c r="M655"/>
    </row>
    <row r="656" spans="1:13" hidden="1">
      <c r="A656" s="2" t="s">
        <v>83</v>
      </c>
      <c r="B656" t="s">
        <v>1877</v>
      </c>
      <c r="C656" t="s">
        <v>1850</v>
      </c>
      <c r="D656" t="s">
        <v>1860</v>
      </c>
      <c r="K656"/>
      <c r="L656"/>
      <c r="M656"/>
    </row>
    <row r="657" spans="1:13" hidden="1">
      <c r="A657" s="2" t="s">
        <v>78</v>
      </c>
      <c r="B657" t="s">
        <v>1877</v>
      </c>
      <c r="C657" t="s">
        <v>1850</v>
      </c>
      <c r="D657" t="s">
        <v>1860</v>
      </c>
      <c r="K657"/>
      <c r="L657"/>
      <c r="M657"/>
    </row>
    <row r="658" spans="1:13" hidden="1">
      <c r="A658" s="2" t="s">
        <v>618</v>
      </c>
      <c r="B658" t="s">
        <v>1877</v>
      </c>
      <c r="C658" t="s">
        <v>1850</v>
      </c>
      <c r="D658" t="s">
        <v>1860</v>
      </c>
      <c r="K658"/>
      <c r="L658"/>
      <c r="M658"/>
    </row>
    <row r="659" spans="1:13" hidden="1">
      <c r="A659" s="2" t="s">
        <v>87</v>
      </c>
      <c r="B659" t="s">
        <v>1877</v>
      </c>
      <c r="C659" t="s">
        <v>1850</v>
      </c>
      <c r="D659" t="s">
        <v>1860</v>
      </c>
      <c r="K659"/>
      <c r="L659"/>
      <c r="M659"/>
    </row>
    <row r="660" spans="1:13" hidden="1">
      <c r="A660" s="2" t="s">
        <v>615</v>
      </c>
      <c r="B660" t="s">
        <v>1877</v>
      </c>
      <c r="C660" t="s">
        <v>1850</v>
      </c>
      <c r="D660" t="s">
        <v>1860</v>
      </c>
      <c r="K660"/>
      <c r="L660"/>
      <c r="M660"/>
    </row>
    <row r="661" spans="1:13" hidden="1">
      <c r="A661" s="2" t="s">
        <v>617</v>
      </c>
      <c r="B661" t="s">
        <v>1877</v>
      </c>
      <c r="C661" t="s">
        <v>1850</v>
      </c>
      <c r="D661" t="s">
        <v>1860</v>
      </c>
      <c r="K661"/>
      <c r="L661"/>
      <c r="M661"/>
    </row>
    <row r="662" spans="1:13" hidden="1">
      <c r="A662" s="2" t="s">
        <v>616</v>
      </c>
      <c r="B662" t="s">
        <v>1877</v>
      </c>
      <c r="C662" t="s">
        <v>1850</v>
      </c>
      <c r="D662" t="s">
        <v>1860</v>
      </c>
      <c r="K662"/>
      <c r="L662"/>
      <c r="M662"/>
    </row>
    <row r="663" spans="1:13" hidden="1">
      <c r="A663" s="2" t="s">
        <v>88</v>
      </c>
      <c r="B663" t="s">
        <v>1877</v>
      </c>
      <c r="C663" t="s">
        <v>1850</v>
      </c>
      <c r="D663" t="s">
        <v>1860</v>
      </c>
      <c r="K663"/>
      <c r="L663"/>
      <c r="M663"/>
    </row>
    <row r="664" spans="1:13" hidden="1">
      <c r="A664" s="2" t="s">
        <v>89</v>
      </c>
      <c r="B664" t="s">
        <v>1877</v>
      </c>
      <c r="C664" t="s">
        <v>1850</v>
      </c>
      <c r="D664" t="s">
        <v>1860</v>
      </c>
      <c r="K664"/>
      <c r="L664"/>
      <c r="M664"/>
    </row>
    <row r="665" spans="1:13" hidden="1">
      <c r="A665" s="2" t="s">
        <v>595</v>
      </c>
      <c r="B665" t="s">
        <v>1877</v>
      </c>
      <c r="C665" t="s">
        <v>1853</v>
      </c>
      <c r="D665" t="s">
        <v>1860</v>
      </c>
      <c r="K665"/>
      <c r="L665"/>
      <c r="M665"/>
    </row>
    <row r="666" spans="1:13" hidden="1">
      <c r="A666" s="2" t="s">
        <v>30</v>
      </c>
      <c r="B666" t="s">
        <v>1877</v>
      </c>
      <c r="C666" t="s">
        <v>1857</v>
      </c>
      <c r="D666" t="s">
        <v>1860</v>
      </c>
      <c r="K666"/>
      <c r="L666"/>
      <c r="M666"/>
    </row>
    <row r="667" spans="1:13" hidden="1">
      <c r="A667" s="2" t="s">
        <v>26</v>
      </c>
      <c r="B667" t="s">
        <v>1877</v>
      </c>
      <c r="C667" t="s">
        <v>1857</v>
      </c>
      <c r="D667" t="s">
        <v>1860</v>
      </c>
      <c r="K667"/>
      <c r="L667"/>
      <c r="M667"/>
    </row>
    <row r="668" spans="1:13" hidden="1">
      <c r="A668" s="2" t="s">
        <v>31</v>
      </c>
      <c r="B668" t="s">
        <v>1877</v>
      </c>
      <c r="C668" t="s">
        <v>1857</v>
      </c>
      <c r="D668" t="s">
        <v>1860</v>
      </c>
      <c r="K668"/>
      <c r="L668"/>
      <c r="M668"/>
    </row>
    <row r="669" spans="1:13" hidden="1">
      <c r="A669" s="2" t="s">
        <v>22</v>
      </c>
      <c r="B669" t="s">
        <v>1877</v>
      </c>
      <c r="C669" t="s">
        <v>1850</v>
      </c>
      <c r="D669" t="s">
        <v>1860</v>
      </c>
      <c r="K669"/>
      <c r="L669"/>
      <c r="M669"/>
    </row>
    <row r="670" spans="1:13" hidden="1">
      <c r="A670" s="2" t="s">
        <v>28</v>
      </c>
      <c r="B670" t="s">
        <v>1877</v>
      </c>
      <c r="C670" t="s">
        <v>1850</v>
      </c>
      <c r="D670" t="s">
        <v>1860</v>
      </c>
      <c r="K670"/>
      <c r="L670"/>
      <c r="M670"/>
    </row>
    <row r="671" spans="1:13" hidden="1">
      <c r="A671" s="2" t="s">
        <v>25</v>
      </c>
      <c r="B671" t="s">
        <v>1877</v>
      </c>
      <c r="C671" t="s">
        <v>1857</v>
      </c>
      <c r="D671" t="s">
        <v>1860</v>
      </c>
      <c r="K671"/>
      <c r="L671"/>
      <c r="M671"/>
    </row>
    <row r="672" spans="1:13" hidden="1">
      <c r="A672" s="2" t="s">
        <v>29</v>
      </c>
      <c r="B672" t="s">
        <v>1877</v>
      </c>
      <c r="C672" t="s">
        <v>1852</v>
      </c>
      <c r="D672" t="s">
        <v>1860</v>
      </c>
      <c r="K672"/>
      <c r="L672"/>
      <c r="M672"/>
    </row>
    <row r="673" spans="1:13" hidden="1">
      <c r="A673" s="2" t="s">
        <v>27</v>
      </c>
      <c r="B673" t="s">
        <v>1877</v>
      </c>
      <c r="C673" t="s">
        <v>1857</v>
      </c>
      <c r="D673" t="s">
        <v>1860</v>
      </c>
      <c r="K673"/>
      <c r="L673"/>
      <c r="M673"/>
    </row>
    <row r="674" spans="1:13" hidden="1">
      <c r="A674" s="2" t="s">
        <v>594</v>
      </c>
      <c r="B674" t="s">
        <v>1877</v>
      </c>
      <c r="C674" t="s">
        <v>1850</v>
      </c>
      <c r="D674" t="s">
        <v>1863</v>
      </c>
      <c r="K674"/>
      <c r="L674"/>
      <c r="M674"/>
    </row>
    <row r="675" spans="1:13" hidden="1">
      <c r="A675" s="2" t="s">
        <v>592</v>
      </c>
      <c r="B675" t="s">
        <v>1877</v>
      </c>
      <c r="C675" t="s">
        <v>1850</v>
      </c>
      <c r="D675" t="s">
        <v>1863</v>
      </c>
      <c r="K675"/>
      <c r="L675"/>
      <c r="M675"/>
    </row>
    <row r="676" spans="1:13" hidden="1">
      <c r="A676" s="2" t="s">
        <v>591</v>
      </c>
      <c r="B676" t="s">
        <v>1877</v>
      </c>
      <c r="C676" t="s">
        <v>1850</v>
      </c>
      <c r="D676" t="s">
        <v>1863</v>
      </c>
      <c r="K676"/>
      <c r="L676"/>
      <c r="M676"/>
    </row>
    <row r="677" spans="1:13" hidden="1">
      <c r="A677" s="2" t="s">
        <v>593</v>
      </c>
      <c r="B677" t="s">
        <v>1877</v>
      </c>
      <c r="C677" t="s">
        <v>1850</v>
      </c>
      <c r="D677" t="s">
        <v>1862</v>
      </c>
      <c r="K677"/>
      <c r="L677"/>
      <c r="M677"/>
    </row>
    <row r="678" spans="1:13" hidden="1">
      <c r="A678" s="2" t="s">
        <v>179</v>
      </c>
      <c r="B678" t="s">
        <v>1877</v>
      </c>
      <c r="C678" t="s">
        <v>1857</v>
      </c>
      <c r="D678" t="s">
        <v>1862</v>
      </c>
      <c r="K678"/>
      <c r="L678"/>
      <c r="M678"/>
    </row>
    <row r="679" spans="1:13">
      <c r="A679" s="2" t="s">
        <v>142</v>
      </c>
      <c r="B679" t="s">
        <v>1877</v>
      </c>
      <c r="C679" t="s">
        <v>1857</v>
      </c>
      <c r="D679" t="s">
        <v>1859</v>
      </c>
      <c r="K679"/>
      <c r="L679"/>
      <c r="M679"/>
    </row>
    <row r="680" spans="1:13" hidden="1">
      <c r="A680" s="2" t="s">
        <v>161</v>
      </c>
      <c r="B680" t="s">
        <v>1877</v>
      </c>
      <c r="C680" t="s">
        <v>1857</v>
      </c>
      <c r="D680" t="s">
        <v>1859</v>
      </c>
      <c r="K680"/>
      <c r="L680"/>
      <c r="M680"/>
    </row>
    <row r="681" spans="1:13" hidden="1">
      <c r="A681" s="2" t="s">
        <v>191</v>
      </c>
      <c r="B681" t="s">
        <v>1877</v>
      </c>
      <c r="C681" t="s">
        <v>1857</v>
      </c>
      <c r="D681" t="s">
        <v>1861</v>
      </c>
      <c r="K681"/>
      <c r="L681"/>
      <c r="M681"/>
    </row>
    <row r="682" spans="1:13">
      <c r="A682" s="2" t="s">
        <v>104</v>
      </c>
      <c r="B682" t="s">
        <v>1877</v>
      </c>
      <c r="C682" t="s">
        <v>1857</v>
      </c>
      <c r="D682" t="s">
        <v>1859</v>
      </c>
      <c r="K682"/>
      <c r="L682"/>
      <c r="M682"/>
    </row>
    <row r="683" spans="1:13" hidden="1">
      <c r="A683" s="2" t="s">
        <v>159</v>
      </c>
      <c r="B683" t="s">
        <v>1877</v>
      </c>
      <c r="C683" t="s">
        <v>1851</v>
      </c>
      <c r="D683" t="s">
        <v>1861</v>
      </c>
      <c r="K683"/>
      <c r="L683"/>
      <c r="M683"/>
    </row>
    <row r="684" spans="1:13" hidden="1">
      <c r="A684" s="2" t="s">
        <v>192</v>
      </c>
      <c r="B684" t="s">
        <v>1877</v>
      </c>
      <c r="C684" t="s">
        <v>1857</v>
      </c>
      <c r="D684" t="s">
        <v>1859</v>
      </c>
      <c r="K684"/>
      <c r="L684"/>
      <c r="M684"/>
    </row>
    <row r="685" spans="1:13" hidden="1">
      <c r="A685" s="2" t="s">
        <v>157</v>
      </c>
      <c r="B685" t="s">
        <v>1877</v>
      </c>
      <c r="C685" t="s">
        <v>1857</v>
      </c>
      <c r="D685" t="s">
        <v>1859</v>
      </c>
      <c r="K685"/>
      <c r="L685"/>
      <c r="M685"/>
    </row>
    <row r="686" spans="1:13" hidden="1">
      <c r="A686" s="2" t="s">
        <v>132</v>
      </c>
      <c r="B686" t="s">
        <v>1877</v>
      </c>
      <c r="C686" t="s">
        <v>1857</v>
      </c>
      <c r="D686" t="s">
        <v>1859</v>
      </c>
      <c r="K686"/>
      <c r="L686"/>
      <c r="M686"/>
    </row>
    <row r="687" spans="1:13" hidden="1">
      <c r="A687" s="2" t="s">
        <v>128</v>
      </c>
      <c r="B687" t="s">
        <v>1877</v>
      </c>
      <c r="C687" t="s">
        <v>1857</v>
      </c>
      <c r="D687" t="s">
        <v>1859</v>
      </c>
      <c r="K687"/>
      <c r="L687"/>
      <c r="M687"/>
    </row>
    <row r="688" spans="1:13" hidden="1">
      <c r="A688" s="2" t="s">
        <v>158</v>
      </c>
      <c r="B688" t="s">
        <v>1877</v>
      </c>
      <c r="C688" t="s">
        <v>1857</v>
      </c>
      <c r="D688" t="s">
        <v>1859</v>
      </c>
      <c r="K688"/>
      <c r="L688"/>
      <c r="M688"/>
    </row>
    <row r="689" spans="1:13" hidden="1">
      <c r="A689" s="2" t="s">
        <v>153</v>
      </c>
      <c r="B689" t="s">
        <v>1877</v>
      </c>
      <c r="C689" t="s">
        <v>1857</v>
      </c>
      <c r="D689" t="s">
        <v>1859</v>
      </c>
      <c r="K689"/>
      <c r="L689"/>
      <c r="M689"/>
    </row>
    <row r="690" spans="1:13" hidden="1">
      <c r="A690" s="2" t="s">
        <v>100</v>
      </c>
      <c r="B690" t="s">
        <v>1877</v>
      </c>
      <c r="C690" t="s">
        <v>1857</v>
      </c>
      <c r="D690" t="s">
        <v>1861</v>
      </c>
      <c r="K690"/>
      <c r="L690"/>
      <c r="M690"/>
    </row>
    <row r="691" spans="1:13" hidden="1">
      <c r="A691" s="2" t="s">
        <v>187</v>
      </c>
      <c r="B691" t="s">
        <v>1877</v>
      </c>
      <c r="C691" t="s">
        <v>1857</v>
      </c>
      <c r="D691" t="s">
        <v>1859</v>
      </c>
      <c r="K691"/>
      <c r="L691"/>
      <c r="M691"/>
    </row>
    <row r="692" spans="1:13" hidden="1">
      <c r="A692" s="2" t="s">
        <v>96</v>
      </c>
      <c r="B692" t="s">
        <v>1877</v>
      </c>
      <c r="C692" t="s">
        <v>1857</v>
      </c>
      <c r="D692" t="s">
        <v>1861</v>
      </c>
      <c r="K692"/>
      <c r="L692"/>
      <c r="M692"/>
    </row>
    <row r="693" spans="1:13" hidden="1">
      <c r="A693" s="2" t="s">
        <v>90</v>
      </c>
      <c r="B693" t="s">
        <v>1877</v>
      </c>
      <c r="C693" t="s">
        <v>1857</v>
      </c>
      <c r="D693" t="s">
        <v>1861</v>
      </c>
      <c r="K693"/>
      <c r="L693"/>
      <c r="M693"/>
    </row>
    <row r="694" spans="1:13" hidden="1">
      <c r="A694" s="2" t="s">
        <v>193</v>
      </c>
      <c r="B694" t="s">
        <v>1877</v>
      </c>
      <c r="C694" t="s">
        <v>1857</v>
      </c>
      <c r="D694" t="s">
        <v>1859</v>
      </c>
      <c r="K694"/>
      <c r="L694"/>
      <c r="M694"/>
    </row>
    <row r="695" spans="1:13" hidden="1">
      <c r="A695" s="2" t="s">
        <v>145</v>
      </c>
      <c r="B695" t="s">
        <v>1877</v>
      </c>
      <c r="C695" t="s">
        <v>1857</v>
      </c>
      <c r="D695" t="s">
        <v>1859</v>
      </c>
      <c r="K695"/>
      <c r="L695"/>
      <c r="M695"/>
    </row>
    <row r="696" spans="1:13" hidden="1">
      <c r="A696" s="2" t="s">
        <v>133</v>
      </c>
      <c r="B696" t="s">
        <v>1877</v>
      </c>
      <c r="C696" t="s">
        <v>1857</v>
      </c>
      <c r="D696" t="s">
        <v>1859</v>
      </c>
      <c r="K696"/>
      <c r="L696"/>
      <c r="M696"/>
    </row>
    <row r="697" spans="1:13" hidden="1">
      <c r="A697" s="2" t="s">
        <v>148</v>
      </c>
      <c r="B697" t="s">
        <v>1877</v>
      </c>
      <c r="C697" t="s">
        <v>1857</v>
      </c>
      <c r="D697" t="s">
        <v>1859</v>
      </c>
      <c r="K697"/>
      <c r="L697"/>
      <c r="M697"/>
    </row>
    <row r="698" spans="1:13" hidden="1">
      <c r="A698" s="2" t="s">
        <v>115</v>
      </c>
      <c r="B698" t="s">
        <v>1877</v>
      </c>
      <c r="C698" t="s">
        <v>1857</v>
      </c>
      <c r="D698" t="s">
        <v>1859</v>
      </c>
      <c r="K698"/>
      <c r="L698"/>
      <c r="M698"/>
    </row>
    <row r="699" spans="1:13" hidden="1">
      <c r="A699" s="2" t="s">
        <v>194</v>
      </c>
      <c r="B699" t="s">
        <v>1877</v>
      </c>
      <c r="C699" t="s">
        <v>1857</v>
      </c>
      <c r="D699" t="s">
        <v>1859</v>
      </c>
      <c r="K699"/>
      <c r="L699"/>
      <c r="M699"/>
    </row>
    <row r="700" spans="1:13" hidden="1">
      <c r="A700" s="2" t="s">
        <v>172</v>
      </c>
      <c r="B700" t="s">
        <v>1877</v>
      </c>
      <c r="C700" t="s">
        <v>1857</v>
      </c>
      <c r="D700" t="s">
        <v>1859</v>
      </c>
      <c r="K700"/>
      <c r="L700"/>
      <c r="M700"/>
    </row>
    <row r="701" spans="1:13" hidden="1">
      <c r="A701" s="2" t="s">
        <v>195</v>
      </c>
      <c r="B701" t="s">
        <v>1877</v>
      </c>
      <c r="C701" t="s">
        <v>1857</v>
      </c>
      <c r="D701" t="s">
        <v>1859</v>
      </c>
      <c r="K701"/>
      <c r="L701"/>
      <c r="M701"/>
    </row>
    <row r="702" spans="1:13" hidden="1">
      <c r="A702" s="2" t="s">
        <v>183</v>
      </c>
      <c r="B702" t="s">
        <v>1877</v>
      </c>
      <c r="C702" t="s">
        <v>1857</v>
      </c>
      <c r="D702" t="s">
        <v>1859</v>
      </c>
      <c r="K702"/>
      <c r="L702"/>
      <c r="M702"/>
    </row>
    <row r="703" spans="1:13" hidden="1">
      <c r="A703" s="2" t="s">
        <v>102</v>
      </c>
      <c r="B703" t="s">
        <v>1877</v>
      </c>
      <c r="C703" t="s">
        <v>1857</v>
      </c>
      <c r="D703" t="s">
        <v>1861</v>
      </c>
      <c r="K703"/>
      <c r="L703"/>
      <c r="M703"/>
    </row>
    <row r="704" spans="1:13" hidden="1">
      <c r="A704" s="2" t="s">
        <v>185</v>
      </c>
      <c r="B704" t="s">
        <v>1877</v>
      </c>
      <c r="C704" t="s">
        <v>1857</v>
      </c>
      <c r="D704" t="s">
        <v>1859</v>
      </c>
      <c r="K704"/>
      <c r="L704"/>
      <c r="M704"/>
    </row>
    <row r="705" spans="1:13" hidden="1">
      <c r="A705" s="2" t="s">
        <v>181</v>
      </c>
      <c r="B705" t="s">
        <v>1877</v>
      </c>
      <c r="C705" t="s">
        <v>1857</v>
      </c>
      <c r="D705" t="s">
        <v>1859</v>
      </c>
      <c r="K705"/>
      <c r="L705"/>
      <c r="M705"/>
    </row>
    <row r="706" spans="1:13" hidden="1">
      <c r="A706" s="2" t="s">
        <v>116</v>
      </c>
      <c r="B706" t="s">
        <v>1877</v>
      </c>
      <c r="C706" t="s">
        <v>1857</v>
      </c>
      <c r="D706" t="s">
        <v>1859</v>
      </c>
      <c r="K706"/>
      <c r="L706"/>
      <c r="M706"/>
    </row>
    <row r="707" spans="1:13" hidden="1">
      <c r="A707" s="2" t="s">
        <v>151</v>
      </c>
      <c r="B707" t="s">
        <v>1877</v>
      </c>
      <c r="C707" t="s">
        <v>1857</v>
      </c>
      <c r="D707" t="s">
        <v>1861</v>
      </c>
      <c r="K707"/>
      <c r="L707"/>
      <c r="M707"/>
    </row>
    <row r="708" spans="1:13" hidden="1">
      <c r="A708" s="2" t="s">
        <v>164</v>
      </c>
      <c r="B708" t="s">
        <v>1877</v>
      </c>
      <c r="C708" t="s">
        <v>1857</v>
      </c>
      <c r="D708" t="s">
        <v>1862</v>
      </c>
      <c r="K708"/>
      <c r="L708"/>
      <c r="M708"/>
    </row>
    <row r="709" spans="1:13" hidden="1">
      <c r="A709" s="2" t="s">
        <v>105</v>
      </c>
      <c r="B709" t="s">
        <v>1877</v>
      </c>
      <c r="C709" t="s">
        <v>1857</v>
      </c>
      <c r="D709" t="s">
        <v>1859</v>
      </c>
      <c r="K709"/>
      <c r="L709"/>
      <c r="M709"/>
    </row>
    <row r="710" spans="1:13" hidden="1">
      <c r="A710" s="2" t="s">
        <v>106</v>
      </c>
      <c r="B710" t="s">
        <v>1877</v>
      </c>
      <c r="C710" t="s">
        <v>1857</v>
      </c>
      <c r="D710" t="s">
        <v>1861</v>
      </c>
      <c r="K710"/>
      <c r="L710"/>
      <c r="M710"/>
    </row>
    <row r="711" spans="1:13" hidden="1">
      <c r="A711" s="2" t="s">
        <v>121</v>
      </c>
      <c r="B711" t="s">
        <v>1877</v>
      </c>
      <c r="C711" t="s">
        <v>1857</v>
      </c>
      <c r="D711" t="s">
        <v>1859</v>
      </c>
      <c r="K711"/>
      <c r="L711"/>
      <c r="M711"/>
    </row>
    <row r="712" spans="1:13" hidden="1">
      <c r="A712" s="2" t="s">
        <v>155</v>
      </c>
      <c r="B712" t="s">
        <v>1877</v>
      </c>
      <c r="C712" t="s">
        <v>1857</v>
      </c>
      <c r="D712" t="s">
        <v>1859</v>
      </c>
      <c r="K712"/>
      <c r="L712"/>
      <c r="M712"/>
    </row>
    <row r="713" spans="1:13" hidden="1">
      <c r="A713" s="2" t="s">
        <v>117</v>
      </c>
      <c r="B713" t="s">
        <v>1877</v>
      </c>
      <c r="C713" t="s">
        <v>1857</v>
      </c>
      <c r="D713" t="s">
        <v>1859</v>
      </c>
      <c r="K713"/>
      <c r="L713"/>
      <c r="M713"/>
    </row>
    <row r="714" spans="1:13" hidden="1">
      <c r="A714" s="2" t="s">
        <v>154</v>
      </c>
      <c r="B714" t="s">
        <v>1877</v>
      </c>
      <c r="C714" t="s">
        <v>1857</v>
      </c>
      <c r="D714" t="s">
        <v>1861</v>
      </c>
      <c r="K714"/>
      <c r="L714"/>
      <c r="M714"/>
    </row>
    <row r="715" spans="1:13" hidden="1">
      <c r="A715" s="2" t="s">
        <v>137</v>
      </c>
      <c r="B715" t="s">
        <v>1877</v>
      </c>
      <c r="C715" t="s">
        <v>1857</v>
      </c>
      <c r="D715" t="s">
        <v>1859</v>
      </c>
      <c r="K715"/>
      <c r="L715"/>
      <c r="M715"/>
    </row>
    <row r="716" spans="1:13" hidden="1">
      <c r="A716" s="2" t="s">
        <v>111</v>
      </c>
      <c r="B716" t="s">
        <v>1877</v>
      </c>
      <c r="C716" t="s">
        <v>1857</v>
      </c>
      <c r="D716" t="s">
        <v>1859</v>
      </c>
      <c r="K716"/>
      <c r="L716"/>
      <c r="M716"/>
    </row>
    <row r="717" spans="1:13" hidden="1">
      <c r="A717" s="2" t="s">
        <v>136</v>
      </c>
      <c r="B717" t="s">
        <v>1877</v>
      </c>
      <c r="C717" t="s">
        <v>1857</v>
      </c>
      <c r="D717" t="s">
        <v>1861</v>
      </c>
      <c r="K717"/>
      <c r="L717"/>
      <c r="M717"/>
    </row>
    <row r="718" spans="1:13" hidden="1">
      <c r="A718" s="2" t="s">
        <v>144</v>
      </c>
      <c r="B718" t="s">
        <v>1877</v>
      </c>
      <c r="C718" t="s">
        <v>1857</v>
      </c>
      <c r="D718" t="s">
        <v>1859</v>
      </c>
      <c r="K718"/>
      <c r="L718"/>
      <c r="M718"/>
    </row>
    <row r="719" spans="1:13" hidden="1">
      <c r="A719" s="2" t="s">
        <v>178</v>
      </c>
      <c r="B719" t="s">
        <v>1877</v>
      </c>
      <c r="C719" t="s">
        <v>1857</v>
      </c>
      <c r="D719" t="s">
        <v>1859</v>
      </c>
      <c r="K719"/>
      <c r="L719"/>
      <c r="M719"/>
    </row>
    <row r="720" spans="1:13" hidden="1">
      <c r="A720" s="2" t="s">
        <v>184</v>
      </c>
      <c r="B720" t="s">
        <v>1877</v>
      </c>
      <c r="C720" t="s">
        <v>1857</v>
      </c>
      <c r="D720" t="s">
        <v>1862</v>
      </c>
      <c r="K720"/>
      <c r="L720"/>
      <c r="M720"/>
    </row>
    <row r="721" spans="1:13" hidden="1">
      <c r="A721" s="2" t="s">
        <v>95</v>
      </c>
      <c r="B721" t="s">
        <v>1877</v>
      </c>
      <c r="C721" t="s">
        <v>1857</v>
      </c>
      <c r="D721" t="s">
        <v>1861</v>
      </c>
      <c r="K721"/>
      <c r="L721"/>
      <c r="M721"/>
    </row>
    <row r="722" spans="1:13" hidden="1">
      <c r="A722" s="2" t="s">
        <v>171</v>
      </c>
      <c r="B722" t="s">
        <v>1877</v>
      </c>
      <c r="C722" t="s">
        <v>1857</v>
      </c>
      <c r="D722" t="s">
        <v>1859</v>
      </c>
      <c r="K722"/>
      <c r="L722"/>
      <c r="M722"/>
    </row>
    <row r="723" spans="1:13" hidden="1">
      <c r="A723" s="2" t="s">
        <v>170</v>
      </c>
      <c r="B723" t="s">
        <v>1877</v>
      </c>
      <c r="C723" t="s">
        <v>1857</v>
      </c>
      <c r="D723" t="s">
        <v>1862</v>
      </c>
      <c r="K723"/>
      <c r="L723"/>
      <c r="M723"/>
    </row>
    <row r="724" spans="1:13" hidden="1">
      <c r="A724" s="2" t="s">
        <v>149</v>
      </c>
      <c r="B724" t="s">
        <v>1877</v>
      </c>
      <c r="C724" t="s">
        <v>1857</v>
      </c>
      <c r="D724" t="s">
        <v>1859</v>
      </c>
      <c r="K724"/>
      <c r="L724"/>
      <c r="M724"/>
    </row>
    <row r="725" spans="1:13" hidden="1">
      <c r="A725" s="2" t="s">
        <v>150</v>
      </c>
      <c r="B725" t="s">
        <v>1877</v>
      </c>
      <c r="C725" t="s">
        <v>1857</v>
      </c>
      <c r="D725" t="s">
        <v>1859</v>
      </c>
      <c r="K725"/>
      <c r="L725"/>
      <c r="M725"/>
    </row>
    <row r="726" spans="1:13" hidden="1">
      <c r="A726" s="2" t="s">
        <v>146</v>
      </c>
      <c r="B726" t="s">
        <v>1877</v>
      </c>
      <c r="C726" t="s">
        <v>1857</v>
      </c>
      <c r="D726" t="s">
        <v>1859</v>
      </c>
      <c r="K726"/>
      <c r="L726"/>
      <c r="M726"/>
    </row>
    <row r="727" spans="1:13" hidden="1">
      <c r="A727" s="2" t="s">
        <v>189</v>
      </c>
      <c r="B727" t="s">
        <v>1877</v>
      </c>
      <c r="C727" t="s">
        <v>1857</v>
      </c>
      <c r="D727" t="s">
        <v>1859</v>
      </c>
      <c r="K727"/>
      <c r="L727"/>
      <c r="M727"/>
    </row>
    <row r="728" spans="1:13" hidden="1">
      <c r="A728" s="2" t="s">
        <v>175</v>
      </c>
      <c r="B728" t="s">
        <v>1877</v>
      </c>
      <c r="C728" t="s">
        <v>1857</v>
      </c>
      <c r="D728" t="s">
        <v>1859</v>
      </c>
      <c r="K728"/>
      <c r="L728"/>
      <c r="M728"/>
    </row>
    <row r="729" spans="1:13" hidden="1">
      <c r="A729" s="2" t="s">
        <v>176</v>
      </c>
      <c r="B729" t="s">
        <v>1877</v>
      </c>
      <c r="C729" t="s">
        <v>1857</v>
      </c>
      <c r="D729" t="s">
        <v>1859</v>
      </c>
      <c r="K729"/>
      <c r="L729"/>
      <c r="M729"/>
    </row>
    <row r="730" spans="1:13" hidden="1">
      <c r="A730" s="2" t="s">
        <v>177</v>
      </c>
      <c r="B730" t="s">
        <v>1877</v>
      </c>
      <c r="C730" t="s">
        <v>1857</v>
      </c>
      <c r="D730" t="s">
        <v>1859</v>
      </c>
      <c r="K730"/>
      <c r="L730"/>
      <c r="M730"/>
    </row>
    <row r="731" spans="1:13" hidden="1">
      <c r="A731" s="2" t="s">
        <v>103</v>
      </c>
      <c r="B731" t="s">
        <v>1877</v>
      </c>
      <c r="C731" t="s">
        <v>1857</v>
      </c>
      <c r="D731" t="s">
        <v>1861</v>
      </c>
      <c r="K731"/>
      <c r="L731"/>
      <c r="M731"/>
    </row>
    <row r="732" spans="1:13" hidden="1">
      <c r="A732" s="2" t="s">
        <v>122</v>
      </c>
      <c r="B732" t="s">
        <v>1877</v>
      </c>
      <c r="C732" t="s">
        <v>1857</v>
      </c>
      <c r="D732" t="s">
        <v>1861</v>
      </c>
      <c r="K732"/>
      <c r="L732"/>
      <c r="M732"/>
    </row>
    <row r="733" spans="1:13" hidden="1">
      <c r="A733" s="2" t="s">
        <v>622</v>
      </c>
      <c r="B733" t="s">
        <v>1877</v>
      </c>
      <c r="C733" t="s">
        <v>1857</v>
      </c>
      <c r="D733" t="s">
        <v>1859</v>
      </c>
      <c r="K733"/>
      <c r="L733"/>
      <c r="M733"/>
    </row>
    <row r="734" spans="1:13" hidden="1">
      <c r="A734" s="2" t="s">
        <v>623</v>
      </c>
      <c r="B734" t="s">
        <v>1877</v>
      </c>
      <c r="C734" t="s">
        <v>1857</v>
      </c>
      <c r="D734" t="s">
        <v>1862</v>
      </c>
      <c r="K734"/>
      <c r="L734"/>
      <c r="M734"/>
    </row>
    <row r="735" spans="1:13" hidden="1">
      <c r="A735" s="2" t="s">
        <v>624</v>
      </c>
      <c r="B735" t="s">
        <v>1877</v>
      </c>
      <c r="C735" t="s">
        <v>1857</v>
      </c>
      <c r="D735" t="s">
        <v>1859</v>
      </c>
      <c r="K735"/>
      <c r="L735"/>
      <c r="M735"/>
    </row>
    <row r="736" spans="1:13" hidden="1">
      <c r="A736" s="2" t="s">
        <v>621</v>
      </c>
      <c r="B736" t="s">
        <v>1877</v>
      </c>
      <c r="C736" t="s">
        <v>1857</v>
      </c>
      <c r="D736" t="s">
        <v>1861</v>
      </c>
      <c r="K736"/>
      <c r="L736"/>
      <c r="M736"/>
    </row>
    <row r="737" spans="1:13" hidden="1">
      <c r="A737" s="2" t="s">
        <v>625</v>
      </c>
      <c r="B737" t="s">
        <v>1877</v>
      </c>
      <c r="C737" t="s">
        <v>1857</v>
      </c>
      <c r="D737" t="s">
        <v>1859</v>
      </c>
      <c r="K737"/>
      <c r="L737"/>
      <c r="M737"/>
    </row>
    <row r="738" spans="1:13" hidden="1">
      <c r="A738" s="2" t="s">
        <v>166</v>
      </c>
      <c r="B738" t="s">
        <v>1877</v>
      </c>
      <c r="C738" t="s">
        <v>1857</v>
      </c>
      <c r="D738" t="s">
        <v>1859</v>
      </c>
      <c r="K738"/>
      <c r="L738"/>
      <c r="M738"/>
    </row>
    <row r="739" spans="1:13" hidden="1">
      <c r="A739" s="2" t="s">
        <v>165</v>
      </c>
      <c r="B739" t="s">
        <v>1877</v>
      </c>
      <c r="C739" t="s">
        <v>1857</v>
      </c>
      <c r="D739" t="s">
        <v>1859</v>
      </c>
      <c r="K739"/>
      <c r="L739"/>
      <c r="M739"/>
    </row>
    <row r="740" spans="1:13" hidden="1">
      <c r="A740" s="2" t="s">
        <v>169</v>
      </c>
      <c r="B740" t="s">
        <v>1877</v>
      </c>
      <c r="C740" t="s">
        <v>1857</v>
      </c>
      <c r="D740" t="s">
        <v>1859</v>
      </c>
      <c r="K740"/>
      <c r="L740"/>
      <c r="M740"/>
    </row>
    <row r="741" spans="1:13" hidden="1">
      <c r="A741" s="2" t="s">
        <v>163</v>
      </c>
      <c r="B741" t="s">
        <v>1877</v>
      </c>
      <c r="C741" t="s">
        <v>1857</v>
      </c>
      <c r="D741" t="s">
        <v>1859</v>
      </c>
      <c r="K741"/>
      <c r="L741"/>
      <c r="M741"/>
    </row>
    <row r="742" spans="1:13" hidden="1">
      <c r="A742" s="2" t="s">
        <v>126</v>
      </c>
      <c r="B742" t="s">
        <v>1877</v>
      </c>
      <c r="C742" t="s">
        <v>1857</v>
      </c>
      <c r="D742" t="s">
        <v>1859</v>
      </c>
      <c r="K742"/>
      <c r="L742"/>
      <c r="M742"/>
    </row>
    <row r="743" spans="1:13" hidden="1">
      <c r="A743" s="2" t="s">
        <v>109</v>
      </c>
      <c r="B743" t="s">
        <v>1877</v>
      </c>
      <c r="C743" t="s">
        <v>1857</v>
      </c>
      <c r="D743" t="s">
        <v>1861</v>
      </c>
      <c r="K743"/>
      <c r="L743"/>
      <c r="M743"/>
    </row>
    <row r="744" spans="1:13" hidden="1">
      <c r="A744" s="2" t="s">
        <v>130</v>
      </c>
      <c r="B744" t="s">
        <v>1877</v>
      </c>
      <c r="C744" t="s">
        <v>1857</v>
      </c>
      <c r="D744" t="s">
        <v>1859</v>
      </c>
      <c r="K744"/>
      <c r="L744"/>
      <c r="M744"/>
    </row>
    <row r="745" spans="1:13" hidden="1">
      <c r="A745" s="2" t="s">
        <v>140</v>
      </c>
      <c r="B745" t="s">
        <v>1877</v>
      </c>
      <c r="C745" t="s">
        <v>1857</v>
      </c>
      <c r="D745" t="s">
        <v>1861</v>
      </c>
      <c r="K745"/>
      <c r="L745"/>
      <c r="M745"/>
    </row>
    <row r="746" spans="1:13" hidden="1">
      <c r="A746" s="2" t="s">
        <v>156</v>
      </c>
      <c r="B746" t="s">
        <v>1877</v>
      </c>
      <c r="C746" t="s">
        <v>1857</v>
      </c>
      <c r="D746" t="s">
        <v>1862</v>
      </c>
      <c r="K746"/>
      <c r="L746"/>
      <c r="M746"/>
    </row>
    <row r="747" spans="1:13" hidden="1">
      <c r="A747" s="2" t="s">
        <v>101</v>
      </c>
      <c r="B747" t="s">
        <v>1877</v>
      </c>
      <c r="C747" t="s">
        <v>1857</v>
      </c>
      <c r="D747" t="s">
        <v>1859</v>
      </c>
      <c r="K747"/>
      <c r="L747"/>
      <c r="M747"/>
    </row>
    <row r="748" spans="1:13" hidden="1">
      <c r="A748" s="2" t="s">
        <v>138</v>
      </c>
      <c r="B748" t="s">
        <v>1877</v>
      </c>
      <c r="C748" t="s">
        <v>1857</v>
      </c>
      <c r="D748" t="s">
        <v>1861</v>
      </c>
      <c r="K748"/>
      <c r="L748"/>
      <c r="M748"/>
    </row>
    <row r="749" spans="1:13" hidden="1">
      <c r="A749" s="2" t="s">
        <v>186</v>
      </c>
      <c r="B749" t="s">
        <v>1877</v>
      </c>
      <c r="C749" t="s">
        <v>1857</v>
      </c>
      <c r="D749" t="s">
        <v>1859</v>
      </c>
      <c r="K749"/>
      <c r="L749"/>
      <c r="M749"/>
    </row>
    <row r="750" spans="1:13" hidden="1">
      <c r="A750" s="2" t="s">
        <v>182</v>
      </c>
      <c r="B750" t="s">
        <v>1877</v>
      </c>
      <c r="C750" t="s">
        <v>1857</v>
      </c>
      <c r="D750" t="s">
        <v>1859</v>
      </c>
      <c r="K750"/>
      <c r="L750"/>
      <c r="M750"/>
    </row>
    <row r="751" spans="1:13" hidden="1">
      <c r="A751" s="2" t="s">
        <v>123</v>
      </c>
      <c r="B751" t="s">
        <v>1877</v>
      </c>
      <c r="C751" t="s">
        <v>1857</v>
      </c>
      <c r="D751" t="s">
        <v>1861</v>
      </c>
      <c r="K751"/>
      <c r="L751"/>
      <c r="M751"/>
    </row>
    <row r="752" spans="1:13" hidden="1">
      <c r="A752" s="2" t="s">
        <v>113</v>
      </c>
      <c r="B752" t="s">
        <v>1877</v>
      </c>
      <c r="C752" t="s">
        <v>1857</v>
      </c>
      <c r="D752" t="s">
        <v>1861</v>
      </c>
      <c r="K752"/>
      <c r="L752"/>
      <c r="M752"/>
    </row>
    <row r="753" spans="1:13" hidden="1">
      <c r="A753" s="2" t="s">
        <v>174</v>
      </c>
      <c r="B753" t="s">
        <v>1877</v>
      </c>
      <c r="C753" t="s">
        <v>1857</v>
      </c>
      <c r="D753" t="s">
        <v>1859</v>
      </c>
      <c r="K753"/>
      <c r="L753"/>
      <c r="M753"/>
    </row>
    <row r="754" spans="1:13" hidden="1">
      <c r="A754" s="2" t="s">
        <v>120</v>
      </c>
      <c r="B754" t="s">
        <v>1877</v>
      </c>
      <c r="C754" t="s">
        <v>1857</v>
      </c>
      <c r="D754" t="s">
        <v>1859</v>
      </c>
      <c r="K754"/>
      <c r="L754"/>
      <c r="M754"/>
    </row>
    <row r="755" spans="1:13" hidden="1">
      <c r="A755" s="2" t="s">
        <v>173</v>
      </c>
      <c r="B755" t="s">
        <v>1877</v>
      </c>
      <c r="C755" t="s">
        <v>1857</v>
      </c>
      <c r="D755" t="s">
        <v>1859</v>
      </c>
      <c r="K755"/>
      <c r="L755"/>
      <c r="M755"/>
    </row>
    <row r="756" spans="1:13" hidden="1">
      <c r="A756" s="2" t="s">
        <v>162</v>
      </c>
      <c r="B756" t="s">
        <v>1877</v>
      </c>
      <c r="C756" t="s">
        <v>1857</v>
      </c>
      <c r="D756" t="s">
        <v>1862</v>
      </c>
      <c r="K756"/>
      <c r="L756"/>
      <c r="M756"/>
    </row>
    <row r="757" spans="1:13" hidden="1">
      <c r="A757" s="2" t="s">
        <v>131</v>
      </c>
      <c r="B757" t="s">
        <v>1877</v>
      </c>
      <c r="C757" t="s">
        <v>1857</v>
      </c>
      <c r="D757" t="s">
        <v>1861</v>
      </c>
      <c r="K757"/>
      <c r="L757"/>
      <c r="M757"/>
    </row>
    <row r="758" spans="1:13" hidden="1">
      <c r="A758" s="2" t="s">
        <v>134</v>
      </c>
      <c r="B758" t="s">
        <v>1877</v>
      </c>
      <c r="C758" t="s">
        <v>1857</v>
      </c>
      <c r="D758" t="s">
        <v>1861</v>
      </c>
      <c r="K758"/>
      <c r="L758"/>
      <c r="M758"/>
    </row>
    <row r="759" spans="1:13" hidden="1">
      <c r="A759" s="2" t="s">
        <v>119</v>
      </c>
      <c r="B759" t="s">
        <v>1877</v>
      </c>
      <c r="C759" t="s">
        <v>1857</v>
      </c>
      <c r="D759" t="s">
        <v>1859</v>
      </c>
      <c r="K759"/>
      <c r="L759"/>
      <c r="M759"/>
    </row>
    <row r="760" spans="1:13">
      <c r="A760" s="2" t="s">
        <v>168</v>
      </c>
      <c r="B760" t="s">
        <v>1877</v>
      </c>
      <c r="C760" t="s">
        <v>1851</v>
      </c>
      <c r="D760" t="s">
        <v>1861</v>
      </c>
      <c r="K760"/>
      <c r="L760"/>
      <c r="M760"/>
    </row>
    <row r="761" spans="1:13" hidden="1">
      <c r="A761" s="2" t="s">
        <v>141</v>
      </c>
      <c r="B761" t="s">
        <v>1877</v>
      </c>
      <c r="C761" t="s">
        <v>1857</v>
      </c>
      <c r="D761" t="s">
        <v>1859</v>
      </c>
      <c r="K761"/>
      <c r="L761"/>
      <c r="M761"/>
    </row>
    <row r="762" spans="1:13" hidden="1">
      <c r="A762" s="2" t="s">
        <v>180</v>
      </c>
      <c r="B762" t="s">
        <v>1877</v>
      </c>
      <c r="C762" t="s">
        <v>1857</v>
      </c>
      <c r="D762" t="s">
        <v>1859</v>
      </c>
      <c r="K762"/>
      <c r="L762"/>
      <c r="M762"/>
    </row>
    <row r="763" spans="1:13" hidden="1">
      <c r="A763" s="2" t="s">
        <v>135</v>
      </c>
      <c r="B763" t="s">
        <v>1877</v>
      </c>
      <c r="C763" t="s">
        <v>1857</v>
      </c>
      <c r="D763" t="s">
        <v>1859</v>
      </c>
      <c r="K763"/>
      <c r="L763"/>
      <c r="M763"/>
    </row>
    <row r="764" spans="1:13" hidden="1">
      <c r="A764" s="2" t="s">
        <v>620</v>
      </c>
      <c r="B764" t="s">
        <v>1877</v>
      </c>
      <c r="C764" t="s">
        <v>1857</v>
      </c>
      <c r="D764" t="s">
        <v>1861</v>
      </c>
      <c r="K764"/>
      <c r="L764"/>
      <c r="M764"/>
    </row>
    <row r="765" spans="1:13" hidden="1">
      <c r="A765" s="2" t="s">
        <v>98</v>
      </c>
      <c r="B765" t="s">
        <v>1877</v>
      </c>
      <c r="C765" t="s">
        <v>1857</v>
      </c>
      <c r="D765" t="s">
        <v>1859</v>
      </c>
      <c r="K765"/>
      <c r="L765"/>
      <c r="M765"/>
    </row>
    <row r="766" spans="1:13" hidden="1">
      <c r="A766" s="2" t="s">
        <v>124</v>
      </c>
      <c r="B766" t="s">
        <v>1877</v>
      </c>
      <c r="C766" t="s">
        <v>1857</v>
      </c>
      <c r="D766" t="s">
        <v>1859</v>
      </c>
      <c r="K766"/>
      <c r="L766"/>
      <c r="M766"/>
    </row>
    <row r="767" spans="1:13" hidden="1">
      <c r="A767" s="2" t="s">
        <v>99</v>
      </c>
      <c r="B767" t="s">
        <v>1877</v>
      </c>
      <c r="C767" t="s">
        <v>1857</v>
      </c>
      <c r="D767" t="s">
        <v>1861</v>
      </c>
      <c r="K767"/>
      <c r="L767"/>
      <c r="M767"/>
    </row>
    <row r="768" spans="1:13" hidden="1">
      <c r="A768" s="2" t="s">
        <v>92</v>
      </c>
      <c r="B768" t="s">
        <v>1877</v>
      </c>
      <c r="C768" t="s">
        <v>1857</v>
      </c>
      <c r="D768" t="s">
        <v>1861</v>
      </c>
      <c r="K768"/>
      <c r="L768"/>
      <c r="M768"/>
    </row>
    <row r="769" spans="1:13" hidden="1">
      <c r="A769" s="2" t="s">
        <v>97</v>
      </c>
      <c r="B769" t="s">
        <v>1877</v>
      </c>
      <c r="C769" t="s">
        <v>1857</v>
      </c>
      <c r="D769" t="s">
        <v>1861</v>
      </c>
      <c r="K769"/>
      <c r="L769"/>
      <c r="M769"/>
    </row>
    <row r="770" spans="1:13" hidden="1">
      <c r="A770" s="2" t="s">
        <v>152</v>
      </c>
      <c r="B770" t="s">
        <v>1877</v>
      </c>
      <c r="C770" t="s">
        <v>1857</v>
      </c>
      <c r="D770" t="s">
        <v>1861</v>
      </c>
      <c r="K770"/>
      <c r="L770"/>
      <c r="M770"/>
    </row>
    <row r="771" spans="1:13" hidden="1">
      <c r="A771" s="2" t="s">
        <v>107</v>
      </c>
      <c r="B771" t="s">
        <v>1877</v>
      </c>
      <c r="C771" t="s">
        <v>1857</v>
      </c>
      <c r="D771" t="s">
        <v>1859</v>
      </c>
      <c r="K771"/>
      <c r="L771"/>
      <c r="M771"/>
    </row>
    <row r="772" spans="1:13" hidden="1">
      <c r="A772" s="2" t="s">
        <v>108</v>
      </c>
      <c r="B772" t="s">
        <v>1877</v>
      </c>
      <c r="C772" t="s">
        <v>1857</v>
      </c>
      <c r="D772" t="s">
        <v>1861</v>
      </c>
      <c r="K772"/>
      <c r="L772"/>
      <c r="M772"/>
    </row>
    <row r="773" spans="1:13" hidden="1">
      <c r="A773" s="2" t="s">
        <v>127</v>
      </c>
      <c r="B773" t="s">
        <v>1877</v>
      </c>
      <c r="C773" t="s">
        <v>1857</v>
      </c>
      <c r="D773" t="s">
        <v>1859</v>
      </c>
      <c r="K773"/>
      <c r="L773"/>
      <c r="M773"/>
    </row>
    <row r="774" spans="1:13" hidden="1">
      <c r="A774" s="2" t="s">
        <v>112</v>
      </c>
      <c r="B774" t="s">
        <v>1877</v>
      </c>
      <c r="C774" t="s">
        <v>1857</v>
      </c>
      <c r="D774" t="s">
        <v>1859</v>
      </c>
      <c r="K774"/>
      <c r="L774"/>
      <c r="M774"/>
    </row>
    <row r="775" spans="1:13" hidden="1">
      <c r="A775" s="2" t="s">
        <v>118</v>
      </c>
      <c r="B775" t="s">
        <v>1877</v>
      </c>
      <c r="C775" t="s">
        <v>1857</v>
      </c>
      <c r="D775" t="s">
        <v>1859</v>
      </c>
      <c r="K775"/>
      <c r="L775"/>
      <c r="M775"/>
    </row>
    <row r="776" spans="1:13" hidden="1">
      <c r="A776" s="2" t="s">
        <v>114</v>
      </c>
      <c r="B776" t="s">
        <v>1877</v>
      </c>
      <c r="C776" t="s">
        <v>1857</v>
      </c>
      <c r="D776" t="s">
        <v>1859</v>
      </c>
      <c r="K776"/>
      <c r="L776"/>
      <c r="M776"/>
    </row>
    <row r="777" spans="1:13" hidden="1">
      <c r="A777" s="2" t="s">
        <v>143</v>
      </c>
      <c r="B777" t="s">
        <v>1877</v>
      </c>
      <c r="C777" t="s">
        <v>1857</v>
      </c>
      <c r="D777" t="s">
        <v>1861</v>
      </c>
      <c r="K777"/>
      <c r="L777"/>
      <c r="M777"/>
    </row>
    <row r="778" spans="1:13" hidden="1">
      <c r="A778" s="2" t="s">
        <v>160</v>
      </c>
      <c r="B778" t="s">
        <v>1877</v>
      </c>
      <c r="C778" t="s">
        <v>1857</v>
      </c>
      <c r="D778" t="s">
        <v>1859</v>
      </c>
      <c r="K778"/>
      <c r="L778"/>
      <c r="M778"/>
    </row>
    <row r="779" spans="1:13">
      <c r="A779" s="2" t="s">
        <v>94</v>
      </c>
      <c r="B779" t="s">
        <v>1877</v>
      </c>
      <c r="C779" t="s">
        <v>1857</v>
      </c>
      <c r="D779" t="s">
        <v>1859</v>
      </c>
      <c r="K779"/>
      <c r="L779"/>
      <c r="M779"/>
    </row>
    <row r="780" spans="1:13" hidden="1">
      <c r="A780" s="2" t="s">
        <v>91</v>
      </c>
      <c r="B780" t="s">
        <v>1877</v>
      </c>
      <c r="C780" t="s">
        <v>1857</v>
      </c>
      <c r="D780" t="s">
        <v>1859</v>
      </c>
      <c r="K780"/>
      <c r="L780"/>
      <c r="M780"/>
    </row>
    <row r="781" spans="1:13" hidden="1">
      <c r="A781" s="2" t="s">
        <v>93</v>
      </c>
      <c r="B781" t="s">
        <v>1877</v>
      </c>
      <c r="C781" t="s">
        <v>1857</v>
      </c>
      <c r="D781" t="s">
        <v>1859</v>
      </c>
      <c r="K781"/>
      <c r="L781"/>
      <c r="M781"/>
    </row>
    <row r="782" spans="1:13" hidden="1">
      <c r="A782" s="2" t="s">
        <v>110</v>
      </c>
      <c r="B782" t="s">
        <v>1877</v>
      </c>
      <c r="C782" t="s">
        <v>1857</v>
      </c>
      <c r="D782" t="s">
        <v>1859</v>
      </c>
      <c r="K782"/>
      <c r="L782"/>
      <c r="M782"/>
    </row>
    <row r="783" spans="1:13" hidden="1">
      <c r="A783" s="2" t="s">
        <v>129</v>
      </c>
      <c r="B783" t="s">
        <v>1877</v>
      </c>
      <c r="C783" t="s">
        <v>1857</v>
      </c>
      <c r="D783" t="s">
        <v>1859</v>
      </c>
      <c r="K783"/>
      <c r="L783"/>
      <c r="M783"/>
    </row>
    <row r="784" spans="1:13" hidden="1">
      <c r="A784" s="2" t="s">
        <v>190</v>
      </c>
      <c r="B784" t="s">
        <v>1877</v>
      </c>
      <c r="C784" t="s">
        <v>1857</v>
      </c>
      <c r="D784" t="s">
        <v>1859</v>
      </c>
      <c r="K784"/>
      <c r="L784"/>
      <c r="M784"/>
    </row>
    <row r="785" spans="1:13" hidden="1">
      <c r="A785" s="2" t="s">
        <v>139</v>
      </c>
      <c r="B785" t="s">
        <v>1877</v>
      </c>
      <c r="C785" t="s">
        <v>1857</v>
      </c>
      <c r="D785" t="s">
        <v>1859</v>
      </c>
      <c r="K785"/>
      <c r="L785"/>
      <c r="M785"/>
    </row>
    <row r="786" spans="1:13" hidden="1">
      <c r="A786" s="2" t="s">
        <v>147</v>
      </c>
      <c r="B786" t="s">
        <v>1877</v>
      </c>
      <c r="C786" t="s">
        <v>1857</v>
      </c>
      <c r="D786" t="s">
        <v>1859</v>
      </c>
      <c r="K786"/>
      <c r="L786"/>
      <c r="M786"/>
    </row>
    <row r="787" spans="1:13" hidden="1">
      <c r="A787" s="2" t="s">
        <v>188</v>
      </c>
      <c r="B787" t="s">
        <v>1877</v>
      </c>
      <c r="C787" t="s">
        <v>1857</v>
      </c>
      <c r="D787" t="s">
        <v>1859</v>
      </c>
      <c r="K787"/>
      <c r="L787"/>
      <c r="M787"/>
    </row>
    <row r="788" spans="1:13" hidden="1">
      <c r="A788" s="2" t="s">
        <v>125</v>
      </c>
      <c r="B788" t="s">
        <v>1877</v>
      </c>
      <c r="C788" t="s">
        <v>1857</v>
      </c>
      <c r="D788" t="s">
        <v>1859</v>
      </c>
      <c r="K788"/>
      <c r="L788"/>
      <c r="M788"/>
    </row>
    <row r="789" spans="1:13" hidden="1">
      <c r="A789" s="2" t="s">
        <v>167</v>
      </c>
      <c r="B789" t="s">
        <v>1877</v>
      </c>
      <c r="C789" t="s">
        <v>1851</v>
      </c>
      <c r="D789" t="s">
        <v>1861</v>
      </c>
      <c r="K789"/>
      <c r="L789"/>
      <c r="M789"/>
    </row>
    <row r="790" spans="1:13" hidden="1">
      <c r="A790" s="2" t="s">
        <v>1881</v>
      </c>
      <c r="B790" t="s">
        <v>1877</v>
      </c>
      <c r="C790" t="s">
        <v>1850</v>
      </c>
      <c r="D790" t="s">
        <v>1859</v>
      </c>
    </row>
    <row r="791" spans="1:13">
      <c r="A791" s="2" t="s">
        <v>1884</v>
      </c>
      <c r="B791" t="s">
        <v>1877</v>
      </c>
      <c r="C791" t="s">
        <v>1857</v>
      </c>
      <c r="D791" t="s">
        <v>1859</v>
      </c>
    </row>
  </sheetData>
  <conditionalFormatting sqref="B1:C1048576">
    <cfRule type="containsText" dxfId="0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91"/>
  <sheetViews>
    <sheetView topLeftCell="A764" workbookViewId="0">
      <selection activeCell="A792" sqref="A792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1078</v>
      </c>
    </row>
    <row r="2" spans="1:2">
      <c r="A2" s="23" t="s">
        <v>751</v>
      </c>
      <c r="B2" s="27" t="s">
        <v>1079</v>
      </c>
    </row>
    <row r="3" spans="1:2">
      <c r="A3" s="24" t="s">
        <v>752</v>
      </c>
      <c r="B3" s="24" t="s">
        <v>1079</v>
      </c>
    </row>
    <row r="4" spans="1:2">
      <c r="A4" s="23" t="s">
        <v>22</v>
      </c>
      <c r="B4" s="24" t="s">
        <v>1080</v>
      </c>
    </row>
    <row r="5" spans="1:2">
      <c r="A5" s="24" t="s">
        <v>25</v>
      </c>
      <c r="B5" s="24" t="s">
        <v>1081</v>
      </c>
    </row>
    <row r="6" spans="1:2">
      <c r="A6" s="23" t="s">
        <v>26</v>
      </c>
      <c r="B6" s="24" t="s">
        <v>1082</v>
      </c>
    </row>
    <row r="7" spans="1:2">
      <c r="A7" s="24" t="s">
        <v>27</v>
      </c>
      <c r="B7" s="24" t="s">
        <v>1083</v>
      </c>
    </row>
    <row r="8" spans="1:2">
      <c r="A8" s="23" t="s">
        <v>28</v>
      </c>
      <c r="B8" s="24" t="s">
        <v>1084</v>
      </c>
    </row>
    <row r="9" spans="1:2">
      <c r="A9" s="24" t="s">
        <v>29</v>
      </c>
      <c r="B9" s="24" t="s">
        <v>1085</v>
      </c>
    </row>
    <row r="10" spans="1:2">
      <c r="A10" s="23" t="s">
        <v>30</v>
      </c>
      <c r="B10" s="24" t="s">
        <v>1086</v>
      </c>
    </row>
    <row r="11" spans="1:2">
      <c r="A11" s="24" t="s">
        <v>31</v>
      </c>
      <c r="B11" s="24" t="s">
        <v>1087</v>
      </c>
    </row>
    <row r="12" spans="1:2">
      <c r="A12" s="23" t="s">
        <v>34</v>
      </c>
      <c r="B12" s="24" t="s">
        <v>1088</v>
      </c>
    </row>
    <row r="13" spans="1:2">
      <c r="A13" s="24" t="s">
        <v>36</v>
      </c>
      <c r="B13" s="24" t="s">
        <v>1089</v>
      </c>
    </row>
    <row r="14" spans="1:2">
      <c r="A14" s="23" t="s">
        <v>37</v>
      </c>
      <c r="B14" s="24" t="s">
        <v>1090</v>
      </c>
    </row>
    <row r="15" spans="1:2">
      <c r="A15" s="24" t="s">
        <v>38</v>
      </c>
      <c r="B15" s="24" t="s">
        <v>1091</v>
      </c>
    </row>
    <row r="16" spans="1:2">
      <c r="A16" s="23" t="s">
        <v>39</v>
      </c>
      <c r="B16" s="24" t="s">
        <v>1092</v>
      </c>
    </row>
    <row r="17" spans="1:2">
      <c r="A17" s="24" t="s">
        <v>40</v>
      </c>
      <c r="B17" s="24" t="s">
        <v>1093</v>
      </c>
    </row>
    <row r="18" spans="1:2">
      <c r="A18" s="23" t="s">
        <v>41</v>
      </c>
      <c r="B18" s="24" t="s">
        <v>1094</v>
      </c>
    </row>
    <row r="19" spans="1:2">
      <c r="A19" s="24" t="s">
        <v>42</v>
      </c>
      <c r="B19" s="24" t="s">
        <v>1095</v>
      </c>
    </row>
    <row r="20" spans="1:2">
      <c r="A20" s="23" t="s">
        <v>43</v>
      </c>
      <c r="B20" s="24" t="s">
        <v>1096</v>
      </c>
    </row>
    <row r="21" spans="1:2">
      <c r="A21" s="24" t="s">
        <v>44</v>
      </c>
      <c r="B21" s="24" t="s">
        <v>1097</v>
      </c>
    </row>
    <row r="22" spans="1:2">
      <c r="A22" s="23" t="s">
        <v>45</v>
      </c>
      <c r="B22" s="24" t="s">
        <v>1098</v>
      </c>
    </row>
    <row r="23" spans="1:2">
      <c r="A23" s="24" t="s">
        <v>46</v>
      </c>
      <c r="B23" s="24" t="s">
        <v>1099</v>
      </c>
    </row>
    <row r="24" spans="1:2">
      <c r="A24" s="23" t="s">
        <v>47</v>
      </c>
      <c r="B24" s="24" t="s">
        <v>1100</v>
      </c>
    </row>
    <row r="25" spans="1:2">
      <c r="A25" s="24" t="s">
        <v>48</v>
      </c>
      <c r="B25" s="24" t="s">
        <v>1101</v>
      </c>
    </row>
    <row r="26" spans="1:2">
      <c r="A26" s="23" t="s">
        <v>49</v>
      </c>
      <c r="B26" s="24" t="s">
        <v>1102</v>
      </c>
    </row>
    <row r="27" spans="1:2">
      <c r="A27" s="24" t="s">
        <v>50</v>
      </c>
      <c r="B27" s="24" t="s">
        <v>1103</v>
      </c>
    </row>
    <row r="28" spans="1:2">
      <c r="A28" s="23" t="s">
        <v>51</v>
      </c>
      <c r="B28" s="24" t="s">
        <v>1104</v>
      </c>
    </row>
    <row r="29" spans="1:2">
      <c r="A29" s="24" t="s">
        <v>52</v>
      </c>
      <c r="B29" s="24" t="s">
        <v>1105</v>
      </c>
    </row>
    <row r="30" spans="1:2">
      <c r="A30" s="23" t="s">
        <v>53</v>
      </c>
      <c r="B30" s="24" t="s">
        <v>1106</v>
      </c>
    </row>
    <row r="31" spans="1:2">
      <c r="A31" s="24" t="s">
        <v>54</v>
      </c>
      <c r="B31" s="24" t="s">
        <v>1107</v>
      </c>
    </row>
    <row r="32" spans="1:2">
      <c r="A32" s="23" t="s">
        <v>55</v>
      </c>
      <c r="B32" s="24" t="s">
        <v>1108</v>
      </c>
    </row>
    <row r="33" spans="1:2">
      <c r="A33" s="24" t="s">
        <v>56</v>
      </c>
      <c r="B33" s="24" t="s">
        <v>1109</v>
      </c>
    </row>
    <row r="34" spans="1:2">
      <c r="A34" s="23" t="s">
        <v>57</v>
      </c>
      <c r="B34" s="24" t="s">
        <v>1110</v>
      </c>
    </row>
    <row r="35" spans="1:2">
      <c r="A35" s="24" t="s">
        <v>58</v>
      </c>
      <c r="B35" s="24" t="s">
        <v>1111</v>
      </c>
    </row>
    <row r="36" spans="1:2">
      <c r="A36" s="23" t="s">
        <v>59</v>
      </c>
      <c r="B36" s="24" t="s">
        <v>1112</v>
      </c>
    </row>
    <row r="37" spans="1:2">
      <c r="A37" s="24" t="s">
        <v>60</v>
      </c>
      <c r="B37" s="24" t="s">
        <v>1113</v>
      </c>
    </row>
    <row r="38" spans="1:2">
      <c r="A38" s="23" t="s">
        <v>61</v>
      </c>
      <c r="B38" s="24" t="s">
        <v>1114</v>
      </c>
    </row>
    <row r="39" spans="1:2">
      <c r="A39" s="24" t="s">
        <v>62</v>
      </c>
      <c r="B39" s="24" t="s">
        <v>1115</v>
      </c>
    </row>
    <row r="40" spans="1:2">
      <c r="A40" s="23" t="s">
        <v>63</v>
      </c>
      <c r="B40" s="24" t="s">
        <v>1116</v>
      </c>
    </row>
    <row r="41" spans="1:2">
      <c r="A41" s="24" t="s">
        <v>64</v>
      </c>
      <c r="B41" s="24" t="s">
        <v>1117</v>
      </c>
    </row>
    <row r="42" spans="1:2">
      <c r="A42" s="23" t="s">
        <v>65</v>
      </c>
      <c r="B42" s="24" t="s">
        <v>1118</v>
      </c>
    </row>
    <row r="43" spans="1:2">
      <c r="A43" s="24" t="s">
        <v>66</v>
      </c>
      <c r="B43" s="24" t="s">
        <v>1119</v>
      </c>
    </row>
    <row r="44" spans="1:2">
      <c r="A44" s="23" t="s">
        <v>67</v>
      </c>
      <c r="B44" s="24" t="s">
        <v>1120</v>
      </c>
    </row>
    <row r="45" spans="1:2">
      <c r="A45" s="24" t="s">
        <v>68</v>
      </c>
      <c r="B45" s="24" t="s">
        <v>1121</v>
      </c>
    </row>
    <row r="46" spans="1:2">
      <c r="A46" s="23" t="s">
        <v>69</v>
      </c>
      <c r="B46" s="24" t="s">
        <v>1122</v>
      </c>
    </row>
    <row r="47" spans="1:2">
      <c r="A47" s="24" t="s">
        <v>70</v>
      </c>
      <c r="B47" s="24" t="s">
        <v>1123</v>
      </c>
    </row>
    <row r="48" spans="1:2">
      <c r="A48" s="23" t="s">
        <v>71</v>
      </c>
      <c r="B48" s="24" t="s">
        <v>1124</v>
      </c>
    </row>
    <row r="49" spans="1:2">
      <c r="A49" s="24" t="s">
        <v>72</v>
      </c>
      <c r="B49" s="24" t="s">
        <v>1125</v>
      </c>
    </row>
    <row r="50" spans="1:2">
      <c r="A50" s="23" t="s">
        <v>73</v>
      </c>
      <c r="B50" s="24" t="s">
        <v>1126</v>
      </c>
    </row>
    <row r="51" spans="1:2">
      <c r="A51" s="24" t="s">
        <v>75</v>
      </c>
      <c r="B51" s="24" t="s">
        <v>1127</v>
      </c>
    </row>
    <row r="52" spans="1:2">
      <c r="A52" s="23" t="s">
        <v>76</v>
      </c>
      <c r="B52" s="24" t="s">
        <v>1128</v>
      </c>
    </row>
    <row r="53" spans="1:2">
      <c r="A53" s="24" t="s">
        <v>77</v>
      </c>
      <c r="B53" s="24" t="s">
        <v>1129</v>
      </c>
    </row>
    <row r="54" spans="1:2">
      <c r="A54" s="23" t="s">
        <v>78</v>
      </c>
      <c r="B54" s="24" t="s">
        <v>1130</v>
      </c>
    </row>
    <row r="55" spans="1:2">
      <c r="A55" s="24" t="s">
        <v>79</v>
      </c>
      <c r="B55" s="24" t="s">
        <v>1131</v>
      </c>
    </row>
    <row r="56" spans="1:2">
      <c r="A56" s="23" t="s">
        <v>80</v>
      </c>
      <c r="B56" s="24" t="s">
        <v>1132</v>
      </c>
    </row>
    <row r="57" spans="1:2">
      <c r="A57" s="24" t="s">
        <v>81</v>
      </c>
      <c r="B57" s="24" t="s">
        <v>1133</v>
      </c>
    </row>
    <row r="58" spans="1:2">
      <c r="A58" s="23" t="s">
        <v>82</v>
      </c>
      <c r="B58" s="24" t="s">
        <v>1134</v>
      </c>
    </row>
    <row r="59" spans="1:2">
      <c r="A59" s="24" t="s">
        <v>83</v>
      </c>
      <c r="B59" s="24" t="s">
        <v>1135</v>
      </c>
    </row>
    <row r="60" spans="1:2">
      <c r="A60" s="23" t="s">
        <v>84</v>
      </c>
      <c r="B60" s="24" t="s">
        <v>1136</v>
      </c>
    </row>
    <row r="61" spans="1:2">
      <c r="A61" s="24" t="s">
        <v>85</v>
      </c>
      <c r="B61" s="24" t="s">
        <v>1137</v>
      </c>
    </row>
    <row r="62" spans="1:2">
      <c r="A62" s="23" t="s">
        <v>86</v>
      </c>
      <c r="B62" s="24" t="s">
        <v>1138</v>
      </c>
    </row>
    <row r="63" spans="1:2">
      <c r="A63" s="24" t="s">
        <v>87</v>
      </c>
      <c r="B63" s="24" t="s">
        <v>1139</v>
      </c>
    </row>
    <row r="64" spans="1:2">
      <c r="A64" s="23" t="s">
        <v>88</v>
      </c>
      <c r="B64" s="24" t="s">
        <v>1140</v>
      </c>
    </row>
    <row r="65" spans="1:2">
      <c r="A65" s="24" t="s">
        <v>89</v>
      </c>
      <c r="B65" s="24" t="s">
        <v>1141</v>
      </c>
    </row>
    <row r="66" spans="1:2">
      <c r="A66" s="23" t="s">
        <v>90</v>
      </c>
      <c r="B66" s="24" t="s">
        <v>1142</v>
      </c>
    </row>
    <row r="67" spans="1:2">
      <c r="A67" s="24" t="s">
        <v>91</v>
      </c>
      <c r="B67" s="24" t="s">
        <v>1143</v>
      </c>
    </row>
    <row r="68" spans="1:2">
      <c r="A68" s="23" t="s">
        <v>92</v>
      </c>
      <c r="B68" s="24" t="s">
        <v>1144</v>
      </c>
    </row>
    <row r="69" spans="1:2">
      <c r="A69" s="24" t="s">
        <v>93</v>
      </c>
      <c r="B69" s="24" t="s">
        <v>1145</v>
      </c>
    </row>
    <row r="70" spans="1:2">
      <c r="A70" s="23" t="s">
        <v>94</v>
      </c>
      <c r="B70" s="24" t="s">
        <v>1146</v>
      </c>
    </row>
    <row r="71" spans="1:2">
      <c r="A71" s="24" t="s">
        <v>95</v>
      </c>
      <c r="B71" s="24" t="s">
        <v>1147</v>
      </c>
    </row>
    <row r="72" spans="1:2">
      <c r="A72" s="23" t="s">
        <v>96</v>
      </c>
      <c r="B72" s="24" t="s">
        <v>1148</v>
      </c>
    </row>
    <row r="73" spans="1:2">
      <c r="A73" s="24" t="s">
        <v>97</v>
      </c>
      <c r="B73" s="24" t="s">
        <v>1149</v>
      </c>
    </row>
    <row r="74" spans="1:2">
      <c r="A74" s="23" t="s">
        <v>98</v>
      </c>
      <c r="B74" s="24" t="s">
        <v>1150</v>
      </c>
    </row>
    <row r="75" spans="1:2">
      <c r="A75" s="24" t="s">
        <v>99</v>
      </c>
      <c r="B75" s="24" t="s">
        <v>1151</v>
      </c>
    </row>
    <row r="76" spans="1:2">
      <c r="A76" s="23" t="s">
        <v>100</v>
      </c>
      <c r="B76" s="24" t="s">
        <v>1152</v>
      </c>
    </row>
    <row r="77" spans="1:2">
      <c r="A77" s="24" t="s">
        <v>101</v>
      </c>
      <c r="B77" s="24" t="s">
        <v>1153</v>
      </c>
    </row>
    <row r="78" spans="1:2">
      <c r="A78" s="23" t="s">
        <v>102</v>
      </c>
      <c r="B78" s="24" t="s">
        <v>1154</v>
      </c>
    </row>
    <row r="79" spans="1:2">
      <c r="A79" s="24" t="s">
        <v>103</v>
      </c>
      <c r="B79" s="24" t="s">
        <v>1155</v>
      </c>
    </row>
    <row r="80" spans="1:2">
      <c r="A80" s="23" t="s">
        <v>104</v>
      </c>
      <c r="B80" s="24" t="s">
        <v>1156</v>
      </c>
    </row>
    <row r="81" spans="1:2">
      <c r="A81" s="24" t="s">
        <v>105</v>
      </c>
      <c r="B81" s="24" t="s">
        <v>1157</v>
      </c>
    </row>
    <row r="82" spans="1:2">
      <c r="A82" s="23" t="s">
        <v>106</v>
      </c>
      <c r="B82" s="24" t="s">
        <v>1158</v>
      </c>
    </row>
    <row r="83" spans="1:2">
      <c r="A83" s="24" t="s">
        <v>107</v>
      </c>
      <c r="B83" s="24" t="s">
        <v>1159</v>
      </c>
    </row>
    <row r="84" spans="1:2">
      <c r="A84" s="23" t="s">
        <v>108</v>
      </c>
      <c r="B84" s="24" t="s">
        <v>1160</v>
      </c>
    </row>
    <row r="85" spans="1:2">
      <c r="A85" s="24" t="s">
        <v>109</v>
      </c>
      <c r="B85" s="24" t="s">
        <v>1161</v>
      </c>
    </row>
    <row r="86" spans="1:2">
      <c r="A86" s="23" t="s">
        <v>110</v>
      </c>
      <c r="B86" s="24" t="s">
        <v>1162</v>
      </c>
    </row>
    <row r="87" spans="1:2">
      <c r="A87" s="24" t="s">
        <v>111</v>
      </c>
      <c r="B87" s="24" t="s">
        <v>1163</v>
      </c>
    </row>
    <row r="88" spans="1:2">
      <c r="A88" s="23" t="s">
        <v>112</v>
      </c>
      <c r="B88" s="24" t="s">
        <v>1164</v>
      </c>
    </row>
    <row r="89" spans="1:2">
      <c r="A89" s="24" t="s">
        <v>113</v>
      </c>
      <c r="B89" s="24" t="s">
        <v>1165</v>
      </c>
    </row>
    <row r="90" spans="1:2">
      <c r="A90" s="23" t="s">
        <v>114</v>
      </c>
      <c r="B90" s="24" t="s">
        <v>1166</v>
      </c>
    </row>
    <row r="91" spans="1:2">
      <c r="A91" s="24" t="s">
        <v>115</v>
      </c>
      <c r="B91" s="24" t="s">
        <v>1167</v>
      </c>
    </row>
    <row r="92" spans="1:2">
      <c r="A92" s="23" t="s">
        <v>116</v>
      </c>
      <c r="B92" s="24" t="s">
        <v>1168</v>
      </c>
    </row>
    <row r="93" spans="1:2">
      <c r="A93" s="24" t="s">
        <v>117</v>
      </c>
      <c r="B93" s="24" t="s">
        <v>1169</v>
      </c>
    </row>
    <row r="94" spans="1:2">
      <c r="A94" s="23" t="s">
        <v>118</v>
      </c>
      <c r="B94" s="24" t="s">
        <v>1170</v>
      </c>
    </row>
    <row r="95" spans="1:2">
      <c r="A95" s="24" t="s">
        <v>119</v>
      </c>
      <c r="B95" s="24" t="s">
        <v>1171</v>
      </c>
    </row>
    <row r="96" spans="1:2">
      <c r="A96" s="23" t="s">
        <v>120</v>
      </c>
      <c r="B96" s="24" t="s">
        <v>1172</v>
      </c>
    </row>
    <row r="97" spans="1:2">
      <c r="A97" s="24" t="s">
        <v>121</v>
      </c>
      <c r="B97" s="24" t="s">
        <v>1173</v>
      </c>
    </row>
    <row r="98" spans="1:2">
      <c r="A98" s="23" t="s">
        <v>122</v>
      </c>
      <c r="B98" s="24" t="s">
        <v>1174</v>
      </c>
    </row>
    <row r="99" spans="1:2">
      <c r="A99" s="24" t="s">
        <v>123</v>
      </c>
      <c r="B99" s="24" t="s">
        <v>1175</v>
      </c>
    </row>
    <row r="100" spans="1:2">
      <c r="A100" s="23" t="s">
        <v>124</v>
      </c>
      <c r="B100" s="24" t="s">
        <v>1176</v>
      </c>
    </row>
    <row r="101" spans="1:2">
      <c r="A101" s="24" t="s">
        <v>125</v>
      </c>
      <c r="B101" s="24" t="s">
        <v>1177</v>
      </c>
    </row>
    <row r="102" spans="1:2">
      <c r="A102" s="23" t="s">
        <v>126</v>
      </c>
      <c r="B102" s="24" t="s">
        <v>1178</v>
      </c>
    </row>
    <row r="103" spans="1:2">
      <c r="A103" s="24" t="s">
        <v>127</v>
      </c>
      <c r="B103" s="24" t="s">
        <v>1179</v>
      </c>
    </row>
    <row r="104" spans="1:2">
      <c r="A104" s="23" t="s">
        <v>128</v>
      </c>
      <c r="B104" s="24" t="s">
        <v>1180</v>
      </c>
    </row>
    <row r="105" spans="1:2">
      <c r="A105" s="24" t="s">
        <v>129</v>
      </c>
      <c r="B105" s="24" t="s">
        <v>1181</v>
      </c>
    </row>
    <row r="106" spans="1:2">
      <c r="A106" s="23" t="s">
        <v>130</v>
      </c>
      <c r="B106" s="24" t="s">
        <v>1182</v>
      </c>
    </row>
    <row r="107" spans="1:2">
      <c r="A107" s="24" t="s">
        <v>131</v>
      </c>
      <c r="B107" s="24" t="s">
        <v>1183</v>
      </c>
    </row>
    <row r="108" spans="1:2">
      <c r="A108" s="23" t="s">
        <v>132</v>
      </c>
      <c r="B108" s="24" t="s">
        <v>1184</v>
      </c>
    </row>
    <row r="109" spans="1:2">
      <c r="A109" s="24" t="s">
        <v>133</v>
      </c>
      <c r="B109" s="24" t="s">
        <v>1185</v>
      </c>
    </row>
    <row r="110" spans="1:2">
      <c r="A110" s="23" t="s">
        <v>134</v>
      </c>
      <c r="B110" s="24" t="s">
        <v>1186</v>
      </c>
    </row>
    <row r="111" spans="1:2">
      <c r="A111" s="24" t="s">
        <v>135</v>
      </c>
      <c r="B111" s="24" t="s">
        <v>1187</v>
      </c>
    </row>
    <row r="112" spans="1:2">
      <c r="A112" s="23" t="s">
        <v>136</v>
      </c>
      <c r="B112" s="24" t="s">
        <v>1188</v>
      </c>
    </row>
    <row r="113" spans="1:2">
      <c r="A113" s="24" t="s">
        <v>137</v>
      </c>
      <c r="B113" s="24" t="s">
        <v>1189</v>
      </c>
    </row>
    <row r="114" spans="1:2">
      <c r="A114" s="23" t="s">
        <v>138</v>
      </c>
      <c r="B114" s="24" t="s">
        <v>1190</v>
      </c>
    </row>
    <row r="115" spans="1:2">
      <c r="A115" s="24" t="s">
        <v>139</v>
      </c>
      <c r="B115" s="24" t="s">
        <v>1191</v>
      </c>
    </row>
    <row r="116" spans="1:2">
      <c r="A116" s="23" t="s">
        <v>140</v>
      </c>
      <c r="B116" s="24" t="s">
        <v>1192</v>
      </c>
    </row>
    <row r="117" spans="1:2">
      <c r="A117" s="24" t="s">
        <v>141</v>
      </c>
      <c r="B117" s="24" t="s">
        <v>1193</v>
      </c>
    </row>
    <row r="118" spans="1:2">
      <c r="A118" s="23" t="s">
        <v>142</v>
      </c>
      <c r="B118" s="24" t="s">
        <v>1194</v>
      </c>
    </row>
    <row r="119" spans="1:2">
      <c r="A119" s="24" t="s">
        <v>143</v>
      </c>
      <c r="B119" s="24" t="s">
        <v>1195</v>
      </c>
    </row>
    <row r="120" spans="1:2">
      <c r="A120" s="23" t="s">
        <v>144</v>
      </c>
      <c r="B120" s="24" t="s">
        <v>1196</v>
      </c>
    </row>
    <row r="121" spans="1:2">
      <c r="A121" s="24" t="s">
        <v>145</v>
      </c>
      <c r="B121" s="24" t="s">
        <v>1197</v>
      </c>
    </row>
    <row r="122" spans="1:2">
      <c r="A122" s="23" t="s">
        <v>146</v>
      </c>
      <c r="B122" s="24" t="s">
        <v>1198</v>
      </c>
    </row>
    <row r="123" spans="1:2">
      <c r="A123" s="24" t="s">
        <v>147</v>
      </c>
      <c r="B123" s="24" t="s">
        <v>1199</v>
      </c>
    </row>
    <row r="124" spans="1:2">
      <c r="A124" s="23" t="s">
        <v>148</v>
      </c>
      <c r="B124" s="24" t="s">
        <v>1200</v>
      </c>
    </row>
    <row r="125" spans="1:2">
      <c r="A125" s="24" t="s">
        <v>149</v>
      </c>
      <c r="B125" s="24" t="s">
        <v>1201</v>
      </c>
    </row>
    <row r="126" spans="1:2">
      <c r="A126" s="23" t="s">
        <v>150</v>
      </c>
      <c r="B126" s="24" t="s">
        <v>1202</v>
      </c>
    </row>
    <row r="127" spans="1:2">
      <c r="A127" s="24" t="s">
        <v>151</v>
      </c>
      <c r="B127" s="24" t="s">
        <v>1203</v>
      </c>
    </row>
    <row r="128" spans="1:2">
      <c r="A128" s="23" t="s">
        <v>152</v>
      </c>
      <c r="B128" s="24" t="s">
        <v>1204</v>
      </c>
    </row>
    <row r="129" spans="1:2">
      <c r="A129" s="24" t="s">
        <v>153</v>
      </c>
      <c r="B129" s="24" t="s">
        <v>1205</v>
      </c>
    </row>
    <row r="130" spans="1:2">
      <c r="A130" s="23" t="s">
        <v>154</v>
      </c>
      <c r="B130" s="24" t="s">
        <v>1206</v>
      </c>
    </row>
    <row r="131" spans="1:2">
      <c r="A131" s="24" t="s">
        <v>155</v>
      </c>
      <c r="B131" s="24" t="s">
        <v>1207</v>
      </c>
    </row>
    <row r="132" spans="1:2">
      <c r="A132" s="23" t="s">
        <v>156</v>
      </c>
      <c r="B132" s="24" t="s">
        <v>1208</v>
      </c>
    </row>
    <row r="133" spans="1:2">
      <c r="A133" s="24" t="s">
        <v>157</v>
      </c>
      <c r="B133" s="24" t="s">
        <v>1209</v>
      </c>
    </row>
    <row r="134" spans="1:2">
      <c r="A134" s="23" t="s">
        <v>158</v>
      </c>
      <c r="B134" s="24" t="s">
        <v>1210</v>
      </c>
    </row>
    <row r="135" spans="1:2">
      <c r="A135" s="24" t="s">
        <v>159</v>
      </c>
      <c r="B135" s="24" t="s">
        <v>1211</v>
      </c>
    </row>
    <row r="136" spans="1:2">
      <c r="A136" s="23" t="s">
        <v>160</v>
      </c>
      <c r="B136" s="24" t="s">
        <v>1212</v>
      </c>
    </row>
    <row r="137" spans="1:2">
      <c r="A137" s="24" t="s">
        <v>161</v>
      </c>
      <c r="B137" s="24" t="s">
        <v>1213</v>
      </c>
    </row>
    <row r="138" spans="1:2">
      <c r="A138" s="23" t="s">
        <v>162</v>
      </c>
      <c r="B138" s="24" t="s">
        <v>1214</v>
      </c>
    </row>
    <row r="139" spans="1:2">
      <c r="A139" s="24" t="s">
        <v>163</v>
      </c>
      <c r="B139" s="24" t="s">
        <v>1215</v>
      </c>
    </row>
    <row r="140" spans="1:2">
      <c r="A140" s="23" t="s">
        <v>164</v>
      </c>
      <c r="B140" s="24" t="s">
        <v>1216</v>
      </c>
    </row>
    <row r="141" spans="1:2">
      <c r="A141" s="24" t="s">
        <v>165</v>
      </c>
      <c r="B141" s="24" t="s">
        <v>1217</v>
      </c>
    </row>
    <row r="142" spans="1:2">
      <c r="A142" s="23" t="s">
        <v>166</v>
      </c>
      <c r="B142" s="24" t="s">
        <v>1218</v>
      </c>
    </row>
    <row r="143" spans="1:2">
      <c r="A143" s="24" t="s">
        <v>167</v>
      </c>
      <c r="B143" s="24" t="s">
        <v>1219</v>
      </c>
    </row>
    <row r="144" spans="1:2">
      <c r="A144" s="23" t="s">
        <v>168</v>
      </c>
      <c r="B144" s="24" t="s">
        <v>1220</v>
      </c>
    </row>
    <row r="145" spans="1:2">
      <c r="A145" s="24" t="s">
        <v>169</v>
      </c>
      <c r="B145" s="24" t="s">
        <v>1221</v>
      </c>
    </row>
    <row r="146" spans="1:2">
      <c r="A146" s="23" t="s">
        <v>170</v>
      </c>
      <c r="B146" s="24" t="s">
        <v>1222</v>
      </c>
    </row>
    <row r="147" spans="1:2">
      <c r="A147" s="24" t="s">
        <v>171</v>
      </c>
      <c r="B147" s="24" t="s">
        <v>1223</v>
      </c>
    </row>
    <row r="148" spans="1:2">
      <c r="A148" s="23" t="s">
        <v>172</v>
      </c>
      <c r="B148" s="24" t="s">
        <v>1224</v>
      </c>
    </row>
    <row r="149" spans="1:2">
      <c r="A149" s="24" t="s">
        <v>173</v>
      </c>
      <c r="B149" s="24" t="s">
        <v>1225</v>
      </c>
    </row>
    <row r="150" spans="1:2">
      <c r="A150" s="23" t="s">
        <v>174</v>
      </c>
      <c r="B150" s="24" t="s">
        <v>1226</v>
      </c>
    </row>
    <row r="151" spans="1:2">
      <c r="A151" s="24" t="s">
        <v>175</v>
      </c>
      <c r="B151" s="24" t="s">
        <v>1227</v>
      </c>
    </row>
    <row r="152" spans="1:2">
      <c r="A152" s="23" t="s">
        <v>176</v>
      </c>
      <c r="B152" s="24" t="s">
        <v>1228</v>
      </c>
    </row>
    <row r="153" spans="1:2">
      <c r="A153" s="24" t="s">
        <v>177</v>
      </c>
      <c r="B153" s="24" t="s">
        <v>1229</v>
      </c>
    </row>
    <row r="154" spans="1:2">
      <c r="A154" s="23" t="s">
        <v>178</v>
      </c>
      <c r="B154" s="24" t="s">
        <v>1230</v>
      </c>
    </row>
    <row r="155" spans="1:2">
      <c r="A155" s="24" t="s">
        <v>179</v>
      </c>
      <c r="B155" s="24" t="s">
        <v>1231</v>
      </c>
    </row>
    <row r="156" spans="1:2">
      <c r="A156" s="23" t="s">
        <v>180</v>
      </c>
      <c r="B156" s="24" t="s">
        <v>1232</v>
      </c>
    </row>
    <row r="157" spans="1:2">
      <c r="A157" s="24" t="s">
        <v>181</v>
      </c>
      <c r="B157" s="24" t="s">
        <v>1233</v>
      </c>
    </row>
    <row r="158" spans="1:2">
      <c r="A158" s="23" t="s">
        <v>182</v>
      </c>
      <c r="B158" s="24" t="s">
        <v>1234</v>
      </c>
    </row>
    <row r="159" spans="1:2">
      <c r="A159" s="24" t="s">
        <v>183</v>
      </c>
      <c r="B159" s="24" t="s">
        <v>1235</v>
      </c>
    </row>
    <row r="160" spans="1:2">
      <c r="A160" s="23" t="s">
        <v>184</v>
      </c>
      <c r="B160" s="24" t="s">
        <v>1236</v>
      </c>
    </row>
    <row r="161" spans="1:2">
      <c r="A161" s="24" t="s">
        <v>185</v>
      </c>
      <c r="B161" s="24" t="s">
        <v>1237</v>
      </c>
    </row>
    <row r="162" spans="1:2">
      <c r="A162" s="23" t="s">
        <v>186</v>
      </c>
      <c r="B162" s="24" t="s">
        <v>1238</v>
      </c>
    </row>
    <row r="163" spans="1:2">
      <c r="A163" s="24" t="s">
        <v>187</v>
      </c>
      <c r="B163" s="24" t="s">
        <v>1239</v>
      </c>
    </row>
    <row r="164" spans="1:2">
      <c r="A164" s="23" t="s">
        <v>188</v>
      </c>
      <c r="B164" s="24" t="s">
        <v>1240</v>
      </c>
    </row>
    <row r="165" spans="1:2">
      <c r="A165" s="24" t="s">
        <v>189</v>
      </c>
      <c r="B165" s="24" t="s">
        <v>1241</v>
      </c>
    </row>
    <row r="166" spans="1:2">
      <c r="A166" s="23" t="s">
        <v>190</v>
      </c>
      <c r="B166" s="24" t="s">
        <v>1242</v>
      </c>
    </row>
    <row r="167" spans="1:2">
      <c r="A167" s="24" t="s">
        <v>191</v>
      </c>
      <c r="B167" s="24" t="s">
        <v>1243</v>
      </c>
    </row>
    <row r="168" spans="1:2">
      <c r="A168" s="23" t="s">
        <v>192</v>
      </c>
      <c r="B168" s="24" t="s">
        <v>1244</v>
      </c>
    </row>
    <row r="169" spans="1:2">
      <c r="A169" s="24" t="s">
        <v>193</v>
      </c>
      <c r="B169" s="24" t="s">
        <v>1245</v>
      </c>
    </row>
    <row r="170" spans="1:2">
      <c r="A170" s="23" t="s">
        <v>194</v>
      </c>
      <c r="B170" s="24" t="s">
        <v>1246</v>
      </c>
    </row>
    <row r="171" spans="1:2">
      <c r="A171" s="24" t="s">
        <v>195</v>
      </c>
      <c r="B171" s="24" t="s">
        <v>1247</v>
      </c>
    </row>
    <row r="172" spans="1:2">
      <c r="A172" s="23" t="s">
        <v>196</v>
      </c>
      <c r="B172" s="24" t="s">
        <v>1248</v>
      </c>
    </row>
    <row r="173" spans="1:2">
      <c r="A173" s="24" t="s">
        <v>197</v>
      </c>
      <c r="B173" s="24" t="s">
        <v>1249</v>
      </c>
    </row>
    <row r="174" spans="1:2">
      <c r="A174" s="23" t="s">
        <v>198</v>
      </c>
      <c r="B174" s="24" t="s">
        <v>1250</v>
      </c>
    </row>
    <row r="175" spans="1:2">
      <c r="A175" s="24" t="s">
        <v>199</v>
      </c>
      <c r="B175" s="24" t="s">
        <v>1251</v>
      </c>
    </row>
    <row r="176" spans="1:2">
      <c r="A176" s="23" t="s">
        <v>200</v>
      </c>
      <c r="B176" s="24" t="s">
        <v>1252</v>
      </c>
    </row>
    <row r="177" spans="1:2">
      <c r="A177" s="24" t="s">
        <v>201</v>
      </c>
      <c r="B177" s="24" t="s">
        <v>1253</v>
      </c>
    </row>
    <row r="178" spans="1:2">
      <c r="A178" s="23" t="s">
        <v>202</v>
      </c>
      <c r="B178" s="24" t="s">
        <v>1254</v>
      </c>
    </row>
    <row r="179" spans="1:2">
      <c r="A179" s="24" t="s">
        <v>203</v>
      </c>
      <c r="B179" s="24" t="s">
        <v>1255</v>
      </c>
    </row>
    <row r="180" spans="1:2">
      <c r="A180" s="23" t="s">
        <v>204</v>
      </c>
      <c r="B180" s="24" t="s">
        <v>1256</v>
      </c>
    </row>
    <row r="181" spans="1:2">
      <c r="A181" s="24" t="s">
        <v>205</v>
      </c>
      <c r="B181" s="24" t="s">
        <v>1257</v>
      </c>
    </row>
    <row r="182" spans="1:2">
      <c r="A182" s="23" t="s">
        <v>206</v>
      </c>
      <c r="B182" s="24" t="s">
        <v>1258</v>
      </c>
    </row>
    <row r="183" spans="1:2">
      <c r="A183" s="24" t="s">
        <v>207</v>
      </c>
      <c r="B183" s="24" t="s">
        <v>1259</v>
      </c>
    </row>
    <row r="184" spans="1:2">
      <c r="A184" s="23" t="s">
        <v>208</v>
      </c>
      <c r="B184" s="24" t="s">
        <v>1260</v>
      </c>
    </row>
    <row r="185" spans="1:2">
      <c r="A185" s="24" t="s">
        <v>209</v>
      </c>
      <c r="B185" s="24" t="s">
        <v>1261</v>
      </c>
    </row>
    <row r="186" spans="1:2">
      <c r="A186" s="23" t="s">
        <v>210</v>
      </c>
      <c r="B186" s="24" t="s">
        <v>1262</v>
      </c>
    </row>
    <row r="187" spans="1:2">
      <c r="A187" s="24" t="s">
        <v>211</v>
      </c>
      <c r="B187" s="24" t="s">
        <v>1263</v>
      </c>
    </row>
    <row r="188" spans="1:2">
      <c r="A188" s="23" t="s">
        <v>212</v>
      </c>
      <c r="B188" s="24" t="s">
        <v>1264</v>
      </c>
    </row>
    <row r="189" spans="1:2">
      <c r="A189" s="24" t="s">
        <v>213</v>
      </c>
      <c r="B189" s="24" t="s">
        <v>1265</v>
      </c>
    </row>
    <row r="190" spans="1:2">
      <c r="A190" s="23" t="s">
        <v>214</v>
      </c>
      <c r="B190" s="24" t="s">
        <v>1266</v>
      </c>
    </row>
    <row r="191" spans="1:2">
      <c r="A191" s="24" t="s">
        <v>215</v>
      </c>
      <c r="B191" s="24" t="s">
        <v>1267</v>
      </c>
    </row>
    <row r="192" spans="1:2">
      <c r="A192" s="23" t="s">
        <v>216</v>
      </c>
      <c r="B192" s="24" t="s">
        <v>1268</v>
      </c>
    </row>
    <row r="193" spans="1:2">
      <c r="A193" s="24" t="s">
        <v>217</v>
      </c>
      <c r="B193" s="24" t="s">
        <v>1269</v>
      </c>
    </row>
    <row r="194" spans="1:2">
      <c r="A194" s="23" t="s">
        <v>218</v>
      </c>
      <c r="B194" s="24" t="s">
        <v>1270</v>
      </c>
    </row>
    <row r="195" spans="1:2">
      <c r="A195" s="24" t="s">
        <v>219</v>
      </c>
      <c r="B195" s="24" t="s">
        <v>1271</v>
      </c>
    </row>
    <row r="196" spans="1:2">
      <c r="A196" s="23" t="s">
        <v>220</v>
      </c>
      <c r="B196" s="24" t="s">
        <v>1272</v>
      </c>
    </row>
    <row r="197" spans="1:2">
      <c r="A197" s="24" t="s">
        <v>221</v>
      </c>
      <c r="B197" s="24" t="s">
        <v>1273</v>
      </c>
    </row>
    <row r="198" spans="1:2">
      <c r="A198" s="23" t="s">
        <v>222</v>
      </c>
      <c r="B198" s="24" t="s">
        <v>1274</v>
      </c>
    </row>
    <row r="199" spans="1:2">
      <c r="A199" s="24" t="s">
        <v>223</v>
      </c>
      <c r="B199" s="24" t="s">
        <v>1275</v>
      </c>
    </row>
    <row r="200" spans="1:2">
      <c r="A200" s="23" t="s">
        <v>224</v>
      </c>
      <c r="B200" s="24" t="s">
        <v>1276</v>
      </c>
    </row>
    <row r="201" spans="1:2">
      <c r="A201" s="24" t="s">
        <v>225</v>
      </c>
      <c r="B201" s="24" t="s">
        <v>1277</v>
      </c>
    </row>
    <row r="202" spans="1:2">
      <c r="A202" s="23" t="s">
        <v>226</v>
      </c>
      <c r="B202" s="24" t="s">
        <v>1278</v>
      </c>
    </row>
    <row r="203" spans="1:2">
      <c r="A203" s="24" t="s">
        <v>227</v>
      </c>
      <c r="B203" s="24" t="s">
        <v>1279</v>
      </c>
    </row>
    <row r="204" spans="1:2">
      <c r="A204" s="23" t="s">
        <v>228</v>
      </c>
      <c r="B204" s="24" t="s">
        <v>1280</v>
      </c>
    </row>
    <row r="205" spans="1:2">
      <c r="A205" s="24" t="s">
        <v>229</v>
      </c>
      <c r="B205" s="24" t="s">
        <v>1281</v>
      </c>
    </row>
    <row r="206" spans="1:2">
      <c r="A206" s="23" t="s">
        <v>230</v>
      </c>
      <c r="B206" s="24" t="s">
        <v>1282</v>
      </c>
    </row>
    <row r="207" spans="1:2">
      <c r="A207" s="24" t="s">
        <v>231</v>
      </c>
      <c r="B207" s="24" t="s">
        <v>1283</v>
      </c>
    </row>
    <row r="208" spans="1:2">
      <c r="A208" s="23" t="s">
        <v>232</v>
      </c>
      <c r="B208" s="24" t="s">
        <v>1284</v>
      </c>
    </row>
    <row r="209" spans="1:2">
      <c r="A209" s="24" t="s">
        <v>233</v>
      </c>
      <c r="B209" s="24" t="s">
        <v>1285</v>
      </c>
    </row>
    <row r="210" spans="1:2">
      <c r="A210" s="23" t="s">
        <v>234</v>
      </c>
      <c r="B210" s="24" t="s">
        <v>1286</v>
      </c>
    </row>
    <row r="211" spans="1:2">
      <c r="A211" s="24" t="s">
        <v>235</v>
      </c>
      <c r="B211" s="24" t="s">
        <v>1287</v>
      </c>
    </row>
    <row r="212" spans="1:2">
      <c r="A212" s="23" t="s">
        <v>236</v>
      </c>
      <c r="B212" s="24" t="s">
        <v>1288</v>
      </c>
    </row>
    <row r="213" spans="1:2">
      <c r="A213" s="24" t="s">
        <v>237</v>
      </c>
      <c r="B213" s="24" t="s">
        <v>1289</v>
      </c>
    </row>
    <row r="214" spans="1:2">
      <c r="A214" s="23" t="s">
        <v>238</v>
      </c>
      <c r="B214" s="24" t="s">
        <v>1290</v>
      </c>
    </row>
    <row r="215" spans="1:2">
      <c r="A215" s="24" t="s">
        <v>936</v>
      </c>
      <c r="B215" s="24" t="s">
        <v>1291</v>
      </c>
    </row>
    <row r="216" spans="1:2">
      <c r="A216" s="23" t="s">
        <v>239</v>
      </c>
      <c r="B216" s="24" t="s">
        <v>1292</v>
      </c>
    </row>
    <row r="217" spans="1:2">
      <c r="A217" s="24" t="s">
        <v>240</v>
      </c>
      <c r="B217" s="24" t="s">
        <v>1293</v>
      </c>
    </row>
    <row r="218" spans="1:2">
      <c r="A218" s="23" t="s">
        <v>241</v>
      </c>
      <c r="B218" s="24" t="s">
        <v>1294</v>
      </c>
    </row>
    <row r="219" spans="1:2">
      <c r="A219" s="24" t="s">
        <v>242</v>
      </c>
      <c r="B219" s="24" t="s">
        <v>1295</v>
      </c>
    </row>
    <row r="220" spans="1:2">
      <c r="A220" s="23" t="s">
        <v>243</v>
      </c>
      <c r="B220" s="24" t="s">
        <v>1296</v>
      </c>
    </row>
    <row r="221" spans="1:2">
      <c r="A221" s="24" t="s">
        <v>244</v>
      </c>
      <c r="B221" s="24" t="s">
        <v>1297</v>
      </c>
    </row>
    <row r="222" spans="1:2">
      <c r="A222" s="23" t="s">
        <v>245</v>
      </c>
      <c r="B222" s="24" t="s">
        <v>1298</v>
      </c>
    </row>
    <row r="223" spans="1:2">
      <c r="A223" s="24" t="s">
        <v>246</v>
      </c>
      <c r="B223" s="24" t="s">
        <v>1299</v>
      </c>
    </row>
    <row r="224" spans="1:2">
      <c r="A224" s="23" t="s">
        <v>247</v>
      </c>
      <c r="B224" s="24" t="s">
        <v>1300</v>
      </c>
    </row>
    <row r="225" spans="1:2">
      <c r="A225" s="24" t="s">
        <v>248</v>
      </c>
      <c r="B225" s="24" t="s">
        <v>1301</v>
      </c>
    </row>
    <row r="226" spans="1:2">
      <c r="A226" s="23" t="s">
        <v>249</v>
      </c>
      <c r="B226" s="24" t="s">
        <v>1302</v>
      </c>
    </row>
    <row r="227" spans="1:2">
      <c r="A227" s="24" t="s">
        <v>250</v>
      </c>
      <c r="B227" s="24" t="s">
        <v>1303</v>
      </c>
    </row>
    <row r="228" spans="1:2">
      <c r="A228" s="23" t="s">
        <v>251</v>
      </c>
      <c r="B228" s="24" t="s">
        <v>1304</v>
      </c>
    </row>
    <row r="229" spans="1:2">
      <c r="A229" s="24" t="s">
        <v>252</v>
      </c>
      <c r="B229" s="24" t="s">
        <v>1305</v>
      </c>
    </row>
    <row r="230" spans="1:2">
      <c r="A230" s="23" t="s">
        <v>253</v>
      </c>
      <c r="B230" s="24" t="s">
        <v>1306</v>
      </c>
    </row>
    <row r="231" spans="1:2">
      <c r="A231" s="24" t="s">
        <v>254</v>
      </c>
      <c r="B231" s="24" t="s">
        <v>1307</v>
      </c>
    </row>
    <row r="232" spans="1:2">
      <c r="A232" s="23" t="s">
        <v>255</v>
      </c>
      <c r="B232" s="24" t="s">
        <v>1308</v>
      </c>
    </row>
    <row r="233" spans="1:2">
      <c r="A233" s="24" t="s">
        <v>256</v>
      </c>
      <c r="B233" s="24" t="s">
        <v>1309</v>
      </c>
    </row>
    <row r="234" spans="1:2">
      <c r="A234" s="23" t="s">
        <v>257</v>
      </c>
      <c r="B234" s="24" t="s">
        <v>1846</v>
      </c>
    </row>
    <row r="235" spans="1:2">
      <c r="A235" s="24" t="s">
        <v>258</v>
      </c>
      <c r="B235" s="24" t="s">
        <v>1310</v>
      </c>
    </row>
    <row r="236" spans="1:2">
      <c r="A236" s="23" t="s">
        <v>259</v>
      </c>
      <c r="B236" s="24" t="s">
        <v>1311</v>
      </c>
    </row>
    <row r="237" spans="1:2">
      <c r="A237" s="24" t="s">
        <v>260</v>
      </c>
      <c r="B237" s="24" t="s">
        <v>1312</v>
      </c>
    </row>
    <row r="238" spans="1:2">
      <c r="A238" s="23" t="s">
        <v>261</v>
      </c>
      <c r="B238" s="24" t="s">
        <v>1313</v>
      </c>
    </row>
    <row r="239" spans="1:2">
      <c r="A239" s="24" t="s">
        <v>262</v>
      </c>
      <c r="B239" s="24" t="s">
        <v>1314</v>
      </c>
    </row>
    <row r="240" spans="1:2">
      <c r="A240" s="23" t="s">
        <v>263</v>
      </c>
      <c r="B240" s="24" t="s">
        <v>1315</v>
      </c>
    </row>
    <row r="241" spans="1:2">
      <c r="A241" s="24" t="s">
        <v>264</v>
      </c>
      <c r="B241" s="24" t="s">
        <v>1316</v>
      </c>
    </row>
    <row r="242" spans="1:2">
      <c r="A242" s="23" t="s">
        <v>265</v>
      </c>
      <c r="B242" s="24" t="s">
        <v>1317</v>
      </c>
    </row>
    <row r="243" spans="1:2">
      <c r="A243" s="24" t="s">
        <v>266</v>
      </c>
      <c r="B243" s="24" t="s">
        <v>1318</v>
      </c>
    </row>
    <row r="244" spans="1:2">
      <c r="A244" s="23" t="s">
        <v>267</v>
      </c>
      <c r="B244" s="24" t="s">
        <v>1319</v>
      </c>
    </row>
    <row r="245" spans="1:2">
      <c r="A245" s="24" t="s">
        <v>268</v>
      </c>
      <c r="B245" s="24" t="s">
        <v>1320</v>
      </c>
    </row>
    <row r="246" spans="1:2">
      <c r="A246" s="23" t="s">
        <v>269</v>
      </c>
      <c r="B246" s="24" t="s">
        <v>1321</v>
      </c>
    </row>
    <row r="247" spans="1:2">
      <c r="A247" s="24" t="s">
        <v>270</v>
      </c>
      <c r="B247" s="24" t="s">
        <v>1322</v>
      </c>
    </row>
    <row r="248" spans="1:2">
      <c r="A248" s="23" t="s">
        <v>271</v>
      </c>
      <c r="B248" s="24" t="s">
        <v>1323</v>
      </c>
    </row>
    <row r="249" spans="1:2">
      <c r="A249" s="24" t="s">
        <v>272</v>
      </c>
      <c r="B249" s="24" t="s">
        <v>1324</v>
      </c>
    </row>
    <row r="250" spans="1:2">
      <c r="A250" s="23" t="s">
        <v>273</v>
      </c>
      <c r="B250" s="24" t="s">
        <v>1325</v>
      </c>
    </row>
    <row r="251" spans="1:2">
      <c r="A251" s="24" t="s">
        <v>274</v>
      </c>
      <c r="B251" s="24" t="s">
        <v>1326</v>
      </c>
    </row>
    <row r="252" spans="1:2">
      <c r="A252" s="23" t="s">
        <v>275</v>
      </c>
      <c r="B252" s="24" t="s">
        <v>1327</v>
      </c>
    </row>
    <row r="253" spans="1:2">
      <c r="A253" s="24" t="s">
        <v>276</v>
      </c>
      <c r="B253" s="24" t="s">
        <v>1328</v>
      </c>
    </row>
    <row r="254" spans="1:2">
      <c r="A254" s="23" t="s">
        <v>277</v>
      </c>
      <c r="B254" s="24" t="s">
        <v>1329</v>
      </c>
    </row>
    <row r="255" spans="1:2">
      <c r="A255" s="24" t="s">
        <v>278</v>
      </c>
      <c r="B255" s="24" t="s">
        <v>1330</v>
      </c>
    </row>
    <row r="256" spans="1:2">
      <c r="A256" s="23" t="s">
        <v>279</v>
      </c>
      <c r="B256" s="24" t="s">
        <v>1331</v>
      </c>
    </row>
    <row r="257" spans="1:2">
      <c r="A257" s="24" t="s">
        <v>280</v>
      </c>
      <c r="B257" s="24" t="s">
        <v>1332</v>
      </c>
    </row>
    <row r="258" spans="1:2">
      <c r="A258" s="23" t="s">
        <v>281</v>
      </c>
      <c r="B258" s="24" t="s">
        <v>1333</v>
      </c>
    </row>
    <row r="259" spans="1:2">
      <c r="A259" s="24" t="s">
        <v>282</v>
      </c>
      <c r="B259" s="24" t="s">
        <v>1334</v>
      </c>
    </row>
    <row r="260" spans="1:2">
      <c r="A260" s="23" t="s">
        <v>283</v>
      </c>
      <c r="B260" s="24" t="s">
        <v>1335</v>
      </c>
    </row>
    <row r="261" spans="1:2">
      <c r="A261" s="24" t="s">
        <v>284</v>
      </c>
      <c r="B261" s="24" t="s">
        <v>1336</v>
      </c>
    </row>
    <row r="262" spans="1:2">
      <c r="A262" s="23" t="s">
        <v>285</v>
      </c>
      <c r="B262" s="24" t="s">
        <v>1337</v>
      </c>
    </row>
    <row r="263" spans="1:2">
      <c r="A263" s="24" t="s">
        <v>286</v>
      </c>
      <c r="B263" s="24" t="s">
        <v>1338</v>
      </c>
    </row>
    <row r="264" spans="1:2">
      <c r="A264" s="23" t="s">
        <v>287</v>
      </c>
      <c r="B264" s="24" t="s">
        <v>1339</v>
      </c>
    </row>
    <row r="265" spans="1:2">
      <c r="A265" s="24" t="s">
        <v>288</v>
      </c>
      <c r="B265" s="24" t="s">
        <v>1340</v>
      </c>
    </row>
    <row r="266" spans="1:2">
      <c r="A266" s="23" t="s">
        <v>289</v>
      </c>
      <c r="B266" s="24" t="s">
        <v>1341</v>
      </c>
    </row>
    <row r="267" spans="1:2">
      <c r="A267" s="24" t="s">
        <v>290</v>
      </c>
      <c r="B267" s="24" t="s">
        <v>1342</v>
      </c>
    </row>
    <row r="268" spans="1:2">
      <c r="A268" s="23" t="s">
        <v>291</v>
      </c>
      <c r="B268" s="24" t="s">
        <v>1343</v>
      </c>
    </row>
    <row r="269" spans="1:2">
      <c r="A269" s="24" t="s">
        <v>292</v>
      </c>
      <c r="B269" s="24" t="s">
        <v>1344</v>
      </c>
    </row>
    <row r="270" spans="1:2">
      <c r="A270" s="23" t="s">
        <v>293</v>
      </c>
      <c r="B270" s="24" t="s">
        <v>1345</v>
      </c>
    </row>
    <row r="271" spans="1:2">
      <c r="A271" s="24" t="s">
        <v>294</v>
      </c>
      <c r="B271" s="24" t="s">
        <v>1346</v>
      </c>
    </row>
    <row r="272" spans="1:2">
      <c r="A272" s="23" t="s">
        <v>295</v>
      </c>
      <c r="B272" s="24" t="s">
        <v>1347</v>
      </c>
    </row>
    <row r="273" spans="1:2">
      <c r="A273" s="24" t="s">
        <v>296</v>
      </c>
      <c r="B273" s="24" t="s">
        <v>1348</v>
      </c>
    </row>
    <row r="274" spans="1:2">
      <c r="A274" s="23" t="s">
        <v>297</v>
      </c>
      <c r="B274" s="24" t="s">
        <v>1349</v>
      </c>
    </row>
    <row r="275" spans="1:2">
      <c r="A275" s="24" t="s">
        <v>298</v>
      </c>
      <c r="B275" s="24" t="s">
        <v>1350</v>
      </c>
    </row>
    <row r="276" spans="1:2">
      <c r="A276" s="23" t="s">
        <v>299</v>
      </c>
      <c r="B276" s="24" t="s">
        <v>1351</v>
      </c>
    </row>
    <row r="277" spans="1:2">
      <c r="A277" s="24" t="s">
        <v>300</v>
      </c>
      <c r="B277" s="24" t="s">
        <v>1352</v>
      </c>
    </row>
    <row r="278" spans="1:2">
      <c r="A278" s="23" t="s">
        <v>301</v>
      </c>
      <c r="B278" s="24" t="s">
        <v>1353</v>
      </c>
    </row>
    <row r="279" spans="1:2">
      <c r="A279" s="24" t="s">
        <v>302</v>
      </c>
      <c r="B279" s="24" t="s">
        <v>1354</v>
      </c>
    </row>
    <row r="280" spans="1:2">
      <c r="A280" s="23" t="s">
        <v>303</v>
      </c>
      <c r="B280" s="24" t="s">
        <v>1355</v>
      </c>
    </row>
    <row r="281" spans="1:2">
      <c r="A281" s="24" t="s">
        <v>304</v>
      </c>
      <c r="B281" s="24" t="s">
        <v>1356</v>
      </c>
    </row>
    <row r="282" spans="1:2">
      <c r="A282" s="23" t="s">
        <v>305</v>
      </c>
      <c r="B282" s="24" t="s">
        <v>1357</v>
      </c>
    </row>
    <row r="283" spans="1:2">
      <c r="A283" s="24" t="s">
        <v>306</v>
      </c>
      <c r="B283" s="24" t="s">
        <v>1358</v>
      </c>
    </row>
    <row r="284" spans="1:2">
      <c r="A284" s="23" t="s">
        <v>307</v>
      </c>
      <c r="B284" s="24" t="s">
        <v>1359</v>
      </c>
    </row>
    <row r="285" spans="1:2">
      <c r="A285" s="24" t="s">
        <v>308</v>
      </c>
      <c r="B285" s="24" t="s">
        <v>1360</v>
      </c>
    </row>
    <row r="286" spans="1:2">
      <c r="A286" s="23" t="s">
        <v>309</v>
      </c>
      <c r="B286" s="24" t="s">
        <v>1361</v>
      </c>
    </row>
    <row r="287" spans="1:2">
      <c r="A287" s="24" t="s">
        <v>310</v>
      </c>
      <c r="B287" s="24" t="s">
        <v>1362</v>
      </c>
    </row>
    <row r="288" spans="1:2">
      <c r="A288" s="23" t="s">
        <v>311</v>
      </c>
      <c r="B288" s="24" t="s">
        <v>1363</v>
      </c>
    </row>
    <row r="289" spans="1:2">
      <c r="A289" s="24" t="s">
        <v>312</v>
      </c>
      <c r="B289" s="24" t="s">
        <v>1364</v>
      </c>
    </row>
    <row r="290" spans="1:2">
      <c r="A290" s="23" t="s">
        <v>313</v>
      </c>
      <c r="B290" s="24" t="s">
        <v>1365</v>
      </c>
    </row>
    <row r="291" spans="1:2">
      <c r="A291" s="24" t="s">
        <v>314</v>
      </c>
      <c r="B291" s="24" t="s">
        <v>1366</v>
      </c>
    </row>
    <row r="292" spans="1:2">
      <c r="A292" s="23" t="s">
        <v>315</v>
      </c>
      <c r="B292" s="24" t="s">
        <v>1367</v>
      </c>
    </row>
    <row r="293" spans="1:2">
      <c r="A293" s="24" t="s">
        <v>316</v>
      </c>
      <c r="B293" s="24" t="s">
        <v>1368</v>
      </c>
    </row>
    <row r="294" spans="1:2">
      <c r="A294" s="23" t="s">
        <v>317</v>
      </c>
      <c r="B294" s="24" t="s">
        <v>1369</v>
      </c>
    </row>
    <row r="295" spans="1:2">
      <c r="A295" s="24" t="s">
        <v>318</v>
      </c>
      <c r="B295" s="24" t="s">
        <v>1370</v>
      </c>
    </row>
    <row r="296" spans="1:2">
      <c r="A296" s="23" t="s">
        <v>319</v>
      </c>
      <c r="B296" s="24" t="s">
        <v>1371</v>
      </c>
    </row>
    <row r="297" spans="1:2">
      <c r="A297" s="24" t="s">
        <v>320</v>
      </c>
      <c r="B297" s="24" t="s">
        <v>1372</v>
      </c>
    </row>
    <row r="298" spans="1:2">
      <c r="A298" s="23" t="s">
        <v>321</v>
      </c>
      <c r="B298" s="24" t="s">
        <v>1373</v>
      </c>
    </row>
    <row r="299" spans="1:2">
      <c r="A299" s="24" t="s">
        <v>322</v>
      </c>
      <c r="B299" s="24" t="s">
        <v>1374</v>
      </c>
    </row>
    <row r="300" spans="1:2">
      <c r="A300" s="23" t="s">
        <v>323</v>
      </c>
      <c r="B300" s="24" t="s">
        <v>1375</v>
      </c>
    </row>
    <row r="301" spans="1:2">
      <c r="A301" s="24" t="s">
        <v>324</v>
      </c>
      <c r="B301" s="24" t="s">
        <v>1376</v>
      </c>
    </row>
    <row r="302" spans="1:2">
      <c r="A302" s="23" t="s">
        <v>327</v>
      </c>
      <c r="B302" s="24" t="s">
        <v>1377</v>
      </c>
    </row>
    <row r="303" spans="1:2">
      <c r="A303" s="24" t="s">
        <v>328</v>
      </c>
      <c r="B303" s="24" t="s">
        <v>1378</v>
      </c>
    </row>
    <row r="304" spans="1:2">
      <c r="A304" s="23" t="s">
        <v>329</v>
      </c>
      <c r="B304" s="24" t="s">
        <v>1379</v>
      </c>
    </row>
    <row r="305" spans="1:2">
      <c r="A305" s="24" t="s">
        <v>330</v>
      </c>
      <c r="B305" s="24" t="s">
        <v>1380</v>
      </c>
    </row>
    <row r="306" spans="1:2">
      <c r="A306" s="23" t="s">
        <v>331</v>
      </c>
      <c r="B306" s="24" t="s">
        <v>1381</v>
      </c>
    </row>
    <row r="307" spans="1:2">
      <c r="A307" s="24" t="s">
        <v>332</v>
      </c>
      <c r="B307" s="24" t="s">
        <v>1382</v>
      </c>
    </row>
    <row r="308" spans="1:2">
      <c r="A308" s="23" t="s">
        <v>333</v>
      </c>
      <c r="B308" s="24" t="s">
        <v>1383</v>
      </c>
    </row>
    <row r="309" spans="1:2">
      <c r="A309" s="24" t="s">
        <v>334</v>
      </c>
      <c r="B309" s="24" t="s">
        <v>1384</v>
      </c>
    </row>
    <row r="310" spans="1:2">
      <c r="A310" s="23" t="s">
        <v>335</v>
      </c>
      <c r="B310" s="24" t="s">
        <v>1385</v>
      </c>
    </row>
    <row r="311" spans="1:2">
      <c r="A311" s="24" t="s">
        <v>336</v>
      </c>
      <c r="B311" s="24" t="s">
        <v>1386</v>
      </c>
    </row>
    <row r="312" spans="1:2">
      <c r="A312" s="23" t="s">
        <v>337</v>
      </c>
      <c r="B312" s="24" t="s">
        <v>1387</v>
      </c>
    </row>
    <row r="313" spans="1:2">
      <c r="A313" s="24" t="s">
        <v>338</v>
      </c>
      <c r="B313" s="24" t="s">
        <v>1388</v>
      </c>
    </row>
    <row r="314" spans="1:2">
      <c r="A314" s="23" t="s">
        <v>339</v>
      </c>
      <c r="B314" s="24" t="s">
        <v>1389</v>
      </c>
    </row>
    <row r="315" spans="1:2">
      <c r="A315" s="24" t="s">
        <v>340</v>
      </c>
      <c r="B315" s="24" t="s">
        <v>1390</v>
      </c>
    </row>
    <row r="316" spans="1:2">
      <c r="A316" s="23" t="s">
        <v>341</v>
      </c>
      <c r="B316" s="24" t="s">
        <v>1391</v>
      </c>
    </row>
    <row r="317" spans="1:2">
      <c r="A317" s="24" t="s">
        <v>342</v>
      </c>
      <c r="B317" s="24" t="s">
        <v>1392</v>
      </c>
    </row>
    <row r="318" spans="1:2">
      <c r="A318" s="23" t="s">
        <v>343</v>
      </c>
      <c r="B318" s="24" t="s">
        <v>1393</v>
      </c>
    </row>
    <row r="319" spans="1:2">
      <c r="A319" s="24" t="s">
        <v>344</v>
      </c>
      <c r="B319" s="24" t="s">
        <v>1394</v>
      </c>
    </row>
    <row r="320" spans="1:2">
      <c r="A320" s="23" t="s">
        <v>345</v>
      </c>
      <c r="B320" s="24" t="s">
        <v>1395</v>
      </c>
    </row>
    <row r="321" spans="1:2">
      <c r="A321" s="24" t="s">
        <v>346</v>
      </c>
      <c r="B321" s="24" t="s">
        <v>1396</v>
      </c>
    </row>
    <row r="322" spans="1:2">
      <c r="A322" s="23" t="s">
        <v>347</v>
      </c>
      <c r="B322" s="24" t="s">
        <v>1397</v>
      </c>
    </row>
    <row r="323" spans="1:2">
      <c r="A323" s="24" t="s">
        <v>348</v>
      </c>
      <c r="B323" s="24" t="s">
        <v>1398</v>
      </c>
    </row>
    <row r="324" spans="1:2">
      <c r="A324" s="23" t="s">
        <v>349</v>
      </c>
      <c r="B324" s="24" t="s">
        <v>1399</v>
      </c>
    </row>
    <row r="325" spans="1:2">
      <c r="A325" s="24" t="s">
        <v>350</v>
      </c>
      <c r="B325" s="24" t="s">
        <v>1400</v>
      </c>
    </row>
    <row r="326" spans="1:2">
      <c r="A326" s="23" t="s">
        <v>351</v>
      </c>
      <c r="B326" s="24" t="s">
        <v>1401</v>
      </c>
    </row>
    <row r="327" spans="1:2">
      <c r="A327" s="24" t="s">
        <v>352</v>
      </c>
      <c r="B327" s="24" t="s">
        <v>1402</v>
      </c>
    </row>
    <row r="328" spans="1:2">
      <c r="A328" s="23" t="s">
        <v>353</v>
      </c>
      <c r="B328" s="24" t="s">
        <v>1403</v>
      </c>
    </row>
    <row r="329" spans="1:2">
      <c r="A329" s="24" t="s">
        <v>354</v>
      </c>
      <c r="B329" s="24" t="s">
        <v>1404</v>
      </c>
    </row>
    <row r="330" spans="1:2">
      <c r="A330" s="23" t="s">
        <v>355</v>
      </c>
      <c r="B330" s="24" t="s">
        <v>1405</v>
      </c>
    </row>
    <row r="331" spans="1:2">
      <c r="A331" s="24" t="s">
        <v>356</v>
      </c>
      <c r="B331" s="24" t="s">
        <v>1406</v>
      </c>
    </row>
    <row r="332" spans="1:2">
      <c r="A332" s="23" t="s">
        <v>357</v>
      </c>
      <c r="B332" s="24" t="s">
        <v>1407</v>
      </c>
    </row>
    <row r="333" spans="1:2">
      <c r="A333" s="24" t="s">
        <v>358</v>
      </c>
      <c r="B333" s="24" t="s">
        <v>1408</v>
      </c>
    </row>
    <row r="334" spans="1:2">
      <c r="A334" s="23" t="s">
        <v>359</v>
      </c>
      <c r="B334" s="24" t="s">
        <v>1409</v>
      </c>
    </row>
    <row r="335" spans="1:2">
      <c r="A335" s="24" t="s">
        <v>360</v>
      </c>
      <c r="B335" s="24" t="s">
        <v>1410</v>
      </c>
    </row>
    <row r="336" spans="1:2">
      <c r="A336" s="23" t="s">
        <v>361</v>
      </c>
      <c r="B336" s="24" t="s">
        <v>1411</v>
      </c>
    </row>
    <row r="337" spans="1:2">
      <c r="A337" s="24" t="s">
        <v>362</v>
      </c>
      <c r="B337" s="24" t="s">
        <v>1412</v>
      </c>
    </row>
    <row r="338" spans="1:2">
      <c r="A338" s="23" t="s">
        <v>363</v>
      </c>
      <c r="B338" s="24" t="s">
        <v>1413</v>
      </c>
    </row>
    <row r="339" spans="1:2">
      <c r="A339" s="24" t="s">
        <v>364</v>
      </c>
      <c r="B339" s="24" t="s">
        <v>1414</v>
      </c>
    </row>
    <row r="340" spans="1:2">
      <c r="A340" s="23" t="s">
        <v>365</v>
      </c>
      <c r="B340" s="24" t="s">
        <v>1415</v>
      </c>
    </row>
    <row r="341" spans="1:2">
      <c r="A341" s="24" t="s">
        <v>366</v>
      </c>
      <c r="B341" s="24" t="s">
        <v>1416</v>
      </c>
    </row>
    <row r="342" spans="1:2">
      <c r="A342" s="23" t="s">
        <v>367</v>
      </c>
      <c r="B342" s="24" t="s">
        <v>1417</v>
      </c>
    </row>
    <row r="343" spans="1:2">
      <c r="A343" s="24" t="s">
        <v>368</v>
      </c>
      <c r="B343" s="24" t="s">
        <v>1418</v>
      </c>
    </row>
    <row r="344" spans="1:2">
      <c r="A344" s="23" t="s">
        <v>369</v>
      </c>
      <c r="B344" s="24" t="s">
        <v>1419</v>
      </c>
    </row>
    <row r="345" spans="1:2">
      <c r="A345" s="24" t="s">
        <v>370</v>
      </c>
      <c r="B345" s="24" t="s">
        <v>1420</v>
      </c>
    </row>
    <row r="346" spans="1:2">
      <c r="A346" s="23" t="s">
        <v>371</v>
      </c>
      <c r="B346" s="24" t="s">
        <v>1421</v>
      </c>
    </row>
    <row r="347" spans="1:2">
      <c r="A347" s="24" t="s">
        <v>372</v>
      </c>
      <c r="B347" s="24" t="s">
        <v>1422</v>
      </c>
    </row>
    <row r="348" spans="1:2">
      <c r="A348" s="23" t="s">
        <v>373</v>
      </c>
      <c r="B348" s="24" t="s">
        <v>1423</v>
      </c>
    </row>
    <row r="349" spans="1:2">
      <c r="A349" s="24" t="s">
        <v>374</v>
      </c>
      <c r="B349" s="24" t="s">
        <v>1424</v>
      </c>
    </row>
    <row r="350" spans="1:2">
      <c r="A350" s="23" t="s">
        <v>375</v>
      </c>
      <c r="B350" s="24" t="s">
        <v>1425</v>
      </c>
    </row>
    <row r="351" spans="1:2">
      <c r="A351" s="24" t="s">
        <v>376</v>
      </c>
      <c r="B351" s="24" t="s">
        <v>1426</v>
      </c>
    </row>
    <row r="352" spans="1:2">
      <c r="A352" s="23" t="s">
        <v>377</v>
      </c>
      <c r="B352" s="24" t="s">
        <v>1427</v>
      </c>
    </row>
    <row r="353" spans="1:2">
      <c r="A353" s="24" t="s">
        <v>378</v>
      </c>
      <c r="B353" s="24" t="s">
        <v>1428</v>
      </c>
    </row>
    <row r="354" spans="1:2">
      <c r="A354" s="23" t="s">
        <v>379</v>
      </c>
      <c r="B354" s="24" t="s">
        <v>1429</v>
      </c>
    </row>
    <row r="355" spans="1:2">
      <c r="A355" s="24" t="s">
        <v>380</v>
      </c>
      <c r="B355" s="24" t="s">
        <v>1430</v>
      </c>
    </row>
    <row r="356" spans="1:2">
      <c r="A356" s="23" t="s">
        <v>381</v>
      </c>
      <c r="B356" s="24" t="s">
        <v>1431</v>
      </c>
    </row>
    <row r="357" spans="1:2">
      <c r="A357" s="24" t="s">
        <v>382</v>
      </c>
      <c r="B357" s="24" t="s">
        <v>1432</v>
      </c>
    </row>
    <row r="358" spans="1:2">
      <c r="A358" s="23" t="s">
        <v>383</v>
      </c>
      <c r="B358" s="24" t="s">
        <v>1433</v>
      </c>
    </row>
    <row r="359" spans="1:2">
      <c r="A359" s="24" t="s">
        <v>384</v>
      </c>
      <c r="B359" s="24" t="s">
        <v>1434</v>
      </c>
    </row>
    <row r="360" spans="1:2">
      <c r="A360" s="23" t="s">
        <v>385</v>
      </c>
      <c r="B360" s="24" t="s">
        <v>1435</v>
      </c>
    </row>
    <row r="361" spans="1:2">
      <c r="A361" s="24" t="s">
        <v>386</v>
      </c>
      <c r="B361" s="24" t="s">
        <v>1436</v>
      </c>
    </row>
    <row r="362" spans="1:2">
      <c r="A362" s="23" t="s">
        <v>387</v>
      </c>
      <c r="B362" s="24" t="s">
        <v>1437</v>
      </c>
    </row>
    <row r="363" spans="1:2">
      <c r="A363" s="24" t="s">
        <v>388</v>
      </c>
      <c r="B363" s="24" t="s">
        <v>1438</v>
      </c>
    </row>
    <row r="364" spans="1:2">
      <c r="A364" s="23" t="s">
        <v>389</v>
      </c>
      <c r="B364" s="24" t="s">
        <v>1439</v>
      </c>
    </row>
    <row r="365" spans="1:2">
      <c r="A365" s="24" t="s">
        <v>390</v>
      </c>
      <c r="B365" s="24" t="s">
        <v>1440</v>
      </c>
    </row>
    <row r="366" spans="1:2">
      <c r="A366" s="23" t="s">
        <v>391</v>
      </c>
      <c r="B366" s="24" t="s">
        <v>1441</v>
      </c>
    </row>
    <row r="367" spans="1:2">
      <c r="A367" s="24" t="s">
        <v>392</v>
      </c>
      <c r="B367" s="24" t="s">
        <v>1442</v>
      </c>
    </row>
    <row r="368" spans="1:2">
      <c r="A368" s="23" t="s">
        <v>393</v>
      </c>
      <c r="B368" s="24" t="s">
        <v>1443</v>
      </c>
    </row>
    <row r="369" spans="1:2">
      <c r="A369" s="24" t="s">
        <v>394</v>
      </c>
      <c r="B369" s="24" t="s">
        <v>1444</v>
      </c>
    </row>
    <row r="370" spans="1:2">
      <c r="A370" s="23" t="s">
        <v>395</v>
      </c>
      <c r="B370" s="24" t="s">
        <v>1445</v>
      </c>
    </row>
    <row r="371" spans="1:2">
      <c r="A371" s="24" t="s">
        <v>396</v>
      </c>
      <c r="B371" s="24" t="s">
        <v>1446</v>
      </c>
    </row>
    <row r="372" spans="1:2">
      <c r="A372" s="23" t="s">
        <v>397</v>
      </c>
      <c r="B372" s="24" t="s">
        <v>1447</v>
      </c>
    </row>
    <row r="373" spans="1:2">
      <c r="A373" s="24" t="s">
        <v>398</v>
      </c>
      <c r="B373" s="24" t="s">
        <v>1448</v>
      </c>
    </row>
    <row r="374" spans="1:2">
      <c r="A374" s="23" t="s">
        <v>399</v>
      </c>
      <c r="B374" s="24" t="s">
        <v>1449</v>
      </c>
    </row>
    <row r="375" spans="1:2">
      <c r="A375" s="24" t="s">
        <v>400</v>
      </c>
      <c r="B375" s="24" t="s">
        <v>1450</v>
      </c>
    </row>
    <row r="376" spans="1:2">
      <c r="A376" s="23" t="s">
        <v>401</v>
      </c>
      <c r="B376" s="24" t="s">
        <v>1451</v>
      </c>
    </row>
    <row r="377" spans="1:2">
      <c r="A377" s="24" t="s">
        <v>402</v>
      </c>
      <c r="B377" s="24" t="s">
        <v>1452</v>
      </c>
    </row>
    <row r="378" spans="1:2">
      <c r="A378" s="23" t="s">
        <v>403</v>
      </c>
      <c r="B378" s="24" t="s">
        <v>1453</v>
      </c>
    </row>
    <row r="379" spans="1:2">
      <c r="A379" s="24" t="s">
        <v>404</v>
      </c>
      <c r="B379" s="24" t="s">
        <v>1454</v>
      </c>
    </row>
    <row r="380" spans="1:2">
      <c r="A380" s="23" t="s">
        <v>405</v>
      </c>
      <c r="B380" s="24" t="s">
        <v>1455</v>
      </c>
    </row>
    <row r="381" spans="1:2">
      <c r="A381" s="24" t="s">
        <v>406</v>
      </c>
      <c r="B381" s="24" t="s">
        <v>1456</v>
      </c>
    </row>
    <row r="382" spans="1:2">
      <c r="A382" s="23" t="s">
        <v>407</v>
      </c>
      <c r="B382" s="24" t="s">
        <v>1457</v>
      </c>
    </row>
    <row r="383" spans="1:2">
      <c r="A383" s="24" t="s">
        <v>408</v>
      </c>
      <c r="B383" s="24" t="s">
        <v>1458</v>
      </c>
    </row>
    <row r="384" spans="1:2">
      <c r="A384" s="23" t="s">
        <v>409</v>
      </c>
      <c r="B384" s="24" t="s">
        <v>1459</v>
      </c>
    </row>
    <row r="385" spans="1:2">
      <c r="A385" s="24" t="s">
        <v>410</v>
      </c>
      <c r="B385" s="24" t="s">
        <v>1460</v>
      </c>
    </row>
    <row r="386" spans="1:2">
      <c r="A386" s="23" t="s">
        <v>411</v>
      </c>
      <c r="B386" s="24" t="s">
        <v>1461</v>
      </c>
    </row>
    <row r="387" spans="1:2">
      <c r="A387" s="24" t="s">
        <v>412</v>
      </c>
      <c r="B387" s="24" t="s">
        <v>1462</v>
      </c>
    </row>
    <row r="388" spans="1:2">
      <c r="A388" s="23" t="s">
        <v>413</v>
      </c>
      <c r="B388" s="24" t="s">
        <v>1463</v>
      </c>
    </row>
    <row r="389" spans="1:2">
      <c r="A389" s="24" t="s">
        <v>414</v>
      </c>
      <c r="B389" s="24" t="s">
        <v>1464</v>
      </c>
    </row>
    <row r="390" spans="1:2">
      <c r="A390" s="23" t="s">
        <v>415</v>
      </c>
      <c r="B390" s="24" t="s">
        <v>1465</v>
      </c>
    </row>
    <row r="391" spans="1:2">
      <c r="A391" s="24" t="s">
        <v>416</v>
      </c>
      <c r="B391" s="24" t="s">
        <v>1466</v>
      </c>
    </row>
    <row r="392" spans="1:2">
      <c r="A392" s="23" t="s">
        <v>417</v>
      </c>
      <c r="B392" s="24" t="s">
        <v>1467</v>
      </c>
    </row>
    <row r="393" spans="1:2">
      <c r="A393" s="24" t="s">
        <v>418</v>
      </c>
      <c r="B393" s="24" t="s">
        <v>1468</v>
      </c>
    </row>
    <row r="394" spans="1:2">
      <c r="A394" s="23" t="s">
        <v>419</v>
      </c>
      <c r="B394" s="24" t="s">
        <v>1469</v>
      </c>
    </row>
    <row r="395" spans="1:2">
      <c r="A395" s="24" t="s">
        <v>420</v>
      </c>
      <c r="B395" s="24" t="s">
        <v>1470</v>
      </c>
    </row>
    <row r="396" spans="1:2">
      <c r="A396" s="23" t="s">
        <v>421</v>
      </c>
      <c r="B396" s="24" t="s">
        <v>1471</v>
      </c>
    </row>
    <row r="397" spans="1:2">
      <c r="A397" s="24" t="s">
        <v>422</v>
      </c>
      <c r="B397" s="24" t="s">
        <v>1472</v>
      </c>
    </row>
    <row r="398" spans="1:2">
      <c r="A398" s="23" t="s">
        <v>423</v>
      </c>
      <c r="B398" s="24" t="s">
        <v>1473</v>
      </c>
    </row>
    <row r="399" spans="1:2">
      <c r="A399" s="24" t="s">
        <v>424</v>
      </c>
      <c r="B399" s="24" t="s">
        <v>1474</v>
      </c>
    </row>
    <row r="400" spans="1:2">
      <c r="A400" s="23" t="s">
        <v>425</v>
      </c>
      <c r="B400" s="24" t="s">
        <v>1475</v>
      </c>
    </row>
    <row r="401" spans="1:2">
      <c r="A401" s="24" t="s">
        <v>426</v>
      </c>
      <c r="B401" s="24" t="s">
        <v>1476</v>
      </c>
    </row>
    <row r="402" spans="1:2">
      <c r="A402" s="23" t="s">
        <v>427</v>
      </c>
      <c r="B402" s="24" t="s">
        <v>1477</v>
      </c>
    </row>
    <row r="403" spans="1:2">
      <c r="A403" s="24" t="s">
        <v>428</v>
      </c>
      <c r="B403" s="24" t="s">
        <v>1478</v>
      </c>
    </row>
    <row r="404" spans="1:2">
      <c r="A404" s="23" t="s">
        <v>429</v>
      </c>
      <c r="B404" s="24" t="s">
        <v>1479</v>
      </c>
    </row>
    <row r="405" spans="1:2">
      <c r="A405" s="24" t="s">
        <v>430</v>
      </c>
      <c r="B405" s="24" t="s">
        <v>1480</v>
      </c>
    </row>
    <row r="406" spans="1:2">
      <c r="A406" s="23" t="s">
        <v>431</v>
      </c>
      <c r="B406" s="24" t="s">
        <v>1481</v>
      </c>
    </row>
    <row r="407" spans="1:2">
      <c r="A407" s="24" t="s">
        <v>432</v>
      </c>
      <c r="B407" s="24" t="s">
        <v>1482</v>
      </c>
    </row>
    <row r="408" spans="1:2">
      <c r="A408" s="23" t="s">
        <v>433</v>
      </c>
      <c r="B408" s="24" t="s">
        <v>1483</v>
      </c>
    </row>
    <row r="409" spans="1:2">
      <c r="A409" s="24" t="s">
        <v>434</v>
      </c>
      <c r="B409" s="24" t="s">
        <v>1484</v>
      </c>
    </row>
    <row r="410" spans="1:2">
      <c r="A410" s="23" t="s">
        <v>435</v>
      </c>
      <c r="B410" s="24" t="s">
        <v>1485</v>
      </c>
    </row>
    <row r="411" spans="1:2">
      <c r="A411" s="24" t="s">
        <v>436</v>
      </c>
      <c r="B411" s="24" t="s">
        <v>1486</v>
      </c>
    </row>
    <row r="412" spans="1:2">
      <c r="A412" s="23" t="s">
        <v>437</v>
      </c>
      <c r="B412" s="24" t="s">
        <v>1487</v>
      </c>
    </row>
    <row r="413" spans="1:2">
      <c r="A413" s="24" t="s">
        <v>438</v>
      </c>
      <c r="B413" s="24" t="s">
        <v>1488</v>
      </c>
    </row>
    <row r="414" spans="1:2">
      <c r="A414" s="23" t="s">
        <v>439</v>
      </c>
      <c r="B414" s="24" t="s">
        <v>1489</v>
      </c>
    </row>
    <row r="415" spans="1:2">
      <c r="A415" s="24" t="s">
        <v>440</v>
      </c>
      <c r="B415" s="24" t="s">
        <v>1490</v>
      </c>
    </row>
    <row r="416" spans="1:2">
      <c r="A416" s="23" t="s">
        <v>441</v>
      </c>
      <c r="B416" s="24" t="s">
        <v>1491</v>
      </c>
    </row>
    <row r="417" spans="1:2">
      <c r="A417" s="24" t="s">
        <v>442</v>
      </c>
      <c r="B417" s="24" t="s">
        <v>1492</v>
      </c>
    </row>
    <row r="418" spans="1:2">
      <c r="A418" s="23" t="s">
        <v>443</v>
      </c>
      <c r="B418" s="24" t="s">
        <v>1493</v>
      </c>
    </row>
    <row r="419" spans="1:2">
      <c r="A419" s="24" t="s">
        <v>444</v>
      </c>
      <c r="B419" s="24" t="s">
        <v>1494</v>
      </c>
    </row>
    <row r="420" spans="1:2">
      <c r="A420" s="23" t="s">
        <v>445</v>
      </c>
      <c r="B420" s="24" t="s">
        <v>1495</v>
      </c>
    </row>
    <row r="421" spans="1:2">
      <c r="A421" s="24" t="s">
        <v>446</v>
      </c>
      <c r="B421" s="24" t="s">
        <v>1496</v>
      </c>
    </row>
    <row r="422" spans="1:2">
      <c r="A422" s="23" t="s">
        <v>447</v>
      </c>
      <c r="B422" s="24" t="s">
        <v>1497</v>
      </c>
    </row>
    <row r="423" spans="1:2">
      <c r="A423" s="24" t="s">
        <v>448</v>
      </c>
      <c r="B423" s="24" t="s">
        <v>1498</v>
      </c>
    </row>
    <row r="424" spans="1:2">
      <c r="A424" s="23" t="s">
        <v>449</v>
      </c>
      <c r="B424" s="24" t="s">
        <v>1499</v>
      </c>
    </row>
    <row r="425" spans="1:2">
      <c r="A425" s="24" t="s">
        <v>450</v>
      </c>
      <c r="B425" s="24" t="s">
        <v>1500</v>
      </c>
    </row>
    <row r="426" spans="1:2">
      <c r="A426" s="23" t="s">
        <v>451</v>
      </c>
      <c r="B426" s="24" t="s">
        <v>1501</v>
      </c>
    </row>
    <row r="427" spans="1:2">
      <c r="A427" s="24" t="s">
        <v>452</v>
      </c>
      <c r="B427" s="24" t="s">
        <v>1502</v>
      </c>
    </row>
    <row r="428" spans="1:2">
      <c r="A428" s="23" t="s">
        <v>453</v>
      </c>
      <c r="B428" s="24" t="s">
        <v>1503</v>
      </c>
    </row>
    <row r="429" spans="1:2">
      <c r="A429" s="24" t="s">
        <v>454</v>
      </c>
      <c r="B429" s="24" t="s">
        <v>1504</v>
      </c>
    </row>
    <row r="430" spans="1:2">
      <c r="A430" s="23" t="s">
        <v>455</v>
      </c>
      <c r="B430" s="24" t="s">
        <v>1505</v>
      </c>
    </row>
    <row r="431" spans="1:2">
      <c r="A431" s="24" t="s">
        <v>456</v>
      </c>
      <c r="B431" s="24" t="s">
        <v>1506</v>
      </c>
    </row>
    <row r="432" spans="1:2">
      <c r="A432" s="23" t="s">
        <v>457</v>
      </c>
      <c r="B432" s="24" t="s">
        <v>1507</v>
      </c>
    </row>
    <row r="433" spans="1:2">
      <c r="A433" s="24" t="s">
        <v>458</v>
      </c>
      <c r="B433" s="24" t="s">
        <v>1508</v>
      </c>
    </row>
    <row r="434" spans="1:2">
      <c r="A434" s="23" t="s">
        <v>459</v>
      </c>
      <c r="B434" s="24" t="s">
        <v>1509</v>
      </c>
    </row>
    <row r="435" spans="1:2">
      <c r="A435" s="24" t="s">
        <v>460</v>
      </c>
      <c r="B435" s="24" t="s">
        <v>1510</v>
      </c>
    </row>
    <row r="436" spans="1:2">
      <c r="A436" s="23" t="s">
        <v>461</v>
      </c>
      <c r="B436" s="24" t="s">
        <v>1511</v>
      </c>
    </row>
    <row r="437" spans="1:2">
      <c r="A437" s="24" t="s">
        <v>462</v>
      </c>
      <c r="B437" s="24" t="s">
        <v>1512</v>
      </c>
    </row>
    <row r="438" spans="1:2">
      <c r="A438" s="23" t="s">
        <v>463</v>
      </c>
      <c r="B438" s="24" t="s">
        <v>1513</v>
      </c>
    </row>
    <row r="439" spans="1:2">
      <c r="A439" s="24" t="s">
        <v>464</v>
      </c>
      <c r="B439" s="24" t="s">
        <v>1514</v>
      </c>
    </row>
    <row r="440" spans="1:2">
      <c r="A440" s="23" t="s">
        <v>465</v>
      </c>
      <c r="B440" s="24" t="s">
        <v>1515</v>
      </c>
    </row>
    <row r="441" spans="1:2">
      <c r="A441" s="24" t="s">
        <v>466</v>
      </c>
      <c r="B441" s="24" t="s">
        <v>1516</v>
      </c>
    </row>
    <row r="442" spans="1:2">
      <c r="A442" s="23" t="s">
        <v>467</v>
      </c>
      <c r="B442" s="24" t="s">
        <v>1517</v>
      </c>
    </row>
    <row r="443" spans="1:2">
      <c r="A443" s="24" t="s">
        <v>468</v>
      </c>
      <c r="B443" s="24" t="s">
        <v>1518</v>
      </c>
    </row>
    <row r="444" spans="1:2">
      <c r="A444" s="23" t="s">
        <v>469</v>
      </c>
      <c r="B444" s="24" t="s">
        <v>1519</v>
      </c>
    </row>
    <row r="445" spans="1:2">
      <c r="A445" s="24" t="s">
        <v>470</v>
      </c>
      <c r="B445" s="24" t="s">
        <v>1520</v>
      </c>
    </row>
    <row r="446" spans="1:2">
      <c r="A446" s="23" t="s">
        <v>471</v>
      </c>
      <c r="B446" s="24" t="s">
        <v>1521</v>
      </c>
    </row>
    <row r="447" spans="1:2">
      <c r="A447" s="24" t="s">
        <v>472</v>
      </c>
      <c r="B447" s="24" t="s">
        <v>1522</v>
      </c>
    </row>
    <row r="448" spans="1:2">
      <c r="A448" s="23" t="s">
        <v>473</v>
      </c>
      <c r="B448" s="24" t="s">
        <v>1523</v>
      </c>
    </row>
    <row r="449" spans="1:2">
      <c r="A449" s="24" t="s">
        <v>474</v>
      </c>
      <c r="B449" s="24" t="s">
        <v>1524</v>
      </c>
    </row>
    <row r="450" spans="1:2">
      <c r="A450" s="23" t="s">
        <v>475</v>
      </c>
      <c r="B450" s="24" t="s">
        <v>1525</v>
      </c>
    </row>
    <row r="451" spans="1:2">
      <c r="A451" s="24" t="s">
        <v>476</v>
      </c>
      <c r="B451" s="24" t="s">
        <v>1526</v>
      </c>
    </row>
    <row r="452" spans="1:2">
      <c r="A452" s="23" t="s">
        <v>477</v>
      </c>
      <c r="B452" s="24" t="s">
        <v>1527</v>
      </c>
    </row>
    <row r="453" spans="1:2">
      <c r="A453" s="24" t="s">
        <v>478</v>
      </c>
      <c r="B453" s="24" t="s">
        <v>1528</v>
      </c>
    </row>
    <row r="454" spans="1:2">
      <c r="A454" s="23" t="s">
        <v>480</v>
      </c>
      <c r="B454" s="24" t="s">
        <v>1529</v>
      </c>
    </row>
    <row r="455" spans="1:2">
      <c r="A455" s="24" t="s">
        <v>481</v>
      </c>
      <c r="B455" s="24" t="s">
        <v>1530</v>
      </c>
    </row>
    <row r="456" spans="1:2">
      <c r="A456" s="23" t="s">
        <v>482</v>
      </c>
      <c r="B456" s="24" t="s">
        <v>1531</v>
      </c>
    </row>
    <row r="457" spans="1:2">
      <c r="A457" s="24" t="s">
        <v>483</v>
      </c>
      <c r="B457" s="24" t="s">
        <v>1532</v>
      </c>
    </row>
    <row r="458" spans="1:2">
      <c r="A458" s="23" t="s">
        <v>484</v>
      </c>
      <c r="B458" s="24" t="s">
        <v>1533</v>
      </c>
    </row>
    <row r="459" spans="1:2">
      <c r="A459" s="24" t="s">
        <v>485</v>
      </c>
      <c r="B459" s="24" t="s">
        <v>1534</v>
      </c>
    </row>
    <row r="460" spans="1:2">
      <c r="A460" s="23" t="s">
        <v>486</v>
      </c>
      <c r="B460" s="24" t="s">
        <v>1535</v>
      </c>
    </row>
    <row r="461" spans="1:2">
      <c r="A461" s="24" t="s">
        <v>487</v>
      </c>
      <c r="B461" s="24" t="s">
        <v>1536</v>
      </c>
    </row>
    <row r="462" spans="1:2">
      <c r="A462" s="23" t="s">
        <v>488</v>
      </c>
      <c r="B462" s="24" t="s">
        <v>1537</v>
      </c>
    </row>
    <row r="463" spans="1:2">
      <c r="A463" s="24" t="s">
        <v>489</v>
      </c>
      <c r="B463" s="24" t="s">
        <v>1538</v>
      </c>
    </row>
    <row r="464" spans="1:2">
      <c r="A464" s="23" t="s">
        <v>490</v>
      </c>
      <c r="B464" s="24" t="s">
        <v>1539</v>
      </c>
    </row>
    <row r="465" spans="1:2">
      <c r="A465" s="24" t="s">
        <v>491</v>
      </c>
      <c r="B465" s="24" t="s">
        <v>1540</v>
      </c>
    </row>
    <row r="466" spans="1:2">
      <c r="A466" s="23" t="s">
        <v>492</v>
      </c>
      <c r="B466" s="24" t="s">
        <v>1541</v>
      </c>
    </row>
    <row r="467" spans="1:2">
      <c r="A467" s="24" t="s">
        <v>493</v>
      </c>
      <c r="B467" s="24" t="s">
        <v>1542</v>
      </c>
    </row>
    <row r="468" spans="1:2">
      <c r="A468" s="23" t="s">
        <v>494</v>
      </c>
      <c r="B468" s="24" t="s">
        <v>1543</v>
      </c>
    </row>
    <row r="469" spans="1:2">
      <c r="A469" s="24" t="s">
        <v>495</v>
      </c>
      <c r="B469" s="24" t="s">
        <v>1544</v>
      </c>
    </row>
    <row r="470" spans="1:2">
      <c r="A470" s="23" t="s">
        <v>496</v>
      </c>
      <c r="B470" s="24" t="s">
        <v>1545</v>
      </c>
    </row>
    <row r="471" spans="1:2">
      <c r="A471" s="24" t="s">
        <v>497</v>
      </c>
      <c r="B471" s="24" t="s">
        <v>1546</v>
      </c>
    </row>
    <row r="472" spans="1:2">
      <c r="A472" s="23" t="s">
        <v>498</v>
      </c>
      <c r="B472" s="24" t="s">
        <v>1547</v>
      </c>
    </row>
    <row r="473" spans="1:2">
      <c r="A473" s="24" t="s">
        <v>499</v>
      </c>
      <c r="B473" s="24" t="s">
        <v>1548</v>
      </c>
    </row>
    <row r="474" spans="1:2">
      <c r="A474" s="23" t="s">
        <v>500</v>
      </c>
      <c r="B474" s="24" t="s">
        <v>1549</v>
      </c>
    </row>
    <row r="475" spans="1:2">
      <c r="A475" s="24" t="s">
        <v>501</v>
      </c>
      <c r="B475" s="24" t="s">
        <v>1550</v>
      </c>
    </row>
    <row r="476" spans="1:2">
      <c r="A476" s="23" t="s">
        <v>502</v>
      </c>
      <c r="B476" s="24" t="s">
        <v>1551</v>
      </c>
    </row>
    <row r="477" spans="1:2">
      <c r="A477" s="24" t="s">
        <v>503</v>
      </c>
      <c r="B477" s="24" t="s">
        <v>1552</v>
      </c>
    </row>
    <row r="478" spans="1:2">
      <c r="A478" s="23" t="s">
        <v>504</v>
      </c>
      <c r="B478" s="24" t="s">
        <v>1553</v>
      </c>
    </row>
    <row r="479" spans="1:2">
      <c r="A479" s="24" t="s">
        <v>505</v>
      </c>
      <c r="B479" s="24" t="s">
        <v>1554</v>
      </c>
    </row>
    <row r="480" spans="1:2">
      <c r="A480" s="23" t="s">
        <v>506</v>
      </c>
      <c r="B480" s="24" t="s">
        <v>1555</v>
      </c>
    </row>
    <row r="481" spans="1:2">
      <c r="A481" s="24" t="s">
        <v>507</v>
      </c>
      <c r="B481" s="24" t="s">
        <v>1556</v>
      </c>
    </row>
    <row r="482" spans="1:2">
      <c r="A482" s="23" t="s">
        <v>508</v>
      </c>
      <c r="B482" s="24" t="s">
        <v>1557</v>
      </c>
    </row>
    <row r="483" spans="1:2">
      <c r="A483" s="24" t="s">
        <v>509</v>
      </c>
      <c r="B483" s="24" t="s">
        <v>1558</v>
      </c>
    </row>
    <row r="484" spans="1:2">
      <c r="A484" s="23" t="s">
        <v>510</v>
      </c>
      <c r="B484" s="24" t="s">
        <v>1559</v>
      </c>
    </row>
    <row r="485" spans="1:2">
      <c r="A485" s="24" t="s">
        <v>511</v>
      </c>
      <c r="B485" s="24" t="s">
        <v>1560</v>
      </c>
    </row>
    <row r="486" spans="1:2">
      <c r="A486" s="23" t="s">
        <v>512</v>
      </c>
      <c r="B486" s="24" t="s">
        <v>1561</v>
      </c>
    </row>
    <row r="487" spans="1:2">
      <c r="A487" s="24" t="s">
        <v>513</v>
      </c>
      <c r="B487" s="24" t="s">
        <v>1562</v>
      </c>
    </row>
    <row r="488" spans="1:2">
      <c r="A488" s="23" t="s">
        <v>514</v>
      </c>
      <c r="B488" s="24" t="s">
        <v>1563</v>
      </c>
    </row>
    <row r="489" spans="1:2">
      <c r="A489" s="24" t="s">
        <v>515</v>
      </c>
      <c r="B489" s="24" t="s">
        <v>1564</v>
      </c>
    </row>
    <row r="490" spans="1:2">
      <c r="A490" s="23" t="s">
        <v>516</v>
      </c>
      <c r="B490" s="24" t="s">
        <v>1565</v>
      </c>
    </row>
    <row r="491" spans="1:2">
      <c r="A491" s="24" t="s">
        <v>517</v>
      </c>
      <c r="B491" s="24" t="s">
        <v>1566</v>
      </c>
    </row>
    <row r="492" spans="1:2">
      <c r="A492" s="23" t="s">
        <v>518</v>
      </c>
      <c r="B492" s="24" t="s">
        <v>1567</v>
      </c>
    </row>
    <row r="493" spans="1:2">
      <c r="A493" s="24" t="s">
        <v>519</v>
      </c>
      <c r="B493" s="24" t="s">
        <v>1568</v>
      </c>
    </row>
    <row r="494" spans="1:2">
      <c r="A494" s="23" t="s">
        <v>520</v>
      </c>
      <c r="B494" s="24" t="s">
        <v>1569</v>
      </c>
    </row>
    <row r="495" spans="1:2">
      <c r="A495" s="24" t="s">
        <v>521</v>
      </c>
      <c r="B495" s="24" t="s">
        <v>1570</v>
      </c>
    </row>
    <row r="496" spans="1:2">
      <c r="A496" s="23" t="s">
        <v>522</v>
      </c>
      <c r="B496" s="24" t="s">
        <v>1571</v>
      </c>
    </row>
    <row r="497" spans="1:2">
      <c r="A497" s="24" t="s">
        <v>523</v>
      </c>
      <c r="B497" s="24" t="s">
        <v>1572</v>
      </c>
    </row>
    <row r="498" spans="1:2">
      <c r="A498" s="23" t="s">
        <v>524</v>
      </c>
      <c r="B498" s="24" t="s">
        <v>1573</v>
      </c>
    </row>
    <row r="499" spans="1:2">
      <c r="A499" s="24" t="s">
        <v>525</v>
      </c>
      <c r="B499" s="24" t="s">
        <v>1574</v>
      </c>
    </row>
    <row r="500" spans="1:2">
      <c r="A500" s="23" t="s">
        <v>526</v>
      </c>
      <c r="B500" s="24" t="s">
        <v>1575</v>
      </c>
    </row>
    <row r="501" spans="1:2">
      <c r="A501" s="24" t="s">
        <v>527</v>
      </c>
      <c r="B501" s="24" t="s">
        <v>1576</v>
      </c>
    </row>
    <row r="502" spans="1:2">
      <c r="A502" s="23" t="s">
        <v>528</v>
      </c>
      <c r="B502" s="24" t="s">
        <v>1577</v>
      </c>
    </row>
    <row r="503" spans="1:2">
      <c r="A503" s="24" t="s">
        <v>529</v>
      </c>
      <c r="B503" s="24" t="s">
        <v>1578</v>
      </c>
    </row>
    <row r="504" spans="1:2">
      <c r="A504" s="23" t="s">
        <v>530</v>
      </c>
      <c r="B504" s="24" t="s">
        <v>1579</v>
      </c>
    </row>
    <row r="505" spans="1:2">
      <c r="A505" s="24" t="s">
        <v>531</v>
      </c>
      <c r="B505" s="24" t="s">
        <v>1580</v>
      </c>
    </row>
    <row r="506" spans="1:2">
      <c r="A506" s="23" t="s">
        <v>533</v>
      </c>
      <c r="B506" s="24" t="s">
        <v>1581</v>
      </c>
    </row>
    <row r="507" spans="1:2">
      <c r="A507" s="24" t="s">
        <v>534</v>
      </c>
      <c r="B507" s="24" t="s">
        <v>1582</v>
      </c>
    </row>
    <row r="508" spans="1:2">
      <c r="A508" s="23" t="s">
        <v>535</v>
      </c>
      <c r="B508" s="24" t="s">
        <v>1583</v>
      </c>
    </row>
    <row r="509" spans="1:2">
      <c r="A509" s="24" t="s">
        <v>536</v>
      </c>
      <c r="B509" s="24" t="s">
        <v>1584</v>
      </c>
    </row>
    <row r="510" spans="1:2">
      <c r="A510" s="23" t="s">
        <v>537</v>
      </c>
      <c r="B510" s="24" t="s">
        <v>1585</v>
      </c>
    </row>
    <row r="511" spans="1:2">
      <c r="A511" s="24" t="s">
        <v>538</v>
      </c>
      <c r="B511" s="24" t="s">
        <v>1586</v>
      </c>
    </row>
    <row r="512" spans="1:2">
      <c r="A512" s="23" t="s">
        <v>539</v>
      </c>
      <c r="B512" s="24" t="s">
        <v>1587</v>
      </c>
    </row>
    <row r="513" spans="1:2">
      <c r="A513" s="24" t="s">
        <v>540</v>
      </c>
      <c r="B513" s="24" t="s">
        <v>1588</v>
      </c>
    </row>
    <row r="514" spans="1:2">
      <c r="A514" s="23" t="s">
        <v>541</v>
      </c>
      <c r="B514" s="24" t="s">
        <v>1589</v>
      </c>
    </row>
    <row r="515" spans="1:2">
      <c r="A515" s="24" t="s">
        <v>542</v>
      </c>
      <c r="B515" s="24" t="s">
        <v>1590</v>
      </c>
    </row>
    <row r="516" spans="1:2">
      <c r="A516" s="23" t="s">
        <v>543</v>
      </c>
      <c r="B516" s="24" t="s">
        <v>1591</v>
      </c>
    </row>
    <row r="517" spans="1:2">
      <c r="A517" s="24" t="s">
        <v>544</v>
      </c>
      <c r="B517" s="24" t="s">
        <v>1592</v>
      </c>
    </row>
    <row r="518" spans="1:2">
      <c r="A518" s="23" t="s">
        <v>545</v>
      </c>
      <c r="B518" s="24" t="s">
        <v>1593</v>
      </c>
    </row>
    <row r="519" spans="1:2">
      <c r="A519" s="24" t="s">
        <v>546</v>
      </c>
      <c r="B519" s="24" t="s">
        <v>1594</v>
      </c>
    </row>
    <row r="520" spans="1:2">
      <c r="A520" s="23" t="s">
        <v>547</v>
      </c>
      <c r="B520" s="24" t="s">
        <v>1595</v>
      </c>
    </row>
    <row r="521" spans="1:2">
      <c r="A521" s="24" t="s">
        <v>548</v>
      </c>
      <c r="B521" s="24" t="s">
        <v>1596</v>
      </c>
    </row>
    <row r="522" spans="1:2">
      <c r="A522" s="23" t="s">
        <v>549</v>
      </c>
      <c r="B522" s="24" t="s">
        <v>1597</v>
      </c>
    </row>
    <row r="523" spans="1:2">
      <c r="A523" s="24" t="s">
        <v>550</v>
      </c>
      <c r="B523" s="24" t="s">
        <v>1598</v>
      </c>
    </row>
    <row r="524" spans="1:2">
      <c r="A524" s="23" t="s">
        <v>551</v>
      </c>
      <c r="B524" s="24" t="s">
        <v>1599</v>
      </c>
    </row>
    <row r="525" spans="1:2">
      <c r="A525" s="24" t="s">
        <v>552</v>
      </c>
      <c r="B525" s="24" t="s">
        <v>1600</v>
      </c>
    </row>
    <row r="526" spans="1:2">
      <c r="A526" s="23" t="s">
        <v>553</v>
      </c>
      <c r="B526" s="24" t="s">
        <v>1601</v>
      </c>
    </row>
    <row r="527" spans="1:2">
      <c r="A527" s="24" t="s">
        <v>554</v>
      </c>
      <c r="B527" s="24" t="s">
        <v>1602</v>
      </c>
    </row>
    <row r="528" spans="1:2">
      <c r="A528" s="23" t="s">
        <v>555</v>
      </c>
      <c r="B528" s="24" t="s">
        <v>1603</v>
      </c>
    </row>
    <row r="529" spans="1:2">
      <c r="A529" s="24" t="s">
        <v>556</v>
      </c>
      <c r="B529" s="24" t="s">
        <v>1604</v>
      </c>
    </row>
    <row r="530" spans="1:2">
      <c r="A530" s="23" t="s">
        <v>557</v>
      </c>
      <c r="B530" s="24" t="s">
        <v>1605</v>
      </c>
    </row>
    <row r="531" spans="1:2">
      <c r="A531" s="24" t="s">
        <v>558</v>
      </c>
      <c r="B531" s="24" t="s">
        <v>1606</v>
      </c>
    </row>
    <row r="532" spans="1:2">
      <c r="A532" s="23" t="s">
        <v>559</v>
      </c>
      <c r="B532" s="24" t="s">
        <v>1607</v>
      </c>
    </row>
    <row r="533" spans="1:2">
      <c r="A533" s="24" t="s">
        <v>560</v>
      </c>
      <c r="B533" s="24" t="s">
        <v>1608</v>
      </c>
    </row>
    <row r="534" spans="1:2">
      <c r="A534" s="23" t="s">
        <v>561</v>
      </c>
      <c r="B534" s="24" t="s">
        <v>1609</v>
      </c>
    </row>
    <row r="535" spans="1:2">
      <c r="A535" s="24" t="s">
        <v>562</v>
      </c>
      <c r="B535" s="24" t="s">
        <v>1610</v>
      </c>
    </row>
    <row r="536" spans="1:2">
      <c r="A536" s="23" t="s">
        <v>563</v>
      </c>
      <c r="B536" s="24" t="s">
        <v>1611</v>
      </c>
    </row>
    <row r="537" spans="1:2">
      <c r="A537" s="24" t="s">
        <v>564</v>
      </c>
      <c r="B537" s="24" t="s">
        <v>1612</v>
      </c>
    </row>
    <row r="538" spans="1:2">
      <c r="A538" s="23" t="s">
        <v>565</v>
      </c>
      <c r="B538" s="24" t="s">
        <v>1613</v>
      </c>
    </row>
    <row r="539" spans="1:2">
      <c r="A539" s="24" t="s">
        <v>566</v>
      </c>
      <c r="B539" s="24" t="s">
        <v>1614</v>
      </c>
    </row>
    <row r="540" spans="1:2">
      <c r="A540" s="23" t="s">
        <v>567</v>
      </c>
      <c r="B540" s="24" t="s">
        <v>1615</v>
      </c>
    </row>
    <row r="541" spans="1:2">
      <c r="A541" s="24" t="s">
        <v>568</v>
      </c>
      <c r="B541" s="24" t="s">
        <v>1616</v>
      </c>
    </row>
    <row r="542" spans="1:2">
      <c r="A542" s="23" t="s">
        <v>569</v>
      </c>
      <c r="B542" s="24" t="s">
        <v>1617</v>
      </c>
    </row>
    <row r="543" spans="1:2">
      <c r="A543" s="24" t="s">
        <v>570</v>
      </c>
      <c r="B543" s="24" t="s">
        <v>1618</v>
      </c>
    </row>
    <row r="544" spans="1:2">
      <c r="A544" s="23" t="s">
        <v>571</v>
      </c>
      <c r="B544" s="24" t="s">
        <v>1619</v>
      </c>
    </row>
    <row r="545" spans="1:2">
      <c r="A545" s="24" t="s">
        <v>572</v>
      </c>
      <c r="B545" s="24" t="s">
        <v>1620</v>
      </c>
    </row>
    <row r="546" spans="1:2">
      <c r="A546" s="23" t="s">
        <v>573</v>
      </c>
      <c r="B546" s="24" t="s">
        <v>1621</v>
      </c>
    </row>
    <row r="547" spans="1:2">
      <c r="A547" s="24" t="s">
        <v>574</v>
      </c>
      <c r="B547" s="24" t="s">
        <v>1622</v>
      </c>
    </row>
    <row r="548" spans="1:2">
      <c r="A548" s="23" t="s">
        <v>575</v>
      </c>
      <c r="B548" s="24" t="s">
        <v>1623</v>
      </c>
    </row>
    <row r="549" spans="1:2">
      <c r="A549" s="24" t="s">
        <v>576</v>
      </c>
      <c r="B549" s="24" t="s">
        <v>1624</v>
      </c>
    </row>
    <row r="550" spans="1:2">
      <c r="A550" s="23" t="s">
        <v>577</v>
      </c>
      <c r="B550" s="24" t="s">
        <v>1847</v>
      </c>
    </row>
    <row r="551" spans="1:2">
      <c r="A551" s="24" t="s">
        <v>578</v>
      </c>
      <c r="B551" s="24" t="s">
        <v>1625</v>
      </c>
    </row>
    <row r="552" spans="1:2">
      <c r="A552" s="23" t="s">
        <v>579</v>
      </c>
      <c r="B552" s="24" t="s">
        <v>1626</v>
      </c>
    </row>
    <row r="553" spans="1:2">
      <c r="A553" s="24" t="s">
        <v>580</v>
      </c>
      <c r="B553" s="24" t="s">
        <v>1627</v>
      </c>
    </row>
    <row r="554" spans="1:2">
      <c r="A554" s="23" t="s">
        <v>581</v>
      </c>
      <c r="B554" s="24" t="s">
        <v>1628</v>
      </c>
    </row>
    <row r="555" spans="1:2">
      <c r="A555" s="24" t="s">
        <v>582</v>
      </c>
      <c r="B555" s="24" t="s">
        <v>1629</v>
      </c>
    </row>
    <row r="556" spans="1:2">
      <c r="A556" s="23" t="s">
        <v>583</v>
      </c>
      <c r="B556" s="24" t="s">
        <v>1630</v>
      </c>
    </row>
    <row r="557" spans="1:2">
      <c r="A557" s="24" t="s">
        <v>584</v>
      </c>
      <c r="B557" s="24" t="s">
        <v>1631</v>
      </c>
    </row>
    <row r="558" spans="1:2">
      <c r="A558" s="23" t="s">
        <v>585</v>
      </c>
      <c r="B558" s="24" t="s">
        <v>1632</v>
      </c>
    </row>
    <row r="559" spans="1:2">
      <c r="A559" s="24" t="s">
        <v>586</v>
      </c>
      <c r="B559" s="24" t="s">
        <v>1633</v>
      </c>
    </row>
    <row r="560" spans="1:2">
      <c r="A560" s="23" t="s">
        <v>587</v>
      </c>
      <c r="B560" s="24" t="s">
        <v>1634</v>
      </c>
    </row>
    <row r="561" spans="1:2">
      <c r="A561" s="24" t="s">
        <v>588</v>
      </c>
      <c r="B561" s="24" t="s">
        <v>1635</v>
      </c>
    </row>
    <row r="562" spans="1:2">
      <c r="A562" s="23" t="s">
        <v>589</v>
      </c>
      <c r="B562" s="24" t="s">
        <v>1636</v>
      </c>
    </row>
    <row r="563" spans="1:2">
      <c r="A563" s="24" t="s">
        <v>590</v>
      </c>
      <c r="B563" s="24" t="s">
        <v>1637</v>
      </c>
    </row>
    <row r="564" spans="1:2">
      <c r="A564" s="23" t="s">
        <v>591</v>
      </c>
      <c r="B564" s="24" t="s">
        <v>1638</v>
      </c>
    </row>
    <row r="565" spans="1:2">
      <c r="A565" s="24" t="s">
        <v>592</v>
      </c>
      <c r="B565" s="24" t="s">
        <v>1639</v>
      </c>
    </row>
    <row r="566" spans="1:2">
      <c r="A566" s="23" t="s">
        <v>593</v>
      </c>
      <c r="B566" s="24" t="s">
        <v>1640</v>
      </c>
    </row>
    <row r="567" spans="1:2">
      <c r="A567" s="24" t="s">
        <v>594</v>
      </c>
      <c r="B567" s="24" t="s">
        <v>1641</v>
      </c>
    </row>
    <row r="568" spans="1:2">
      <c r="A568" s="23" t="s">
        <v>595</v>
      </c>
      <c r="B568" s="24" t="s">
        <v>1642</v>
      </c>
    </row>
    <row r="569" spans="1:2">
      <c r="A569" s="24" t="s">
        <v>596</v>
      </c>
      <c r="B569" s="24" t="s">
        <v>1643</v>
      </c>
    </row>
    <row r="570" spans="1:2">
      <c r="A570" s="23" t="s">
        <v>597</v>
      </c>
      <c r="B570" s="24" t="s">
        <v>1644</v>
      </c>
    </row>
    <row r="571" spans="1:2">
      <c r="A571" s="24" t="s">
        <v>598</v>
      </c>
      <c r="B571" s="24" t="s">
        <v>1645</v>
      </c>
    </row>
    <row r="572" spans="1:2">
      <c r="A572" s="23" t="s">
        <v>910</v>
      </c>
      <c r="B572" s="24" t="s">
        <v>1646</v>
      </c>
    </row>
    <row r="573" spans="1:2">
      <c r="A573" s="24" t="s">
        <v>893</v>
      </c>
      <c r="B573" s="24" t="s">
        <v>1646</v>
      </c>
    </row>
    <row r="574" spans="1:2">
      <c r="A574" s="23" t="s">
        <v>894</v>
      </c>
      <c r="B574" s="24" t="s">
        <v>1647</v>
      </c>
    </row>
    <row r="575" spans="1:2">
      <c r="A575" s="24" t="s">
        <v>895</v>
      </c>
      <c r="B575" s="24" t="s">
        <v>1648</v>
      </c>
    </row>
    <row r="576" spans="1:2">
      <c r="A576" s="23" t="s">
        <v>896</v>
      </c>
      <c r="B576" s="24" t="s">
        <v>1649</v>
      </c>
    </row>
    <row r="577" spans="1:2">
      <c r="A577" s="24" t="s">
        <v>897</v>
      </c>
      <c r="B577" s="24" t="s">
        <v>1650</v>
      </c>
    </row>
    <row r="578" spans="1:2">
      <c r="A578" s="23" t="s">
        <v>898</v>
      </c>
      <c r="B578" s="24" t="s">
        <v>1651</v>
      </c>
    </row>
    <row r="579" spans="1:2">
      <c r="A579" s="24" t="s">
        <v>899</v>
      </c>
      <c r="B579" s="24" t="s">
        <v>1652</v>
      </c>
    </row>
    <row r="580" spans="1:2">
      <c r="A580" s="23" t="s">
        <v>900</v>
      </c>
      <c r="B580" s="24" t="s">
        <v>1653</v>
      </c>
    </row>
    <row r="581" spans="1:2">
      <c r="A581" s="24" t="s">
        <v>901</v>
      </c>
      <c r="B581" s="24" t="s">
        <v>1654</v>
      </c>
    </row>
    <row r="582" spans="1:2">
      <c r="A582" s="23" t="s">
        <v>902</v>
      </c>
      <c r="B582" s="24" t="s">
        <v>1654</v>
      </c>
    </row>
    <row r="583" spans="1:2">
      <c r="A583" s="24" t="s">
        <v>903</v>
      </c>
      <c r="B583" s="24" t="s">
        <v>1655</v>
      </c>
    </row>
    <row r="584" spans="1:2">
      <c r="A584" s="23" t="s">
        <v>904</v>
      </c>
      <c r="B584" s="24" t="s">
        <v>1655</v>
      </c>
    </row>
    <row r="585" spans="1:2">
      <c r="A585" s="24" t="s">
        <v>905</v>
      </c>
      <c r="B585" s="24" t="s">
        <v>1656</v>
      </c>
    </row>
    <row r="586" spans="1:2">
      <c r="A586" s="23" t="s">
        <v>906</v>
      </c>
      <c r="B586" s="24" t="s">
        <v>1657</v>
      </c>
    </row>
    <row r="587" spans="1:2">
      <c r="A587" s="24" t="s">
        <v>610</v>
      </c>
      <c r="B587" s="24" t="s">
        <v>1658</v>
      </c>
    </row>
    <row r="588" spans="1:2">
      <c r="A588" s="23" t="s">
        <v>611</v>
      </c>
      <c r="B588" s="24" t="s">
        <v>1659</v>
      </c>
    </row>
    <row r="589" spans="1:2">
      <c r="A589" s="24" t="s">
        <v>612</v>
      </c>
      <c r="B589" s="24" t="s">
        <v>1660</v>
      </c>
    </row>
    <row r="590" spans="1:2">
      <c r="A590" s="23" t="s">
        <v>613</v>
      </c>
      <c r="B590" s="24" t="s">
        <v>1661</v>
      </c>
    </row>
    <row r="591" spans="1:2">
      <c r="A591" s="24" t="s">
        <v>614</v>
      </c>
      <c r="B591" s="24" t="s">
        <v>1662</v>
      </c>
    </row>
    <row r="592" spans="1:2">
      <c r="A592" s="23" t="s">
        <v>615</v>
      </c>
      <c r="B592" s="24" t="s">
        <v>1663</v>
      </c>
    </row>
    <row r="593" spans="1:2">
      <c r="A593" s="24" t="s">
        <v>616</v>
      </c>
      <c r="B593" s="24" t="s">
        <v>1664</v>
      </c>
    </row>
    <row r="594" spans="1:2">
      <c r="A594" s="23" t="s">
        <v>617</v>
      </c>
      <c r="B594" s="24" t="s">
        <v>1665</v>
      </c>
    </row>
    <row r="595" spans="1:2">
      <c r="A595" s="24" t="s">
        <v>618</v>
      </c>
      <c r="B595" s="24" t="s">
        <v>1666</v>
      </c>
    </row>
    <row r="596" spans="1:2">
      <c r="A596" s="23" t="s">
        <v>619</v>
      </c>
      <c r="B596" s="24" t="s">
        <v>1667</v>
      </c>
    </row>
    <row r="597" spans="1:2">
      <c r="A597" s="24" t="s">
        <v>620</v>
      </c>
      <c r="B597" s="24" t="s">
        <v>1668</v>
      </c>
    </row>
    <row r="598" spans="1:2">
      <c r="A598" s="23" t="s">
        <v>621</v>
      </c>
      <c r="B598" s="24" t="s">
        <v>1669</v>
      </c>
    </row>
    <row r="599" spans="1:2">
      <c r="A599" s="24" t="s">
        <v>622</v>
      </c>
      <c r="B599" s="24" t="s">
        <v>1670</v>
      </c>
    </row>
    <row r="600" spans="1:2">
      <c r="A600" s="23" t="s">
        <v>623</v>
      </c>
      <c r="B600" s="24" t="s">
        <v>1671</v>
      </c>
    </row>
    <row r="601" spans="1:2">
      <c r="A601" s="24" t="s">
        <v>624</v>
      </c>
      <c r="B601" s="24" t="s">
        <v>1672</v>
      </c>
    </row>
    <row r="602" spans="1:2">
      <c r="A602" s="23" t="s">
        <v>625</v>
      </c>
      <c r="B602" s="24" t="s">
        <v>1673</v>
      </c>
    </row>
    <row r="603" spans="1:2">
      <c r="A603" s="24" t="s">
        <v>626</v>
      </c>
      <c r="B603" s="24" t="s">
        <v>1674</v>
      </c>
    </row>
    <row r="604" spans="1:2">
      <c r="A604" s="23" t="s">
        <v>627</v>
      </c>
      <c r="B604" s="24" t="s">
        <v>1675</v>
      </c>
    </row>
    <row r="605" spans="1:2">
      <c r="A605" s="24" t="s">
        <v>628</v>
      </c>
      <c r="B605" s="24" t="s">
        <v>1676</v>
      </c>
    </row>
    <row r="606" spans="1:2">
      <c r="A606" s="23" t="s">
        <v>629</v>
      </c>
      <c r="B606" s="24" t="s">
        <v>1677</v>
      </c>
    </row>
    <row r="607" spans="1:2">
      <c r="A607" s="24" t="s">
        <v>630</v>
      </c>
      <c r="B607" s="24" t="s">
        <v>1678</v>
      </c>
    </row>
    <row r="608" spans="1:2">
      <c r="A608" s="23" t="s">
        <v>631</v>
      </c>
      <c r="B608" s="24" t="s">
        <v>1679</v>
      </c>
    </row>
    <row r="609" spans="1:2">
      <c r="A609" s="24" t="s">
        <v>632</v>
      </c>
      <c r="B609" s="24" t="s">
        <v>1680</v>
      </c>
    </row>
    <row r="610" spans="1:2">
      <c r="A610" s="23" t="s">
        <v>633</v>
      </c>
      <c r="B610" s="24" t="s">
        <v>1681</v>
      </c>
    </row>
    <row r="611" spans="1:2">
      <c r="A611" s="24" t="s">
        <v>634</v>
      </c>
      <c r="B611" s="24" t="s">
        <v>1682</v>
      </c>
    </row>
    <row r="612" spans="1:2">
      <c r="A612" s="23" t="s">
        <v>635</v>
      </c>
      <c r="B612" s="24" t="s">
        <v>1683</v>
      </c>
    </row>
    <row r="613" spans="1:2">
      <c r="A613" s="24" t="s">
        <v>636</v>
      </c>
      <c r="B613" s="24" t="s">
        <v>1684</v>
      </c>
    </row>
    <row r="614" spans="1:2">
      <c r="A614" s="23" t="s">
        <v>637</v>
      </c>
      <c r="B614" s="24" t="s">
        <v>1685</v>
      </c>
    </row>
    <row r="615" spans="1:2">
      <c r="A615" s="24" t="s">
        <v>638</v>
      </c>
      <c r="B615" s="24" t="s">
        <v>1686</v>
      </c>
    </row>
    <row r="616" spans="1:2">
      <c r="A616" s="23" t="s">
        <v>639</v>
      </c>
      <c r="B616" s="24" t="s">
        <v>1687</v>
      </c>
    </row>
    <row r="617" spans="1:2">
      <c r="A617" s="24" t="s">
        <v>640</v>
      </c>
      <c r="B617" s="24" t="s">
        <v>1688</v>
      </c>
    </row>
    <row r="618" spans="1:2">
      <c r="A618" s="23" t="s">
        <v>641</v>
      </c>
      <c r="B618" s="24" t="s">
        <v>1689</v>
      </c>
    </row>
    <row r="619" spans="1:2">
      <c r="A619" s="24" t="s">
        <v>642</v>
      </c>
      <c r="B619" s="24" t="s">
        <v>1690</v>
      </c>
    </row>
    <row r="620" spans="1:2">
      <c r="A620" s="23" t="s">
        <v>643</v>
      </c>
      <c r="B620" s="24" t="s">
        <v>1691</v>
      </c>
    </row>
    <row r="621" spans="1:2">
      <c r="A621" s="24" t="s">
        <v>644</v>
      </c>
      <c r="B621" s="24" t="s">
        <v>1692</v>
      </c>
    </row>
    <row r="622" spans="1:2">
      <c r="A622" s="23" t="s">
        <v>645</v>
      </c>
      <c r="B622" s="24" t="s">
        <v>1693</v>
      </c>
    </row>
    <row r="623" spans="1:2">
      <c r="A623" s="24" t="s">
        <v>646</v>
      </c>
      <c r="B623" s="24" t="s">
        <v>1694</v>
      </c>
    </row>
    <row r="624" spans="1:2">
      <c r="A624" s="23" t="s">
        <v>647</v>
      </c>
      <c r="B624" s="24" t="s">
        <v>1695</v>
      </c>
    </row>
    <row r="625" spans="1:2">
      <c r="A625" s="24" t="s">
        <v>648</v>
      </c>
      <c r="B625" s="24" t="s">
        <v>1696</v>
      </c>
    </row>
    <row r="626" spans="1:2">
      <c r="A626" s="23" t="s">
        <v>649</v>
      </c>
      <c r="B626" s="24" t="s">
        <v>1697</v>
      </c>
    </row>
    <row r="627" spans="1:2">
      <c r="A627" s="24" t="s">
        <v>650</v>
      </c>
      <c r="B627" s="24" t="s">
        <v>1698</v>
      </c>
    </row>
    <row r="628" spans="1:2">
      <c r="A628" s="23" t="s">
        <v>651</v>
      </c>
      <c r="B628" s="24" t="s">
        <v>1699</v>
      </c>
    </row>
    <row r="629" spans="1:2">
      <c r="A629" s="24" t="s">
        <v>652</v>
      </c>
      <c r="B629" s="24" t="s">
        <v>1700</v>
      </c>
    </row>
    <row r="630" spans="1:2">
      <c r="A630" s="23" t="s">
        <v>653</v>
      </c>
      <c r="B630" s="24" t="s">
        <v>1701</v>
      </c>
    </row>
    <row r="631" spans="1:2">
      <c r="A631" s="24" t="s">
        <v>654</v>
      </c>
      <c r="B631" s="24" t="s">
        <v>1702</v>
      </c>
    </row>
    <row r="632" spans="1:2">
      <c r="A632" s="23" t="s">
        <v>655</v>
      </c>
      <c r="B632" s="24" t="s">
        <v>1703</v>
      </c>
    </row>
    <row r="633" spans="1:2">
      <c r="A633" s="24" t="s">
        <v>656</v>
      </c>
      <c r="B633" s="24" t="s">
        <v>1704</v>
      </c>
    </row>
    <row r="634" spans="1:2">
      <c r="A634" s="23" t="s">
        <v>657</v>
      </c>
      <c r="B634" s="24" t="s">
        <v>1705</v>
      </c>
    </row>
    <row r="635" spans="1:2">
      <c r="A635" s="24" t="s">
        <v>658</v>
      </c>
      <c r="B635" s="24" t="s">
        <v>1706</v>
      </c>
    </row>
    <row r="636" spans="1:2">
      <c r="A636" s="23" t="s">
        <v>659</v>
      </c>
      <c r="B636" s="24" t="s">
        <v>1707</v>
      </c>
    </row>
    <row r="637" spans="1:2">
      <c r="A637" s="24" t="s">
        <v>660</v>
      </c>
      <c r="B637" s="24" t="s">
        <v>1708</v>
      </c>
    </row>
    <row r="638" spans="1:2">
      <c r="A638" s="23" t="s">
        <v>661</v>
      </c>
      <c r="B638" s="24" t="s">
        <v>1709</v>
      </c>
    </row>
    <row r="639" spans="1:2">
      <c r="A639" s="24" t="s">
        <v>662</v>
      </c>
      <c r="B639" s="24" t="s">
        <v>1710</v>
      </c>
    </row>
    <row r="640" spans="1:2">
      <c r="A640" s="23" t="s">
        <v>663</v>
      </c>
      <c r="B640" s="24" t="s">
        <v>1711</v>
      </c>
    </row>
    <row r="641" spans="1:2">
      <c r="A641" s="24" t="s">
        <v>664</v>
      </c>
      <c r="B641" s="24" t="s">
        <v>1712</v>
      </c>
    </row>
    <row r="642" spans="1:2">
      <c r="A642" s="23" t="s">
        <v>665</v>
      </c>
      <c r="B642" s="24" t="s">
        <v>1713</v>
      </c>
    </row>
    <row r="643" spans="1:2">
      <c r="A643" s="24" t="s">
        <v>666</v>
      </c>
      <c r="B643" s="24" t="s">
        <v>1714</v>
      </c>
    </row>
    <row r="644" spans="1:2">
      <c r="A644" s="23" t="s">
        <v>667</v>
      </c>
      <c r="B644" s="24" t="s">
        <v>1715</v>
      </c>
    </row>
    <row r="645" spans="1:2">
      <c r="A645" s="24" t="s">
        <v>668</v>
      </c>
      <c r="B645" s="24" t="s">
        <v>1716</v>
      </c>
    </row>
    <row r="646" spans="1:2">
      <c r="A646" s="23" t="s">
        <v>669</v>
      </c>
      <c r="B646" s="24" t="s">
        <v>1717</v>
      </c>
    </row>
    <row r="647" spans="1:2">
      <c r="A647" s="24" t="s">
        <v>670</v>
      </c>
      <c r="B647" s="24" t="s">
        <v>1718</v>
      </c>
    </row>
    <row r="648" spans="1:2">
      <c r="A648" s="23" t="s">
        <v>671</v>
      </c>
      <c r="B648" s="24" t="s">
        <v>1719</v>
      </c>
    </row>
    <row r="649" spans="1:2">
      <c r="A649" s="24" t="s">
        <v>754</v>
      </c>
      <c r="B649" s="24" t="s">
        <v>1720</v>
      </c>
    </row>
    <row r="650" spans="1:2">
      <c r="A650" s="23" t="s">
        <v>753</v>
      </c>
      <c r="B650" s="24" t="s">
        <v>1720</v>
      </c>
    </row>
    <row r="651" spans="1:2">
      <c r="A651" s="24" t="s">
        <v>755</v>
      </c>
      <c r="B651" s="24" t="s">
        <v>1721</v>
      </c>
    </row>
    <row r="652" spans="1:2">
      <c r="A652" s="23" t="s">
        <v>756</v>
      </c>
      <c r="B652" s="24" t="s">
        <v>1722</v>
      </c>
    </row>
    <row r="653" spans="1:2">
      <c r="A653" s="24" t="s">
        <v>757</v>
      </c>
      <c r="B653" s="24" t="s">
        <v>1723</v>
      </c>
    </row>
    <row r="654" spans="1:2">
      <c r="A654" s="23" t="s">
        <v>758</v>
      </c>
      <c r="B654" s="24" t="s">
        <v>1723</v>
      </c>
    </row>
    <row r="655" spans="1:2">
      <c r="A655" s="24" t="s">
        <v>760</v>
      </c>
      <c r="B655" s="24" t="s">
        <v>1724</v>
      </c>
    </row>
    <row r="656" spans="1:2">
      <c r="A656" s="23" t="s">
        <v>761</v>
      </c>
      <c r="B656" s="24" t="s">
        <v>1725</v>
      </c>
    </row>
    <row r="657" spans="1:2">
      <c r="A657" s="24" t="s">
        <v>762</v>
      </c>
      <c r="B657" s="24" t="s">
        <v>1726</v>
      </c>
    </row>
    <row r="658" spans="1:2">
      <c r="A658" s="23" t="s">
        <v>763</v>
      </c>
      <c r="B658" s="24" t="s">
        <v>1727</v>
      </c>
    </row>
    <row r="659" spans="1:2">
      <c r="A659" s="24" t="s">
        <v>835</v>
      </c>
      <c r="B659" s="24" t="s">
        <v>1728</v>
      </c>
    </row>
    <row r="660" spans="1:2">
      <c r="A660" s="23" t="s">
        <v>836</v>
      </c>
      <c r="B660" s="24" t="s">
        <v>1729</v>
      </c>
    </row>
    <row r="661" spans="1:2">
      <c r="A661" s="24" t="s">
        <v>837</v>
      </c>
      <c r="B661" s="24" t="s">
        <v>1729</v>
      </c>
    </row>
    <row r="662" spans="1:2">
      <c r="A662" s="23" t="s">
        <v>838</v>
      </c>
      <c r="B662" s="24" t="s">
        <v>1730</v>
      </c>
    </row>
    <row r="663" spans="1:2">
      <c r="A663" s="24" t="s">
        <v>839</v>
      </c>
      <c r="B663" s="24" t="s">
        <v>1731</v>
      </c>
    </row>
    <row r="664" spans="1:2">
      <c r="A664" s="23" t="s">
        <v>840</v>
      </c>
      <c r="B664" s="24" t="s">
        <v>1732</v>
      </c>
    </row>
    <row r="665" spans="1:2">
      <c r="A665" s="24" t="s">
        <v>841</v>
      </c>
      <c r="B665" s="24" t="s">
        <v>1733</v>
      </c>
    </row>
    <row r="666" spans="1:2">
      <c r="A666" s="23" t="s">
        <v>842</v>
      </c>
      <c r="B666" s="24" t="s">
        <v>1734</v>
      </c>
    </row>
    <row r="667" spans="1:2">
      <c r="A667" s="24" t="s">
        <v>843</v>
      </c>
      <c r="B667" s="24" t="s">
        <v>1735</v>
      </c>
    </row>
    <row r="668" spans="1:2">
      <c r="A668" s="23" t="s">
        <v>844</v>
      </c>
      <c r="B668" s="24" t="s">
        <v>1735</v>
      </c>
    </row>
    <row r="669" spans="1:2">
      <c r="A669" s="24" t="s">
        <v>845</v>
      </c>
      <c r="B669" s="24" t="s">
        <v>1736</v>
      </c>
    </row>
    <row r="670" spans="1:2">
      <c r="A670" s="23" t="s">
        <v>846</v>
      </c>
      <c r="B670" s="24" t="s">
        <v>1737</v>
      </c>
    </row>
    <row r="671" spans="1:2">
      <c r="A671" s="24" t="s">
        <v>847</v>
      </c>
      <c r="B671" s="24" t="s">
        <v>1738</v>
      </c>
    </row>
    <row r="672" spans="1:2">
      <c r="A672" s="23" t="s">
        <v>848</v>
      </c>
      <c r="B672" s="24" t="s">
        <v>1738</v>
      </c>
    </row>
    <row r="673" spans="1:2">
      <c r="A673" s="24" t="s">
        <v>849</v>
      </c>
      <c r="B673" s="24" t="s">
        <v>1739</v>
      </c>
    </row>
    <row r="674" spans="1:2">
      <c r="A674" s="23" t="s">
        <v>850</v>
      </c>
      <c r="B674" s="24" t="s">
        <v>1740</v>
      </c>
    </row>
    <row r="675" spans="1:2">
      <c r="A675" s="24" t="s">
        <v>851</v>
      </c>
      <c r="B675" s="24" t="s">
        <v>1741</v>
      </c>
    </row>
    <row r="676" spans="1:2">
      <c r="A676" s="23" t="s">
        <v>852</v>
      </c>
      <c r="B676" s="24" t="s">
        <v>1742</v>
      </c>
    </row>
    <row r="677" spans="1:2">
      <c r="A677" s="24" t="s">
        <v>853</v>
      </c>
      <c r="B677" s="24" t="s">
        <v>1742</v>
      </c>
    </row>
    <row r="678" spans="1:2">
      <c r="A678" s="23" t="s">
        <v>854</v>
      </c>
      <c r="B678" s="24" t="s">
        <v>1743</v>
      </c>
    </row>
    <row r="679" spans="1:2">
      <c r="A679" s="24" t="s">
        <v>855</v>
      </c>
      <c r="B679" s="24" t="s">
        <v>1744</v>
      </c>
    </row>
    <row r="680" spans="1:2">
      <c r="A680" s="23" t="s">
        <v>856</v>
      </c>
      <c r="B680" s="24" t="s">
        <v>1745</v>
      </c>
    </row>
    <row r="681" spans="1:2">
      <c r="A681" s="24" t="s">
        <v>857</v>
      </c>
      <c r="B681" s="24" t="s">
        <v>1745</v>
      </c>
    </row>
    <row r="682" spans="1:2">
      <c r="A682" s="23" t="s">
        <v>858</v>
      </c>
      <c r="B682" s="24" t="s">
        <v>1746</v>
      </c>
    </row>
    <row r="683" spans="1:2">
      <c r="A683" s="24" t="s">
        <v>859</v>
      </c>
      <c r="B683" s="24" t="s">
        <v>1746</v>
      </c>
    </row>
    <row r="684" spans="1:2">
      <c r="A684" s="23" t="s">
        <v>860</v>
      </c>
      <c r="B684" s="24" t="s">
        <v>1747</v>
      </c>
    </row>
    <row r="685" spans="1:2">
      <c r="A685" s="24" t="s">
        <v>861</v>
      </c>
      <c r="B685" s="24" t="s">
        <v>1748</v>
      </c>
    </row>
    <row r="686" spans="1:2">
      <c r="A686" s="23" t="s">
        <v>862</v>
      </c>
      <c r="B686" s="24" t="s">
        <v>1749</v>
      </c>
    </row>
    <row r="687" spans="1:2">
      <c r="A687" s="24" t="s">
        <v>863</v>
      </c>
      <c r="B687" s="24" t="s">
        <v>1750</v>
      </c>
    </row>
    <row r="688" spans="1:2">
      <c r="A688" s="23" t="s">
        <v>864</v>
      </c>
      <c r="B688" s="24" t="s">
        <v>1751</v>
      </c>
    </row>
    <row r="689" spans="1:2">
      <c r="A689" s="24" t="s">
        <v>865</v>
      </c>
      <c r="B689" s="24" t="s">
        <v>1752</v>
      </c>
    </row>
    <row r="690" spans="1:2">
      <c r="A690" s="23" t="s">
        <v>866</v>
      </c>
      <c r="B690" s="24" t="s">
        <v>1752</v>
      </c>
    </row>
    <row r="691" spans="1:2">
      <c r="A691" s="24" t="s">
        <v>867</v>
      </c>
      <c r="B691" s="24" t="s">
        <v>1753</v>
      </c>
    </row>
    <row r="692" spans="1:2">
      <c r="A692" s="23" t="s">
        <v>868</v>
      </c>
      <c r="B692" s="24" t="s">
        <v>1754</v>
      </c>
    </row>
    <row r="693" spans="1:2">
      <c r="A693" s="24" t="s">
        <v>869</v>
      </c>
      <c r="B693" s="24" t="s">
        <v>1755</v>
      </c>
    </row>
    <row r="694" spans="1:2">
      <c r="A694" s="23" t="s">
        <v>870</v>
      </c>
      <c r="B694" s="24" t="s">
        <v>1755</v>
      </c>
    </row>
    <row r="695" spans="1:2">
      <c r="A695" s="24" t="s">
        <v>871</v>
      </c>
      <c r="B695" s="24" t="s">
        <v>1756</v>
      </c>
    </row>
    <row r="696" spans="1:2">
      <c r="A696" s="23" t="s">
        <v>872</v>
      </c>
      <c r="B696" s="24" t="s">
        <v>1756</v>
      </c>
    </row>
    <row r="697" spans="1:2">
      <c r="A697" s="24" t="s">
        <v>873</v>
      </c>
      <c r="B697" s="24" t="s">
        <v>1757</v>
      </c>
    </row>
    <row r="698" spans="1:2">
      <c r="A698" s="23" t="s">
        <v>874</v>
      </c>
      <c r="B698" s="24" t="s">
        <v>1758</v>
      </c>
    </row>
    <row r="699" spans="1:2">
      <c r="A699" s="24" t="s">
        <v>875</v>
      </c>
      <c r="B699" s="24" t="s">
        <v>1759</v>
      </c>
    </row>
    <row r="700" spans="1:2">
      <c r="A700" s="23" t="s">
        <v>876</v>
      </c>
      <c r="B700" s="24" t="s">
        <v>1760</v>
      </c>
    </row>
    <row r="701" spans="1:2">
      <c r="A701" s="24" t="s">
        <v>877</v>
      </c>
      <c r="B701" s="24" t="s">
        <v>1761</v>
      </c>
    </row>
    <row r="702" spans="1:2">
      <c r="A702" s="23" t="s">
        <v>878</v>
      </c>
      <c r="B702" s="24" t="s">
        <v>1762</v>
      </c>
    </row>
    <row r="703" spans="1:2">
      <c r="A703" s="24" t="s">
        <v>879</v>
      </c>
      <c r="B703" s="24" t="s">
        <v>1763</v>
      </c>
    </row>
    <row r="704" spans="1:2">
      <c r="A704" s="23" t="s">
        <v>880</v>
      </c>
      <c r="B704" s="24" t="s">
        <v>1764</v>
      </c>
    </row>
    <row r="705" spans="1:2">
      <c r="A705" s="24" t="s">
        <v>881</v>
      </c>
      <c r="B705" s="24" t="s">
        <v>1764</v>
      </c>
    </row>
    <row r="706" spans="1:2">
      <c r="A706" s="23" t="s">
        <v>882</v>
      </c>
      <c r="B706" s="24" t="s">
        <v>1765</v>
      </c>
    </row>
    <row r="707" spans="1:2">
      <c r="A707" s="24" t="s">
        <v>883</v>
      </c>
      <c r="B707" s="24" t="s">
        <v>1766</v>
      </c>
    </row>
    <row r="708" spans="1:2">
      <c r="A708" s="23" t="s">
        <v>884</v>
      </c>
      <c r="B708" s="24" t="s">
        <v>1767</v>
      </c>
    </row>
    <row r="709" spans="1:2">
      <c r="A709" s="24" t="s">
        <v>885</v>
      </c>
      <c r="B709" s="24" t="s">
        <v>1767</v>
      </c>
    </row>
    <row r="710" spans="1:2">
      <c r="A710" s="23" t="s">
        <v>886</v>
      </c>
      <c r="B710" s="24" t="s">
        <v>1768</v>
      </c>
    </row>
    <row r="711" spans="1:2">
      <c r="A711" s="24" t="s">
        <v>887</v>
      </c>
      <c r="B711" s="24" t="s">
        <v>1768</v>
      </c>
    </row>
    <row r="712" spans="1:2">
      <c r="A712" s="23" t="s">
        <v>888</v>
      </c>
      <c r="B712" s="24" t="s">
        <v>1769</v>
      </c>
    </row>
    <row r="713" spans="1:2">
      <c r="A713" s="24" t="s">
        <v>889</v>
      </c>
      <c r="B713" s="24" t="s">
        <v>1770</v>
      </c>
    </row>
    <row r="714" spans="1:2">
      <c r="A714" s="23" t="s">
        <v>890</v>
      </c>
      <c r="B714" s="24" t="s">
        <v>1771</v>
      </c>
    </row>
    <row r="715" spans="1:2">
      <c r="A715" s="24" t="s">
        <v>891</v>
      </c>
      <c r="B715" s="24" t="s">
        <v>1772</v>
      </c>
    </row>
    <row r="716" spans="1:2">
      <c r="A716" s="23" t="s">
        <v>892</v>
      </c>
      <c r="B716" s="24" t="s">
        <v>1773</v>
      </c>
    </row>
    <row r="717" spans="1:2">
      <c r="A717" s="24" t="s">
        <v>907</v>
      </c>
      <c r="B717" s="24" t="s">
        <v>1774</v>
      </c>
    </row>
    <row r="718" spans="1:2">
      <c r="A718" s="23" t="s">
        <v>908</v>
      </c>
      <c r="B718" s="24" t="s">
        <v>1774</v>
      </c>
    </row>
    <row r="719" spans="1:2">
      <c r="A719" s="24" t="s">
        <v>764</v>
      </c>
      <c r="B719" s="24" t="s">
        <v>1775</v>
      </c>
    </row>
    <row r="720" spans="1:2">
      <c r="A720" s="23" t="s">
        <v>765</v>
      </c>
      <c r="B720" s="24" t="s">
        <v>1776</v>
      </c>
    </row>
    <row r="721" spans="1:2">
      <c r="A721" s="24" t="s">
        <v>766</v>
      </c>
      <c r="B721" s="24" t="s">
        <v>1777</v>
      </c>
    </row>
    <row r="722" spans="1:2">
      <c r="A722" s="23" t="s">
        <v>767</v>
      </c>
      <c r="B722" s="24" t="s">
        <v>1778</v>
      </c>
    </row>
    <row r="723" spans="1:2">
      <c r="A723" s="24" t="s">
        <v>768</v>
      </c>
      <c r="B723" s="24" t="s">
        <v>1779</v>
      </c>
    </row>
    <row r="724" spans="1:2">
      <c r="A724" s="23" t="s">
        <v>769</v>
      </c>
      <c r="B724" s="24" t="s">
        <v>1780</v>
      </c>
    </row>
    <row r="725" spans="1:2">
      <c r="A725" s="24" t="s">
        <v>770</v>
      </c>
      <c r="B725" s="24" t="s">
        <v>1781</v>
      </c>
    </row>
    <row r="726" spans="1:2">
      <c r="A726" s="23" t="s">
        <v>771</v>
      </c>
      <c r="B726" s="24" t="s">
        <v>1782</v>
      </c>
    </row>
    <row r="727" spans="1:2">
      <c r="A727" s="24" t="s">
        <v>772</v>
      </c>
      <c r="B727" s="24" t="s">
        <v>1783</v>
      </c>
    </row>
    <row r="728" spans="1:2">
      <c r="A728" s="23" t="s">
        <v>773</v>
      </c>
      <c r="B728" s="24" t="s">
        <v>1784</v>
      </c>
    </row>
    <row r="729" spans="1:2">
      <c r="A729" s="24" t="s">
        <v>774</v>
      </c>
      <c r="B729" s="24" t="s">
        <v>1785</v>
      </c>
    </row>
    <row r="730" spans="1:2">
      <c r="A730" s="23" t="s">
        <v>775</v>
      </c>
      <c r="B730" s="24" t="s">
        <v>1786</v>
      </c>
    </row>
    <row r="731" spans="1:2">
      <c r="A731" s="24" t="s">
        <v>776</v>
      </c>
      <c r="B731" s="24" t="s">
        <v>1787</v>
      </c>
    </row>
    <row r="732" spans="1:2">
      <c r="A732" s="23" t="s">
        <v>777</v>
      </c>
      <c r="B732" s="24" t="s">
        <v>1788</v>
      </c>
    </row>
    <row r="733" spans="1:2">
      <c r="A733" s="24" t="s">
        <v>778</v>
      </c>
      <c r="B733" s="24" t="s">
        <v>1789</v>
      </c>
    </row>
    <row r="734" spans="1:2">
      <c r="A734" s="23" t="s">
        <v>779</v>
      </c>
      <c r="B734" s="24" t="s">
        <v>1790</v>
      </c>
    </row>
    <row r="735" spans="1:2">
      <c r="A735" s="24" t="s">
        <v>780</v>
      </c>
      <c r="B735" s="24" t="s">
        <v>1791</v>
      </c>
    </row>
    <row r="736" spans="1:2">
      <c r="A736" s="23" t="s">
        <v>781</v>
      </c>
      <c r="B736" s="24" t="s">
        <v>1792</v>
      </c>
    </row>
    <row r="737" spans="1:2">
      <c r="A737" s="24" t="s">
        <v>782</v>
      </c>
      <c r="B737" s="24" t="s">
        <v>1793</v>
      </c>
    </row>
    <row r="738" spans="1:2">
      <c r="A738" s="23" t="s">
        <v>783</v>
      </c>
      <c r="B738" s="24" t="s">
        <v>1794</v>
      </c>
    </row>
    <row r="739" spans="1:2">
      <c r="A739" s="24" t="s">
        <v>784</v>
      </c>
      <c r="B739" s="24" t="s">
        <v>1795</v>
      </c>
    </row>
    <row r="740" spans="1:2">
      <c r="A740" s="23" t="s">
        <v>785</v>
      </c>
      <c r="B740" s="24" t="s">
        <v>1796</v>
      </c>
    </row>
    <row r="741" spans="1:2">
      <c r="A741" s="24" t="s">
        <v>786</v>
      </c>
      <c r="B741" s="24" t="s">
        <v>1797</v>
      </c>
    </row>
    <row r="742" spans="1:2">
      <c r="A742" s="23" t="s">
        <v>787</v>
      </c>
      <c r="B742" s="24" t="s">
        <v>1798</v>
      </c>
    </row>
    <row r="743" spans="1:2">
      <c r="A743" s="24" t="s">
        <v>788</v>
      </c>
      <c r="B743" s="24" t="s">
        <v>1799</v>
      </c>
    </row>
    <row r="744" spans="1:2">
      <c r="A744" s="23" t="s">
        <v>789</v>
      </c>
      <c r="B744" s="24" t="s">
        <v>1800</v>
      </c>
    </row>
    <row r="745" spans="1:2">
      <c r="A745" s="24" t="s">
        <v>790</v>
      </c>
      <c r="B745" s="24" t="s">
        <v>1801</v>
      </c>
    </row>
    <row r="746" spans="1:2">
      <c r="A746" s="23" t="s">
        <v>791</v>
      </c>
      <c r="B746" s="24" t="s">
        <v>1802</v>
      </c>
    </row>
    <row r="747" spans="1:2">
      <c r="A747" s="24" t="s">
        <v>792</v>
      </c>
      <c r="B747" s="24" t="s">
        <v>1803</v>
      </c>
    </row>
    <row r="748" spans="1:2">
      <c r="A748" s="23" t="s">
        <v>793</v>
      </c>
      <c r="B748" s="24" t="s">
        <v>1804</v>
      </c>
    </row>
    <row r="749" spans="1:2">
      <c r="A749" s="24" t="s">
        <v>794</v>
      </c>
      <c r="B749" s="24" t="s">
        <v>1805</v>
      </c>
    </row>
    <row r="750" spans="1:2">
      <c r="A750" s="23" t="s">
        <v>795</v>
      </c>
      <c r="B750" s="24" t="s">
        <v>1806</v>
      </c>
    </row>
    <row r="751" spans="1:2">
      <c r="A751" s="24" t="s">
        <v>796</v>
      </c>
      <c r="B751" s="24" t="s">
        <v>1807</v>
      </c>
    </row>
    <row r="752" spans="1:2">
      <c r="A752" s="23" t="s">
        <v>797</v>
      </c>
      <c r="B752" s="24" t="s">
        <v>1808</v>
      </c>
    </row>
    <row r="753" spans="1:2">
      <c r="A753" s="24" t="s">
        <v>798</v>
      </c>
      <c r="B753" s="24" t="s">
        <v>1809</v>
      </c>
    </row>
    <row r="754" spans="1:2">
      <c r="A754" s="23" t="s">
        <v>799</v>
      </c>
      <c r="B754" s="24" t="s">
        <v>1810</v>
      </c>
    </row>
    <row r="755" spans="1:2">
      <c r="A755" s="24" t="s">
        <v>800</v>
      </c>
      <c r="B755" s="24" t="s">
        <v>1811</v>
      </c>
    </row>
    <row r="756" spans="1:2">
      <c r="A756" s="23" t="s">
        <v>801</v>
      </c>
      <c r="B756" s="24" t="s">
        <v>1812</v>
      </c>
    </row>
    <row r="757" spans="1:2">
      <c r="A757" s="24" t="s">
        <v>802</v>
      </c>
      <c r="B757" s="24" t="s">
        <v>1813</v>
      </c>
    </row>
    <row r="758" spans="1:2">
      <c r="A758" s="23" t="s">
        <v>803</v>
      </c>
      <c r="B758" s="24" t="s">
        <v>1814</v>
      </c>
    </row>
    <row r="759" spans="1:2">
      <c r="A759" s="24" t="s">
        <v>804</v>
      </c>
      <c r="B759" s="24" t="s">
        <v>1815</v>
      </c>
    </row>
    <row r="760" spans="1:2">
      <c r="A760" s="23" t="s">
        <v>805</v>
      </c>
      <c r="B760" s="24" t="s">
        <v>1816</v>
      </c>
    </row>
    <row r="761" spans="1:2">
      <c r="A761" s="24" t="s">
        <v>806</v>
      </c>
      <c r="B761" s="24" t="s">
        <v>1817</v>
      </c>
    </row>
    <row r="762" spans="1:2">
      <c r="A762" s="23" t="s">
        <v>807</v>
      </c>
      <c r="B762" s="24" t="s">
        <v>1818</v>
      </c>
    </row>
    <row r="763" spans="1:2">
      <c r="A763" s="24" t="s">
        <v>808</v>
      </c>
      <c r="B763" s="24" t="s">
        <v>1819</v>
      </c>
    </row>
    <row r="764" spans="1:2">
      <c r="A764" s="23" t="s">
        <v>809</v>
      </c>
      <c r="B764" s="24" t="s">
        <v>1820</v>
      </c>
    </row>
    <row r="765" spans="1:2">
      <c r="A765" s="24" t="s">
        <v>810</v>
      </c>
      <c r="B765" s="24" t="s">
        <v>1821</v>
      </c>
    </row>
    <row r="766" spans="1:2">
      <c r="A766" s="23" t="s">
        <v>811</v>
      </c>
      <c r="B766" s="24" t="s">
        <v>1822</v>
      </c>
    </row>
    <row r="767" spans="1:2">
      <c r="A767" s="24" t="s">
        <v>812</v>
      </c>
      <c r="B767" s="24" t="s">
        <v>1823</v>
      </c>
    </row>
    <row r="768" spans="1:2">
      <c r="A768" s="23" t="s">
        <v>813</v>
      </c>
      <c r="B768" s="24" t="s">
        <v>1824</v>
      </c>
    </row>
    <row r="769" spans="1:2">
      <c r="A769" s="24" t="s">
        <v>814</v>
      </c>
      <c r="B769" s="24" t="s">
        <v>1825</v>
      </c>
    </row>
    <row r="770" spans="1:2">
      <c r="A770" s="23" t="s">
        <v>815</v>
      </c>
      <c r="B770" s="24" t="s">
        <v>1826</v>
      </c>
    </row>
    <row r="771" spans="1:2">
      <c r="A771" s="24" t="s">
        <v>816</v>
      </c>
      <c r="B771" s="24" t="s">
        <v>1827</v>
      </c>
    </row>
    <row r="772" spans="1:2">
      <c r="A772" s="23" t="s">
        <v>817</v>
      </c>
      <c r="B772" s="24" t="s">
        <v>1828</v>
      </c>
    </row>
    <row r="773" spans="1:2">
      <c r="A773" s="24" t="s">
        <v>818</v>
      </c>
      <c r="B773" s="24" t="s">
        <v>1829</v>
      </c>
    </row>
    <row r="774" spans="1:2">
      <c r="A774" s="23" t="s">
        <v>819</v>
      </c>
      <c r="B774" s="24" t="s">
        <v>1830</v>
      </c>
    </row>
    <row r="775" spans="1:2">
      <c r="A775" s="24" t="s">
        <v>820</v>
      </c>
      <c r="B775" s="24" t="s">
        <v>1831</v>
      </c>
    </row>
    <row r="776" spans="1:2">
      <c r="A776" s="23" t="s">
        <v>821</v>
      </c>
      <c r="B776" s="24" t="s">
        <v>1832</v>
      </c>
    </row>
    <row r="777" spans="1:2">
      <c r="A777" s="24" t="s">
        <v>822</v>
      </c>
      <c r="B777" s="24" t="s">
        <v>1833</v>
      </c>
    </row>
    <row r="778" spans="1:2">
      <c r="A778" s="23" t="s">
        <v>823</v>
      </c>
      <c r="B778" s="24" t="s">
        <v>1834</v>
      </c>
    </row>
    <row r="779" spans="1:2">
      <c r="A779" s="24" t="s">
        <v>824</v>
      </c>
      <c r="B779" s="24" t="s">
        <v>1835</v>
      </c>
    </row>
    <row r="780" spans="1:2">
      <c r="A780" s="23" t="s">
        <v>825</v>
      </c>
      <c r="B780" s="24" t="s">
        <v>1836</v>
      </c>
    </row>
    <row r="781" spans="1:2">
      <c r="A781" s="24" t="s">
        <v>826</v>
      </c>
      <c r="B781" s="24" t="s">
        <v>1837</v>
      </c>
    </row>
    <row r="782" spans="1:2">
      <c r="A782" s="23" t="s">
        <v>827</v>
      </c>
      <c r="B782" s="24" t="s">
        <v>1838</v>
      </c>
    </row>
    <row r="783" spans="1:2">
      <c r="A783" s="24" t="s">
        <v>828</v>
      </c>
      <c r="B783" s="24" t="s">
        <v>1839</v>
      </c>
    </row>
    <row r="784" spans="1:2">
      <c r="A784" s="23" t="s">
        <v>829</v>
      </c>
      <c r="B784" s="24" t="s">
        <v>1840</v>
      </c>
    </row>
    <row r="785" spans="1:2">
      <c r="A785" s="24" t="s">
        <v>830</v>
      </c>
      <c r="B785" s="24" t="s">
        <v>1841</v>
      </c>
    </row>
    <row r="786" spans="1:2">
      <c r="A786" s="23" t="s">
        <v>831</v>
      </c>
      <c r="B786" s="24" t="s">
        <v>1842</v>
      </c>
    </row>
    <row r="787" spans="1:2">
      <c r="A787" s="24" t="s">
        <v>832</v>
      </c>
      <c r="B787" s="24" t="s">
        <v>1843</v>
      </c>
    </row>
    <row r="788" spans="1:2">
      <c r="A788" s="23" t="s">
        <v>833</v>
      </c>
      <c r="B788" s="24" t="s">
        <v>1844</v>
      </c>
    </row>
    <row r="789" spans="1:2">
      <c r="A789" s="26" t="s">
        <v>834</v>
      </c>
      <c r="B789" s="26" t="s">
        <v>1845</v>
      </c>
    </row>
    <row r="790" spans="1:2">
      <c r="A790" s="26" t="s">
        <v>1881</v>
      </c>
      <c r="B790" s="26" t="s">
        <v>1882</v>
      </c>
    </row>
    <row r="791" spans="1:2">
      <c r="A791" s="32" t="s">
        <v>1884</v>
      </c>
      <c r="B791" s="33" t="s">
        <v>1883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K22"/>
  <sheetViews>
    <sheetView topLeftCell="B1" workbookViewId="0">
      <selection activeCell="I1" sqref="I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20.3828125" customWidth="1"/>
  </cols>
  <sheetData>
    <row r="1" spans="1:11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</row>
    <row r="2" spans="1:11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8" t="s">
        <v>981</v>
      </c>
    </row>
    <row r="3" spans="1:11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8" t="s">
        <v>941</v>
      </c>
    </row>
    <row r="4" spans="1:11">
      <c r="A4" s="17" t="s">
        <v>922</v>
      </c>
      <c r="E4" t="s">
        <v>994</v>
      </c>
      <c r="G4" t="s">
        <v>995</v>
      </c>
      <c r="I4" t="s">
        <v>74</v>
      </c>
      <c r="K4" s="28" t="s">
        <v>944</v>
      </c>
    </row>
    <row r="5" spans="1:11">
      <c r="A5" s="18" t="s">
        <v>926</v>
      </c>
      <c r="E5" t="s">
        <v>1006</v>
      </c>
      <c r="G5" t="s">
        <v>1007</v>
      </c>
      <c r="I5" t="s">
        <v>19</v>
      </c>
      <c r="K5" s="28" t="s">
        <v>945</v>
      </c>
    </row>
    <row r="6" spans="1:11">
      <c r="A6" s="17" t="s">
        <v>921</v>
      </c>
      <c r="E6" t="s">
        <v>1004</v>
      </c>
      <c r="G6" t="s">
        <v>1005</v>
      </c>
      <c r="K6" s="28" t="s">
        <v>947</v>
      </c>
    </row>
    <row r="7" spans="1:11">
      <c r="A7" s="18" t="s">
        <v>919</v>
      </c>
      <c r="E7" t="s">
        <v>996</v>
      </c>
      <c r="G7" t="s">
        <v>997</v>
      </c>
      <c r="K7" s="28" t="s">
        <v>949</v>
      </c>
    </row>
    <row r="8" spans="1:11">
      <c r="A8" s="17" t="s">
        <v>912</v>
      </c>
      <c r="E8" t="s">
        <v>1008</v>
      </c>
      <c r="G8" t="s">
        <v>1009</v>
      </c>
      <c r="K8" s="29" t="s">
        <v>957</v>
      </c>
    </row>
    <row r="9" spans="1:11">
      <c r="A9" s="18" t="s">
        <v>918</v>
      </c>
      <c r="E9" t="s">
        <v>990</v>
      </c>
      <c r="G9" t="s">
        <v>991</v>
      </c>
      <c r="K9" s="29" t="s">
        <v>951</v>
      </c>
    </row>
    <row r="10" spans="1:11">
      <c r="A10" s="17" t="s">
        <v>917</v>
      </c>
      <c r="E10" t="s">
        <v>1012</v>
      </c>
      <c r="G10" t="s">
        <v>1013</v>
      </c>
      <c r="K10" s="29" t="s">
        <v>953</v>
      </c>
    </row>
    <row r="11" spans="1:11">
      <c r="A11" s="18" t="s">
        <v>915</v>
      </c>
      <c r="E11" t="s">
        <v>1014</v>
      </c>
      <c r="G11" t="s">
        <v>1015</v>
      </c>
      <c r="K11" s="29" t="s">
        <v>974</v>
      </c>
    </row>
    <row r="12" spans="1:11">
      <c r="A12" s="17" t="s">
        <v>923</v>
      </c>
      <c r="E12" t="s">
        <v>1002</v>
      </c>
      <c r="G12" t="s">
        <v>1003</v>
      </c>
      <c r="K12" s="28" t="s">
        <v>955</v>
      </c>
    </row>
    <row r="13" spans="1:11">
      <c r="A13" s="18" t="s">
        <v>924</v>
      </c>
      <c r="E13" t="s">
        <v>1010</v>
      </c>
      <c r="G13" t="s">
        <v>1011</v>
      </c>
      <c r="K13" s="28" t="s">
        <v>970</v>
      </c>
    </row>
    <row r="14" spans="1:11">
      <c r="A14" s="17" t="s">
        <v>927</v>
      </c>
      <c r="E14" t="s">
        <v>998</v>
      </c>
      <c r="G14" t="s">
        <v>999</v>
      </c>
      <c r="K14" s="28" t="s">
        <v>976</v>
      </c>
    </row>
    <row r="15" spans="1:11">
      <c r="A15" s="18" t="s">
        <v>920</v>
      </c>
      <c r="E15" t="s">
        <v>992</v>
      </c>
      <c r="G15" t="s">
        <v>993</v>
      </c>
      <c r="K15" s="29" t="s">
        <v>978</v>
      </c>
    </row>
    <row r="16" spans="1:11">
      <c r="A16" s="17" t="s">
        <v>914</v>
      </c>
      <c r="E16" t="s">
        <v>1016</v>
      </c>
      <c r="G16" t="s">
        <v>1017</v>
      </c>
      <c r="K16" s="28" t="s">
        <v>959</v>
      </c>
    </row>
    <row r="17" spans="1:11">
      <c r="A17" s="18" t="s">
        <v>913</v>
      </c>
      <c r="K17" s="28" t="s">
        <v>965</v>
      </c>
    </row>
    <row r="18" spans="1:11">
      <c r="K18" s="29" t="s">
        <v>980</v>
      </c>
    </row>
    <row r="19" spans="1:11">
      <c r="K19" s="29" t="s">
        <v>982</v>
      </c>
    </row>
    <row r="20" spans="1:11">
      <c r="K20" s="29" t="s">
        <v>967</v>
      </c>
    </row>
    <row r="21" spans="1:11">
      <c r="K21" s="29" t="s">
        <v>963</v>
      </c>
    </row>
    <row r="22" spans="1:11">
      <c r="K22" s="29" t="s">
        <v>961</v>
      </c>
    </row>
  </sheetData>
  <sortState xmlns:xlrd2="http://schemas.microsoft.com/office/spreadsheetml/2017/richdata2" ref="A2:A17">
    <sortCondition ref="A2:A17"/>
  </sortState>
  <dataValidations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2026-04-03T08:09:24Z</dcterms:modified>
</cp:coreProperties>
</file>