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0792A63D-09DD-4E43-ADBF-B2F8BC3037A8}" xr6:coauthVersionLast="47" xr6:coauthVersionMax="47" xr10:uidLastSave="{00000000-0000-0000-0000-000000000000}"/>
  <bookViews>
    <workbookView xWindow="-103" yWindow="-103" windowWidth="22149" windowHeight="13320" tabRatio="787" activeTab="5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17" i="24" l="1"/>
  <c r="D817" i="24"/>
  <c r="C817" i="24"/>
  <c r="B817" i="24"/>
  <c r="F817" i="19"/>
  <c r="AF817" i="1"/>
  <c r="H817" i="17"/>
  <c r="AF817" i="17" a="1"/>
  <c r="AE817" i="17"/>
  <c r="O817" i="17"/>
  <c r="L817" i="17"/>
  <c r="E817" i="17"/>
  <c r="P817" i="14"/>
  <c r="O817" i="14"/>
  <c r="N817" i="14"/>
  <c r="M817" i="14"/>
  <c r="L817" i="14"/>
  <c r="K817" i="14"/>
  <c r="J817" i="14"/>
  <c r="I817" i="14"/>
  <c r="H817" i="14"/>
  <c r="B817" i="14"/>
  <c r="AF816" i="1"/>
  <c r="O816" i="17"/>
  <c r="H816" i="17"/>
  <c r="AE816" i="17"/>
  <c r="S816" i="17"/>
  <c r="L816" i="17"/>
  <c r="E816" i="17"/>
  <c r="P816" i="14"/>
  <c r="O816" i="14"/>
  <c r="N816" i="14"/>
  <c r="L816" i="14"/>
  <c r="K816" i="14"/>
  <c r="J816" i="14"/>
  <c r="I816" i="14"/>
  <c r="B816" i="14"/>
  <c r="AF815" i="1"/>
  <c r="H815" i="17"/>
  <c r="AE815" i="17"/>
  <c r="S815" i="17"/>
  <c r="L815" i="17"/>
  <c r="E815" i="17"/>
  <c r="P815" i="14"/>
  <c r="O815" i="14"/>
  <c r="N815" i="14"/>
  <c r="L815" i="14"/>
  <c r="K815" i="14"/>
  <c r="J815" i="14"/>
  <c r="I815" i="14"/>
  <c r="H815" i="14"/>
  <c r="B815" i="14"/>
  <c r="B805" i="14"/>
  <c r="J101" i="17"/>
  <c r="J97" i="17"/>
  <c r="J95" i="17"/>
  <c r="J94" i="17"/>
  <c r="J93" i="17"/>
  <c r="J90" i="17"/>
  <c r="J86" i="17"/>
  <c r="J83" i="17"/>
  <c r="F814" i="19"/>
  <c r="AF814" i="1"/>
  <c r="S814" i="17"/>
  <c r="AE814" i="17"/>
  <c r="L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AE813" i="17"/>
  <c r="S813" i="17"/>
  <c r="L813" i="17"/>
  <c r="AE812" i="17"/>
  <c r="S812" i="17"/>
  <c r="L812" i="17"/>
  <c r="AE811" i="17"/>
  <c r="S811" i="17"/>
  <c r="L811" i="17"/>
  <c r="AE810" i="17"/>
  <c r="S810" i="17"/>
  <c r="L810" i="17"/>
  <c r="AE809" i="17"/>
  <c r="S809" i="17"/>
  <c r="L809" i="17"/>
  <c r="AE807" i="17"/>
  <c r="S807" i="17"/>
  <c r="L807" i="17"/>
  <c r="AE808" i="17"/>
  <c r="S808" i="17"/>
  <c r="L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AE806" i="17"/>
  <c r="AE805" i="17"/>
  <c r="E805" i="17"/>
  <c r="E806" i="17"/>
  <c r="L805" i="17"/>
  <c r="L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E804" i="17"/>
  <c r="S804" i="17"/>
  <c r="U804" i="17" s="1"/>
  <c r="L804" i="17"/>
  <c r="E804" i="17"/>
  <c r="AF804" i="1"/>
  <c r="P804" i="14"/>
  <c r="O804" i="14"/>
  <c r="N804" i="14"/>
  <c r="L804" i="14"/>
  <c r="K804" i="14"/>
  <c r="J804" i="14"/>
  <c r="I804" i="14"/>
  <c r="AE564" i="17"/>
  <c r="AF803" i="1"/>
  <c r="AE803" i="17"/>
  <c r="S803" i="17"/>
  <c r="E803" i="17"/>
  <c r="L803" i="17"/>
  <c r="U803" i="17"/>
  <c r="B803" i="14"/>
  <c r="I803" i="14"/>
  <c r="J803" i="14"/>
  <c r="K803" i="14"/>
  <c r="L803" i="14"/>
  <c r="N803" i="14"/>
  <c r="O803" i="14"/>
  <c r="P803" i="14"/>
  <c r="AF802" i="1"/>
  <c r="AE802" i="17"/>
  <c r="L802" i="17"/>
  <c r="E802" i="17"/>
  <c r="S802" i="17"/>
  <c r="B802" i="14"/>
  <c r="I802" i="14"/>
  <c r="J802" i="14"/>
  <c r="K802" i="14"/>
  <c r="L802" i="14"/>
  <c r="N802" i="14"/>
  <c r="O802" i="14"/>
  <c r="P802" i="14"/>
  <c r="AF801" i="1"/>
  <c r="AE801" i="17"/>
  <c r="S801" i="17"/>
  <c r="U801" i="17" s="1"/>
  <c r="L801" i="17"/>
  <c r="E801" i="17"/>
  <c r="B801" i="14"/>
  <c r="I801" i="14"/>
  <c r="J801" i="14"/>
  <c r="K801" i="14"/>
  <c r="L801" i="14"/>
  <c r="N801" i="14"/>
  <c r="O801" i="14"/>
  <c r="P801" i="14"/>
  <c r="F800" i="19"/>
  <c r="AF800" i="1"/>
  <c r="L800" i="17"/>
  <c r="L799" i="17"/>
  <c r="L798" i="17"/>
  <c r="L796" i="17"/>
  <c r="L795" i="17"/>
  <c r="L794" i="17"/>
  <c r="L793" i="17"/>
  <c r="L792" i="17"/>
  <c r="L791" i="17"/>
  <c r="L790" i="17"/>
  <c r="L789" i="17"/>
  <c r="L788" i="17"/>
  <c r="L787" i="17"/>
  <c r="L786" i="17"/>
  <c r="L785" i="17"/>
  <c r="L784" i="17"/>
  <c r="L783" i="17"/>
  <c r="L782" i="17"/>
  <c r="L781" i="17"/>
  <c r="L780" i="17"/>
  <c r="L779" i="17"/>
  <c r="L778" i="17"/>
  <c r="L777" i="17"/>
  <c r="L776" i="17"/>
  <c r="L775" i="17"/>
  <c r="L774" i="17"/>
  <c r="L773" i="17"/>
  <c r="L772" i="17"/>
  <c r="L771" i="17"/>
  <c r="L770" i="17"/>
  <c r="L769" i="17"/>
  <c r="L768" i="17"/>
  <c r="L767" i="17"/>
  <c r="L766" i="17"/>
  <c r="L765" i="17"/>
  <c r="L764" i="17"/>
  <c r="L763" i="17"/>
  <c r="L762" i="17"/>
  <c r="L761" i="17"/>
  <c r="L760" i="17"/>
  <c r="L759" i="17"/>
  <c r="L758" i="17"/>
  <c r="L757" i="17"/>
  <c r="L756" i="17"/>
  <c r="L755" i="17"/>
  <c r="L754" i="17"/>
  <c r="L753" i="17"/>
  <c r="L752" i="17"/>
  <c r="L751" i="17"/>
  <c r="L750" i="17"/>
  <c r="L749" i="17"/>
  <c r="L748" i="17"/>
  <c r="L747" i="17"/>
  <c r="L746" i="17"/>
  <c r="L745" i="17"/>
  <c r="L744" i="17"/>
  <c r="L743" i="17"/>
  <c r="L742" i="17"/>
  <c r="L741" i="17"/>
  <c r="L740" i="17"/>
  <c r="L739" i="17"/>
  <c r="L738" i="17"/>
  <c r="L737" i="17"/>
  <c r="L736" i="17"/>
  <c r="L735" i="17"/>
  <c r="L734" i="17"/>
  <c r="L733" i="17"/>
  <c r="L732" i="17"/>
  <c r="L731" i="17"/>
  <c r="L730" i="17"/>
  <c r="L729" i="17"/>
  <c r="L728" i="17"/>
  <c r="L727" i="17"/>
  <c r="L726" i="17"/>
  <c r="L725" i="17"/>
  <c r="L724" i="17"/>
  <c r="L723" i="17"/>
  <c r="L722" i="17"/>
  <c r="L721" i="17"/>
  <c r="L720" i="17"/>
  <c r="L719" i="17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L676" i="17"/>
  <c r="L675" i="17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L644" i="17"/>
  <c r="L643" i="17"/>
  <c r="L642" i="17"/>
  <c r="L641" i="17"/>
  <c r="L640" i="17"/>
  <c r="L639" i="17"/>
  <c r="L638" i="17"/>
  <c r="L637" i="17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L621" i="17"/>
  <c r="L620" i="17"/>
  <c r="L619" i="17"/>
  <c r="L618" i="17"/>
  <c r="L617" i="17"/>
  <c r="L616" i="17"/>
  <c r="L615" i="17"/>
  <c r="L614" i="17"/>
  <c r="L613" i="17"/>
  <c r="L612" i="17"/>
  <c r="L611" i="17"/>
  <c r="L610" i="17"/>
  <c r="L609" i="17"/>
  <c r="L608" i="17"/>
  <c r="L607" i="17"/>
  <c r="L606" i="17"/>
  <c r="L605" i="17"/>
  <c r="L604" i="17"/>
  <c r="L603" i="17"/>
  <c r="L602" i="17"/>
  <c r="L601" i="17"/>
  <c r="L600" i="17"/>
  <c r="L599" i="17"/>
  <c r="L598" i="17"/>
  <c r="L597" i="17"/>
  <c r="L596" i="17"/>
  <c r="L595" i="17"/>
  <c r="L594" i="17"/>
  <c r="L593" i="17"/>
  <c r="L592" i="17"/>
  <c r="L591" i="17"/>
  <c r="L590" i="17"/>
  <c r="L589" i="17"/>
  <c r="L588" i="17"/>
  <c r="L587" i="17"/>
  <c r="L586" i="17"/>
  <c r="L585" i="17"/>
  <c r="L584" i="17"/>
  <c r="L583" i="17"/>
  <c r="L582" i="17"/>
  <c r="L581" i="17"/>
  <c r="L580" i="17"/>
  <c r="L579" i="17"/>
  <c r="L578" i="17"/>
  <c r="L577" i="17"/>
  <c r="L576" i="17"/>
  <c r="L575" i="17"/>
  <c r="L574" i="17"/>
  <c r="L573" i="17"/>
  <c r="L572" i="17"/>
  <c r="L571" i="17"/>
  <c r="L570" i="17"/>
  <c r="L569" i="17"/>
  <c r="L568" i="17"/>
  <c r="L567" i="17"/>
  <c r="L566" i="17"/>
  <c r="L565" i="17"/>
  <c r="L564" i="17"/>
  <c r="L563" i="17"/>
  <c r="L562" i="17"/>
  <c r="L561" i="17"/>
  <c r="L560" i="17"/>
  <c r="L559" i="17"/>
  <c r="L558" i="17"/>
  <c r="L557" i="17"/>
  <c r="L556" i="17"/>
  <c r="L555" i="17"/>
  <c r="L554" i="17"/>
  <c r="L553" i="17"/>
  <c r="L552" i="17"/>
  <c r="L551" i="17"/>
  <c r="L550" i="17"/>
  <c r="L549" i="17"/>
  <c r="L548" i="17"/>
  <c r="L547" i="17"/>
  <c r="L546" i="17"/>
  <c r="L545" i="17"/>
  <c r="L544" i="17"/>
  <c r="L543" i="17"/>
  <c r="L542" i="17"/>
  <c r="L541" i="17"/>
  <c r="L540" i="17"/>
  <c r="L539" i="17"/>
  <c r="L538" i="17"/>
  <c r="L537" i="17"/>
  <c r="L536" i="17"/>
  <c r="L535" i="17"/>
  <c r="L534" i="17"/>
  <c r="L533" i="17"/>
  <c r="L532" i="17"/>
  <c r="L531" i="17"/>
  <c r="L530" i="17"/>
  <c r="L529" i="17"/>
  <c r="L528" i="17"/>
  <c r="L527" i="17"/>
  <c r="L526" i="17"/>
  <c r="L525" i="17"/>
  <c r="L524" i="17"/>
  <c r="L523" i="17"/>
  <c r="L522" i="17"/>
  <c r="L521" i="17"/>
  <c r="L520" i="17"/>
  <c r="L519" i="17"/>
  <c r="L518" i="17"/>
  <c r="L517" i="17"/>
  <c r="L516" i="17"/>
  <c r="L515" i="17"/>
  <c r="L514" i="17"/>
  <c r="L513" i="17"/>
  <c r="L512" i="17"/>
  <c r="L511" i="17"/>
  <c r="L510" i="17"/>
  <c r="L509" i="17"/>
  <c r="L508" i="17"/>
  <c r="L507" i="17"/>
  <c r="L506" i="17"/>
  <c r="L505" i="17"/>
  <c r="L504" i="17"/>
  <c r="L503" i="17"/>
  <c r="L502" i="17"/>
  <c r="L501" i="17"/>
  <c r="L500" i="17"/>
  <c r="L499" i="17"/>
  <c r="L498" i="17"/>
  <c r="L497" i="17"/>
  <c r="L496" i="17"/>
  <c r="L495" i="17"/>
  <c r="L494" i="17"/>
  <c r="L493" i="17"/>
  <c r="L492" i="17"/>
  <c r="L491" i="17"/>
  <c r="L490" i="17"/>
  <c r="L489" i="17"/>
  <c r="L488" i="17"/>
  <c r="L487" i="17"/>
  <c r="L486" i="17"/>
  <c r="L485" i="17"/>
  <c r="L484" i="17"/>
  <c r="L483" i="17"/>
  <c r="L482" i="17"/>
  <c r="L481" i="17"/>
  <c r="L480" i="17"/>
  <c r="L479" i="17"/>
  <c r="L478" i="17"/>
  <c r="L477" i="17"/>
  <c r="L476" i="17"/>
  <c r="L475" i="17"/>
  <c r="L474" i="17"/>
  <c r="L473" i="17"/>
  <c r="L472" i="17"/>
  <c r="L471" i="17"/>
  <c r="L470" i="17"/>
  <c r="L469" i="17"/>
  <c r="L468" i="17"/>
  <c r="L467" i="17"/>
  <c r="L466" i="17"/>
  <c r="L465" i="17"/>
  <c r="L464" i="17"/>
  <c r="L463" i="17"/>
  <c r="L462" i="17"/>
  <c r="L461" i="17"/>
  <c r="L460" i="17"/>
  <c r="L459" i="17"/>
  <c r="L458" i="17"/>
  <c r="L457" i="17"/>
  <c r="L456" i="17"/>
  <c r="L455" i="17"/>
  <c r="L454" i="17"/>
  <c r="L453" i="17"/>
  <c r="L452" i="17"/>
  <c r="L451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30" i="17"/>
  <c r="L429" i="17"/>
  <c r="L428" i="17"/>
  <c r="L427" i="17"/>
  <c r="L426" i="17"/>
  <c r="L425" i="17"/>
  <c r="L424" i="17"/>
  <c r="L423" i="17"/>
  <c r="L422" i="17"/>
  <c r="L421" i="17"/>
  <c r="L420" i="17"/>
  <c r="L419" i="17"/>
  <c r="L418" i="17"/>
  <c r="L417" i="17"/>
  <c r="L416" i="17"/>
  <c r="L415" i="17"/>
  <c r="L414" i="17"/>
  <c r="L413" i="17"/>
  <c r="L412" i="17"/>
  <c r="L411" i="17"/>
  <c r="L410" i="17"/>
  <c r="L409" i="17"/>
  <c r="L408" i="17"/>
  <c r="L407" i="17"/>
  <c r="L406" i="17"/>
  <c r="L405" i="17"/>
  <c r="L404" i="17"/>
  <c r="L403" i="17"/>
  <c r="L402" i="17"/>
  <c r="L401" i="17"/>
  <c r="L400" i="17"/>
  <c r="L399" i="17"/>
  <c r="L398" i="17"/>
  <c r="L397" i="17"/>
  <c r="L396" i="17"/>
  <c r="L395" i="17"/>
  <c r="L394" i="17"/>
  <c r="L393" i="17"/>
  <c r="L392" i="17"/>
  <c r="L391" i="17"/>
  <c r="L390" i="17"/>
  <c r="L389" i="17"/>
  <c r="L388" i="17"/>
  <c r="L387" i="17"/>
  <c r="L386" i="17"/>
  <c r="L385" i="17"/>
  <c r="L384" i="17"/>
  <c r="L383" i="17"/>
  <c r="L382" i="17"/>
  <c r="L381" i="17"/>
  <c r="L380" i="17"/>
  <c r="L379" i="17"/>
  <c r="L378" i="17"/>
  <c r="L377" i="17"/>
  <c r="L376" i="17"/>
  <c r="L375" i="17"/>
  <c r="L374" i="17"/>
  <c r="L373" i="17"/>
  <c r="L372" i="17"/>
  <c r="L371" i="17"/>
  <c r="L370" i="17"/>
  <c r="L369" i="17"/>
  <c r="L368" i="17"/>
  <c r="L367" i="17"/>
  <c r="L366" i="17"/>
  <c r="L365" i="17"/>
  <c r="L364" i="17"/>
  <c r="L363" i="17"/>
  <c r="L362" i="17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AE800" i="17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AE799" i="17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E798" i="17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AE797" i="17"/>
  <c r="E797" i="17"/>
  <c r="L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AE796" i="17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AE795" i="17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E794" i="17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AE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E792" i="17"/>
  <c r="A2" i="24" a="1"/>
  <c r="AE2" i="17"/>
  <c r="AE3" i="17"/>
  <c r="AE4" i="17"/>
  <c r="AE5" i="17"/>
  <c r="AE6" i="17"/>
  <c r="AE7" i="17"/>
  <c r="AE8" i="17"/>
  <c r="AE9" i="17"/>
  <c r="AE10" i="17"/>
  <c r="AE11" i="17"/>
  <c r="AE12" i="17"/>
  <c r="AE13" i="17"/>
  <c r="AE14" i="17"/>
  <c r="AE15" i="17"/>
  <c r="AE16" i="17"/>
  <c r="AE17" i="17"/>
  <c r="AE18" i="17"/>
  <c r="AE19" i="17"/>
  <c r="AE20" i="17"/>
  <c r="AE21" i="17"/>
  <c r="AE22" i="17"/>
  <c r="AE23" i="17"/>
  <c r="AE24" i="17"/>
  <c r="AE25" i="17"/>
  <c r="AE26" i="17"/>
  <c r="AE27" i="17"/>
  <c r="AE28" i="17"/>
  <c r="AE29" i="17"/>
  <c r="AE30" i="17"/>
  <c r="AE31" i="17"/>
  <c r="AE32" i="17"/>
  <c r="AE33" i="17"/>
  <c r="AE34" i="17"/>
  <c r="AE35" i="17"/>
  <c r="AE36" i="17"/>
  <c r="AE37" i="17"/>
  <c r="AE38" i="17"/>
  <c r="AE39" i="17"/>
  <c r="AE40" i="17"/>
  <c r="AE41" i="17"/>
  <c r="AE42" i="17"/>
  <c r="AE43" i="17"/>
  <c r="AE44" i="17"/>
  <c r="AE45" i="17"/>
  <c r="AE46" i="17"/>
  <c r="AE47" i="17"/>
  <c r="AE48" i="17"/>
  <c r="AE49" i="17"/>
  <c r="AE50" i="17"/>
  <c r="AE51" i="17"/>
  <c r="AE52" i="17"/>
  <c r="AE53" i="17"/>
  <c r="AE54" i="17"/>
  <c r="AE55" i="17"/>
  <c r="AE56" i="17"/>
  <c r="AE57" i="17"/>
  <c r="AE58" i="17"/>
  <c r="AE59" i="17"/>
  <c r="AE60" i="17"/>
  <c r="AE61" i="17"/>
  <c r="AE62" i="17"/>
  <c r="AE63" i="17"/>
  <c r="AE64" i="17"/>
  <c r="AE65" i="17"/>
  <c r="AE66" i="17"/>
  <c r="AE67" i="17"/>
  <c r="AE68" i="17"/>
  <c r="AE69" i="17"/>
  <c r="AE70" i="17"/>
  <c r="AE71" i="17"/>
  <c r="AE72" i="17"/>
  <c r="AE73" i="17"/>
  <c r="AE74" i="17"/>
  <c r="AE75" i="17"/>
  <c r="AE76" i="17"/>
  <c r="AE77" i="17"/>
  <c r="AE78" i="17"/>
  <c r="AE79" i="17"/>
  <c r="AE80" i="17"/>
  <c r="AE81" i="17"/>
  <c r="AE82" i="17"/>
  <c r="AE83" i="17"/>
  <c r="AE84" i="17"/>
  <c r="AE85" i="17"/>
  <c r="AE86" i="17"/>
  <c r="AE87" i="17"/>
  <c r="AE88" i="17"/>
  <c r="AE89" i="17"/>
  <c r="AE90" i="17"/>
  <c r="AE91" i="17"/>
  <c r="AE92" i="17"/>
  <c r="AE93" i="17"/>
  <c r="AE94" i="17"/>
  <c r="AE95" i="17"/>
  <c r="AE96" i="17"/>
  <c r="AE97" i="17"/>
  <c r="AE98" i="17"/>
  <c r="AE99" i="17"/>
  <c r="AE100" i="17"/>
  <c r="AE101" i="17"/>
  <c r="AE102" i="17"/>
  <c r="AE103" i="17"/>
  <c r="AE104" i="17"/>
  <c r="AE105" i="17"/>
  <c r="AE106" i="17"/>
  <c r="AE107" i="17"/>
  <c r="AE108" i="17"/>
  <c r="AE109" i="17"/>
  <c r="AE110" i="17"/>
  <c r="AE111" i="17"/>
  <c r="AE112" i="17"/>
  <c r="AE113" i="17"/>
  <c r="AE114" i="17"/>
  <c r="AE115" i="17"/>
  <c r="AE116" i="17"/>
  <c r="AE117" i="17"/>
  <c r="AE118" i="17"/>
  <c r="AE119" i="17"/>
  <c r="AE120" i="17"/>
  <c r="AE121" i="17"/>
  <c r="AE122" i="17"/>
  <c r="AE123" i="17"/>
  <c r="AE124" i="17"/>
  <c r="AE125" i="17"/>
  <c r="AE126" i="17"/>
  <c r="AE127" i="17"/>
  <c r="AE128" i="17"/>
  <c r="AE129" i="17"/>
  <c r="AE130" i="17"/>
  <c r="AE131" i="17"/>
  <c r="AE132" i="17"/>
  <c r="AE133" i="17"/>
  <c r="AE134" i="17"/>
  <c r="AE135" i="17"/>
  <c r="AE136" i="17"/>
  <c r="AE137" i="17"/>
  <c r="AE138" i="17"/>
  <c r="AE139" i="17"/>
  <c r="AE140" i="17"/>
  <c r="AE141" i="17"/>
  <c r="AE142" i="17"/>
  <c r="AE143" i="17"/>
  <c r="AE144" i="17"/>
  <c r="AE145" i="17"/>
  <c r="AE146" i="17"/>
  <c r="AE147" i="17"/>
  <c r="AE148" i="17"/>
  <c r="AE149" i="17"/>
  <c r="AE150" i="17"/>
  <c r="AE151" i="17"/>
  <c r="AE152" i="17"/>
  <c r="AE153" i="17"/>
  <c r="AE154" i="17"/>
  <c r="AE155" i="17"/>
  <c r="AE156" i="17"/>
  <c r="AE157" i="17"/>
  <c r="AE158" i="17"/>
  <c r="AE159" i="17"/>
  <c r="AE160" i="17"/>
  <c r="AE161" i="17"/>
  <c r="AE162" i="17"/>
  <c r="AE163" i="17"/>
  <c r="AE164" i="17"/>
  <c r="AE165" i="17"/>
  <c r="AE166" i="17"/>
  <c r="AE167" i="17"/>
  <c r="AE168" i="17"/>
  <c r="AE169" i="17"/>
  <c r="AE170" i="17"/>
  <c r="AE171" i="17"/>
  <c r="AE172" i="17"/>
  <c r="AE173" i="17"/>
  <c r="AE174" i="17"/>
  <c r="AE175" i="17"/>
  <c r="AE176" i="17"/>
  <c r="AE177" i="17"/>
  <c r="AE178" i="17"/>
  <c r="AE179" i="17"/>
  <c r="AE180" i="17"/>
  <c r="AE181" i="17"/>
  <c r="AE182" i="17"/>
  <c r="AE183" i="17"/>
  <c r="AE184" i="17"/>
  <c r="AE185" i="17"/>
  <c r="AE186" i="17"/>
  <c r="AE187" i="17"/>
  <c r="AE188" i="17"/>
  <c r="AE189" i="17"/>
  <c r="AE190" i="17"/>
  <c r="AE191" i="17"/>
  <c r="AE192" i="17"/>
  <c r="AE193" i="17"/>
  <c r="AE194" i="17"/>
  <c r="AE195" i="17"/>
  <c r="AE196" i="17"/>
  <c r="AE197" i="17"/>
  <c r="AE198" i="17"/>
  <c r="AE199" i="17"/>
  <c r="AE200" i="17"/>
  <c r="AE201" i="17"/>
  <c r="AE202" i="17"/>
  <c r="AE203" i="17"/>
  <c r="AE204" i="17"/>
  <c r="AE205" i="17"/>
  <c r="AE206" i="17"/>
  <c r="AE207" i="17"/>
  <c r="AE208" i="17"/>
  <c r="AE209" i="17"/>
  <c r="AE210" i="17"/>
  <c r="AE211" i="17"/>
  <c r="AE212" i="17"/>
  <c r="AE213" i="17"/>
  <c r="AE214" i="17"/>
  <c r="AE215" i="17"/>
  <c r="AE216" i="17"/>
  <c r="AE217" i="17"/>
  <c r="AE218" i="17"/>
  <c r="AE219" i="17"/>
  <c r="AE220" i="17"/>
  <c r="AE221" i="17"/>
  <c r="AE222" i="17"/>
  <c r="AE223" i="17"/>
  <c r="AE224" i="17"/>
  <c r="AE225" i="17"/>
  <c r="AE226" i="17"/>
  <c r="AE227" i="17"/>
  <c r="AE228" i="17"/>
  <c r="AE229" i="17"/>
  <c r="AE230" i="17"/>
  <c r="AE231" i="17"/>
  <c r="AE232" i="17"/>
  <c r="AE233" i="17"/>
  <c r="AE234" i="17"/>
  <c r="AE235" i="17"/>
  <c r="AE236" i="17"/>
  <c r="AE237" i="17"/>
  <c r="AE238" i="17"/>
  <c r="AE239" i="17"/>
  <c r="AE240" i="17"/>
  <c r="AE241" i="17"/>
  <c r="AE242" i="17"/>
  <c r="AE243" i="17"/>
  <c r="AE244" i="17"/>
  <c r="AE245" i="17"/>
  <c r="AE246" i="17"/>
  <c r="AE247" i="17"/>
  <c r="AE248" i="17"/>
  <c r="AE249" i="17"/>
  <c r="AE250" i="17"/>
  <c r="AE251" i="17"/>
  <c r="AE252" i="17"/>
  <c r="AE253" i="17"/>
  <c r="AE254" i="17"/>
  <c r="AE255" i="17"/>
  <c r="AE256" i="17"/>
  <c r="AE257" i="17"/>
  <c r="AE258" i="17"/>
  <c r="AE259" i="17"/>
  <c r="AE260" i="17"/>
  <c r="AE261" i="17"/>
  <c r="AE262" i="17"/>
  <c r="AE263" i="17"/>
  <c r="AE264" i="17"/>
  <c r="AE265" i="17"/>
  <c r="AE266" i="17"/>
  <c r="AE267" i="17"/>
  <c r="AE268" i="17"/>
  <c r="AE269" i="17"/>
  <c r="AE270" i="17"/>
  <c r="AE271" i="17"/>
  <c r="AE272" i="17"/>
  <c r="AE273" i="17"/>
  <c r="AE274" i="17"/>
  <c r="AE275" i="17"/>
  <c r="AE276" i="17"/>
  <c r="AE277" i="17"/>
  <c r="AE278" i="17"/>
  <c r="AE279" i="17"/>
  <c r="AE280" i="17"/>
  <c r="AE281" i="17"/>
  <c r="AE282" i="17"/>
  <c r="AE283" i="17"/>
  <c r="AE284" i="17"/>
  <c r="AE285" i="17"/>
  <c r="AE286" i="17"/>
  <c r="AE287" i="17"/>
  <c r="AE288" i="17"/>
  <c r="AE289" i="17"/>
  <c r="AE290" i="17"/>
  <c r="AE291" i="17"/>
  <c r="AE292" i="17"/>
  <c r="AE293" i="17"/>
  <c r="AE294" i="17"/>
  <c r="AE295" i="17"/>
  <c r="AE296" i="17"/>
  <c r="AE297" i="17"/>
  <c r="AE298" i="17"/>
  <c r="AE299" i="17"/>
  <c r="AE300" i="17"/>
  <c r="AE301" i="17"/>
  <c r="AE302" i="17"/>
  <c r="AE303" i="17"/>
  <c r="AE304" i="17"/>
  <c r="AE305" i="17"/>
  <c r="AE306" i="17"/>
  <c r="AE307" i="17"/>
  <c r="AE308" i="17"/>
  <c r="AE309" i="17"/>
  <c r="AE310" i="17"/>
  <c r="AE311" i="17"/>
  <c r="AE312" i="17"/>
  <c r="AE313" i="17"/>
  <c r="AE314" i="17"/>
  <c r="AE315" i="17"/>
  <c r="AE316" i="17"/>
  <c r="AE317" i="17"/>
  <c r="AE318" i="17"/>
  <c r="AE319" i="17"/>
  <c r="AE320" i="17"/>
  <c r="AE321" i="17"/>
  <c r="AE322" i="17"/>
  <c r="AE323" i="17"/>
  <c r="AE324" i="17"/>
  <c r="AE325" i="17"/>
  <c r="AE326" i="17"/>
  <c r="AE327" i="17"/>
  <c r="AE328" i="17"/>
  <c r="AE329" i="17"/>
  <c r="AE330" i="17"/>
  <c r="AE331" i="17"/>
  <c r="AE332" i="17"/>
  <c r="AE333" i="17"/>
  <c r="AE334" i="17"/>
  <c r="AE335" i="17"/>
  <c r="AE336" i="17"/>
  <c r="AE337" i="17"/>
  <c r="AE338" i="17"/>
  <c r="AE339" i="17"/>
  <c r="AE340" i="17"/>
  <c r="AE341" i="17"/>
  <c r="AE342" i="17"/>
  <c r="AE343" i="17"/>
  <c r="AE344" i="17"/>
  <c r="AE345" i="17"/>
  <c r="AE346" i="17"/>
  <c r="AE347" i="17"/>
  <c r="AE348" i="17"/>
  <c r="AE349" i="17"/>
  <c r="AE350" i="17"/>
  <c r="AE351" i="17"/>
  <c r="AE352" i="17"/>
  <c r="AE353" i="17"/>
  <c r="AE354" i="17"/>
  <c r="AE355" i="17"/>
  <c r="AE356" i="17"/>
  <c r="AE357" i="17"/>
  <c r="AE358" i="17"/>
  <c r="AE359" i="17"/>
  <c r="AE360" i="17"/>
  <c r="AE361" i="17"/>
  <c r="AE362" i="17"/>
  <c r="AE363" i="17"/>
  <c r="AE364" i="17"/>
  <c r="AE365" i="17"/>
  <c r="AE366" i="17"/>
  <c r="AE367" i="17"/>
  <c r="AE368" i="17"/>
  <c r="AE369" i="17"/>
  <c r="AE370" i="17"/>
  <c r="AE371" i="17"/>
  <c r="AE372" i="17"/>
  <c r="AE373" i="17"/>
  <c r="AE374" i="17"/>
  <c r="AE375" i="17"/>
  <c r="AE376" i="17"/>
  <c r="AE377" i="17"/>
  <c r="AE378" i="17"/>
  <c r="AE379" i="17"/>
  <c r="AE380" i="17"/>
  <c r="AE381" i="17"/>
  <c r="AE382" i="17"/>
  <c r="AE383" i="17"/>
  <c r="AE384" i="17"/>
  <c r="AE385" i="17"/>
  <c r="AE386" i="17"/>
  <c r="AE387" i="17"/>
  <c r="AE388" i="17"/>
  <c r="AE389" i="17"/>
  <c r="AE390" i="17"/>
  <c r="AE391" i="17"/>
  <c r="AE392" i="17"/>
  <c r="AE393" i="17"/>
  <c r="AE394" i="17"/>
  <c r="AE395" i="17"/>
  <c r="AE396" i="17"/>
  <c r="AE397" i="17"/>
  <c r="AE398" i="17"/>
  <c r="AE399" i="17"/>
  <c r="AE400" i="17"/>
  <c r="AE401" i="17"/>
  <c r="AE402" i="17"/>
  <c r="AE403" i="17"/>
  <c r="AE404" i="17"/>
  <c r="AE405" i="17"/>
  <c r="AE406" i="17"/>
  <c r="AE407" i="17"/>
  <c r="AE408" i="17"/>
  <c r="AE409" i="17"/>
  <c r="AE410" i="17"/>
  <c r="AE411" i="17"/>
  <c r="AE412" i="17"/>
  <c r="AE413" i="17"/>
  <c r="AE414" i="17"/>
  <c r="AE415" i="17"/>
  <c r="AE416" i="17"/>
  <c r="AE417" i="17"/>
  <c r="AE418" i="17"/>
  <c r="AE419" i="17"/>
  <c r="AE420" i="17"/>
  <c r="AE421" i="17"/>
  <c r="AE422" i="17"/>
  <c r="AE423" i="17"/>
  <c r="AE424" i="17"/>
  <c r="AE425" i="17"/>
  <c r="AE426" i="17"/>
  <c r="AE427" i="17"/>
  <c r="AE428" i="17"/>
  <c r="AE429" i="17"/>
  <c r="AE430" i="17"/>
  <c r="AE431" i="17"/>
  <c r="AE432" i="17"/>
  <c r="AE433" i="17"/>
  <c r="AE434" i="17"/>
  <c r="AE435" i="17"/>
  <c r="AE436" i="17"/>
  <c r="AE437" i="17"/>
  <c r="AE438" i="17"/>
  <c r="AE439" i="17"/>
  <c r="AE440" i="17"/>
  <c r="AE441" i="17"/>
  <c r="AE442" i="17"/>
  <c r="AE443" i="17"/>
  <c r="AE444" i="17"/>
  <c r="AE445" i="17"/>
  <c r="AE446" i="17"/>
  <c r="AE447" i="17"/>
  <c r="AE448" i="17"/>
  <c r="AE449" i="17"/>
  <c r="AE450" i="17"/>
  <c r="AE451" i="17"/>
  <c r="AE452" i="17"/>
  <c r="AE453" i="17"/>
  <c r="AE454" i="17"/>
  <c r="AE455" i="17"/>
  <c r="AE456" i="17"/>
  <c r="AE457" i="17"/>
  <c r="AE458" i="17"/>
  <c r="AE459" i="17"/>
  <c r="AE460" i="17"/>
  <c r="AE461" i="17"/>
  <c r="AE462" i="17"/>
  <c r="AE463" i="17"/>
  <c r="AE464" i="17"/>
  <c r="AE465" i="17"/>
  <c r="AE466" i="17"/>
  <c r="AE467" i="17"/>
  <c r="AE468" i="17"/>
  <c r="AE469" i="17"/>
  <c r="AE470" i="17"/>
  <c r="AE471" i="17"/>
  <c r="AE472" i="17"/>
  <c r="AE473" i="17"/>
  <c r="AE474" i="17"/>
  <c r="AE475" i="17"/>
  <c r="AE476" i="17"/>
  <c r="AE477" i="17"/>
  <c r="AE478" i="17"/>
  <c r="AE479" i="17"/>
  <c r="AE480" i="17"/>
  <c r="AE481" i="17"/>
  <c r="AE482" i="17"/>
  <c r="AE483" i="17"/>
  <c r="AE484" i="17"/>
  <c r="AE485" i="17"/>
  <c r="AE486" i="17"/>
  <c r="AE487" i="17"/>
  <c r="AE488" i="17"/>
  <c r="AE489" i="17"/>
  <c r="AE490" i="17"/>
  <c r="AE491" i="17"/>
  <c r="AE492" i="17"/>
  <c r="AE493" i="17"/>
  <c r="AE494" i="17"/>
  <c r="AE495" i="17"/>
  <c r="AE496" i="17"/>
  <c r="AE497" i="17"/>
  <c r="AE498" i="17"/>
  <c r="AE499" i="17"/>
  <c r="AE500" i="17"/>
  <c r="AE501" i="17"/>
  <c r="AE502" i="17"/>
  <c r="AE503" i="17"/>
  <c r="AE504" i="17"/>
  <c r="AE505" i="17"/>
  <c r="AE506" i="17"/>
  <c r="AE507" i="17"/>
  <c r="AE508" i="17"/>
  <c r="AE509" i="17"/>
  <c r="AE510" i="17"/>
  <c r="AE511" i="17"/>
  <c r="AE512" i="17"/>
  <c r="AE513" i="17"/>
  <c r="AE514" i="17"/>
  <c r="AE515" i="17"/>
  <c r="AE516" i="17"/>
  <c r="AE517" i="17"/>
  <c r="AE518" i="17"/>
  <c r="AE519" i="17"/>
  <c r="AE520" i="17"/>
  <c r="AE521" i="17"/>
  <c r="AE522" i="17"/>
  <c r="AE523" i="17"/>
  <c r="AE524" i="17"/>
  <c r="AE525" i="17"/>
  <c r="AE526" i="17"/>
  <c r="AE527" i="17"/>
  <c r="AE528" i="17"/>
  <c r="AE529" i="17"/>
  <c r="AE530" i="17"/>
  <c r="AE531" i="17"/>
  <c r="AE532" i="17"/>
  <c r="AE533" i="17"/>
  <c r="AE534" i="17"/>
  <c r="AE535" i="17"/>
  <c r="AE536" i="17"/>
  <c r="AE537" i="17"/>
  <c r="AE538" i="17"/>
  <c r="AE539" i="17"/>
  <c r="AE540" i="17"/>
  <c r="AE541" i="17"/>
  <c r="AE542" i="17"/>
  <c r="AE543" i="17"/>
  <c r="AE544" i="17"/>
  <c r="AE545" i="17"/>
  <c r="AE546" i="17"/>
  <c r="AE547" i="17"/>
  <c r="AE548" i="17"/>
  <c r="AE549" i="17"/>
  <c r="AE550" i="17"/>
  <c r="AE551" i="17"/>
  <c r="AE552" i="17"/>
  <c r="AE553" i="17"/>
  <c r="AE554" i="17"/>
  <c r="AE555" i="17"/>
  <c r="AE556" i="17"/>
  <c r="AE557" i="17"/>
  <c r="AE558" i="17"/>
  <c r="AE559" i="17"/>
  <c r="AE560" i="17"/>
  <c r="AE561" i="17"/>
  <c r="AE562" i="17"/>
  <c r="AE563" i="17"/>
  <c r="AE565" i="17"/>
  <c r="AE566" i="17"/>
  <c r="AE567" i="17"/>
  <c r="AE568" i="17"/>
  <c r="AE569" i="17"/>
  <c r="AE570" i="17"/>
  <c r="AE571" i="17"/>
  <c r="AE572" i="17"/>
  <c r="AE573" i="17"/>
  <c r="AE574" i="17"/>
  <c r="AE575" i="17"/>
  <c r="AE576" i="17"/>
  <c r="AE577" i="17"/>
  <c r="AE578" i="17"/>
  <c r="AE579" i="17"/>
  <c r="AE580" i="17"/>
  <c r="AE581" i="17"/>
  <c r="AE582" i="17"/>
  <c r="AE583" i="17"/>
  <c r="AE584" i="17"/>
  <c r="AE585" i="17"/>
  <c r="AE586" i="17"/>
  <c r="AE587" i="17"/>
  <c r="AE588" i="17"/>
  <c r="AE589" i="17"/>
  <c r="AE590" i="17"/>
  <c r="AE591" i="17"/>
  <c r="AE592" i="17"/>
  <c r="AE593" i="17"/>
  <c r="AE594" i="17"/>
  <c r="AE595" i="17"/>
  <c r="AE596" i="17"/>
  <c r="AE597" i="17"/>
  <c r="AE598" i="17"/>
  <c r="AE599" i="17"/>
  <c r="AE600" i="17"/>
  <c r="AE601" i="17"/>
  <c r="AE602" i="17"/>
  <c r="AE603" i="17"/>
  <c r="AE604" i="17"/>
  <c r="AE605" i="17"/>
  <c r="AE606" i="17"/>
  <c r="AE607" i="17"/>
  <c r="AE608" i="17"/>
  <c r="AE609" i="17"/>
  <c r="AE610" i="17"/>
  <c r="AE611" i="17"/>
  <c r="AE612" i="17"/>
  <c r="AE613" i="17"/>
  <c r="AE614" i="17"/>
  <c r="AE615" i="17"/>
  <c r="AE616" i="17"/>
  <c r="AE617" i="17"/>
  <c r="AE618" i="17"/>
  <c r="AE619" i="17"/>
  <c r="AE620" i="17"/>
  <c r="AE621" i="17"/>
  <c r="AE622" i="17"/>
  <c r="AE623" i="17"/>
  <c r="AE624" i="17"/>
  <c r="AE625" i="17"/>
  <c r="AE626" i="17"/>
  <c r="AE627" i="17"/>
  <c r="AE628" i="17"/>
  <c r="AE629" i="17"/>
  <c r="AE630" i="17"/>
  <c r="AE631" i="17"/>
  <c r="AE632" i="17"/>
  <c r="AE633" i="17"/>
  <c r="AE634" i="17"/>
  <c r="AE635" i="17"/>
  <c r="AE636" i="17"/>
  <c r="AE637" i="17"/>
  <c r="AE638" i="17"/>
  <c r="AE639" i="17"/>
  <c r="AE640" i="17"/>
  <c r="AE641" i="17"/>
  <c r="AE642" i="17"/>
  <c r="AE643" i="17"/>
  <c r="AE644" i="17"/>
  <c r="AE645" i="17"/>
  <c r="AE646" i="17"/>
  <c r="AE647" i="17"/>
  <c r="AE648" i="17"/>
  <c r="AE649" i="17"/>
  <c r="AE650" i="17"/>
  <c r="AE651" i="17"/>
  <c r="AE652" i="17"/>
  <c r="AE653" i="17"/>
  <c r="AE654" i="17"/>
  <c r="AE655" i="17"/>
  <c r="AE656" i="17"/>
  <c r="AE657" i="17"/>
  <c r="AE658" i="17"/>
  <c r="AE659" i="17"/>
  <c r="AE660" i="17"/>
  <c r="AE661" i="17"/>
  <c r="AE662" i="17"/>
  <c r="AE663" i="17"/>
  <c r="AE664" i="17"/>
  <c r="AE665" i="17"/>
  <c r="AE666" i="17"/>
  <c r="AE667" i="17"/>
  <c r="AE668" i="17"/>
  <c r="AE669" i="17"/>
  <c r="AE670" i="17"/>
  <c r="AE671" i="17"/>
  <c r="AE672" i="17"/>
  <c r="AE673" i="17"/>
  <c r="AE674" i="17"/>
  <c r="AE675" i="17"/>
  <c r="AE676" i="17"/>
  <c r="AE677" i="17"/>
  <c r="AE678" i="17"/>
  <c r="AE679" i="17"/>
  <c r="AE680" i="17"/>
  <c r="AE681" i="17"/>
  <c r="AE682" i="17"/>
  <c r="AE683" i="17"/>
  <c r="AE684" i="17"/>
  <c r="AE685" i="17"/>
  <c r="AE686" i="17"/>
  <c r="AE687" i="17"/>
  <c r="AE688" i="17"/>
  <c r="AE689" i="17"/>
  <c r="AE690" i="17"/>
  <c r="AE691" i="17"/>
  <c r="AE692" i="17"/>
  <c r="AE693" i="17"/>
  <c r="AE694" i="17"/>
  <c r="AE695" i="17"/>
  <c r="AE696" i="17"/>
  <c r="AE697" i="17"/>
  <c r="AE698" i="17"/>
  <c r="AE699" i="17"/>
  <c r="AE700" i="17"/>
  <c r="AE701" i="17"/>
  <c r="AE702" i="17"/>
  <c r="AE703" i="17"/>
  <c r="AE704" i="17"/>
  <c r="AE705" i="17"/>
  <c r="AE706" i="17"/>
  <c r="AE707" i="17"/>
  <c r="AE708" i="17"/>
  <c r="AE709" i="17"/>
  <c r="AE710" i="17"/>
  <c r="AE711" i="17"/>
  <c r="AE712" i="17"/>
  <c r="AE713" i="17"/>
  <c r="AE714" i="17"/>
  <c r="AE715" i="17"/>
  <c r="AE716" i="17"/>
  <c r="AE717" i="17"/>
  <c r="AE718" i="17"/>
  <c r="AE719" i="17"/>
  <c r="AE720" i="17"/>
  <c r="AE721" i="17"/>
  <c r="AE722" i="17"/>
  <c r="AE723" i="17"/>
  <c r="AE724" i="17"/>
  <c r="AE725" i="17"/>
  <c r="AE726" i="17"/>
  <c r="AE727" i="17"/>
  <c r="AE728" i="17"/>
  <c r="AE729" i="17"/>
  <c r="AE730" i="17"/>
  <c r="AE731" i="17"/>
  <c r="AE732" i="17"/>
  <c r="AE733" i="17"/>
  <c r="AE734" i="17"/>
  <c r="AE735" i="17"/>
  <c r="AE736" i="17"/>
  <c r="AE737" i="17"/>
  <c r="AE738" i="17"/>
  <c r="AE739" i="17"/>
  <c r="AE740" i="17"/>
  <c r="AE741" i="17"/>
  <c r="AE742" i="17"/>
  <c r="AE743" i="17"/>
  <c r="AE744" i="17"/>
  <c r="AE745" i="17"/>
  <c r="AE746" i="17"/>
  <c r="AE747" i="17"/>
  <c r="AE748" i="17"/>
  <c r="AE749" i="17"/>
  <c r="AE750" i="17"/>
  <c r="AE751" i="17"/>
  <c r="AE752" i="17"/>
  <c r="AE753" i="17"/>
  <c r="AE754" i="17"/>
  <c r="AE755" i="17"/>
  <c r="AE756" i="17"/>
  <c r="AE757" i="17"/>
  <c r="AE758" i="17"/>
  <c r="AE759" i="17"/>
  <c r="AE760" i="17"/>
  <c r="AE761" i="17"/>
  <c r="AE762" i="17"/>
  <c r="AE763" i="17"/>
  <c r="AE764" i="17"/>
  <c r="AE765" i="17"/>
  <c r="AE766" i="17"/>
  <c r="AE767" i="17"/>
  <c r="AE768" i="17"/>
  <c r="AE769" i="17"/>
  <c r="AE770" i="17"/>
  <c r="AE771" i="17"/>
  <c r="AE772" i="17"/>
  <c r="AE773" i="17"/>
  <c r="AE774" i="17"/>
  <c r="AE775" i="17"/>
  <c r="AE776" i="17"/>
  <c r="AE777" i="17"/>
  <c r="AE778" i="17"/>
  <c r="AE779" i="17"/>
  <c r="AE780" i="17"/>
  <c r="AE781" i="17"/>
  <c r="AE782" i="17"/>
  <c r="AE783" i="17"/>
  <c r="AE784" i="17"/>
  <c r="AE785" i="17"/>
  <c r="AE786" i="17"/>
  <c r="AE787" i="17"/>
  <c r="AE788" i="17"/>
  <c r="AE789" i="17"/>
  <c r="AE790" i="17"/>
  <c r="AE791" i="17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F817" i="24" l="1"/>
  <c r="AF817" i="17"/>
  <c r="S817" i="17"/>
  <c r="U817" i="17" s="1"/>
  <c r="AF718" i="17" a="1"/>
  <c r="AF715" i="17" a="1"/>
  <c r="AF713" i="17" a="1"/>
  <c r="AF710" i="17" a="1"/>
  <c r="AF708" i="17" a="1"/>
  <c r="AF705" i="17" a="1"/>
  <c r="AF703" i="17" a="1"/>
  <c r="AF700" i="17" a="1"/>
  <c r="AF698" i="17" a="1"/>
  <c r="AF695" i="17" a="1"/>
  <c r="AF693" i="17" a="1"/>
  <c r="AF690" i="17" a="1"/>
  <c r="AF688" i="17" a="1"/>
  <c r="AF685" i="17" a="1"/>
  <c r="AF682" i="17" a="1"/>
  <c r="AF681" i="17" a="1"/>
  <c r="AF672" i="17" a="1"/>
  <c r="AF671" i="17" a="1"/>
  <c r="AF670" i="17" a="1"/>
  <c r="AF669" i="17" a="1"/>
  <c r="AF668" i="17" a="1"/>
  <c r="AF667" i="17" a="1"/>
  <c r="AF666" i="17" a="1"/>
  <c r="AF665" i="17" a="1"/>
  <c r="AF664" i="17" a="1"/>
  <c r="AF663" i="17" a="1"/>
  <c r="AF662" i="17" a="1"/>
  <c r="AF661" i="17" a="1"/>
  <c r="AF660" i="17" a="1"/>
  <c r="AF659" i="17" a="1"/>
  <c r="AF658" i="17" a="1"/>
  <c r="AF657" i="17" a="1"/>
  <c r="AF656" i="17" a="1"/>
  <c r="AF654" i="17" a="1"/>
  <c r="AF652" i="17" a="1"/>
  <c r="AF650" i="17" a="1"/>
  <c r="AF648" i="17" a="1"/>
  <c r="AF646" i="17" a="1"/>
  <c r="AF644" i="17" a="1"/>
  <c r="AF642" i="17" a="1"/>
  <c r="AF640" i="17" a="1"/>
  <c r="AF638" i="17" a="1"/>
  <c r="AF636" i="17" a="1"/>
  <c r="AF634" i="17" a="1"/>
  <c r="AF632" i="17" a="1"/>
  <c r="AF630" i="17" a="1"/>
  <c r="AF628" i="17" a="1"/>
  <c r="AF625" i="17" a="1"/>
  <c r="AF623" i="17" a="1"/>
  <c r="AF621" i="17" a="1"/>
  <c r="AF619" i="17" a="1"/>
  <c r="AF617" i="17" a="1"/>
  <c r="AF615" i="17" a="1"/>
  <c r="AF613" i="17" a="1"/>
  <c r="AF611" i="17" a="1"/>
  <c r="AF609" i="17" a="1"/>
  <c r="AF607" i="17" a="1"/>
  <c r="AF605" i="17" a="1"/>
  <c r="AF603" i="17" a="1"/>
  <c r="AF601" i="17" a="1"/>
  <c r="AF599" i="17" a="1"/>
  <c r="AF597" i="17" a="1"/>
  <c r="AF595" i="17" a="1"/>
  <c r="AF593" i="17" a="1"/>
  <c r="AF591" i="17" a="1"/>
  <c r="AF589" i="17" a="1"/>
  <c r="AF587" i="17" a="1"/>
  <c r="AF585" i="17" a="1"/>
  <c r="AF583" i="17" a="1"/>
  <c r="AF581" i="17" a="1"/>
  <c r="AF579" i="17" a="1"/>
  <c r="AF577" i="17" a="1"/>
  <c r="AF575" i="17" a="1"/>
  <c r="AF573" i="17" a="1"/>
  <c r="AF571" i="17" a="1"/>
  <c r="AF569" i="17" a="1"/>
  <c r="AF567" i="17" a="1"/>
  <c r="AF565" i="17" a="1"/>
  <c r="AF563" i="17" a="1"/>
  <c r="AF561" i="17" a="1"/>
  <c r="AF559" i="17" a="1"/>
  <c r="AF557" i="17" a="1"/>
  <c r="AF555" i="17" a="1"/>
  <c r="AF553" i="17" a="1"/>
  <c r="AF550" i="17" a="1"/>
  <c r="AF548" i="17" a="1"/>
  <c r="AF546" i="17" a="1"/>
  <c r="AF544" i="17" a="1"/>
  <c r="AF542" i="17" a="1"/>
  <c r="AF539" i="17" a="1"/>
  <c r="AF538" i="17" a="1"/>
  <c r="AF536" i="17" a="1"/>
  <c r="AF534" i="17" a="1"/>
  <c r="AF532" i="17" a="1"/>
  <c r="AF530" i="17" a="1"/>
  <c r="AF528" i="17" a="1"/>
  <c r="AF526" i="17" a="1"/>
  <c r="AF524" i="17" a="1"/>
  <c r="AF522" i="17" a="1"/>
  <c r="AF520" i="17" a="1"/>
  <c r="AF518" i="17" a="1"/>
  <c r="AF517" i="17" a="1"/>
  <c r="AF515" i="17" a="1"/>
  <c r="AF513" i="17" a="1"/>
  <c r="AF511" i="17" a="1"/>
  <c r="AF509" i="17" a="1"/>
  <c r="AF507" i="17" a="1"/>
  <c r="AF505" i="17" a="1"/>
  <c r="AF503" i="17" a="1"/>
  <c r="AF501" i="17" a="1"/>
  <c r="AF499" i="17" a="1"/>
  <c r="AF497" i="17" a="1"/>
  <c r="AF495" i="17" a="1"/>
  <c r="AF493" i="17" a="1"/>
  <c r="AF491" i="17" a="1"/>
  <c r="AF489" i="17" a="1"/>
  <c r="AF487" i="17" a="1"/>
  <c r="AF485" i="17" a="1"/>
  <c r="AF483" i="17" a="1"/>
  <c r="AF481" i="17" a="1"/>
  <c r="AF479" i="17" a="1"/>
  <c r="AF477" i="17" a="1"/>
  <c r="AF475" i="17" a="1"/>
  <c r="AF473" i="17" a="1"/>
  <c r="AF471" i="17" a="1"/>
  <c r="AF469" i="17" a="1"/>
  <c r="AF467" i="17" a="1"/>
  <c r="AF465" i="17" a="1"/>
  <c r="AF463" i="17" a="1"/>
  <c r="AF461" i="17" a="1"/>
  <c r="AF459" i="17" a="1"/>
  <c r="AF457" i="17" a="1"/>
  <c r="AF454" i="17" a="1"/>
  <c r="AF452" i="17" a="1"/>
  <c r="AF450" i="17" a="1"/>
  <c r="AF448" i="17" a="1"/>
  <c r="AF446" i="17" a="1"/>
  <c r="AF444" i="17" a="1"/>
  <c r="AF442" i="17" a="1"/>
  <c r="AF440" i="17" a="1"/>
  <c r="AF438" i="17" a="1"/>
  <c r="AF436" i="17" a="1"/>
  <c r="AF434" i="17" a="1"/>
  <c r="AF432" i="17" a="1"/>
  <c r="AF430" i="17" a="1"/>
  <c r="AF428" i="17" a="1"/>
  <c r="AF425" i="17" a="1"/>
  <c r="AF423" i="17" a="1"/>
  <c r="AF421" i="17" a="1"/>
  <c r="AF420" i="17" a="1"/>
  <c r="AF407" i="17" a="1"/>
  <c r="AF405" i="17" a="1"/>
  <c r="AF403" i="17" a="1"/>
  <c r="AF401" i="17" a="1"/>
  <c r="AF399" i="17" a="1"/>
  <c r="AF397" i="17" a="1"/>
  <c r="AF395" i="17" a="1"/>
  <c r="AF393" i="17" a="1"/>
  <c r="AF391" i="17" a="1"/>
  <c r="AF389" i="17" a="1"/>
  <c r="AF387" i="17" a="1"/>
  <c r="AF271" i="17" a="1"/>
  <c r="AF269" i="17" a="1"/>
  <c r="AF267" i="17" a="1"/>
  <c r="AF265" i="17" a="1"/>
  <c r="AF263" i="17" a="1"/>
  <c r="AF261" i="17" a="1"/>
  <c r="AF259" i="17" a="1"/>
  <c r="AF257" i="17" a="1"/>
  <c r="AF255" i="17" a="1"/>
  <c r="AF252" i="17" a="1"/>
  <c r="AF249" i="17" a="1"/>
  <c r="AF155" i="17" a="1"/>
  <c r="AF154" i="17" a="1"/>
  <c r="AF151" i="17" a="1"/>
  <c r="AF147" i="17" a="1"/>
  <c r="AF145" i="17" a="1"/>
  <c r="AF143" i="17" a="1"/>
  <c r="AF139" i="17" a="1"/>
  <c r="AF136" i="17" a="1"/>
  <c r="AF134" i="17" a="1"/>
  <c r="AF129" i="17" a="1"/>
  <c r="AF126" i="17" a="1"/>
  <c r="AF123" i="17" a="1"/>
  <c r="AF120" i="17" a="1"/>
  <c r="AF117" i="17" a="1"/>
  <c r="AF113" i="17" a="1"/>
  <c r="AF111" i="17" a="1"/>
  <c r="AF108" i="17" a="1"/>
  <c r="AF105" i="17" a="1"/>
  <c r="AF102" i="17" a="1"/>
  <c r="AF100" i="17" a="1"/>
  <c r="AF96" i="17" a="1"/>
  <c r="AF94" i="17" a="1"/>
  <c r="AF91" i="17" a="1"/>
  <c r="AF87" i="17" a="1"/>
  <c r="AF85" i="17" a="1"/>
  <c r="AF82" i="17" a="1"/>
  <c r="AF79" i="17" a="1"/>
  <c r="AF76" i="17" a="1"/>
  <c r="AF72" i="17" a="1"/>
  <c r="AF70" i="17" a="1"/>
  <c r="AF67" i="17" a="1"/>
  <c r="AF64" i="17" a="1"/>
  <c r="AF60" i="17" a="1"/>
  <c r="AF56" i="17" a="1"/>
  <c r="AF55" i="17" a="1"/>
  <c r="AF51" i="17" a="1"/>
  <c r="AF48" i="17" a="1"/>
  <c r="AF46" i="17" a="1"/>
  <c r="AF42" i="17" a="1"/>
  <c r="AF38" i="17" a="1"/>
  <c r="AF36" i="17" a="1"/>
  <c r="AF33" i="17" a="1"/>
  <c r="AF30" i="17" a="1"/>
  <c r="AF247" i="17" a="1"/>
  <c r="AF246" i="17" a="1"/>
  <c r="AF245" i="17" a="1"/>
  <c r="AF244" i="17" a="1"/>
  <c r="AF243" i="17" a="1"/>
  <c r="AF242" i="17" a="1"/>
  <c r="AF241" i="17" a="1"/>
  <c r="AF240" i="17" a="1"/>
  <c r="AF239" i="17" a="1"/>
  <c r="AF238" i="17" a="1"/>
  <c r="AF237" i="17" a="1"/>
  <c r="AF236" i="17" a="1"/>
  <c r="AF235" i="17" a="1"/>
  <c r="AF234" i="17" a="1"/>
  <c r="AF233" i="17" a="1"/>
  <c r="AF232" i="17" a="1"/>
  <c r="AF231" i="17" a="1"/>
  <c r="AF230" i="17" a="1"/>
  <c r="AF229" i="17" a="1"/>
  <c r="AF228" i="17" a="1"/>
  <c r="AF227" i="17" a="1"/>
  <c r="AF226" i="17" a="1"/>
  <c r="AF225" i="17" a="1"/>
  <c r="AF224" i="17" a="1"/>
  <c r="AF223" i="17" a="1"/>
  <c r="AF222" i="17" a="1"/>
  <c r="AF221" i="17" a="1"/>
  <c r="AF220" i="17" a="1"/>
  <c r="AF219" i="17" a="1"/>
  <c r="AF218" i="17" a="1"/>
  <c r="AF217" i="17" a="1"/>
  <c r="AF216" i="17" a="1"/>
  <c r="AF215" i="17" a="1"/>
  <c r="AF214" i="17" a="1"/>
  <c r="AF213" i="17" a="1"/>
  <c r="AF212" i="17" a="1"/>
  <c r="AF211" i="17" a="1"/>
  <c r="AF210" i="17" a="1"/>
  <c r="AF209" i="17" a="1"/>
  <c r="AF208" i="17" a="1"/>
  <c r="AF207" i="17" a="1"/>
  <c r="AF206" i="17" a="1"/>
  <c r="AF205" i="17" a="1"/>
  <c r="AF204" i="17" a="1"/>
  <c r="AF203" i="17" a="1"/>
  <c r="AF202" i="17" a="1"/>
  <c r="AF201" i="17" a="1"/>
  <c r="AF200" i="17" a="1"/>
  <c r="AF199" i="17" a="1"/>
  <c r="AF198" i="17" a="1"/>
  <c r="AF197" i="17" a="1"/>
  <c r="AF196" i="17" a="1"/>
  <c r="AF195" i="17" a="1"/>
  <c r="AF194" i="17" a="1"/>
  <c r="AF193" i="17" a="1"/>
  <c r="AF192" i="17" a="1"/>
  <c r="AF191" i="17" a="1"/>
  <c r="AF190" i="17" a="1"/>
  <c r="AF189" i="17" a="1"/>
  <c r="AF188" i="17" a="1"/>
  <c r="AF187" i="17" a="1"/>
  <c r="AF186" i="17" a="1"/>
  <c r="AF185" i="17" a="1"/>
  <c r="AF184" i="17" a="1"/>
  <c r="AF183" i="17" a="1"/>
  <c r="AF182" i="17" a="1"/>
  <c r="AF181" i="17" a="1"/>
  <c r="AF180" i="17" a="1"/>
  <c r="AF179" i="17" a="1"/>
  <c r="AF178" i="17" a="1"/>
  <c r="AF177" i="17" a="1"/>
  <c r="AF176" i="17" a="1"/>
  <c r="AF175" i="17" a="1"/>
  <c r="AF174" i="17" a="1"/>
  <c r="AF173" i="17" a="1"/>
  <c r="AF172" i="17" a="1"/>
  <c r="AF171" i="17" a="1"/>
  <c r="AF170" i="17" a="1"/>
  <c r="AF169" i="17" a="1"/>
  <c r="AF168" i="17" a="1"/>
  <c r="AF167" i="17" a="1"/>
  <c r="AF166" i="17" a="1"/>
  <c r="AF165" i="17" a="1"/>
  <c r="AF164" i="17" a="1"/>
  <c r="AF163" i="17" a="1"/>
  <c r="AF162" i="17" a="1"/>
  <c r="AF161" i="17" a="1"/>
  <c r="AF160" i="17" a="1"/>
  <c r="AF159" i="17" a="1"/>
  <c r="AF158" i="17" a="1"/>
  <c r="AF157" i="17" a="1"/>
  <c r="AF149" i="17" a="1"/>
  <c r="AF140" i="17" a="1"/>
  <c r="AF131" i="17" a="1"/>
  <c r="AF122" i="17" a="1"/>
  <c r="AF116" i="17" a="1"/>
  <c r="AF107" i="17" a="1"/>
  <c r="AF97" i="17" a="1"/>
  <c r="AF89" i="17" a="1"/>
  <c r="AF81" i="17" a="1"/>
  <c r="AF75" i="17" a="1"/>
  <c r="AF66" i="17" a="1"/>
  <c r="AF61" i="17" a="1"/>
  <c r="AF52" i="17" a="1"/>
  <c r="AF44" i="17" a="1"/>
  <c r="AF39" i="17" a="1"/>
  <c r="AF32" i="17" a="1"/>
  <c r="AF27" i="17" a="1"/>
  <c r="F816" i="19"/>
  <c r="AF722" i="17" a="1"/>
  <c r="AF717" i="17" a="1"/>
  <c r="AF714" i="17" a="1"/>
  <c r="AF712" i="17" a="1"/>
  <c r="AF709" i="17" a="1"/>
  <c r="AF707" i="17" a="1"/>
  <c r="AF704" i="17" a="1"/>
  <c r="AF702" i="17" a="1"/>
  <c r="AF699" i="17" a="1"/>
  <c r="AF697" i="17" a="1"/>
  <c r="AF694" i="17" a="1"/>
  <c r="AF692" i="17" a="1"/>
  <c r="AF689" i="17" a="1"/>
  <c r="AF686" i="17" a="1"/>
  <c r="AF684" i="17" a="1"/>
  <c r="AF655" i="17" a="1"/>
  <c r="AF653" i="17" a="1"/>
  <c r="AF651" i="17" a="1"/>
  <c r="AF649" i="17" a="1"/>
  <c r="AF647" i="17" a="1"/>
  <c r="AF645" i="17" a="1"/>
  <c r="AF643" i="17" a="1"/>
  <c r="AF641" i="17" a="1"/>
  <c r="AF639" i="17" a="1"/>
  <c r="AF637" i="17" a="1"/>
  <c r="AF635" i="17" a="1"/>
  <c r="AF633" i="17" a="1"/>
  <c r="AF631" i="17" a="1"/>
  <c r="AF629" i="17" a="1"/>
  <c r="AF627" i="17" a="1"/>
  <c r="AF626" i="17" a="1"/>
  <c r="AF624" i="17" a="1"/>
  <c r="AF622" i="17" a="1"/>
  <c r="AF620" i="17" a="1"/>
  <c r="AF618" i="17" a="1"/>
  <c r="AF616" i="17" a="1"/>
  <c r="AF614" i="17" a="1"/>
  <c r="AF612" i="17" a="1"/>
  <c r="AF610" i="17" a="1"/>
  <c r="AF608" i="17" a="1"/>
  <c r="AF606" i="17" a="1"/>
  <c r="AF604" i="17" a="1"/>
  <c r="AF602" i="17" a="1"/>
  <c r="AF600" i="17" a="1"/>
  <c r="AF598" i="17" a="1"/>
  <c r="AF596" i="17" a="1"/>
  <c r="AF594" i="17" a="1"/>
  <c r="AF592" i="17" a="1"/>
  <c r="AF590" i="17" a="1"/>
  <c r="AF588" i="17" a="1"/>
  <c r="AF586" i="17" a="1"/>
  <c r="AF584" i="17" a="1"/>
  <c r="AF582" i="17" a="1"/>
  <c r="AF580" i="17" a="1"/>
  <c r="AF578" i="17" a="1"/>
  <c r="AF576" i="17" a="1"/>
  <c r="AF574" i="17" a="1"/>
  <c r="AF572" i="17" a="1"/>
  <c r="AF570" i="17" a="1"/>
  <c r="AF568" i="17" a="1"/>
  <c r="AF566" i="17" a="1"/>
  <c r="AF564" i="17" a="1"/>
  <c r="AF562" i="17" a="1"/>
  <c r="AF560" i="17" a="1"/>
  <c r="AF558" i="17" a="1"/>
  <c r="AF556" i="17" a="1"/>
  <c r="AF554" i="17" a="1"/>
  <c r="AF552" i="17" a="1"/>
  <c r="AF551" i="17" a="1"/>
  <c r="AF549" i="17" a="1"/>
  <c r="AF547" i="17" a="1"/>
  <c r="AF545" i="17" a="1"/>
  <c r="AF543" i="17" a="1"/>
  <c r="AF541" i="17" a="1"/>
  <c r="AF540" i="17" a="1"/>
  <c r="AF537" i="17" a="1"/>
  <c r="AF535" i="17" a="1"/>
  <c r="AF533" i="17" a="1"/>
  <c r="AF531" i="17" a="1"/>
  <c r="AF529" i="17" a="1"/>
  <c r="AF527" i="17" a="1"/>
  <c r="AF525" i="17" a="1"/>
  <c r="AF523" i="17" a="1"/>
  <c r="AF521" i="17" a="1"/>
  <c r="AF519" i="17" a="1"/>
  <c r="AF516" i="17" a="1"/>
  <c r="AF514" i="17" a="1"/>
  <c r="AF512" i="17" a="1"/>
  <c r="AF510" i="17" a="1"/>
  <c r="AF508" i="17" a="1"/>
  <c r="AF506" i="17" a="1"/>
  <c r="AF504" i="17" a="1"/>
  <c r="AF502" i="17" a="1"/>
  <c r="AF500" i="17" a="1"/>
  <c r="AF498" i="17" a="1"/>
  <c r="AF496" i="17" a="1"/>
  <c r="AF494" i="17" a="1"/>
  <c r="AF492" i="17" a="1"/>
  <c r="AF490" i="17" a="1"/>
  <c r="AF488" i="17" a="1"/>
  <c r="AF486" i="17" a="1"/>
  <c r="AF484" i="17" a="1"/>
  <c r="AF482" i="17" a="1"/>
  <c r="AF480" i="17" a="1"/>
  <c r="AF478" i="17" a="1"/>
  <c r="AF476" i="17" a="1"/>
  <c r="AF474" i="17" a="1"/>
  <c r="AF472" i="17" a="1"/>
  <c r="AF470" i="17" a="1"/>
  <c r="AF468" i="17" a="1"/>
  <c r="AF466" i="17" a="1"/>
  <c r="AF464" i="17" a="1"/>
  <c r="AF462" i="17" a="1"/>
  <c r="AF460" i="17" a="1"/>
  <c r="AF458" i="17" a="1"/>
  <c r="AF456" i="17" a="1"/>
  <c r="AF455" i="17" a="1"/>
  <c r="AF453" i="17" a="1"/>
  <c r="AF451" i="17" a="1"/>
  <c r="AF449" i="17" a="1"/>
  <c r="AF447" i="17" a="1"/>
  <c r="AF445" i="17" a="1"/>
  <c r="AF443" i="17" a="1"/>
  <c r="AF441" i="17" a="1"/>
  <c r="AF439" i="17" a="1"/>
  <c r="AF437" i="17" a="1"/>
  <c r="AF435" i="17" a="1"/>
  <c r="AF433" i="17" a="1"/>
  <c r="AF431" i="17" a="1"/>
  <c r="AF429" i="17" a="1"/>
  <c r="AF427" i="17" a="1"/>
  <c r="AF426" i="17" a="1"/>
  <c r="AF424" i="17" a="1"/>
  <c r="AF422" i="17" a="1"/>
  <c r="AF408" i="17" a="1"/>
  <c r="AF406" i="17" a="1"/>
  <c r="AF404" i="17" a="1"/>
  <c r="AF402" i="17" a="1"/>
  <c r="AF400" i="17" a="1"/>
  <c r="AF398" i="17" a="1"/>
  <c r="AF396" i="17" a="1"/>
  <c r="AF394" i="17" a="1"/>
  <c r="AF392" i="17" a="1"/>
  <c r="AF390" i="17" a="1"/>
  <c r="AF388" i="17" a="1"/>
  <c r="AF272" i="17" a="1"/>
  <c r="AF270" i="17" a="1"/>
  <c r="AF268" i="17" a="1"/>
  <c r="AF266" i="17" a="1"/>
  <c r="AF264" i="17" a="1"/>
  <c r="AF262" i="17" a="1"/>
  <c r="AF260" i="17" a="1"/>
  <c r="AF258" i="17" a="1"/>
  <c r="AF256" i="17" a="1"/>
  <c r="AF254" i="17" a="1"/>
  <c r="AF251" i="17" a="1"/>
  <c r="AF250" i="17" a="1"/>
  <c r="AF248" i="17" a="1"/>
  <c r="AF153" i="17" a="1"/>
  <c r="AF150" i="17" a="1"/>
  <c r="AF148" i="17" a="1"/>
  <c r="AF144" i="17" a="1"/>
  <c r="AF141" i="17" a="1"/>
  <c r="AF138" i="17" a="1"/>
  <c r="AF135" i="17" a="1"/>
  <c r="AF133" i="17" a="1"/>
  <c r="AF130" i="17" a="1"/>
  <c r="AF127" i="17" a="1"/>
  <c r="AF125" i="17" a="1"/>
  <c r="AF121" i="17" a="1"/>
  <c r="AF118" i="17" a="1"/>
  <c r="AF114" i="17" a="1"/>
  <c r="AF112" i="17" a="1"/>
  <c r="AF109" i="17" a="1"/>
  <c r="AF106" i="17" a="1"/>
  <c r="AF103" i="17" a="1"/>
  <c r="AF101" i="17" a="1"/>
  <c r="AF98" i="17" a="1"/>
  <c r="AF95" i="17" a="1"/>
  <c r="AF92" i="17" a="1"/>
  <c r="AF90" i="17" a="1"/>
  <c r="AF86" i="17" a="1"/>
  <c r="AF84" i="17" a="1"/>
  <c r="AF80" i="17" a="1"/>
  <c r="AF77" i="17" a="1"/>
  <c r="AF74" i="17" a="1"/>
  <c r="AF71" i="17" a="1"/>
  <c r="AF69" i="17" a="1"/>
  <c r="AF65" i="17" a="1"/>
  <c r="AF62" i="17" a="1"/>
  <c r="AF59" i="17" a="1"/>
  <c r="AF57" i="17" a="1"/>
  <c r="AF54" i="17" a="1"/>
  <c r="AF50" i="17" a="1"/>
  <c r="AF47" i="17" a="1"/>
  <c r="AF45" i="17" a="1"/>
  <c r="AF41" i="17" a="1"/>
  <c r="AF40" i="17" a="1"/>
  <c r="AF35" i="17" a="1"/>
  <c r="AF31" i="17" a="1"/>
  <c r="AF28" i="17" a="1"/>
  <c r="AF716" i="17" a="1"/>
  <c r="AF711" i="17" a="1"/>
  <c r="AF706" i="17" a="1"/>
  <c r="AF701" i="17" a="1"/>
  <c r="AF696" i="17" a="1"/>
  <c r="AF691" i="17" a="1"/>
  <c r="AF687" i="17" a="1"/>
  <c r="AF683" i="17" a="1"/>
  <c r="AF680" i="17" a="1"/>
  <c r="AF679" i="17" a="1"/>
  <c r="AF678" i="17" a="1"/>
  <c r="AF677" i="17" a="1"/>
  <c r="AF676" i="17" a="1"/>
  <c r="AF675" i="17" a="1"/>
  <c r="AF674" i="17" a="1"/>
  <c r="AF673" i="17" a="1"/>
  <c r="AF253" i="17" a="1"/>
  <c r="AF156" i="17" a="1"/>
  <c r="AF152" i="17" a="1"/>
  <c r="AF146" i="17" a="1"/>
  <c r="AF142" i="17" a="1"/>
  <c r="AF137" i="17" a="1"/>
  <c r="AF132" i="17" a="1"/>
  <c r="AF128" i="17" a="1"/>
  <c r="AF124" i="17" a="1"/>
  <c r="AF119" i="17" a="1"/>
  <c r="AF115" i="17" a="1"/>
  <c r="AF110" i="17" a="1"/>
  <c r="AF104" i="17" a="1"/>
  <c r="AF99" i="17" a="1"/>
  <c r="AF93" i="17" a="1"/>
  <c r="AF88" i="17" a="1"/>
  <c r="AF83" i="17" a="1"/>
  <c r="AF78" i="17" a="1"/>
  <c r="AF73" i="17" a="1"/>
  <c r="AF68" i="17" a="1"/>
  <c r="AF63" i="17" a="1"/>
  <c r="AF58" i="17" a="1"/>
  <c r="AF53" i="17" a="1"/>
  <c r="AF49" i="17" a="1"/>
  <c r="AF43" i="17" a="1"/>
  <c r="AF37" i="17" a="1"/>
  <c r="AF34" i="17" a="1"/>
  <c r="AF29" i="17" a="1"/>
  <c r="AF724" i="17" a="1"/>
  <c r="AF721" i="17" a="1"/>
  <c r="AF719" i="17" a="1"/>
  <c r="AF725" i="17" a="1"/>
  <c r="AF720" i="17" a="1"/>
  <c r="AF723" i="17" a="1"/>
  <c r="D816" i="24"/>
  <c r="E816" i="24"/>
  <c r="B816" i="24"/>
  <c r="AF750" i="17" a="1"/>
  <c r="AF745" i="17" a="1"/>
  <c r="AF736" i="17" a="1"/>
  <c r="AF728" i="17" a="1"/>
  <c r="AF386" i="17" a="1"/>
  <c r="AF277" i="17" a="1"/>
  <c r="AF276" i="17" a="1"/>
  <c r="AF275" i="17" a="1"/>
  <c r="AF274" i="17" a="1"/>
  <c r="AF273" i="17" a="1"/>
  <c r="AF740" i="17" a="1"/>
  <c r="AF731" i="17" a="1"/>
  <c r="AF737" i="17" a="1"/>
  <c r="AF739" i="17" a="1"/>
  <c r="AF730" i="17" a="1"/>
  <c r="AF748" i="17" a="1"/>
  <c r="AF742" i="17" a="1"/>
  <c r="AF732" i="17" a="1"/>
  <c r="AF746" i="17" a="1"/>
  <c r="AF729" i="17" a="1"/>
  <c r="AF738" i="17" a="1"/>
  <c r="AF747" i="17" a="1"/>
  <c r="AF743" i="17" a="1"/>
  <c r="AF734" i="17" a="1"/>
  <c r="AF727" i="17" a="1"/>
  <c r="AF753" i="17" a="1"/>
  <c r="AF744" i="17" a="1"/>
  <c r="AF735" i="17" a="1"/>
  <c r="AF726" i="17" a="1"/>
  <c r="AF749" i="17" a="1"/>
  <c r="AF741" i="17" a="1"/>
  <c r="AF733" i="17" a="1"/>
  <c r="AF385" i="17" a="1"/>
  <c r="AF378" i="17" a="1"/>
  <c r="AF377" i="17" a="1"/>
  <c r="AF376" i="17" a="1"/>
  <c r="AF375" i="17" a="1"/>
  <c r="AF374" i="17" a="1"/>
  <c r="AF373" i="17" a="1"/>
  <c r="AF321" i="17" a="1"/>
  <c r="AF320" i="17" a="1"/>
  <c r="AF319" i="17" a="1"/>
  <c r="AF318" i="17" a="1"/>
  <c r="AF317" i="17" a="1"/>
  <c r="AF316" i="17" a="1"/>
  <c r="AF315" i="17" a="1"/>
  <c r="AF314" i="17" a="1"/>
  <c r="AF313" i="17" a="1"/>
  <c r="AF312" i="17" a="1"/>
  <c r="AF311" i="17" a="1"/>
  <c r="AF310" i="17" a="1"/>
  <c r="AF309" i="17" a="1"/>
  <c r="AF308" i="17" a="1"/>
  <c r="AF307" i="17" a="1"/>
  <c r="AF306" i="17" a="1"/>
  <c r="AF305" i="17" a="1"/>
  <c r="AF304" i="17" a="1"/>
  <c r="AF303" i="17" a="1"/>
  <c r="AF302" i="17" a="1"/>
  <c r="AF301" i="17" a="1"/>
  <c r="AF300" i="17" a="1"/>
  <c r="AF299" i="17" a="1"/>
  <c r="AF298" i="17" a="1"/>
  <c r="AF297" i="17" a="1"/>
  <c r="AF296" i="17" a="1"/>
  <c r="AF295" i="17" a="1"/>
  <c r="AF294" i="17" a="1"/>
  <c r="AF293" i="17" a="1"/>
  <c r="AF292" i="17" a="1"/>
  <c r="AF291" i="17" a="1"/>
  <c r="AF290" i="17" a="1"/>
  <c r="AF289" i="17" a="1"/>
  <c r="AF288" i="17" a="1"/>
  <c r="AF287" i="17" a="1"/>
  <c r="AF286" i="17" a="1"/>
  <c r="AF285" i="17" a="1"/>
  <c r="AF284" i="17" a="1"/>
  <c r="AF283" i="17" a="1"/>
  <c r="AF282" i="17" a="1"/>
  <c r="AF281" i="17" a="1"/>
  <c r="AF280" i="17" a="1"/>
  <c r="AF279" i="17" a="1"/>
  <c r="AF278" i="17" a="1"/>
  <c r="AF372" i="17" a="1"/>
  <c r="AF327" i="17" a="1"/>
  <c r="AF326" i="17" a="1"/>
  <c r="AF325" i="17" a="1"/>
  <c r="AF324" i="17" a="1"/>
  <c r="AF323" i="17" a="1"/>
  <c r="AF322" i="17" a="1"/>
  <c r="AF371" i="17" a="1"/>
  <c r="AF370" i="17" a="1"/>
  <c r="AF369" i="17" a="1"/>
  <c r="AF368" i="17" a="1"/>
  <c r="AF367" i="17" a="1"/>
  <c r="AF366" i="17" a="1"/>
  <c r="AF365" i="17" a="1"/>
  <c r="AF342" i="17" a="1"/>
  <c r="AF341" i="17" a="1"/>
  <c r="AF340" i="17" a="1"/>
  <c r="AF339" i="17" a="1"/>
  <c r="AF338" i="17" a="1"/>
  <c r="AF337" i="17" a="1"/>
  <c r="AF336" i="17" a="1"/>
  <c r="AF335" i="17" a="1"/>
  <c r="AF334" i="17" a="1"/>
  <c r="AF333" i="17" a="1"/>
  <c r="AF332" i="17" a="1"/>
  <c r="AF331" i="17" a="1"/>
  <c r="AF330" i="17" a="1"/>
  <c r="AF329" i="17" a="1"/>
  <c r="AF328" i="17" a="1"/>
  <c r="AF816" i="17" a="1"/>
  <c r="U816" i="17"/>
  <c r="H816" i="14"/>
  <c r="E815" i="24"/>
  <c r="D815" i="24"/>
  <c r="B815" i="24"/>
  <c r="F815" i="19"/>
  <c r="AF384" i="17" a="1"/>
  <c r="AF383" i="17" a="1"/>
  <c r="AF382" i="17" a="1"/>
  <c r="AF381" i="17" a="1"/>
  <c r="AF380" i="17" a="1"/>
  <c r="AF379" i="17" a="1"/>
  <c r="AF364" i="17" a="1"/>
  <c r="AF351" i="17" a="1"/>
  <c r="AF350" i="17" a="1"/>
  <c r="AF349" i="17" a="1"/>
  <c r="AF348" i="17" a="1"/>
  <c r="AF347" i="17" a="1"/>
  <c r="AF346" i="17" a="1"/>
  <c r="AF345" i="17" a="1"/>
  <c r="AF344" i="17" a="1"/>
  <c r="AF343" i="17" a="1"/>
  <c r="AF815" i="17" a="1"/>
  <c r="AF815" i="17" s="1"/>
  <c r="C815" i="24" s="1"/>
  <c r="U815" i="17"/>
  <c r="E815" i="14"/>
  <c r="AF755" i="17" a="1"/>
  <c r="AF752" i="17" a="1"/>
  <c r="AF363" i="17" a="1"/>
  <c r="AF362" i="17" a="1"/>
  <c r="AF361" i="17" a="1"/>
  <c r="AF360" i="17" a="1"/>
  <c r="AF359" i="17" a="1"/>
  <c r="AF358" i="17" a="1"/>
  <c r="AF357" i="17" a="1"/>
  <c r="AF356" i="17" a="1"/>
  <c r="AF355" i="17" a="1"/>
  <c r="AF354" i="17" a="1"/>
  <c r="AF353" i="17" a="1"/>
  <c r="AF352" i="17" a="1"/>
  <c r="AF804" i="17" a="1"/>
  <c r="AF754" i="17" a="1"/>
  <c r="AF751" i="17" a="1"/>
  <c r="AF803" i="17" a="1"/>
  <c r="AF802" i="17" a="1"/>
  <c r="AF801" i="17" a="1"/>
  <c r="AF814" i="17" a="1"/>
  <c r="AF807" i="17" a="1"/>
  <c r="AF800" i="17" a="1"/>
  <c r="AF793" i="17" a="1"/>
  <c r="AF784" i="17" a="1"/>
  <c r="AF774" i="17" a="1"/>
  <c r="AF763" i="17" a="1"/>
  <c r="AF419" i="17" a="1"/>
  <c r="AF418" i="17" a="1"/>
  <c r="AF417" i="17" a="1"/>
  <c r="AF416" i="17" a="1"/>
  <c r="AF415" i="17" a="1"/>
  <c r="AF414" i="17" a="1"/>
  <c r="AF413" i="17" a="1"/>
  <c r="AF412" i="17" a="1"/>
  <c r="AF411" i="17" a="1"/>
  <c r="AF410" i="17" a="1"/>
  <c r="AF409" i="17" a="1"/>
  <c r="AF26" i="17" a="1"/>
  <c r="AF25" i="17" a="1"/>
  <c r="AF24" i="17" a="1"/>
  <c r="AF23" i="17" a="1"/>
  <c r="AF22" i="17" a="1"/>
  <c r="AF21" i="17" a="1"/>
  <c r="AF20" i="17" a="1"/>
  <c r="AF19" i="17" a="1"/>
  <c r="AF18" i="17" a="1"/>
  <c r="AF17" i="17" a="1"/>
  <c r="AF16" i="17" a="1"/>
  <c r="AF15" i="17" a="1"/>
  <c r="AF14" i="17" a="1"/>
  <c r="AF13" i="17" a="1"/>
  <c r="AF12" i="17" a="1"/>
  <c r="AF11" i="17" a="1"/>
  <c r="AF10" i="17" a="1"/>
  <c r="AF9" i="17" a="1"/>
  <c r="AF8" i="17" a="1"/>
  <c r="AF7" i="17" a="1"/>
  <c r="AF6" i="17" a="1"/>
  <c r="AF5" i="17" a="1"/>
  <c r="AF4" i="17" a="1"/>
  <c r="AF3" i="17" a="1"/>
  <c r="AF2" i="17" a="1"/>
  <c r="AF813" i="17" a="1"/>
  <c r="AF806" i="17" a="1"/>
  <c r="AF799" i="17" a="1"/>
  <c r="AF791" i="17" a="1"/>
  <c r="AF780" i="17" a="1"/>
  <c r="AF769" i="17" a="1"/>
  <c r="AF758" i="17" a="1"/>
  <c r="AF811" i="17" a="1"/>
  <c r="AF805" i="17" a="1"/>
  <c r="AF798" i="17" a="1"/>
  <c r="AF792" i="17" a="1"/>
  <c r="AF782" i="17" a="1"/>
  <c r="AF772" i="17" a="1"/>
  <c r="AF761" i="17" a="1"/>
  <c r="AF796" i="17" a="1"/>
  <c r="AF789" i="17" a="1"/>
  <c r="AF777" i="17" a="1"/>
  <c r="AF766" i="17" a="1"/>
  <c r="AF794" i="17" a="1"/>
  <c r="AF785" i="17" a="1"/>
  <c r="AF773" i="17" a="1"/>
  <c r="AF762" i="17" a="1"/>
  <c r="AF812" i="17" a="1"/>
  <c r="AF787" i="17" a="1"/>
  <c r="AF776" i="17" a="1"/>
  <c r="AF765" i="17" a="1"/>
  <c r="AF795" i="17" a="1"/>
  <c r="AF783" i="17" a="1"/>
  <c r="AF771" i="17" a="1"/>
  <c r="AF760" i="17" a="1"/>
  <c r="AF781" i="17" a="1"/>
  <c r="AF770" i="17" a="1"/>
  <c r="AF759" i="17" a="1"/>
  <c r="AF810" i="17" a="1"/>
  <c r="AF786" i="17" a="1"/>
  <c r="AF775" i="17" a="1"/>
  <c r="AF764" i="17" a="1"/>
  <c r="AF809" i="17" a="1"/>
  <c r="AF797" i="17" a="1"/>
  <c r="AF790" i="17" a="1"/>
  <c r="AF779" i="17" a="1"/>
  <c r="AF768" i="17" a="1"/>
  <c r="AF756" i="17" a="1"/>
  <c r="AF808" i="17" a="1"/>
  <c r="AF788" i="17" a="1"/>
  <c r="AF778" i="17" a="1"/>
  <c r="AF767" i="17" a="1"/>
  <c r="AF757" i="17" a="1"/>
  <c r="AF635" i="17"/>
  <c r="AF718" i="17"/>
  <c r="AF710" i="17"/>
  <c r="E814" i="24"/>
  <c r="D814" i="24"/>
  <c r="B814" i="24"/>
  <c r="S405" i="17"/>
  <c r="U405" i="17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F812" i="19"/>
  <c r="F810" i="19"/>
  <c r="F808" i="19"/>
  <c r="U813" i="17"/>
  <c r="U812" i="17"/>
  <c r="U811" i="17"/>
  <c r="U810" i="17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H804" i="14"/>
  <c r="E806" i="24"/>
  <c r="D806" i="24"/>
  <c r="B806" i="24"/>
  <c r="E805" i="24"/>
  <c r="D805" i="24"/>
  <c r="B805" i="24"/>
  <c r="F806" i="19"/>
  <c r="F805" i="19"/>
  <c r="U805" i="17"/>
  <c r="E806" i="14"/>
  <c r="H806" i="14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G817" i="24" l="1"/>
  <c r="H817" i="24"/>
  <c r="I817" i="24"/>
  <c r="J817" i="24"/>
  <c r="K817" i="24"/>
  <c r="L817" i="24"/>
  <c r="M817" i="24"/>
  <c r="N817" i="24"/>
  <c r="O817" i="24"/>
  <c r="AF652" i="17"/>
  <c r="AF648" i="17"/>
  <c r="AF642" i="17"/>
  <c r="AF630" i="17"/>
  <c r="AF619" i="17"/>
  <c r="AF613" i="17"/>
  <c r="AF607" i="17"/>
  <c r="AF536" i="17"/>
  <c r="AF528" i="17"/>
  <c r="AF31" i="17"/>
  <c r="AF41" i="17"/>
  <c r="AF45" i="17"/>
  <c r="AF47" i="17"/>
  <c r="E816" i="14"/>
  <c r="E817" i="14"/>
  <c r="AF184" i="17"/>
  <c r="AF747" i="17"/>
  <c r="AF738" i="17"/>
  <c r="AF624" i="17"/>
  <c r="AF556" i="17"/>
  <c r="AF549" i="17"/>
  <c r="AF543" i="17"/>
  <c r="AF521" i="17"/>
  <c r="AF514" i="17"/>
  <c r="AF506" i="17"/>
  <c r="AF498" i="17"/>
  <c r="AF491" i="17"/>
  <c r="AF484" i="17"/>
  <c r="AF478" i="17"/>
  <c r="AF472" i="17"/>
  <c r="AF465" i="17"/>
  <c r="AF458" i="17"/>
  <c r="AF451" i="17"/>
  <c r="AF444" i="17"/>
  <c r="AF437" i="17"/>
  <c r="AF430" i="17"/>
  <c r="AF422" i="17"/>
  <c r="F816" i="24"/>
  <c r="AF394" i="17"/>
  <c r="AF407" i="17"/>
  <c r="AF406" i="17"/>
  <c r="AF398" i="17"/>
  <c r="AF369" i="17"/>
  <c r="AF341" i="17"/>
  <c r="AF340" i="17"/>
  <c r="AF325" i="17"/>
  <c r="AF289" i="17"/>
  <c r="AF288" i="17"/>
  <c r="AF277" i="17"/>
  <c r="AF242" i="17"/>
  <c r="AF228" i="17"/>
  <c r="AF211" i="17"/>
  <c r="AF196" i="17"/>
  <c r="AF137" i="17"/>
  <c r="AF121" i="17"/>
  <c r="AF101" i="17"/>
  <c r="AF80" i="17"/>
  <c r="AF57" i="17"/>
  <c r="AF36" i="17"/>
  <c r="AF604" i="17"/>
  <c r="AF603" i="17"/>
  <c r="AF602" i="17"/>
  <c r="AF601" i="17"/>
  <c r="AF600" i="17"/>
  <c r="AF599" i="17"/>
  <c r="AF598" i="17"/>
  <c r="AF597" i="17"/>
  <c r="AF596" i="17"/>
  <c r="AF595" i="17"/>
  <c r="AF594" i="17"/>
  <c r="AF593" i="17"/>
  <c r="AF592" i="17"/>
  <c r="AF591" i="17"/>
  <c r="AF590" i="17"/>
  <c r="AF589" i="17"/>
  <c r="AF588" i="17"/>
  <c r="AF587" i="17"/>
  <c r="AF586" i="17"/>
  <c r="AF585" i="17"/>
  <c r="AF584" i="17"/>
  <c r="AF583" i="17"/>
  <c r="AF582" i="17"/>
  <c r="AF581" i="17"/>
  <c r="AF580" i="17"/>
  <c r="AF579" i="17"/>
  <c r="AF578" i="17"/>
  <c r="AF577" i="17"/>
  <c r="AF576" i="17"/>
  <c r="AF575" i="17"/>
  <c r="AF574" i="17"/>
  <c r="AF573" i="17"/>
  <c r="AF572" i="17"/>
  <c r="AF571" i="17"/>
  <c r="AF570" i="17"/>
  <c r="AF569" i="17"/>
  <c r="AF568" i="17"/>
  <c r="AF567" i="17"/>
  <c r="AF566" i="17"/>
  <c r="AF565" i="17"/>
  <c r="AF564" i="17"/>
  <c r="AF563" i="17"/>
  <c r="AF562" i="17"/>
  <c r="AF558" i="17"/>
  <c r="AF552" i="17"/>
  <c r="AF551" i="17"/>
  <c r="AF546" i="17"/>
  <c r="AF539" i="17"/>
  <c r="AF531" i="17"/>
  <c r="AF524" i="17"/>
  <c r="AF517" i="17"/>
  <c r="AF502" i="17"/>
  <c r="AF486" i="17"/>
  <c r="AF479" i="17"/>
  <c r="AF473" i="17"/>
  <c r="AF466" i="17"/>
  <c r="AF460" i="17"/>
  <c r="AF452" i="17"/>
  <c r="AF445" i="17"/>
  <c r="AF439" i="17"/>
  <c r="AF425" i="17"/>
  <c r="AF400" i="17"/>
  <c r="AF399" i="17"/>
  <c r="AF269" i="17"/>
  <c r="AF265" i="17"/>
  <c r="AF256" i="17"/>
  <c r="AF248" i="17"/>
  <c r="AF244" i="17"/>
  <c r="AF234" i="17"/>
  <c r="AF230" i="17"/>
  <c r="AF221" i="17"/>
  <c r="AF210" i="17"/>
  <c r="AF205" i="17"/>
  <c r="AF195" i="17"/>
  <c r="AF188" i="17"/>
  <c r="AF150" i="17"/>
  <c r="AF143" i="17"/>
  <c r="AF142" i="17"/>
  <c r="AF128" i="17"/>
  <c r="AF109" i="17"/>
  <c r="AF96" i="17"/>
  <c r="AF74" i="17"/>
  <c r="AF73" i="17"/>
  <c r="AF50" i="17"/>
  <c r="AF49" i="17"/>
  <c r="AF38" i="17"/>
  <c r="AF393" i="17"/>
  <c r="AF392" i="17"/>
  <c r="AF391" i="17"/>
  <c r="AF390" i="17"/>
  <c r="AF389" i="17"/>
  <c r="AF388" i="17"/>
  <c r="AF387" i="17"/>
  <c r="AF260" i="17"/>
  <c r="AF236" i="17"/>
  <c r="AF219" i="17"/>
  <c r="AF193" i="17"/>
  <c r="AF110" i="17"/>
  <c r="AF82" i="17"/>
  <c r="AF56" i="17"/>
  <c r="AF183" i="17"/>
  <c r="AF182" i="17"/>
  <c r="AF181" i="17"/>
  <c r="AF180" i="17"/>
  <c r="AF179" i="17"/>
  <c r="AF178" i="17"/>
  <c r="AF177" i="17"/>
  <c r="AF176" i="17"/>
  <c r="AF175" i="17"/>
  <c r="AF174" i="17"/>
  <c r="AF173" i="17"/>
  <c r="AF172" i="17"/>
  <c r="AF171" i="17"/>
  <c r="AF170" i="17"/>
  <c r="AF169" i="17"/>
  <c r="AF168" i="17"/>
  <c r="AF167" i="17"/>
  <c r="AF166" i="17"/>
  <c r="AF165" i="17"/>
  <c r="AF164" i="17"/>
  <c r="AF163" i="17"/>
  <c r="AF162" i="17"/>
  <c r="AF161" i="17"/>
  <c r="AF160" i="17"/>
  <c r="AF159" i="17"/>
  <c r="AF158" i="17"/>
  <c r="AF132" i="17"/>
  <c r="AF107" i="17"/>
  <c r="AF105" i="17"/>
  <c r="AF81" i="17"/>
  <c r="AF55" i="17"/>
  <c r="AF30" i="17"/>
  <c r="AF698" i="17"/>
  <c r="AF657" i="17"/>
  <c r="AF456" i="17"/>
  <c r="AF700" i="17"/>
  <c r="AF198" i="17"/>
  <c r="AF155" i="17"/>
  <c r="AF136" i="17"/>
  <c r="AF123" i="17"/>
  <c r="AF83" i="17"/>
  <c r="AF716" i="17"/>
  <c r="AF707" i="17"/>
  <c r="AF697" i="17"/>
  <c r="AF680" i="17"/>
  <c r="AF95" i="17"/>
  <c r="AF93" i="17"/>
  <c r="AF54" i="17"/>
  <c r="AF32" i="17"/>
  <c r="AF711" i="17"/>
  <c r="AF701" i="17"/>
  <c r="AF691" i="17"/>
  <c r="AF668" i="17"/>
  <c r="AF144" i="17"/>
  <c r="AF119" i="17"/>
  <c r="AF103" i="17"/>
  <c r="AF102" i="17"/>
  <c r="AF68" i="17"/>
  <c r="AF44" i="17"/>
  <c r="AF27" i="17"/>
  <c r="AF717" i="17"/>
  <c r="AF705" i="17"/>
  <c r="AF695" i="17"/>
  <c r="AF214" i="17"/>
  <c r="AF213" i="17"/>
  <c r="AF200" i="17"/>
  <c r="AF199" i="17"/>
  <c r="AF185" i="17"/>
  <c r="AF140" i="17"/>
  <c r="AF139" i="17"/>
  <c r="AF118" i="17"/>
  <c r="AF40" i="17"/>
  <c r="AF689" i="17"/>
  <c r="AF685" i="17"/>
  <c r="AF681" i="17"/>
  <c r="AF676" i="17"/>
  <c r="AF673" i="17"/>
  <c r="AF669" i="17"/>
  <c r="AF665" i="17"/>
  <c r="AF662" i="17"/>
  <c r="AF659" i="17"/>
  <c r="AF656" i="17"/>
  <c r="AF651" i="17"/>
  <c r="AF647" i="17"/>
  <c r="AF643" i="17"/>
  <c r="AF636" i="17"/>
  <c r="AF632" i="17"/>
  <c r="AF626" i="17"/>
  <c r="AF621" i="17"/>
  <c r="AF615" i="17"/>
  <c r="AF611" i="17"/>
  <c r="AF608" i="17"/>
  <c r="AF555" i="17"/>
  <c r="AF548" i="17"/>
  <c r="AF541" i="17"/>
  <c r="AF534" i="17"/>
  <c r="AF526" i="17"/>
  <c r="AF519" i="17"/>
  <c r="AF511" i="17"/>
  <c r="AF504" i="17"/>
  <c r="AF495" i="17"/>
  <c r="AF489" i="17"/>
  <c r="AF482" i="17"/>
  <c r="AF474" i="17"/>
  <c r="AF469" i="17"/>
  <c r="AF462" i="17"/>
  <c r="AF454" i="17"/>
  <c r="AF447" i="17"/>
  <c r="AF441" i="17"/>
  <c r="AF440" i="17"/>
  <c r="AF433" i="17"/>
  <c r="AF432" i="17"/>
  <c r="AF427" i="17"/>
  <c r="AF420" i="17"/>
  <c r="AF405" i="17"/>
  <c r="AF266" i="17"/>
  <c r="AF258" i="17"/>
  <c r="AF252" i="17"/>
  <c r="AF246" i="17"/>
  <c r="AF240" i="17"/>
  <c r="AF233" i="17"/>
  <c r="AF225" i="17"/>
  <c r="AF217" i="17"/>
  <c r="AF208" i="17"/>
  <c r="AF201" i="17"/>
  <c r="AF192" i="17"/>
  <c r="AF157" i="17"/>
  <c r="AF147" i="17"/>
  <c r="AF135" i="17"/>
  <c r="AF115" i="17"/>
  <c r="AF106" i="17"/>
  <c r="AF94" i="17"/>
  <c r="AF85" i="17"/>
  <c r="AF61" i="17"/>
  <c r="AF60" i="17"/>
  <c r="AF35" i="17"/>
  <c r="AF678" i="17"/>
  <c r="AF674" i="17"/>
  <c r="AF670" i="17"/>
  <c r="AF664" i="17"/>
  <c r="AF661" i="17"/>
  <c r="AF658" i="17"/>
  <c r="AF653" i="17"/>
  <c r="AF649" i="17"/>
  <c r="AF645" i="17"/>
  <c r="AF641" i="17"/>
  <c r="AF634" i="17"/>
  <c r="AF629" i="17"/>
  <c r="AF623" i="17"/>
  <c r="AF617" i="17"/>
  <c r="AF612" i="17"/>
  <c r="AF606" i="17"/>
  <c r="AF557" i="17"/>
  <c r="AF550" i="17"/>
  <c r="AF542" i="17"/>
  <c r="AF535" i="17"/>
  <c r="AF527" i="17"/>
  <c r="AF520" i="17"/>
  <c r="AF505" i="17"/>
  <c r="AF497" i="17"/>
  <c r="AF492" i="17"/>
  <c r="AF485" i="17"/>
  <c r="AF470" i="17"/>
  <c r="AF463" i="17"/>
  <c r="AF453" i="17"/>
  <c r="AF446" i="17"/>
  <c r="AF438" i="17"/>
  <c r="AF431" i="17"/>
  <c r="AF424" i="17"/>
  <c r="AF403" i="17"/>
  <c r="AF396" i="17"/>
  <c r="AF264" i="17"/>
  <c r="AF254" i="17"/>
  <c r="AF243" i="17"/>
  <c r="AF229" i="17"/>
  <c r="AF186" i="17"/>
  <c r="AF138" i="17"/>
  <c r="AF116" i="17"/>
  <c r="AF99" i="17"/>
  <c r="AF98" i="17"/>
  <c r="AF97" i="17"/>
  <c r="AF77" i="17"/>
  <c r="AF69" i="17"/>
  <c r="AF43" i="17"/>
  <c r="AF42" i="17"/>
  <c r="AF559" i="17"/>
  <c r="AF545" i="17"/>
  <c r="AF538" i="17"/>
  <c r="AF530" i="17"/>
  <c r="AF523" i="17"/>
  <c r="AF516" i="17"/>
  <c r="AF508" i="17"/>
  <c r="AF501" i="17"/>
  <c r="AF494" i="17"/>
  <c r="AF488" i="17"/>
  <c r="AF481" i="17"/>
  <c r="AF476" i="17"/>
  <c r="AF468" i="17"/>
  <c r="AF461" i="17"/>
  <c r="AF455" i="17"/>
  <c r="AF448" i="17"/>
  <c r="AF434" i="17"/>
  <c r="AF426" i="17"/>
  <c r="AF404" i="17"/>
  <c r="AF397" i="17"/>
  <c r="AF268" i="17"/>
  <c r="AF259" i="17"/>
  <c r="AF253" i="17"/>
  <c r="AF247" i="17"/>
  <c r="AF239" i="17"/>
  <c r="AF232" i="17"/>
  <c r="AF224" i="17"/>
  <c r="AF218" i="17"/>
  <c r="AF209" i="17"/>
  <c r="AF204" i="17"/>
  <c r="AF194" i="17"/>
  <c r="AF187" i="17"/>
  <c r="AF149" i="17"/>
  <c r="AF129" i="17"/>
  <c r="AF117" i="17"/>
  <c r="AF84" i="17"/>
  <c r="AF71" i="17"/>
  <c r="AF59" i="17"/>
  <c r="AF58" i="17"/>
  <c r="AF46" i="17"/>
  <c r="AF34" i="17"/>
  <c r="AF715" i="17"/>
  <c r="AF704" i="17"/>
  <c r="AF694" i="17"/>
  <c r="AF677" i="17"/>
  <c r="AF654" i="17"/>
  <c r="AF618" i="17"/>
  <c r="AF722" i="17"/>
  <c r="AF713" i="17"/>
  <c r="AF702" i="17"/>
  <c r="AF692" i="17"/>
  <c r="AF672" i="17"/>
  <c r="AF639" i="17"/>
  <c r="AF270" i="17"/>
  <c r="AF255" i="17"/>
  <c r="AF237" i="17"/>
  <c r="AF220" i="17"/>
  <c r="AF202" i="17"/>
  <c r="AF156" i="17"/>
  <c r="AF133" i="17"/>
  <c r="AF113" i="17"/>
  <c r="AF92" i="17"/>
  <c r="AF78" i="17"/>
  <c r="AF63" i="17"/>
  <c r="AF33" i="17"/>
  <c r="AF271" i="17"/>
  <c r="AF251" i="17"/>
  <c r="AF238" i="17"/>
  <c r="AF223" i="17"/>
  <c r="AF212" i="17"/>
  <c r="AF191" i="17"/>
  <c r="AF148" i="17"/>
  <c r="AF130" i="17"/>
  <c r="AF114" i="17"/>
  <c r="AF100" i="17"/>
  <c r="AF87" i="17"/>
  <c r="AF86" i="17"/>
  <c r="AF66" i="17"/>
  <c r="AF53" i="17"/>
  <c r="AF39" i="17"/>
  <c r="AF688" i="17"/>
  <c r="AF687" i="17"/>
  <c r="AF684" i="17"/>
  <c r="AF679" i="17"/>
  <c r="AF675" i="17"/>
  <c r="AF671" i="17"/>
  <c r="AF667" i="17"/>
  <c r="AF663" i="17"/>
  <c r="AF660" i="17"/>
  <c r="AF655" i="17"/>
  <c r="AF650" i="17"/>
  <c r="AF646" i="17"/>
  <c r="AF644" i="17"/>
  <c r="AF637" i="17"/>
  <c r="AF631" i="17"/>
  <c r="AF625" i="17"/>
  <c r="AF620" i="17"/>
  <c r="AF614" i="17"/>
  <c r="AF560" i="17"/>
  <c r="AF554" i="17"/>
  <c r="AF544" i="17"/>
  <c r="AF537" i="17"/>
  <c r="AF529" i="17"/>
  <c r="AF522" i="17"/>
  <c r="AF515" i="17"/>
  <c r="AF507" i="17"/>
  <c r="AF500" i="17"/>
  <c r="AF493" i="17"/>
  <c r="AF487" i="17"/>
  <c r="AF480" i="17"/>
  <c r="AF475" i="17"/>
  <c r="AF467" i="17"/>
  <c r="AF459" i="17"/>
  <c r="AF449" i="17"/>
  <c r="AF442" i="17"/>
  <c r="AF435" i="17"/>
  <c r="AF428" i="17"/>
  <c r="AF421" i="17"/>
  <c r="AF408" i="17"/>
  <c r="AF401" i="17"/>
  <c r="AF261" i="17"/>
  <c r="AF250" i="17"/>
  <c r="AF241" i="17"/>
  <c r="AF227" i="17"/>
  <c r="AF226" i="17"/>
  <c r="AF215" i="17"/>
  <c r="AF203" i="17"/>
  <c r="AF189" i="17"/>
  <c r="AF145" i="17"/>
  <c r="AF125" i="17"/>
  <c r="AF108" i="17"/>
  <c r="AF89" i="17"/>
  <c r="AF70" i="17"/>
  <c r="AF51" i="17"/>
  <c r="AF29" i="17"/>
  <c r="AF65" i="17"/>
  <c r="AF64" i="17"/>
  <c r="AF640" i="17"/>
  <c r="AF633" i="17"/>
  <c r="AF628" i="17"/>
  <c r="AF627" i="17"/>
  <c r="AF622" i="17"/>
  <c r="AF616" i="17"/>
  <c r="AF610" i="17"/>
  <c r="AF609" i="17"/>
  <c r="AF605" i="17"/>
  <c r="AF561" i="17"/>
  <c r="AF553" i="17"/>
  <c r="AF547" i="17"/>
  <c r="AF540" i="17"/>
  <c r="AF533" i="17"/>
  <c r="AF532" i="17"/>
  <c r="AF525" i="17"/>
  <c r="AF518" i="17"/>
  <c r="AF510" i="17"/>
  <c r="AF509" i="17"/>
  <c r="AF503" i="17"/>
  <c r="AF496" i="17"/>
  <c r="AF490" i="17"/>
  <c r="AF483" i="17"/>
  <c r="AF477" i="17"/>
  <c r="AF471" i="17"/>
  <c r="AF464" i="17"/>
  <c r="AF457" i="17"/>
  <c r="AF450" i="17"/>
  <c r="AF443" i="17"/>
  <c r="AF436" i="17"/>
  <c r="AF429" i="17"/>
  <c r="AF423" i="17"/>
  <c r="AF402" i="17"/>
  <c r="AF395" i="17"/>
  <c r="AF272" i="17"/>
  <c r="AF267" i="17"/>
  <c r="AF257" i="17"/>
  <c r="AF249" i="17"/>
  <c r="AF245" i="17"/>
  <c r="AF235" i="17"/>
  <c r="AF231" i="17"/>
  <c r="AF222" i="17"/>
  <c r="AF216" i="17"/>
  <c r="AF206" i="17"/>
  <c r="AF197" i="17"/>
  <c r="AF190" i="17"/>
  <c r="AF154" i="17"/>
  <c r="AF153" i="17"/>
  <c r="AF146" i="17"/>
  <c r="AF134" i="17"/>
  <c r="AF124" i="17"/>
  <c r="AF111" i="17"/>
  <c r="AF104" i="17"/>
  <c r="AF90" i="17"/>
  <c r="AF79" i="17"/>
  <c r="AF37" i="17"/>
  <c r="AF709" i="17"/>
  <c r="AF699" i="17"/>
  <c r="AF686" i="17"/>
  <c r="AF151" i="17"/>
  <c r="AF131" i="17"/>
  <c r="AF112" i="17"/>
  <c r="AF76" i="17"/>
  <c r="AF75" i="17"/>
  <c r="AF52" i="17"/>
  <c r="AF28" i="17"/>
  <c r="AF714" i="17"/>
  <c r="AF703" i="17"/>
  <c r="AF693" i="17"/>
  <c r="AF666" i="17"/>
  <c r="AF91" i="17"/>
  <c r="AF62" i="17"/>
  <c r="AF706" i="17"/>
  <c r="AF696" i="17"/>
  <c r="AF683" i="17"/>
  <c r="AF141" i="17"/>
  <c r="AF122" i="17"/>
  <c r="AF120" i="17"/>
  <c r="AF88" i="17"/>
  <c r="AF67" i="17"/>
  <c r="AF708" i="17"/>
  <c r="AF682" i="17"/>
  <c r="AF499" i="17"/>
  <c r="AF263" i="17"/>
  <c r="AF262" i="17"/>
  <c r="AF207" i="17"/>
  <c r="AF152" i="17"/>
  <c r="AF127" i="17"/>
  <c r="AF126" i="17"/>
  <c r="AF72" i="17"/>
  <c r="AF48" i="17"/>
  <c r="AF712" i="17"/>
  <c r="AF690" i="17"/>
  <c r="AF638" i="17"/>
  <c r="AF513" i="17"/>
  <c r="AF512" i="17"/>
  <c r="M816" i="14"/>
  <c r="AF721" i="17"/>
  <c r="AF724" i="17"/>
  <c r="AF725" i="17"/>
  <c r="AF720" i="17"/>
  <c r="AF719" i="17"/>
  <c r="AF723" i="17"/>
  <c r="M792" i="14"/>
  <c r="AF386" i="17"/>
  <c r="AF385" i="17"/>
  <c r="AF378" i="17"/>
  <c r="AF377" i="17"/>
  <c r="AF376" i="17"/>
  <c r="AF732" i="17"/>
  <c r="AF748" i="17"/>
  <c r="AF729" i="17"/>
  <c r="AF743" i="17"/>
  <c r="AF728" i="17"/>
  <c r="AF274" i="17"/>
  <c r="AF750" i="17"/>
  <c r="AF735" i="17"/>
  <c r="AF749" i="17"/>
  <c r="AF736" i="17"/>
  <c r="AF739" i="17"/>
  <c r="AF744" i="17"/>
  <c r="AF731" i="17"/>
  <c r="AF745" i="17"/>
  <c r="AF730" i="17"/>
  <c r="AF746" i="17"/>
  <c r="AF726" i="17"/>
  <c r="AF737" i="17"/>
  <c r="AF742" i="17"/>
  <c r="AF727" i="17"/>
  <c r="AF273" i="17"/>
  <c r="AF753" i="17"/>
  <c r="AF276" i="17"/>
  <c r="AF741" i="17"/>
  <c r="AF740" i="17"/>
  <c r="AF734" i="17"/>
  <c r="AF275" i="17"/>
  <c r="AF733" i="17"/>
  <c r="F811" i="24"/>
  <c r="AF368" i="17"/>
  <c r="AF366" i="17"/>
  <c r="AF342" i="17"/>
  <c r="AF320" i="17"/>
  <c r="AF315" i="17"/>
  <c r="AF310" i="17"/>
  <c r="AF305" i="17"/>
  <c r="AF300" i="17"/>
  <c r="AF294" i="17"/>
  <c r="AF282" i="17"/>
  <c r="AF278" i="17"/>
  <c r="AF375" i="17"/>
  <c r="AF374" i="17"/>
  <c r="AF373" i="17"/>
  <c r="AF304" i="17"/>
  <c r="AF283" i="17"/>
  <c r="AF318" i="17"/>
  <c r="AF313" i="17"/>
  <c r="AF308" i="17"/>
  <c r="AF302" i="17"/>
  <c r="AF298" i="17"/>
  <c r="AF291" i="17"/>
  <c r="AF285" i="17"/>
  <c r="AF280" i="17"/>
  <c r="AF317" i="17"/>
  <c r="AF312" i="17"/>
  <c r="AF306" i="17"/>
  <c r="AF297" i="17"/>
  <c r="AF286" i="17"/>
  <c r="AF319" i="17"/>
  <c r="AF314" i="17"/>
  <c r="AF309" i="17"/>
  <c r="AF303" i="17"/>
  <c r="AF299" i="17"/>
  <c r="AF292" i="17"/>
  <c r="AF287" i="17"/>
  <c r="AF281" i="17"/>
  <c r="AF296" i="17"/>
  <c r="AF293" i="17"/>
  <c r="AF321" i="17"/>
  <c r="AF316" i="17"/>
  <c r="AF311" i="17"/>
  <c r="AF307" i="17"/>
  <c r="AF301" i="17"/>
  <c r="AF295" i="17"/>
  <c r="AF290" i="17"/>
  <c r="AF284" i="17"/>
  <c r="AF279" i="17"/>
  <c r="F815" i="24"/>
  <c r="F810" i="24"/>
  <c r="F813" i="24"/>
  <c r="AF816" i="17"/>
  <c r="C816" i="24" s="1"/>
  <c r="AF372" i="17"/>
  <c r="AF323" i="17"/>
  <c r="AF327" i="17"/>
  <c r="AF322" i="17"/>
  <c r="AF326" i="17"/>
  <c r="AF324" i="17"/>
  <c r="AF331" i="17"/>
  <c r="AF335" i="17"/>
  <c r="AF328" i="17"/>
  <c r="AF371" i="17"/>
  <c r="AF370" i="17"/>
  <c r="AF334" i="17"/>
  <c r="AF337" i="17"/>
  <c r="AF330" i="17"/>
  <c r="AF365" i="17"/>
  <c r="AF338" i="17"/>
  <c r="AF332" i="17"/>
  <c r="AF367" i="17"/>
  <c r="AF339" i="17"/>
  <c r="AF333" i="17"/>
  <c r="AF336" i="17"/>
  <c r="AF329" i="17"/>
  <c r="AF384" i="17"/>
  <c r="AF383" i="17"/>
  <c r="AF382" i="17"/>
  <c r="AF381" i="17"/>
  <c r="AF380" i="17"/>
  <c r="AF379" i="17"/>
  <c r="M815" i="14"/>
  <c r="F812" i="24"/>
  <c r="AF415" i="17"/>
  <c r="AF347" i="17"/>
  <c r="AF349" i="17"/>
  <c r="AF348" i="17"/>
  <c r="AF364" i="17"/>
  <c r="AF351" i="17"/>
  <c r="AF344" i="17"/>
  <c r="AF345" i="17"/>
  <c r="AF346" i="17"/>
  <c r="AF350" i="17"/>
  <c r="AF343" i="17"/>
  <c r="AF807" i="17"/>
  <c r="AF362" i="17"/>
  <c r="AF812" i="17"/>
  <c r="AF783" i="17"/>
  <c r="AF354" i="17"/>
  <c r="F814" i="24"/>
  <c r="AF363" i="17"/>
  <c r="AF356" i="17"/>
  <c r="AF359" i="17"/>
  <c r="AF358" i="17"/>
  <c r="AF353" i="17"/>
  <c r="AF752" i="17"/>
  <c r="AF755" i="17"/>
  <c r="AF355" i="17"/>
  <c r="AF751" i="17"/>
  <c r="AF360" i="17"/>
  <c r="AF352" i="17"/>
  <c r="AF804" i="17"/>
  <c r="AF361" i="17"/>
  <c r="AF357" i="17"/>
  <c r="AF754" i="17"/>
  <c r="AF14" i="17"/>
  <c r="AF803" i="17"/>
  <c r="AF802" i="17"/>
  <c r="AF801" i="17"/>
  <c r="AF419" i="17"/>
  <c r="AF412" i="17"/>
  <c r="AF11" i="17"/>
  <c r="AF6" i="17"/>
  <c r="AF5" i="17"/>
  <c r="AF786" i="17"/>
  <c r="AF788" i="17"/>
  <c r="AF787" i="17"/>
  <c r="AF766" i="17"/>
  <c r="AF22" i="17"/>
  <c r="AF21" i="17"/>
  <c r="AF763" i="17"/>
  <c r="AF12" i="17"/>
  <c r="AF779" i="17"/>
  <c r="AF813" i="17"/>
  <c r="AF778" i="17"/>
  <c r="AF756" i="17"/>
  <c r="AF16" i="17"/>
  <c r="AF814" i="17"/>
  <c r="C814" i="24" s="1"/>
  <c r="AF809" i="17"/>
  <c r="C809" i="24" s="1"/>
  <c r="AF797" i="17"/>
  <c r="AF784" i="17"/>
  <c r="AF776" i="17"/>
  <c r="AF769" i="17"/>
  <c r="AF757" i="17"/>
  <c r="AF414" i="17"/>
  <c r="AF20" i="17"/>
  <c r="AF810" i="17"/>
  <c r="C810" i="24" s="1"/>
  <c r="AF805" i="17"/>
  <c r="AF800" i="17"/>
  <c r="AF795" i="17"/>
  <c r="AF780" i="17"/>
  <c r="AF764" i="17"/>
  <c r="AF417" i="17"/>
  <c r="AF781" i="17"/>
  <c r="AF772" i="17"/>
  <c r="AF771" i="17"/>
  <c r="AF762" i="17"/>
  <c r="AF418" i="17"/>
  <c r="AF411" i="17"/>
  <c r="AF410" i="17"/>
  <c r="AF19" i="17"/>
  <c r="AF8" i="17"/>
  <c r="AF7" i="17"/>
  <c r="AF794" i="17"/>
  <c r="AF768" i="17"/>
  <c r="AF10" i="17"/>
  <c r="AF17" i="17"/>
  <c r="AF3" i="17"/>
  <c r="AF23" i="17"/>
  <c r="AF9" i="17"/>
  <c r="AF808" i="17"/>
  <c r="AF798" i="17"/>
  <c r="AF785" i="17"/>
  <c r="AF777" i="17"/>
  <c r="AF770" i="17"/>
  <c r="AF758" i="17"/>
  <c r="AF413" i="17"/>
  <c r="AF2" i="17"/>
  <c r="AF15" i="17"/>
  <c r="AF806" i="17"/>
  <c r="AF799" i="17"/>
  <c r="AF782" i="17"/>
  <c r="AF773" i="17"/>
  <c r="AF765" i="17"/>
  <c r="AF811" i="17"/>
  <c r="AF796" i="17"/>
  <c r="AF775" i="17"/>
  <c r="AF416" i="17"/>
  <c r="AF409" i="17"/>
  <c r="AF13" i="17"/>
  <c r="AF793" i="17"/>
  <c r="AF767" i="17"/>
  <c r="AF4" i="17"/>
  <c r="AF774" i="17"/>
  <c r="AF18" i="17"/>
  <c r="AF792" i="17"/>
  <c r="AF791" i="17"/>
  <c r="AF759" i="17"/>
  <c r="AF26" i="17"/>
  <c r="AF25" i="17"/>
  <c r="AF24" i="17"/>
  <c r="AF760" i="17"/>
  <c r="AF790" i="17"/>
  <c r="AF789" i="17"/>
  <c r="AF761" i="17"/>
  <c r="F808" i="24"/>
  <c r="F807" i="24"/>
  <c r="F809" i="24"/>
  <c r="M813" i="14"/>
  <c r="M814" i="1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C681" i="24"/>
  <c r="C680" i="24"/>
  <c r="C677" i="24"/>
  <c r="C676" i="24"/>
  <c r="C576" i="24"/>
  <c r="C575" i="24"/>
  <c r="C574" i="24"/>
  <c r="C573" i="24"/>
  <c r="C572" i="24"/>
  <c r="C571" i="24"/>
  <c r="C734" i="24"/>
  <c r="C533" i="24"/>
  <c r="C531" i="24"/>
  <c r="C538" i="24"/>
  <c r="C535" i="24"/>
  <c r="C532" i="24"/>
  <c r="C534" i="24"/>
  <c r="C366" i="24"/>
  <c r="C470" i="24"/>
  <c r="C498" i="24"/>
  <c r="C622" i="24"/>
  <c r="C491" i="24"/>
  <c r="C517" i="24"/>
  <c r="C605" i="24"/>
  <c r="C620" i="24"/>
  <c r="C472" i="24"/>
  <c r="C499" i="24"/>
  <c r="C597" i="24"/>
  <c r="C598" i="24"/>
  <c r="C343" i="24"/>
  <c r="C510" i="24"/>
  <c r="C595" i="24"/>
  <c r="C611" i="24"/>
  <c r="C489" i="24"/>
  <c r="C490" i="24"/>
  <c r="C519" i="24"/>
  <c r="C603" i="24"/>
  <c r="C340" i="24"/>
  <c r="C492" i="24"/>
  <c r="C587" i="24"/>
  <c r="C621" i="24"/>
  <c r="C306" i="24"/>
  <c r="C516" i="24"/>
  <c r="C607" i="24"/>
  <c r="C616" i="24"/>
  <c r="C617" i="24"/>
  <c r="C477" i="24"/>
  <c r="C505" i="24"/>
  <c r="C593" i="24"/>
  <c r="C623" i="24"/>
  <c r="C624" i="24"/>
  <c r="C496" i="24"/>
  <c r="C583" i="24"/>
  <c r="C613" i="24"/>
  <c r="C308" i="24"/>
  <c r="C469" i="24"/>
  <c r="C497" i="24"/>
  <c r="C579" i="24"/>
  <c r="C599" i="24"/>
  <c r="C475" i="24"/>
  <c r="C348" i="24"/>
  <c r="C484" i="24"/>
  <c r="C513" i="24"/>
  <c r="C609" i="24"/>
  <c r="C626" i="24"/>
  <c r="C511" i="24"/>
  <c r="C594" i="24"/>
  <c r="C341" i="24"/>
  <c r="C368" i="24"/>
  <c r="C494" i="24"/>
  <c r="C521" i="24"/>
  <c r="C584" i="24"/>
  <c r="C618" i="24"/>
  <c r="C619" i="24"/>
  <c r="C344" i="24"/>
  <c r="C471" i="24"/>
  <c r="C502" i="24"/>
  <c r="C478" i="24"/>
  <c r="C506" i="24"/>
  <c r="C592" i="24"/>
  <c r="C588" i="24"/>
  <c r="C589" i="24"/>
  <c r="C495" i="24"/>
  <c r="C479" i="24"/>
  <c r="C507" i="24"/>
  <c r="C582" i="24"/>
  <c r="C600" i="24"/>
  <c r="C476" i="24"/>
  <c r="C501" i="24"/>
  <c r="C590" i="24"/>
  <c r="C625" i="24"/>
  <c r="C487" i="24"/>
  <c r="C514" i="24"/>
  <c r="C612" i="24"/>
  <c r="C473" i="24"/>
  <c r="C500" i="24"/>
  <c r="C581" i="24"/>
  <c r="C610" i="24"/>
  <c r="C342" i="24"/>
  <c r="C474" i="24"/>
  <c r="C504" i="24"/>
  <c r="C585" i="24"/>
  <c r="C601" i="24"/>
  <c r="C313" i="24"/>
  <c r="C311" i="24"/>
  <c r="C319" i="24"/>
  <c r="C321" i="24"/>
  <c r="C325" i="24"/>
  <c r="F800" i="24"/>
  <c r="F795" i="24"/>
  <c r="F796" i="24"/>
  <c r="F801" i="24"/>
  <c r="F804" i="24"/>
  <c r="F803" i="24"/>
  <c r="F802" i="24"/>
  <c r="F799" i="24"/>
  <c r="F798" i="24"/>
  <c r="F797" i="24"/>
  <c r="C37" i="24"/>
  <c r="C700" i="24"/>
  <c r="C97" i="24"/>
  <c r="C126" i="24"/>
  <c r="C127" i="24"/>
  <c r="C157" i="24"/>
  <c r="C158" i="24"/>
  <c r="C159" i="24"/>
  <c r="C179" i="24"/>
  <c r="C204" i="24"/>
  <c r="C258" i="24"/>
  <c r="C463" i="24"/>
  <c r="C705" i="24"/>
  <c r="C131" i="24"/>
  <c r="C135" i="24"/>
  <c r="C171" i="24"/>
  <c r="C172" i="24"/>
  <c r="C199" i="24"/>
  <c r="C243" i="24"/>
  <c r="C265" i="24"/>
  <c r="C291" i="24"/>
  <c r="C373" i="24"/>
  <c r="C400" i="24"/>
  <c r="C451" i="24"/>
  <c r="C121" i="24"/>
  <c r="C144" i="24"/>
  <c r="C203" i="24"/>
  <c r="C248" i="24"/>
  <c r="C274" i="24"/>
  <c r="C301" i="24"/>
  <c r="C377" i="24"/>
  <c r="C403" i="24"/>
  <c r="C454" i="24"/>
  <c r="C98" i="24"/>
  <c r="C148" i="24"/>
  <c r="C174" i="24"/>
  <c r="C237" i="24"/>
  <c r="C266" i="24"/>
  <c r="C287" i="24"/>
  <c r="C391" i="24"/>
  <c r="C441" i="24"/>
  <c r="C145" i="24"/>
  <c r="C166" i="24"/>
  <c r="C193" i="24"/>
  <c r="C284" i="24"/>
  <c r="C462" i="24"/>
  <c r="C72" i="24"/>
  <c r="C74" i="24"/>
  <c r="C108" i="24"/>
  <c r="C163" i="24"/>
  <c r="C201" i="24"/>
  <c r="C202" i="24"/>
  <c r="C247" i="24"/>
  <c r="C292" i="24"/>
  <c r="C397" i="24"/>
  <c r="C445" i="24"/>
  <c r="C446" i="24"/>
  <c r="C81" i="24"/>
  <c r="C116" i="24"/>
  <c r="C143" i="24"/>
  <c r="C170" i="24"/>
  <c r="C450" i="24"/>
  <c r="C712" i="24"/>
  <c r="C130" i="24"/>
  <c r="C191" i="24"/>
  <c r="C231" i="24"/>
  <c r="C102" i="24"/>
  <c r="C103" i="24"/>
  <c r="C104" i="24"/>
  <c r="C194" i="24"/>
  <c r="C239" i="24"/>
  <c r="C240" i="24"/>
  <c r="C271" i="24"/>
  <c r="C461" i="24"/>
  <c r="C55" i="24"/>
  <c r="C56" i="24"/>
  <c r="C113" i="24"/>
  <c r="C154" i="24"/>
  <c r="C176" i="24"/>
  <c r="C200" i="24"/>
  <c r="C241" i="24"/>
  <c r="C242" i="24"/>
  <c r="C398" i="24"/>
  <c r="C447" i="24"/>
  <c r="C59" i="24"/>
  <c r="C60" i="24"/>
  <c r="C79" i="24"/>
  <c r="C100" i="24"/>
  <c r="C146" i="24"/>
  <c r="C147" i="24"/>
  <c r="C168" i="24"/>
  <c r="C169" i="24"/>
  <c r="C245" i="24"/>
  <c r="C267" i="24"/>
  <c r="C406" i="24"/>
  <c r="C456" i="24"/>
  <c r="C703" i="24"/>
  <c r="C119" i="24"/>
  <c r="C208" i="24"/>
  <c r="C244" i="24"/>
  <c r="C224" i="24"/>
  <c r="C220" i="24"/>
  <c r="C438" i="24"/>
  <c r="C699" i="24"/>
  <c r="C101" i="24"/>
  <c r="C187" i="24"/>
  <c r="C188" i="24"/>
  <c r="C235" i="24"/>
  <c r="C236" i="24"/>
  <c r="C262" i="24"/>
  <c r="C288" i="24"/>
  <c r="C393" i="24"/>
  <c r="C465" i="24"/>
  <c r="C177" i="24"/>
  <c r="C178" i="24"/>
  <c r="C209" i="24"/>
  <c r="C225" i="24"/>
  <c r="C255" i="24"/>
  <c r="C408" i="24"/>
  <c r="C455" i="24"/>
  <c r="C91" i="24"/>
  <c r="C92" i="24"/>
  <c r="C115" i="24"/>
  <c r="C136" i="24"/>
  <c r="C183" i="24"/>
  <c r="C226" i="24"/>
  <c r="C252" i="24"/>
  <c r="C402" i="24"/>
  <c r="C449" i="24"/>
  <c r="C90" i="24"/>
  <c r="C132" i="24"/>
  <c r="C133" i="24"/>
  <c r="C134" i="24"/>
  <c r="C156" i="24"/>
  <c r="C182" i="24"/>
  <c r="C227" i="24"/>
  <c r="C390" i="24"/>
  <c r="C440" i="24"/>
  <c r="C466" i="24"/>
  <c r="C467" i="24"/>
  <c r="C701" i="24"/>
  <c r="C713" i="24"/>
  <c r="C52" i="24"/>
  <c r="C68" i="24"/>
  <c r="C82" i="24"/>
  <c r="C105" i="24"/>
  <c r="C120" i="24"/>
  <c r="C140" i="24"/>
  <c r="C162" i="24"/>
  <c r="C185" i="24"/>
  <c r="C230" i="24"/>
  <c r="C257" i="24"/>
  <c r="C389" i="24"/>
  <c r="C222" i="24"/>
  <c r="C216" i="24"/>
  <c r="C431" i="24"/>
  <c r="C426" i="24"/>
  <c r="C420" i="24"/>
  <c r="C460" i="24"/>
  <c r="C88" i="24"/>
  <c r="C89" i="24"/>
  <c r="C149" i="24"/>
  <c r="C192" i="24"/>
  <c r="C234" i="24"/>
  <c r="C261" i="24"/>
  <c r="C392" i="24"/>
  <c r="C439" i="24"/>
  <c r="C708" i="24"/>
  <c r="C65" i="24"/>
  <c r="C76" i="24"/>
  <c r="C87" i="24"/>
  <c r="C117" i="24"/>
  <c r="C138" i="24"/>
  <c r="C151" i="24"/>
  <c r="C167" i="24"/>
  <c r="C190" i="24"/>
  <c r="C232" i="24"/>
  <c r="C259" i="24"/>
  <c r="C285" i="24"/>
  <c r="C396" i="24"/>
  <c r="C444" i="24"/>
  <c r="C44" i="24"/>
  <c r="C45" i="24"/>
  <c r="C111" i="24"/>
  <c r="C153" i="24"/>
  <c r="C206" i="24"/>
  <c r="C251" i="24"/>
  <c r="C277" i="24"/>
  <c r="C387" i="24"/>
  <c r="C388" i="24"/>
  <c r="C464" i="24"/>
  <c r="C80" i="24"/>
  <c r="C99" i="24"/>
  <c r="C118" i="24"/>
  <c r="C141" i="24"/>
  <c r="C160" i="24"/>
  <c r="C186" i="24"/>
  <c r="C229" i="24"/>
  <c r="C279" i="24"/>
  <c r="C378" i="24"/>
  <c r="C405" i="24"/>
  <c r="C453" i="24"/>
  <c r="C710" i="24"/>
  <c r="C29" i="24"/>
  <c r="C32" i="24"/>
  <c r="C36" i="24"/>
  <c r="C38" i="24"/>
  <c r="C43" i="24"/>
  <c r="C51" i="24"/>
  <c r="C57" i="24"/>
  <c r="C64" i="24"/>
  <c r="C70" i="24"/>
  <c r="C77" i="24"/>
  <c r="C110" i="24"/>
  <c r="C128" i="24"/>
  <c r="C129" i="24"/>
  <c r="C152" i="24"/>
  <c r="C175" i="24"/>
  <c r="C198" i="24"/>
  <c r="C263" i="24"/>
  <c r="C299" i="24"/>
  <c r="C376" i="24"/>
  <c r="C401" i="24"/>
  <c r="C448" i="24"/>
  <c r="C40" i="24"/>
  <c r="C41" i="24"/>
  <c r="C62" i="24"/>
  <c r="C71" i="24"/>
  <c r="C85" i="24"/>
  <c r="C86" i="24"/>
  <c r="C109" i="24"/>
  <c r="C137" i="24"/>
  <c r="C161" i="24"/>
  <c r="C184" i="24"/>
  <c r="C228" i="24"/>
  <c r="C253" i="24"/>
  <c r="C254" i="24"/>
  <c r="C278" i="24"/>
  <c r="C303" i="24"/>
  <c r="C380" i="24"/>
  <c r="C407" i="24"/>
  <c r="C458" i="24"/>
  <c r="C709" i="24"/>
  <c r="C24" i="24"/>
  <c r="C30" i="24"/>
  <c r="C35" i="24"/>
  <c r="C46" i="24"/>
  <c r="C47" i="24"/>
  <c r="C54" i="24"/>
  <c r="C66" i="24"/>
  <c r="C78" i="24"/>
  <c r="C93" i="24"/>
  <c r="C95" i="24"/>
  <c r="C96" i="24"/>
  <c r="C112" i="24"/>
  <c r="C139" i="24"/>
  <c r="C164" i="24"/>
  <c r="C189" i="24"/>
  <c r="C11" i="24"/>
  <c r="C13" i="24"/>
  <c r="C18" i="24"/>
  <c r="C21" i="24"/>
  <c r="C28" i="24"/>
  <c r="C31" i="24"/>
  <c r="C34" i="24"/>
  <c r="C42" i="24"/>
  <c r="C48" i="24"/>
  <c r="C50" i="24"/>
  <c r="C61" i="24"/>
  <c r="C67" i="24"/>
  <c r="C73" i="24"/>
  <c r="C84" i="24"/>
  <c r="C106" i="24"/>
  <c r="C125" i="24"/>
  <c r="C150" i="24"/>
  <c r="C180" i="24"/>
  <c r="C205" i="24"/>
  <c r="C246" i="24"/>
  <c r="C268" i="24"/>
  <c r="C269" i="24"/>
  <c r="C270" i="24"/>
  <c r="C404" i="24"/>
  <c r="C452" i="24"/>
  <c r="C706" i="24"/>
  <c r="C221" i="24"/>
  <c r="C219" i="24"/>
  <c r="C434" i="24"/>
  <c r="C433" i="24"/>
  <c r="C427" i="24"/>
  <c r="C233" i="24"/>
  <c r="C256" i="24"/>
  <c r="C282" i="24"/>
  <c r="C395" i="24"/>
  <c r="C443" i="24"/>
  <c r="C707" i="24"/>
  <c r="C49" i="24"/>
  <c r="C58" i="24"/>
  <c r="C69" i="24"/>
  <c r="C83" i="24"/>
  <c r="C107" i="24"/>
  <c r="C122" i="24"/>
  <c r="C123" i="24"/>
  <c r="C124" i="24"/>
  <c r="C173" i="24"/>
  <c r="C196" i="24"/>
  <c r="C197" i="24"/>
  <c r="C238" i="24"/>
  <c r="C264" i="24"/>
  <c r="C289" i="24"/>
  <c r="C290" i="24"/>
  <c r="C369" i="24"/>
  <c r="C394" i="24"/>
  <c r="C711" i="24"/>
  <c r="C217" i="24"/>
  <c r="C214" i="24"/>
  <c r="C212" i="24"/>
  <c r="C429" i="24"/>
  <c r="C425" i="24"/>
  <c r="C437" i="24"/>
  <c r="C223" i="24"/>
  <c r="C218" i="24"/>
  <c r="C215" i="24"/>
  <c r="C213" i="24"/>
  <c r="C211" i="24"/>
  <c r="C210" i="24"/>
  <c r="C435" i="24"/>
  <c r="C423" i="24"/>
  <c r="C422" i="24"/>
  <c r="C421" i="24"/>
  <c r="C515" i="24"/>
  <c r="C436" i="24"/>
  <c r="C432" i="24"/>
  <c r="C430" i="24"/>
  <c r="C428" i="24"/>
  <c r="C424" i="24"/>
  <c r="C300" i="24"/>
  <c r="C250" i="24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C195" i="24" l="1"/>
  <c r="C260" i="24"/>
  <c r="C399" i="24"/>
  <c r="C142" i="24"/>
  <c r="C165" i="24"/>
  <c r="G816" i="24"/>
  <c r="J816" i="24"/>
  <c r="K816" i="24"/>
  <c r="M816" i="24"/>
  <c r="O816" i="24"/>
  <c r="I816" i="24"/>
  <c r="H816" i="24"/>
  <c r="L816" i="24"/>
  <c r="N816" i="24"/>
  <c r="C314" i="24"/>
  <c r="C312" i="24"/>
  <c r="C324" i="24"/>
  <c r="C310" i="24"/>
  <c r="C320" i="24"/>
  <c r="C315" i="24"/>
  <c r="C317" i="24"/>
  <c r="C371" i="24"/>
  <c r="C304" i="24"/>
  <c r="C350" i="24"/>
  <c r="C364" i="24"/>
  <c r="C347" i="24"/>
  <c r="C332" i="24"/>
  <c r="C328" i="24"/>
  <c r="C294" i="24"/>
  <c r="C295" i="24"/>
  <c r="C296" i="24"/>
  <c r="C385" i="24"/>
  <c r="C293" i="24"/>
  <c r="C374" i="24"/>
  <c r="C381" i="24"/>
  <c r="C276" i="24"/>
  <c r="C302" i="24"/>
  <c r="C275" i="24"/>
  <c r="C298" i="24"/>
  <c r="C375" i="24"/>
  <c r="C283" i="24"/>
  <c r="C370" i="24"/>
  <c r="C25" i="24"/>
  <c r="H812" i="24"/>
  <c r="I812" i="24"/>
  <c r="J812" i="24"/>
  <c r="K812" i="24"/>
  <c r="L812" i="24"/>
  <c r="M812" i="24"/>
  <c r="N812" i="24"/>
  <c r="O812" i="24"/>
  <c r="G812" i="24"/>
  <c r="C326" i="24"/>
  <c r="C329" i="24"/>
  <c r="C330" i="24"/>
  <c r="C307" i="24"/>
  <c r="C334" i="24"/>
  <c r="C316" i="24"/>
  <c r="C323" i="24"/>
  <c r="C280" i="24"/>
  <c r="C286" i="24"/>
  <c r="C372" i="24"/>
  <c r="C281" i="24"/>
  <c r="C383" i="24"/>
  <c r="C305" i="24"/>
  <c r="H811" i="24"/>
  <c r="I811" i="24"/>
  <c r="J811" i="24"/>
  <c r="K811" i="24"/>
  <c r="L811" i="24"/>
  <c r="M811" i="24"/>
  <c r="N811" i="24"/>
  <c r="O811" i="24"/>
  <c r="G810" i="24"/>
  <c r="H810" i="24"/>
  <c r="I810" i="24"/>
  <c r="J810" i="24"/>
  <c r="K810" i="24"/>
  <c r="L810" i="24"/>
  <c r="M810" i="24"/>
  <c r="O810" i="24"/>
  <c r="N810" i="24"/>
  <c r="G811" i="24"/>
  <c r="G815" i="24"/>
  <c r="H815" i="24"/>
  <c r="I815" i="24"/>
  <c r="J815" i="24"/>
  <c r="K815" i="24"/>
  <c r="L815" i="24"/>
  <c r="M815" i="24"/>
  <c r="N815" i="24"/>
  <c r="O815" i="24"/>
  <c r="G813" i="24"/>
  <c r="H813" i="24"/>
  <c r="I813" i="24"/>
  <c r="J813" i="24"/>
  <c r="K813" i="24"/>
  <c r="L813" i="24"/>
  <c r="M813" i="24"/>
  <c r="N813" i="24"/>
  <c r="O813" i="24"/>
  <c r="C339" i="24"/>
  <c r="C367" i="24"/>
  <c r="C365" i="24"/>
  <c r="C346" i="24"/>
  <c r="C345" i="24"/>
  <c r="C384" i="24"/>
  <c r="C4" i="24"/>
  <c r="C12" i="24"/>
  <c r="C16" i="24"/>
  <c r="C379" i="24"/>
  <c r="C26" i="24"/>
  <c r="C351" i="24"/>
  <c r="C363" i="24"/>
  <c r="C352" i="24"/>
  <c r="C338" i="24"/>
  <c r="C331" i="24"/>
  <c r="C337" i="24"/>
  <c r="C336" i="24"/>
  <c r="C335" i="24"/>
  <c r="C415" i="24"/>
  <c r="C14" i="24"/>
  <c r="C778" i="24"/>
  <c r="C355" i="24"/>
  <c r="C361" i="24"/>
  <c r="C801" i="24"/>
  <c r="C812" i="24"/>
  <c r="C813" i="24"/>
  <c r="C807" i="24"/>
  <c r="C2" i="24"/>
  <c r="C797" i="24"/>
  <c r="C800" i="24"/>
  <c r="C795" i="24"/>
  <c r="C777" i="24"/>
  <c r="C803" i="24"/>
  <c r="C802" i="24"/>
  <c r="C356" i="24"/>
  <c r="C358" i="24"/>
  <c r="C804" i="24"/>
  <c r="H814" i="24"/>
  <c r="L814" i="24"/>
  <c r="O814" i="24"/>
  <c r="G814" i="24"/>
  <c r="I814" i="24"/>
  <c r="K814" i="24"/>
  <c r="N814" i="24"/>
  <c r="J814" i="24"/>
  <c r="M814" i="24"/>
  <c r="G808" i="24"/>
  <c r="H808" i="24"/>
  <c r="I808" i="24"/>
  <c r="J808" i="24"/>
  <c r="K808" i="24"/>
  <c r="L808" i="24"/>
  <c r="M808" i="24"/>
  <c r="N808" i="24"/>
  <c r="O808" i="24"/>
  <c r="C808" i="24"/>
  <c r="C811" i="24"/>
  <c r="C798" i="24"/>
  <c r="C799" i="24"/>
  <c r="H809" i="24"/>
  <c r="J809" i="24"/>
  <c r="L809" i="24"/>
  <c r="O809" i="24"/>
  <c r="G809" i="24"/>
  <c r="I809" i="24"/>
  <c r="K809" i="24"/>
  <c r="M809" i="24"/>
  <c r="N809" i="24"/>
  <c r="G807" i="24"/>
  <c r="C796" i="24"/>
  <c r="C789" i="24"/>
  <c r="C793" i="24"/>
  <c r="C787" i="24"/>
  <c r="C788" i="24"/>
  <c r="C784" i="24"/>
  <c r="C785" i="24"/>
  <c r="C5" i="24"/>
  <c r="C790" i="24"/>
  <c r="C411" i="24"/>
  <c r="C413" i="24"/>
  <c r="C414" i="24"/>
  <c r="C417" i="24"/>
  <c r="C9" i="24"/>
  <c r="C23" i="24"/>
  <c r="C416" i="24"/>
  <c r="C7" i="24"/>
  <c r="C17" i="24"/>
  <c r="C8" i="24"/>
  <c r="C15" i="24"/>
  <c r="C19" i="24"/>
  <c r="C20" i="24"/>
  <c r="C419" i="24"/>
  <c r="C6" i="24"/>
  <c r="C22" i="24"/>
  <c r="I807" i="24"/>
  <c r="J807" i="24"/>
  <c r="K807" i="24"/>
  <c r="L807" i="24"/>
  <c r="M807" i="24"/>
  <c r="N807" i="24"/>
  <c r="O807" i="24"/>
  <c r="H807" i="24"/>
  <c r="C794" i="24"/>
  <c r="C791" i="24"/>
  <c r="C792" i="24"/>
  <c r="C522" i="24"/>
  <c r="C716" i="24"/>
  <c r="C714" i="24"/>
  <c r="C672" i="24"/>
  <c r="C698" i="24"/>
  <c r="C671" i="24"/>
  <c r="C530" i="24"/>
  <c r="C529" i="24"/>
  <c r="C528" i="24"/>
  <c r="C527" i="24"/>
  <c r="C524" i="24"/>
  <c r="C567" i="24"/>
  <c r="C564" i="24"/>
  <c r="C563" i="24"/>
  <c r="C559" i="24"/>
  <c r="C553" i="24"/>
  <c r="C725" i="24"/>
  <c r="C689" i="24"/>
  <c r="C682" i="24"/>
  <c r="C566" i="24"/>
  <c r="C565" i="24"/>
  <c r="C562" i="24"/>
  <c r="C561" i="24"/>
  <c r="C549" i="24"/>
  <c r="C548" i="24"/>
  <c r="C544" i="24"/>
  <c r="C674" i="24"/>
  <c r="E810" i="14"/>
  <c r="C743" i="24"/>
  <c r="C769" i="24"/>
  <c r="C730" i="24"/>
  <c r="C761" i="24"/>
  <c r="C745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58" i="24"/>
  <c r="C749" i="24"/>
  <c r="C732" i="24"/>
  <c r="C806" i="24"/>
  <c r="C805" i="24"/>
  <c r="C683" i="24"/>
  <c r="C550" i="24"/>
  <c r="C547" i="24"/>
  <c r="C545" i="24"/>
  <c r="C719" i="24"/>
  <c r="G806" i="24"/>
  <c r="H806" i="24"/>
  <c r="C523" i="24"/>
  <c r="C670" i="24"/>
  <c r="C767" i="24"/>
  <c r="C728" i="24"/>
  <c r="C577" i="24"/>
  <c r="C667" i="24"/>
  <c r="C560" i="24"/>
  <c r="C357" i="24"/>
  <c r="C729" i="24"/>
  <c r="C546" i="24"/>
  <c r="C666" i="24"/>
  <c r="C556" i="24"/>
  <c r="C715" i="24"/>
  <c r="C654" i="24"/>
  <c r="C632" i="24"/>
  <c r="C542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354" i="24"/>
  <c r="C686" i="24"/>
  <c r="C685" i="24"/>
  <c r="C726" i="24"/>
  <c r="C718" i="24"/>
  <c r="C659" i="24"/>
  <c r="C678" i="24"/>
  <c r="C647" i="24"/>
  <c r="C543" i="24"/>
  <c r="C488" i="24"/>
  <c r="C486" i="24"/>
  <c r="C669" i="24"/>
  <c r="C668" i="24"/>
  <c r="C493" i="24"/>
  <c r="C520" i="24"/>
  <c r="C512" i="24"/>
  <c r="C755" i="24"/>
  <c r="C754" i="24"/>
  <c r="C720" i="24"/>
  <c r="C774" i="24"/>
  <c r="C757" i="24"/>
  <c r="C735" i="24"/>
  <c r="C747" i="24"/>
  <c r="C721" i="24"/>
  <c r="C759" i="24"/>
  <c r="C739" i="24"/>
  <c r="C775" i="24"/>
  <c r="C744" i="24"/>
  <c r="C738" i="24"/>
  <c r="C762" i="24"/>
  <c r="C748" i="24"/>
  <c r="C742" i="24"/>
  <c r="C776" i="24"/>
  <c r="C740" i="24"/>
  <c r="C722" i="24"/>
  <c r="C694" i="24"/>
  <c r="C723" i="24"/>
  <c r="C786" i="24"/>
  <c r="C615" i="24"/>
  <c r="C737" i="24"/>
  <c r="C662" i="24"/>
  <c r="C697" i="24"/>
  <c r="C570" i="24"/>
  <c r="C568" i="24"/>
  <c r="C526" i="24"/>
  <c r="C525" i="24"/>
  <c r="C552" i="24"/>
  <c r="C578" i="24"/>
  <c r="C692" i="24"/>
  <c r="C717" i="24"/>
  <c r="C693" i="24"/>
  <c r="C558" i="24"/>
  <c r="C557" i="24"/>
  <c r="C555" i="24"/>
  <c r="C554" i="24"/>
  <c r="C765" i="24"/>
  <c r="C724" i="24"/>
  <c r="C736" i="24"/>
  <c r="C752" i="24"/>
  <c r="C780" i="24"/>
  <c r="C773" i="24"/>
  <c r="C756" i="24"/>
  <c r="C695" i="24"/>
  <c r="C675" i="24"/>
  <c r="C679" i="24"/>
  <c r="C569" i="24"/>
  <c r="C551" i="24"/>
  <c r="C673" i="24"/>
  <c r="C779" i="24"/>
  <c r="C772" i="24"/>
  <c r="C766" i="24"/>
  <c r="C753" i="24"/>
  <c r="C751" i="24"/>
  <c r="C746" i="24"/>
  <c r="C606" i="24"/>
  <c r="C614" i="24"/>
  <c r="C663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410" i="24"/>
  <c r="C10" i="24"/>
  <c r="C333" i="24"/>
  <c r="C596" i="24"/>
  <c r="C591" i="24"/>
  <c r="C608" i="24"/>
  <c r="C362" i="24"/>
  <c r="C360" i="24"/>
  <c r="C359" i="24"/>
  <c r="C481" i="24"/>
  <c r="C541" i="24"/>
  <c r="C540" i="24"/>
  <c r="C539" i="24"/>
  <c r="C353" i="24"/>
  <c r="C639" i="24"/>
  <c r="C637" i="24"/>
  <c r="C636" i="24"/>
  <c r="C586" i="24"/>
  <c r="C580" i="24"/>
  <c r="C646" i="24"/>
  <c r="C318" i="24"/>
  <c r="C309" i="24"/>
  <c r="C509" i="24"/>
  <c r="C485" i="24"/>
  <c r="C327" i="24"/>
  <c r="C604" i="24"/>
  <c r="C482" i="24"/>
  <c r="C480" i="24"/>
  <c r="C602" i="24"/>
  <c r="C518" i="24"/>
  <c r="C508" i="24"/>
  <c r="C537" i="24"/>
  <c r="C536" i="24"/>
  <c r="C781" i="24"/>
  <c r="C635" i="24"/>
  <c r="C633" i="24"/>
  <c r="C631" i="24"/>
  <c r="C39" i="24"/>
  <c r="C503" i="24"/>
  <c r="C349" i="24"/>
  <c r="C483" i="24"/>
  <c r="C322" i="24"/>
  <c r="C652" i="24"/>
  <c r="C640" i="24"/>
  <c r="C630" i="24"/>
  <c r="C628" i="24"/>
  <c r="C418" i="24"/>
  <c r="C272" i="24"/>
  <c r="C3" i="24"/>
  <c r="C702" i="24"/>
  <c r="C661" i="24"/>
  <c r="C657" i="24"/>
  <c r="C655" i="24"/>
  <c r="C665" i="24"/>
  <c r="C664" i="24"/>
  <c r="C660" i="24"/>
  <c r="C653" i="24"/>
  <c r="C651" i="24"/>
  <c r="C643" i="24"/>
  <c r="C382" i="24"/>
  <c r="C658" i="24"/>
  <c r="C656" i="24"/>
  <c r="C650" i="24"/>
  <c r="C649" i="24"/>
  <c r="C648" i="24"/>
  <c r="C644" i="24"/>
  <c r="C642" i="24"/>
  <c r="C645" i="24"/>
  <c r="C634" i="24"/>
  <c r="C629" i="24"/>
  <c r="C627" i="24"/>
  <c r="C114" i="24"/>
  <c r="C94" i="24"/>
  <c r="C63" i="24"/>
  <c r="C53" i="24"/>
  <c r="C33" i="24"/>
  <c r="C442" i="24"/>
  <c r="C249" i="24"/>
  <c r="C412" i="24"/>
  <c r="C409" i="24"/>
  <c r="C641" i="24"/>
  <c r="C638" i="24"/>
  <c r="C27" i="24"/>
  <c r="C704" i="24"/>
  <c r="C273" i="24"/>
  <c r="C297" i="24"/>
  <c r="C468" i="24"/>
  <c r="C75" i="24"/>
  <c r="C457" i="24"/>
  <c r="C386" i="24"/>
  <c r="C155" i="24"/>
  <c r="C459" i="24"/>
  <c r="C207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E802" i="14" s="1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E811" i="14" l="1"/>
  <c r="G2" i="24"/>
  <c r="J2" i="24"/>
  <c r="M2" i="24"/>
  <c r="O2" i="24"/>
  <c r="I2" i="24"/>
  <c r="K2" i="24"/>
  <c r="L2" i="24"/>
  <c r="N2" i="24"/>
  <c r="H2" i="24"/>
  <c r="E812" i="14" l="1"/>
  <c r="E813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M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M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<sst xmlns="http://schemas.openxmlformats.org/spreadsheetml/2006/main" count="19042" uniqueCount="3120">
  <si>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</si>
  <si>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</si>
  <si>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</si>
  <si>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</si>
  <si>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</si>
  <si>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</si>
  <si>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</si>
  <si>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</si>
  <si>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</si>
  <si>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</si>
  <si>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</si>
  <si>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</si>
  <si>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</si>
  <si>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</si>
  <si>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</si>
  <si>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</si>
  <si>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</si>
  <si>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</si>
  <si>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</si>
  <si>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</si>
  <si>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</si>
  <si>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</si>
  <si>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</si>
  <si>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</si>
  <si>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</si>
  <si>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</si>
  <si>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</si>
  <si>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</si>
  <si>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</si>
  <si>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</si>
  <si>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</si>
  <si>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</si>
  <si>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</si>
  <si>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</si>
  <si>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</si>
  <si>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</si>
  <si>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</si>
  <si>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</si>
  <si>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</si>
  <si>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</si>
  <si>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</si>
  <si>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</si>
  <si>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</si>
  <si>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</si>
  <si>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</si>
  <si>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</si>
  <si>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</si>
  <si>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</si>
  <si>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</si>
  <si>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</si>
  <si>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</si>
  <si>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</si>
  <si>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</si>
  <si>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</si>
  <si>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</si>
  <si>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</si>
  <si>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</si>
  <si>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</si>
  <si>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</si>
  <si>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</si>
  <si>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</si>
  <si>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</si>
  <si>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</si>
  <si>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</si>
  <si>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</si>
  <si>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</si>
  <si>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</si>
  <si>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</si>
  <si>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</si>
  <si>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</si>
  <si>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</si>
  <si>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</si>
  <si>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</si>
  <si>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</si>
  <si>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</si>
  <si>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</si>
  <si>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</si>
  <si>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</si>
  <si>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</si>
  <si>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</si>
  <si>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</si>
  <si>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</si>
  <si>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</si>
  <si>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</si>
  <si>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</si>
  <si>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</si>
  <si>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</si>
  <si>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</si>
  <si>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</si>
  <si>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</si>
  <si>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</si>
  <si>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</si>
  <si>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</si>
  <si>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</si>
  <si>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</si>
  <si>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</si>
  <si>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</si>
  <si>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</si>
  <si>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</si>
  <si>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</si>
  <si>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</si>
  <si>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</si>
  <si>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</si>
  <si>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</si>
  <si>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</si>
  <si>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</si>
  <si>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</si>
  <si>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</si>
  <si>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</si>
  <si>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</si>
  <si>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</si>
  <si>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</si>
  <si>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</si>
  <si>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</si>
  <si>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</si>
  <si>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</si>
  <si>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</si>
  <si>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</si>
  <si>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</si>
  <si>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</si>
  <si>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</si>
  <si>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</si>
  <si>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</si>
  <si>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</si>
  <si>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</si>
  <si>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</si>
  <si>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</si>
  <si>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</si>
  <si>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</si>
  <si>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</si>
  <si>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</si>
  <si>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</si>
  <si>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</si>
  <si>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</si>
  <si>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</si>
  <si>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</si>
  <si>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</si>
  <si>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</si>
  <si>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</si>
  <si>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</si>
  <si>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</si>
  <si>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</si>
  <si>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</si>
  <si>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</si>
  <si>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</si>
  <si>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</si>
  <si>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</si>
  <si>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</si>
  <si>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</si>
  <si>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</si>
  <si>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</si>
  <si>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</si>
  <si>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</si>
  <si>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</si>
  <si>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</si>
  <si>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</si>
  <si>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</si>
  <si>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</si>
  <si>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</si>
  <si>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</si>
  <si>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</si>
  <si>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</si>
  <si>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</si>
  <si>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</si>
  <si>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</si>
  <si>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</si>
  <si>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</si>
  <si>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</si>
  <si>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</si>
  <si>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</si>
  <si>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</si>
  <si>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</si>
  <si>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</si>
  <si>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</si>
  <si>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</si>
  <si>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</si>
  <si>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</si>
  <si>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</si>
  <si>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</si>
  <si>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</si>
  <si>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</si>
  <si>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</si>
  <si>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</si>
  <si>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</si>
  <si>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</si>
  <si>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</si>
  <si>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</si>
  <si>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</si>
  <si>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</si>
  <si>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</si>
  <si>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</si>
  <si>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</si>
  <si>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</si>
  <si>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</si>
  <si>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</si>
  <si>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</si>
  <si>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</si>
  <si>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</si>
  <si>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</si>
  <si>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</si>
  <si>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</si>
  <si>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</si>
  <si>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</si>
  <si>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</si>
  <si>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</si>
  <si>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</si>
  <si>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</si>
  <si>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</si>
  <si>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</si>
  <si>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</si>
  <si>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</si>
  <si>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</si>
  <si>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</si>
  <si>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</si>
  <si>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</si>
  <si>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</si>
  <si>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</si>
  <si>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</si>
  <si>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</si>
  <si>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</si>
  <si>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</si>
  <si>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</si>
  <si>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</si>
  <si>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</si>
  <si>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</si>
  <si>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</si>
  <si>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</si>
  <si>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</si>
  <si>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</si>
  <si>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</si>
  <si>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</si>
  <si>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</si>
  <si>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</si>
  <si>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</si>
  <si>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</si>
  <si>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</si>
  <si>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</si>
  <si>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</si>
  <si>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</si>
  <si>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</si>
  <si>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</si>
  <si>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</si>
  <si>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</si>
  <si>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</si>
  <si>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</si>
  <si>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</si>
  <si>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</si>
  <si>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</si>
  <si>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</si>
  <si>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</si>
  <si>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</si>
  <si>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</si>
  <si>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</si>
  <si>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</si>
  <si>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</si>
  <si>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</si>
  <si>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</si>
  <si>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</si>
  <si>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</si>
  <si>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</si>
  <si>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</si>
  <si>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</si>
  <si>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</si>
  <si>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</si>
  <si>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</si>
  <si>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</si>
  <si>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</si>
  <si>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</si>
  <si>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</si>
  <si>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</si>
  <si>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</si>
  <si>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</si>
  <si>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</si>
  <si>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</si>
  <si>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</si>
  <si>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</si>
  <si>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</si>
  <si>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</si>
  <si>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</si>
  <si>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</si>
  <si>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</si>
  <si>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</si>
  <si>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</si>
  <si>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</si>
  <si>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</si>
  <si>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</si>
  <si>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</si>
  <si>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</si>
  <si>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</si>
  <si>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</si>
  <si>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</si>
  <si>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</si>
  <si>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</si>
  <si>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</si>
  <si>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</si>
  <si>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</si>
  <si>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</si>
  <si>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</si>
  <si>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</si>
  <si>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</si>
  <si>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</si>
  <si>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</si>
  <si>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</si>
  <si>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</si>
  <si>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</si>
  <si>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</si>
  <si>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</si>
  <si>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</si>
  <si>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</si>
  <si>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</si>
  <si>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</si>
  <si>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</si>
  <si>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</si>
  <si>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</si>
  <si>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</si>
  <si>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</si>
  <si>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</si>
  <si>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</si>
  <si>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</si>
  <si>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</si>
  <si>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</si>
  <si>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</si>
  <si>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</si>
  <si>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</si>
  <si>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</si>
  <si>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</si>
  <si>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</si>
  <si>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</si>
  <si>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</si>
  <si>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</si>
  <si>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</si>
  <si>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</si>
  <si>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</si>
  <si>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</si>
  <si>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</si>
  <si>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</si>
  <si>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</si>
  <si>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</si>
  <si>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</si>
  <si>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</si>
  <si>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</si>
  <si>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</si>
  <si>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</si>
  <si>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</si>
  <si>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</si>
  <si>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</si>
  <si>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</si>
  <si>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</si>
  <si>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</si>
  <si>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</si>
  <si>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</si>
  <si>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</si>
  <si>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</si>
  <si>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</si>
  <si>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</si>
  <si>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</si>
  <si>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</si>
  <si>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</si>
  <si>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</si>
  <si>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</si>
  <si>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</si>
  <si>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</si>
  <si>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</si>
  <si>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</si>
  <si>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</si>
  <si>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</si>
  <si>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</si>
  <si>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</si>
  <si>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</si>
  <si>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</si>
  <si>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</si>
  <si>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</si>
  <si>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</si>
  <si>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</si>
  <si>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</si>
  <si>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</si>
  <si>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</si>
  <si>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</si>
  <si>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</si>
  <si>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</si>
  <si>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</si>
  <si>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</si>
  <si>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</si>
  <si>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</si>
  <si>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</si>
  <si>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</si>
  <si>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</si>
  <si>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</si>
  <si>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</si>
  <si>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</si>
  <si>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</si>
  <si>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</si>
  <si>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</si>
  <si>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</si>
  <si>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</si>
  <si>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</si>
  <si>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</si>
  <si>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</si>
  <si>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</si>
  <si>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</si>
  <si>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</si>
  <si>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</si>
  <si>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</si>
  <si>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</si>
  <si>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</si>
  <si>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</si>
  <si>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</si>
  <si>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</si>
  <si>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</si>
  <si>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</si>
  <si>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</si>
  <si>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</si>
  <si>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</si>
  <si>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</si>
  <si>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</si>
  <si>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</si>
  <si>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</si>
  <si>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</si>
  <si>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</si>
  <si>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</si>
  <si>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</si>
  <si>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</si>
  <si>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</si>
  <si>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</si>
  <si>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</si>
  <si>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</si>
  <si>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</si>
  <si>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</si>
  <si>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</si>
  <si>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</si>
  <si>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</si>
  <si>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</si>
  <si>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</si>
  <si>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</si>
  <si>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</si>
  <si>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</si>
  <si>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</si>
  <si>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</si>
  <si>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</si>
  <si>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</si>
  <si>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</si>
  <si>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</si>
  <si>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</si>
  <si>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</si>
  <si>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</si>
  <si>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</si>
  <si>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</si>
  <si>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</si>
  <si>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</si>
  <si>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</si>
  <si>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</si>
  <si>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</si>
  <si>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</si>
  <si>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</si>
  <si>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</si>
  <si>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</si>
  <si>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</si>
  <si>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</si>
  <si>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</si>
  <si>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</si>
  <si>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</si>
  <si>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</si>
  <si>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</si>
  <si>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</si>
  <si>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</si>
  <si>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</si>
  <si>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</si>
  <si>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</si>
  <si>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</si>
  <si>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</si>
  <si>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</si>
  <si>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</si>
  <si>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</si>
  <si>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</si>
  <si>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</si>
  <si>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</si>
  <si>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</si>
  <si>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</si>
  <si>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</si>
  <si>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</si>
  <si>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</si>
  <si>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</si>
  <si>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</si>
  <si>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</si>
  <si>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</si>
  <si>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</si>
  <si>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</si>
  <si>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</si>
  <si>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</si>
  <si>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</si>
  <si>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</si>
  <si>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</si>
  <si>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</si>
  <si>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</si>
  <si>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</si>
  <si>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</si>
  <si>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</si>
  <si>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</si>
  <si>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</si>
  <si>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</si>
  <si>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</si>
  <si>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</si>
  <si>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</si>
  <si>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</si>
  <si>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</si>
  <si>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</si>
  <si>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</si>
  <si>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</si>
  <si>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</si>
  <si>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</si>
  <si>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</si>
  <si>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</si>
  <si>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</si>
  <si>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</si>
  <si>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</si>
  <si>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</si>
  <si>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</si>
  <si>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</si>
  <si>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</si>
  <si>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</si>
  <si>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</si>
  <si>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</si>
  <si>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</si>
  <si>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</si>
  <si>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</si>
  <si>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</si>
  <si>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</si>
  <si>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</si>
  <si>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</si>
  <si>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</si>
  <si>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</si>
  <si>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</si>
  <si>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</si>
  <si>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</si>
  <si>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</si>
  <si>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</si>
  <si>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</si>
  <si>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</si>
  <si>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</si>
  <si>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</si>
  <si>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</si>
  <si>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</si>
  <si>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</si>
  <si>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</si>
  <si>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</si>
  <si>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</si>
  <si>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</si>
  <si>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</si>
  <si>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</si>
  <si>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</si>
  <si>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</si>
  <si>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</si>
  <si>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</si>
  <si>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</si>
  <si>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</si>
  <si>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</si>
  <si>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</si>
  <si>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</si>
  <si>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</si>
  <si>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</si>
  <si>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</si>
  <si>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</si>
  <si>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</si>
  <si>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</si>
  <si>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</si>
  <si>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</si>
  <si>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</si>
  <si>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</si>
  <si>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</si>
  <si>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</si>
  <si>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</si>
  <si>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</si>
  <si>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</si>
  <si>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</si>
  <si>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</si>
  <si>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</si>
  <si>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</si>
  <si>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</si>
  <si>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</si>
  <si>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</si>
  <si>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</si>
  <si>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</si>
  <si>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</si>
  <si>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</si>
  <si>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</si>
  <si>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</si>
  <si>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</si>
  <si>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</si>
  <si>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</si>
  <si>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</si>
  <si>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</si>
  <si>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</si>
  <si>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</si>
  <si>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</si>
  <si>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</si>
  <si>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</si>
  <si>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</si>
  <si>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</si>
  <si>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</si>
  <si>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</si>
  <si>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</si>
  <si>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</si>
  <si>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</si>
  <si>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</si>
  <si>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</si>
  <si>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</si>
  <si>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</si>
  <si>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</si>
  <si>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</si>
  <si>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</si>
  <si>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</si>
  <si>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</si>
  <si>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</si>
  <si>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</si>
  <si>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</si>
  <si>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</si>
  <si>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</si>
  <si>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</si>
  <si>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</si>
  <si>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</si>
  <si>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</si>
  <si>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</si>
  <si>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</si>
  <si>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</si>
  <si>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</si>
  <si>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</si>
  <si>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</si>
  <si>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</si>
  <si>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</si>
  <si>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</si>
  <si>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</si>
  <si>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</si>
  <si>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</si>
  <si>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</si>
  <si>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</si>
  <si>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</si>
  <si>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</si>
  <si>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</si>
  <si>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</si>
  <si>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</si>
  <si>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</si>
  <si>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</si>
  <si>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</si>
  <si>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</si>
  <si>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</si>
  <si>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</si>
  <si>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</si>
  <si>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</si>
  <si>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</si>
  <si>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</si>
  <si>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</si>
  <si>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</si>
  <si>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</si>
  <si>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</si>
  <si>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</si>
  <si>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</si>
  <si>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</si>
  <si>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</si>
  <si>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</si>
  <si>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</si>
  <si>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</si>
  <si>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</si>
  <si>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</si>
  <si>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</si>
  <si>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</si>
  <si>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</si>
  <si>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</si>
  <si>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</si>
  <si>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</si>
  <si>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</si>
  <si>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</si>
  <si>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</si>
  <si>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</si>
  <si>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</si>
  <si>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</si>
  <si>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</si>
  <si>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</si>
  <si>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</si>
  <si>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</si>
  <si>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</si>
  <si>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</si>
  <si>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</si>
  <si>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</si>
  <si>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</si>
  <si>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</si>
  <si>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</si>
  <si>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</si>
  <si>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</si>
  <si>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</si>
  <si>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</si>
  <si>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</si>
  <si>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</si>
  <si>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</si>
  <si>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</si>
  <si>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</si>
  <si>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</si>
  <si>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</si>
  <si>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</si>
  <si>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</si>
  <si>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</si>
  <si>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</si>
  <si>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</si>
  <si>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</si>
  <si>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</si>
  <si>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</si>
  <si>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</si>
  <si>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</si>
  <si>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</si>
  <si>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</si>
  <si>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</si>
  <si>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</si>
  <si>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</si>
  <si>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</si>
  <si>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</si>
  <si>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</si>
  <si>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</si>
  <si>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</si>
  <si>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</si>
  <si>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</si>
  <si>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</si>
  <si>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</si>
  <si>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</si>
  <si>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</si>
  <si>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</si>
  <si>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</si>
  <si>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</si>
  <si>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</si>
  <si>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</si>
  <si>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</si>
  <si>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</si>
  <si>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</si>
  <si>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</si>
  <si>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</si>
  <si>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</si>
  <si>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</si>
  <si>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</si>
  <si>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</si>
  <si>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</si>
  <si>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</si>
  <si>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</si>
  <si>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</si>
  <si>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</si>
  <si>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</si>
  <si>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</si>
  <si>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</si>
  <si>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</si>
  <si>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</si>
  <si>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</si>
  <si>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</si>
  <si>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</si>
  <si>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</si>
  <si>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</si>
  <si>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</si>
  <si>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</si>
  <si>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</si>
  <si>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</si>
  <si>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</si>
  <si>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</si>
  <si>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</si>
  <si>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</si>
  <si>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</si>
  <si>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</si>
  <si>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</si>
  <si>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</si>
  <si>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</si>
  <si>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</si>
  <si>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</si>
  <si>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</si>
  <si>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</si>
  <si>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</si>
  <si>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</si>
  <si>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</si>
  <si>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</si>
  <si>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</si>
  <si>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</si>
  <si>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</si>
  <si>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</si>
  <si>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</si>
  <si>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</si>
  <si>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</si>
  <si>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</si>
  <si>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</si>
  <si>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</si>
  <si>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</si>
  <si>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</si>
  <si>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</si>
  <si>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</si>
  <si>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</si>
  <si>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</si>
  <si>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</si>
  <si>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</si>
  <si>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</si>
  <si>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</si>
  <si>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</si>
  <si>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</si>
  <si>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</si>
  <si>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</si>
  <si>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</si>
  <si>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</si>
  <si>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</si>
  <si>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</si>
  <si>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</si>
  <si>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</si>
  <si>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</si>
  <si>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</si>
  <si>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</si>
  <si>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</si>
  <si>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</si>
  <si>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</si>
  <si>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</si>
  <si>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</si>
  <si>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</si>
  <si>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</si>
  <si>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</si>
  <si>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</si>
  <si>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</si>
  <si>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</si>
  <si>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</si>
  <si>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</si>
  <si>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</si>
  <si>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</si>
  <si>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</si>
  <si>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</si>
  <si>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</si>
  <si>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</si>
  <si>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</si>
  <si>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</si>
  <si>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</si>
  <si>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</si>
  <si>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</si>
  <si>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</si>
  <si>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</si>
  <si>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</si>
  <si>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</si>
  <si>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</si>
  <si>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</si>
  <si>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</si>
  <si>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</si>
  <si>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</si>
  <si>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</si>
  <si>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</si>
  <si>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</si>
  <si>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</si>
  <si>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</si>
  <si>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</si>
  <si>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</si>
  <si>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</si>
  <si>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</si>
  <si>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</si>
  <si>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</si>
  <si>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</si>
  <si>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</si>
  <si>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</si>
  <si>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</si>
  <si>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</si>
  <si>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</si>
  <si>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</si>
  <si>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</si>
  <si>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</si>
  <si>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</si>
  <si>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</si>
  <si>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</si>
  <si>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</si>
  <si>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</si>
  <si>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</si>
  <si>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</si>
  <si>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</si>
  <si>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</si>
  <si>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</si>
  <si>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</si>
  <si>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</si>
  <si>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</si>
  <si>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</si>
  <si>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</si>
  <si>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</si>
  <si>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</si>
  <si>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</si>
  <si>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</si>
  <si>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</si>
  <si>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</si>
  <si>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</si>
  <si>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</si>
  <si>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</si>
  <si>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</si>
  <si>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</si>
  <si>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</si>
  <si>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</si>
  <si>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</si>
  <si>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</si>
  <si>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</si>
  <si>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</si>
  <si>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</si>
  <si>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</si>
  <si>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</si>
  <si>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</si>
  <si>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</si>
  <si>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</si>
  <si>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</si>
  <si>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</si>
  <si>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</si>
  <si>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</si>
  <si>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</si>
  <si>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</si>
  <si>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</si>
  <si>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</si>
  <si>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</si>
  <si>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</si>
  <si>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</si>
  <si>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</si>
  <si>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</si>
  <si>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</si>
  <si>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</si>
  <si>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</si>
  <si>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</si>
  <si>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</si>
  <si>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</si>
  <si>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</si>
  <si>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</si>
  <si>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</si>
  <si>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</si>
  <si>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</si>
  <si>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</si>
  <si>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</si>
  <si>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</si>
  <si>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</si>
  <si>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</si>
  <si>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</si>
  <si>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</si>
  <si>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</si>
  <si>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</si>
  <si>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</si>
  <si>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</si>
  <si>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</si>
  <si>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</si>
  <si>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</si>
  <si>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</si>
  <si>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</si>
  <si>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</si>
  <si>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</si>
  <si>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</si>
  <si>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</si>
  <si>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</si>
  <si>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</si>
  <si>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</si>
  <si>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</si>
  <si>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</si>
  <si>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</si>
  <si>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</si>
  <si>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</si>
  <si>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</si>
  <si>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</si>
  <si>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</si>
  <si>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</si>
  <si>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</si>
  <si>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</si>
  <si>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</si>
  <si>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</si>
  <si>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</si>
  <si>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</si>
  <si>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</si>
  <si>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</si>
  <si>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</si>
  <si>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</si>
  <si>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</si>
  <si>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</si>
  <si>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</si>
  <si>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</si>
  <si>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</si>
  <si>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</si>
  <si>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</si>
  <si>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</si>
  <si>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</si>
  <si>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</si>
  <si>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</si>
  <si>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</si>
  <si>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</si>
  <si>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</si>
  <si>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</si>
  <si>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</si>
  <si>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</si>
  <si>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</si>
  <si>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</si>
  <si>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</si>
  <si>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</si>
  <si>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</si>
  <si>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</si>
  <si>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</si>
  <si>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</si>
  <si>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</si>
  <si>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</si>
  <si>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</si>
  <si>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</si>
  <si>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</si>
  <si>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</si>
  <si>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</si>
  <si>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</si>
  <si>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</si>
  <si>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</si>
  <si>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</si>
  <si>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</si>
  <si>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</si>
  <si>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</si>
  <si>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</si>
  <si>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</si>
  <si>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</si>
  <si>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</si>
  <si>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</si>
  <si>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</si>
  <si>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</si>
  <si>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</si>
  <si>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</si>
  <si>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</si>
  <si>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</si>
  <si>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</si>
  <si>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</si>
  <si>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</si>
  <si>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</si>
  <si>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</si>
  <si>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</si>
  <si>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</si>
  <si>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</si>
  <si>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</si>
  <si>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</si>
  <si>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</si>
  <si>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</si>
  <si>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</si>
  <si>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</si>
  <si>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</si>
  <si>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</si>
  <si>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</si>
  <si>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</si>
  <si>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</si>
  <si>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</si>
  <si>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</si>
  <si>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</si>
  <si>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</si>
  <si>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</si>
  <si>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</si>
  <si>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</si>
  <si>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</si>
  <si>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</si>
  <si>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</si>
  <si>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</si>
  <si>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</si>
  <si>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</si>
  <si>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</si>
  <si>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</si>
  <si>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</si>
  <si>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</si>
  <si>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</si>
  <si>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</si>
  <si>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</si>
  <si>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</si>
  <si>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</si>
  <si>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</si>
  <si>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</si>
  <si>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</si>
  <si>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</si>
  <si>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</si>
  <si>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</si>
  <si>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</si>
  <si>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</si>
  <si>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</si>
  <si>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</si>
  <si>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</si>
  <si>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</si>
  <si>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</si>
  <si>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</si>
  <si>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</si>
  <si>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</si>
  <si>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</si>
  <si>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</si>
  <si>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</si>
  <si>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</si>
  <si>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</si>
  <si>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</si>
  <si>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</si>
  <si>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</si>
  <si>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</si>
  <si>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</si>
  <si>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</si>
  <si>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</si>
  <si>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</si>
  <si>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</si>
  <si>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</si>
  <si>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</si>
  <si>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</si>
  <si>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</si>
  <si>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</si>
  <si>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</si>
  <si>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</si>
  <si>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</si>
  <si>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</si>
  <si>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</si>
  <si>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</si>
  <si>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</si>
  <si>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</si>
  <si>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</si>
  <si>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</si>
  <si>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</si>
  <si>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</si>
  <si>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</si>
  <si>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</si>
  <si>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</si>
  <si>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</si>
  <si>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</si>
  <si>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</si>
  <si>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</si>
  <si>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</si>
  <si>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</si>
  <si>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</si>
  <si>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</si>
  <si>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</si>
  <si>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</si>
  <si>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</si>
  <si>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</si>
  <si>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</si>
  <si>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</si>
  <si>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</si>
  <si>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</si>
  <si>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</si>
  <si>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</si>
  <si>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</si>
  <si>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</si>
  <si>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</si>
  <si>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</si>
  <si>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</si>
  <si>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</si>
  <si>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</si>
  <si>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</si>
  <si>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</si>
  <si>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</si>
  <si>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</si>
  <si>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</si>
  <si>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</si>
  <si>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</si>
  <si>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</si>
  <si>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</si>
  <si>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</si>
  <si>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</si>
  <si>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</si>
  <si>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</si>
  <si>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</si>
  <si>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</si>
  <si>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</si>
  <si>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</si>
  <si>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</si>
  <si>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</si>
  <si>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</si>
  <si>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</si>
  <si>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</si>
  <si>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</si>
  <si>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</si>
  <si>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</si>
  <si>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</si>
  <si>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</si>
  <si>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</si>
  <si>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</si>
  <si>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</si>
  <si>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</si>
  <si>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</si>
  <si>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</si>
  <si>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</si>
  <si>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</si>
  <si>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</si>
  <si>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</si>
  <si>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</si>
  <si>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</si>
  <si>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</si>
  <si>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</si>
  <si>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</si>
  <si>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</si>
  <si>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</si>
  <si>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</si>
  <si>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</si>
  <si>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</si>
  <si>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</si>
  <si>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</si>
  <si>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</si>
  <si>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</si>
  <si>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</si>
  <si>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</si>
  <si>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</si>
  <si>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</si>
  <si>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</si>
  <si>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</si>
  <si>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</si>
  <si>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</si>
  <si>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</si>
  <si>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</si>
  <si>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</si>
  <si>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</si>
  <si>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</si>
  <si>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</si>
  <si>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</si>
  <si>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</si>
  <si>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</si>
  <si>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</si>
  <si>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</si>
  <si>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</si>
  <si>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</si>
  <si>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</si>
  <si>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</si>
  <si>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</si>
  <si>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</si>
  <si>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</si>
  <si>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</si>
  <si>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</si>
  <si>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</si>
  <si>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</si>
  <si>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</si>
  <si>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</si>
  <si>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</si>
  <si>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</si>
  <si>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</si>
  <si>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</si>
  <si>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</si>
  <si>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</si>
  <si>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</si>
  <si>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</si>
  <si>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</si>
  <si>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</si>
  <si>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</si>
  <si>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</si>
  <si>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</si>
  <si>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</si>
  <si>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</si>
  <si>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</si>
  <si>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</si>
  <si>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</si>
  <si>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</si>
  <si>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</si>
  <si>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</si>
  <si>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</si>
  <si>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</si>
  <si>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</si>
  <si>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</si>
  <si>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</si>
  <si>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</si>
  <si>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</si>
  <si>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</si>
  <si>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</si>
  <si>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</si>
  <si>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</si>
  <si>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</si>
  <si>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</si>
  <si>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</si>
  <si>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</si>
  <si>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</si>
  <si>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</si>
  <si>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</si>
  <si>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</si>
  <si>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</si>
  <si>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</si>
  <si>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</si>
  <si>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</si>
  <si>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</si>
  <si>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</si>
  <si>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</si>
  <si>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</si>
  <si>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</si>
  <si>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</si>
  <si>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</si>
  <si>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</si>
  <si>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</si>
  <si>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</si>
  <si>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</si>
  <si>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</si>
  <si>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</si>
  <si>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</si>
  <si>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</si>
  <si>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</si>
  <si>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</si>
  <si>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</si>
  <si>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</si>
  <si>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</si>
  <si>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</si>
  <si>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</si>
  <si>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</si>
  <si>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</si>
  <si>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</si>
  <si>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</si>
  <si>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</si>
  <si>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</si>
  <si>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</si>
  <si>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</si>
  <si>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</si>
  <si>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</si>
  <si>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</si>
  <si>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</si>
  <si>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</si>
  <si>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</si>
  <si>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</si>
  <si>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</si>
  <si>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</si>
  <si>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</si>
  <si>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</si>
  <si>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</si>
  <si>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</si>
  <si>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</si>
  <si>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</si>
  <si>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</si>
  <si>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</si>
  <si>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</si>
  <si>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</si>
  <si>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</si>
  <si>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</si>
  <si>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</si>
  <si>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</si>
  <si>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</si>
  <si>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</si>
  <si>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</si>
  <si>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</si>
  <si>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</si>
  <si>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</si>
  <si>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</si>
  <si>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</si>
  <si>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</si>
  <si>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</si>
  <si>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</si>
  <si>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</si>
  <si>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</si>
  <si>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</si>
  <si>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</si>
  <si>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</si>
  <si>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</si>
  <si>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</si>
  <si>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</si>
  <si>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</si>
  <si>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</si>
  <si>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</si>
  <si>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</si>
  <si>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</si>
  <si>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</si>
  <si>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</si>
  <si>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</si>
  <si>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</si>
  <si>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</si>
  <si>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</si>
  <si>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</si>
  <si>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</si>
  <si>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</si>
  <si>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</si>
  <si>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</si>
  <si>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</si>
  <si>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</si>
  <si>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</si>
  <si>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</si>
  <si>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</si>
  <si>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</si>
  <si>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</si>
  <si>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</si>
  <si>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</si>
  <si>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</si>
  <si>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</si>
  <si>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</si>
  <si>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</si>
  <si>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</si>
  <si>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</si>
  <si>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</si>
  <si>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</si>
  <si>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</si>
  <si>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</si>
  <si>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</si>
  <si>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</si>
  <si>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</si>
  <si>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</si>
  <si>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</si>
  <si>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</si>
  <si>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</si>
  <si>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</si>
  <si>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</si>
  <si>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</si>
  <si>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</si>
  <si>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</si>
  <si>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</si>
  <si>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</si>
  <si>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</si>
  <si>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</si>
  <si>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</si>
  <si>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</si>
  <si>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</si>
  <si>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</si>
  <si>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</si>
  <si>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</si>
  <si>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</si>
  <si>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</si>
  <si>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</si>
  <si>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</si>
  <si>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</si>
  <si>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</si>
  <si>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</si>
  <si>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</si>
  <si>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</si>
  <si>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</si>
  <si>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</si>
  <si>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</si>
  <si>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</si>
  <si>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</si>
  <si>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</si>
  <si>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</si>
  <si>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</si>
  <si>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</si>
  <si>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</si>
  <si>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</si>
  <si>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</si>
  <si>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</si>
  <si>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</si>
  <si>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</si>
  <si>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</si>
  <si>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</si>
  <si>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</si>
  <si>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</si>
  <si>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</si>
  <si>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</si>
  <si>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</si>
  <si>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</si>
  <si>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</si>
  <si>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</si>
  <si>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</si>
  <si>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</si>
  <si>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</si>
  <si>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</si>
  <si>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</si>
  <si>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</si>
  <si>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</si>
  <si>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</si>
  <si>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</si>
  <si>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</si>
  <si>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</si>
  <si>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</si>
  <si>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</si>
  <si>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</si>
  <si>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</si>
  <si>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</si>
  <si>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</si>
  <si>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</si>
  <si>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</si>
  <si>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</si>
  <si>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</si>
  <si>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</si>
  <si>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</si>
  <si>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</si>
  <si>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</si>
  <si>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</si>
  <si>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</si>
  <si>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</si>
  <si>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</si>
  <si>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</si>
  <si>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</si>
  <si>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</si>
  <si>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</si>
  <si>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</si>
  <si>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</si>
  <si>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</si>
  <si>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</si>
  <si>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</si>
  <si>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</si>
  <si>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</si>
  <si>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</si>
  <si>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</si>
  <si>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</si>
  <si>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</si>
  <si>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</si>
  <si>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</si>
  <si>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</si>
  <si>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</si>
  <si>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</si>
  <si>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</si>
  <si>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</si>
  <si>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</si>
  <si>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</si>
  <si>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</si>
  <si>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</si>
  <si>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</si>
  <si>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</si>
  <si>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</si>
  <si>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</si>
  <si>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</si>
  <si>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</si>
  <si>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</si>
  <si>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</si>
  <si>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</si>
  <si>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</si>
  <si>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</si>
  <si>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</si>
  <si>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</si>
  <si>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</si>
  <si>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</si>
  <si>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</si>
  <si>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</si>
  <si>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</si>
  <si>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</si>
  <si>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</si>
  <si>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</si>
  <si>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</si>
  <si>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</si>
  <si>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</si>
  <si>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</si>
  <si>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</si>
  <si>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</si>
  <si>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</si>
  <si>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</si>
  <si>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</si>
  <si>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</si>
  <si>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</si>
  <si>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</si>
  <si>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</si>
  <si>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</si>
  <si>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</si>
  <si>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</si>
  <si>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</si>
  <si>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</si>
  <si>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</si>
  <si>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</si>
  <si>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</si>
  <si>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</si>
  <si>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</si>
  <si>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</si>
  <si>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</si>
  <si>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</si>
  <si>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</si>
  <si>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</si>
  <si>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</si>
  <si>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</si>
  <si>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</si>
  <si>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</si>
  <si>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</si>
  <si>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</si>
  <si>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</si>
  <si>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</si>
  <si>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</si>
  <si>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</si>
  <si>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</si>
  <si>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</si>
  <si>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</si>
  <si>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</si>
  <si>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</si>
  <si>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</si>
  <si>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</si>
  <si>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</si>
  <si>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</si>
  <si>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</si>
  <si>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</si>
  <si>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</si>
  <si>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</si>
  <si>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</si>
  <si>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</si>
  <si>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</si>
  <si>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</si>
  <si>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</si>
  <si>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</si>
  <si>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</si>
  <si>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</si>
  <si>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</si>
  <si>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</si>
  <si>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</si>
  <si>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</si>
  <si>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</si>
  <si>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</si>
  <si>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</si>
  <si>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</si>
  <si>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</si>
  <si>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</si>
  <si>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</si>
  <si>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</si>
  <si>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</si>
  <si>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</si>
  <si>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</si>
  <si>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</si>
  <si>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</si>
  <si>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</si>
  <si>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</si>
  <si>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</si>
  <si>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</si>
  <si>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</si>
  <si>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</si>
  <si>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</si>
  <si>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</si>
  <si>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</si>
  <si>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</si>
  <si>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</si>
  <si>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</si>
  <si>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</si>
  <si>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</si>
  <si>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</si>
  <si>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</si>
  <si>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</si>
  <si>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</si>
  <si>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</si>
  <si>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</si>
  <si>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</si>
  <si>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</si>
  <si>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</si>
  <si>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</si>
  <si>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</si>
  <si>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</si>
  <si>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</si>
  <si>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</si>
  <si>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</si>
  <si>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</si>
  <si>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</si>
  <si>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</si>
  <si>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</si>
  <si>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</si>
  <si>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</si>
  <si>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</si>
  <si>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</si>
  <si>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</si>
  <si>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</si>
  <si>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</si>
  <si>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</si>
  <si>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</si>
  <si>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</si>
  <si>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</si>
  <si>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</si>
  <si>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</si>
  <si>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</si>
  <si>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</si>
  <si>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</si>
  <si>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</si>
  <si>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</si>
  <si>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</si>
  <si>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</si>
  <si>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</si>
  <si>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</si>
  <si>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</si>
  <si>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</si>
  <si>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</si>
  <si>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</si>
  <si>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</si>
  <si>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</si>
  <si>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</si>
  <si>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</si>
  <si>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</si>
  <si>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</si>
  <si>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</si>
  <si>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</si>
  <si>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</si>
  <si>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</si>
  <si>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</si>
  <si>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</si>
  <si>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</si>
  <si>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</si>
  <si>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</si>
  <si>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</si>
  <si>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</si>
  <si>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</si>
  <si>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</si>
  <si>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</si>
  <si>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</si>
  <si>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</si>
  <si>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</si>
  <si>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</si>
  <si>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</si>
  <si>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</si>
  <si>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</si>
  <si>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</si>
  <si>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</si>
  <si>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</si>
  <si>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</si>
  <si>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</si>
  <si>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</si>
  <si>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</si>
  <si>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</si>
  <si>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</si>
  <si>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</si>
  <si>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</si>
  <si>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</si>
  <si>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</si>
  <si>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</si>
  <si>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</si>
  <si>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</si>
  <si>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</si>
  <si>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</si>
  <si>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</si>
  <si>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</si>
  <si>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</si>
  <si>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</si>
  <si>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</si>
  <si>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</si>
  <si>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</si>
  <si>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</si>
  <si>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</si>
  <si>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</si>
  <si>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</si>
  <si>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</si>
  <si>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</si>
  <si>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</si>
  <si>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</si>
  <si>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</si>
  <si>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</si>
  <si>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</si>
  <si>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</si>
  <si>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</si>
  <si>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</si>
  <si>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</si>
  <si>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</si>
  <si>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</si>
  <si>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</si>
  <si>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</si>
  <si>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</si>
  <si>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</si>
  <si>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</si>
  <si>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</si>
  <si>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</si>
  <si>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</si>
  <si>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</si>
  <si>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</si>
  <si>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</si>
  <si>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</si>
  <si>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</si>
  <si>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</si>
  <si>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</si>
  <si>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</si>
  <si>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</si>
  <si>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</si>
  <si>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</si>
  <si>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</si>
  <si>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</si>
  <si>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</si>
  <si>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</si>
  <si>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</si>
  <si>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</si>
  <si>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</si>
  <si>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</si>
  <si>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</si>
  <si>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</si>
  <si>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</si>
  <si>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</si>
  <si>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</si>
  <si>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</si>
  <si>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</si>
  <si>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</si>
  <si>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</si>
  <si>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</si>
  <si>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</si>
  <si>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</si>
  <si>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</si>
  <si>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</si>
  <si>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</si>
  <si>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</si>
  <si>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</si>
  <si>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</si>
  <si>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</si>
  <si>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</si>
  <si>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</si>
  <si>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</si>
  <si>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</si>
  <si>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</si>
  <si>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</si>
  <si>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</si>
  <si>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</si>
  <si>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</si>
  <si>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</si>
  <si>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</si>
  <si>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</si>
  <si>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</si>
  <si>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</si>
  <si>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</si>
  <si>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</si>
  <si>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</si>
  <si>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</si>
  <si>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</si>
  <si>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</si>
  <si>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</si>
  <si>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</si>
  <si>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</si>
  <si>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</si>
  <si>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</si>
  <si>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</si>
  <si>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</si>
  <si>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</si>
  <si>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</si>
  <si>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</si>
  <si>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</si>
  <si>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</si>
  <si>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</si>
  <si>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</si>
  <si>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</si>
  <si>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</si>
  <si>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</si>
  <si>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</si>
  <si>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</si>
  <si>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</si>
  <si>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</si>
  <si>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</si>
  <si>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</si>
  <si>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</si>
  <si>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</si>
  <si>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</si>
  <si>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</si>
  <si>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</si>
  <si>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</si>
  <si>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</si>
  <si>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</si>
  <si>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</si>
  <si>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</si>
  <si>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</si>
  <si>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</si>
  <si>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</si>
  <si>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</si>
  <si>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</si>
  <si>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</si>
  <si>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</si>
  <si>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</si>
  <si>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</si>
  <si>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</si>
  <si>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</si>
  <si>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</si>
  <si>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</si>
  <si>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</si>
  <si>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</si>
  <si>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</si>
  <si>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</si>
  <si>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</si>
  <si>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</si>
  <si>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</si>
  <si>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</si>
  <si>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</si>
  <si>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</si>
  <si>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</si>
  <si>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</si>
  <si>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</si>
  <si>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</si>
  <si>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</si>
  <si>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</si>
  <si>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</si>
  <si>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</si>
  <si>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</si>
  <si>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</si>
  <si>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</si>
  <si>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</si>
  <si>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</si>
  <si>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</si>
  <si>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</si>
  <si>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</si>
  <si>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</si>
  <si>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</si>
  <si>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</si>
  <si>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</si>
  <si>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</si>
  <si>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</si>
  <si>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</si>
  <si>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</si>
  <si>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</si>
  <si>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</si>
  <si>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</si>
  <si>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</si>
  <si>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</si>
  <si>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</si>
  <si>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</si>
  <si>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</si>
  <si>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</si>
  <si>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</si>
  <si>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</si>
  <si>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</si>
  <si>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</si>
  <si>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</si>
  <si>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</si>
  <si>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</si>
  <si>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</si>
  <si>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</si>
  <si>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</si>
  <si>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</si>
  <si>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</si>
  <si>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</si>
  <si>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</si>
  <si>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</si>
  <si>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</si>
  <si>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</si>
  <si>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</si>
  <si>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</si>
  <si>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</si>
  <si>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</si>
  <si>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</si>
  <si>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</si>
  <si>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</si>
  <si>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</si>
  <si>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</si>
  <si>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</si>
  <si>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</si>
  <si>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</si>
  <si>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</si>
  <si>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</si>
  <si>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</si>
  <si>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</si>
  <si>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</si>
  <si>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</si>
  <si>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</si>
  <si>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</si>
  <si>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</si>
  <si>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</si>
  <si>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</si>
  <si>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</si>
  <si>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</si>
  <si>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</si>
  <si>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</si>
  <si>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</si>
  <si>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</si>
  <si>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</si>
  <si>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</si>
  <si>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</si>
  <si>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</si>
  <si>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</si>
  <si>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</si>
  <si>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</si>
  <si>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</si>
  <si>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</si>
  <si>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</si>
  <si>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</si>
  <si>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</si>
  <si>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</si>
  <si>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</si>
  <si>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</si>
  <si>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</si>
  <si>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</si>
  <si>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</si>
  <si>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</si>
  <si>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</si>
  <si>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</si>
  <si>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</si>
  <si>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</si>
  <si>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</si>
  <si>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</si>
  <si>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</si>
  <si>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</si>
  <si>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</si>
  <si>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</si>
  <si>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</si>
  <si>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</si>
  <si>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</si>
  <si>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</si>
  <si>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</si>
  <si>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</si>
  <si>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</si>
  <si>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</si>
  <si>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</si>
  <si>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</si>
  <si>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</si>
  <si>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</si>
  <si>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</si>
  <si>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</si>
  <si>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</si>
  <si>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</si>
  <si>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</si>
  <si>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</si>
  <si>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</si>
  <si>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</si>
  <si>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</si>
  <si>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</si>
  <si>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</si>
  <si>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</si>
  <si>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</si>
  <si>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</si>
  <si>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</si>
  <si>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</si>
  <si>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</si>
  <si>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</si>
  <si>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</si>
  <si>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</si>
  <si>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</si>
  <si>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</si>
  <si>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</si>
  <si>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</si>
  <si>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</si>
  <si>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</si>
  <si>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</si>
  <si>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</si>
  <si>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</si>
  <si>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</si>
  <si>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</si>
  <si>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</si>
  <si>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</si>
  <si>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</si>
  <si>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</si>
  <si>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</si>
  <si>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</si>
  <si>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</si>
  <si>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</si>
  <si>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</si>
  <si>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</si>
  <si>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</si>
  <si>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</si>
  <si>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</si>
  <si>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</si>
  <si>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</si>
  <si>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</si>
  <si>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</si>
  <si>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</si>
  <si>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</si>
  <si>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</si>
  <si>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</si>
  <si>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</si>
  <si>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</si>
  <si>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</si>
  <si>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</si>
  <si>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</si>
  <si>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</si>
  <si>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</si>
  <si>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</si>
  <si>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</si>
  <si>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</si>
  <si>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</si>
  <si>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</si>
  <si>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</si>
  <si>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</si>
  <si>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</si>
  <si>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</si>
  <si>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</si>
  <si>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</si>
  <si>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</si>
  <si>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</si>
  <si>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</si>
  <si>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</si>
  <si>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</si>
  <si>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</si>
  <si>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</si>
  <si>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</si>
  <si>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</si>
  <si>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</si>
  <si>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</si>
  <si>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</si>
  <si>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</si>
  <si>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</si>
  <si>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</si>
  <si>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</si>
  <si>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</si>
  <si>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</si>
  <si>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</si>
  <si>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</si>
  <si>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</si>
  <si>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</si>
  <si>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</si>
  <si>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</si>
  <si>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</si>
  <si>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</si>
  <si>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</si>
  <si>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</si>
  <si>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</si>
  <si>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</si>
  <si>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</si>
  <si>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</si>
  <si>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</si>
  <si>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</si>
  <si>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</si>
  <si>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</si>
  <si>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</si>
  <si>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</si>
  <si>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</si>
  <si>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</si>
  <si>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</si>
  <si>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</si>
  <si>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</si>
  <si>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</si>
  <si>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</si>
  <si>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</si>
  <si>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</si>
  <si>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</si>
  <si>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</si>
  <si>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</si>
  <si>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</si>
  <si>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</si>
  <si>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</si>
  <si>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</si>
  <si>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</si>
  <si>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</si>
  <si>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</si>
  <si>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</si>
  <si>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</si>
  <si>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</si>
  <si>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</si>
  <si>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</si>
  <si>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</si>
  <si>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</si>
  <si>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</si>
  <si>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</si>
  <si>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</si>
  <si>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</si>
  <si>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</si>
  <si>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</si>
  <si>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</si>
  <si>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</si>
  <si>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</si>
  <si>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</si>
  <si>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</si>
  <si>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</si>
  <si>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</si>
  <si>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</si>
  <si>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</si>
  <si>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</si>
  <si>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</si>
  <si>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</si>
  <si>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</si>
  <si>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</si>
  <si>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</si>
  <si>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</si>
  <si>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</si>
  <si>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</si>
  <si>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</si>
  <si>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</si>
  <si>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</si>
  <si>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</si>
  <si>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</si>
  <si>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</si>
  <si>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</si>
  <si>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</si>
  <si>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</si>
  <si>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</si>
  <si>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</si>
  <si>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</si>
  <si>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</si>
  <si>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</si>
  <si>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</si>
  <si>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</si>
  <si>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</si>
  <si>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</si>
  <si>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</si>
  <si>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</si>
  <si>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</si>
  <si>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</si>
  <si>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</si>
  <si>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</si>
  <si>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</si>
  <si>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</si>
  <si>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</si>
  <si>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</si>
  <si>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</si>
  <si>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</si>
  <si>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</si>
  <si>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</si>
  <si>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</si>
  <si>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</si>
  <si>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</si>
  <si>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</si>
  <si>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</si>
  <si>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</si>
  <si>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</si>
  <si>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</si>
  <si>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</si>
  <si>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</si>
  <si>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</si>
  <si>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</si>
  <si>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</si>
  <si>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</si>
  <si>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</si>
  <si>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</si>
  <si>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</si>
  <si>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</si>
  <si>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</si>
  <si>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</si>
  <si>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</si>
  <si>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</si>
  <si>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</si>
  <si>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</si>
  <si>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</si>
  <si>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</si>
  <si>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</si>
  <si>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</si>
  <si>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</si>
  <si>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</si>
  <si>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</si>
  <si>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</si>
  <si>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</si>
  <si>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</si>
  <si>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</si>
  <si>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</si>
  <si>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</si>
  <si>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</si>
  <si>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</si>
  <si>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</si>
  <si>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</si>
  <si>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</si>
  <si>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</si>
  <si>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</si>
  <si>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</si>
  <si>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</si>
  <si>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</si>
  <si>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</si>
  <si>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</si>
  <si>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</si>
  <si>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</si>
  <si>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</si>
  <si>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</si>
  <si>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</si>
  <si>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</si>
  <si>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</si>
  <si>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</si>
  <si>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</si>
  <si>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</si>
  <si>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</si>
  <si>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</si>
  <si>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</si>
  <si>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</si>
  <si>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</si>
  <si>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</si>
  <si>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</si>
  <si>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</si>
  <si>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</si>
  <si>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</si>
  <si>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</si>
  <si>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</si>
  <si>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</si>
  <si>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</si>
  <si>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</si>
  <si>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</si>
  <si>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</si>
  <si>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</si>
  <si>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</si>
  <si>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</si>
  <si>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</si>
  <si>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</si>
  <si>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</si>
  <si>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</si>
  <si>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</si>
  <si>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</si>
  <si>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</si>
  <si>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</si>
  <si>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</si>
  <si>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</si>
  <si>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</si>
  <si>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</si>
  <si>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</si>
  <si>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</si>
  <si>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</si>
  <si>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</si>
  <si>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</si>
  <si>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</si>
  <si>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</si>
  <si>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</si>
  <si>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</si>
  <si>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</si>
  <si>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</si>
  <si>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</si>
  <si>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</si>
  <si>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</si>
  <si>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</si>
  <si>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</si>
  <si>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</si>
  <si>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</si>
  <si>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</si>
  <si>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</si>
  <si>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</si>
  <si>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</si>
  <si>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</si>
  <si>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</si>
  <si>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</si>
  <si>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</si>
  <si>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</si>
  <si>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</si>
  <si>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</si>
  <si>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</si>
  <si>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</si>
  <si>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</si>
  <si>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</si>
  <si>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</si>
  <si>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</si>
  <si>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</si>
  <si>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</si>
  <si>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</si>
  <si>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</si>
  <si>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</si>
  <si>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</si>
  <si>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</si>
  <si>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</si>
  <si>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</si>
  <si>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</si>
  <si>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</si>
  <si>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</si>
  <si>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</si>
  <si>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</si>
  <si>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</si>
  <si>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</si>
  <si>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</si>
  <si>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</si>
  <si>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</si>
  <si>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</si>
  <si>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</si>
  <si>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</si>
  <si>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</si>
  <si>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</si>
  <si>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</si>
  <si>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</si>
  <si>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</si>
  <si>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</si>
  <si>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</si>
  <si>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</si>
  <si>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</si>
  <si>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</si>
  <si>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</si>
  <si>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</si>
  <si>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</si>
  <si>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</si>
  <si>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</si>
  <si>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</si>
  <si>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</si>
  <si>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</si>
  <si>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</si>
  <si>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</si>
  <si>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</si>
  <si>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</si>
  <si>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</si>
  <si>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</si>
  <si>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</si>
  <si>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</si>
  <si>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</si>
  <si>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</si>
  <si>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</si>
  <si>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</si>
  <si>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</si>
  <si>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</si>
  <si>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</si>
  <si>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</si>
  <si>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</si>
  <si>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</si>
  <si>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</si>
  <si>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</si>
  <si>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</si>
  <si>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</si>
  <si>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</si>
  <si>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</si>
  <si>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</si>
  <si>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</si>
  <si>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</si>
  <si>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</si>
  <si>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</si>
  <si>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</si>
  <si>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</si>
  <si>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</si>
  <si>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</si>
  <si>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</si>
  <si>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</si>
  <si>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</si>
  <si>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</si>
  <si>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</si>
  <si>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</si>
  <si>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</si>
  <si>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</si>
  <si>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</si>
  <si>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</si>
  <si>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</si>
  <si>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</si>
  <si>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</si>
  <si>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</si>
  <si>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</si>
  <si>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</si>
  <si>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</si>
  <si>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</si>
  <si>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</si>
  <si>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</si>
  <si>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</si>
  <si>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</si>
  <si>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</si>
  <si>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</si>
  <si>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</si>
  <si>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</si>
  <si>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</si>
  <si>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</si>
  <si>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</si>
  <si>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</si>
  <si>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</si>
  <si>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</si>
  <si>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</si>
  <si>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</si>
  <si>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</si>
  <si>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</si>
  <si>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</si>
  <si>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</si>
  <si>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</si>
  <si>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</si>
  <si>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</si>
  <si>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</si>
  <si>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</si>
  <si>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</si>
  <si>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</si>
  <si>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</si>
  <si>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</si>
  <si>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</si>
  <si>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</si>
  <si>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</si>
  <si>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</si>
  <si>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</si>
  <si>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</si>
  <si>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</si>
  <si>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</si>
  <si>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</si>
  <si>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</si>
  <si>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</si>
  <si>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</si>
  <si>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</si>
  <si>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</si>
  <si>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</si>
  <si>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</si>
  <si>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</si>
  <si>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</si>
  <si>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</si>
  <si>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</si>
  <si>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</si>
  <si>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</si>
  <si>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</si>
  <si>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</si>
  <si>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</si>
  <si>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</si>
  <si>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</si>
  <si>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</si>
  <si>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</si>
  <si>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</si>
  <si>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</si>
  <si>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</si>
  <si>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</si>
  <si>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</si>
  <si>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</si>
  <si>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</si>
  <si>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</si>
  <si>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</si>
  <si>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</si>
  <si>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</si>
  <si>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</si>
  <si>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</si>
  <si>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</si>
  <si>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</si>
  <si>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</si>
  <si>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</si>
  <si>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</si>
  <si>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</si>
  <si>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</si>
  <si>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</si>
  <si>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</si>
  <si>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</si>
  <si>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</si>
  <si>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</si>
  <si>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</si>
  <si>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</si>
  <si>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</si>
  <si>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</si>
  <si>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</si>
  <si>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</si>
  <si>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</si>
  <si>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</si>
  <si>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</si>
  <si>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</si>
  <si>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</si>
  <si>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</si>
  <si>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</si>
  <si>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</si>
  <si>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</si>
  <si>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</si>
  <si>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</si>
  <si>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</si>
  <si>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</si>
  <si>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</si>
  <si>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</si>
  <si>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</si>
  <si>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</si>
  <si>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</si>
  <si>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</si>
  <si>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</si>
  <si>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</si>
  <si>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</si>
  <si>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</si>
  <si>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</si>
  <si>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</si>
  <si>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</si>
  <si>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</si>
  <si>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</si>
  <si>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</si>
  <si>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</si>
  <si>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</si>
  <si>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</si>
  <si>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</si>
  <si>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</si>
  <si>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</si>
  <si>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</si>
  <si>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</si>
  <si>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</si>
  <si>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</si>
  <si>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</si>
  <si>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</si>
  <si>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</si>
  <si>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</si>
  <si>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</si>
  <si>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</si>
  <si>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</si>
  <si>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</si>
  <si>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</si>
  <si>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</si>
  <si>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</si>
  <si>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</si>
  <si>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</si>
  <si>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</si>
  <si>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</si>
  <si>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</si>
  <si>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</si>
  <si>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</si>
  <si>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</si>
  <si>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</si>
  <si>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</si>
  <si>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</si>
  <si>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</si>
  <si>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</si>
  <si>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</si>
  <si>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</si>
  <si>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</si>
  <si>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</si>
  <si>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</si>
  <si>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</si>
  <si>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</si>
  <si>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</si>
  <si>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</si>
  <si>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</si>
  <si>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</si>
  <si>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</si>
  <si>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</si>
  <si>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</si>
  <si>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</si>
  <si>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</si>
  <si>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</si>
  <si>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</si>
  <si>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</si>
  <si>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</si>
  <si>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</si>
  <si>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</si>
  <si>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</si>
  <si>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</si>
  <si>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</si>
  <si>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</si>
  <si>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</si>
  <si>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</si>
  <si>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</si>
  <si>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</si>
  <si>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</si>
  <si>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</si>
  <si>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</si>
  <si>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</si>
  <si>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</si>
  <si>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</si>
  <si>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</si>
  <si>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</si>
  <si>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</si>
  <si>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</si>
  <si>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</si>
  <si>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</si>
  <si>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</si>
  <si>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</si>
  <si>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</si>
  <si>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</si>
  <si>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</si>
  <si>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</si>
  <si>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</si>
  <si>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</si>
  <si>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</si>
  <si>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</si>
  <si>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</si>
  <si>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</si>
  <si>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</si>
  <si>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</si>
  <si>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</si>
  <si>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</si>
  <si>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</si>
  <si>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</si>
  <si>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</si>
  <si>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</si>
  <si>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</si>
  <si>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</si>
  <si>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</si>
  <si>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</si>
  <si>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</si>
  <si>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</si>
  <si>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</si>
  <si>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</si>
  <si>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</si>
  <si>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</si>
  <si>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</si>
  <si>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</si>
  <si>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</si>
  <si>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</si>
  <si>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</si>
  <si>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</si>
  <si>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</si>
  <si>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</si>
  <si>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</si>
  <si>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</si>
  <si>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</si>
  <si>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</si>
  <si>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</si>
  <si>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</si>
  <si>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</si>
  <si>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</si>
  <si>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</si>
  <si>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</si>
  <si>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</si>
  <si>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</si>
  <si>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</si>
  <si>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</si>
  <si>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</si>
  <si>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</si>
  <si>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</si>
  <si>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</si>
  <si>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</si>
  <si>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</si>
  <si>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</si>
  <si>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</si>
  <si>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</si>
  <si>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</si>
  <si>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</si>
  <si>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</si>
  <si>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</si>
  <si>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</si>
  <si>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</si>
  <si>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</si>
  <si>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</si>
  <si>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</si>
  <si>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</si>
  <si>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</si>
  <si>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</si>
  <si>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</si>
  <si>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</si>
  <si>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</si>
  <si>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</si>
  <si>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</si>
  <si>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</si>
  <si>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</si>
  <si>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</si>
  <si>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</si>
  <si>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</si>
  <si>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</si>
  <si>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</si>
  <si>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</si>
  <si>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</si>
  <si>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</si>
  <si>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</si>
  <si>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</si>
  <si>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</si>
  <si>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</si>
  <si>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</si>
  <si>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</si>
  <si>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</si>
  <si>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</si>
  <si>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</si>
  <si>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</si>
  <si>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</si>
  <si>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</si>
  <si>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</si>
  <si>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</si>
  <si>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</si>
  <si>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</si>
  <si>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</si>
  <si>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</si>
  <si>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</si>
  <si>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</si>
  <si>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</si>
  <si>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</si>
  <si>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</si>
  <si>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</si>
  <si>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</si>
  <si>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</si>
  <si>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</si>
  <si>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</si>
  <si>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</si>
  <si>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</si>
  <si>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</si>
  <si>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</si>
  <si>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</si>
  <si>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</si>
  <si>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</si>
  <si>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</si>
  <si>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</si>
  <si>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</si>
  <si>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</si>
  <si>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</si>
  <si>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</si>
  <si>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</si>
  <si>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</si>
  <si>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</si>
  <si>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</si>
  <si>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</si>
  <si>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</si>
  <si>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</si>
  <si>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</si>
  <si>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</si>
  <si>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</si>
  <si>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</si>
  <si>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</si>
  <si>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</si>
  <si>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</si>
  <si>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</si>
  <si>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</si>
  <si>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</si>
  <si>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</si>
  <si>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</si>
  <si>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</si>
  <si>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</si>
  <si>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</si>
  <si>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</si>
  <si>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</si>
  <si>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</si>
  <si>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</si>
  <si>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</si>
  <si>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</si>
  <si>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</si>
  <si>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</si>
  <si>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</si>
  <si>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</si>
  <si>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</si>
  <si>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</si>
  <si>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</si>
  <si>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</si>
  <si>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</si>
  <si>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</si>
  <si>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</si>
  <si>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</si>
  <si>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</si>
  <si>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</si>
  <si>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</si>
  <si>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</si>
  <si>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</si>
  <si>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</si>
  <si>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</si>
  <si>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</si>
  <si>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</si>
  <si>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</si>
  <si>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</si>
  <si>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</si>
  <si>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</si>
  <si>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</si>
  <si>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</si>
  <si>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</si>
  <si>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</si>
  <si>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</si>
  <si>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</si>
  <si>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</si>
  <si>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</si>
  <si>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</si>
  <si>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</si>
  <si>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</si>
  <si>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</si>
  <si>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</si>
  <si>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</si>
  <si>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</si>
  <si>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</si>
  <si>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</si>
  <si>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</si>
  <si>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</si>
  <si>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</si>
  <si>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</si>
  <si>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</si>
  <si>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</si>
  <si>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</si>
  <si>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</si>
  <si>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</si>
  <si>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</si>
  <si>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</si>
  <si>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</si>
  <si>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</si>
  <si>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</si>
  <si>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</si>
  <si>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</si>
  <si>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</si>
  <si>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</si>
  <si>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</si>
  <si>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</si>
  <si>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</si>
  <si>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</si>
  <si>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</si>
  <si>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</si>
  <si>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</si>
  <si>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</si>
  <si>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</si>
  <si>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</si>
  <si>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</si>
  <si>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</si>
  <si>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</si>
  <si>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</si>
  <si>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</si>
  <si>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</si>
  <si>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</si>
  <si>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</si>
  <si>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</si>
  <si>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</si>
  <si>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</si>
  <si>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</si>
  <si>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</si>
  <si>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</si>
  <si>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</si>
  <si>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</si>
  <si>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</si>
  <si>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</si>
  <si>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</si>
  <si>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</si>
  <si>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</si>
  <si>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</si>
  <si>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</si>
  <si>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</si>
  <si>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</si>
  <si>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</si>
  <si>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</si>
  <si>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</si>
  <si>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</si>
  <si>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</si>
  <si>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</si>
  <si>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</si>
  <si>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</si>
  <si>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</si>
  <si>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</si>
  <si>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</si>
  <si>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</si>
  <si>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</si>
  <si>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</si>
  <si>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</si>
  <si>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</si>
  <si>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</si>
  <si>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</si>
  <si>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</si>
  <si>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</si>
  <si>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</si>
  <si>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</si>
  <si>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</si>
  <si>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</si>
  <si>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</si>
  <si>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</si>
  <si>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</si>
  <si>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</si>
  <si>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</si>
  <si>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</si>
  <si>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</si>
  <si>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</si>
  <si>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</si>
  <si>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</si>
  <si>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</si>
  <si>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</si>
  <si>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</si>
  <si>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</si>
  <si>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</si>
  <si>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</si>
  <si>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</si>
  <si>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</si>
  <si>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</si>
  <si>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</si>
  <si>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</si>
  <si>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</si>
  <si>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</si>
  <si>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</si>
  <si>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</si>
  <si>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</si>
  <si>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</si>
  <si>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</si>
  <si>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</si>
  <si>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</si>
  <si>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</si>
  <si>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</si>
  <si>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</si>
  <si>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</si>
  <si>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</si>
  <si>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</si>
  <si>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</si>
  <si>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</si>
  <si>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</si>
  <si>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</si>
  <si>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</si>
  <si>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</si>
  <si>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</si>
  <si>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</si>
  <si>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</si>
  <si>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</si>
  <si>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</si>
  <si>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</si>
  <si>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</si>
  <si>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</si>
  <si>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</si>
  <si>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</si>
  <si>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</si>
  <si>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</si>
  <si>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</si>
  <si>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</si>
  <si>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</si>
  <si>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</si>
  <si>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</si>
  <si>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</si>
  <si>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</si>
  <si>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</si>
  <si>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</si>
  <si>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</si>
  <si>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</si>
  <si>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</si>
  <si>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</si>
  <si>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</si>
  <si>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</si>
  <si>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</si>
  <si>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</si>
  <si>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</si>
  <si>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</si>
  <si>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</si>
  <si>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</si>
  <si>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</si>
  <si>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</si>
  <si>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</si>
  <si>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</si>
  <si>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</si>
  <si>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</si>
  <si>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</si>
  <si>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</si>
  <si>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</si>
  <si>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</si>
  <si>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</si>
  <si>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</si>
  <si>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</si>
  <si>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</si>
  <si>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</si>
  <si>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</si>
  <si>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</si>
  <si>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</si>
  <si>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</si>
  <si>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</si>
  <si>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</si>
  <si>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</si>
  <si>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</si>
  <si>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</si>
  <si>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</si>
  <si>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</si>
  <si>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</si>
  <si>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</si>
  <si>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</si>
  <si>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(Passenger)</t>
  </si>
  <si>
    <t>Heavy Freight</t>
  </si>
  <si>
    <t>Metro/Rapid Transit</t>
  </si>
  <si>
    <t>Ultra-High-Speed (Pax)</t>
  </si>
  <si>
    <t>Count of VEHIDCODE</t>
  </si>
  <si>
    <t>Commuter / Urban</t>
  </si>
  <si>
    <t>Light Freight</t>
  </si>
  <si>
    <t>General Purpose</t>
  </si>
  <si>
    <t>Regional Passenger</t>
  </si>
  <si>
    <t>Standard Freight</t>
  </si>
  <si>
    <t>Express (Universal)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</si>
  <si>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</si>
  <si>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</si>
  <si>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</si>
  <si>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</si>
  <si>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</si>
  <si>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</si>
  <si>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</si>
  <si>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</si>
  <si>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</si>
  <si>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</si>
  <si>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</si>
  <si>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</si>
  <si>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</si>
  <si>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</si>
  <si>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</si>
  <si>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</si>
  <si>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</si>
  <si>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</si>
  <si>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</si>
  <si>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</si>
  <si>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</si>
  <si>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</si>
  <si>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</si>
  <si>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</si>
  <si>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</si>
  <si>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</si>
  <si>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</si>
  <si>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</si>
  <si>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</si>
  <si>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</si>
  <si>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</si>
  <si>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</si>
  <si>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</si>
  <si>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</si>
  <si>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</si>
  <si>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</si>
  <si>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</si>
  <si>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</si>
  <si>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</si>
  <si>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</si>
  <si>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</si>
  <si>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</si>
  <si>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</si>
  <si>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</si>
  <si>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</si>
  <si>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</si>
  <si>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</si>
  <si>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</si>
  <si>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</si>
  <si>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</si>
  <si>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</si>
  <si>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</si>
  <si>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</si>
  <si>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</si>
  <si>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</si>
  <si>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</si>
  <si>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</si>
  <si>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</si>
  <si>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</si>
  <si>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</si>
  <si>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</si>
  <si>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</si>
  <si>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</si>
  <si>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</si>
  <si>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</si>
  <si>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</si>
  <si>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</si>
  <si>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</si>
  <si>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</si>
  <si>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</si>
  <si>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</si>
  <si>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</si>
  <si>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</si>
  <si>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</si>
  <si>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</si>
  <si>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</si>
  <si>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</si>
  <si>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</si>
  <si>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</si>
  <si>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</si>
  <si>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</si>
  <si>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</si>
  <si>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</si>
  <si>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</si>
  <si>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</si>
  <si>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</si>
  <si>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</si>
  <si>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</si>
  <si>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Shunter</t>
  </si>
  <si>
    <t>Coach (Commuter)</t>
  </si>
  <si>
    <t>Coach (Regional))</t>
  </si>
  <si>
    <t>Coach (Mail)</t>
  </si>
  <si>
    <t>Coach (Express)</t>
  </si>
  <si>
    <t>Coach (HS)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</si>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</sst>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0" fillId="0" borderId="10" xfId="0" applyNumberFormat="1" applyBorder="1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6"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17" totalsRowShown="0" headerRowDxfId="145">
  <autoFilter ref="A1:P817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44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43"/>
    <tableColumn id="17" xr3:uid="{52550B53-5A6E-4D0B-A358-FCA22B56CC77}" name="WEB"/>
    <tableColumn id="15" xr3:uid="{C9DBDDFF-A526-4383-A426-8408C4B17785}" name="IS_POWERED_UNPOWERED_SUNDRY" dataDxfId="142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41">
      <calculatedColumnFormula>ISNUMBER(_xlfn.XMATCH(CONTROL[[#This Row],[VEHIDCODE]],TRACK_TYPES[VEHIDCODE],0))</calculatedColumnFormula>
    </tableColumn>
    <tableColumn id="14" xr3:uid="{222C2DB1-CA5D-4369-995A-6A316AC5C947}" name="PROPERTIES" dataDxfId="140">
      <calculatedColumnFormula>ISNUMBER(_xlfn.XMATCH(CONTROL[[#This Row],[VEHIDCODE]],PROPERTIES[VEHIDCODE],0))</calculatedColumnFormula>
    </tableColumn>
    <tableColumn id="13" xr3:uid="{473FD571-A166-4EC8-8B7B-F1D30044570B}" name="FLAGS" dataDxfId="139">
      <calculatedColumnFormula>ISNUMBER(_xlfn.XMATCH(CONTROL[[#This Row],[VEHIDCODE]],FLAGS[VEHIDCODE],0))</calculatedColumnFormula>
    </tableColumn>
    <tableColumn id="11" xr3:uid="{B1BAE31E-1DA6-4159-9020-DBAE19ECF7C3}" name="ROSTER" dataDxfId="138">
      <calculatedColumnFormula>ISNUMBER(_xlfn.XLOOKUP(CONTROL[[#This Row],[VEHIDCODE]],roster!A:A,roster!B:B))</calculatedColumnFormula>
    </tableColumn>
    <tableColumn id="10" xr3:uid="{7783F713-60B4-45CF-AEB3-EE02271B3D6F}" name="GRAPHICS_PROPERTIES" dataDxfId="137">
      <calculatedColumnFormula>ISNUMBER(_xlfn.XMATCH(CONTROL[[#This Row],[VEHIDCODE]],GRAPHICS_PROPERTIES[VEHIDCODE],0))</calculatedColumnFormula>
    </tableColumn>
    <tableColumn id="9" xr3:uid="{7B229E25-CF6B-4C5F-B4A4-FEC34CB93E9B}" name="ITEM" dataDxfId="136">
      <calculatedColumnFormula>"item_"&amp;CONTROL[[#This Row],[VEHIDCODE]]</calculatedColumnFormula>
    </tableColumn>
    <tableColumn id="8" xr3:uid="{327E5CDA-51AE-4721-ACBD-5E8C3D890998}" name="NAME" dataDxfId="135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17" totalsRowShown="0" headerRowDxfId="134">
  <autoFilter ref="A1:AG817" xr:uid="{6DCCB998-B5D1-4B0D-8701-BC0E171A94CA}"/>
  <tableColumns count="33">
    <tableColumn id="1" xr3:uid="{173D09BF-30BA-4FF2-B4FE-F09962415DA2}" name="VEHIDCODE" dataDxfId="133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32"/>
    <tableColumn id="19" xr3:uid="{FD65B400-35DE-464D-97AA-B59BB7DAE7DB}" name="COUNTRY_CODE" dataDxfId="131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130"/>
    <tableColumn id="9" xr3:uid="{0BFBDA13-AA0B-4A8D-94FE-11C403AB0DE8}" name="LOADINGSPEED" dataDxfId="129"/>
    <tableColumn id="58" xr3:uid="{37DCFD33-B11D-4E3C-9899-EA36DBD4DBC0}" name="LOADINGSPEED_VALUE" dataDxfId="128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27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26"/>
    <tableColumn id="24" xr3:uid="{FFD5C22B-7B16-440D-91CC-48C8761050DA}" name="TE_COEFFICIENT_CALC" dataDxfId="125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24"/>
    <tableColumn id="14" xr3:uid="{123AAB87-6D4C-406A-A5E1-A61DC2DDFFEE}" name="TE_COEFFICIENT" dataDxfId="123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22"/>
    <tableColumn id="18" xr3:uid="{EB0CE86B-9E06-4ADD-85C1-EA622DE32153}" name="WAGON_CAPACITY" dataDxfId="121"/>
    <tableColumn id="15" xr3:uid="{3558C882-A912-4F84-BDE6-BC0A2A676C4B}" name="WAGON_LENGTH" dataDxfId="120"/>
    <tableColumn id="71" xr3:uid="{3D8AA890-C1F2-4EBD-90E3-21F948960989}" name="PURCHASE_CARGO_CAPACITY" dataDxfId="119"/>
    <tableColumn id="30" xr3:uid="{235283C1-F061-434B-8C4A-AD474FB16FE8}" name="REGION1" dataDxfId="118"/>
    <tableColumn id="29" xr3:uid="{19EC58E3-4FB9-44BC-BFFA-4C7DCCC53DA8}" name="REGION2" dataDxfId="117"/>
    <tableColumn id="27" xr3:uid="{C00DC499-0060-4E48-A71D-AE565097985F}" name="REGION3" dataDxfId="116"/>
    <tableColumn id="56" xr3:uid="{188F57E8-1157-47DF-9E8F-B5F737649F6C}" name="PURCHASECOST_VALUE" dataDxfId="115"/>
    <tableColumn id="28" xr3:uid="{B24767B4-97D7-4814-9BBD-1231E1A0A0A7}" name="RUNNINGCOST_VALUE" dataDxfId="114"/>
    <tableColumn id="22" xr3:uid="{68BAA036-8189-4A5A-B0EF-3F284C15672C}" name="COST_CAT" dataDxfId="113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12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1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817" totalsRowShown="0" headerRowDxfId="110">
  <autoFilter ref="A1:AF817" xr:uid="{6DCCB998-B5D1-4B0D-8701-BC0E171A94CA}"/>
  <tableColumns count="32">
    <tableColumn id="1" xr3:uid="{CDEAF13A-A986-4600-A992-A08C1CA6142C}" name="VEHIDCODE" dataDxfId="109"/>
    <tableColumn id="55" xr3:uid="{839D134C-3027-42F4-BA04-3BA8BFF71A3B}" name="TRACK_TYPE_STANDARD_GAUGE_RAILTYPE_OHLE" dataDxfId="108"/>
    <tableColumn id="54" xr3:uid="{5D83FD10-ABCB-4FE7-A7DB-4A857A58D719}" name="TRACK_TYPE_STANDARD_GAUGE_RAILTYPE_25KV" dataDxfId="107"/>
    <tableColumn id="53" xr3:uid="{56183170-0B7F-45FB-91B4-356C62C246AD}" name="TRACK_TYPE_STANDARD_GAUGE_RAILTYPE_15KV" dataDxfId="106"/>
    <tableColumn id="52" xr3:uid="{5B71BE07-0EB9-4DEB-A8E8-252C9D979AC2}" name="TRACK_TYPE_STANDARD_GAUGE_RAILTYPE_3KV" dataDxfId="105"/>
    <tableColumn id="51" xr3:uid="{5A6435EB-111E-4AED-A8E1-AEFF82C34393}" name="TRACK_TYPE_STANDARD_GAUGE_RAILTYPE_1500V" dataDxfId="104"/>
    <tableColumn id="50" xr3:uid="{14CA70EA-0EE7-44BA-9D77-FC902C0596DD}" name="TRACK_TYPE_STANDARD_GAUGE_RAILTYPE_3RD" dataDxfId="103"/>
    <tableColumn id="49" xr3:uid="{3A15447A-9663-43FB-8EFF-8F8034548FB0}" name="TRACK_TYPE_STANDARD_GAUGE_RAILTYPE_4TH" dataDxfId="102"/>
    <tableColumn id="48" xr3:uid="{E44E324A-492F-4566-8DC9-0A6F58F40EA9}" name="TRACK_TYPE_STANDARD_GAUGE_RAILTYPE_DUAL" dataDxfId="101"/>
    <tableColumn id="47" xr3:uid="{FE3223C6-E685-4456-91E9-10AEB3B699E7}" name="TRACK_TYPE_STANDARD_GAUGE_RAILTYPE_NONE" dataDxfId="100"/>
    <tableColumn id="46" xr3:uid="{D39969E8-C0CA-4A59-A556-D29019991069}" name="TRACK_TYPE_NARROW_GAUGE_RAILTYPE_OHLE" dataDxfId="99"/>
    <tableColumn id="45" xr3:uid="{5266A9E9-D840-4460-AB81-A081897372F3}" name="TRACK_TYPE_NARROW_GAUGE_RAILTYPE_25KV" dataDxfId="98"/>
    <tableColumn id="44" xr3:uid="{7B4C44D1-C745-4291-86A0-777579742A84}" name="TRACK_TYPE_NARROW_GAUGE_RAILTYPE_15KV" dataDxfId="97"/>
    <tableColumn id="43" xr3:uid="{8736D285-A163-4DBE-84E1-870118B47F14}" name="TRACK_TYPE_NARROW_GAUGE_RAILTYPE_3KV" dataDxfId="96"/>
    <tableColumn id="42" xr3:uid="{6FBBA2FB-4743-4072-B4E0-C42BBDA1CC47}" name="TRACK_TYPE_NARROW_GAUGE_RAILTYPE_1500V" dataDxfId="95"/>
    <tableColumn id="41" xr3:uid="{D3ED2E70-19BF-4D92-A76B-0F0F03D31947}" name="TRACK_TYPE_NARROW_GAUGE_RAILTYPE_3RD" dataDxfId="94"/>
    <tableColumn id="40" xr3:uid="{F38AE7AF-B798-40A5-992A-13685296E710}" name="TRACK_TYPE_NARROW_GAUGE_RAILTYPE_4TH" dataDxfId="93"/>
    <tableColumn id="39" xr3:uid="{16463F64-2239-4E7F-8257-47F324BF8959}" name="TRACK_TYPE_NARROW_GAUGE_RAILTYPE_DUAL" dataDxfId="92"/>
    <tableColumn id="38" xr3:uid="{97037A15-9172-4057-863E-582804353817}" name="TRACK_TYPE_NARROW_GAUGE_RAILTYPE_NONE" dataDxfId="91"/>
    <tableColumn id="37" xr3:uid="{24999D59-5A4F-4A21-B8B4-EBDBF9F8BF1E}" name="TRACK_TYPE_BROAD_GAUGE_RAILTYPE_OHLE" dataDxfId="90"/>
    <tableColumn id="36" xr3:uid="{31AB3927-D18B-49AD-8EF5-C7E9FF4CEDF3}" name="TRACK_TYPE_BROAD_GAUGE_RAILTYPE_25KV" dataDxfId="89"/>
    <tableColumn id="35" xr3:uid="{CB3432E7-4DAE-4807-9CE5-4CB1ACECD395}" name="TRACK_TYPE_BROAD_GAUGE_RAILTYPE_15KV" dataDxfId="88"/>
    <tableColumn id="34" xr3:uid="{E3936FE4-2B46-4DC0-84C0-44C7892A0927}" name="TRACK_TYPE_BROAD_GAUGE_RAILTYPE_3KV" dataDxfId="87"/>
    <tableColumn id="33" xr3:uid="{A5FAA105-CF81-4A75-8967-5721104454E8}" name="TRACK_TYPE_BROAD_GAUGE_RAILTYPE_1500V" dataDxfId="86"/>
    <tableColumn id="32" xr3:uid="{439CDFDE-6BFC-446C-87CF-28C8FF65FCE0}" name="TRACK_TYPE_BROAD_GAUGE_RAILTYPE_3RD" dataDxfId="85"/>
    <tableColumn id="31" xr3:uid="{219AB5E3-CDFF-41B3-BD58-F7427606D15F}" name="TRACK_TYPE_BROAD_GAUGE_RAILTYPE_4TH" dataDxfId="84"/>
    <tableColumn id="30" xr3:uid="{01529768-EA0D-4662-B835-74641896CE3F}" name="TRACK_TYPE_BROAD_GAUGE_RAILTYPE_DUAL" dataDxfId="83"/>
    <tableColumn id="29" xr3:uid="{32C384AB-18DB-4161-B29B-A363A2547BB2}" name="TRACK_TYPE_BROAD_GAUGE_RAILTYPE_NONE" dataDxfId="82"/>
    <tableColumn id="26" xr3:uid="{1CFC6F26-22A8-42EE-972B-0F7ED6623B5A}" name="TRACK_TYPE_MONO" dataDxfId="81"/>
    <tableColumn id="25" xr3:uid="{62939270-15C1-494E-9C53-6EA9E8209C3B}" name="TRACK_TYPE_MGLV" dataDxfId="80"/>
    <tableColumn id="24" xr3:uid="{9DA86EDA-F2AB-4C2D-918E-5260313FD8B3}" name="TRACK_TYPE_MTRO" dataDxfId="79"/>
    <tableColumn id="21" xr3:uid="{E6F11214-E912-4D1C-980D-A111C93B0BED}" name="CHECK_ANY_TT" dataDxfId="78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17" totalsRowShown="0" headerRowDxfId="77">
  <autoFilter ref="A1:H817" xr:uid="{6DCCB998-B5D1-4B0D-8701-BC0E171A94CA}"/>
  <tableColumns count="8">
    <tableColumn id="1" xr3:uid="{327CDBB6-E1D6-4B9F-9625-C81419775134}" name="VEHIDCODE" dataDxfId="76"/>
    <tableColumn id="101" xr3:uid="{78690AEB-EA8F-4FC7-9651-C84D8F318EE9}" name="MISC_FLAGS_TRAIN_FLAG_2CC" dataDxfId="75"/>
    <tableColumn id="100" xr3:uid="{90DBB1A2-A86F-42C6-B2B8-64A2FD6690AB}" name="MISC_FLAGS_TRAIN_FLAG_MU" dataDxfId="74"/>
    <tableColumn id="99" xr3:uid="{DA6644B2-20CC-47E2-B1B5-10210B43738A}" name="MISC_FLAGS_TRAIN_FLAG_AUTOREFIT" dataDxfId="73"/>
    <tableColumn id="2" xr3:uid="{A8915D24-2B2E-4529-B3DE-30BEE23C370F}" name="VEHICLE_FLAG_TRAIN_HAS_CAB" dataDxfId="72"/>
    <tableColumn id="108" xr3:uid="{980A5687-92C0-42A0-811D-C3D4EA0876D1}" name="VISUAL_EFFECT_1" dataDxfId="71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70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17" totalsRowShown="0" headerRowDxfId="69">
  <autoFilter ref="A1:D817" xr:uid="{6DCCB998-B5D1-4B0D-8701-BC0E171A94CA}"/>
  <tableColumns count="4">
    <tableColumn id="1" xr3:uid="{0B6094CF-6CA6-410A-A041-C85FACC0820E}" name="VEHIDCODE" dataDxfId="68"/>
    <tableColumn id="7" xr3:uid="{3D8CAD9A-C0D1-459B-8D7C-DFC931F5B279}" name="PANTOGRAPH_POSITION" dataDxfId="67"/>
    <tableColumn id="6" xr3:uid="{E0637D36-B3FC-4486-87F9-603EB2076188}" name="TEMPLATE_ID" dataDxfId="66"/>
    <tableColumn id="9" xr3:uid="{FEF2BF9C-74F1-405C-9871-E4301805E364}" name="TEMPLATE_AMENDMENT_CODE" dataDxfId="6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64" headerRowBorderDxfId="63" tableBorderDxfId="62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61" headerRowBorderDxfId="60" tableBorderDxfId="59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58" dataDxfId="57" tableBorderDxfId="56">
  <autoFilter ref="A1:A17" xr:uid="{0B243503-43AD-403A-90CE-B69D05B25C30}"/>
  <tableColumns count="1">
    <tableColumn id="1" xr3:uid="{3709FB1B-DE08-4A3E-8CA6-F5322D2A3261}" name="VALID_REGIONS" dataDxfId="5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54" dataDxfId="53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52"/>
    <tableColumn id="2" xr3:uid="{CCC9A744-4F42-4023-A516-9395213016EB}" name="COUNTRY_DESCRIPTION" dataDxfId="51"/>
    <tableColumn id="3" xr3:uid="{01E32DA0-BF93-49AA-BE03-33EF914A0BCC}" name="COUNTS" dataDxfId="50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48" headerRowBorderDxfId="49" tableBorderDxfId="47" totalsRowBorderDxfId="46">
  <autoFilter ref="K1:K24" xr:uid="{686D0694-AFBC-4B91-A3D3-72E1CCF00B7D}"/>
  <tableColumns count="1">
    <tableColumn id="1" xr3:uid="{7F0999BD-E0C9-463F-A054-2DA49D41A9EE}" name="VEHID_ID_CATEGORY" dataDxfId="4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3">
    <sortCondition ref="C1:C23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44"/>
    <tableColumn id="4" xr3:uid="{3DDC8685-BA3D-40E8-A910-1E59013A762D}" name="Range End" dataDxfId="4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42" dataDxfId="41">
  <autoFilter ref="A1:N16" xr:uid="{863AE95D-BE34-47D8-B01B-1170BF25FDF2}"/>
  <tableColumns count="14">
    <tableColumn id="1" xr3:uid="{5F487593-655E-41B5-B155-86F88B53946D}" name="COST_CAT" dataDxfId="40"/>
    <tableColumn id="2" xr3:uid="{33F9C454-EDB2-4DA7-BF7A-64CBC12EBC9B}" name="P1" dataDxfId="39"/>
    <tableColumn id="3" xr3:uid="{25FB11D0-082D-4DE3-9821-1367939D8742}" name="P2" dataDxfId="38"/>
    <tableColumn id="4" xr3:uid="{19CDF402-C641-4217-A953-2A851DF85ADB}" name="P3" dataDxfId="37"/>
    <tableColumn id="5" xr3:uid="{1EF59E2C-32FF-4712-AD89-CBF77E507832}" name="P4" dataDxfId="36"/>
    <tableColumn id="6" xr3:uid="{04250F90-183D-4392-BE27-C420F795E1DC}" name="P5" dataDxfId="35"/>
    <tableColumn id="7" xr3:uid="{F7062C4F-5B57-4110-A21E-BDC8820130D9}" name="P6" dataDxfId="34"/>
    <tableColumn id="8" xr3:uid="{B47621AA-9D6F-4396-B3D9-BD8CF656F30E}" name="P7" dataDxfId="33"/>
    <tableColumn id="9" xr3:uid="{7055539E-C4C8-407D-91F5-6CB021EDE84F}" name="R1" dataDxfId="32"/>
    <tableColumn id="10" xr3:uid="{D17981EB-EB8A-4630-958C-3792D72CD53F}" name="R2" dataDxfId="31"/>
    <tableColumn id="11" xr3:uid="{85EDD15A-812B-4C42-B03A-D558B807622E}" name="R3" dataDxfId="30"/>
    <tableColumn id="12" xr3:uid="{61A73E38-33EC-41D1-B899-56F15EDBDD59}" name="R4" dataDxfId="29"/>
    <tableColumn id="13" xr3:uid="{7A83ADCF-C18F-402F-81A8-0F935E928ED9}" name="R5" dataDxfId="28"/>
    <tableColumn id="14" xr3:uid="{1140F6C7-9C3D-4800-9F3B-DC6E6EBE9541}" name="R6" dataDxfId="27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17"/>
  <sheetViews>
    <sheetView workbookViewId="0">
      <pane xSplit="1" ySplit="1" topLeftCell="C803" activePane="bottomRight" state="frozen"/>
      <selection pane="topRight" activeCell="B1" sqref="B1"/>
      <selection pane="bottomLeft" activeCell="A2" sqref="A2"/>
      <selection pane="bottomRight" activeCell="A817" sqref="A817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34.07421875" bestFit="1" customWidth="1"/>
    <col min="5" max="5" width="10.84375" bestFit="1" customWidth="1"/>
    <col min="6" max="6" width="34.53515625" style="45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902</v>
      </c>
      <c r="C1" s="6" t="s">
        <v>687</v>
      </c>
      <c r="D1" s="6" t="s">
        <v>974</v>
      </c>
      <c r="E1" s="6" t="s">
        <v>926</v>
      </c>
      <c r="F1" s="44" t="s">
        <v>2465</v>
      </c>
      <c r="G1" s="6" t="s">
        <v>2288</v>
      </c>
      <c r="H1" s="6" t="s">
        <v>1056</v>
      </c>
      <c r="I1" s="21" t="s">
        <v>923</v>
      </c>
      <c r="J1" s="6" t="s">
        <v>1052</v>
      </c>
      <c r="K1" s="6" t="s">
        <v>1055</v>
      </c>
      <c r="L1" s="6" t="s">
        <v>1054</v>
      </c>
      <c r="M1" s="6" t="s">
        <v>3027</v>
      </c>
      <c r="N1" s="6" t="s">
        <v>1053</v>
      </c>
      <c r="O1" s="7" t="s">
        <v>688</v>
      </c>
      <c r="P1" s="7" t="s">
        <v>689</v>
      </c>
    </row>
    <row r="2" spans="1:16">
      <c r="A2" s="2" t="s">
        <v>742</v>
      </c>
      <c r="B2" s="31" t="str">
        <f>_xlfn.TEXTAFTER(CONTROL[[#This Row],[VEHIDCODE]],"_")</f>
        <v>Maglev_Wagon_Powered</v>
      </c>
      <c r="C2" t="s">
        <v>900</v>
      </c>
      <c r="D2" t="s">
        <v>968</v>
      </c>
      <c r="E2">
        <v>13005</v>
      </c>
      <c r="F2" s="45" t="s">
        <v>1057</v>
      </c>
      <c r="G2" t="s">
        <v>1740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743</v>
      </c>
      <c r="B3" s="31" t="str">
        <f>_xlfn.TEXTAFTER(CONTROL[[#This Row],[VEHIDCODE]],"_")</f>
        <v>Maglev_Wagon_Unpowered</v>
      </c>
      <c r="C3" t="s">
        <v>900</v>
      </c>
      <c r="D3" t="s">
        <v>968</v>
      </c>
      <c r="E3">
        <v>13004</v>
      </c>
      <c r="F3" s="45" t="s">
        <v>1057</v>
      </c>
      <c r="G3" t="s">
        <v>1740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21</v>
      </c>
      <c r="B4" s="31" t="str">
        <f>_xlfn.TEXTAFTER(CONTROL[[#This Row],[VEHIDCODE]],"_")</f>
        <v>Austria_NOLB_1</v>
      </c>
      <c r="C4" t="s">
        <v>717</v>
      </c>
      <c r="D4" t="s">
        <v>932</v>
      </c>
      <c r="E4">
        <v>1000</v>
      </c>
      <c r="F4" s="45" t="s">
        <v>3030</v>
      </c>
      <c r="G4" t="s">
        <v>2272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24</v>
      </c>
      <c r="B5" s="31" t="str">
        <f>_xlfn.TEXTAFTER(CONTROL[[#This Row],[VEHIDCODE]],"_")</f>
        <v>Italy_FS_86</v>
      </c>
      <c r="C5" t="s">
        <v>717</v>
      </c>
      <c r="D5" t="s">
        <v>932</v>
      </c>
      <c r="E5">
        <v>1001</v>
      </c>
      <c r="F5" s="45" t="s">
        <v>1058</v>
      </c>
      <c r="G5" t="s">
        <v>2273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25</v>
      </c>
      <c r="B6" s="31" t="str">
        <f>_xlfn.TEXTAFTER(CONTROL[[#This Row],[VEHIDCODE]],"_")</f>
        <v>Australia_Victorian_Railways_Rowan_Railmotor</v>
      </c>
      <c r="C6" t="s">
        <v>717</v>
      </c>
      <c r="D6" t="s">
        <v>932</v>
      </c>
      <c r="E6">
        <v>1002</v>
      </c>
      <c r="F6" s="45" t="s">
        <v>1059</v>
      </c>
      <c r="G6" t="s">
        <v>2274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26</v>
      </c>
      <c r="B7" s="31" t="str">
        <f>_xlfn.TEXTAFTER(CONTROL[[#This Row],[VEHIDCODE]],"_")</f>
        <v>Switzerland_UeBB_Czm_1_2</v>
      </c>
      <c r="C7" t="s">
        <v>717</v>
      </c>
      <c r="D7" t="s">
        <v>932</v>
      </c>
      <c r="E7">
        <v>1003</v>
      </c>
      <c r="F7" s="45" t="s">
        <v>1060</v>
      </c>
      <c r="G7" t="s">
        <v>2275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27</v>
      </c>
      <c r="B8" s="31" t="str">
        <f>_xlfn.TEXTAFTER(CONTROL[[#This Row],[VEHIDCODE]],"_")</f>
        <v>Germany_Bavarian_MCCi</v>
      </c>
      <c r="C8" t="s">
        <v>717</v>
      </c>
      <c r="D8" t="s">
        <v>932</v>
      </c>
      <c r="E8">
        <v>1004</v>
      </c>
      <c r="F8" s="45" t="s">
        <v>1061</v>
      </c>
      <c r="G8" t="s">
        <v>2277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28</v>
      </c>
      <c r="B9" s="31" t="str">
        <f>_xlfn.TEXTAFTER(CONTROL[[#This Row],[VEHIDCODE]],"_")</f>
        <v>South_Africa_CSAR_Railmotor</v>
      </c>
      <c r="C9" t="s">
        <v>717</v>
      </c>
      <c r="D9" t="s">
        <v>932</v>
      </c>
      <c r="E9">
        <v>1005</v>
      </c>
      <c r="F9" s="45" t="s">
        <v>1062</v>
      </c>
      <c r="G9" t="s">
        <v>2276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29</v>
      </c>
      <c r="B10" s="31" t="str">
        <f>_xlfn.TEXTAFTER(CONTROL[[#This Row],[VEHIDCODE]],"_")</f>
        <v>Australia_Victorian_Railways_Motor_Car_3</v>
      </c>
      <c r="C10" t="s">
        <v>717</v>
      </c>
      <c r="D10" t="s">
        <v>932</v>
      </c>
      <c r="E10">
        <v>1006</v>
      </c>
      <c r="F10" s="45" t="s">
        <v>1063</v>
      </c>
      <c r="G10" t="s">
        <v>2278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30</v>
      </c>
      <c r="B11" s="31" t="str">
        <f>_xlfn.TEXTAFTER(CONTROL[[#This Row],[VEHIDCODE]],"_")</f>
        <v>Austria_kkStB_4_0</v>
      </c>
      <c r="C11" t="s">
        <v>717</v>
      </c>
      <c r="D11" t="s">
        <v>932</v>
      </c>
      <c r="E11">
        <v>1007</v>
      </c>
      <c r="F11" s="45" t="s">
        <v>3070</v>
      </c>
      <c r="G11" t="s">
        <v>2280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33</v>
      </c>
      <c r="B12" s="31" t="str">
        <f>_xlfn.TEXTAFTER(CONTROL[[#This Row],[VEHIDCODE]],"_")</f>
        <v>Australia_Victorian_Railways_AEC_RM1</v>
      </c>
      <c r="C12" t="s">
        <v>718</v>
      </c>
      <c r="D12" t="s">
        <v>935</v>
      </c>
      <c r="E12">
        <v>2000</v>
      </c>
      <c r="F12" s="45" t="s">
        <v>1064</v>
      </c>
      <c r="G12" t="s">
        <v>2279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35</v>
      </c>
      <c r="B13" s="31" t="str">
        <f>_xlfn.TEXTAFTER(CONTROL[[#This Row],[VEHIDCODE]],"_")</f>
        <v>Germany_DB_VT_133</v>
      </c>
      <c r="C13" t="s">
        <v>718</v>
      </c>
      <c r="D13" t="s">
        <v>935</v>
      </c>
      <c r="E13">
        <v>2001</v>
      </c>
      <c r="F13" s="45" t="s">
        <v>1065</v>
      </c>
      <c r="G13" t="s">
        <v>2281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36</v>
      </c>
      <c r="B14" s="31" t="str">
        <f>_xlfn.TEXTAFTER(CONTROL[[#This Row],[VEHIDCODE]],"_")</f>
        <v>United_Kingdom_GWR_AEC_Railcar</v>
      </c>
      <c r="C14" t="s">
        <v>718</v>
      </c>
      <c r="D14" t="s">
        <v>935</v>
      </c>
      <c r="E14">
        <v>2002</v>
      </c>
      <c r="F14" s="45" t="s">
        <v>1066</v>
      </c>
      <c r="G14" t="s">
        <v>2282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37</v>
      </c>
      <c r="B15" s="31" t="str">
        <f>_xlfn.TEXTAFTER(CONTROL[[#This Row],[VEHIDCODE]],"_")</f>
        <v>Austria_OBB_5042</v>
      </c>
      <c r="C15" t="s">
        <v>718</v>
      </c>
      <c r="D15" t="s">
        <v>935</v>
      </c>
      <c r="E15">
        <v>2003</v>
      </c>
      <c r="F15" s="45" t="s">
        <v>3031</v>
      </c>
      <c r="G15" t="s">
        <v>2283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38</v>
      </c>
      <c r="B16" s="31" t="str">
        <f>_xlfn.TEXTAFTER(CONTROL[[#This Row],[VEHIDCODE]],"_")</f>
        <v>New_Zealand_NZR_RM31</v>
      </c>
      <c r="C16" t="s">
        <v>718</v>
      </c>
      <c r="D16" t="s">
        <v>935</v>
      </c>
      <c r="E16">
        <v>2004</v>
      </c>
      <c r="F16" s="45" t="s">
        <v>1067</v>
      </c>
      <c r="G16" t="s">
        <v>2284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39</v>
      </c>
      <c r="B17" s="31" t="str">
        <f>_xlfn.TEXTAFTER(CONTROL[[#This Row],[VEHIDCODE]],"_")</f>
        <v>Portugal_CP_0100</v>
      </c>
      <c r="C17" t="s">
        <v>718</v>
      </c>
      <c r="D17" t="s">
        <v>935</v>
      </c>
      <c r="E17">
        <v>2005</v>
      </c>
      <c r="F17" s="45" t="s">
        <v>1068</v>
      </c>
      <c r="G17" t="s">
        <v>2285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40</v>
      </c>
      <c r="B18" s="31" t="str">
        <f>_xlfn.TEXTAFTER(CONTROL[[#This Row],[VEHIDCODE]],"_")</f>
        <v>USA_Amtrak_Budd_RDC</v>
      </c>
      <c r="C18" t="s">
        <v>718</v>
      </c>
      <c r="D18" t="s">
        <v>935</v>
      </c>
      <c r="E18">
        <v>2006</v>
      </c>
      <c r="F18" s="45" t="s">
        <v>1069</v>
      </c>
      <c r="G18" t="s">
        <v>2286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41</v>
      </c>
      <c r="B19" s="31" t="str">
        <f>_xlfn.TEXTAFTER(CONTROL[[#This Row],[VEHIDCODE]],"_")</f>
        <v>Germany_DB_VT_989</v>
      </c>
      <c r="C19" t="s">
        <v>718</v>
      </c>
      <c r="D19" t="s">
        <v>935</v>
      </c>
      <c r="E19">
        <v>2044</v>
      </c>
      <c r="F19" s="45" t="s">
        <v>1070</v>
      </c>
      <c r="G19" t="s">
        <v>2287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42</v>
      </c>
      <c r="B20" s="31" t="str">
        <f>_xlfn.TEXTAFTER(CONTROL[[#This Row],[VEHIDCODE]],"_")</f>
        <v>Germany_OHE_520_GDT</v>
      </c>
      <c r="C20" t="s">
        <v>718</v>
      </c>
      <c r="D20" t="s">
        <v>935</v>
      </c>
      <c r="E20">
        <v>2008</v>
      </c>
      <c r="F20" s="45" t="s">
        <v>2290</v>
      </c>
      <c r="G20" t="s">
        <v>2289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43</v>
      </c>
      <c r="B21" s="31" t="str">
        <f>_xlfn.TEXTAFTER(CONTROL[[#This Row],[VEHIDCODE]],"_")</f>
        <v>Netherlands_NS_20_Kameel</v>
      </c>
      <c r="C21" t="s">
        <v>718</v>
      </c>
      <c r="D21" t="s">
        <v>935</v>
      </c>
      <c r="E21">
        <v>2009</v>
      </c>
      <c r="F21" s="45" t="s">
        <v>1071</v>
      </c>
      <c r="G21" t="s">
        <v>2291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44</v>
      </c>
      <c r="B22" s="31" t="str">
        <f>_xlfn.TEXTAFTER(CONTROL[[#This Row],[VEHIDCODE]],"_")</f>
        <v>Netherlands_NS_DH1</v>
      </c>
      <c r="C22" t="s">
        <v>718</v>
      </c>
      <c r="D22" t="s">
        <v>935</v>
      </c>
      <c r="E22">
        <v>2012</v>
      </c>
      <c r="F22" s="45" t="s">
        <v>1072</v>
      </c>
      <c r="G22" t="s">
        <v>2292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45</v>
      </c>
      <c r="B23" s="31" t="str">
        <f>_xlfn.TEXTAFTER(CONTROL[[#This Row],[VEHIDCODE]],"_")</f>
        <v>Austria_OBB_5047</v>
      </c>
      <c r="C23" t="s">
        <v>718</v>
      </c>
      <c r="D23" t="s">
        <v>935</v>
      </c>
      <c r="E23">
        <v>2013</v>
      </c>
      <c r="F23" s="45" t="s">
        <v>3032</v>
      </c>
      <c r="G23" t="s">
        <v>2293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46</v>
      </c>
      <c r="B24" s="31" t="str">
        <f>_xlfn.TEXTAFTER(CONTROL[[#This Row],[VEHIDCODE]],"_")</f>
        <v>United_Kingdom_BR_153_Super_Sprinter</v>
      </c>
      <c r="C24" t="s">
        <v>718</v>
      </c>
      <c r="D24" t="s">
        <v>935</v>
      </c>
      <c r="E24">
        <v>2014</v>
      </c>
      <c r="F24" s="45" t="s">
        <v>1073</v>
      </c>
      <c r="G24" t="s">
        <v>2294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47</v>
      </c>
      <c r="B25" s="31" t="str">
        <f>_xlfn.TEXTAFTER(CONTROL[[#This Row],[VEHIDCODE]],"_")</f>
        <v>Czech_Republic_CD_809</v>
      </c>
      <c r="C25" t="s">
        <v>718</v>
      </c>
      <c r="D25" t="s">
        <v>935</v>
      </c>
      <c r="E25">
        <v>2015</v>
      </c>
      <c r="F25" s="45" t="s">
        <v>3050</v>
      </c>
      <c r="G25" t="s">
        <v>2295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48</v>
      </c>
      <c r="B26" s="31" t="str">
        <f>_xlfn.TEXTAFTER(CONTROL[[#This Row],[VEHIDCODE]],"_")</f>
        <v>Germany_DB_670</v>
      </c>
      <c r="C26" t="s">
        <v>718</v>
      </c>
      <c r="D26" t="s">
        <v>935</v>
      </c>
      <c r="E26">
        <v>2017</v>
      </c>
      <c r="F26" s="45" t="s">
        <v>1074</v>
      </c>
      <c r="G26" t="s">
        <v>2296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49</v>
      </c>
      <c r="B27" s="31" t="str">
        <f>_xlfn.TEXTAFTER(CONTROL[[#This Row],[VEHIDCODE]],"_")</f>
        <v>Lithuania_Lithuanian_Railways_AR2</v>
      </c>
      <c r="C27" t="s">
        <v>718</v>
      </c>
      <c r="D27" t="s">
        <v>935</v>
      </c>
      <c r="E27">
        <v>2018</v>
      </c>
      <c r="F27" s="45" t="s">
        <v>1075</v>
      </c>
      <c r="G27" t="s">
        <v>2297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50</v>
      </c>
      <c r="B28" s="31" t="str">
        <f>_xlfn.TEXTAFTER(CONTROL[[#This Row],[VEHIDCODE]],"_")</f>
        <v>Austria_kkStB_19</v>
      </c>
      <c r="C28" t="s">
        <v>718</v>
      </c>
      <c r="D28" t="s">
        <v>935</v>
      </c>
      <c r="E28">
        <v>2019</v>
      </c>
      <c r="F28" s="45" t="s">
        <v>2298</v>
      </c>
      <c r="G28" t="s">
        <v>2299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51</v>
      </c>
      <c r="B29" s="31" t="str">
        <f>_xlfn.TEXTAFTER(CONTROL[[#This Row],[VEHIDCODE]],"_")</f>
        <v>USA_Virginia_Truckee_Motor_Car_22</v>
      </c>
      <c r="C29" t="s">
        <v>718</v>
      </c>
      <c r="D29" t="s">
        <v>935</v>
      </c>
      <c r="E29">
        <v>2020</v>
      </c>
      <c r="F29" s="45" t="s">
        <v>1076</v>
      </c>
      <c r="G29" t="s">
        <v>2300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52</v>
      </c>
      <c r="B30" s="31" t="str">
        <f>_xlfn.TEXTAFTER(CONTROL[[#This Row],[VEHIDCODE]],"_")</f>
        <v>Germany_Saxon_DET_1_2</v>
      </c>
      <c r="C30" t="s">
        <v>718</v>
      </c>
      <c r="D30" t="s">
        <v>935</v>
      </c>
      <c r="E30">
        <v>2021</v>
      </c>
      <c r="F30" s="45" t="s">
        <v>2302</v>
      </c>
      <c r="G30" t="s">
        <v>2301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53</v>
      </c>
      <c r="B31" s="31" t="str">
        <f>_xlfn.TEXTAFTER(CONTROL[[#This Row],[VEHIDCODE]],"_")</f>
        <v>UK_WC_PR_Drewry_Railcar</v>
      </c>
      <c r="C31" t="s">
        <v>718</v>
      </c>
      <c r="D31" t="s">
        <v>935</v>
      </c>
      <c r="E31">
        <v>2022</v>
      </c>
      <c r="F31" s="45" t="s">
        <v>1077</v>
      </c>
      <c r="G31" t="s">
        <v>2303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54</v>
      </c>
      <c r="B32" s="31" t="str">
        <f>_xlfn.TEXTAFTER(CONTROL[[#This Row],[VEHIDCODE]],"_")</f>
        <v>Germany_BSt_6001</v>
      </c>
      <c r="C32" t="s">
        <v>718</v>
      </c>
      <c r="D32" t="s">
        <v>935</v>
      </c>
      <c r="E32">
        <v>2023</v>
      </c>
      <c r="F32" s="45" t="s">
        <v>1078</v>
      </c>
      <c r="G32" t="s">
        <v>2304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55</v>
      </c>
      <c r="B33" s="31" t="str">
        <f>_xlfn.TEXTAFTER(CONTROL[[#This Row],[VEHIDCODE]],"_")</f>
        <v>Australia_Victorian_Railways_DERM</v>
      </c>
      <c r="C33" t="s">
        <v>718</v>
      </c>
      <c r="D33" t="s">
        <v>935</v>
      </c>
      <c r="E33">
        <v>2024</v>
      </c>
      <c r="F33" s="45" t="s">
        <v>1079</v>
      </c>
      <c r="G33" t="s">
        <v>2305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56</v>
      </c>
      <c r="B34" s="31" t="str">
        <f>_xlfn.TEXTAFTER(CONTROL[[#This Row],[VEHIDCODE]],"_")</f>
        <v>Czech_Republic_CD_M120</v>
      </c>
      <c r="C34" t="s">
        <v>718</v>
      </c>
      <c r="D34" t="s">
        <v>935</v>
      </c>
      <c r="E34">
        <v>2025</v>
      </c>
      <c r="F34" s="45" t="s">
        <v>3051</v>
      </c>
      <c r="G34" t="s">
        <v>2306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57</v>
      </c>
      <c r="B35" s="31" t="str">
        <f>_xlfn.TEXTAFTER(CONTROL[[#This Row],[VEHIDCODE]],"_")</f>
        <v>Germany_Schienenzeppelin</v>
      </c>
      <c r="C35" t="s">
        <v>718</v>
      </c>
      <c r="D35" t="s">
        <v>935</v>
      </c>
      <c r="E35">
        <v>2026</v>
      </c>
      <c r="F35" s="45" t="s">
        <v>1080</v>
      </c>
      <c r="G35" t="s">
        <v>2307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58</v>
      </c>
      <c r="B36" s="31" t="str">
        <f>_xlfn.TEXTAFTER(CONTROL[[#This Row],[VEHIDCODE]],"_")</f>
        <v>Denmark_DSB_MO</v>
      </c>
      <c r="C36" t="s">
        <v>718</v>
      </c>
      <c r="D36" t="s">
        <v>935</v>
      </c>
      <c r="E36">
        <v>2027</v>
      </c>
      <c r="F36" s="45" t="s">
        <v>2310</v>
      </c>
      <c r="G36" t="s">
        <v>2309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59</v>
      </c>
      <c r="B37" s="31" t="str">
        <f>_xlfn.TEXTAFTER(CONTROL[[#This Row],[VEHIDCODE]],"_")</f>
        <v>Norway_NSB_Cmb_17</v>
      </c>
      <c r="C37" t="s">
        <v>718</v>
      </c>
      <c r="D37" t="s">
        <v>935</v>
      </c>
      <c r="E37">
        <v>2028</v>
      </c>
      <c r="F37" s="45" t="s">
        <v>1081</v>
      </c>
      <c r="G37" t="s">
        <v>2308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60</v>
      </c>
      <c r="B38" s="31" t="str">
        <f>_xlfn.TEXTAFTER(CONTROL[[#This Row],[VEHIDCODE]],"_")</f>
        <v>Czech_Republic_CD_M290</v>
      </c>
      <c r="C38" t="s">
        <v>718</v>
      </c>
      <c r="D38" t="s">
        <v>935</v>
      </c>
      <c r="E38">
        <v>2029</v>
      </c>
      <c r="F38" s="45" t="s">
        <v>3052</v>
      </c>
      <c r="G38" t="s">
        <v>2311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61</v>
      </c>
      <c r="B39" s="31" t="str">
        <f>_xlfn.TEXTAFTER(CONTROL[[#This Row],[VEHIDCODE]],"_")</f>
        <v>Netherlands_NS_omBC</v>
      </c>
      <c r="C39" t="s">
        <v>718</v>
      </c>
      <c r="D39" t="s">
        <v>935</v>
      </c>
      <c r="E39">
        <v>2030</v>
      </c>
      <c r="F39" s="45" t="s">
        <v>2313</v>
      </c>
      <c r="G39" t="s">
        <v>2312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62</v>
      </c>
      <c r="B40" s="31" t="str">
        <f>_xlfn.TEXTAFTER(CONTROL[[#This Row],[VEHIDCODE]],"_")</f>
        <v>Australia_NSWGR_Class_400</v>
      </c>
      <c r="C40" t="s">
        <v>718</v>
      </c>
      <c r="D40" t="s">
        <v>935</v>
      </c>
      <c r="E40">
        <v>2031</v>
      </c>
      <c r="F40" s="45" t="s">
        <v>1082</v>
      </c>
      <c r="G40" t="s">
        <v>2314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63</v>
      </c>
      <c r="B41" s="31" t="str">
        <f>_xlfn.TEXTAFTER(CONTROL[[#This Row],[VEHIDCODE]],"_")</f>
        <v>Portugal_CP_USD_9050</v>
      </c>
      <c r="C41" t="s">
        <v>718</v>
      </c>
      <c r="D41" t="s">
        <v>935</v>
      </c>
      <c r="E41">
        <v>2032</v>
      </c>
      <c r="F41" s="45" t="s">
        <v>1083</v>
      </c>
      <c r="G41" t="s">
        <v>2315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64</v>
      </c>
      <c r="B42" s="31" t="str">
        <f>_xlfn.TEXTAFTER(CONTROL[[#This Row],[VEHIDCODE]],"_")</f>
        <v>Belgium_SNCB_Class_42</v>
      </c>
      <c r="C42" t="s">
        <v>718</v>
      </c>
      <c r="D42" t="s">
        <v>935</v>
      </c>
      <c r="E42">
        <v>2033</v>
      </c>
      <c r="F42" s="45" t="s">
        <v>2317</v>
      </c>
      <c r="G42" t="s">
        <v>2316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65</v>
      </c>
      <c r="B43" s="31" t="str">
        <f>_xlfn.TEXTAFTER(CONTROL[[#This Row],[VEHIDCODE]],"_")</f>
        <v>Bulgaria_BDZ_19</v>
      </c>
      <c r="C43" t="s">
        <v>718</v>
      </c>
      <c r="D43" t="s">
        <v>935</v>
      </c>
      <c r="E43">
        <v>2034</v>
      </c>
      <c r="F43" s="45" t="s">
        <v>3017</v>
      </c>
      <c r="G43" t="s">
        <v>2318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66</v>
      </c>
      <c r="B44" s="31" t="str">
        <f>_xlfn.TEXTAFTER(CONTROL[[#This Row],[VEHIDCODE]],"_")</f>
        <v>Greece_OSE_AA71</v>
      </c>
      <c r="C44" t="s">
        <v>718</v>
      </c>
      <c r="D44" t="s">
        <v>935</v>
      </c>
      <c r="E44">
        <v>2035</v>
      </c>
      <c r="F44" s="45" t="s">
        <v>1084</v>
      </c>
      <c r="G44" t="s">
        <v>2319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67</v>
      </c>
      <c r="B45" s="31" t="str">
        <f>_xlfn.TEXTAFTER(CONTROL[[#This Row],[VEHIDCODE]],"_")</f>
        <v>Tunisia_SNCFT_Z431</v>
      </c>
      <c r="C45" t="s">
        <v>718</v>
      </c>
      <c r="D45" t="s">
        <v>935</v>
      </c>
      <c r="E45">
        <v>2036</v>
      </c>
      <c r="F45" s="45" t="s">
        <v>2320</v>
      </c>
      <c r="G45" t="s">
        <v>2321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68</v>
      </c>
      <c r="B46" s="31" t="str">
        <f>_xlfn.TEXTAFTER(CONTROL[[#This Row],[VEHIDCODE]],"_")</f>
        <v>USA_Amtrak_SPV_200</v>
      </c>
      <c r="C46" t="s">
        <v>718</v>
      </c>
      <c r="D46" t="s">
        <v>935</v>
      </c>
      <c r="E46">
        <v>2037</v>
      </c>
      <c r="F46" s="45" t="s">
        <v>2322</v>
      </c>
      <c r="G46" t="s">
        <v>2323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69</v>
      </c>
      <c r="B47" s="31" t="str">
        <f>_xlfn.TEXTAFTER(CONTROL[[#This Row],[VEHIDCODE]],"_")</f>
        <v>Finland_VR_Dm12</v>
      </c>
      <c r="C47" t="s">
        <v>718</v>
      </c>
      <c r="D47" t="s">
        <v>935</v>
      </c>
      <c r="E47">
        <v>2039</v>
      </c>
      <c r="F47" s="45" t="s">
        <v>1085</v>
      </c>
      <c r="G47" t="s">
        <v>2324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70</v>
      </c>
      <c r="B48" s="31" t="str">
        <f>_xlfn.TEXTAFTER(CONTROL[[#This Row],[VEHIDCODE]],"_")</f>
        <v>Czech_Republic_CD_840</v>
      </c>
      <c r="C48" t="s">
        <v>718</v>
      </c>
      <c r="D48" t="s">
        <v>935</v>
      </c>
      <c r="E48">
        <v>2041</v>
      </c>
      <c r="F48" s="45" t="s">
        <v>3053</v>
      </c>
      <c r="G48" t="s">
        <v>2325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71</v>
      </c>
      <c r="B49" s="31" t="str">
        <f>_xlfn.TEXTAFTER(CONTROL[[#This Row],[VEHIDCODE]],"_")</f>
        <v>Italy_FS_ALn_668</v>
      </c>
      <c r="C49" t="s">
        <v>718</v>
      </c>
      <c r="D49" t="s">
        <v>935</v>
      </c>
      <c r="E49">
        <v>2046</v>
      </c>
      <c r="F49" s="45" t="s">
        <v>2327</v>
      </c>
      <c r="G49" t="s">
        <v>2326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72</v>
      </c>
      <c r="B50" s="31" t="str">
        <f>_xlfn.TEXTAFTER(CONTROL[[#This Row],[VEHIDCODE]],"_")</f>
        <v>Czech_Republic_CD_M400</v>
      </c>
      <c r="C50" t="s">
        <v>719</v>
      </c>
      <c r="D50" t="s">
        <v>936</v>
      </c>
      <c r="E50">
        <v>3005</v>
      </c>
      <c r="F50" s="45" t="s">
        <v>3054</v>
      </c>
      <c r="G50" t="s">
        <v>2328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74</v>
      </c>
      <c r="B51" s="31" t="str">
        <f>_xlfn.TEXTAFTER(CONTROL[[#This Row],[VEHIDCODE]],"_")</f>
        <v>France_SNCF_Z_7100</v>
      </c>
      <c r="C51" t="s">
        <v>719</v>
      </c>
      <c r="D51" t="s">
        <v>936</v>
      </c>
      <c r="E51">
        <v>3012</v>
      </c>
      <c r="F51" s="45" t="s">
        <v>1086</v>
      </c>
      <c r="G51" t="s">
        <v>2329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75</v>
      </c>
      <c r="B52" s="31" t="str">
        <f>_xlfn.TEXTAFTER(CONTROL[[#This Row],[VEHIDCODE]],"_")</f>
        <v>Germany_Buckower_Kleinbahn_Nr_1_3</v>
      </c>
      <c r="C52" t="s">
        <v>719</v>
      </c>
      <c r="D52" t="s">
        <v>936</v>
      </c>
      <c r="E52">
        <v>3021</v>
      </c>
      <c r="F52" s="45" t="s">
        <v>1087</v>
      </c>
      <c r="G52" t="s">
        <v>2330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76</v>
      </c>
      <c r="B53" s="31" t="str">
        <f>_xlfn.TEXTAFTER(CONTROL[[#This Row],[VEHIDCODE]],"_")</f>
        <v>Germany_DB_4792</v>
      </c>
      <c r="C53" t="s">
        <v>719</v>
      </c>
      <c r="D53" t="s">
        <v>936</v>
      </c>
      <c r="E53">
        <v>3020</v>
      </c>
      <c r="F53" s="45" t="s">
        <v>2333</v>
      </c>
      <c r="G53" t="s">
        <v>2332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77</v>
      </c>
      <c r="B54" s="31" t="str">
        <f>_xlfn.TEXTAFTER(CONTROL[[#This Row],[VEHIDCODE]],"_")</f>
        <v>Slovakia_ZSSK_490</v>
      </c>
      <c r="C54" t="s">
        <v>719</v>
      </c>
      <c r="D54" t="s">
        <v>936</v>
      </c>
      <c r="E54">
        <v>3008</v>
      </c>
      <c r="F54" s="45" t="s">
        <v>3018</v>
      </c>
      <c r="G54" t="s">
        <v>2331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78</v>
      </c>
      <c r="B55" s="31" t="str">
        <f>_xlfn.TEXTAFTER(CONTROL[[#This Row],[VEHIDCODE]],"_")</f>
        <v>Italy_FS_ALe_840</v>
      </c>
      <c r="C55" t="s">
        <v>719</v>
      </c>
      <c r="D55" t="s">
        <v>936</v>
      </c>
      <c r="E55">
        <v>3004</v>
      </c>
      <c r="F55" s="45" t="s">
        <v>1088</v>
      </c>
      <c r="G55" t="s">
        <v>2334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79</v>
      </c>
      <c r="B56" s="31" t="str">
        <f>_xlfn.TEXTAFTER(CONTROL[[#This Row],[VEHIDCODE]],"_")</f>
        <v>Italy_FG_ALe_80</v>
      </c>
      <c r="C56" t="s">
        <v>719</v>
      </c>
      <c r="D56" t="s">
        <v>936</v>
      </c>
      <c r="E56">
        <v>3014</v>
      </c>
      <c r="F56" s="45" t="s">
        <v>1089</v>
      </c>
      <c r="G56" t="s">
        <v>2335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80</v>
      </c>
      <c r="B57" s="31" t="str">
        <f>_xlfn.TEXTAFTER(CONTROL[[#This Row],[VEHIDCODE]],"_")</f>
        <v>Italy_FS_E623</v>
      </c>
      <c r="C57" t="s">
        <v>719</v>
      </c>
      <c r="D57" t="s">
        <v>936</v>
      </c>
      <c r="E57">
        <v>3009</v>
      </c>
      <c r="F57" s="45" t="s">
        <v>1090</v>
      </c>
      <c r="G57" t="s">
        <v>2336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81</v>
      </c>
      <c r="B58" s="31" t="str">
        <f>_xlfn.TEXTAFTER(CONTROL[[#This Row],[VEHIDCODE]],"_")</f>
        <v>Morocco_ONCFM_ZAB1000</v>
      </c>
      <c r="C58" t="s">
        <v>719</v>
      </c>
      <c r="D58" t="s">
        <v>936</v>
      </c>
      <c r="E58">
        <v>3001</v>
      </c>
      <c r="F58" s="45" t="s">
        <v>1749</v>
      </c>
      <c r="G58" t="s">
        <v>2337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82</v>
      </c>
      <c r="B59" s="31" t="str">
        <f>_xlfn.TEXTAFTER(CONTROL[[#This Row],[VEHIDCODE]],"_")</f>
        <v>Poland_PKP_EN81</v>
      </c>
      <c r="C59" t="s">
        <v>719</v>
      </c>
      <c r="D59" t="s">
        <v>936</v>
      </c>
      <c r="E59">
        <v>3018</v>
      </c>
      <c r="F59" s="45" t="s">
        <v>1091</v>
      </c>
      <c r="G59" t="s">
        <v>2338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83</v>
      </c>
      <c r="B60" s="31" t="str">
        <f>_xlfn.TEXTAFTER(CONTROL[[#This Row],[VEHIDCODE]],"_")</f>
        <v>Austria_OBB_4855</v>
      </c>
      <c r="C60" t="s">
        <v>719</v>
      </c>
      <c r="D60" t="s">
        <v>936</v>
      </c>
      <c r="E60">
        <v>3015</v>
      </c>
      <c r="F60" s="45" t="s">
        <v>3033</v>
      </c>
      <c r="G60" t="s">
        <v>2339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84</v>
      </c>
      <c r="B61" s="31" t="str">
        <f>_xlfn.TEXTAFTER(CONTROL[[#This Row],[VEHIDCODE]],"_")</f>
        <v>Austria_MBS_ET_10109</v>
      </c>
      <c r="C61" t="s">
        <v>719</v>
      </c>
      <c r="D61" t="s">
        <v>936</v>
      </c>
      <c r="E61">
        <v>3017</v>
      </c>
      <c r="F61" s="45" t="s">
        <v>1092</v>
      </c>
      <c r="G61" t="s">
        <v>2340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85</v>
      </c>
      <c r="B62" s="31" t="str">
        <f>_xlfn.TEXTAFTER(CONTROL[[#This Row],[VEHIDCODE]],"_")</f>
        <v>Germany_DB_ET_85</v>
      </c>
      <c r="C62" t="s">
        <v>719</v>
      </c>
      <c r="D62" t="s">
        <v>936</v>
      </c>
      <c r="E62">
        <v>3002</v>
      </c>
      <c r="F62" s="45" t="s">
        <v>1093</v>
      </c>
      <c r="G62" t="s">
        <v>2341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86</v>
      </c>
      <c r="B63" s="31" t="str">
        <f>_xlfn.TEXTAFTER(CONTROL[[#This Row],[VEHIDCODE]],"_")</f>
        <v>Sweden_SJ_X16</v>
      </c>
      <c r="C63" t="s">
        <v>719</v>
      </c>
      <c r="D63" t="s">
        <v>936</v>
      </c>
      <c r="E63">
        <v>3010</v>
      </c>
      <c r="F63" s="45" t="s">
        <v>1094</v>
      </c>
      <c r="G63" t="s">
        <v>2342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87</v>
      </c>
      <c r="B64" s="31" t="str">
        <f>_xlfn.TEXTAFTER(CONTROL[[#This Row],[VEHIDCODE]],"_")</f>
        <v>USA_Pennsylvania_Railroad_Silverliner_II</v>
      </c>
      <c r="C64" t="s">
        <v>719</v>
      </c>
      <c r="D64" t="s">
        <v>936</v>
      </c>
      <c r="E64">
        <v>3013</v>
      </c>
      <c r="F64" s="45" t="s">
        <v>1095</v>
      </c>
      <c r="G64" t="s">
        <v>2343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88</v>
      </c>
      <c r="B65" s="31" t="str">
        <f>_xlfn.TEXTAFTER(CONTROL[[#This Row],[VEHIDCODE]],"_")</f>
        <v>USA_SEPTA_Silverliner_V</v>
      </c>
      <c r="C65" t="s">
        <v>719</v>
      </c>
      <c r="D65" t="s">
        <v>936</v>
      </c>
      <c r="E65">
        <v>3019</v>
      </c>
      <c r="F65" s="45" t="s">
        <v>1096</v>
      </c>
      <c r="G65" t="s">
        <v>2344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89</v>
      </c>
      <c r="B66" s="31" t="str">
        <f>_xlfn.TEXTAFTER(CONTROL[[#This Row],[VEHIDCODE]],"_")</f>
        <v>Belgium_Le_Belge</v>
      </c>
      <c r="C66" t="s">
        <v>720</v>
      </c>
      <c r="D66" t="s">
        <v>938</v>
      </c>
      <c r="E66">
        <v>4000</v>
      </c>
      <c r="F66" s="45" t="s">
        <v>1097</v>
      </c>
      <c r="G66" t="s">
        <v>2345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90</v>
      </c>
      <c r="B67" s="31" t="str">
        <f>_xlfn.TEXTAFTER(CONTROL[[#This Row],[VEHIDCODE]],"_")</f>
        <v>USA_4_4_0_American</v>
      </c>
      <c r="C67" t="s">
        <v>720</v>
      </c>
      <c r="D67" t="s">
        <v>938</v>
      </c>
      <c r="E67">
        <v>4036</v>
      </c>
      <c r="F67" s="45" t="s">
        <v>1098</v>
      </c>
      <c r="G67" t="s">
        <v>2346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91</v>
      </c>
      <c r="B68" s="31" t="str">
        <f>_xlfn.TEXTAFTER(CONTROL[[#This Row],[VEHIDCODE]],"_")</f>
        <v>Switzerland_SBB_Ec_2_5</v>
      </c>
      <c r="C68" t="s">
        <v>720</v>
      </c>
      <c r="D68" t="s">
        <v>938</v>
      </c>
      <c r="E68">
        <v>4002</v>
      </c>
      <c r="F68" s="45" t="s">
        <v>1099</v>
      </c>
      <c r="G68" t="s">
        <v>2347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92</v>
      </c>
      <c r="B69" s="31" t="str">
        <f>_xlfn.TEXTAFTER(CONTROL[[#This Row],[VEHIDCODE]],"_")</f>
        <v>USA_4_6_0_Ten_wheeler</v>
      </c>
      <c r="C69" t="s">
        <v>720</v>
      </c>
      <c r="D69" t="s">
        <v>938</v>
      </c>
      <c r="E69">
        <v>4037</v>
      </c>
      <c r="F69" s="45" t="s">
        <v>1100</v>
      </c>
      <c r="G69" t="s">
        <v>2348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93</v>
      </c>
      <c r="B70" s="31" t="str">
        <f>_xlfn.TEXTAFTER(CONTROL[[#This Row],[VEHIDCODE]],"_")</f>
        <v>USA_2_8_0_Consolidation</v>
      </c>
      <c r="C70" t="s">
        <v>720</v>
      </c>
      <c r="D70" t="s">
        <v>938</v>
      </c>
      <c r="E70">
        <v>4004</v>
      </c>
      <c r="F70" s="45" t="s">
        <v>1101</v>
      </c>
      <c r="G70" t="s">
        <v>2349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94</v>
      </c>
      <c r="B71" s="31" t="str">
        <f>_xlfn.TEXTAFTER(CONTROL[[#This Row],[VEHIDCODE]],"_")</f>
        <v>Hungary_MAV_377</v>
      </c>
      <c r="C71" t="s">
        <v>720</v>
      </c>
      <c r="D71" t="s">
        <v>938</v>
      </c>
      <c r="E71">
        <v>4005</v>
      </c>
      <c r="F71" s="45" t="s">
        <v>3042</v>
      </c>
      <c r="G71" t="s">
        <v>2350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95</v>
      </c>
      <c r="B72" s="31" t="str">
        <f>_xlfn.TEXTAFTER(CONTROL[[#This Row],[VEHIDCODE]],"_")</f>
        <v>Austria_KkStB_99</v>
      </c>
      <c r="C72" t="s">
        <v>720</v>
      </c>
      <c r="D72" t="s">
        <v>938</v>
      </c>
      <c r="E72">
        <v>4006</v>
      </c>
      <c r="F72" s="45" t="s">
        <v>1102</v>
      </c>
      <c r="G72" t="s">
        <v>2351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96</v>
      </c>
      <c r="B73" s="31" t="str">
        <f>_xlfn.TEXTAFTER(CONTROL[[#This Row],[VEHIDCODE]],"_")</f>
        <v>UK_Caledonian_Railway_439</v>
      </c>
      <c r="C73" t="s">
        <v>720</v>
      </c>
      <c r="D73" t="s">
        <v>938</v>
      </c>
      <c r="E73">
        <v>4007</v>
      </c>
      <c r="F73" s="45" t="s">
        <v>1103</v>
      </c>
      <c r="G73" t="s">
        <v>2352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97</v>
      </c>
      <c r="B74" s="31" t="str">
        <f>_xlfn.TEXTAFTER(CONTROL[[#This Row],[VEHIDCODE]],"_")</f>
        <v>Switzerland_SBB_A_3_5</v>
      </c>
      <c r="C74" t="s">
        <v>720</v>
      </c>
      <c r="D74" t="s">
        <v>938</v>
      </c>
      <c r="E74">
        <v>4008</v>
      </c>
      <c r="F74" s="45" t="s">
        <v>1104</v>
      </c>
      <c r="G74" t="s">
        <v>2353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98</v>
      </c>
      <c r="B75" s="31" t="str">
        <f>_xlfn.TEXTAFTER(CONTROL[[#This Row],[VEHIDCODE]],"_")</f>
        <v>Switzerland_SBB_E_3_3</v>
      </c>
      <c r="C75" t="s">
        <v>720</v>
      </c>
      <c r="D75" t="s">
        <v>938</v>
      </c>
      <c r="E75">
        <v>4009</v>
      </c>
      <c r="F75" s="45" t="s">
        <v>1105</v>
      </c>
      <c r="G75" t="s">
        <v>2354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99</v>
      </c>
      <c r="B76" s="31" t="str">
        <f>_xlfn.TEXTAFTER(CONTROL[[#This Row],[VEHIDCODE]],"_")</f>
        <v>Austria_KkStB_299</v>
      </c>
      <c r="C76" t="s">
        <v>720</v>
      </c>
      <c r="D76" t="s">
        <v>938</v>
      </c>
      <c r="E76">
        <v>4010</v>
      </c>
      <c r="F76" s="45" t="s">
        <v>1106</v>
      </c>
      <c r="G76" t="s">
        <v>2355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100</v>
      </c>
      <c r="B77" s="31" t="str">
        <f>_xlfn.TEXTAFTER(CONTROL[[#This Row],[VEHIDCODE]],"_")</f>
        <v>New_Zealand_NZR_X_Class</v>
      </c>
      <c r="C77" t="s">
        <v>720</v>
      </c>
      <c r="D77" t="s">
        <v>938</v>
      </c>
      <c r="E77">
        <v>4011</v>
      </c>
      <c r="F77" s="45" t="s">
        <v>1107</v>
      </c>
      <c r="G77" t="s">
        <v>2356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101</v>
      </c>
      <c r="B78" s="31" t="str">
        <f>_xlfn.TEXTAFTER(CONTROL[[#This Row],[VEHIDCODE]],"_")</f>
        <v>Croatia_HZ_51</v>
      </c>
      <c r="C78" t="s">
        <v>720</v>
      </c>
      <c r="D78" t="s">
        <v>938</v>
      </c>
      <c r="E78">
        <v>4014</v>
      </c>
      <c r="F78" s="45" t="s">
        <v>3043</v>
      </c>
      <c r="G78" t="s">
        <v>2357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102</v>
      </c>
      <c r="B79" s="31" t="str">
        <f>_xlfn.TEXTAFTER(CONTROL[[#This Row],[VEHIDCODE]],"_")</f>
        <v>Italy_FS_880</v>
      </c>
      <c r="C79" t="s">
        <v>720</v>
      </c>
      <c r="D79" t="s">
        <v>938</v>
      </c>
      <c r="E79">
        <v>4015</v>
      </c>
      <c r="F79" s="45" t="s">
        <v>1108</v>
      </c>
      <c r="G79" t="s">
        <v>2358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103</v>
      </c>
      <c r="B80" s="31" t="str">
        <f>_xlfn.TEXTAFTER(CONTROL[[#This Row],[VEHIDCODE]],"_")</f>
        <v>Argentina_FCNEA_11B_2_8_0</v>
      </c>
      <c r="C80" t="s">
        <v>720</v>
      </c>
      <c r="D80" t="s">
        <v>938</v>
      </c>
      <c r="E80">
        <v>4016</v>
      </c>
      <c r="F80" s="45" t="s">
        <v>1109</v>
      </c>
      <c r="G80" t="s">
        <v>2359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104</v>
      </c>
      <c r="B81" s="31" t="str">
        <f>_xlfn.TEXTAFTER(CONTROL[[#This Row],[VEHIDCODE]],"_")</f>
        <v>France_SNCF_140C</v>
      </c>
      <c r="C81" t="s">
        <v>720</v>
      </c>
      <c r="D81" t="s">
        <v>938</v>
      </c>
      <c r="E81">
        <v>4017</v>
      </c>
      <c r="F81" s="45" t="s">
        <v>1110</v>
      </c>
      <c r="G81" t="s">
        <v>2953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105</v>
      </c>
      <c r="B82" s="31" t="str">
        <f>_xlfn.TEXTAFTER(CONTROL[[#This Row],[VEHIDCODE]],"_")</f>
        <v>France_SNCF_141TA</v>
      </c>
      <c r="C82" t="s">
        <v>720</v>
      </c>
      <c r="D82" t="s">
        <v>938</v>
      </c>
      <c r="E82">
        <v>4018</v>
      </c>
      <c r="F82" s="45" t="s">
        <v>1111</v>
      </c>
      <c r="G82" t="s">
        <v>2952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106</v>
      </c>
      <c r="B83" s="31" t="str">
        <f>_xlfn.TEXTAFTER(CONTROL[[#This Row],[VEHIDCODE]],"_")</f>
        <v>UK_GWR_4900</v>
      </c>
      <c r="C83" t="s">
        <v>720</v>
      </c>
      <c r="D83" t="s">
        <v>938</v>
      </c>
      <c r="E83">
        <v>4019</v>
      </c>
      <c r="F83" s="45" t="s">
        <v>2361</v>
      </c>
      <c r="G83" t="s">
        <v>2360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107</v>
      </c>
      <c r="B84" s="31" t="str">
        <f>_xlfn.TEXTAFTER(CONTROL[[#This Row],[VEHIDCODE]],"_")</f>
        <v>UK_GWR_5700</v>
      </c>
      <c r="C84" t="s">
        <v>720</v>
      </c>
      <c r="D84" t="s">
        <v>938</v>
      </c>
      <c r="E84">
        <v>4020</v>
      </c>
      <c r="F84" s="45" t="s">
        <v>2362</v>
      </c>
      <c r="G84" t="s">
        <v>2363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108</v>
      </c>
      <c r="B85" s="31" t="str">
        <f>_xlfn.TEXTAFTER(CONTROL[[#This Row],[VEHIDCODE]],"_")</f>
        <v>Netherlands_NS_6300</v>
      </c>
      <c r="C85" t="s">
        <v>720</v>
      </c>
      <c r="D85" t="s">
        <v>938</v>
      </c>
      <c r="E85">
        <v>4021</v>
      </c>
      <c r="F85" s="45" t="s">
        <v>2364</v>
      </c>
      <c r="G85" t="s">
        <v>2365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109</v>
      </c>
      <c r="B86" s="31" t="str">
        <f>_xlfn.TEXTAFTER(CONTROL[[#This Row],[VEHIDCODE]],"_")</f>
        <v>USA_AT_SF_5000</v>
      </c>
      <c r="C86" t="s">
        <v>720</v>
      </c>
      <c r="D86" t="s">
        <v>938</v>
      </c>
      <c r="E86">
        <v>4022</v>
      </c>
      <c r="F86" s="45" t="s">
        <v>2366</v>
      </c>
      <c r="G86" t="s">
        <v>2367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110</v>
      </c>
      <c r="B87" s="31" t="str">
        <f>_xlfn.TEXTAFTER(CONTROL[[#This Row],[VEHIDCODE]],"_")</f>
        <v>Germany_Prussian_S10</v>
      </c>
      <c r="C87" t="s">
        <v>720</v>
      </c>
      <c r="D87" t="s">
        <v>938</v>
      </c>
      <c r="E87">
        <v>4024</v>
      </c>
      <c r="F87" s="45" t="s">
        <v>1112</v>
      </c>
      <c r="G87" t="s">
        <v>2368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111</v>
      </c>
      <c r="B88" s="31" t="str">
        <f>_xlfn.TEXTAFTER(CONTROL[[#This Row],[VEHIDCODE]],"_")</f>
        <v>UK_LMS_5MT_Black_Five</v>
      </c>
      <c r="C88" t="s">
        <v>720</v>
      </c>
      <c r="D88" t="s">
        <v>938</v>
      </c>
      <c r="E88">
        <v>4025</v>
      </c>
      <c r="F88" s="45" t="s">
        <v>1113</v>
      </c>
      <c r="G88" t="s">
        <v>2369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112</v>
      </c>
      <c r="B89" s="31" t="str">
        <f>_xlfn.TEXTAFTER(CONTROL[[#This Row],[VEHIDCODE]],"_")</f>
        <v>Russia_RZD_9P</v>
      </c>
      <c r="C89" t="s">
        <v>720</v>
      </c>
      <c r="D89" t="s">
        <v>938</v>
      </c>
      <c r="E89">
        <v>4026</v>
      </c>
      <c r="F89" s="45" t="s">
        <v>1114</v>
      </c>
      <c r="G89" t="s">
        <v>2370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113</v>
      </c>
      <c r="B90" s="31" t="str">
        <f>_xlfn.TEXTAFTER(CONTROL[[#This Row],[VEHIDCODE]],"_")</f>
        <v>UK_LNER_A4_Gresley</v>
      </c>
      <c r="C90" t="s">
        <v>720</v>
      </c>
      <c r="D90" t="s">
        <v>938</v>
      </c>
      <c r="E90">
        <v>4028</v>
      </c>
      <c r="F90" s="45" t="s">
        <v>1115</v>
      </c>
      <c r="G90" t="s">
        <v>2371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114</v>
      </c>
      <c r="B91" s="31" t="str">
        <f>_xlfn.TEXTAFTER(CONTROL[[#This Row],[VEHIDCODE]],"_")</f>
        <v>Canada_CPR_Royal_Hudson</v>
      </c>
      <c r="C91" t="s">
        <v>720</v>
      </c>
      <c r="D91" t="s">
        <v>938</v>
      </c>
      <c r="E91">
        <v>4029</v>
      </c>
      <c r="F91" s="45" t="s">
        <v>1116</v>
      </c>
      <c r="G91" t="s">
        <v>2372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115</v>
      </c>
      <c r="B92" s="31" t="str">
        <f>_xlfn.TEXTAFTER(CONTROL[[#This Row],[VEHIDCODE]],"_")</f>
        <v>Denmark_DSB_E</v>
      </c>
      <c r="C92" t="s">
        <v>720</v>
      </c>
      <c r="D92" t="s">
        <v>938</v>
      </c>
      <c r="E92">
        <v>4038</v>
      </c>
      <c r="F92" s="45" t="s">
        <v>1117</v>
      </c>
      <c r="G92" t="s">
        <v>2954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116</v>
      </c>
      <c r="B93" s="31" t="str">
        <f>_xlfn.TEXTAFTER(CONTROL[[#This Row],[VEHIDCODE]],"_")</f>
        <v>Germany_DB_52</v>
      </c>
      <c r="C93" t="s">
        <v>720</v>
      </c>
      <c r="D93" t="s">
        <v>938</v>
      </c>
      <c r="E93">
        <v>4031</v>
      </c>
      <c r="F93" s="45" t="s">
        <v>2948</v>
      </c>
      <c r="G93" t="s">
        <v>2949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117</v>
      </c>
      <c r="B94" s="31" t="str">
        <f>_xlfn.TEXTAFTER(CONTROL[[#This Row],[VEHIDCODE]],"_")</f>
        <v>UK_LNER_A1_Peppercorn</v>
      </c>
      <c r="C94" t="s">
        <v>720</v>
      </c>
      <c r="D94" t="s">
        <v>938</v>
      </c>
      <c r="E94">
        <v>4033</v>
      </c>
      <c r="F94" s="45" t="s">
        <v>1118</v>
      </c>
      <c r="G94" t="s">
        <v>2373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118</v>
      </c>
      <c r="B95" s="31" t="str">
        <f>_xlfn.TEXTAFTER(CONTROL[[#This Row],[VEHIDCODE]],"_")</f>
        <v>South_Africa_SAR_25</v>
      </c>
      <c r="C95" t="s">
        <v>720</v>
      </c>
      <c r="D95" t="s">
        <v>938</v>
      </c>
      <c r="E95">
        <v>4034</v>
      </c>
      <c r="F95" s="45" t="s">
        <v>2260</v>
      </c>
      <c r="G95" t="s">
        <v>2374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119</v>
      </c>
      <c r="B96" s="31" t="str">
        <f>_xlfn.TEXTAFTER(CONTROL[[#This Row],[VEHIDCODE]],"_")</f>
        <v>Russia_RZD_P36</v>
      </c>
      <c r="C96" t="s">
        <v>720</v>
      </c>
      <c r="D96" t="s">
        <v>938</v>
      </c>
      <c r="E96">
        <v>4035</v>
      </c>
      <c r="F96" s="45" t="s">
        <v>1119</v>
      </c>
      <c r="G96" t="s">
        <v>2375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120</v>
      </c>
      <c r="B97" s="31" t="str">
        <f>_xlfn.TEXTAFTER(CONTROL[[#This Row],[VEHIDCODE]],"_")</f>
        <v>France_SNCF_150B</v>
      </c>
      <c r="C97" t="s">
        <v>720</v>
      </c>
      <c r="D97" t="s">
        <v>938</v>
      </c>
      <c r="E97">
        <v>4023</v>
      </c>
      <c r="F97" s="45" t="s">
        <v>1120</v>
      </c>
      <c r="G97" t="s">
        <v>2376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121</v>
      </c>
      <c r="B98" s="31" t="str">
        <f>_xlfn.TEXTAFTER(CONTROL[[#This Row],[VEHIDCODE]],"_")</f>
        <v>Italy_FS_895</v>
      </c>
      <c r="C98" t="s">
        <v>720</v>
      </c>
      <c r="D98" t="s">
        <v>938</v>
      </c>
      <c r="E98">
        <v>4012</v>
      </c>
      <c r="F98" s="45" t="s">
        <v>1121</v>
      </c>
      <c r="G98" t="s">
        <v>2377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122</v>
      </c>
      <c r="B99" s="31" t="str">
        <f>_xlfn.TEXTAFTER(CONTROL[[#This Row],[VEHIDCODE]],"_")</f>
        <v>Poland_PKP_Okz32</v>
      </c>
      <c r="C99" t="s">
        <v>720</v>
      </c>
      <c r="D99" t="s">
        <v>938</v>
      </c>
      <c r="E99">
        <v>4027</v>
      </c>
      <c r="F99" s="45" t="s">
        <v>1122</v>
      </c>
      <c r="G99" t="s">
        <v>2378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123</v>
      </c>
      <c r="B100" s="31" t="str">
        <f>_xlfn.TEXTAFTER(CONTROL[[#This Row],[VEHIDCODE]],"_")</f>
        <v>Switzerland_SBB_C_5_6</v>
      </c>
      <c r="C100" t="s">
        <v>720</v>
      </c>
      <c r="D100" t="s">
        <v>938</v>
      </c>
      <c r="E100">
        <v>4013</v>
      </c>
      <c r="F100" s="45" t="s">
        <v>2379</v>
      </c>
      <c r="G100" t="s">
        <v>2380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124</v>
      </c>
      <c r="B101" s="31" t="str">
        <f>_xlfn.TEXTAFTER(CONTROL[[#This Row],[VEHIDCODE]],"_")</f>
        <v>USA_UP_4000_Big_Boy</v>
      </c>
      <c r="C101" t="s">
        <v>720</v>
      </c>
      <c r="D101" t="s">
        <v>938</v>
      </c>
      <c r="E101">
        <v>4039</v>
      </c>
      <c r="F101" s="45" t="s">
        <v>1123</v>
      </c>
      <c r="G101" t="s">
        <v>2381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125</v>
      </c>
      <c r="B102" s="31" t="str">
        <f>_xlfn.TEXTAFTER(CONTROL[[#This Row],[VEHIDCODE]],"_")</f>
        <v>Netherlands_NRS_11</v>
      </c>
      <c r="C102" t="s">
        <v>720</v>
      </c>
      <c r="D102" t="s">
        <v>938</v>
      </c>
      <c r="E102">
        <v>4040</v>
      </c>
      <c r="F102" s="45" t="s">
        <v>2946</v>
      </c>
      <c r="G102" t="s">
        <v>2382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126</v>
      </c>
      <c r="B103" s="31" t="str">
        <f>_xlfn.TEXTAFTER(CONTROL[[#This Row],[VEHIDCODE]],"_")</f>
        <v>UK_GWR_Iron_DUKe_Class</v>
      </c>
      <c r="C103" t="s">
        <v>720</v>
      </c>
      <c r="D103" t="s">
        <v>938</v>
      </c>
      <c r="E103">
        <v>4041</v>
      </c>
      <c r="F103" s="45" t="s">
        <v>1124</v>
      </c>
      <c r="G103" t="s">
        <v>2383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127</v>
      </c>
      <c r="B104" s="31" t="str">
        <f>_xlfn.TEXTAFTER(CONTROL[[#This Row],[VEHIDCODE]],"_")</f>
        <v>Australia_Sidney_Railway_Locomotive_No1</v>
      </c>
      <c r="C104" t="s">
        <v>720</v>
      </c>
      <c r="D104" t="s">
        <v>938</v>
      </c>
      <c r="E104">
        <v>4042</v>
      </c>
      <c r="F104" s="45" t="s">
        <v>1125</v>
      </c>
      <c r="G104" t="s">
        <v>2384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128</v>
      </c>
      <c r="B105" s="31" t="str">
        <f>_xlfn.TEXTAFTER(CONTROL[[#This Row],[VEHIDCODE]],"_")</f>
        <v>USA_Central_Pacific_4_2_2</v>
      </c>
      <c r="C105" t="s">
        <v>720</v>
      </c>
      <c r="D105" t="s">
        <v>938</v>
      </c>
      <c r="E105">
        <v>4043</v>
      </c>
      <c r="F105" s="45" t="s">
        <v>1126</v>
      </c>
      <c r="G105" t="s">
        <v>2385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129</v>
      </c>
      <c r="B106" s="31" t="str">
        <f>_xlfn.TEXTAFTER(CONTROL[[#This Row],[VEHIDCODE]],"_")</f>
        <v>Netherlands_NS_700</v>
      </c>
      <c r="C106" t="s">
        <v>720</v>
      </c>
      <c r="D106" t="s">
        <v>938</v>
      </c>
      <c r="E106">
        <v>4044</v>
      </c>
      <c r="F106" s="45" t="s">
        <v>1127</v>
      </c>
      <c r="G106" t="s">
        <v>2386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130</v>
      </c>
      <c r="B107" s="31" t="str">
        <f>_xlfn.TEXTAFTER(CONTROL[[#This Row],[VEHIDCODE]],"_")</f>
        <v>South_Africa_Natal_Government_Railways_2_6_0T</v>
      </c>
      <c r="C107" t="s">
        <v>720</v>
      </c>
      <c r="D107" t="s">
        <v>938</v>
      </c>
      <c r="E107">
        <v>4045</v>
      </c>
      <c r="F107" s="45" t="s">
        <v>1128</v>
      </c>
      <c r="G107" t="s">
        <v>2387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131</v>
      </c>
      <c r="B108" s="31" t="str">
        <f>_xlfn.TEXTAFTER(CONTROL[[#This Row],[VEHIDCODE]],"_")</f>
        <v>Australia_NSWGR_Z25_Class</v>
      </c>
      <c r="C108" t="s">
        <v>720</v>
      </c>
      <c r="D108" t="s">
        <v>938</v>
      </c>
      <c r="E108">
        <v>4046</v>
      </c>
      <c r="F108" s="45" t="s">
        <v>1129</v>
      </c>
      <c r="G108" t="s">
        <v>2388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132</v>
      </c>
      <c r="B109" s="31" t="str">
        <f>_xlfn.TEXTAFTER(CONTROL[[#This Row],[VEHIDCODE]],"_")</f>
        <v>Canada_Canadian_Pacific_374</v>
      </c>
      <c r="C109" t="s">
        <v>720</v>
      </c>
      <c r="D109" t="s">
        <v>938</v>
      </c>
      <c r="E109">
        <v>4047</v>
      </c>
      <c r="F109" s="45" t="s">
        <v>1130</v>
      </c>
      <c r="G109" t="s">
        <v>2390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133</v>
      </c>
      <c r="B110" s="31" t="str">
        <f>_xlfn.TEXTAFTER(CONTROL[[#This Row],[VEHIDCODE]],"_")</f>
        <v>South_Africa_PPR_35_tonner_4_6_0T</v>
      </c>
      <c r="C110" t="s">
        <v>720</v>
      </c>
      <c r="D110" t="s">
        <v>938</v>
      </c>
      <c r="E110">
        <v>4072</v>
      </c>
      <c r="F110" s="45" t="s">
        <v>1131</v>
      </c>
      <c r="G110" t="s">
        <v>2389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134</v>
      </c>
      <c r="B111" s="31" t="str">
        <f>_xlfn.TEXTAFTER(CONTROL[[#This Row],[VEHIDCODE]],"_")</f>
        <v>Spain_RENFE_Class_040</v>
      </c>
      <c r="C111" t="s">
        <v>720</v>
      </c>
      <c r="D111" t="s">
        <v>938</v>
      </c>
      <c r="E111">
        <v>4050</v>
      </c>
      <c r="F111" s="45" t="s">
        <v>1132</v>
      </c>
      <c r="G111" t="s">
        <v>2391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135</v>
      </c>
      <c r="B112" s="31" t="str">
        <f>_xlfn.TEXTAFTER(CONTROL[[#This Row],[VEHIDCODE]],"_")</f>
        <v>Germany_Saxon_IV_K</v>
      </c>
      <c r="C112" t="s">
        <v>720</v>
      </c>
      <c r="D112" t="s">
        <v>938</v>
      </c>
      <c r="E112">
        <v>4051</v>
      </c>
      <c r="F112" s="45" t="s">
        <v>2256</v>
      </c>
      <c r="G112" t="s">
        <v>2392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136</v>
      </c>
      <c r="B113" s="31" t="str">
        <f>_xlfn.TEXTAFTER(CONTROL[[#This Row],[VEHIDCODE]],"_")</f>
        <v>Germany_Prussian_S_3</v>
      </c>
      <c r="C113" t="s">
        <v>720</v>
      </c>
      <c r="D113" t="s">
        <v>938</v>
      </c>
      <c r="E113">
        <v>4052</v>
      </c>
      <c r="F113" s="45" t="s">
        <v>1133</v>
      </c>
      <c r="G113" t="s">
        <v>2393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137</v>
      </c>
      <c r="B114" s="31" t="str">
        <f>_xlfn.TEXTAFTER(CONTROL[[#This Row],[VEHIDCODE]],"_")</f>
        <v>Norway_NSB_Class_XXI</v>
      </c>
      <c r="C114" t="s">
        <v>720</v>
      </c>
      <c r="D114" t="s">
        <v>938</v>
      </c>
      <c r="E114">
        <v>4053</v>
      </c>
      <c r="F114" s="45" t="s">
        <v>1134</v>
      </c>
      <c r="G114" t="s">
        <v>2394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138</v>
      </c>
      <c r="B115" s="31" t="str">
        <f>_xlfn.TEXTAFTER(CONTROL[[#This Row],[VEHIDCODE]],"_")</f>
        <v>USA_PRR_D16</v>
      </c>
      <c r="C115" t="s">
        <v>720</v>
      </c>
      <c r="D115" t="s">
        <v>938</v>
      </c>
      <c r="E115">
        <v>4054</v>
      </c>
      <c r="F115" s="45" t="s">
        <v>1135</v>
      </c>
      <c r="G115" t="s">
        <v>2395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139</v>
      </c>
      <c r="B116" s="31" t="str">
        <f>_xlfn.TEXTAFTER(CONTROL[[#This Row],[VEHIDCODE]],"_")</f>
        <v>Netherlands_NS_8100</v>
      </c>
      <c r="C116" t="s">
        <v>720</v>
      </c>
      <c r="D116" t="s">
        <v>938</v>
      </c>
      <c r="E116">
        <v>4055</v>
      </c>
      <c r="F116" s="45" t="s">
        <v>1136</v>
      </c>
      <c r="G116" t="s">
        <v>2396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140</v>
      </c>
      <c r="B117" s="31" t="str">
        <f>_xlfn.TEXTAFTER(CONTROL[[#This Row],[VEHIDCODE]],"_")</f>
        <v>South_Africa_SAR_MD_Class</v>
      </c>
      <c r="C117" t="s">
        <v>720</v>
      </c>
      <c r="D117" t="s">
        <v>938</v>
      </c>
      <c r="E117">
        <v>4056</v>
      </c>
      <c r="F117" s="45" t="s">
        <v>2397</v>
      </c>
      <c r="G117" t="s">
        <v>2398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141</v>
      </c>
      <c r="B118" s="31" t="str">
        <f>_xlfn.TEXTAFTER(CONTROL[[#This Row],[VEHIDCODE]],"_")</f>
        <v>Angola_South_West_African_2_8_0</v>
      </c>
      <c r="C118" t="s">
        <v>720</v>
      </c>
      <c r="D118" t="s">
        <v>938</v>
      </c>
      <c r="E118">
        <v>4057</v>
      </c>
      <c r="F118" s="45" t="s">
        <v>3104</v>
      </c>
      <c r="G118" t="s">
        <v>2399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142</v>
      </c>
      <c r="B119" s="31" t="str">
        <f>_xlfn.TEXTAFTER(CONTROL[[#This Row],[VEHIDCODE]],"_")</f>
        <v>UK_LNER_N7</v>
      </c>
      <c r="C119" t="s">
        <v>720</v>
      </c>
      <c r="D119" t="s">
        <v>938</v>
      </c>
      <c r="E119">
        <v>4058</v>
      </c>
      <c r="F119" s="45" t="s">
        <v>1137</v>
      </c>
      <c r="G119" t="s">
        <v>2400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143</v>
      </c>
      <c r="B120" s="31" t="str">
        <f>_xlfn.TEXTAFTER(CONTROL[[#This Row],[VEHIDCODE]],"_")</f>
        <v>Germany_Saxon_XX_HV</v>
      </c>
      <c r="C120" t="s">
        <v>720</v>
      </c>
      <c r="D120" t="s">
        <v>938</v>
      </c>
      <c r="E120">
        <v>4059</v>
      </c>
      <c r="F120" s="45" t="s">
        <v>2255</v>
      </c>
      <c r="G120" t="s">
        <v>2401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144</v>
      </c>
      <c r="B121" s="31" t="str">
        <f>_xlfn.TEXTAFTER(CONTROL[[#This Row],[VEHIDCODE]],"_")</f>
        <v>Belgium_NMBS_Type_7</v>
      </c>
      <c r="C121" t="s">
        <v>720</v>
      </c>
      <c r="D121" t="s">
        <v>938</v>
      </c>
      <c r="E121">
        <v>4060</v>
      </c>
      <c r="F121" s="45" t="s">
        <v>1138</v>
      </c>
      <c r="G121" t="s">
        <v>2402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145</v>
      </c>
      <c r="B122" s="31" t="str">
        <f>_xlfn.TEXTAFTER(CONTROL[[#This Row],[VEHIDCODE]],"_")</f>
        <v>Ireland_DSER_15</v>
      </c>
      <c r="C122" t="s">
        <v>720</v>
      </c>
      <c r="D122" t="s">
        <v>938</v>
      </c>
      <c r="E122">
        <v>4061</v>
      </c>
      <c r="F122" s="45" t="s">
        <v>1139</v>
      </c>
      <c r="G122" t="s">
        <v>2403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146</v>
      </c>
      <c r="B123" s="31" t="str">
        <f>_xlfn.TEXTAFTER(CONTROL[[#This Row],[VEHIDCODE]],"_")</f>
        <v>USA_Sierra_Railroad_28</v>
      </c>
      <c r="C123" t="s">
        <v>720</v>
      </c>
      <c r="D123" t="s">
        <v>938</v>
      </c>
      <c r="E123">
        <v>4062</v>
      </c>
      <c r="F123" s="45" t="s">
        <v>1140</v>
      </c>
      <c r="G123" t="s">
        <v>2404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147</v>
      </c>
      <c r="B124" s="31" t="str">
        <f>_xlfn.TEXTAFTER(CONTROL[[#This Row],[VEHIDCODE]],"_")</f>
        <v>Canada_CN_U_1_Class</v>
      </c>
      <c r="C124" t="s">
        <v>720</v>
      </c>
      <c r="D124" t="s">
        <v>938</v>
      </c>
      <c r="E124">
        <v>4063</v>
      </c>
      <c r="F124" s="45" t="s">
        <v>2956</v>
      </c>
      <c r="G124" t="s">
        <v>2405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148</v>
      </c>
      <c r="B125" s="31" t="str">
        <f>_xlfn.TEXTAFTER(CONTROL[[#This Row],[VEHIDCODE]],"_")</f>
        <v>India_Indian_Railways_XB_Class</v>
      </c>
      <c r="C125" t="s">
        <v>720</v>
      </c>
      <c r="D125" t="s">
        <v>938</v>
      </c>
      <c r="E125">
        <v>4064</v>
      </c>
      <c r="F125" s="45" t="s">
        <v>1141</v>
      </c>
      <c r="G125" t="s">
        <v>2406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149</v>
      </c>
      <c r="B126" s="31" t="str">
        <f>_xlfn.TEXTAFTER(CONTROL[[#This Row],[VEHIDCODE]],"_")</f>
        <v>Iraq_Iraqi_State_Railways_PC_Class</v>
      </c>
      <c r="C126" t="s">
        <v>720</v>
      </c>
      <c r="D126" t="s">
        <v>938</v>
      </c>
      <c r="E126">
        <v>4065</v>
      </c>
      <c r="F126" s="45" t="s">
        <v>1142</v>
      </c>
      <c r="G126" t="s">
        <v>2407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150</v>
      </c>
      <c r="B127" s="31" t="str">
        <f>_xlfn.TEXTAFTER(CONTROL[[#This Row],[VEHIDCODE]],"_")</f>
        <v>Egypt_ENR_1100</v>
      </c>
      <c r="C127" t="s">
        <v>720</v>
      </c>
      <c r="D127" t="s">
        <v>938</v>
      </c>
      <c r="E127">
        <v>4066</v>
      </c>
      <c r="F127" s="45" t="s">
        <v>3019</v>
      </c>
      <c r="G127" t="s">
        <v>1740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151</v>
      </c>
      <c r="B128" s="31" t="str">
        <f>_xlfn.TEXTAFTER(CONTROL[[#This Row],[VEHIDCODE]],"_")</f>
        <v>UK_GWR_1600_Class</v>
      </c>
      <c r="C128" t="s">
        <v>720</v>
      </c>
      <c r="D128" t="s">
        <v>938</v>
      </c>
      <c r="E128">
        <v>4068</v>
      </c>
      <c r="F128" s="45" t="s">
        <v>1143</v>
      </c>
      <c r="G128" t="s">
        <v>2408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152</v>
      </c>
      <c r="B129" s="31" t="str">
        <f>_xlfn.TEXTAFTER(CONTROL[[#This Row],[VEHIDCODE]],"_")</f>
        <v>Australia_Victorian_Railways_R_Class</v>
      </c>
      <c r="C129" t="s">
        <v>720</v>
      </c>
      <c r="D129" t="s">
        <v>938</v>
      </c>
      <c r="E129">
        <v>4069</v>
      </c>
      <c r="F129" s="45" t="s">
        <v>1144</v>
      </c>
      <c r="G129" t="s">
        <v>2409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153</v>
      </c>
      <c r="B130" s="31" t="str">
        <f>_xlfn.TEXTAFTER(CONTROL[[#This Row],[VEHIDCODE]],"_")</f>
        <v>Germany_DB_9977_79</v>
      </c>
      <c r="C130" t="s">
        <v>720</v>
      </c>
      <c r="D130" t="s">
        <v>938</v>
      </c>
      <c r="E130">
        <v>4070</v>
      </c>
      <c r="F130" s="45" t="s">
        <v>1145</v>
      </c>
      <c r="G130" t="s">
        <v>2410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154</v>
      </c>
      <c r="B131" s="31" t="str">
        <f>_xlfn.TEXTAFTER(CONTROL[[#This Row],[VEHIDCODE]],"_")</f>
        <v>Germany_DB_18_201</v>
      </c>
      <c r="C131" t="s">
        <v>720</v>
      </c>
      <c r="D131" t="s">
        <v>938</v>
      </c>
      <c r="E131">
        <v>4071</v>
      </c>
      <c r="F131" s="45" t="s">
        <v>2951</v>
      </c>
      <c r="G131" t="s">
        <v>2950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155</v>
      </c>
      <c r="B132" s="31" t="str">
        <f>_xlfn.TEXTAFTER(CONTROL[[#This Row],[VEHIDCODE]],"_")</f>
        <v>New_Zealand_NZR_WAB</v>
      </c>
      <c r="C132" t="s">
        <v>720</v>
      </c>
      <c r="D132" t="s">
        <v>938</v>
      </c>
      <c r="E132">
        <v>4090</v>
      </c>
      <c r="F132" s="45" t="s">
        <v>1146</v>
      </c>
      <c r="G132" t="s">
        <v>2411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156</v>
      </c>
      <c r="B133" s="31" t="str">
        <f>_xlfn.TEXTAFTER(CONTROL[[#This Row],[VEHIDCODE]],"_")</f>
        <v>Australia_NSWGR_D57</v>
      </c>
      <c r="C133" t="s">
        <v>720</v>
      </c>
      <c r="D133" t="s">
        <v>938</v>
      </c>
      <c r="E133">
        <v>4095</v>
      </c>
      <c r="F133" s="45" t="s">
        <v>1147</v>
      </c>
      <c r="G133" t="s">
        <v>2412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157</v>
      </c>
      <c r="B134" s="31" t="str">
        <f>_xlfn.TEXTAFTER(CONTROL[[#This Row],[VEHIDCODE]],"_")</f>
        <v>Australia_South_Australian_Railways_520</v>
      </c>
      <c r="C134" t="s">
        <v>720</v>
      </c>
      <c r="D134" t="s">
        <v>938</v>
      </c>
      <c r="E134">
        <v>4101</v>
      </c>
      <c r="F134" s="45" t="s">
        <v>1148</v>
      </c>
      <c r="G134" t="s">
        <v>2413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158</v>
      </c>
      <c r="B135" s="31" t="str">
        <f>_xlfn.TEXTAFTER(CONTROL[[#This Row],[VEHIDCODE]],"_")</f>
        <v>Australia_NSWGR_AD60</v>
      </c>
      <c r="C135" t="s">
        <v>720</v>
      </c>
      <c r="D135" t="s">
        <v>938</v>
      </c>
      <c r="E135">
        <v>4105</v>
      </c>
      <c r="F135" s="45" t="s">
        <v>1149</v>
      </c>
      <c r="G135" t="s">
        <v>2414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159</v>
      </c>
      <c r="B136" s="31" t="str">
        <f>_xlfn.TEXTAFTER(CONTROL[[#This Row],[VEHIDCODE]],"_")</f>
        <v>Uruguay_AFE_N1_2_6_0</v>
      </c>
      <c r="C136" t="s">
        <v>720</v>
      </c>
      <c r="D136" t="s">
        <v>938</v>
      </c>
      <c r="E136">
        <v>4081</v>
      </c>
      <c r="F136" s="45" t="s">
        <v>1150</v>
      </c>
      <c r="G136" t="s">
        <v>2415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160</v>
      </c>
      <c r="B137" s="31" t="str">
        <f>_xlfn.TEXTAFTER(CONTROL[[#This Row],[VEHIDCODE]],"_")</f>
        <v>Argentina_FCCA_PS11</v>
      </c>
      <c r="C137" t="s">
        <v>720</v>
      </c>
      <c r="D137" t="s">
        <v>938</v>
      </c>
      <c r="E137">
        <v>4096</v>
      </c>
      <c r="F137" s="45" t="s">
        <v>1151</v>
      </c>
      <c r="G137" t="s">
        <v>2417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161</v>
      </c>
      <c r="B138" s="31" t="str">
        <f>_xlfn.TEXTAFTER(CONTROL[[#This Row],[VEHIDCODE]],"_")</f>
        <v>South_Africa_Harbour_Board_EL_0_4_0</v>
      </c>
      <c r="C138" t="s">
        <v>720</v>
      </c>
      <c r="D138" t="s">
        <v>938</v>
      </c>
      <c r="E138">
        <v>4074</v>
      </c>
      <c r="F138" s="45" t="s">
        <v>2418</v>
      </c>
      <c r="G138" t="s">
        <v>2419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162</v>
      </c>
      <c r="B139" s="31" t="str">
        <f>_xlfn.TEXTAFTER(CONTROL[[#This Row],[VEHIDCODE]],"_")</f>
        <v>Mozambique_Beira_Railway_BR6_F2_Falcon</v>
      </c>
      <c r="C139" t="s">
        <v>720</v>
      </c>
      <c r="D139" t="s">
        <v>938</v>
      </c>
      <c r="E139">
        <v>4078</v>
      </c>
      <c r="F139" s="45" t="s">
        <v>1152</v>
      </c>
      <c r="G139" t="s">
        <v>2420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163</v>
      </c>
      <c r="B140" s="31" t="str">
        <f>_xlfn.TEXTAFTER(CONTROL[[#This Row],[VEHIDCODE]],"_")</f>
        <v>Eritrea_Eritrean_Railway_R440</v>
      </c>
      <c r="C140" t="s">
        <v>720</v>
      </c>
      <c r="D140" t="s">
        <v>938</v>
      </c>
      <c r="E140">
        <v>4083</v>
      </c>
      <c r="F140" s="45" t="s">
        <v>1153</v>
      </c>
      <c r="G140" t="s">
        <v>2421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164</v>
      </c>
      <c r="B141" s="31" t="str">
        <f>_xlfn.TEXTAFTER(CONTROL[[#This Row],[VEHIDCODE]],"_")</f>
        <v>Kenya_East_African_Railway_23</v>
      </c>
      <c r="C141" t="s">
        <v>720</v>
      </c>
      <c r="D141" t="s">
        <v>938</v>
      </c>
      <c r="E141">
        <v>4088</v>
      </c>
      <c r="F141" s="45" t="s">
        <v>1154</v>
      </c>
      <c r="G141" t="s">
        <v>2422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165</v>
      </c>
      <c r="B142" s="31" t="str">
        <f>_xlfn.TEXTAFTER(CONTROL[[#This Row],[VEHIDCODE]],"_")</f>
        <v>Kenya_East_African_Railway_21</v>
      </c>
      <c r="C142" t="s">
        <v>720</v>
      </c>
      <c r="D142" t="s">
        <v>938</v>
      </c>
      <c r="E142">
        <v>4093</v>
      </c>
      <c r="F142" s="45" t="s">
        <v>1155</v>
      </c>
      <c r="G142" t="s">
        <v>2423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166</v>
      </c>
      <c r="B143" s="31" t="str">
        <f>_xlfn.TEXTAFTER(CONTROL[[#This Row],[VEHIDCODE]],"_")</f>
        <v>Zimbabwe_Zimbabwe_Railways_15</v>
      </c>
      <c r="C143" t="s">
        <v>720</v>
      </c>
      <c r="D143" t="s">
        <v>938</v>
      </c>
      <c r="E143">
        <v>4098</v>
      </c>
      <c r="F143" s="45" t="s">
        <v>1156</v>
      </c>
      <c r="G143" t="s">
        <v>2424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167</v>
      </c>
      <c r="B144" s="31" t="str">
        <f>_xlfn.TEXTAFTER(CONTROL[[#This Row],[VEHIDCODE]],"_")</f>
        <v>South_Africa_SAR_GMA_4_8_2_2_8_4</v>
      </c>
      <c r="C144" t="s">
        <v>720</v>
      </c>
      <c r="D144" t="s">
        <v>938</v>
      </c>
      <c r="E144">
        <v>4106</v>
      </c>
      <c r="F144" s="45" t="s">
        <v>1157</v>
      </c>
      <c r="G144" t="s">
        <v>2425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168</v>
      </c>
      <c r="B145" s="31" t="str">
        <f>_xlfn.TEXTAFTER(CONTROL[[#This Row],[VEHIDCODE]],"_")</f>
        <v>Kenya_East_African_Railway_31</v>
      </c>
      <c r="C145" t="s">
        <v>720</v>
      </c>
      <c r="D145" t="s">
        <v>938</v>
      </c>
      <c r="E145">
        <v>4107</v>
      </c>
      <c r="F145" s="45" t="s">
        <v>1158</v>
      </c>
      <c r="G145" t="s">
        <v>2426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169</v>
      </c>
      <c r="B146" s="31" t="str">
        <f>_xlfn.TEXTAFTER(CONTROL[[#This Row],[VEHIDCODE]],"_")</f>
        <v>India_Fairy_Queen</v>
      </c>
      <c r="C146" t="s">
        <v>720</v>
      </c>
      <c r="D146" t="s">
        <v>938</v>
      </c>
      <c r="E146">
        <v>4073</v>
      </c>
      <c r="F146" s="45" t="s">
        <v>2947</v>
      </c>
      <c r="G146" t="s">
        <v>2427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170</v>
      </c>
      <c r="B147" s="31" t="str">
        <f>_xlfn.TEXTAFTER(CONTROL[[#This Row],[VEHIDCODE]],"_")</f>
        <v>India_DHR_B</v>
      </c>
      <c r="C147" t="s">
        <v>720</v>
      </c>
      <c r="D147" t="s">
        <v>938</v>
      </c>
      <c r="E147">
        <v>4076</v>
      </c>
      <c r="F147" s="45" t="s">
        <v>1159</v>
      </c>
      <c r="G147" t="s">
        <v>2428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171</v>
      </c>
      <c r="B148" s="31" t="str">
        <f>_xlfn.TEXTAFTER(CONTROL[[#This Row],[VEHIDCODE]],"_")</f>
        <v>China_China_Railways_H</v>
      </c>
      <c r="C148" t="s">
        <v>720</v>
      </c>
      <c r="D148" t="s">
        <v>938</v>
      </c>
      <c r="E148">
        <v>4079</v>
      </c>
      <c r="F148" s="45" t="s">
        <v>1747</v>
      </c>
      <c r="G148" t="s">
        <v>2429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172</v>
      </c>
      <c r="B149" s="31" t="str">
        <f>_xlfn.TEXTAFTER(CONTROL[[#This Row],[VEHIDCODE]],"_")</f>
        <v>Russia_RZD_U</v>
      </c>
      <c r="C149" t="s">
        <v>720</v>
      </c>
      <c r="D149" t="s">
        <v>938</v>
      </c>
      <c r="E149">
        <v>4080</v>
      </c>
      <c r="F149" s="45" t="s">
        <v>1160</v>
      </c>
      <c r="G149" t="s">
        <v>2431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173</v>
      </c>
      <c r="B150" s="31" t="str">
        <f>_xlfn.TEXTAFTER(CONTROL[[#This Row],[VEHIDCODE]],"_")</f>
        <v>Russia_RZD_E</v>
      </c>
      <c r="C150" t="s">
        <v>720</v>
      </c>
      <c r="D150" t="s">
        <v>938</v>
      </c>
      <c r="E150">
        <v>4085</v>
      </c>
      <c r="F150" s="45" t="s">
        <v>1161</v>
      </c>
      <c r="G150" t="s">
        <v>2430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174</v>
      </c>
      <c r="B151" s="31" t="str">
        <f>_xlfn.TEXTAFTER(CONTROL[[#This Row],[VEHIDCODE]],"_")</f>
        <v>Israel_Israel_Railways_H</v>
      </c>
      <c r="C151" t="s">
        <v>720</v>
      </c>
      <c r="D151" t="s">
        <v>938</v>
      </c>
      <c r="E151">
        <v>4087</v>
      </c>
      <c r="F151" s="45" t="s">
        <v>2433</v>
      </c>
      <c r="G151" t="s">
        <v>2432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175</v>
      </c>
      <c r="B152" s="31" t="str">
        <f>_xlfn.TEXTAFTER(CONTROL[[#This Row],[VEHIDCODE]],"_")</f>
        <v>Italy_FS_480</v>
      </c>
      <c r="C152" t="s">
        <v>720</v>
      </c>
      <c r="D152" t="s">
        <v>938</v>
      </c>
      <c r="E152">
        <v>4089</v>
      </c>
      <c r="F152" s="45" t="s">
        <v>1162</v>
      </c>
      <c r="G152" t="s">
        <v>2434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176</v>
      </c>
      <c r="B153" s="31" t="str">
        <f>_xlfn.TEXTAFTER(CONTROL[[#This Row],[VEHIDCODE]],"_")</f>
        <v>Italy_FS_691</v>
      </c>
      <c r="C153" t="s">
        <v>720</v>
      </c>
      <c r="D153" t="s">
        <v>938</v>
      </c>
      <c r="E153">
        <v>4094</v>
      </c>
      <c r="F153" s="45" t="s">
        <v>1163</v>
      </c>
      <c r="G153" t="s">
        <v>2435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177</v>
      </c>
      <c r="B154" s="31" t="str">
        <f>_xlfn.TEXTAFTER(CONTROL[[#This Row],[VEHIDCODE]],"_")</f>
        <v>Greece_SEK_Lb</v>
      </c>
      <c r="C154" t="s">
        <v>720</v>
      </c>
      <c r="D154" t="s">
        <v>938</v>
      </c>
      <c r="E154">
        <v>4100</v>
      </c>
      <c r="F154" s="45" t="s">
        <v>1164</v>
      </c>
      <c r="G154" t="s">
        <v>2436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178</v>
      </c>
      <c r="B155" s="31" t="str">
        <f>_xlfn.TEXTAFTER(CONTROL[[#This Row],[VEHIDCODE]],"_")</f>
        <v>Albania_HSH_01</v>
      </c>
      <c r="C155" t="s">
        <v>720</v>
      </c>
      <c r="D155" t="s">
        <v>938</v>
      </c>
      <c r="E155">
        <v>4103</v>
      </c>
      <c r="F155" s="45" t="s">
        <v>1165</v>
      </c>
      <c r="G155" t="s">
        <v>2437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179</v>
      </c>
      <c r="B156" s="31" t="str">
        <f>_xlfn.TEXTAFTER(CONTROL[[#This Row],[VEHIDCODE]],"_")</f>
        <v>Spain_RENFE_242F</v>
      </c>
      <c r="C156" t="s">
        <v>720</v>
      </c>
      <c r="D156" t="s">
        <v>938</v>
      </c>
      <c r="E156">
        <v>4108</v>
      </c>
      <c r="F156" s="45" t="s">
        <v>1166</v>
      </c>
      <c r="G156" t="s">
        <v>2438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180</v>
      </c>
      <c r="B157" s="31" t="str">
        <f>_xlfn.TEXTAFTER(CONTROL[[#This Row],[VEHIDCODE]],"_")</f>
        <v>Czech_Republic_CD_5341</v>
      </c>
      <c r="C157" t="s">
        <v>720</v>
      </c>
      <c r="D157" t="s">
        <v>938</v>
      </c>
      <c r="E157">
        <v>4082</v>
      </c>
      <c r="F157" s="45" t="s">
        <v>3055</v>
      </c>
      <c r="G157" t="s">
        <v>2439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181</v>
      </c>
      <c r="B158" s="31" t="str">
        <f>_xlfn.TEXTAFTER(CONTROL[[#This Row],[VEHIDCODE]],"_")</f>
        <v>Poland_PKP_Ok22</v>
      </c>
      <c r="C158" t="s">
        <v>720</v>
      </c>
      <c r="D158" t="s">
        <v>938</v>
      </c>
      <c r="E158">
        <v>4091</v>
      </c>
      <c r="F158" s="45" t="s">
        <v>1167</v>
      </c>
      <c r="G158" t="s">
        <v>2440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182</v>
      </c>
      <c r="B159" s="31" t="str">
        <f>_xlfn.TEXTAFTER(CONTROL[[#This Row],[VEHIDCODE]],"_")</f>
        <v>Croatia_HZ_11</v>
      </c>
      <c r="C159" t="s">
        <v>720</v>
      </c>
      <c r="D159" t="s">
        <v>938</v>
      </c>
      <c r="E159">
        <v>4092</v>
      </c>
      <c r="F159" s="45" t="s">
        <v>3044</v>
      </c>
      <c r="G159" t="s">
        <v>2441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183</v>
      </c>
      <c r="B160" s="31" t="str">
        <f>_xlfn.TEXTAFTER(CONTROL[[#This Row],[VEHIDCODE]],"_")</f>
        <v>Hungary_MAV_242</v>
      </c>
      <c r="C160" t="s">
        <v>720</v>
      </c>
      <c r="D160" t="s">
        <v>938</v>
      </c>
      <c r="E160">
        <v>4097</v>
      </c>
      <c r="F160" s="45" t="s">
        <v>3045</v>
      </c>
      <c r="G160" t="s">
        <v>2442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184</v>
      </c>
      <c r="B161" s="31" t="str">
        <f>_xlfn.TEXTAFTER(CONTROL[[#This Row],[VEHIDCODE]],"_")</f>
        <v>Czech_Republic_CD_4590</v>
      </c>
      <c r="C161" t="s">
        <v>720</v>
      </c>
      <c r="D161" t="s">
        <v>938</v>
      </c>
      <c r="E161">
        <v>4102</v>
      </c>
      <c r="F161" s="45" t="s">
        <v>3056</v>
      </c>
      <c r="G161" t="s">
        <v>2955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185</v>
      </c>
      <c r="B162" s="31" t="str">
        <f>_xlfn.TEXTAFTER(CONTROL[[#This Row],[VEHIDCODE]],"_")</f>
        <v>Poland_PKP_OI49</v>
      </c>
      <c r="C162" t="s">
        <v>720</v>
      </c>
      <c r="D162" t="s">
        <v>938</v>
      </c>
      <c r="E162">
        <v>4104</v>
      </c>
      <c r="F162" s="45" t="s">
        <v>1168</v>
      </c>
      <c r="G162" t="s">
        <v>2443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186</v>
      </c>
      <c r="B163" s="31" t="str">
        <f>_xlfn.TEXTAFTER(CONTROL[[#This Row],[VEHIDCODE]],"_")</f>
        <v>Austria_KKStB_310</v>
      </c>
      <c r="C163" t="s">
        <v>720</v>
      </c>
      <c r="D163" t="s">
        <v>938</v>
      </c>
      <c r="E163">
        <v>4084</v>
      </c>
      <c r="F163" s="45" t="s">
        <v>3069</v>
      </c>
      <c r="G163" t="s">
        <v>2444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187</v>
      </c>
      <c r="B164" s="31" t="str">
        <f>_xlfn.TEXTAFTER(CONTROL[[#This Row],[VEHIDCODE]],"_")</f>
        <v>USA_Southern_Pacific_GS_4_Daylight</v>
      </c>
      <c r="C164" t="s">
        <v>720</v>
      </c>
      <c r="D164" t="s">
        <v>938</v>
      </c>
      <c r="E164">
        <v>4099</v>
      </c>
      <c r="F164" s="45" t="s">
        <v>1169</v>
      </c>
      <c r="G164" t="s">
        <v>2445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188</v>
      </c>
      <c r="B165" s="31" t="str">
        <f>_xlfn.TEXTAFTER(CONTROL[[#This Row],[VEHIDCODE]],"_")</f>
        <v>Ireland_GS_WR_101</v>
      </c>
      <c r="C165" t="s">
        <v>720</v>
      </c>
      <c r="D165" t="s">
        <v>938</v>
      </c>
      <c r="E165">
        <v>4109</v>
      </c>
      <c r="F165" s="45" t="s">
        <v>1170</v>
      </c>
      <c r="G165" t="s">
        <v>2446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189</v>
      </c>
      <c r="B166" s="31" t="str">
        <f>_xlfn.TEXTAFTER(CONTROL[[#This Row],[VEHIDCODE]],"_")</f>
        <v>USA_NYC_H_6A_Light_Mikado</v>
      </c>
      <c r="C166" t="s">
        <v>720</v>
      </c>
      <c r="D166" t="s">
        <v>938</v>
      </c>
      <c r="E166">
        <v>4110</v>
      </c>
      <c r="F166" s="45" t="s">
        <v>1171</v>
      </c>
      <c r="G166" t="s">
        <v>2447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190</v>
      </c>
      <c r="B167" s="31" t="str">
        <f>_xlfn.TEXTAFTER(CONTROL[[#This Row],[VEHIDCODE]],"_")</f>
        <v>Argentina_FCGR_315</v>
      </c>
      <c r="C167" t="s">
        <v>720</v>
      </c>
      <c r="D167" t="s">
        <v>938</v>
      </c>
      <c r="E167">
        <v>4112</v>
      </c>
      <c r="F167" s="45" t="s">
        <v>3020</v>
      </c>
      <c r="G167" t="s">
        <v>2448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191</v>
      </c>
      <c r="B168" s="31" t="str">
        <f>_xlfn.TEXTAFTER(CONTROL[[#This Row],[VEHIDCODE]],"_")</f>
        <v>Australia_NSWGR_C35</v>
      </c>
      <c r="C168" t="s">
        <v>720</v>
      </c>
      <c r="D168" t="s">
        <v>938</v>
      </c>
      <c r="E168">
        <v>4113</v>
      </c>
      <c r="F168" s="45" t="s">
        <v>1172</v>
      </c>
      <c r="G168" t="s">
        <v>2449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192</v>
      </c>
      <c r="B169" s="31" t="str">
        <f>_xlfn.TEXTAFTER(CONTROL[[#This Row],[VEHIDCODE]],"_")</f>
        <v>Belgium_NMBS_SNCB_Type_29</v>
      </c>
      <c r="C169" t="s">
        <v>720</v>
      </c>
      <c r="D169" t="s">
        <v>938</v>
      </c>
      <c r="E169">
        <v>4114</v>
      </c>
      <c r="F169" s="45" t="s">
        <v>1173</v>
      </c>
      <c r="G169" t="s">
        <v>2450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193</v>
      </c>
      <c r="B170" s="31" t="str">
        <f>_xlfn.TEXTAFTER(CONTROL[[#This Row],[VEHIDCODE]],"_")</f>
        <v>Chile_FCAB_4_8_2</v>
      </c>
      <c r="C170" t="s">
        <v>720</v>
      </c>
      <c r="D170" t="s">
        <v>938</v>
      </c>
      <c r="E170">
        <v>4115</v>
      </c>
      <c r="F170" s="45" t="s">
        <v>2451</v>
      </c>
      <c r="G170" t="s">
        <v>2452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194</v>
      </c>
      <c r="B171" s="31" t="str">
        <f>_xlfn.TEXTAFTER(CONTROL[[#This Row],[VEHIDCODE]],"_")</f>
        <v>China_Railways_QJ</v>
      </c>
      <c r="C171" t="s">
        <v>720</v>
      </c>
      <c r="D171" t="s">
        <v>938</v>
      </c>
      <c r="E171">
        <v>4116</v>
      </c>
      <c r="F171" s="45" t="s">
        <v>1174</v>
      </c>
      <c r="G171" t="s">
        <v>2453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195</v>
      </c>
      <c r="B172" s="31" t="str">
        <f>_xlfn.TEXTAFTER(CONTROL[[#This Row],[VEHIDCODE]],"_")</f>
        <v>Germany_DB_Kof_II</v>
      </c>
      <c r="C172" t="s">
        <v>721</v>
      </c>
      <c r="D172" t="s">
        <v>940</v>
      </c>
      <c r="E172">
        <v>5000</v>
      </c>
      <c r="F172" s="45" t="s">
        <v>1175</v>
      </c>
      <c r="G172" t="s">
        <v>2454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196</v>
      </c>
      <c r="B173" s="31" t="str">
        <f>_xlfn.TEXTAFTER(CONTROL[[#This Row],[VEHIDCODE]],"_")</f>
        <v>USA_CNJ_ALCo_GE_IR_Boxcab</v>
      </c>
      <c r="C173" t="s">
        <v>721</v>
      </c>
      <c r="D173" t="s">
        <v>940</v>
      </c>
      <c r="E173">
        <v>5001</v>
      </c>
      <c r="F173" s="45" t="s">
        <v>2455</v>
      </c>
      <c r="G173" t="s">
        <v>2457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197</v>
      </c>
      <c r="B174" s="31" t="str">
        <f>_xlfn.TEXTAFTER(CONTROL[[#This Row],[VEHIDCODE]],"_")</f>
        <v>Netherlands_NS_200</v>
      </c>
      <c r="C174" t="s">
        <v>721</v>
      </c>
      <c r="D174" t="s">
        <v>940</v>
      </c>
      <c r="E174">
        <v>5002</v>
      </c>
      <c r="F174" s="45" t="s">
        <v>1176</v>
      </c>
      <c r="G174" t="s">
        <v>2456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198</v>
      </c>
      <c r="B175" s="31" t="str">
        <f>_xlfn.TEXTAFTER(CONTROL[[#This Row],[VEHIDCODE]],"_")</f>
        <v>Germany_DB_270</v>
      </c>
      <c r="C175" t="s">
        <v>721</v>
      </c>
      <c r="D175" t="s">
        <v>940</v>
      </c>
      <c r="E175">
        <v>5003</v>
      </c>
      <c r="F175" s="45" t="s">
        <v>1177</v>
      </c>
      <c r="G175" t="s">
        <v>2458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199</v>
      </c>
      <c r="B176" s="31" t="str">
        <f>_xlfn.TEXTAFTER(CONTROL[[#This Row],[VEHIDCODE]],"_")</f>
        <v>Switzerland_SBB_Am_4_6</v>
      </c>
      <c r="C176" t="s">
        <v>721</v>
      </c>
      <c r="D176" t="s">
        <v>940</v>
      </c>
      <c r="E176">
        <v>5004</v>
      </c>
      <c r="F176" s="45" t="s">
        <v>1178</v>
      </c>
      <c r="G176" t="s">
        <v>2459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200</v>
      </c>
      <c r="B177" s="31" t="str">
        <f>_xlfn.TEXTAFTER(CONTROL[[#This Row],[VEHIDCODE]],"_")</f>
        <v>Australia_NSWGR_79</v>
      </c>
      <c r="C177" t="s">
        <v>721</v>
      </c>
      <c r="D177" t="s">
        <v>940</v>
      </c>
      <c r="E177">
        <v>5005</v>
      </c>
      <c r="F177" s="45" t="s">
        <v>1179</v>
      </c>
      <c r="G177" t="s">
        <v>2460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201</v>
      </c>
      <c r="B178" s="31" t="str">
        <f>_xlfn.TEXTAFTER(CONTROL[[#This Row],[VEHIDCODE]],"_")</f>
        <v>USA_Western_Pacific_ALCO_S_2</v>
      </c>
      <c r="C178" t="s">
        <v>721</v>
      </c>
      <c r="D178" t="s">
        <v>940</v>
      </c>
      <c r="E178">
        <v>5006</v>
      </c>
      <c r="F178" s="45" t="s">
        <v>1180</v>
      </c>
      <c r="G178" t="s">
        <v>2462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202</v>
      </c>
      <c r="B179" s="31" t="str">
        <f>_xlfn.TEXTAFTER(CONTROL[[#This Row],[VEHIDCODE]],"_")</f>
        <v>USA_AT_SF_EMD_F3</v>
      </c>
      <c r="C179" t="s">
        <v>721</v>
      </c>
      <c r="D179" t="s">
        <v>940</v>
      </c>
      <c r="E179">
        <v>5007</v>
      </c>
      <c r="F179" s="45" t="s">
        <v>1181</v>
      </c>
      <c r="G179" t="s">
        <v>2461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203</v>
      </c>
      <c r="B180" s="31" t="str">
        <f>_xlfn.TEXTAFTER(CONTROL[[#This Row],[VEHIDCODE]],"_")</f>
        <v>USA_UP_EMD_E8</v>
      </c>
      <c r="C180" t="s">
        <v>721</v>
      </c>
      <c r="D180" t="s">
        <v>940</v>
      </c>
      <c r="E180">
        <v>5008</v>
      </c>
      <c r="F180" s="45" t="s">
        <v>1182</v>
      </c>
      <c r="G180" t="s">
        <v>2464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204</v>
      </c>
      <c r="B181" s="31" t="str">
        <f>_xlfn.TEXTAFTER(CONTROL[[#This Row],[VEHIDCODE]],"_")</f>
        <v>Brazil_EFCB_ALCO_RS_3</v>
      </c>
      <c r="C181" t="s">
        <v>721</v>
      </c>
      <c r="D181" t="s">
        <v>940</v>
      </c>
      <c r="E181">
        <v>5009</v>
      </c>
      <c r="F181" s="45" t="s">
        <v>1183</v>
      </c>
      <c r="G181" t="s">
        <v>2466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205</v>
      </c>
      <c r="B182" s="31" t="str">
        <f>_xlfn.TEXTAFTER(CONTROL[[#This Row],[VEHIDCODE]],"_")</f>
        <v>Netherlands_NS_600</v>
      </c>
      <c r="C182" t="s">
        <v>721</v>
      </c>
      <c r="D182" t="s">
        <v>940</v>
      </c>
      <c r="E182">
        <v>5010</v>
      </c>
      <c r="F182" s="45" t="s">
        <v>1184</v>
      </c>
      <c r="G182" t="s">
        <v>2467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206</v>
      </c>
      <c r="B183" s="31" t="str">
        <f>_xlfn.TEXTAFTER(CONTROL[[#This Row],[VEHIDCODE]],"_")</f>
        <v>USA_Pennsylvania_Railroad_RF_16_Sharknose</v>
      </c>
      <c r="C183" t="s">
        <v>721</v>
      </c>
      <c r="D183" t="s">
        <v>940</v>
      </c>
      <c r="E183">
        <v>5100</v>
      </c>
      <c r="F183" s="45" t="s">
        <v>1185</v>
      </c>
      <c r="G183" t="s">
        <v>2468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207</v>
      </c>
      <c r="B184" s="31" t="str">
        <f>_xlfn.TEXTAFTER(CONTROL[[#This Row],[VEHIDCODE]],"_")</f>
        <v>Uruguay_AFE_1500</v>
      </c>
      <c r="C184" t="s">
        <v>721</v>
      </c>
      <c r="D184" t="s">
        <v>940</v>
      </c>
      <c r="E184">
        <v>5012</v>
      </c>
      <c r="F184" s="45" t="s">
        <v>1186</v>
      </c>
      <c r="G184" t="s">
        <v>2415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208</v>
      </c>
      <c r="B185" s="31" t="str">
        <f>_xlfn.TEXTAFTER(CONTROL[[#This Row],[VEHIDCODE]],"_")</f>
        <v>Canada_CPR_Trainmaster</v>
      </c>
      <c r="C185" t="s">
        <v>721</v>
      </c>
      <c r="D185" t="s">
        <v>940</v>
      </c>
      <c r="E185">
        <v>5013</v>
      </c>
      <c r="F185" s="45" t="s">
        <v>2469</v>
      </c>
      <c r="G185" t="s">
        <v>2470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209</v>
      </c>
      <c r="B186" s="31" t="str">
        <f>_xlfn.TEXTAFTER(CONTROL[[#This Row],[VEHIDCODE]],"_")</f>
        <v>Liberia_Liberia_Railways_Class_08</v>
      </c>
      <c r="C186" t="s">
        <v>721</v>
      </c>
      <c r="D186" t="s">
        <v>940</v>
      </c>
      <c r="E186">
        <v>5014</v>
      </c>
      <c r="F186" s="45" t="s">
        <v>3095</v>
      </c>
      <c r="G186" t="s">
        <v>2471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210</v>
      </c>
      <c r="B187" s="31" t="str">
        <f>_xlfn.TEXTAFTER(CONTROL[[#This Row],[VEHIDCODE]],"_")</f>
        <v>Austria_OBB_2060</v>
      </c>
      <c r="C187" t="s">
        <v>721</v>
      </c>
      <c r="D187" t="s">
        <v>940</v>
      </c>
      <c r="E187">
        <v>5015</v>
      </c>
      <c r="F187" s="45" t="s">
        <v>3034</v>
      </c>
      <c r="G187" t="s">
        <v>2472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211</v>
      </c>
      <c r="B188" s="31" t="str">
        <f>_xlfn.TEXTAFTER(CONTROL[[#This Row],[VEHIDCODE]],"_")</f>
        <v>Canada_CNR_SW1200</v>
      </c>
      <c r="C188" t="s">
        <v>721</v>
      </c>
      <c r="D188" t="s">
        <v>940</v>
      </c>
      <c r="E188">
        <v>5016</v>
      </c>
      <c r="F188" s="45" t="s">
        <v>1187</v>
      </c>
      <c r="G188" t="s">
        <v>2473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212</v>
      </c>
      <c r="B189" s="31" t="str">
        <f>_xlfn.TEXTAFTER(CONTROL[[#This Row],[VEHIDCODE]],"_")</f>
        <v>Canada_VIA_Rail_FP9</v>
      </c>
      <c r="C189" t="s">
        <v>721</v>
      </c>
      <c r="D189" t="s">
        <v>940</v>
      </c>
      <c r="E189">
        <v>5017</v>
      </c>
      <c r="F189" s="45" t="s">
        <v>1188</v>
      </c>
      <c r="G189" t="s">
        <v>2474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213</v>
      </c>
      <c r="B190" s="31" t="str">
        <f>_xlfn.TEXTAFTER(CONTROL[[#This Row],[VEHIDCODE]],"_")</f>
        <v>Hungary_MAV_M44</v>
      </c>
      <c r="C190" t="s">
        <v>721</v>
      </c>
      <c r="D190" t="s">
        <v>940</v>
      </c>
      <c r="E190">
        <v>5018</v>
      </c>
      <c r="F190" s="45" t="s">
        <v>3046</v>
      </c>
      <c r="G190" t="s">
        <v>2463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214</v>
      </c>
      <c r="B191" s="31" t="str">
        <f>_xlfn.TEXTAFTER(CONTROL[[#This Row],[VEHIDCODE]],"_")</f>
        <v>Hungary_MAV_M28</v>
      </c>
      <c r="C191" t="s">
        <v>721</v>
      </c>
      <c r="D191" t="s">
        <v>940</v>
      </c>
      <c r="E191">
        <v>5019</v>
      </c>
      <c r="F191" s="45" t="s">
        <v>3047</v>
      </c>
      <c r="G191" t="s">
        <v>2475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215</v>
      </c>
      <c r="B192" s="31" t="str">
        <f>_xlfn.TEXTAFTER(CONTROL[[#This Row],[VEHIDCODE]],"_")</f>
        <v>Belgium_NMBS_SNCB_83</v>
      </c>
      <c r="C192" t="s">
        <v>721</v>
      </c>
      <c r="D192" t="s">
        <v>940</v>
      </c>
      <c r="E192">
        <v>5020</v>
      </c>
      <c r="F192" s="45" t="s">
        <v>1189</v>
      </c>
      <c r="G192" t="s">
        <v>2476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216</v>
      </c>
      <c r="B193" s="31" t="str">
        <f>_xlfn.TEXTAFTER(CONTROL[[#This Row],[VEHIDCODE]],"_")</f>
        <v>Germany_DB_220</v>
      </c>
      <c r="C193" t="s">
        <v>721</v>
      </c>
      <c r="D193" t="s">
        <v>940</v>
      </c>
      <c r="E193">
        <v>5021</v>
      </c>
      <c r="F193" s="45" t="s">
        <v>1190</v>
      </c>
      <c r="G193" t="s">
        <v>2477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217</v>
      </c>
      <c r="B194" s="31" t="str">
        <f>_xlfn.TEXTAFTER(CONTROL[[#This Row],[VEHIDCODE]],"_")</f>
        <v>USA_Amtrak_FL9</v>
      </c>
      <c r="C194" t="s">
        <v>721</v>
      </c>
      <c r="D194" t="s">
        <v>940</v>
      </c>
      <c r="E194">
        <v>5022</v>
      </c>
      <c r="F194" s="45" t="s">
        <v>1191</v>
      </c>
      <c r="G194" t="s">
        <v>2478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218</v>
      </c>
      <c r="B195" s="31" t="str">
        <f>_xlfn.TEXTAFTER(CONTROL[[#This Row],[VEHIDCODE]],"_")</f>
        <v>Czech_Republic_CD_720_ChME2</v>
      </c>
      <c r="C195" t="s">
        <v>721</v>
      </c>
      <c r="D195" t="s">
        <v>940</v>
      </c>
      <c r="E195">
        <v>5023</v>
      </c>
      <c r="F195" s="45" t="s">
        <v>3057</v>
      </c>
      <c r="G195" t="s">
        <v>2479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219</v>
      </c>
      <c r="B196" s="31" t="str">
        <f>_xlfn.TEXTAFTER(CONTROL[[#This Row],[VEHIDCODE]],"_")</f>
        <v>Finland_VR_Dr12</v>
      </c>
      <c r="C196" t="s">
        <v>721</v>
      </c>
      <c r="D196" t="s">
        <v>940</v>
      </c>
      <c r="E196">
        <v>5024</v>
      </c>
      <c r="F196" s="45" t="s">
        <v>1192</v>
      </c>
      <c r="G196" t="s">
        <v>2480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220</v>
      </c>
      <c r="B197" s="31" t="str">
        <f>_xlfn.TEXTAFTER(CONTROL[[#This Row],[VEHIDCODE]],"_")</f>
        <v>Romania_CFR_060_DA</v>
      </c>
      <c r="C197" t="s">
        <v>721</v>
      </c>
      <c r="D197" t="s">
        <v>940</v>
      </c>
      <c r="E197">
        <v>5025</v>
      </c>
      <c r="F197" s="45" t="s">
        <v>1193</v>
      </c>
      <c r="G197" t="s">
        <v>2481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221</v>
      </c>
      <c r="B198" s="31" t="str">
        <f>_xlfn.TEXTAFTER(CONTROL[[#This Row],[VEHIDCODE]],"_")</f>
        <v>Brazil_BF_EMD_GL8</v>
      </c>
      <c r="C198" t="s">
        <v>721</v>
      </c>
      <c r="D198" t="s">
        <v>940</v>
      </c>
      <c r="E198">
        <v>5026</v>
      </c>
      <c r="F198" s="45" t="s">
        <v>1194</v>
      </c>
      <c r="G198" t="s">
        <v>2482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222</v>
      </c>
      <c r="B199" s="31" t="str">
        <f>_xlfn.TEXTAFTER(CONTROL[[#This Row],[VEHIDCODE]],"_")</f>
        <v>Brazil_EFVM_ML4000</v>
      </c>
      <c r="C199" t="s">
        <v>721</v>
      </c>
      <c r="D199" t="s">
        <v>940</v>
      </c>
      <c r="E199">
        <v>5027</v>
      </c>
      <c r="F199" s="45" t="s">
        <v>1195</v>
      </c>
      <c r="G199" t="s">
        <v>2483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223</v>
      </c>
      <c r="B200" s="31" t="str">
        <f>_xlfn.TEXTAFTER(CONTROL[[#This Row],[VEHIDCODE]],"_")</f>
        <v>Russia_RZD_TEP60</v>
      </c>
      <c r="C200" t="s">
        <v>721</v>
      </c>
      <c r="D200" t="s">
        <v>940</v>
      </c>
      <c r="E200">
        <v>5028</v>
      </c>
      <c r="F200" s="45" t="s">
        <v>1196</v>
      </c>
      <c r="G200" t="s">
        <v>2484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224</v>
      </c>
      <c r="B201" s="31" t="str">
        <f>_xlfn.TEXTAFTER(CONTROL[[#This Row],[VEHIDCODE]],"_")</f>
        <v>Belgium_NMBS_SNCB_62</v>
      </c>
      <c r="C201" t="s">
        <v>721</v>
      </c>
      <c r="D201" t="s">
        <v>940</v>
      </c>
      <c r="E201">
        <v>5029</v>
      </c>
      <c r="F201" s="45" t="s">
        <v>1197</v>
      </c>
      <c r="G201" t="s">
        <v>2485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225</v>
      </c>
      <c r="B202" s="31" t="str">
        <f>_xlfn.TEXTAFTER(CONTROL[[#This Row],[VEHIDCODE]],"_")</f>
        <v>Denmark_DSB_MaK_100</v>
      </c>
      <c r="C202" t="s">
        <v>721</v>
      </c>
      <c r="D202" t="s">
        <v>940</v>
      </c>
      <c r="E202">
        <v>5030</v>
      </c>
      <c r="F202" s="45" t="s">
        <v>1198</v>
      </c>
      <c r="G202" t="s">
        <v>2486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226</v>
      </c>
      <c r="B203" s="31" t="str">
        <f>_xlfn.TEXTAFTER(CONTROL[[#This Row],[VEHIDCODE]],"_")</f>
        <v>India_Indian_Railways_WDM_2</v>
      </c>
      <c r="C203" t="s">
        <v>721</v>
      </c>
      <c r="D203" t="s">
        <v>940</v>
      </c>
      <c r="E203">
        <v>5031</v>
      </c>
      <c r="F203" s="45" t="s">
        <v>1199</v>
      </c>
      <c r="G203" t="s">
        <v>2487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227</v>
      </c>
      <c r="B204" s="31" t="str">
        <f>_xlfn.TEXTAFTER(CONTROL[[#This Row],[VEHIDCODE]],"_")</f>
        <v>UK_BR_14</v>
      </c>
      <c r="C204" t="s">
        <v>721</v>
      </c>
      <c r="D204" t="s">
        <v>940</v>
      </c>
      <c r="E204">
        <v>5032</v>
      </c>
      <c r="F204" s="45" t="s">
        <v>1200</v>
      </c>
      <c r="G204" t="s">
        <v>2488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228</v>
      </c>
      <c r="B205" s="31" t="str">
        <f>_xlfn.TEXTAFTER(CONTROL[[#This Row],[VEHIDCODE]],"_")</f>
        <v>Russia_RZD_ChME3</v>
      </c>
      <c r="C205" t="s">
        <v>721</v>
      </c>
      <c r="D205" t="s">
        <v>940</v>
      </c>
      <c r="E205">
        <v>5033</v>
      </c>
      <c r="F205" s="45" t="s">
        <v>1201</v>
      </c>
      <c r="G205" t="s">
        <v>2489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229</v>
      </c>
      <c r="B206" s="31" t="str">
        <f>_xlfn.TEXTAFTER(CONTROL[[#This Row],[VEHIDCODE]],"_")</f>
        <v>Argentina_MF_GM_EMD_J16CW_AC</v>
      </c>
      <c r="C206" t="s">
        <v>721</v>
      </c>
      <c r="D206" t="s">
        <v>940</v>
      </c>
      <c r="E206">
        <v>5034</v>
      </c>
      <c r="F206" s="45" t="s">
        <v>3105</v>
      </c>
      <c r="G206" t="s">
        <v>2490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230</v>
      </c>
      <c r="B207" s="31" t="str">
        <f>_xlfn.TEXTAFTER(CONTROL[[#This Row],[VEHIDCODE]],"_")</f>
        <v>Russia_RZD_M62</v>
      </c>
      <c r="C207" t="s">
        <v>721</v>
      </c>
      <c r="D207" t="s">
        <v>940</v>
      </c>
      <c r="E207">
        <v>5035</v>
      </c>
      <c r="F207" s="45" t="s">
        <v>1202</v>
      </c>
      <c r="G207" t="s">
        <v>2491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231</v>
      </c>
      <c r="B208" s="31" t="str">
        <f>_xlfn.TEXTAFTER(CONTROL[[#This Row],[VEHIDCODE]],"_")</f>
        <v>Australia_NSWGR_422</v>
      </c>
      <c r="C208" t="s">
        <v>721</v>
      </c>
      <c r="D208" t="s">
        <v>940</v>
      </c>
      <c r="E208">
        <v>5036</v>
      </c>
      <c r="F208" s="45" t="s">
        <v>1203</v>
      </c>
      <c r="G208" t="s">
        <v>2492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232</v>
      </c>
      <c r="B209" s="31" t="str">
        <f>_xlfn.TEXTAFTER(CONTROL[[#This Row],[VEHIDCODE]],"_")</f>
        <v>Egypt_ENR_G22W</v>
      </c>
      <c r="C209" t="s">
        <v>721</v>
      </c>
      <c r="D209" t="s">
        <v>940</v>
      </c>
      <c r="E209">
        <v>5037</v>
      </c>
      <c r="F209" s="45" t="s">
        <v>1204</v>
      </c>
      <c r="G209" t="s">
        <v>2493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233</v>
      </c>
      <c r="B210" s="31" t="str">
        <f>_xlfn.TEXTAFTER(CONTROL[[#This Row],[VEHIDCODE]],"_")</f>
        <v>USA_UP_EMD_DDA40X</v>
      </c>
      <c r="C210" t="s">
        <v>721</v>
      </c>
      <c r="D210" t="s">
        <v>940</v>
      </c>
      <c r="E210">
        <v>5065</v>
      </c>
      <c r="F210" s="45" t="s">
        <v>1205</v>
      </c>
      <c r="G210" t="s">
        <v>2494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234</v>
      </c>
      <c r="B211" s="31" t="str">
        <f>_xlfn.TEXTAFTER(CONTROL[[#This Row],[VEHIDCODE]],"_")</f>
        <v>Australia_Queensland_Rail_2100</v>
      </c>
      <c r="C211" t="s">
        <v>721</v>
      </c>
      <c r="D211" t="s">
        <v>940</v>
      </c>
      <c r="E211">
        <v>5039</v>
      </c>
      <c r="F211" s="45" t="s">
        <v>1206</v>
      </c>
      <c r="G211" t="s">
        <v>2495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235</v>
      </c>
      <c r="B212" s="31" t="str">
        <f>_xlfn.TEXTAFTER(CONTROL[[#This Row],[VEHIDCODE]],"_")</f>
        <v>Croatia_HZ_2062</v>
      </c>
      <c r="C212" t="s">
        <v>721</v>
      </c>
      <c r="D212" t="s">
        <v>940</v>
      </c>
      <c r="E212">
        <v>5040</v>
      </c>
      <c r="F212" s="45" t="s">
        <v>1207</v>
      </c>
      <c r="G212" t="s">
        <v>2496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236</v>
      </c>
      <c r="B213" s="31" t="str">
        <f>_xlfn.TEXTAFTER(CONTROL[[#This Row],[VEHIDCODE]],"_")</f>
        <v>Sweden_SJ_V4</v>
      </c>
      <c r="C213" t="s">
        <v>721</v>
      </c>
      <c r="D213" t="s">
        <v>940</v>
      </c>
      <c r="E213">
        <v>5041</v>
      </c>
      <c r="F213" s="45" t="s">
        <v>1208</v>
      </c>
      <c r="G213" t="s">
        <v>2497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237</v>
      </c>
      <c r="B214" s="31" t="str">
        <f>_xlfn.TEXTAFTER(CONTROL[[#This Row],[VEHIDCODE]],"_")</f>
        <v>Canada_CNR_MLW_M420W</v>
      </c>
      <c r="C214" t="s">
        <v>721</v>
      </c>
      <c r="D214" t="s">
        <v>940</v>
      </c>
      <c r="E214">
        <v>5042</v>
      </c>
      <c r="F214" s="45" t="s">
        <v>1209</v>
      </c>
      <c r="G214" t="s">
        <v>2498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927</v>
      </c>
      <c r="B215" s="31" t="str">
        <f>_xlfn.TEXTAFTER(CONTROL[[#This Row],[VEHIDCODE]],"_")</f>
        <v>USA_Amtrak_SDP_40F</v>
      </c>
      <c r="C215" t="s">
        <v>721</v>
      </c>
      <c r="D215" t="s">
        <v>940</v>
      </c>
      <c r="E215">
        <v>5043</v>
      </c>
      <c r="F215" s="45" t="s">
        <v>1210</v>
      </c>
      <c r="G215" t="s">
        <v>2499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238</v>
      </c>
      <c r="B216" s="31" t="str">
        <f>_xlfn.TEXTAFTER(CONTROL[[#This Row],[VEHIDCODE]],"_")</f>
        <v>China_China_Railways_DFH3</v>
      </c>
      <c r="C216" t="s">
        <v>721</v>
      </c>
      <c r="D216" t="s">
        <v>940</v>
      </c>
      <c r="E216">
        <v>5044</v>
      </c>
      <c r="F216" s="45" t="s">
        <v>1211</v>
      </c>
      <c r="G216" t="s">
        <v>2500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239</v>
      </c>
      <c r="B217" s="31" t="str">
        <f>_xlfn.TEXTAFTER(CONTROL[[#This Row],[VEHIDCODE]],"_")</f>
        <v>Panama_Panama_Canal_Railway_EMD_F40PH</v>
      </c>
      <c r="C217" t="s">
        <v>721</v>
      </c>
      <c r="D217" t="s">
        <v>940</v>
      </c>
      <c r="E217">
        <v>5045</v>
      </c>
      <c r="F217" s="45" t="s">
        <v>1212</v>
      </c>
      <c r="G217" t="s">
        <v>2501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240</v>
      </c>
      <c r="B218" s="31" t="str">
        <f>_xlfn.TEXTAFTER(CONTROL[[#This Row],[VEHIDCODE]],"_")</f>
        <v>Portugal_CP_1900</v>
      </c>
      <c r="C218" t="s">
        <v>721</v>
      </c>
      <c r="D218" t="s">
        <v>940</v>
      </c>
      <c r="E218">
        <v>5046</v>
      </c>
      <c r="F218" s="45" t="s">
        <v>1213</v>
      </c>
      <c r="G218" t="s">
        <v>2502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241</v>
      </c>
      <c r="B219" s="31" t="str">
        <f>_xlfn.TEXTAFTER(CONTROL[[#This Row],[VEHIDCODE]],"_")</f>
        <v>Finland_VR_Dr16</v>
      </c>
      <c r="C219" t="s">
        <v>721</v>
      </c>
      <c r="D219" t="s">
        <v>940</v>
      </c>
      <c r="E219">
        <v>5047</v>
      </c>
      <c r="F219" s="45" t="s">
        <v>1214</v>
      </c>
      <c r="G219" t="s">
        <v>2503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242</v>
      </c>
      <c r="B220" s="31" t="str">
        <f>_xlfn.TEXTAFTER(CONTROL[[#This Row],[VEHIDCODE]],"_")</f>
        <v>Russia_RZD_TEP80</v>
      </c>
      <c r="C220" t="s">
        <v>721</v>
      </c>
      <c r="D220" t="s">
        <v>940</v>
      </c>
      <c r="E220">
        <v>5048</v>
      </c>
      <c r="F220" s="45" t="s">
        <v>1215</v>
      </c>
      <c r="G220" t="s">
        <v>2504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243</v>
      </c>
      <c r="B221" s="31" t="str">
        <f>_xlfn.TEXTAFTER(CONTROL[[#This Row],[VEHIDCODE]],"_")</f>
        <v>Australia_Australian_National_AN</v>
      </c>
      <c r="C221" t="s">
        <v>721</v>
      </c>
      <c r="D221" t="s">
        <v>940</v>
      </c>
      <c r="E221">
        <v>5049</v>
      </c>
      <c r="F221" s="45" t="s">
        <v>1216</v>
      </c>
      <c r="G221" t="s">
        <v>2505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244</v>
      </c>
      <c r="B222" s="31" t="str">
        <f>_xlfn.TEXTAFTER(CONTROL[[#This Row],[VEHIDCODE]],"_")</f>
        <v>USA_Amtrak_P42DC_Genesis</v>
      </c>
      <c r="C222" t="s">
        <v>721</v>
      </c>
      <c r="D222" t="s">
        <v>940</v>
      </c>
      <c r="E222">
        <v>5050</v>
      </c>
      <c r="F222" s="45" t="s">
        <v>1217</v>
      </c>
      <c r="G222" t="s">
        <v>2506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245</v>
      </c>
      <c r="B223" s="31" t="str">
        <f>_xlfn.TEXTAFTER(CONTROL[[#This Row],[VEHIDCODE]],"_")</f>
        <v>Turkey_TCDD_DH7000</v>
      </c>
      <c r="C223" t="s">
        <v>721</v>
      </c>
      <c r="D223" t="s">
        <v>940</v>
      </c>
      <c r="E223">
        <v>5051</v>
      </c>
      <c r="F223" s="45" t="s">
        <v>3058</v>
      </c>
      <c r="G223" t="s">
        <v>2507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246</v>
      </c>
      <c r="B224" s="31" t="str">
        <f>_xlfn.TEXTAFTER(CONTROL[[#This Row],[VEHIDCODE]],"_")</f>
        <v>Argentina_MF_GE_U20C</v>
      </c>
      <c r="C224" t="s">
        <v>721</v>
      </c>
      <c r="D224" t="s">
        <v>940</v>
      </c>
      <c r="E224">
        <v>5052</v>
      </c>
      <c r="F224" s="45" t="s">
        <v>1218</v>
      </c>
      <c r="G224" t="s">
        <v>2960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247</v>
      </c>
      <c r="B225" s="31" t="str">
        <f>_xlfn.TEXTAFTER(CONTROL[[#This Row],[VEHIDCODE]],"_")</f>
        <v>Belgium_NMBS_SNCB_7800</v>
      </c>
      <c r="C225" t="s">
        <v>721</v>
      </c>
      <c r="D225" t="s">
        <v>940</v>
      </c>
      <c r="E225">
        <v>5053</v>
      </c>
      <c r="F225" s="45" t="s">
        <v>1219</v>
      </c>
      <c r="G225" t="s">
        <v>2508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248</v>
      </c>
      <c r="B226" s="31" t="str">
        <f>_xlfn.TEXTAFTER(CONTROL[[#This Row],[VEHIDCODE]],"_")</f>
        <v>UK_BR_66</v>
      </c>
      <c r="C226" t="s">
        <v>721</v>
      </c>
      <c r="D226" t="s">
        <v>940</v>
      </c>
      <c r="E226">
        <v>5054</v>
      </c>
      <c r="F226" s="45" t="s">
        <v>1220</v>
      </c>
      <c r="G226" t="s">
        <v>2509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249</v>
      </c>
      <c r="B227" s="31" t="str">
        <f>_xlfn.TEXTAFTER(CONTROL[[#This Row],[VEHIDCODE]],"_")</f>
        <v>UK_BR_67</v>
      </c>
      <c r="C227" t="s">
        <v>721</v>
      </c>
      <c r="D227" t="s">
        <v>940</v>
      </c>
      <c r="E227">
        <v>5055</v>
      </c>
      <c r="F227" s="45" t="s">
        <v>1221</v>
      </c>
      <c r="G227" t="s">
        <v>2510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250</v>
      </c>
      <c r="B228" s="31" t="str">
        <f>_xlfn.TEXTAFTER(CONTROL[[#This Row],[VEHIDCODE]],"_")</f>
        <v>Iran_RAI_DE43CA_Prima</v>
      </c>
      <c r="C228" t="s">
        <v>721</v>
      </c>
      <c r="D228" t="s">
        <v>940</v>
      </c>
      <c r="E228">
        <v>5056</v>
      </c>
      <c r="F228" s="45" t="s">
        <v>1222</v>
      </c>
      <c r="G228" t="s">
        <v>2511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251</v>
      </c>
      <c r="B229" s="31" t="str">
        <f>_xlfn.TEXTAFTER(CONTROL[[#This Row],[VEHIDCODE]],"_")</f>
        <v>Ukraine_UZ_TEP150</v>
      </c>
      <c r="C229" t="s">
        <v>721</v>
      </c>
      <c r="D229" t="s">
        <v>940</v>
      </c>
      <c r="E229">
        <v>5059</v>
      </c>
      <c r="F229" s="45" t="s">
        <v>1223</v>
      </c>
      <c r="G229" t="s">
        <v>2512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252</v>
      </c>
      <c r="B230" s="31" t="str">
        <f>_xlfn.TEXTAFTER(CONTROL[[#This Row],[VEHIDCODE]],"_")</f>
        <v>China_China_Railways_HXN5</v>
      </c>
      <c r="C230" t="s">
        <v>721</v>
      </c>
      <c r="D230" t="s">
        <v>940</v>
      </c>
      <c r="E230">
        <v>5060</v>
      </c>
      <c r="F230" s="45" t="s">
        <v>1224</v>
      </c>
      <c r="G230" t="s">
        <v>2513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253</v>
      </c>
      <c r="B231" s="31" t="str">
        <f>_xlfn.TEXTAFTER(CONTROL[[#This Row],[VEHIDCODE]],"_")</f>
        <v>Germany_DB_261_Gravita_10BB</v>
      </c>
      <c r="C231" t="s">
        <v>721</v>
      </c>
      <c r="D231" t="s">
        <v>940</v>
      </c>
      <c r="E231">
        <v>5061</v>
      </c>
      <c r="F231" s="45" t="s">
        <v>1225</v>
      </c>
      <c r="G231" t="s">
        <v>2514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254</v>
      </c>
      <c r="B232" s="31" t="str">
        <f>_xlfn.TEXTAFTER(CONTROL[[#This Row],[VEHIDCODE]],"_")</f>
        <v>Russia_RZD_GT1</v>
      </c>
      <c r="C232" t="s">
        <v>721</v>
      </c>
      <c r="D232" t="s">
        <v>940</v>
      </c>
      <c r="E232">
        <v>5063</v>
      </c>
      <c r="F232" s="45" t="s">
        <v>1226</v>
      </c>
      <c r="G232" t="s">
        <v>2515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255</v>
      </c>
      <c r="B233" s="31" t="str">
        <f>_xlfn.TEXTAFTER(CONTROL[[#This Row],[VEHIDCODE]],"_")</f>
        <v>China_MTR_8000</v>
      </c>
      <c r="C233" t="s">
        <v>721</v>
      </c>
      <c r="D233" t="s">
        <v>940</v>
      </c>
      <c r="E233">
        <v>5058</v>
      </c>
      <c r="F233" s="45" t="s">
        <v>1227</v>
      </c>
      <c r="G233" t="s">
        <v>2517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256</v>
      </c>
      <c r="B234" s="31" t="str">
        <f>_xlfn.TEXTAFTER(CONTROL[[#This Row],[VEHIDCODE]],"_")</f>
        <v>Germany_HVLE_V490</v>
      </c>
      <c r="C234" t="s">
        <v>721</v>
      </c>
      <c r="D234" t="s">
        <v>940</v>
      </c>
      <c r="E234">
        <v>5062</v>
      </c>
      <c r="F234" s="45" t="s">
        <v>1709</v>
      </c>
      <c r="G234" t="s">
        <v>2518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257</v>
      </c>
      <c r="B235" s="31" t="str">
        <f>_xlfn.TEXTAFTER(CONTROL[[#This Row],[VEHIDCODE]],"_")</f>
        <v>Russia_RZD_Emch_3</v>
      </c>
      <c r="C235" t="s">
        <v>721</v>
      </c>
      <c r="D235" t="s">
        <v>940</v>
      </c>
      <c r="E235">
        <v>5066</v>
      </c>
      <c r="F235" s="45" t="s">
        <v>1228</v>
      </c>
      <c r="G235" t="s">
        <v>2489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258</v>
      </c>
      <c r="B236" s="31" t="str">
        <f>_xlfn.TEXTAFTER(CONTROL[[#This Row],[VEHIDCODE]],"_")</f>
        <v>Canada_CNR_9000</v>
      </c>
      <c r="C236" t="s">
        <v>721</v>
      </c>
      <c r="D236" t="s">
        <v>940</v>
      </c>
      <c r="E236">
        <v>5067</v>
      </c>
      <c r="F236" s="45" t="s">
        <v>1229</v>
      </c>
      <c r="G236" t="s">
        <v>2519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259</v>
      </c>
      <c r="B237" s="31" t="str">
        <f>_xlfn.TEXTAFTER(CONTROL[[#This Row],[VEHIDCODE]],"_")</f>
        <v>UK_LMS_7051_Diesel_Shunter</v>
      </c>
      <c r="C237" t="s">
        <v>721</v>
      </c>
      <c r="D237" t="s">
        <v>940</v>
      </c>
      <c r="E237">
        <v>5068</v>
      </c>
      <c r="F237" s="45" t="s">
        <v>1230</v>
      </c>
      <c r="G237" t="s">
        <v>2520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260</v>
      </c>
      <c r="B238" s="31" t="str">
        <f>_xlfn.TEXTAFTER(CONTROL[[#This Row],[VEHIDCODE]],"_")</f>
        <v>USA_Rock_Island_EMC_TA</v>
      </c>
      <c r="C238" t="s">
        <v>721</v>
      </c>
      <c r="D238" t="s">
        <v>940</v>
      </c>
      <c r="E238">
        <v>5069</v>
      </c>
      <c r="F238" s="45" t="s">
        <v>1231</v>
      </c>
      <c r="G238" t="s">
        <v>2521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261</v>
      </c>
      <c r="B239" s="31" t="str">
        <f>_xlfn.TEXTAFTER(CONTROL[[#This Row],[VEHIDCODE]],"_")</f>
        <v>USA_NYC_Baldwin_VO_660</v>
      </c>
      <c r="C239" t="s">
        <v>721</v>
      </c>
      <c r="D239" t="s">
        <v>940</v>
      </c>
      <c r="E239">
        <v>5070</v>
      </c>
      <c r="F239" s="45" t="s">
        <v>1232</v>
      </c>
      <c r="G239" t="s">
        <v>2522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262</v>
      </c>
      <c r="B240" s="31" t="str">
        <f>_xlfn.TEXTAFTER(CONTROL[[#This Row],[VEHIDCODE]],"_")</f>
        <v>UK_BR_Class_D3_7</v>
      </c>
      <c r="C240" t="s">
        <v>721</v>
      </c>
      <c r="D240" t="s">
        <v>940</v>
      </c>
      <c r="E240">
        <v>5071</v>
      </c>
      <c r="F240" s="45" t="s">
        <v>1233</v>
      </c>
      <c r="G240" t="s">
        <v>2523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263</v>
      </c>
      <c r="B241" s="31" t="str">
        <f>_xlfn.TEXTAFTER(CONTROL[[#This Row],[VEHIDCODE]],"_")</f>
        <v>Australia_Queensland_Railways_DL_Class</v>
      </c>
      <c r="C241" t="s">
        <v>721</v>
      </c>
      <c r="D241" t="s">
        <v>940</v>
      </c>
      <c r="E241">
        <v>5072</v>
      </c>
      <c r="F241" s="45" t="s">
        <v>1234</v>
      </c>
      <c r="G241" t="s">
        <v>2524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264</v>
      </c>
      <c r="B242" s="31" t="str">
        <f>_xlfn.TEXTAFTER(CONTROL[[#This Row],[VEHIDCODE]],"_")</f>
        <v>USA_PRR_FM_H_10_44</v>
      </c>
      <c r="C242" t="s">
        <v>721</v>
      </c>
      <c r="D242" t="s">
        <v>940</v>
      </c>
      <c r="E242">
        <v>5073</v>
      </c>
      <c r="F242" s="45" t="s">
        <v>1235</v>
      </c>
      <c r="G242" t="s">
        <v>2525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265</v>
      </c>
      <c r="B243" s="31" t="str">
        <f>_xlfn.TEXTAFTER(CONTROL[[#This Row],[VEHIDCODE]],"_")</f>
        <v>Algeria_SNTF_Baldwin_DRS6_4_1000</v>
      </c>
      <c r="C243" t="s">
        <v>721</v>
      </c>
      <c r="D243" t="s">
        <v>940</v>
      </c>
      <c r="E243">
        <v>5074</v>
      </c>
      <c r="F243" s="45" t="s">
        <v>1236</v>
      </c>
      <c r="G243" t="s">
        <v>2526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266</v>
      </c>
      <c r="B244" s="31" t="str">
        <f>_xlfn.TEXTAFTER(CONTROL[[#This Row],[VEHIDCODE]],"_")</f>
        <v>Ireland_CIE_113</v>
      </c>
      <c r="C244" t="s">
        <v>721</v>
      </c>
      <c r="D244" t="s">
        <v>940</v>
      </c>
      <c r="E244">
        <v>5075</v>
      </c>
      <c r="F244" s="45" t="s">
        <v>3066</v>
      </c>
      <c r="G244" t="s">
        <v>2527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267</v>
      </c>
      <c r="B245" s="31" t="str">
        <f>_xlfn.TEXTAFTER(CONTROL[[#This Row],[VEHIDCODE]],"_")</f>
        <v>Brazil_EFC_3300_Baldwin_AS_616</v>
      </c>
      <c r="C245" t="s">
        <v>721</v>
      </c>
      <c r="D245" t="s">
        <v>940</v>
      </c>
      <c r="E245">
        <v>5076</v>
      </c>
      <c r="F245" s="45" t="s">
        <v>1237</v>
      </c>
      <c r="G245" t="s">
        <v>2528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268</v>
      </c>
      <c r="B246" s="31" t="str">
        <f>_xlfn.TEXTAFTER(CONTROL[[#This Row],[VEHIDCODE]],"_")</f>
        <v>Mexico_CHP_500_FM_H_16_44</v>
      </c>
      <c r="C246" t="s">
        <v>721</v>
      </c>
      <c r="D246" t="s">
        <v>940</v>
      </c>
      <c r="E246">
        <v>5077</v>
      </c>
      <c r="F246" s="45" t="s">
        <v>1238</v>
      </c>
      <c r="G246" t="s">
        <v>2529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269</v>
      </c>
      <c r="B247" s="31" t="str">
        <f>_xlfn.TEXTAFTER(CONTROL[[#This Row],[VEHIDCODE]],"_")</f>
        <v>Australia_South_Australian_Railways_900</v>
      </c>
      <c r="C247" t="s">
        <v>721</v>
      </c>
      <c r="D247" t="s">
        <v>940</v>
      </c>
      <c r="E247">
        <v>5078</v>
      </c>
      <c r="F247" s="45" t="s">
        <v>1239</v>
      </c>
      <c r="G247" t="s">
        <v>2531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270</v>
      </c>
      <c r="B248" s="31" t="str">
        <f>_xlfn.TEXTAFTER(CONTROL[[#This Row],[VEHIDCODE]],"_")</f>
        <v>Sri_Lanka_Sri_Lanka_Railways_M2</v>
      </c>
      <c r="C248" t="s">
        <v>721</v>
      </c>
      <c r="D248" t="s">
        <v>940</v>
      </c>
      <c r="E248">
        <v>5079</v>
      </c>
      <c r="F248" s="45" t="s">
        <v>1240</v>
      </c>
      <c r="G248" t="s">
        <v>2530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271</v>
      </c>
      <c r="B249" s="31" t="str">
        <f>_xlfn.TEXTAFTER(CONTROL[[#This Row],[VEHIDCODE]],"_")</f>
        <v>Ireland_CIE_001</v>
      </c>
      <c r="C249" t="s">
        <v>721</v>
      </c>
      <c r="D249" t="s">
        <v>940</v>
      </c>
      <c r="E249">
        <v>5080</v>
      </c>
      <c r="F249" s="45" t="s">
        <v>3067</v>
      </c>
      <c r="G249" t="s">
        <v>2532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272</v>
      </c>
      <c r="B250" s="31" t="str">
        <f>_xlfn.TEXTAFTER(CONTROL[[#This Row],[VEHIDCODE]],"_")</f>
        <v>Italy_FS_D341</v>
      </c>
      <c r="C250" t="s">
        <v>721</v>
      </c>
      <c r="D250" t="s">
        <v>940</v>
      </c>
      <c r="E250">
        <v>5081</v>
      </c>
      <c r="F250" s="45" t="s">
        <v>1241</v>
      </c>
      <c r="G250" t="s">
        <v>2533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273</v>
      </c>
      <c r="B251" s="31" t="str">
        <f>_xlfn.TEXTAFTER(CONTROL[[#This Row],[VEHIDCODE]],"_")</f>
        <v>Australia_NSWGR_44</v>
      </c>
      <c r="C251" t="s">
        <v>721</v>
      </c>
      <c r="D251" t="s">
        <v>940</v>
      </c>
      <c r="E251">
        <v>5083</v>
      </c>
      <c r="F251" s="45" t="s">
        <v>1242</v>
      </c>
      <c r="G251" t="s">
        <v>2534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274</v>
      </c>
      <c r="B252" s="31" t="str">
        <f>_xlfn.TEXTAFTER(CONTROL[[#This Row],[VEHIDCODE]],"_")</f>
        <v>Zimbabwe_Zimbabwe_Railways_DH_1</v>
      </c>
      <c r="C252" t="s">
        <v>721</v>
      </c>
      <c r="D252" t="s">
        <v>940</v>
      </c>
      <c r="E252">
        <v>5084</v>
      </c>
      <c r="F252" s="45" t="s">
        <v>1243</v>
      </c>
      <c r="G252" t="s">
        <v>2535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275</v>
      </c>
      <c r="B253" s="31" t="str">
        <f>_xlfn.TEXTAFTER(CONTROL[[#This Row],[VEHIDCODE]],"_")</f>
        <v>South_Korea_Korail_6000_EMD_SD18</v>
      </c>
      <c r="C253" t="s">
        <v>721</v>
      </c>
      <c r="D253" t="s">
        <v>940</v>
      </c>
      <c r="E253">
        <v>5085</v>
      </c>
      <c r="F253" s="45" t="s">
        <v>1244</v>
      </c>
      <c r="G253" t="s">
        <v>2536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276</v>
      </c>
      <c r="B254" s="31" t="str">
        <f>_xlfn.TEXTAFTER(CONTROL[[#This Row],[VEHIDCODE]],"_")</f>
        <v>Italy_FS_D345</v>
      </c>
      <c r="C254" t="s">
        <v>721</v>
      </c>
      <c r="D254" t="s">
        <v>940</v>
      </c>
      <c r="E254">
        <v>5086</v>
      </c>
      <c r="F254" s="45" t="s">
        <v>1245</v>
      </c>
      <c r="G254" t="s">
        <v>2537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277</v>
      </c>
      <c r="B255" s="31" t="str">
        <f>_xlfn.TEXTAFTER(CONTROL[[#This Row],[VEHIDCODE]],"_")</f>
        <v>Norway_NSB_Di4</v>
      </c>
      <c r="C255" t="s">
        <v>721</v>
      </c>
      <c r="D255" t="s">
        <v>940</v>
      </c>
      <c r="E255">
        <v>5087</v>
      </c>
      <c r="F255" s="45" t="s">
        <v>1246</v>
      </c>
      <c r="G255" t="s">
        <v>2538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278</v>
      </c>
      <c r="B256" s="31" t="str">
        <f>_xlfn.TEXTAFTER(CONTROL[[#This Row],[VEHIDCODE]],"_")</f>
        <v>China_China_Railways_DF8</v>
      </c>
      <c r="C256" t="s">
        <v>721</v>
      </c>
      <c r="D256" t="s">
        <v>940</v>
      </c>
      <c r="E256">
        <v>5088</v>
      </c>
      <c r="F256" s="45" t="s">
        <v>1247</v>
      </c>
      <c r="G256" t="s">
        <v>2539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279</v>
      </c>
      <c r="B257" s="31" t="str">
        <f>_xlfn.TEXTAFTER(CONTROL[[#This Row],[VEHIDCODE]],"_")</f>
        <v>Australia_Pacific_National_G_Class</v>
      </c>
      <c r="C257" t="s">
        <v>721</v>
      </c>
      <c r="D257" t="s">
        <v>940</v>
      </c>
      <c r="E257">
        <v>5089</v>
      </c>
      <c r="F257" s="45" t="s">
        <v>1248</v>
      </c>
      <c r="G257" t="s">
        <v>2540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280</v>
      </c>
      <c r="B258" s="31" t="str">
        <f>_xlfn.TEXTAFTER(CONTROL[[#This Row],[VEHIDCODE]],"_")</f>
        <v>UK_BR_60</v>
      </c>
      <c r="C258" t="s">
        <v>721</v>
      </c>
      <c r="D258" t="s">
        <v>940</v>
      </c>
      <c r="E258">
        <v>5090</v>
      </c>
      <c r="F258" s="45" t="s">
        <v>1249</v>
      </c>
      <c r="G258" t="s">
        <v>2541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281</v>
      </c>
      <c r="B259" s="31" t="str">
        <f>_xlfn.TEXTAFTER(CONTROL[[#This Row],[VEHIDCODE]],"_")</f>
        <v>Australia_Westrail_P_Class</v>
      </c>
      <c r="C259" t="s">
        <v>721</v>
      </c>
      <c r="D259" t="s">
        <v>940</v>
      </c>
      <c r="E259">
        <v>5091</v>
      </c>
      <c r="F259" s="45" t="s">
        <v>1250</v>
      </c>
      <c r="G259" t="s">
        <v>2542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282</v>
      </c>
      <c r="B260" s="31" t="str">
        <f>_xlfn.TEXTAFTER(CONTROL[[#This Row],[VEHIDCODE]],"_")</f>
        <v>Saudi_Arabia_Saudi_Railways_4000_EMD_SD70ACS</v>
      </c>
      <c r="C260" t="s">
        <v>721</v>
      </c>
      <c r="D260" t="s">
        <v>940</v>
      </c>
      <c r="E260">
        <v>5092</v>
      </c>
      <c r="F260" s="45" t="s">
        <v>1251</v>
      </c>
      <c r="G260" t="s">
        <v>2543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283</v>
      </c>
      <c r="B261" s="31" t="str">
        <f>_xlfn.TEXTAFTER(CONTROL[[#This Row],[VEHIDCODE]],"_")</f>
        <v>Ireland_IE_201</v>
      </c>
      <c r="C261" t="s">
        <v>721</v>
      </c>
      <c r="D261" t="s">
        <v>940</v>
      </c>
      <c r="E261">
        <v>5093</v>
      </c>
      <c r="F261" s="45" t="s">
        <v>3068</v>
      </c>
      <c r="G261" t="s">
        <v>2544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284</v>
      </c>
      <c r="B262" s="31" t="str">
        <f>_xlfn.TEXTAFTER(CONTROL[[#This Row],[VEHIDCODE]],"_")</f>
        <v>USA_Metrolink_EMD_F59PH</v>
      </c>
      <c r="C262" t="s">
        <v>721</v>
      </c>
      <c r="D262" t="s">
        <v>940</v>
      </c>
      <c r="E262">
        <v>5094</v>
      </c>
      <c r="F262" s="45" t="s">
        <v>1252</v>
      </c>
      <c r="G262" t="s">
        <v>2545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285</v>
      </c>
      <c r="B263" s="31" t="str">
        <f>_xlfn.TEXTAFTER(CONTROL[[#This Row],[VEHIDCODE]],"_")</f>
        <v>France_SNCF_461000</v>
      </c>
      <c r="C263" t="s">
        <v>721</v>
      </c>
      <c r="D263" t="s">
        <v>940</v>
      </c>
      <c r="E263">
        <v>5095</v>
      </c>
      <c r="F263" s="45" t="s">
        <v>1253</v>
      </c>
      <c r="G263" t="s">
        <v>2546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286</v>
      </c>
      <c r="B264" s="31" t="str">
        <f>_xlfn.TEXTAFTER(CONTROL[[#This Row],[VEHIDCODE]],"_")</f>
        <v>Italy_ACT_D_200</v>
      </c>
      <c r="C264" t="s">
        <v>721</v>
      </c>
      <c r="D264" t="s">
        <v>940</v>
      </c>
      <c r="E264">
        <v>5096</v>
      </c>
      <c r="F264" s="45" t="s">
        <v>1254</v>
      </c>
      <c r="G264" t="s">
        <v>2547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287</v>
      </c>
      <c r="B265" s="31" t="str">
        <f>_xlfn.TEXTAFTER(CONTROL[[#This Row],[VEHIDCODE]],"_")</f>
        <v>Canada_GO_Transit_MP40PH_3C</v>
      </c>
      <c r="C265" t="s">
        <v>721</v>
      </c>
      <c r="D265" t="s">
        <v>940</v>
      </c>
      <c r="E265">
        <v>5097</v>
      </c>
      <c r="F265" s="45" t="s">
        <v>1255</v>
      </c>
      <c r="G265" t="s">
        <v>2548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288</v>
      </c>
      <c r="B266" s="31" t="str">
        <f>_xlfn.TEXTAFTER(CONTROL[[#This Row],[VEHIDCODE]],"_")</f>
        <v>Spain_RENFE_Class_334</v>
      </c>
      <c r="C266" t="s">
        <v>721</v>
      </c>
      <c r="D266" t="s">
        <v>940</v>
      </c>
      <c r="E266">
        <v>5098</v>
      </c>
      <c r="F266" s="45" t="s">
        <v>1256</v>
      </c>
      <c r="G266" t="s">
        <v>2549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289</v>
      </c>
      <c r="B267" s="31" t="str">
        <f>_xlfn.TEXTAFTER(CONTROL[[#This Row],[VEHIDCODE]],"_")</f>
        <v>Indonesia_Indonesia_Railways_CC300</v>
      </c>
      <c r="C267" t="s">
        <v>721</v>
      </c>
      <c r="D267" t="s">
        <v>940</v>
      </c>
      <c r="E267">
        <v>5099</v>
      </c>
      <c r="F267" s="45" t="s">
        <v>1257</v>
      </c>
      <c r="G267" t="s">
        <v>2550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290</v>
      </c>
      <c r="B268" s="31" t="str">
        <f>_xlfn.TEXTAFTER(CONTROL[[#This Row],[VEHIDCODE]],"_")</f>
        <v>Argentina_Great_Southern_Railway_DH501</v>
      </c>
      <c r="C268" t="s">
        <v>721</v>
      </c>
      <c r="D268" t="s">
        <v>940</v>
      </c>
      <c r="E268">
        <v>5101</v>
      </c>
      <c r="F268" s="45" t="s">
        <v>1258</v>
      </c>
      <c r="G268" t="s">
        <v>2448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291</v>
      </c>
      <c r="B269" s="31" t="str">
        <f>_xlfn.TEXTAFTER(CONTROL[[#This Row],[VEHIDCODE]],"_")</f>
        <v>Brazil_EE_VFFLB</v>
      </c>
      <c r="C269" t="s">
        <v>721</v>
      </c>
      <c r="D269" t="s">
        <v>940</v>
      </c>
      <c r="E269">
        <v>5102</v>
      </c>
      <c r="F269" s="45" t="s">
        <v>1259</v>
      </c>
      <c r="G269" t="s">
        <v>2551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292</v>
      </c>
      <c r="B270" s="31" t="str">
        <f>_xlfn.TEXTAFTER(CONTROL[[#This Row],[VEHIDCODE]],"_")</f>
        <v>Chile_EFE_GE_U5B</v>
      </c>
      <c r="C270" t="s">
        <v>721</v>
      </c>
      <c r="D270" t="s">
        <v>940</v>
      </c>
      <c r="E270">
        <v>5106</v>
      </c>
      <c r="F270" s="45" t="s">
        <v>1260</v>
      </c>
      <c r="G270" t="s">
        <v>2552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293</v>
      </c>
      <c r="B271" s="31" t="str">
        <f>_xlfn.TEXTAFTER(CONTROL[[#This Row],[VEHIDCODE]],"_")</f>
        <v>Peru_Ferrocarril_Central_Andino_Alco_RSD_39</v>
      </c>
      <c r="C271" t="s">
        <v>721</v>
      </c>
      <c r="D271" t="s">
        <v>940</v>
      </c>
      <c r="E271">
        <v>5108</v>
      </c>
      <c r="F271" s="45" t="s">
        <v>1261</v>
      </c>
      <c r="G271" t="s">
        <v>2553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294</v>
      </c>
      <c r="B272" s="31" t="str">
        <f>_xlfn.TEXTAFTER(CONTROL[[#This Row],[VEHIDCODE]],"_")</f>
        <v>Brazil_EFVM_EMD_DDM45</v>
      </c>
      <c r="C272" t="s">
        <v>721</v>
      </c>
      <c r="D272" t="s">
        <v>940</v>
      </c>
      <c r="E272">
        <v>5109</v>
      </c>
      <c r="F272" s="45" t="s">
        <v>1262</v>
      </c>
      <c r="G272" t="s">
        <v>2554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295</v>
      </c>
      <c r="B273" s="31" t="str">
        <f>_xlfn.TEXTAFTER(CONTROL[[#This Row],[VEHIDCODE]],"_")</f>
        <v>Peru_Ferrocarril_Central_Andino_GE_C39_8</v>
      </c>
      <c r="C273" t="s">
        <v>721</v>
      </c>
      <c r="D273" t="s">
        <v>940</v>
      </c>
      <c r="E273">
        <v>5113</v>
      </c>
      <c r="F273" s="45" t="s">
        <v>1263</v>
      </c>
      <c r="G273" t="s">
        <v>2555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296</v>
      </c>
      <c r="B274" s="31" t="str">
        <f>_xlfn.TEXTAFTER(CONTROL[[#This Row],[VEHIDCODE]],"_")</f>
        <v>Argentina_SOFSE_3193</v>
      </c>
      <c r="C274" t="s">
        <v>721</v>
      </c>
      <c r="D274" t="s">
        <v>940</v>
      </c>
      <c r="E274">
        <v>5118</v>
      </c>
      <c r="F274" s="45" t="s">
        <v>1264</v>
      </c>
      <c r="G274" t="s">
        <v>2556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297</v>
      </c>
      <c r="B275" s="31" t="str">
        <f>_xlfn.TEXTAFTER(CONTROL[[#This Row],[VEHIDCODE]],"_")</f>
        <v>Argentina_SOFSE_CNR_CKD8</v>
      </c>
      <c r="C275" t="s">
        <v>721</v>
      </c>
      <c r="D275" t="s">
        <v>940</v>
      </c>
      <c r="E275">
        <v>5120</v>
      </c>
      <c r="F275" s="45" t="s">
        <v>2558</v>
      </c>
      <c r="G275" t="s">
        <v>2557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298</v>
      </c>
      <c r="B276" s="31" t="str">
        <f>_xlfn.TEXTAFTER(CONTROL[[#This Row],[VEHIDCODE]],"_")</f>
        <v>South_Africa_SAR_DS</v>
      </c>
      <c r="C276" t="s">
        <v>721</v>
      </c>
      <c r="D276" t="s">
        <v>940</v>
      </c>
      <c r="E276">
        <v>5103</v>
      </c>
      <c r="F276" s="45" t="s">
        <v>1265</v>
      </c>
      <c r="G276" t="s">
        <v>2559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299</v>
      </c>
      <c r="B277" s="31" t="str">
        <f>_xlfn.TEXTAFTER(CONTROL[[#This Row],[VEHIDCODE]],"_")</f>
        <v>Algeria_SNTF_040_DG</v>
      </c>
      <c r="C277" t="s">
        <v>721</v>
      </c>
      <c r="D277" t="s">
        <v>940</v>
      </c>
      <c r="E277">
        <v>5104</v>
      </c>
      <c r="F277" s="45" t="s">
        <v>1266</v>
      </c>
      <c r="G277" t="s">
        <v>2560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300</v>
      </c>
      <c r="B278" s="31" t="str">
        <f>_xlfn.TEXTAFTER(CONTROL[[#This Row],[VEHIDCODE]],"_")</f>
        <v>Tunisia_SNCFT_040_DF</v>
      </c>
      <c r="C278" t="s">
        <v>721</v>
      </c>
      <c r="D278" t="s">
        <v>940</v>
      </c>
      <c r="E278">
        <v>5105</v>
      </c>
      <c r="F278" s="45" t="s">
        <v>1267</v>
      </c>
      <c r="G278" t="s">
        <v>2561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301</v>
      </c>
      <c r="B279" s="31" t="str">
        <f>_xlfn.TEXTAFTER(CONTROL[[#This Row],[VEHIDCODE]],"_")</f>
        <v>Egypt_ENR_TE114E</v>
      </c>
      <c r="C279" t="s">
        <v>721</v>
      </c>
      <c r="D279" t="s">
        <v>940</v>
      </c>
      <c r="E279">
        <v>5110</v>
      </c>
      <c r="F279" s="45" t="s">
        <v>1268</v>
      </c>
      <c r="G279" t="s">
        <v>2562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302</v>
      </c>
      <c r="B280" s="31" t="str">
        <f>_xlfn.TEXTAFTER(CONTROL[[#This Row],[VEHIDCODE]],"_")</f>
        <v>Tunisia_SNCFT_040_DJ</v>
      </c>
      <c r="C280" t="s">
        <v>721</v>
      </c>
      <c r="D280" t="s">
        <v>940</v>
      </c>
      <c r="E280">
        <v>5111</v>
      </c>
      <c r="F280" s="45" t="s">
        <v>1269</v>
      </c>
      <c r="G280" t="s">
        <v>2563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303</v>
      </c>
      <c r="B281" s="31" t="str">
        <f>_xlfn.TEXTAFTER(CONTROL[[#This Row],[VEHIDCODE]],"_")</f>
        <v>Morocco_ONCF_DF_100</v>
      </c>
      <c r="C281" t="s">
        <v>721</v>
      </c>
      <c r="D281" t="s">
        <v>940</v>
      </c>
      <c r="E281">
        <v>5116</v>
      </c>
      <c r="F281" s="45" t="s">
        <v>1270</v>
      </c>
      <c r="G281" t="s">
        <v>2564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304</v>
      </c>
      <c r="B282" s="31" t="str">
        <f>_xlfn.TEXTAFTER(CONTROL[[#This Row],[VEHIDCODE]],"_")</f>
        <v>Ukraine_UZ_TEP10L</v>
      </c>
      <c r="C282" t="s">
        <v>721</v>
      </c>
      <c r="D282" t="s">
        <v>940</v>
      </c>
      <c r="E282">
        <v>5107</v>
      </c>
      <c r="F282" s="45" t="s">
        <v>1271</v>
      </c>
      <c r="G282" t="s">
        <v>2565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305</v>
      </c>
      <c r="B283" s="31" t="str">
        <f>_xlfn.TEXTAFTER(CONTROL[[#This Row],[VEHIDCODE]],"_")</f>
        <v>Belarus_BCh_2TE10M</v>
      </c>
      <c r="C283" t="s">
        <v>721</v>
      </c>
      <c r="D283" t="s">
        <v>940</v>
      </c>
      <c r="E283">
        <v>5112</v>
      </c>
      <c r="F283" s="45" t="s">
        <v>1272</v>
      </c>
      <c r="G283" t="s">
        <v>2566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306</v>
      </c>
      <c r="B284" s="31" t="str">
        <f>_xlfn.TEXTAFTER(CONTROL[[#This Row],[VEHIDCODE]],"_")</f>
        <v>Poland_PKP_SP32</v>
      </c>
      <c r="C284" t="s">
        <v>721</v>
      </c>
      <c r="D284" t="s">
        <v>940</v>
      </c>
      <c r="E284">
        <v>5114</v>
      </c>
      <c r="F284" s="45" t="s">
        <v>1273</v>
      </c>
      <c r="G284" t="s">
        <v>2567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307</v>
      </c>
      <c r="B285" s="31" t="str">
        <f>_xlfn.TEXTAFTER(CONTROL[[#This Row],[VEHIDCODE]],"_")</f>
        <v>Ukraine_UZ_2TE126</v>
      </c>
      <c r="C285" t="s">
        <v>721</v>
      </c>
      <c r="D285" t="s">
        <v>940</v>
      </c>
      <c r="E285">
        <v>5115</v>
      </c>
      <c r="F285" s="45" t="s">
        <v>1274</v>
      </c>
      <c r="G285" t="s">
        <v>2568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308</v>
      </c>
      <c r="B286" s="31" t="str">
        <f>_xlfn.TEXTAFTER(CONTROL[[#This Row],[VEHIDCODE]],"_")</f>
        <v>Ukraine_UZ_2TE10Ut</v>
      </c>
      <c r="C286" t="s">
        <v>721</v>
      </c>
      <c r="D286" t="s">
        <v>940</v>
      </c>
      <c r="E286">
        <v>5117</v>
      </c>
      <c r="F286" s="45" t="s">
        <v>1275</v>
      </c>
      <c r="G286" t="s">
        <v>2569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309</v>
      </c>
      <c r="B287" s="31" t="str">
        <f>_xlfn.TEXTAFTER(CONTROL[[#This Row],[VEHIDCODE]],"_")</f>
        <v>Serbia_ZS_621</v>
      </c>
      <c r="C287" t="s">
        <v>721</v>
      </c>
      <c r="D287" t="s">
        <v>940</v>
      </c>
      <c r="E287">
        <v>5119</v>
      </c>
      <c r="F287" s="45" t="s">
        <v>1276</v>
      </c>
      <c r="G287" t="s">
        <v>2570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310</v>
      </c>
      <c r="B288" s="31" t="str">
        <f>_xlfn.TEXTAFTER(CONTROL[[#This Row],[VEHIDCODE]],"_")</f>
        <v>Italy_FS_207</v>
      </c>
      <c r="C288" t="s">
        <v>721</v>
      </c>
      <c r="D288" t="s">
        <v>940</v>
      </c>
      <c r="E288">
        <v>5121</v>
      </c>
      <c r="F288" s="45" t="s">
        <v>1277</v>
      </c>
      <c r="G288" t="s">
        <v>2571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311</v>
      </c>
      <c r="B289" s="31" t="str">
        <f>_xlfn.TEXTAFTER(CONTROL[[#This Row],[VEHIDCODE]],"_")</f>
        <v>Russia_RZD_Db</v>
      </c>
      <c r="C289" t="s">
        <v>721</v>
      </c>
      <c r="D289" t="s">
        <v>940</v>
      </c>
      <c r="E289">
        <v>5122</v>
      </c>
      <c r="F289" s="45" t="s">
        <v>1278</v>
      </c>
      <c r="G289" t="s">
        <v>2572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312</v>
      </c>
      <c r="B290" s="31" t="str">
        <f>_xlfn.TEXTAFTER(CONTROL[[#This Row],[VEHIDCODE]],"_")</f>
        <v>Portugal_CP_1500</v>
      </c>
      <c r="C290" t="s">
        <v>721</v>
      </c>
      <c r="D290" t="s">
        <v>940</v>
      </c>
      <c r="E290">
        <v>5123</v>
      </c>
      <c r="F290" s="45" t="s">
        <v>1279</v>
      </c>
      <c r="G290" t="s">
        <v>2573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313</v>
      </c>
      <c r="B291" s="31" t="str">
        <f>_xlfn.TEXTAFTER(CONTROL[[#This Row],[VEHIDCODE]],"_")</f>
        <v>France_SNCF_BB_67400</v>
      </c>
      <c r="C291" t="s">
        <v>721</v>
      </c>
      <c r="D291" t="s">
        <v>940</v>
      </c>
      <c r="E291">
        <v>5125</v>
      </c>
      <c r="F291" s="45" t="s">
        <v>1280</v>
      </c>
      <c r="G291" t="s">
        <v>2574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314</v>
      </c>
      <c r="B292" s="31" t="str">
        <f>_xlfn.TEXTAFTER(CONTROL[[#This Row],[VEHIDCODE]],"_")</f>
        <v>Netherlands_NS_6400</v>
      </c>
      <c r="C292" t="s">
        <v>721</v>
      </c>
      <c r="D292" t="s">
        <v>940</v>
      </c>
      <c r="E292">
        <v>5126</v>
      </c>
      <c r="F292" s="45" t="s">
        <v>1281</v>
      </c>
      <c r="G292" t="s">
        <v>2575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315</v>
      </c>
      <c r="B293" s="31" t="str">
        <f>_xlfn.TEXTAFTER(CONTROL[[#This Row],[VEHIDCODE]],"_")</f>
        <v>Egypt_ENR_2400_GE_ES40ACi</v>
      </c>
      <c r="C293" t="s">
        <v>721</v>
      </c>
      <c r="D293" t="s">
        <v>940</v>
      </c>
      <c r="E293">
        <v>5130</v>
      </c>
      <c r="F293" s="45" t="s">
        <v>1282</v>
      </c>
      <c r="G293" t="s">
        <v>2576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316</v>
      </c>
      <c r="B294" s="31" t="str">
        <f>_xlfn.TEXTAFTER(CONTROL[[#This Row],[VEHIDCODE]],"_")</f>
        <v>South_Africa_SAR_Afro_4000</v>
      </c>
      <c r="C294" t="s">
        <v>721</v>
      </c>
      <c r="D294" t="s">
        <v>940</v>
      </c>
      <c r="E294">
        <v>5132</v>
      </c>
      <c r="F294" s="45" t="s">
        <v>2258</v>
      </c>
      <c r="G294" t="s">
        <v>2577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317</v>
      </c>
      <c r="B295" s="31" t="str">
        <f>_xlfn.TEXTAFTER(CONTROL[[#This Row],[VEHIDCODE]],"_")</f>
        <v>Spain_RENFE_308</v>
      </c>
      <c r="C295" t="s">
        <v>721</v>
      </c>
      <c r="D295" t="s">
        <v>940</v>
      </c>
      <c r="E295">
        <v>5124</v>
      </c>
      <c r="F295" s="45" t="s">
        <v>1283</v>
      </c>
      <c r="G295" t="s">
        <v>2578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318</v>
      </c>
      <c r="B296" s="31" t="str">
        <f>_xlfn.TEXTAFTER(CONTROL[[#This Row],[VEHIDCODE]],"_")</f>
        <v>Australia_Pacific_National_XR_XRB</v>
      </c>
      <c r="C296" t="s">
        <v>721</v>
      </c>
      <c r="D296" t="s">
        <v>940</v>
      </c>
      <c r="E296">
        <v>5127</v>
      </c>
      <c r="F296" s="45" t="s">
        <v>1284</v>
      </c>
      <c r="G296" t="s">
        <v>2579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319</v>
      </c>
      <c r="B297" s="31" t="str">
        <f>_xlfn.TEXTAFTER(CONTROL[[#This Row],[VEHIDCODE]],"_")</f>
        <v>Norway_CargoNet_312</v>
      </c>
      <c r="C297" t="s">
        <v>721</v>
      </c>
      <c r="D297" t="s">
        <v>940</v>
      </c>
      <c r="E297">
        <v>5128</v>
      </c>
      <c r="F297" s="45" t="s">
        <v>1285</v>
      </c>
      <c r="G297" t="s">
        <v>2580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320</v>
      </c>
      <c r="B298" s="31" t="str">
        <f>_xlfn.TEXTAFTER(CONTROL[[#This Row],[VEHIDCODE]],"_")</f>
        <v>Australia_Pacific_National_92</v>
      </c>
      <c r="C298" t="s">
        <v>721</v>
      </c>
      <c r="D298" t="s">
        <v>940</v>
      </c>
      <c r="E298">
        <v>5129</v>
      </c>
      <c r="F298" s="45" t="s">
        <v>1286</v>
      </c>
      <c r="G298" t="s">
        <v>2581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321</v>
      </c>
      <c r="B299" s="31" t="str">
        <f>_xlfn.TEXTAFTER(CONTROL[[#This Row],[VEHIDCODE]],"_")</f>
        <v>UK_BR_68</v>
      </c>
      <c r="C299" t="s">
        <v>721</v>
      </c>
      <c r="D299" t="s">
        <v>940</v>
      </c>
      <c r="E299">
        <v>5131</v>
      </c>
      <c r="F299" s="45" t="s">
        <v>1287</v>
      </c>
      <c r="G299" t="s">
        <v>2582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322</v>
      </c>
      <c r="B300" s="31" t="str">
        <f>_xlfn.TEXTAFTER(CONTROL[[#This Row],[VEHIDCODE]],"_")</f>
        <v>USA_Amtrak_Charger</v>
      </c>
      <c r="C300" t="s">
        <v>721</v>
      </c>
      <c r="D300" t="s">
        <v>940</v>
      </c>
      <c r="E300">
        <v>5133</v>
      </c>
      <c r="F300" s="45" t="s">
        <v>1288</v>
      </c>
      <c r="G300" t="s">
        <v>2583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323</v>
      </c>
      <c r="B301" s="31" t="str">
        <f>_xlfn.TEXTAFTER(CONTROL[[#This Row],[VEHIDCODE]],"_")</f>
        <v>Argentina_Le_Brugeoise</v>
      </c>
      <c r="C301" t="s">
        <v>722</v>
      </c>
      <c r="D301" t="s">
        <v>948</v>
      </c>
      <c r="E301">
        <v>9004</v>
      </c>
      <c r="F301" s="45" t="s">
        <v>1289</v>
      </c>
      <c r="G301" t="s">
        <v>2585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326</v>
      </c>
      <c r="B302" s="31" t="str">
        <f>_xlfn.TEXTAFTER(CONTROL[[#This Row],[VEHIDCODE]],"_")</f>
        <v>USA_NY_R1</v>
      </c>
      <c r="C302" t="s">
        <v>722</v>
      </c>
      <c r="D302" t="s">
        <v>948</v>
      </c>
      <c r="E302">
        <v>9006</v>
      </c>
      <c r="F302" s="45" t="s">
        <v>1290</v>
      </c>
      <c r="G302" t="s">
        <v>2586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327</v>
      </c>
      <c r="B303" s="31" t="str">
        <f>_xlfn.TEXTAFTER(CONTROL[[#This Row],[VEHIDCODE]],"_")</f>
        <v>Germany_DB_ET_171</v>
      </c>
      <c r="C303" t="s">
        <v>722</v>
      </c>
      <c r="D303" t="s">
        <v>948</v>
      </c>
      <c r="E303">
        <v>9008</v>
      </c>
      <c r="F303" s="45" t="s">
        <v>1291</v>
      </c>
      <c r="G303" t="s">
        <v>2587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328</v>
      </c>
      <c r="B304" s="31" t="str">
        <f>_xlfn.TEXTAFTER(CONTROL[[#This Row],[VEHIDCODE]],"_")</f>
        <v>France_Paris_M2_840</v>
      </c>
      <c r="C304" t="s">
        <v>722</v>
      </c>
      <c r="D304" t="s">
        <v>948</v>
      </c>
      <c r="E304">
        <v>9009</v>
      </c>
      <c r="F304" s="45" t="s">
        <v>1292</v>
      </c>
      <c r="G304" t="s">
        <v>2590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329</v>
      </c>
      <c r="B305" s="31" t="str">
        <f>_xlfn.TEXTAFTER(CONTROL[[#This Row],[VEHIDCODE]],"_")</f>
        <v>Portugal_Lisbon_ML7</v>
      </c>
      <c r="C305" t="s">
        <v>722</v>
      </c>
      <c r="D305" t="s">
        <v>948</v>
      </c>
      <c r="E305">
        <v>9010</v>
      </c>
      <c r="F305" s="45" t="s">
        <v>1293</v>
      </c>
      <c r="G305" t="s">
        <v>2589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330</v>
      </c>
      <c r="B306" s="31" t="str">
        <f>_xlfn.TEXTAFTER(CONTROL[[#This Row],[VEHIDCODE]],"_")</f>
        <v>Hungary_Budapest_Ev3_200</v>
      </c>
      <c r="C306" t="s">
        <v>722</v>
      </c>
      <c r="D306" t="s">
        <v>948</v>
      </c>
      <c r="E306">
        <v>9011</v>
      </c>
      <c r="F306" s="45" t="s">
        <v>2592</v>
      </c>
      <c r="G306" t="s">
        <v>2588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331</v>
      </c>
      <c r="B307" s="31" t="str">
        <f>_xlfn.TEXTAFTER(CONTROL[[#This Row],[VEHIDCODE]],"_")</f>
        <v>Norway_Oslo_T1000</v>
      </c>
      <c r="C307" t="s">
        <v>722</v>
      </c>
      <c r="D307" t="s">
        <v>948</v>
      </c>
      <c r="E307">
        <v>9012</v>
      </c>
      <c r="F307" s="45" t="s">
        <v>1294</v>
      </c>
      <c r="G307" t="s">
        <v>2591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332</v>
      </c>
      <c r="B308" s="31" t="str">
        <f>_xlfn.TEXTAFTER(CONTROL[[#This Row],[VEHIDCODE]],"_")</f>
        <v>Canada_Toronto_H_series</v>
      </c>
      <c r="C308" t="s">
        <v>722</v>
      </c>
      <c r="D308" t="s">
        <v>948</v>
      </c>
      <c r="E308">
        <v>9013</v>
      </c>
      <c r="F308" s="45" t="s">
        <v>2594</v>
      </c>
      <c r="G308" t="s">
        <v>2593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333</v>
      </c>
      <c r="B309" s="31" t="str">
        <f>_xlfn.TEXTAFTER(CONTROL[[#This Row],[VEHIDCODE]],"_")</f>
        <v>Germany_Munchen_MVG_A2</v>
      </c>
      <c r="C309" t="s">
        <v>722</v>
      </c>
      <c r="D309" t="s">
        <v>948</v>
      </c>
      <c r="E309">
        <v>9014</v>
      </c>
      <c r="F309" s="45" t="s">
        <v>1295</v>
      </c>
      <c r="G309" t="s">
        <v>2595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334</v>
      </c>
      <c r="B310" s="31" t="str">
        <f>_xlfn.TEXTAFTER(CONTROL[[#This Row],[VEHIDCODE]],"_")</f>
        <v>USA_NY_R44</v>
      </c>
      <c r="C310" t="s">
        <v>722</v>
      </c>
      <c r="D310" t="s">
        <v>948</v>
      </c>
      <c r="E310">
        <v>9015</v>
      </c>
      <c r="F310" s="45" t="s">
        <v>1296</v>
      </c>
      <c r="G310" t="s">
        <v>2596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335</v>
      </c>
      <c r="B311" s="31" t="str">
        <f>_xlfn.TEXTAFTER(CONTROL[[#This Row],[VEHIDCODE]],"_")</f>
        <v>Netherlands_Amsterdam_Type_M1</v>
      </c>
      <c r="C311" t="s">
        <v>722</v>
      </c>
      <c r="D311" t="s">
        <v>948</v>
      </c>
      <c r="E311">
        <v>9016</v>
      </c>
      <c r="F311" s="45" t="s">
        <v>1297</v>
      </c>
      <c r="G311" t="s">
        <v>2597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336</v>
      </c>
      <c r="B312" s="31" t="str">
        <f>_xlfn.TEXTAFTER(CONTROL[[#This Row],[VEHIDCODE]],"_")</f>
        <v>Sweden_Stockholm_C8</v>
      </c>
      <c r="C312" t="s">
        <v>722</v>
      </c>
      <c r="D312" t="s">
        <v>948</v>
      </c>
      <c r="E312">
        <v>9017</v>
      </c>
      <c r="F312" s="45" t="s">
        <v>1298</v>
      </c>
      <c r="G312" t="s">
        <v>2598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337</v>
      </c>
      <c r="B313" s="31" t="str">
        <f>_xlfn.TEXTAFTER(CONTROL[[#This Row],[VEHIDCODE]],"_")</f>
        <v>North_Korea_Pyongyang_D_stock</v>
      </c>
      <c r="C313" t="s">
        <v>722</v>
      </c>
      <c r="D313" t="s">
        <v>948</v>
      </c>
      <c r="E313">
        <v>9018</v>
      </c>
      <c r="F313" s="45" t="s">
        <v>1299</v>
      </c>
      <c r="G313" t="s">
        <v>2599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338</v>
      </c>
      <c r="B314" s="31" t="str">
        <f>_xlfn.TEXTAFTER(CONTROL[[#This Row],[VEHIDCODE]],"_")</f>
        <v>Finland_Helsinki_M100</v>
      </c>
      <c r="C314" t="s">
        <v>722</v>
      </c>
      <c r="D314" t="s">
        <v>948</v>
      </c>
      <c r="E314">
        <v>9019</v>
      </c>
      <c r="F314" s="45" t="s">
        <v>1300</v>
      </c>
      <c r="G314" t="s">
        <v>2600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339</v>
      </c>
      <c r="B315" s="31" t="str">
        <f>_xlfn.TEXTAFTER(CONTROL[[#This Row],[VEHIDCODE]],"_")</f>
        <v>Brazil_Sao_Paulo_Serie_5500</v>
      </c>
      <c r="C315" t="s">
        <v>722</v>
      </c>
      <c r="D315" t="s">
        <v>948</v>
      </c>
      <c r="E315">
        <v>9020</v>
      </c>
      <c r="F315" s="45" t="s">
        <v>1301</v>
      </c>
      <c r="G315" t="s">
        <v>2601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340</v>
      </c>
      <c r="B316" s="31" t="str">
        <f>_xlfn.TEXTAFTER(CONTROL[[#This Row],[VEHIDCODE]],"_")</f>
        <v>Russia_Moscow_81_720</v>
      </c>
      <c r="C316" t="s">
        <v>722</v>
      </c>
      <c r="D316" t="s">
        <v>948</v>
      </c>
      <c r="E316">
        <v>9021</v>
      </c>
      <c r="F316" s="45" t="s">
        <v>1302</v>
      </c>
      <c r="G316" t="s">
        <v>2584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341</v>
      </c>
      <c r="B317" s="31" t="str">
        <f>_xlfn.TEXTAFTER(CONTROL[[#This Row],[VEHIDCODE]],"_")</f>
        <v>Japan_Tokyo_S01</v>
      </c>
      <c r="C317" t="s">
        <v>722</v>
      </c>
      <c r="D317" t="s">
        <v>948</v>
      </c>
      <c r="E317">
        <v>9022</v>
      </c>
      <c r="F317" s="45" t="s">
        <v>1303</v>
      </c>
      <c r="G317" t="s">
        <v>2602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342</v>
      </c>
      <c r="B318" s="31" t="str">
        <f>_xlfn.TEXTAFTER(CONTROL[[#This Row],[VEHIDCODE]],"_")</f>
        <v>Egypt_Cairo_1987_Stock</v>
      </c>
      <c r="C318" t="s">
        <v>722</v>
      </c>
      <c r="D318" t="s">
        <v>948</v>
      </c>
      <c r="E318">
        <v>9023</v>
      </c>
      <c r="F318" s="45" t="s">
        <v>2603</v>
      </c>
      <c r="G318" t="s">
        <v>2604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343</v>
      </c>
      <c r="B319" s="31" t="str">
        <f>_xlfn.TEXTAFTER(CONTROL[[#This Row],[VEHIDCODE]],"_")</f>
        <v>UK_DLR_P86</v>
      </c>
      <c r="C319" t="s">
        <v>722</v>
      </c>
      <c r="D319" t="s">
        <v>948</v>
      </c>
      <c r="E319">
        <v>9024</v>
      </c>
      <c r="F319" s="45" t="s">
        <v>2605</v>
      </c>
      <c r="G319" t="s">
        <v>2606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344</v>
      </c>
      <c r="B320" s="31" t="str">
        <f>_xlfn.TEXTAFTER(CONTROL[[#This Row],[VEHIDCODE]],"_")</f>
        <v>Russia_Moscow_81_7175M</v>
      </c>
      <c r="C320" t="s">
        <v>722</v>
      </c>
      <c r="D320" t="s">
        <v>948</v>
      </c>
      <c r="E320">
        <v>9025</v>
      </c>
      <c r="F320" s="45" t="s">
        <v>1304</v>
      </c>
      <c r="G320" t="s">
        <v>2607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345</v>
      </c>
      <c r="B321" s="31" t="str">
        <f>_xlfn.TEXTAFTER(CONTROL[[#This Row],[VEHIDCODE]],"_")</f>
        <v>USA_Boston_01800</v>
      </c>
      <c r="C321" t="s">
        <v>722</v>
      </c>
      <c r="D321" t="s">
        <v>948</v>
      </c>
      <c r="E321">
        <v>9026</v>
      </c>
      <c r="F321" s="45" t="s">
        <v>1305</v>
      </c>
      <c r="G321" t="s">
        <v>2608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346</v>
      </c>
      <c r="B322" s="31" t="str">
        <f>_xlfn.TEXTAFTER(CONTROL[[#This Row],[VEHIDCODE]],"_")</f>
        <v>USA_LA_A650</v>
      </c>
      <c r="C322" t="s">
        <v>722</v>
      </c>
      <c r="D322" t="s">
        <v>948</v>
      </c>
      <c r="E322">
        <v>9027</v>
      </c>
      <c r="F322" s="45" t="s">
        <v>1306</v>
      </c>
      <c r="G322" t="s">
        <v>2609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347</v>
      </c>
      <c r="B323" s="31" t="str">
        <f>_xlfn.TEXTAFTER(CONTROL[[#This Row],[VEHIDCODE]],"_")</f>
        <v>Taiwan_Taipei_C301</v>
      </c>
      <c r="C323" t="s">
        <v>722</v>
      </c>
      <c r="D323" t="s">
        <v>948</v>
      </c>
      <c r="E323">
        <v>9028</v>
      </c>
      <c r="F323" s="45" t="s">
        <v>1307</v>
      </c>
      <c r="G323" t="s">
        <v>2610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348</v>
      </c>
      <c r="B324" s="31" t="str">
        <f>_xlfn.TEXTAFTER(CONTROL[[#This Row],[VEHIDCODE]],"_")</f>
        <v>Netherlands_Amsterdam_CAF_90</v>
      </c>
      <c r="C324" t="s">
        <v>722</v>
      </c>
      <c r="D324" t="s">
        <v>948</v>
      </c>
      <c r="E324">
        <v>9030</v>
      </c>
      <c r="F324" s="45" t="s">
        <v>2612</v>
      </c>
      <c r="G324" t="s">
        <v>2611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349</v>
      </c>
      <c r="B325" s="31" t="str">
        <f>_xlfn.TEXTAFTER(CONTROL[[#This Row],[VEHIDCODE]],"_")</f>
        <v>France_Paris_MP89</v>
      </c>
      <c r="C325" t="s">
        <v>722</v>
      </c>
      <c r="D325" t="s">
        <v>948</v>
      </c>
      <c r="E325">
        <v>9029</v>
      </c>
      <c r="F325" s="45" t="s">
        <v>1308</v>
      </c>
      <c r="G325" t="s">
        <v>2613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350</v>
      </c>
      <c r="B326" s="31" t="str">
        <f>_xlfn.TEXTAFTER(CONTROL[[#This Row],[VEHIDCODE]],"_")</f>
        <v>Russia_Moscow_81_740</v>
      </c>
      <c r="C326" t="s">
        <v>722</v>
      </c>
      <c r="D326" t="s">
        <v>948</v>
      </c>
      <c r="E326">
        <v>9031</v>
      </c>
      <c r="F326" s="45" t="s">
        <v>1309</v>
      </c>
      <c r="G326" t="s">
        <v>2614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351</v>
      </c>
      <c r="B327" s="31" t="str">
        <f>_xlfn.TEXTAFTER(CONTROL[[#This Row],[VEHIDCODE]],"_")</f>
        <v>Singapore_Singapore_C830_Metropolis</v>
      </c>
      <c r="C327" t="s">
        <v>722</v>
      </c>
      <c r="D327" t="s">
        <v>948</v>
      </c>
      <c r="E327">
        <v>9032</v>
      </c>
      <c r="F327" s="45" t="s">
        <v>1310</v>
      </c>
      <c r="G327" t="s">
        <v>2615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352</v>
      </c>
      <c r="B328" s="31" t="str">
        <f>_xlfn.TEXTAFTER(CONTROL[[#This Row],[VEHIDCODE]],"_")</f>
        <v>Norway_Oslo_MX3000</v>
      </c>
      <c r="C328" t="s">
        <v>722</v>
      </c>
      <c r="D328" t="s">
        <v>948</v>
      </c>
      <c r="E328">
        <v>9033</v>
      </c>
      <c r="F328" s="45" t="s">
        <v>1311</v>
      </c>
      <c r="G328" t="s">
        <v>2616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353</v>
      </c>
      <c r="B329" s="31" t="str">
        <f>_xlfn.TEXTAFTER(CONTROL[[#This Row],[VEHIDCODE]],"_")</f>
        <v>Japan_Osaka_30000</v>
      </c>
      <c r="C329" t="s">
        <v>722</v>
      </c>
      <c r="D329" t="s">
        <v>948</v>
      </c>
      <c r="E329">
        <v>9034</v>
      </c>
      <c r="F329" s="45" t="s">
        <v>1312</v>
      </c>
      <c r="G329" t="s">
        <v>2617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354</v>
      </c>
      <c r="B330" s="31" t="str">
        <f>_xlfn.TEXTAFTER(CONTROL[[#This Row],[VEHIDCODE]],"_")</f>
        <v>Singapore_Singapore_C151A</v>
      </c>
      <c r="C330" t="s">
        <v>722</v>
      </c>
      <c r="D330" t="s">
        <v>948</v>
      </c>
      <c r="E330">
        <v>9035</v>
      </c>
      <c r="F330" s="45" t="s">
        <v>1313</v>
      </c>
      <c r="G330" t="s">
        <v>2618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355</v>
      </c>
      <c r="B331" s="31" t="str">
        <f>_xlfn.TEXTAFTER(CONTROL[[#This Row],[VEHIDCODE]],"_")</f>
        <v>USA_Washington_7000</v>
      </c>
      <c r="C331" t="s">
        <v>722</v>
      </c>
      <c r="D331" t="s">
        <v>948</v>
      </c>
      <c r="E331">
        <v>9036</v>
      </c>
      <c r="F331" s="45" t="s">
        <v>1314</v>
      </c>
      <c r="G331" t="s">
        <v>2619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356</v>
      </c>
      <c r="B332" s="31" t="str">
        <f>_xlfn.TEXTAFTER(CONTROL[[#This Row],[VEHIDCODE]],"_")</f>
        <v>Greece_Thessaloniki_2014</v>
      </c>
      <c r="C332" t="s">
        <v>722</v>
      </c>
      <c r="D332" t="s">
        <v>948</v>
      </c>
      <c r="E332">
        <v>9037</v>
      </c>
      <c r="F332" s="45" t="s">
        <v>1315</v>
      </c>
      <c r="G332" t="s">
        <v>2620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357</v>
      </c>
      <c r="B333" s="31" t="str">
        <f>_xlfn.TEXTAFTER(CONTROL[[#This Row],[VEHIDCODE]],"_")</f>
        <v>Germany_Berlin_U_Bahn_A_I</v>
      </c>
      <c r="C333" t="s">
        <v>722</v>
      </c>
      <c r="D333" t="s">
        <v>948</v>
      </c>
      <c r="E333">
        <v>9038</v>
      </c>
      <c r="F333" s="45" t="s">
        <v>1316</v>
      </c>
      <c r="G333" t="s">
        <v>2621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358</v>
      </c>
      <c r="B334" s="31" t="str">
        <f>_xlfn.TEXTAFTER(CONTROL[[#This Row],[VEHIDCODE]],"_")</f>
        <v>USA_NY_Hedley_Hi_V</v>
      </c>
      <c r="C334" t="s">
        <v>722</v>
      </c>
      <c r="D334" t="s">
        <v>948</v>
      </c>
      <c r="E334">
        <v>9039</v>
      </c>
      <c r="F334" s="45" t="s">
        <v>1317</v>
      </c>
      <c r="G334" t="s">
        <v>2622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359</v>
      </c>
      <c r="B335" s="31" t="str">
        <f>_xlfn.TEXTAFTER(CONTROL[[#This Row],[VEHIDCODE]],"_")</f>
        <v>Japan_Osaka_1000</v>
      </c>
      <c r="C335" t="s">
        <v>722</v>
      </c>
      <c r="D335" t="s">
        <v>948</v>
      </c>
      <c r="E335">
        <v>9040</v>
      </c>
      <c r="F335" s="45" t="s">
        <v>1318</v>
      </c>
      <c r="G335" t="s">
        <v>2623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360</v>
      </c>
      <c r="B336" s="31" t="str">
        <f>_xlfn.TEXTAFTER(CONTROL[[#This Row],[VEHIDCODE]],"_")</f>
        <v>Russia_Moscow_Type_A</v>
      </c>
      <c r="C336" t="s">
        <v>722</v>
      </c>
      <c r="D336" t="s">
        <v>948</v>
      </c>
      <c r="E336">
        <v>9041</v>
      </c>
      <c r="F336" s="45" t="s">
        <v>1319</v>
      </c>
      <c r="G336" t="s">
        <v>2624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361</v>
      </c>
      <c r="B337" s="31" t="str">
        <f>_xlfn.TEXTAFTER(CONTROL[[#This Row],[VEHIDCODE]],"_")</f>
        <v>USA_NY_R10</v>
      </c>
      <c r="C337" t="s">
        <v>722</v>
      </c>
      <c r="D337" t="s">
        <v>948</v>
      </c>
      <c r="E337">
        <v>9042</v>
      </c>
      <c r="F337" s="45" t="s">
        <v>1320</v>
      </c>
      <c r="G337" t="s">
        <v>2625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362</v>
      </c>
      <c r="B338" s="31" t="str">
        <f>_xlfn.TEXTAFTER(CONTROL[[#This Row],[VEHIDCODE]],"_")</f>
        <v>Italy_Rome_MR_100</v>
      </c>
      <c r="C338" t="s">
        <v>722</v>
      </c>
      <c r="D338" t="s">
        <v>948</v>
      </c>
      <c r="E338">
        <v>9043</v>
      </c>
      <c r="F338" s="45" t="s">
        <v>1321</v>
      </c>
      <c r="G338" t="s">
        <v>2626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363</v>
      </c>
      <c r="B339" s="31" t="str">
        <f>_xlfn.TEXTAFTER(CONTROL[[#This Row],[VEHIDCODE]],"_")</f>
        <v>Russia_Moscow_Type_D</v>
      </c>
      <c r="C339" t="s">
        <v>722</v>
      </c>
      <c r="D339" t="s">
        <v>948</v>
      </c>
      <c r="E339">
        <v>9044</v>
      </c>
      <c r="F339" s="45" t="s">
        <v>1322</v>
      </c>
      <c r="G339" t="s">
        <v>2627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364</v>
      </c>
      <c r="B340" s="31" t="str">
        <f>_xlfn.TEXTAFTER(CONTROL[[#This Row],[VEHIDCODE]],"_")</f>
        <v>Netherlands_Rotterdam_MG2_Type_M</v>
      </c>
      <c r="C340" t="s">
        <v>722</v>
      </c>
      <c r="D340" t="s">
        <v>948</v>
      </c>
      <c r="E340">
        <v>9045</v>
      </c>
      <c r="F340" s="45" t="s">
        <v>1323</v>
      </c>
      <c r="G340" t="s">
        <v>2628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365</v>
      </c>
      <c r="B341" s="31" t="str">
        <f>_xlfn.TEXTAFTER(CONTROL[[#This Row],[VEHIDCODE]],"_")</f>
        <v>Czech_Republic_Prague_ECS_Set</v>
      </c>
      <c r="C341" t="s">
        <v>722</v>
      </c>
      <c r="D341" t="s">
        <v>948</v>
      </c>
      <c r="E341">
        <v>9046</v>
      </c>
      <c r="F341" s="45" t="s">
        <v>1324</v>
      </c>
      <c r="G341" t="s">
        <v>2629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366</v>
      </c>
      <c r="B342" s="31" t="str">
        <f>_xlfn.TEXTAFTER(CONTROL[[#This Row],[VEHIDCODE]],"_")</f>
        <v>Argentina_Buenos_Aires_Serie_1200</v>
      </c>
      <c r="C342" t="s">
        <v>722</v>
      </c>
      <c r="D342" t="s">
        <v>948</v>
      </c>
      <c r="E342">
        <v>9047</v>
      </c>
      <c r="F342" s="45" t="s">
        <v>1325</v>
      </c>
      <c r="G342" t="s">
        <v>2630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367</v>
      </c>
      <c r="B343" s="31" t="str">
        <f>_xlfn.TEXTAFTER(CONTROL[[#This Row],[VEHIDCODE]],"_")</f>
        <v>Chile_Santiago_NS_93</v>
      </c>
      <c r="C343" t="s">
        <v>722</v>
      </c>
      <c r="D343" t="s">
        <v>948</v>
      </c>
      <c r="E343">
        <v>9048</v>
      </c>
      <c r="F343" s="45" t="s">
        <v>1326</v>
      </c>
      <c r="G343" t="s">
        <v>2631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368</v>
      </c>
      <c r="B344" s="31" t="str">
        <f>_xlfn.TEXTAFTER(CONTROL[[#This Row],[VEHIDCODE]],"_")</f>
        <v>Chile_Santiago_AS_2002</v>
      </c>
      <c r="C344" t="s">
        <v>722</v>
      </c>
      <c r="D344" t="s">
        <v>948</v>
      </c>
      <c r="E344">
        <v>9049</v>
      </c>
      <c r="F344" s="45" t="s">
        <v>1327</v>
      </c>
      <c r="G344" t="s">
        <v>2632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369</v>
      </c>
      <c r="B345" s="31" t="str">
        <f>_xlfn.TEXTAFTER(CONTROL[[#This Row],[VEHIDCODE]],"_")</f>
        <v>Brazil_Recife_VLT_Mobile_3</v>
      </c>
      <c r="C345" t="s">
        <v>722</v>
      </c>
      <c r="D345" t="s">
        <v>948</v>
      </c>
      <c r="E345">
        <v>9050</v>
      </c>
      <c r="F345" s="45" t="s">
        <v>1328</v>
      </c>
      <c r="G345" t="s">
        <v>2633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370</v>
      </c>
      <c r="B346" s="31" t="str">
        <f>_xlfn.TEXTAFTER(CONTROL[[#This Row],[VEHIDCODE]],"_")</f>
        <v>Spain_Madrid_Series_5000</v>
      </c>
      <c r="C346" t="s">
        <v>722</v>
      </c>
      <c r="D346" t="s">
        <v>948</v>
      </c>
      <c r="E346">
        <v>9051</v>
      </c>
      <c r="F346" s="45" t="s">
        <v>1329</v>
      </c>
      <c r="G346" t="s">
        <v>2634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371</v>
      </c>
      <c r="B347" s="31" t="str">
        <f>_xlfn.TEXTAFTER(CONTROL[[#This Row],[VEHIDCODE]],"_")</f>
        <v>Italy_Rome_S_300</v>
      </c>
      <c r="C347" t="s">
        <v>722</v>
      </c>
      <c r="D347" t="s">
        <v>948</v>
      </c>
      <c r="E347">
        <v>9052</v>
      </c>
      <c r="F347" s="45" t="s">
        <v>1330</v>
      </c>
      <c r="G347" t="s">
        <v>2635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372</v>
      </c>
      <c r="B348" s="31" t="str">
        <f>_xlfn.TEXTAFTER(CONTROL[[#This Row],[VEHIDCODE]],"_")</f>
        <v>Algeria_Algiers_CAF_2011_Stock</v>
      </c>
      <c r="C348" t="s">
        <v>722</v>
      </c>
      <c r="D348" t="s">
        <v>948</v>
      </c>
      <c r="E348">
        <v>9053</v>
      </c>
      <c r="F348" s="45" t="s">
        <v>1331</v>
      </c>
      <c r="G348" t="s">
        <v>2636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373</v>
      </c>
      <c r="B349" s="31" t="str">
        <f>_xlfn.TEXTAFTER(CONTROL[[#This Row],[VEHIDCODE]],"_")</f>
        <v>Germany_Berlin_U_Bahn_IK</v>
      </c>
      <c r="C349" t="s">
        <v>722</v>
      </c>
      <c r="D349" t="s">
        <v>948</v>
      </c>
      <c r="E349">
        <v>9054</v>
      </c>
      <c r="F349" s="45" t="s">
        <v>1332</v>
      </c>
      <c r="G349" t="s">
        <v>2637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374</v>
      </c>
      <c r="B350" s="31" t="str">
        <f>_xlfn.TEXTAFTER(CONTROL[[#This Row],[VEHIDCODE]],"_")</f>
        <v>USA_Chicago_L_6000</v>
      </c>
      <c r="C350" t="s">
        <v>722</v>
      </c>
      <c r="D350" t="s">
        <v>948</v>
      </c>
      <c r="E350">
        <v>9055</v>
      </c>
      <c r="F350" s="45" t="s">
        <v>1333</v>
      </c>
      <c r="G350" t="s">
        <v>2638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375</v>
      </c>
      <c r="B351" s="31" t="str">
        <f>_xlfn.TEXTAFTER(CONTROL[[#This Row],[VEHIDCODE]],"_")</f>
        <v>UK_London_1903_Stock</v>
      </c>
      <c r="C351" t="s">
        <v>722</v>
      </c>
      <c r="D351" t="s">
        <v>948</v>
      </c>
      <c r="E351">
        <v>9002</v>
      </c>
      <c r="F351" s="45" t="s">
        <v>1334</v>
      </c>
      <c r="G351" t="s">
        <v>2639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376</v>
      </c>
      <c r="B352" s="31" t="str">
        <f>_xlfn.TEXTAFTER(CONTROL[[#This Row],[VEHIDCODE]],"_")</f>
        <v>UK_London_1938_Stock</v>
      </c>
      <c r="C352" t="s">
        <v>722</v>
      </c>
      <c r="D352" t="s">
        <v>948</v>
      </c>
      <c r="E352">
        <v>9007</v>
      </c>
      <c r="F352" s="45" t="s">
        <v>1335</v>
      </c>
      <c r="G352" t="s">
        <v>2640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377</v>
      </c>
      <c r="B353" s="31" t="str">
        <f>_xlfn.TEXTAFTER(CONTROL[[#This Row],[VEHIDCODE]],"_")</f>
        <v>UK_NER_EF1</v>
      </c>
      <c r="C353" t="s">
        <v>722</v>
      </c>
      <c r="D353" t="s">
        <v>942</v>
      </c>
      <c r="E353">
        <v>6002</v>
      </c>
      <c r="F353" s="45" t="s">
        <v>1336</v>
      </c>
      <c r="G353" t="s">
        <v>2641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378</v>
      </c>
      <c r="B354" s="31" t="str">
        <f>_xlfn.TEXTAFTER(CONTROL[[#This Row],[VEHIDCODE]],"_")</f>
        <v>Japan_JNR_EB10</v>
      </c>
      <c r="C354" t="s">
        <v>722</v>
      </c>
      <c r="D354" t="s">
        <v>942</v>
      </c>
      <c r="E354">
        <v>6010</v>
      </c>
      <c r="F354" s="45" t="s">
        <v>1337</v>
      </c>
      <c r="G354" t="s">
        <v>2642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379</v>
      </c>
      <c r="B355" s="31" t="str">
        <f>_xlfn.TEXTAFTER(CONTROL[[#This Row],[VEHIDCODE]],"_")</f>
        <v>Japan_JNR_EF55</v>
      </c>
      <c r="C355" t="s">
        <v>722</v>
      </c>
      <c r="D355" t="s">
        <v>942</v>
      </c>
      <c r="E355">
        <v>6015</v>
      </c>
      <c r="F355" s="45" t="s">
        <v>1338</v>
      </c>
      <c r="G355" t="s">
        <v>2643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380</v>
      </c>
      <c r="B356" s="31" t="str">
        <f>_xlfn.TEXTAFTER(CONTROL[[#This Row],[VEHIDCODE]],"_")</f>
        <v>Netherlands_NS_1000</v>
      </c>
      <c r="C356" t="s">
        <v>722</v>
      </c>
      <c r="D356" t="s">
        <v>942</v>
      </c>
      <c r="E356">
        <v>6019</v>
      </c>
      <c r="F356" s="45" t="s">
        <v>1339</v>
      </c>
      <c r="G356" t="s">
        <v>2644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381</v>
      </c>
      <c r="B357" s="31" t="str">
        <f>_xlfn.TEXTAFTER(CONTROL[[#This Row],[VEHIDCODE]],"_")</f>
        <v>Netherlands_NS_1600</v>
      </c>
      <c r="C357" t="s">
        <v>722</v>
      </c>
      <c r="D357" t="s">
        <v>942</v>
      </c>
      <c r="E357">
        <v>6038</v>
      </c>
      <c r="F357" s="45" t="s">
        <v>1340</v>
      </c>
      <c r="G357" t="s">
        <v>2645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382</v>
      </c>
      <c r="B358" s="31" t="str">
        <f>_xlfn.TEXTAFTER(CONTROL[[#This Row],[VEHIDCODE]],"_")</f>
        <v>Australia_Victorian_Railways_E_Class</v>
      </c>
      <c r="C358" t="s">
        <v>722</v>
      </c>
      <c r="D358" t="s">
        <v>942</v>
      </c>
      <c r="E358">
        <v>6072</v>
      </c>
      <c r="F358" s="45" t="s">
        <v>1341</v>
      </c>
      <c r="G358" t="s">
        <v>2646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383</v>
      </c>
      <c r="B359" s="31" t="str">
        <f>_xlfn.TEXTAFTER(CONTROL[[#This Row],[VEHIDCODE]],"_")</f>
        <v>UK_NER_ES1</v>
      </c>
      <c r="C359" t="s">
        <v>722</v>
      </c>
      <c r="D359" t="s">
        <v>942</v>
      </c>
      <c r="E359">
        <v>6067</v>
      </c>
      <c r="F359" s="45" t="s">
        <v>1342</v>
      </c>
      <c r="G359" t="s">
        <v>2647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384</v>
      </c>
      <c r="B360" s="31" t="str">
        <f>_xlfn.TEXTAFTER(CONTROL[[#This Row],[VEHIDCODE]],"_")</f>
        <v>USA_NYC_S_motor</v>
      </c>
      <c r="C360" t="s">
        <v>722</v>
      </c>
      <c r="D360" t="s">
        <v>942</v>
      </c>
      <c r="E360">
        <v>6066</v>
      </c>
      <c r="F360" s="45" t="s">
        <v>2649</v>
      </c>
      <c r="G360" t="s">
        <v>2648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385</v>
      </c>
      <c r="B361" s="31" t="str">
        <f>_xlfn.TEXTAFTER(CONTROL[[#This Row],[VEHIDCODE]],"_")</f>
        <v>Japan_Aichi_Railroad_DeKi_400</v>
      </c>
      <c r="C361" t="s">
        <v>722</v>
      </c>
      <c r="D361" t="s">
        <v>942</v>
      </c>
      <c r="E361">
        <v>6075</v>
      </c>
      <c r="F361" s="45" t="s">
        <v>1343</v>
      </c>
      <c r="G361" t="s">
        <v>2650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386</v>
      </c>
      <c r="B362" s="31" t="str">
        <f>_xlfn.TEXTAFTER(CONTROL[[#This Row],[VEHIDCODE]],"_")</f>
        <v>India_Indian_Railways_WCG_1</v>
      </c>
      <c r="C362" t="s">
        <v>722</v>
      </c>
      <c r="D362" t="s">
        <v>942</v>
      </c>
      <c r="E362">
        <v>6008</v>
      </c>
      <c r="F362" s="45" t="s">
        <v>1344</v>
      </c>
      <c r="G362" t="s">
        <v>2651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387</v>
      </c>
      <c r="B363" s="31" t="str">
        <f>_xlfn.TEXTAFTER(CONTROL[[#This Row],[VEHIDCODE]],"_")</f>
        <v>France_SNCF_BB_9004</v>
      </c>
      <c r="C363" t="s">
        <v>722</v>
      </c>
      <c r="D363" t="s">
        <v>942</v>
      </c>
      <c r="E363">
        <v>6022</v>
      </c>
      <c r="F363" s="45" t="s">
        <v>1345</v>
      </c>
      <c r="G363" t="s">
        <v>2652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388</v>
      </c>
      <c r="B364" s="31" t="str">
        <f>_xlfn.TEXTAFTER(CONTROL[[#This Row],[VEHIDCODE]],"_")</f>
        <v>Indonesia_ESS_3200</v>
      </c>
      <c r="C364" t="s">
        <v>722</v>
      </c>
      <c r="D364" t="s">
        <v>942</v>
      </c>
      <c r="E364">
        <v>6096</v>
      </c>
      <c r="F364" s="45" t="s">
        <v>1346</v>
      </c>
      <c r="G364" t="s">
        <v>2653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389</v>
      </c>
      <c r="B365" s="31" t="str">
        <f>_xlfn.TEXTAFTER(CONTROL[[#This Row],[VEHIDCODE]],"_")</f>
        <v>UK_BR_77_Metrovic</v>
      </c>
      <c r="C365" t="s">
        <v>722</v>
      </c>
      <c r="D365" t="s">
        <v>942</v>
      </c>
      <c r="E365">
        <v>6021</v>
      </c>
      <c r="F365" s="45" t="s">
        <v>1347</v>
      </c>
      <c r="G365" t="s">
        <v>2654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390</v>
      </c>
      <c r="B366" s="31" t="str">
        <f>_xlfn.TEXTAFTER(CONTROL[[#This Row],[VEHIDCODE]],"_")</f>
        <v>UK_NER_EE1</v>
      </c>
      <c r="C366" t="s">
        <v>722</v>
      </c>
      <c r="D366" t="s">
        <v>942</v>
      </c>
      <c r="E366">
        <v>6071</v>
      </c>
      <c r="F366" s="45" t="s">
        <v>1348</v>
      </c>
      <c r="G366" t="s">
        <v>2655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391</v>
      </c>
      <c r="B367" s="31" t="str">
        <f>_xlfn.TEXTAFTER(CONTROL[[#This Row],[VEHIDCODE]],"_")</f>
        <v>USA_Milwaukee_Road_ES_2</v>
      </c>
      <c r="C367" t="s">
        <v>722</v>
      </c>
      <c r="D367" t="s">
        <v>942</v>
      </c>
      <c r="E367">
        <v>6003</v>
      </c>
      <c r="F367" s="45" t="s">
        <v>1349</v>
      </c>
      <c r="G367" t="s">
        <v>2656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392</v>
      </c>
      <c r="B368" s="31" t="str">
        <f>_xlfn.TEXTAFTER(CONTROL[[#This Row],[VEHIDCODE]],"_")</f>
        <v>USA_Milwaukee_Road_EP_2_Bipolar</v>
      </c>
      <c r="C368" t="s">
        <v>722</v>
      </c>
      <c r="D368" t="s">
        <v>942</v>
      </c>
      <c r="E368">
        <v>6064</v>
      </c>
      <c r="F368" s="45" t="s">
        <v>1350</v>
      </c>
      <c r="G368" t="s">
        <v>2657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393</v>
      </c>
      <c r="B369" s="31" t="str">
        <f>_xlfn.TEXTAFTER(CONTROL[[#This Row],[VEHIDCODE]],"_")</f>
        <v>Chile_EFE_E_28</v>
      </c>
      <c r="C369" t="s">
        <v>722</v>
      </c>
      <c r="D369" t="s">
        <v>942</v>
      </c>
      <c r="E369">
        <v>6006</v>
      </c>
      <c r="F369" s="45" t="s">
        <v>1351</v>
      </c>
      <c r="G369" t="s">
        <v>1740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394</v>
      </c>
      <c r="B370" s="31" t="str">
        <f>_xlfn.TEXTAFTER(CONTROL[[#This Row],[VEHIDCODE]],"_")</f>
        <v>Italy_FS_E428</v>
      </c>
      <c r="C370" t="s">
        <v>722</v>
      </c>
      <c r="D370" t="s">
        <v>942</v>
      </c>
      <c r="E370">
        <v>6013</v>
      </c>
      <c r="F370" s="45" t="s">
        <v>1352</v>
      </c>
      <c r="G370" t="s">
        <v>2658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395</v>
      </c>
      <c r="B371" s="31" t="str">
        <f>_xlfn.TEXTAFTER(CONTROL[[#This Row],[VEHIDCODE]],"_")</f>
        <v>South_Africa_SAR_ES_Class</v>
      </c>
      <c r="C371" t="s">
        <v>722</v>
      </c>
      <c r="D371" t="s">
        <v>942</v>
      </c>
      <c r="E371">
        <v>6016</v>
      </c>
      <c r="F371" s="45" t="s">
        <v>1353</v>
      </c>
      <c r="G371" t="s">
        <v>2659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396</v>
      </c>
      <c r="B372" s="31" t="str">
        <f>_xlfn.TEXTAFTER(CONTROL[[#This Row],[VEHIDCODE]],"_")</f>
        <v>Poland_PKP_EU06</v>
      </c>
      <c r="C372" t="s">
        <v>722</v>
      </c>
      <c r="D372" t="s">
        <v>942</v>
      </c>
      <c r="E372">
        <v>6084</v>
      </c>
      <c r="F372" s="45" t="s">
        <v>1354</v>
      </c>
      <c r="G372" t="s">
        <v>2660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397</v>
      </c>
      <c r="B373" s="31" t="str">
        <f>_xlfn.TEXTAFTER(CONTROL[[#This Row],[VEHIDCODE]],"_")</f>
        <v>Poland_PKP_ET41</v>
      </c>
      <c r="C373" t="s">
        <v>722</v>
      </c>
      <c r="D373" t="s">
        <v>942</v>
      </c>
      <c r="E373">
        <v>6037</v>
      </c>
      <c r="F373" s="45" t="s">
        <v>1355</v>
      </c>
      <c r="G373" t="s">
        <v>2661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398</v>
      </c>
      <c r="B374" s="31" t="str">
        <f>_xlfn.TEXTAFTER(CONTROL[[#This Row],[VEHIDCODE]],"_")</f>
        <v>Poland_PKP_EP09</v>
      </c>
      <c r="C374" t="s">
        <v>722</v>
      </c>
      <c r="D374" t="s">
        <v>942</v>
      </c>
      <c r="E374">
        <v>6114</v>
      </c>
      <c r="F374" s="45" t="s">
        <v>1356</v>
      </c>
      <c r="G374" t="s">
        <v>2662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399</v>
      </c>
      <c r="B375" s="31" t="str">
        <f>_xlfn.TEXTAFTER(CONTROL[[#This Row],[VEHIDCODE]],"_")</f>
        <v>Slovakia_ZSSK_162</v>
      </c>
      <c r="C375" t="s">
        <v>722</v>
      </c>
      <c r="D375" t="s">
        <v>942</v>
      </c>
      <c r="E375">
        <v>6116</v>
      </c>
      <c r="F375" s="45" t="s">
        <v>1357</v>
      </c>
      <c r="G375" t="s">
        <v>2663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400</v>
      </c>
      <c r="B376" s="31" t="str">
        <f>_xlfn.TEXTAFTER(CONTROL[[#This Row],[VEHIDCODE]],"_")</f>
        <v>Italy_FS_E646</v>
      </c>
      <c r="C376" t="s">
        <v>722</v>
      </c>
      <c r="D376" t="s">
        <v>942</v>
      </c>
      <c r="E376">
        <v>6027</v>
      </c>
      <c r="F376" s="45" t="s">
        <v>1358</v>
      </c>
      <c r="G376" t="s">
        <v>2664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401</v>
      </c>
      <c r="B377" s="31" t="str">
        <f>_xlfn.TEXTAFTER(CONTROL[[#This Row],[VEHIDCODE]],"_")</f>
        <v>Italy_FS_E424</v>
      </c>
      <c r="C377" t="s">
        <v>722</v>
      </c>
      <c r="D377" t="s">
        <v>942</v>
      </c>
      <c r="E377">
        <v>6077</v>
      </c>
      <c r="F377" s="45" t="s">
        <v>1359</v>
      </c>
      <c r="G377" t="s">
        <v>2665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402</v>
      </c>
      <c r="B378" s="31" t="str">
        <f>_xlfn.TEXTAFTER(CONTROL[[#This Row],[VEHIDCODE]],"_")</f>
        <v>Italy_FS_E444</v>
      </c>
      <c r="C378" t="s">
        <v>722</v>
      </c>
      <c r="D378" t="s">
        <v>942</v>
      </c>
      <c r="E378">
        <v>6090</v>
      </c>
      <c r="F378" s="45" t="s">
        <v>1360</v>
      </c>
      <c r="G378" t="s">
        <v>2666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403</v>
      </c>
      <c r="B379" s="31" t="str">
        <f>_xlfn.TEXTAFTER(CONTROL[[#This Row],[VEHIDCODE]],"_")</f>
        <v>Italy_FS_E633</v>
      </c>
      <c r="C379" t="s">
        <v>722</v>
      </c>
      <c r="D379" t="s">
        <v>942</v>
      </c>
      <c r="E379">
        <v>6106</v>
      </c>
      <c r="F379" s="45" t="s">
        <v>1361</v>
      </c>
      <c r="G379" t="s">
        <v>2667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404</v>
      </c>
      <c r="B380" s="31" t="str">
        <f>_xlfn.TEXTAFTER(CONTROL[[#This Row],[VEHIDCODE]],"_")</f>
        <v>Belgium_NMBS_Class_255</v>
      </c>
      <c r="C380" t="s">
        <v>722</v>
      </c>
      <c r="D380" t="s">
        <v>942</v>
      </c>
      <c r="E380">
        <v>6082</v>
      </c>
      <c r="F380" s="45" t="s">
        <v>1362</v>
      </c>
      <c r="G380" t="s">
        <v>2668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405</v>
      </c>
      <c r="B381" s="31" t="str">
        <f>_xlfn.TEXTAFTER(CONTROL[[#This Row],[VEHIDCODE]],"_")</f>
        <v>Spain_RENFE_250</v>
      </c>
      <c r="C381" t="s">
        <v>722</v>
      </c>
      <c r="D381" t="s">
        <v>942</v>
      </c>
      <c r="E381">
        <v>6110</v>
      </c>
      <c r="F381" s="45" t="s">
        <v>1363</v>
      </c>
      <c r="G381" t="s">
        <v>2669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406</v>
      </c>
      <c r="B382" s="31" t="str">
        <f>_xlfn.TEXTAFTER(CONTROL[[#This Row],[VEHIDCODE]],"_")</f>
        <v>Chile_EFE_E_29</v>
      </c>
      <c r="C382" t="s">
        <v>722</v>
      </c>
      <c r="D382" t="s">
        <v>942</v>
      </c>
      <c r="E382">
        <v>6100</v>
      </c>
      <c r="F382" s="45" t="s">
        <v>1364</v>
      </c>
      <c r="G382" t="s">
        <v>1740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407</v>
      </c>
      <c r="B383" s="31" t="str">
        <f>_xlfn.TEXTAFTER(CONTROL[[#This Row],[VEHIDCODE]],"_")</f>
        <v>Chile_EFE_E_17</v>
      </c>
      <c r="C383" t="s">
        <v>722</v>
      </c>
      <c r="D383" t="s">
        <v>942</v>
      </c>
      <c r="E383">
        <v>6126</v>
      </c>
      <c r="F383" s="45" t="s">
        <v>1365</v>
      </c>
      <c r="G383" t="s">
        <v>1740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408</v>
      </c>
      <c r="B384" s="31" t="str">
        <f>_xlfn.TEXTAFTER(CONTROL[[#This Row],[VEHIDCODE]],"_")</f>
        <v>Morocco_ONCF_E_700</v>
      </c>
      <c r="C384" t="s">
        <v>722</v>
      </c>
      <c r="D384" t="s">
        <v>942</v>
      </c>
      <c r="E384">
        <v>6099</v>
      </c>
      <c r="F384" s="45" t="s">
        <v>1366</v>
      </c>
      <c r="G384" t="s">
        <v>2670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409</v>
      </c>
      <c r="B385" s="31" t="str">
        <f>_xlfn.TEXTAFTER(CONTROL[[#This Row],[VEHIDCODE]],"_")</f>
        <v>India_Indian_Railways_WCM_1</v>
      </c>
      <c r="C385" t="s">
        <v>722</v>
      </c>
      <c r="D385" t="s">
        <v>942</v>
      </c>
      <c r="E385">
        <v>6026</v>
      </c>
      <c r="F385" s="45" t="s">
        <v>1367</v>
      </c>
      <c r="G385" t="s">
        <v>2671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410</v>
      </c>
      <c r="B386" s="31" t="str">
        <f>_xlfn.TEXTAFTER(CONTROL[[#This Row],[VEHIDCODE]],"_")</f>
        <v>South_Africa_SAR_E38</v>
      </c>
      <c r="C386" t="s">
        <v>722</v>
      </c>
      <c r="D386" t="s">
        <v>942</v>
      </c>
      <c r="E386">
        <v>6131</v>
      </c>
      <c r="F386" s="45" t="s">
        <v>2259</v>
      </c>
      <c r="G386" t="s">
        <v>2672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411</v>
      </c>
      <c r="B387" s="31" t="str">
        <f>_xlfn.TEXTAFTER(CONTROL[[#This Row],[VEHIDCODE]],"_")</f>
        <v>Chile_EFE_E_269</v>
      </c>
      <c r="C387" t="s">
        <v>722</v>
      </c>
      <c r="D387" t="s">
        <v>942</v>
      </c>
      <c r="E387">
        <v>6107</v>
      </c>
      <c r="F387" s="45" t="s">
        <v>1368</v>
      </c>
      <c r="G387" t="s">
        <v>2673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412</v>
      </c>
      <c r="B388" s="31" t="str">
        <f>_xlfn.TEXTAFTER(CONTROL[[#This Row],[VEHIDCODE]],"_")</f>
        <v>Czech_Republic_CD_363</v>
      </c>
      <c r="C388" t="s">
        <v>722</v>
      </c>
      <c r="D388" t="s">
        <v>942</v>
      </c>
      <c r="E388">
        <v>6108</v>
      </c>
      <c r="F388" s="45" t="s">
        <v>3059</v>
      </c>
      <c r="G388" t="s">
        <v>2674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413</v>
      </c>
      <c r="B389" s="31" t="str">
        <f>_xlfn.TEXTAFTER(CONTROL[[#This Row],[VEHIDCODE]],"_")</f>
        <v>Norway_NSB_EL7</v>
      </c>
      <c r="C389" t="s">
        <v>722</v>
      </c>
      <c r="D389" t="s">
        <v>942</v>
      </c>
      <c r="E389">
        <v>6001</v>
      </c>
      <c r="F389" s="45" t="s">
        <v>1369</v>
      </c>
      <c r="G389" t="s">
        <v>2675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414</v>
      </c>
      <c r="B390" s="31" t="str">
        <f>_xlfn.TEXTAFTER(CONTROL[[#This Row],[VEHIDCODE]],"_")</f>
        <v>USA_Pennsylvania_Railroad_FF_1</v>
      </c>
      <c r="C390" t="s">
        <v>722</v>
      </c>
      <c r="D390" t="s">
        <v>942</v>
      </c>
      <c r="E390">
        <v>6063</v>
      </c>
      <c r="F390" s="45" t="s">
        <v>1370</v>
      </c>
      <c r="G390" t="s">
        <v>2676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415</v>
      </c>
      <c r="B391" s="31" t="str">
        <f>_xlfn.TEXTAFTER(CONTROL[[#This Row],[VEHIDCODE]],"_")</f>
        <v>Austria_OBB_1161</v>
      </c>
      <c r="C391" t="s">
        <v>722</v>
      </c>
      <c r="D391" t="s">
        <v>942</v>
      </c>
      <c r="E391">
        <v>6007</v>
      </c>
      <c r="F391" s="45" t="s">
        <v>3035</v>
      </c>
      <c r="G391" t="s">
        <v>2677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416</v>
      </c>
      <c r="B392" s="31" t="str">
        <f>_xlfn.TEXTAFTER(CONTROL[[#This Row],[VEHIDCODE]],"_")</f>
        <v>Germany_DB_169</v>
      </c>
      <c r="C392" t="s">
        <v>722</v>
      </c>
      <c r="D392" t="s">
        <v>942</v>
      </c>
      <c r="E392">
        <v>6009</v>
      </c>
      <c r="F392" s="45" t="s">
        <v>1371</v>
      </c>
      <c r="G392" t="s">
        <v>2678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417</v>
      </c>
      <c r="B393" s="31" t="str">
        <f>_xlfn.TEXTAFTER(CONTROL[[#This Row],[VEHIDCODE]],"_")</f>
        <v>Norway_NSB_EL10</v>
      </c>
      <c r="C393" t="s">
        <v>722</v>
      </c>
      <c r="D393" t="s">
        <v>942</v>
      </c>
      <c r="E393">
        <v>6011</v>
      </c>
      <c r="F393" s="45" t="s">
        <v>1372</v>
      </c>
      <c r="G393" t="s">
        <v>2679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418</v>
      </c>
      <c r="B394" s="31" t="str">
        <f>_xlfn.TEXTAFTER(CONTROL[[#This Row],[VEHIDCODE]],"_")</f>
        <v>Germany_DB_104</v>
      </c>
      <c r="C394" t="s">
        <v>722</v>
      </c>
      <c r="D394" t="s">
        <v>942</v>
      </c>
      <c r="E394">
        <v>6012</v>
      </c>
      <c r="F394" s="45" t="s">
        <v>1373</v>
      </c>
      <c r="G394" t="s">
        <v>2680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419</v>
      </c>
      <c r="B395" s="31" t="str">
        <f>_xlfn.TEXTAFTER(CONTROL[[#This Row],[VEHIDCODE]],"_")</f>
        <v>USA_Pennsylvania_Railroad_GG_1</v>
      </c>
      <c r="C395" t="s">
        <v>722</v>
      </c>
      <c r="D395" t="s">
        <v>942</v>
      </c>
      <c r="E395">
        <v>6065</v>
      </c>
      <c r="F395" s="45" t="s">
        <v>1374</v>
      </c>
      <c r="G395" t="s">
        <v>2681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420</v>
      </c>
      <c r="B396" s="31" t="str">
        <f>_xlfn.TEXTAFTER(CONTROL[[#This Row],[VEHIDCODE]],"_")</f>
        <v>Austria_OBB_1020_Crocodile</v>
      </c>
      <c r="C396" t="s">
        <v>722</v>
      </c>
      <c r="D396" t="s">
        <v>942</v>
      </c>
      <c r="E396">
        <v>6017</v>
      </c>
      <c r="F396" s="45" t="s">
        <v>3036</v>
      </c>
      <c r="G396" t="s">
        <v>2682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421</v>
      </c>
      <c r="B397" s="31" t="str">
        <f>_xlfn.TEXTAFTER(CONTROL[[#This Row],[VEHIDCODE]],"_")</f>
        <v>Germany_DB_1031</v>
      </c>
      <c r="C397" t="s">
        <v>722</v>
      </c>
      <c r="D397" t="s">
        <v>942</v>
      </c>
      <c r="E397">
        <v>6032</v>
      </c>
      <c r="F397" s="45" t="s">
        <v>1375</v>
      </c>
      <c r="G397" t="s">
        <v>2683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422</v>
      </c>
      <c r="B398" s="31" t="str">
        <f>_xlfn.TEXTAFTER(CONTROL[[#This Row],[VEHIDCODE]],"_")</f>
        <v>Germany_DB_E_919</v>
      </c>
      <c r="C398" t="s">
        <v>722</v>
      </c>
      <c r="D398" t="s">
        <v>942</v>
      </c>
      <c r="E398">
        <v>6074</v>
      </c>
      <c r="F398" s="45" t="s">
        <v>1376</v>
      </c>
      <c r="G398" t="s">
        <v>2684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423</v>
      </c>
      <c r="B399" s="31" t="str">
        <f>_xlfn.TEXTAFTER(CONTROL[[#This Row],[VEHIDCODE]],"_")</f>
        <v>Switzerland_BLS_Ce_4_4</v>
      </c>
      <c r="C399" t="s">
        <v>722</v>
      </c>
      <c r="D399" t="s">
        <v>942</v>
      </c>
      <c r="E399">
        <v>6023</v>
      </c>
      <c r="F399" s="45" t="s">
        <v>1377</v>
      </c>
      <c r="G399" t="s">
        <v>2685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424</v>
      </c>
      <c r="B400" s="31" t="str">
        <f>_xlfn.TEXTAFTER(CONTROL[[#This Row],[VEHIDCODE]],"_")</f>
        <v>Switzerland_SBB_Ae_6_6</v>
      </c>
      <c r="C400" t="s">
        <v>722</v>
      </c>
      <c r="D400" t="s">
        <v>942</v>
      </c>
      <c r="E400">
        <v>6024</v>
      </c>
      <c r="F400" s="45" t="s">
        <v>1378</v>
      </c>
      <c r="G400" t="s">
        <v>2686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425</v>
      </c>
      <c r="B401" s="31" t="str">
        <f>_xlfn.TEXTAFTER(CONTROL[[#This Row],[VEHIDCODE]],"_")</f>
        <v>Switzerland_SBB_Re460_Lok_2000</v>
      </c>
      <c r="C401" t="s">
        <v>722</v>
      </c>
      <c r="D401" t="s">
        <v>942</v>
      </c>
      <c r="E401">
        <v>6045</v>
      </c>
      <c r="F401" s="45" t="s">
        <v>1379</v>
      </c>
      <c r="G401" t="s">
        <v>2687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426</v>
      </c>
      <c r="B402" s="31" t="str">
        <f>_xlfn.TEXTAFTER(CONTROL[[#This Row],[VEHIDCODE]],"_")</f>
        <v>Switzerland_SBB_Eem_923</v>
      </c>
      <c r="C402" t="s">
        <v>722</v>
      </c>
      <c r="D402" t="s">
        <v>942</v>
      </c>
      <c r="E402">
        <v>6059</v>
      </c>
      <c r="F402" s="45" t="s">
        <v>1380</v>
      </c>
      <c r="G402" t="s">
        <v>2688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427</v>
      </c>
      <c r="B403" s="31" t="str">
        <f>_xlfn.TEXTAFTER(CONTROL[[#This Row],[VEHIDCODE]],"_")</f>
        <v>Austria_OBB_1044</v>
      </c>
      <c r="C403" t="s">
        <v>722</v>
      </c>
      <c r="D403" t="s">
        <v>942</v>
      </c>
      <c r="E403">
        <v>6035</v>
      </c>
      <c r="F403" s="45" t="s">
        <v>3037</v>
      </c>
      <c r="G403" t="s">
        <v>2689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428</v>
      </c>
      <c r="B404" s="31" t="str">
        <f>_xlfn.TEXTAFTER(CONTROL[[#This Row],[VEHIDCODE]],"_")</f>
        <v>Austria_OBB_1063</v>
      </c>
      <c r="C404" t="s">
        <v>722</v>
      </c>
      <c r="D404" t="s">
        <v>942</v>
      </c>
      <c r="E404">
        <v>6039</v>
      </c>
      <c r="F404" s="45" t="s">
        <v>3038</v>
      </c>
      <c r="G404" t="s">
        <v>2690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429</v>
      </c>
      <c r="B405" s="31" t="str">
        <f>_xlfn.TEXTAFTER(CONTROL[[#This Row],[VEHIDCODE]],"_")</f>
        <v>Sweden_MTAB_Dm3</v>
      </c>
      <c r="C405" t="s">
        <v>722</v>
      </c>
      <c r="D405" t="s">
        <v>942</v>
      </c>
      <c r="E405">
        <v>6020</v>
      </c>
      <c r="F405" s="45" t="s">
        <v>1381</v>
      </c>
      <c r="G405" t="s">
        <v>2691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430</v>
      </c>
      <c r="B406" s="31" t="str">
        <f>_xlfn.TEXTAFTER(CONTROL[[#This Row],[VEHIDCODE]],"_")</f>
        <v>Sweden_MTAB_IORE</v>
      </c>
      <c r="C406" t="s">
        <v>722</v>
      </c>
      <c r="D406" t="s">
        <v>942</v>
      </c>
      <c r="E406">
        <v>6054</v>
      </c>
      <c r="F406" s="45" t="s">
        <v>1382</v>
      </c>
      <c r="G406" t="s">
        <v>2692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431</v>
      </c>
      <c r="B407" s="31" t="str">
        <f>_xlfn.TEXTAFTER(CONTROL[[#This Row],[VEHIDCODE]],"_")</f>
        <v>Sweden_SJ_O_Class</v>
      </c>
      <c r="C407" t="s">
        <v>722</v>
      </c>
      <c r="D407" t="s">
        <v>942</v>
      </c>
      <c r="E407">
        <v>6069</v>
      </c>
      <c r="F407" s="45" t="s">
        <v>1383</v>
      </c>
      <c r="G407" t="s">
        <v>2693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432</v>
      </c>
      <c r="B408" s="31" t="str">
        <f>_xlfn.TEXTAFTER(CONTROL[[#This Row],[VEHIDCODE]],"_")</f>
        <v>Sweden_SJ_F_Class</v>
      </c>
      <c r="C408" t="s">
        <v>722</v>
      </c>
      <c r="D408" t="s">
        <v>942</v>
      </c>
      <c r="E408">
        <v>6076</v>
      </c>
      <c r="F408" s="45" t="s">
        <v>1384</v>
      </c>
      <c r="G408" t="s">
        <v>2694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433</v>
      </c>
      <c r="B409" s="31" t="str">
        <f>_xlfn.TEXTAFTER(CONTROL[[#This Row],[VEHIDCODE]],"_")</f>
        <v>Norway_NSB_EL17</v>
      </c>
      <c r="C409" t="s">
        <v>722</v>
      </c>
      <c r="D409" t="s">
        <v>942</v>
      </c>
      <c r="E409">
        <v>6129</v>
      </c>
      <c r="F409" s="45" t="s">
        <v>1385</v>
      </c>
      <c r="G409" t="s">
        <v>2695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434</v>
      </c>
      <c r="B410" s="31" t="str">
        <f>_xlfn.TEXTAFTER(CONTROL[[#This Row],[VEHIDCODE]],"_")</f>
        <v>Germany_Prussian_ES_6</v>
      </c>
      <c r="C410" t="s">
        <v>722</v>
      </c>
      <c r="D410" t="s">
        <v>942</v>
      </c>
      <c r="E410">
        <v>6135</v>
      </c>
      <c r="F410" s="45" t="s">
        <v>1386</v>
      </c>
      <c r="G410" t="s">
        <v>2696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435</v>
      </c>
      <c r="B411" s="31" t="str">
        <f>_xlfn.TEXTAFTER(CONTROL[[#This Row],[VEHIDCODE]],"_")</f>
        <v>USA_Virginian_Railway_EL_2B</v>
      </c>
      <c r="C411" t="s">
        <v>722</v>
      </c>
      <c r="D411" t="s">
        <v>942</v>
      </c>
      <c r="E411">
        <v>6098</v>
      </c>
      <c r="F411" s="45" t="s">
        <v>1387</v>
      </c>
      <c r="G411" t="s">
        <v>2697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436</v>
      </c>
      <c r="B412" s="31" t="str">
        <f>_xlfn.TEXTAFTER(CONTROL[[#This Row],[VEHIDCODE]],"_")</f>
        <v>USA_GN_W_1</v>
      </c>
      <c r="C412" t="s">
        <v>722</v>
      </c>
      <c r="D412" t="s">
        <v>942</v>
      </c>
      <c r="E412">
        <v>6097</v>
      </c>
      <c r="F412" s="45" t="s">
        <v>1388</v>
      </c>
      <c r="G412" t="s">
        <v>2698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437</v>
      </c>
      <c r="B413" s="31" t="str">
        <f>_xlfn.TEXTAFTER(CONTROL[[#This Row],[VEHIDCODE]],"_")</f>
        <v>USA_PRR_B1</v>
      </c>
      <c r="C413" t="s">
        <v>722</v>
      </c>
      <c r="D413" t="s">
        <v>942</v>
      </c>
      <c r="E413">
        <v>6121</v>
      </c>
      <c r="F413" s="45" t="s">
        <v>1389</v>
      </c>
      <c r="G413" t="s">
        <v>2699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438</v>
      </c>
      <c r="B414" s="31" t="str">
        <f>_xlfn.TEXTAFTER(CONTROL[[#This Row],[VEHIDCODE]],"_")</f>
        <v>Australia_Aurizon_E40_AG_V1</v>
      </c>
      <c r="C414" t="s">
        <v>722</v>
      </c>
      <c r="D414" t="s">
        <v>942</v>
      </c>
      <c r="E414">
        <v>6118</v>
      </c>
      <c r="F414" s="45" t="s">
        <v>1390</v>
      </c>
      <c r="G414" t="s">
        <v>2700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439</v>
      </c>
      <c r="B415" s="31" t="str">
        <f>_xlfn.TEXTAFTER(CONTROL[[#This Row],[VEHIDCODE]],"_")</f>
        <v>China_China_Railways_SS6</v>
      </c>
      <c r="C415" t="s">
        <v>722</v>
      </c>
      <c r="D415" t="s">
        <v>942</v>
      </c>
      <c r="E415">
        <v>6044</v>
      </c>
      <c r="F415" s="45" t="s">
        <v>1391</v>
      </c>
      <c r="G415" t="s">
        <v>2701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440</v>
      </c>
      <c r="B416" s="31" t="str">
        <f>_xlfn.TEXTAFTER(CONTROL[[#This Row],[VEHIDCODE]],"_")</f>
        <v>China_China_Railways_SS3</v>
      </c>
      <c r="C416" t="s">
        <v>722</v>
      </c>
      <c r="D416" t="s">
        <v>942</v>
      </c>
      <c r="E416">
        <v>6127</v>
      </c>
      <c r="F416" s="45" t="s">
        <v>1392</v>
      </c>
      <c r="G416" t="s">
        <v>2702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441</v>
      </c>
      <c r="B417" s="31" t="str">
        <f>_xlfn.TEXTAFTER(CONTROL[[#This Row],[VEHIDCODE]],"_")</f>
        <v>China_China_Railways_HXD3</v>
      </c>
      <c r="C417" t="s">
        <v>722</v>
      </c>
      <c r="D417" t="s">
        <v>942</v>
      </c>
      <c r="E417">
        <v>6058</v>
      </c>
      <c r="F417" s="45" t="s">
        <v>1393</v>
      </c>
      <c r="G417" t="s">
        <v>2703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442</v>
      </c>
      <c r="B418" s="31" t="str">
        <f>_xlfn.TEXTAFTER(CONTROL[[#This Row],[VEHIDCODE]],"_")</f>
        <v>China_China_Railways_HXD1D</v>
      </c>
      <c r="C418" t="s">
        <v>722</v>
      </c>
      <c r="D418" t="s">
        <v>942</v>
      </c>
      <c r="E418">
        <v>6093</v>
      </c>
      <c r="F418" s="45" t="s">
        <v>1394</v>
      </c>
      <c r="G418" t="s">
        <v>2704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443</v>
      </c>
      <c r="B419" s="31" t="str">
        <f>_xlfn.TEXTAFTER(CONTROL[[#This Row],[VEHIDCODE]],"_")</f>
        <v>China_China_Railways_6K</v>
      </c>
      <c r="C419" t="s">
        <v>722</v>
      </c>
      <c r="D419" t="s">
        <v>942</v>
      </c>
      <c r="E419">
        <v>6042</v>
      </c>
      <c r="F419" s="45" t="s">
        <v>1395</v>
      </c>
      <c r="G419" t="s">
        <v>2705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444</v>
      </c>
      <c r="B420" s="31" t="str">
        <f>_xlfn.TEXTAFTER(CONTROL[[#This Row],[VEHIDCODE]],"_")</f>
        <v>USA_PRR_E44</v>
      </c>
      <c r="C420" t="s">
        <v>722</v>
      </c>
      <c r="D420" t="s">
        <v>942</v>
      </c>
      <c r="E420">
        <v>6101</v>
      </c>
      <c r="F420" s="45" t="s">
        <v>1396</v>
      </c>
      <c r="G420" t="s">
        <v>2706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445</v>
      </c>
      <c r="B421" s="31" t="str">
        <f>_xlfn.TEXTAFTER(CONTROL[[#This Row],[VEHIDCODE]],"_")</f>
        <v>Croatia_HZ_1141</v>
      </c>
      <c r="C421" t="s">
        <v>722</v>
      </c>
      <c r="D421" t="s">
        <v>942</v>
      </c>
      <c r="E421">
        <v>6031</v>
      </c>
      <c r="F421" s="45" t="s">
        <v>1397</v>
      </c>
      <c r="G421" t="s">
        <v>2707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446</v>
      </c>
      <c r="B422" s="31" t="str">
        <f>_xlfn.TEXTAFTER(CONTROL[[#This Row],[VEHIDCODE]],"_")</f>
        <v>Hungary_MAV_Class_V43</v>
      </c>
      <c r="C422" t="s">
        <v>722</v>
      </c>
      <c r="D422" t="s">
        <v>942</v>
      </c>
      <c r="E422">
        <v>6085</v>
      </c>
      <c r="F422" s="45" t="s">
        <v>3048</v>
      </c>
      <c r="G422" t="s">
        <v>2708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447</v>
      </c>
      <c r="B423" s="31" t="str">
        <f>_xlfn.TEXTAFTER(CONTROL[[#This Row],[VEHIDCODE]],"_")</f>
        <v>Portugal_CP_2500</v>
      </c>
      <c r="C423" t="s">
        <v>722</v>
      </c>
      <c r="D423" t="s">
        <v>942</v>
      </c>
      <c r="E423">
        <v>6025</v>
      </c>
      <c r="F423" s="45" t="s">
        <v>1398</v>
      </c>
      <c r="G423" t="s">
        <v>2709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448</v>
      </c>
      <c r="B424" s="31" t="str">
        <f>_xlfn.TEXTAFTER(CONTROL[[#This Row],[VEHIDCODE]],"_")</f>
        <v>Portugal_CP_2600</v>
      </c>
      <c r="C424" t="s">
        <v>722</v>
      </c>
      <c r="D424" t="s">
        <v>942</v>
      </c>
      <c r="E424">
        <v>6103</v>
      </c>
      <c r="F424" s="45" t="s">
        <v>1399</v>
      </c>
      <c r="G424" t="s">
        <v>2710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449</v>
      </c>
      <c r="B425" s="31" t="str">
        <f>_xlfn.TEXTAFTER(CONTROL[[#This Row],[VEHIDCODE]],"_")</f>
        <v>South_Africa_SAR_20E</v>
      </c>
      <c r="C425" t="s">
        <v>722</v>
      </c>
      <c r="D425" t="s">
        <v>942</v>
      </c>
      <c r="E425">
        <v>6094</v>
      </c>
      <c r="F425" s="45" t="s">
        <v>2257</v>
      </c>
      <c r="G425" t="s">
        <v>2711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450</v>
      </c>
      <c r="B426" s="31" t="str">
        <f>_xlfn.TEXTAFTER(CONTROL[[#This Row],[VEHIDCODE]],"_")</f>
        <v>South_Korea_Korail_8200</v>
      </c>
      <c r="C426" t="s">
        <v>722</v>
      </c>
      <c r="D426" t="s">
        <v>942</v>
      </c>
      <c r="E426">
        <v>6055</v>
      </c>
      <c r="F426" s="45" t="s">
        <v>1400</v>
      </c>
      <c r="G426" t="s">
        <v>2712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451</v>
      </c>
      <c r="B427" s="31" t="str">
        <f>_xlfn.TEXTAFTER(CONTROL[[#This Row],[VEHIDCODE]],"_")</f>
        <v>Ukraine_UZ_DS3</v>
      </c>
      <c r="C427" t="s">
        <v>722</v>
      </c>
      <c r="D427" t="s">
        <v>942</v>
      </c>
      <c r="E427">
        <v>6056</v>
      </c>
      <c r="F427" s="45" t="s">
        <v>1401</v>
      </c>
      <c r="G427" t="s">
        <v>2713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452</v>
      </c>
      <c r="B428" s="31" t="str">
        <f>_xlfn.TEXTAFTER(CONTROL[[#This Row],[VEHIDCODE]],"_")</f>
        <v>Czech_Republic_CD_S499</v>
      </c>
      <c r="C428" t="s">
        <v>722</v>
      </c>
      <c r="D428" t="s">
        <v>942</v>
      </c>
      <c r="E428">
        <v>6089</v>
      </c>
      <c r="F428" s="45" t="s">
        <v>3060</v>
      </c>
      <c r="G428" t="s">
        <v>2714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453</v>
      </c>
      <c r="B429" s="31" t="str">
        <f>_xlfn.TEXTAFTER(CONTROL[[#This Row],[VEHIDCODE]],"_")</f>
        <v>Italy_FS_E491</v>
      </c>
      <c r="C429" t="s">
        <v>722</v>
      </c>
      <c r="D429" t="s">
        <v>942</v>
      </c>
      <c r="E429">
        <v>6115</v>
      </c>
      <c r="F429" s="45" t="s">
        <v>1402</v>
      </c>
      <c r="G429" t="s">
        <v>2715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454</v>
      </c>
      <c r="B430" s="31" t="str">
        <f>_xlfn.TEXTAFTER(CONTROL[[#This Row],[VEHIDCODE]],"_")</f>
        <v>Macedonia_Macedonian_Railways_462</v>
      </c>
      <c r="C430" t="s">
        <v>722</v>
      </c>
      <c r="D430" t="s">
        <v>942</v>
      </c>
      <c r="E430">
        <v>6105</v>
      </c>
      <c r="F430" s="45" t="s">
        <v>1403</v>
      </c>
      <c r="G430" t="s">
        <v>2716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455</v>
      </c>
      <c r="B431" s="31" t="str">
        <f>_xlfn.TEXTAFTER(CONTROL[[#This Row],[VEHIDCODE]],"_")</f>
        <v>Morocco_ONCFM_E_500</v>
      </c>
      <c r="C431" t="s">
        <v>722</v>
      </c>
      <c r="D431" t="s">
        <v>942</v>
      </c>
      <c r="E431">
        <v>6122</v>
      </c>
      <c r="F431" s="45" t="s">
        <v>1404</v>
      </c>
      <c r="G431" t="s">
        <v>2717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456</v>
      </c>
      <c r="B432" s="31" t="str">
        <f>_xlfn.TEXTAFTER(CONTROL[[#This Row],[VEHIDCODE]],"_")</f>
        <v>UK_BR_85</v>
      </c>
      <c r="C432" t="s">
        <v>722</v>
      </c>
      <c r="D432" t="s">
        <v>942</v>
      </c>
      <c r="E432">
        <v>6123</v>
      </c>
      <c r="F432" s="45" t="s">
        <v>1405</v>
      </c>
      <c r="G432" t="s">
        <v>2718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457</v>
      </c>
      <c r="B433" s="31" t="str">
        <f>_xlfn.TEXTAFTER(CONTROL[[#This Row],[VEHIDCODE]],"_")</f>
        <v>Mexico_FNM_GE_E60C_2</v>
      </c>
      <c r="C433" t="s">
        <v>722</v>
      </c>
      <c r="D433" t="s">
        <v>942</v>
      </c>
      <c r="E433">
        <v>6109</v>
      </c>
      <c r="F433" s="45" t="s">
        <v>1406</v>
      </c>
      <c r="G433" t="s">
        <v>2719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458</v>
      </c>
      <c r="B434" s="31" t="str">
        <f>_xlfn.TEXTAFTER(CONTROL[[#This Row],[VEHIDCODE]],"_")</f>
        <v>Morocco_ONCF_E_1400_Prima_II</v>
      </c>
      <c r="C434" t="s">
        <v>722</v>
      </c>
      <c r="D434" t="s">
        <v>942</v>
      </c>
      <c r="E434">
        <v>6119</v>
      </c>
      <c r="F434" s="45" t="s">
        <v>1407</v>
      </c>
      <c r="G434" t="s">
        <v>2720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459</v>
      </c>
      <c r="B435" s="31" t="str">
        <f>_xlfn.TEXTAFTER(CONTROL[[#This Row],[VEHIDCODE]],"_")</f>
        <v>New_Zealand_NZR_EA</v>
      </c>
      <c r="C435" t="s">
        <v>722</v>
      </c>
      <c r="D435" t="s">
        <v>942</v>
      </c>
      <c r="E435">
        <v>6102</v>
      </c>
      <c r="F435" s="45" t="s">
        <v>1408</v>
      </c>
      <c r="G435" t="s">
        <v>2721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460</v>
      </c>
      <c r="B436" s="31" t="str">
        <f>_xlfn.TEXTAFTER(CONTROL[[#This Row],[VEHIDCODE]],"_")</f>
        <v>Canada_BC_Rail_GF6C</v>
      </c>
      <c r="C436" t="s">
        <v>722</v>
      </c>
      <c r="D436" t="s">
        <v>942</v>
      </c>
      <c r="E436">
        <v>6111</v>
      </c>
      <c r="F436" s="45" t="s">
        <v>1409</v>
      </c>
      <c r="G436" t="s">
        <v>2722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461</v>
      </c>
      <c r="B437" s="31" t="str">
        <f>_xlfn.TEXTAFTER(CONTROL[[#This Row],[VEHIDCODE]],"_")</f>
        <v>France_SNCF_BB_22200</v>
      </c>
      <c r="C437" t="s">
        <v>722</v>
      </c>
      <c r="D437" t="s">
        <v>942</v>
      </c>
      <c r="E437">
        <v>6036</v>
      </c>
      <c r="F437" s="45" t="s">
        <v>1410</v>
      </c>
      <c r="G437" t="s">
        <v>2724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462</v>
      </c>
      <c r="B438" s="31" t="str">
        <f>_xlfn.TEXTAFTER(CONTROL[[#This Row],[VEHIDCODE]],"_")</f>
        <v>France_SNCF_BB_26000</v>
      </c>
      <c r="C438" t="s">
        <v>722</v>
      </c>
      <c r="D438" t="s">
        <v>942</v>
      </c>
      <c r="E438">
        <v>6043</v>
      </c>
      <c r="F438" s="45" t="s">
        <v>1411</v>
      </c>
      <c r="G438" t="s">
        <v>2723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463</v>
      </c>
      <c r="B439" s="31" t="str">
        <f>_xlfn.TEXTAFTER(CONTROL[[#This Row],[VEHIDCODE]],"_")</f>
        <v>France_SNCF_BB_25500</v>
      </c>
      <c r="C439" t="s">
        <v>722</v>
      </c>
      <c r="D439" t="s">
        <v>942</v>
      </c>
      <c r="E439">
        <v>6087</v>
      </c>
      <c r="F439" s="45" t="s">
        <v>1412</v>
      </c>
      <c r="G439" t="s">
        <v>2725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464</v>
      </c>
      <c r="B440" s="31" t="str">
        <f>_xlfn.TEXTAFTER(CONTROL[[#This Row],[VEHIDCODE]],"_")</f>
        <v>Germany_DB_182_ES64U_Taurus</v>
      </c>
      <c r="C440" t="s">
        <v>722</v>
      </c>
      <c r="D440" t="s">
        <v>942</v>
      </c>
      <c r="E440">
        <v>6053</v>
      </c>
      <c r="F440" s="45" t="s">
        <v>1413</v>
      </c>
      <c r="G440" t="s">
        <v>2726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465</v>
      </c>
      <c r="B441" s="31" t="str">
        <f>_xlfn.TEXTAFTER(CONTROL[[#This Row],[VEHIDCODE]],"_")</f>
        <v>Japan_JR_EH500</v>
      </c>
      <c r="C441" t="s">
        <v>722</v>
      </c>
      <c r="D441" t="s">
        <v>942</v>
      </c>
      <c r="E441">
        <v>6051</v>
      </c>
      <c r="F441" s="45" t="s">
        <v>1414</v>
      </c>
      <c r="G441" t="s">
        <v>2727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466</v>
      </c>
      <c r="B442" s="31" t="str">
        <f>_xlfn.TEXTAFTER(CONTROL[[#This Row],[VEHIDCODE]],"_")</f>
        <v>USA_Amtrak_EMD_AEM_7</v>
      </c>
      <c r="C442" t="s">
        <v>722</v>
      </c>
      <c r="D442" t="s">
        <v>942</v>
      </c>
      <c r="E442">
        <v>6104</v>
      </c>
      <c r="F442" s="45" t="s">
        <v>1415</v>
      </c>
      <c r="G442" t="s">
        <v>2728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467</v>
      </c>
      <c r="B443" s="31" t="str">
        <f>_xlfn.TEXTAFTER(CONTROL[[#This Row],[VEHIDCODE]],"_")</f>
        <v>USA_Amtrak_HHP_8</v>
      </c>
      <c r="C443" t="s">
        <v>722</v>
      </c>
      <c r="D443" t="s">
        <v>942</v>
      </c>
      <c r="E443">
        <v>6132</v>
      </c>
      <c r="F443" s="45" t="s">
        <v>1416</v>
      </c>
      <c r="G443" t="s">
        <v>2729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468</v>
      </c>
      <c r="B444" s="31" t="str">
        <f>_xlfn.TEXTAFTER(CONTROL[[#This Row],[VEHIDCODE]],"_")</f>
        <v>Czech_Republic_CD_380</v>
      </c>
      <c r="C444" t="s">
        <v>722</v>
      </c>
      <c r="D444" t="s">
        <v>942</v>
      </c>
      <c r="E444">
        <v>6091</v>
      </c>
      <c r="F444" s="45" t="s">
        <v>3061</v>
      </c>
      <c r="G444" t="s">
        <v>2730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469</v>
      </c>
      <c r="B445" s="31" t="str">
        <f>_xlfn.TEXTAFTER(CONTROL[[#This Row],[VEHIDCODE]],"_")</f>
        <v>Spain_RENFE_252</v>
      </c>
      <c r="C445" t="s">
        <v>722</v>
      </c>
      <c r="D445" t="s">
        <v>942</v>
      </c>
      <c r="E445">
        <v>6046</v>
      </c>
      <c r="F445" s="45" t="s">
        <v>1417</v>
      </c>
      <c r="G445" t="s">
        <v>2731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470</v>
      </c>
      <c r="B446" s="31" t="str">
        <f>_xlfn.TEXTAFTER(CONTROL[[#This Row],[VEHIDCODE]],"_")</f>
        <v>Germany_DB_185_TRAXX_F140</v>
      </c>
      <c r="C446" t="s">
        <v>722</v>
      </c>
      <c r="D446" t="s">
        <v>942</v>
      </c>
      <c r="E446">
        <v>6049</v>
      </c>
      <c r="F446" s="45" t="s">
        <v>1418</v>
      </c>
      <c r="G446" t="s">
        <v>2732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471</v>
      </c>
      <c r="B447" s="31" t="str">
        <f>_xlfn.TEXTAFTER(CONTROL[[#This Row],[VEHIDCODE]],"_")</f>
        <v>Italy_FS_E550</v>
      </c>
      <c r="C447" t="s">
        <v>722</v>
      </c>
      <c r="D447" t="s">
        <v>942</v>
      </c>
      <c r="E447">
        <v>6068</v>
      </c>
      <c r="F447" s="45" t="s">
        <v>1419</v>
      </c>
      <c r="G447" t="s">
        <v>2733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472</v>
      </c>
      <c r="B448" s="31" t="str">
        <f>_xlfn.TEXTAFTER(CONTROL[[#This Row],[VEHIDCODE]],"_")</f>
        <v>Japan_JNR_EF81</v>
      </c>
      <c r="C448" t="s">
        <v>722</v>
      </c>
      <c r="D448" t="s">
        <v>942</v>
      </c>
      <c r="E448">
        <v>6125</v>
      </c>
      <c r="F448" s="45" t="s">
        <v>1420</v>
      </c>
      <c r="G448" t="s">
        <v>2734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473</v>
      </c>
      <c r="B449" s="31" t="str">
        <f>_xlfn.TEXTAFTER(CONTROL[[#This Row],[VEHIDCODE]],"_")</f>
        <v>UK_BR_92</v>
      </c>
      <c r="C449" t="s">
        <v>722</v>
      </c>
      <c r="D449" t="s">
        <v>942</v>
      </c>
      <c r="E449">
        <v>6047</v>
      </c>
      <c r="F449" s="45" t="s">
        <v>1421</v>
      </c>
      <c r="G449" t="s">
        <v>2735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474</v>
      </c>
      <c r="B450" s="31" t="str">
        <f>_xlfn.TEXTAFTER(CONTROL[[#This Row],[VEHIDCODE]],"_")</f>
        <v>USA_Amtrak_ACS_64</v>
      </c>
      <c r="C450" t="s">
        <v>722</v>
      </c>
      <c r="D450" t="s">
        <v>942</v>
      </c>
      <c r="E450">
        <v>6120</v>
      </c>
      <c r="F450" s="45" t="s">
        <v>1422</v>
      </c>
      <c r="G450" t="s">
        <v>2736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475</v>
      </c>
      <c r="B451" s="31" t="str">
        <f>_xlfn.TEXTAFTER(CONTROL[[#This Row],[VEHIDCODE]],"_")</f>
        <v>France_SNCF_CC_40100</v>
      </c>
      <c r="C451" t="s">
        <v>722</v>
      </c>
      <c r="D451" t="s">
        <v>942</v>
      </c>
      <c r="E451">
        <v>6030</v>
      </c>
      <c r="F451" s="45" t="s">
        <v>2737</v>
      </c>
      <c r="G451" t="s">
        <v>2738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476</v>
      </c>
      <c r="B452" s="31" t="str">
        <f>_xlfn.TEXTAFTER(CONTROL[[#This Row],[VEHIDCODE]],"_")</f>
        <v>Belgium_NMBS_SNCB_13_HLE</v>
      </c>
      <c r="C452" t="s">
        <v>722</v>
      </c>
      <c r="D452" t="s">
        <v>942</v>
      </c>
      <c r="E452">
        <v>6050</v>
      </c>
      <c r="F452" s="45" t="s">
        <v>1423</v>
      </c>
      <c r="G452" t="s">
        <v>2739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477</v>
      </c>
      <c r="B453" s="31" t="str">
        <f>_xlfn.TEXTAFTER(CONTROL[[#This Row],[VEHIDCODE]],"_")</f>
        <v>Germany_DB_VT_040_Flying_Hamburger</v>
      </c>
      <c r="C453" t="s">
        <v>723</v>
      </c>
      <c r="D453" t="s">
        <v>944</v>
      </c>
      <c r="E453">
        <v>7002</v>
      </c>
      <c r="F453" s="45" t="s">
        <v>1424</v>
      </c>
      <c r="G453" t="s">
        <v>2747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479</v>
      </c>
      <c r="B454" s="31" t="str">
        <f>_xlfn.TEXTAFTER(CONTROL[[#This Row],[VEHIDCODE]],"_")</f>
        <v>Australia_NSWGR_Silver_City_Comet</v>
      </c>
      <c r="C454" t="s">
        <v>723</v>
      </c>
      <c r="D454" t="s">
        <v>944</v>
      </c>
      <c r="E454">
        <v>7003</v>
      </c>
      <c r="F454" s="45" t="s">
        <v>1425</v>
      </c>
      <c r="G454" t="s">
        <v>2740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480</v>
      </c>
      <c r="B455" s="31" t="str">
        <f>_xlfn.TEXTAFTER(CONTROL[[#This Row],[VEHIDCODE]],"_")</f>
        <v>Czech_Republic_CD_M131</v>
      </c>
      <c r="C455" t="s">
        <v>723</v>
      </c>
      <c r="D455" t="s">
        <v>944</v>
      </c>
      <c r="E455">
        <v>7004</v>
      </c>
      <c r="F455" s="45" t="s">
        <v>3062</v>
      </c>
      <c r="G455" t="s">
        <v>2741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481</v>
      </c>
      <c r="B456" s="31" t="str">
        <f>_xlfn.TEXTAFTER(CONTROL[[#This Row],[VEHIDCODE]],"_")</f>
        <v>Germany_DB_VT_085</v>
      </c>
      <c r="C456" t="s">
        <v>723</v>
      </c>
      <c r="D456" t="s">
        <v>944</v>
      </c>
      <c r="E456">
        <v>7005</v>
      </c>
      <c r="F456" s="45" t="s">
        <v>1426</v>
      </c>
      <c r="G456" t="s">
        <v>2742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482</v>
      </c>
      <c r="B457" s="31" t="str">
        <f>_xlfn.TEXTAFTER(CONTROL[[#This Row],[VEHIDCODE]],"_")</f>
        <v>Australia_Queensland_Rail_400</v>
      </c>
      <c r="C457" t="s">
        <v>723</v>
      </c>
      <c r="D457" t="s">
        <v>944</v>
      </c>
      <c r="E457">
        <v>7006</v>
      </c>
      <c r="F457" s="45" t="s">
        <v>1748</v>
      </c>
      <c r="G457" t="s">
        <v>2743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483</v>
      </c>
      <c r="B458" s="31" t="str">
        <f>_xlfn.TEXTAFTER(CONTROL[[#This Row],[VEHIDCODE]],"_")</f>
        <v>Germany_DB_VT_115</v>
      </c>
      <c r="C458" t="s">
        <v>723</v>
      </c>
      <c r="D458" t="s">
        <v>944</v>
      </c>
      <c r="E458">
        <v>7008</v>
      </c>
      <c r="F458" s="45" t="s">
        <v>1427</v>
      </c>
      <c r="G458" t="s">
        <v>2744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484</v>
      </c>
      <c r="B459" s="31" t="str">
        <f>_xlfn.TEXTAFTER(CONTROL[[#This Row],[VEHIDCODE]],"_")</f>
        <v>Netherlands_NS_Plan_U_DE_III</v>
      </c>
      <c r="C459" t="s">
        <v>723</v>
      </c>
      <c r="D459" t="s">
        <v>944</v>
      </c>
      <c r="E459">
        <v>7009</v>
      </c>
      <c r="F459" s="45" t="s">
        <v>1428</v>
      </c>
      <c r="G459" t="s">
        <v>2745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485</v>
      </c>
      <c r="B460" s="31" t="str">
        <f>_xlfn.TEXTAFTER(CONTROL[[#This Row],[VEHIDCODE]],"_")</f>
        <v>Canada_CNR_Turbo_Train</v>
      </c>
      <c r="C460" t="s">
        <v>723</v>
      </c>
      <c r="D460" t="s">
        <v>944</v>
      </c>
      <c r="E460">
        <v>7010</v>
      </c>
      <c r="F460" s="45" t="s">
        <v>1429</v>
      </c>
      <c r="G460" t="s">
        <v>2746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486</v>
      </c>
      <c r="B461" s="31" t="str">
        <f>_xlfn.TEXTAFTER(CONTROL[[#This Row],[VEHIDCODE]],"_")</f>
        <v>Serbia_ZS_811</v>
      </c>
      <c r="C461" t="s">
        <v>723</v>
      </c>
      <c r="D461" t="s">
        <v>944</v>
      </c>
      <c r="E461">
        <v>7011</v>
      </c>
      <c r="F461" s="45" t="s">
        <v>1430</v>
      </c>
      <c r="G461" t="s">
        <v>1740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487</v>
      </c>
      <c r="B462" s="31" t="str">
        <f>_xlfn.TEXTAFTER(CONTROL[[#This Row],[VEHIDCODE]],"_")</f>
        <v>UK_BR_43_IC125</v>
      </c>
      <c r="C462" t="s">
        <v>723</v>
      </c>
      <c r="D462" t="s">
        <v>944</v>
      </c>
      <c r="E462">
        <v>7012</v>
      </c>
      <c r="F462" s="45" t="s">
        <v>1431</v>
      </c>
      <c r="G462" t="s">
        <v>2748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488</v>
      </c>
      <c r="B463" s="31" t="str">
        <f>_xlfn.TEXTAFTER(CONTROL[[#This Row],[VEHIDCODE]],"_")</f>
        <v>Canada_VIA_Rail_LRC</v>
      </c>
      <c r="C463" t="s">
        <v>723</v>
      </c>
      <c r="D463" t="s">
        <v>944</v>
      </c>
      <c r="E463">
        <v>7013</v>
      </c>
      <c r="F463" s="45" t="s">
        <v>1432</v>
      </c>
      <c r="G463" t="s">
        <v>2749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489</v>
      </c>
      <c r="B464" s="31" t="str">
        <f>_xlfn.TEXTAFTER(CONTROL[[#This Row],[VEHIDCODE]],"_")</f>
        <v>Sweden_SJ_Y2</v>
      </c>
      <c r="C464" t="s">
        <v>723</v>
      </c>
      <c r="D464" t="s">
        <v>944</v>
      </c>
      <c r="E464">
        <v>7014</v>
      </c>
      <c r="F464" s="45" t="s">
        <v>1433</v>
      </c>
      <c r="G464" t="s">
        <v>2750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490</v>
      </c>
      <c r="B465" s="31" t="str">
        <f>_xlfn.TEXTAFTER(CONTROL[[#This Row],[VEHIDCODE]],"_")</f>
        <v>Spain_RENFE_594_TRD</v>
      </c>
      <c r="C465" t="s">
        <v>723</v>
      </c>
      <c r="D465" t="s">
        <v>944</v>
      </c>
      <c r="E465">
        <v>7015</v>
      </c>
      <c r="F465" s="45" t="s">
        <v>1434</v>
      </c>
      <c r="G465" t="s">
        <v>2751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491</v>
      </c>
      <c r="B466" s="31" t="str">
        <f>_xlfn.TEXTAFTER(CONTROL[[#This Row],[VEHIDCODE]],"_")</f>
        <v>UK_BR_168</v>
      </c>
      <c r="C466" t="s">
        <v>723</v>
      </c>
      <c r="D466" t="s">
        <v>944</v>
      </c>
      <c r="E466">
        <v>7016</v>
      </c>
      <c r="F466" s="45" t="s">
        <v>1435</v>
      </c>
      <c r="G466" t="s">
        <v>2752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492</v>
      </c>
      <c r="B467" s="31" t="str">
        <f>_xlfn.TEXTAFTER(CONTROL[[#This Row],[VEHIDCODE]],"_")</f>
        <v>Germany_DB_612_Regio_Swinger</v>
      </c>
      <c r="C467" t="s">
        <v>723</v>
      </c>
      <c r="D467" t="s">
        <v>944</v>
      </c>
      <c r="E467">
        <v>7017</v>
      </c>
      <c r="F467" s="45" t="s">
        <v>1436</v>
      </c>
      <c r="G467" t="s">
        <v>2753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493</v>
      </c>
      <c r="B468" s="31" t="str">
        <f>_xlfn.TEXTAFTER(CONTROL[[#This Row],[VEHIDCODE]],"_")</f>
        <v>Germany_DB_642_Desiro</v>
      </c>
      <c r="C468" t="s">
        <v>723</v>
      </c>
      <c r="D468" t="s">
        <v>944</v>
      </c>
      <c r="E468">
        <v>7018</v>
      </c>
      <c r="F468" s="45" t="s">
        <v>1437</v>
      </c>
      <c r="G468" t="s">
        <v>2754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494</v>
      </c>
      <c r="B469" s="31" t="str">
        <f>_xlfn.TEXTAFTER(CONTROL[[#This Row],[VEHIDCODE]],"_")</f>
        <v>Denmark_Arriva_Lint_41</v>
      </c>
      <c r="C469" t="s">
        <v>723</v>
      </c>
      <c r="D469" t="s">
        <v>944</v>
      </c>
      <c r="E469">
        <v>7019</v>
      </c>
      <c r="F469" s="45" t="s">
        <v>1438</v>
      </c>
      <c r="G469" t="s">
        <v>2755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495</v>
      </c>
      <c r="B470" s="31" t="str">
        <f>_xlfn.TEXTAFTER(CONTROL[[#This Row],[VEHIDCODE]],"_")</f>
        <v>Norway_NSB_BM_93_Talent</v>
      </c>
      <c r="C470" t="s">
        <v>723</v>
      </c>
      <c r="D470" t="s">
        <v>944</v>
      </c>
      <c r="E470">
        <v>7020</v>
      </c>
      <c r="F470" s="45" t="s">
        <v>1439</v>
      </c>
      <c r="G470" t="s">
        <v>2756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496</v>
      </c>
      <c r="B471" s="31" t="str">
        <f>_xlfn.TEXTAFTER(CONTROL[[#This Row],[VEHIDCODE]],"_")</f>
        <v>Australia_Transwa_Prospector</v>
      </c>
      <c r="C471" t="s">
        <v>723</v>
      </c>
      <c r="D471" t="s">
        <v>944</v>
      </c>
      <c r="E471">
        <v>7021</v>
      </c>
      <c r="F471" s="45" t="s">
        <v>1440</v>
      </c>
      <c r="G471" t="s">
        <v>2757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497</v>
      </c>
      <c r="B472" s="31" t="str">
        <f>_xlfn.TEXTAFTER(CONTROL[[#This Row],[VEHIDCODE]],"_")</f>
        <v>Australia_CityRail_Hunter_Railcar</v>
      </c>
      <c r="C472" t="s">
        <v>723</v>
      </c>
      <c r="D472" t="s">
        <v>944</v>
      </c>
      <c r="E472">
        <v>7022</v>
      </c>
      <c r="F472" s="45" t="s">
        <v>1441</v>
      </c>
      <c r="G472" t="s">
        <v>2758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498</v>
      </c>
      <c r="B473" s="31" t="str">
        <f>_xlfn.TEXTAFTER(CONTROL[[#This Row],[VEHIDCODE]],"_")</f>
        <v>Russia_RZD_RA2</v>
      </c>
      <c r="C473" t="s">
        <v>723</v>
      </c>
      <c r="D473" t="s">
        <v>944</v>
      </c>
      <c r="E473">
        <v>7023</v>
      </c>
      <c r="F473" s="45" t="s">
        <v>1442</v>
      </c>
      <c r="G473" t="s">
        <v>2759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499</v>
      </c>
      <c r="B474" s="31" t="str">
        <f>_xlfn.TEXTAFTER(CONTROL[[#This Row],[VEHIDCODE]],"_")</f>
        <v>Denmark_DSB_IC4</v>
      </c>
      <c r="C474" t="s">
        <v>723</v>
      </c>
      <c r="D474" t="s">
        <v>944</v>
      </c>
      <c r="E474">
        <v>7000</v>
      </c>
      <c r="F474" s="45" t="s">
        <v>1443</v>
      </c>
      <c r="G474" t="s">
        <v>2760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500</v>
      </c>
      <c r="B475" s="31" t="str">
        <f>_xlfn.TEXTAFTER(CONTROL[[#This Row],[VEHIDCODE]],"_")</f>
        <v>Croatia_HZ_7022</v>
      </c>
      <c r="C475" t="s">
        <v>723</v>
      </c>
      <c r="D475" t="s">
        <v>944</v>
      </c>
      <c r="E475">
        <v>7001</v>
      </c>
      <c r="F475" s="45" t="s">
        <v>1444</v>
      </c>
      <c r="G475" t="s">
        <v>2761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501</v>
      </c>
      <c r="B476" s="31" t="str">
        <f>_xlfn.TEXTAFTER(CONTROL[[#This Row],[VEHIDCODE]],"_")</f>
        <v>Turkey_TCDD_MT_5500</v>
      </c>
      <c r="C476" t="s">
        <v>723</v>
      </c>
      <c r="D476" t="s">
        <v>944</v>
      </c>
      <c r="E476">
        <v>7024</v>
      </c>
      <c r="F476" s="45" t="s">
        <v>3063</v>
      </c>
      <c r="G476" t="s">
        <v>2762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502</v>
      </c>
      <c r="B477" s="31" t="str">
        <f>_xlfn.TEXTAFTER(CONTROL[[#This Row],[VEHIDCODE]],"_")</f>
        <v>Japan_JNR_KiHa_181</v>
      </c>
      <c r="C477" t="s">
        <v>723</v>
      </c>
      <c r="D477" t="s">
        <v>944</v>
      </c>
      <c r="E477">
        <v>7025</v>
      </c>
      <c r="F477" s="45" t="s">
        <v>1445</v>
      </c>
      <c r="G477" t="s">
        <v>2763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503</v>
      </c>
      <c r="B478" s="31" t="str">
        <f>_xlfn.TEXTAFTER(CONTROL[[#This Row],[VEHIDCODE]],"_")</f>
        <v>Czech_Republic_CD_814</v>
      </c>
      <c r="C478" t="s">
        <v>723</v>
      </c>
      <c r="D478" t="s">
        <v>944</v>
      </c>
      <c r="E478">
        <v>7026</v>
      </c>
      <c r="F478" s="45" t="s">
        <v>3064</v>
      </c>
      <c r="G478" t="s">
        <v>2764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504</v>
      </c>
      <c r="B479" s="31" t="str">
        <f>_xlfn.TEXTAFTER(CONTROL[[#This Row],[VEHIDCODE]],"_")</f>
        <v>UK_BR_150_0_Sprinter</v>
      </c>
      <c r="C479" t="s">
        <v>723</v>
      </c>
      <c r="D479" t="s">
        <v>944</v>
      </c>
      <c r="E479">
        <v>7027</v>
      </c>
      <c r="F479" s="45" t="s">
        <v>1446</v>
      </c>
      <c r="G479" t="s">
        <v>2765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505</v>
      </c>
      <c r="B480" s="31" t="str">
        <f>_xlfn.TEXTAFTER(CONTROL[[#This Row],[VEHIDCODE]],"_")</f>
        <v>Iran_RAI_141_Pacer</v>
      </c>
      <c r="C480" t="s">
        <v>723</v>
      </c>
      <c r="D480" t="s">
        <v>944</v>
      </c>
      <c r="E480">
        <v>7028</v>
      </c>
      <c r="F480" s="45" t="s">
        <v>1447</v>
      </c>
      <c r="G480" t="s">
        <v>2766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506</v>
      </c>
      <c r="B481" s="31" t="str">
        <f>_xlfn.TEXTAFTER(CONTROL[[#This Row],[VEHIDCODE]],"_")</f>
        <v>Israel_Israel_Railways_IC3</v>
      </c>
      <c r="C481" t="s">
        <v>723</v>
      </c>
      <c r="D481" t="s">
        <v>944</v>
      </c>
      <c r="E481">
        <v>7029</v>
      </c>
      <c r="F481" s="45" t="s">
        <v>1448</v>
      </c>
      <c r="G481" t="s">
        <v>2767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507</v>
      </c>
      <c r="B482" s="31" t="str">
        <f>_xlfn.TEXTAFTER(CONTROL[[#This Row],[VEHIDCODE]],"_")</f>
        <v>Australia_TransAdelaide_3100</v>
      </c>
      <c r="C482" t="s">
        <v>723</v>
      </c>
      <c r="D482" t="s">
        <v>944</v>
      </c>
      <c r="E482">
        <v>7030</v>
      </c>
      <c r="F482" s="45" t="s">
        <v>1449</v>
      </c>
      <c r="G482" t="s">
        <v>2768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508</v>
      </c>
      <c r="B483" s="31" t="str">
        <f>_xlfn.TEXTAFTER(CONTROL[[#This Row],[VEHIDCODE]],"_")</f>
        <v>Australia_NSWGR_Xplorer</v>
      </c>
      <c r="C483" t="s">
        <v>723</v>
      </c>
      <c r="D483" t="s">
        <v>944</v>
      </c>
      <c r="E483">
        <v>7031</v>
      </c>
      <c r="F483" s="45" t="s">
        <v>1450</v>
      </c>
      <c r="G483" t="s">
        <v>2769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509</v>
      </c>
      <c r="B484" s="31" t="str">
        <f>_xlfn.TEXTAFTER(CONTROL[[#This Row],[VEHIDCODE]],"_")</f>
        <v>Japan_JR_KiHa_189</v>
      </c>
      <c r="C484" t="s">
        <v>723</v>
      </c>
      <c r="D484" t="s">
        <v>944</v>
      </c>
      <c r="E484">
        <v>7032</v>
      </c>
      <c r="F484" s="45" t="s">
        <v>1451</v>
      </c>
      <c r="G484" t="s">
        <v>2770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510</v>
      </c>
      <c r="B485" s="31" t="str">
        <f>_xlfn.TEXTAFTER(CONTROL[[#This Row],[VEHIDCODE]],"_")</f>
        <v>Sri_Lanka_Sri_Lanka_Railways_S11</v>
      </c>
      <c r="C485" t="s">
        <v>723</v>
      </c>
      <c r="D485" t="s">
        <v>944</v>
      </c>
      <c r="E485">
        <v>7033</v>
      </c>
      <c r="F485" s="45" t="s">
        <v>1452</v>
      </c>
      <c r="G485" t="s">
        <v>2771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511</v>
      </c>
      <c r="B486" s="31" t="str">
        <f>_xlfn.TEXTAFTER(CONTROL[[#This Row],[VEHIDCODE]],"_")</f>
        <v>Slovakia_ZSSK_861</v>
      </c>
      <c r="C486" t="s">
        <v>723</v>
      </c>
      <c r="D486" t="s">
        <v>944</v>
      </c>
      <c r="E486">
        <v>7035</v>
      </c>
      <c r="F486" s="45" t="s">
        <v>1453</v>
      </c>
      <c r="G486" t="s">
        <v>2772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512</v>
      </c>
      <c r="B487" s="31" t="str">
        <f>_xlfn.TEXTAFTER(CONTROL[[#This Row],[VEHIDCODE]],"_")</f>
        <v>Chile_EFE_TLD_500</v>
      </c>
      <c r="C487" t="s">
        <v>723</v>
      </c>
      <c r="D487" t="s">
        <v>944</v>
      </c>
      <c r="E487">
        <v>7036</v>
      </c>
      <c r="F487" s="45" t="s">
        <v>1454</v>
      </c>
      <c r="G487" t="s">
        <v>2773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513</v>
      </c>
      <c r="B488" s="31" t="str">
        <f>_xlfn.TEXTAFTER(CONTROL[[#This Row],[VEHIDCODE]],"_")</f>
        <v>Cameroon_Camrail_ZE_500</v>
      </c>
      <c r="C488" t="s">
        <v>723</v>
      </c>
      <c r="D488" t="s">
        <v>944</v>
      </c>
      <c r="E488">
        <v>7037</v>
      </c>
      <c r="F488" s="45" t="s">
        <v>1455</v>
      </c>
      <c r="G488" t="s">
        <v>2774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514</v>
      </c>
      <c r="B489" s="31" t="str">
        <f>_xlfn.TEXTAFTER(CONTROL[[#This Row],[VEHIDCODE]],"_")</f>
        <v>UK_BR_251_Blue_Pullman</v>
      </c>
      <c r="C489" t="s">
        <v>723</v>
      </c>
      <c r="D489" t="s">
        <v>944</v>
      </c>
      <c r="E489">
        <v>7039</v>
      </c>
      <c r="F489" s="45" t="s">
        <v>1456</v>
      </c>
      <c r="G489" t="s">
        <v>2775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515</v>
      </c>
      <c r="B490" s="31" t="str">
        <f>_xlfn.TEXTAFTER(CONTROL[[#This Row],[VEHIDCODE]],"_")</f>
        <v>Australia_WAGR_ADK_ADB</v>
      </c>
      <c r="C490" t="s">
        <v>723</v>
      </c>
      <c r="D490" t="s">
        <v>944</v>
      </c>
      <c r="E490">
        <v>7041</v>
      </c>
      <c r="F490" s="45" t="s">
        <v>2777</v>
      </c>
      <c r="G490" t="s">
        <v>2776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516</v>
      </c>
      <c r="B491" s="31" t="str">
        <f>_xlfn.TEXTAFTER(CONTROL[[#This Row],[VEHIDCODE]],"_")</f>
        <v>France_SNCF_X_4630</v>
      </c>
      <c r="C491" t="s">
        <v>723</v>
      </c>
      <c r="D491" t="s">
        <v>944</v>
      </c>
      <c r="E491">
        <v>7042</v>
      </c>
      <c r="F491" s="45" t="s">
        <v>1457</v>
      </c>
      <c r="G491" t="s">
        <v>2778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517</v>
      </c>
      <c r="B492" s="31" t="str">
        <f>_xlfn.TEXTAFTER(CONTROL[[#This Row],[VEHIDCODE]],"_")</f>
        <v>France_SNCF_T_2000</v>
      </c>
      <c r="C492" t="s">
        <v>723</v>
      </c>
      <c r="D492" t="s">
        <v>944</v>
      </c>
      <c r="E492">
        <v>7043</v>
      </c>
      <c r="F492" s="45" t="s">
        <v>1458</v>
      </c>
      <c r="G492" t="s">
        <v>2779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518</v>
      </c>
      <c r="B493" s="31" t="str">
        <f>_xlfn.TEXTAFTER(CONTROL[[#This Row],[VEHIDCODE]],"_")</f>
        <v>Netherlands_NS_DH2</v>
      </c>
      <c r="C493" t="s">
        <v>723</v>
      </c>
      <c r="D493" t="s">
        <v>944</v>
      </c>
      <c r="E493">
        <v>7045</v>
      </c>
      <c r="F493" s="45" t="s">
        <v>1459</v>
      </c>
      <c r="G493" t="s">
        <v>2780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519</v>
      </c>
      <c r="B494" s="31" t="str">
        <f>_xlfn.TEXTAFTER(CONTROL[[#This Row],[VEHIDCODE]],"_")</f>
        <v>Germany_DB_6282</v>
      </c>
      <c r="C494" t="s">
        <v>723</v>
      </c>
      <c r="D494" t="s">
        <v>944</v>
      </c>
      <c r="E494">
        <v>7047</v>
      </c>
      <c r="F494" s="45" t="s">
        <v>1460</v>
      </c>
      <c r="G494" t="s">
        <v>2781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520</v>
      </c>
      <c r="B495" s="31" t="str">
        <f>_xlfn.TEXTAFTER(CONTROL[[#This Row],[VEHIDCODE]],"_")</f>
        <v>Algeria_SNTF_ZZ_2200_Autorail</v>
      </c>
      <c r="C495" t="s">
        <v>723</v>
      </c>
      <c r="D495" t="s">
        <v>944</v>
      </c>
      <c r="E495">
        <v>7048</v>
      </c>
      <c r="F495" s="45" t="s">
        <v>1461</v>
      </c>
      <c r="G495" t="s">
        <v>2560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521</v>
      </c>
      <c r="B496" s="31" t="str">
        <f>_xlfn.TEXTAFTER(CONTROL[[#This Row],[VEHIDCODE]],"_")</f>
        <v>Tunisia_SNCFT_AMT_800</v>
      </c>
      <c r="C496" t="s">
        <v>723</v>
      </c>
      <c r="D496" t="s">
        <v>944</v>
      </c>
      <c r="E496">
        <v>7049</v>
      </c>
      <c r="F496" s="45" t="s">
        <v>1462</v>
      </c>
      <c r="G496" t="s">
        <v>2782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522</v>
      </c>
      <c r="B497" s="31" t="str">
        <f>_xlfn.TEXTAFTER(CONTROL[[#This Row],[VEHIDCODE]],"_")</f>
        <v>Ghana_Ghana_Railways_DEMU</v>
      </c>
      <c r="C497" t="s">
        <v>723</v>
      </c>
      <c r="D497" t="s">
        <v>944</v>
      </c>
      <c r="E497">
        <v>7050</v>
      </c>
      <c r="F497" s="45" t="s">
        <v>1463</v>
      </c>
      <c r="G497" t="s">
        <v>2783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523</v>
      </c>
      <c r="B498" s="31" t="str">
        <f>_xlfn.TEXTAFTER(CONTROL[[#This Row],[VEHIDCODE]],"_")</f>
        <v>Australia_Queensland_Rail_Diesel_Tilt_Train</v>
      </c>
      <c r="C498" t="s">
        <v>723</v>
      </c>
      <c r="D498" t="s">
        <v>944</v>
      </c>
      <c r="E498">
        <v>7051</v>
      </c>
      <c r="F498" s="45" t="s">
        <v>1464</v>
      </c>
      <c r="G498" t="s">
        <v>2784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524</v>
      </c>
      <c r="B499" s="31" t="str">
        <f>_xlfn.TEXTAFTER(CONTROL[[#This Row],[VEHIDCODE]],"_")</f>
        <v>Canada_UP_Express_Nippon_Sharyo_DMU</v>
      </c>
      <c r="C499" t="s">
        <v>723</v>
      </c>
      <c r="D499" t="s">
        <v>944</v>
      </c>
      <c r="E499">
        <v>7052</v>
      </c>
      <c r="F499" s="45" t="s">
        <v>1465</v>
      </c>
      <c r="G499" t="s">
        <v>2785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525</v>
      </c>
      <c r="B500" s="31" t="str">
        <f>_xlfn.TEXTAFTER(CONTROL[[#This Row],[VEHIDCODE]],"_")</f>
        <v>Argentina_FCGU_CMM_400_2</v>
      </c>
      <c r="C500" t="s">
        <v>723</v>
      </c>
      <c r="D500" t="s">
        <v>944</v>
      </c>
      <c r="E500">
        <v>7053</v>
      </c>
      <c r="F500" s="45" t="s">
        <v>1466</v>
      </c>
      <c r="G500" t="s">
        <v>2786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526</v>
      </c>
      <c r="B501" s="31" t="str">
        <f>_xlfn.TEXTAFTER(CONTROL[[#This Row],[VEHIDCODE]],"_")</f>
        <v>Italy_FS_ALn_442_448</v>
      </c>
      <c r="C501" t="s">
        <v>723</v>
      </c>
      <c r="D501" t="s">
        <v>944</v>
      </c>
      <c r="E501">
        <v>7038</v>
      </c>
      <c r="F501" s="45" t="s">
        <v>1467</v>
      </c>
      <c r="G501" t="s">
        <v>2787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527</v>
      </c>
      <c r="B502" s="31" t="str">
        <f>_xlfn.TEXTAFTER(CONTROL[[#This Row],[VEHIDCODE]],"_")</f>
        <v>Portugal_CP_0400</v>
      </c>
      <c r="C502" t="s">
        <v>723</v>
      </c>
      <c r="D502" t="s">
        <v>944</v>
      </c>
      <c r="E502">
        <v>7040</v>
      </c>
      <c r="F502" s="45" t="s">
        <v>1468</v>
      </c>
      <c r="G502" t="s">
        <v>2788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528</v>
      </c>
      <c r="B503" s="31" t="str">
        <f>_xlfn.TEXTAFTER(CONTROL[[#This Row],[VEHIDCODE]],"_")</f>
        <v>Portugal_CP_0600</v>
      </c>
      <c r="C503" t="s">
        <v>723</v>
      </c>
      <c r="D503" t="s">
        <v>944</v>
      </c>
      <c r="E503">
        <v>7044</v>
      </c>
      <c r="F503" s="45" t="s">
        <v>1469</v>
      </c>
      <c r="G503" t="s">
        <v>2789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529</v>
      </c>
      <c r="B504" s="31" t="str">
        <f>_xlfn.TEXTAFTER(CONTROL[[#This Row],[VEHIDCODE]],"_")</f>
        <v>Spain_FEVE_2400_Apollos</v>
      </c>
      <c r="C504" t="s">
        <v>723</v>
      </c>
      <c r="D504" t="s">
        <v>944</v>
      </c>
      <c r="E504">
        <v>7046</v>
      </c>
      <c r="F504" s="45" t="s">
        <v>1470</v>
      </c>
      <c r="G504" t="s">
        <v>2792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530</v>
      </c>
      <c r="B505" s="31" t="str">
        <f>_xlfn.TEXTAFTER(CONTROL[[#This Row],[VEHIDCODE]],"_")</f>
        <v>Germany_DB_691_CargoSprinter</v>
      </c>
      <c r="C505" t="s">
        <v>724</v>
      </c>
      <c r="D505" t="s">
        <v>962</v>
      </c>
      <c r="E505">
        <v>15501</v>
      </c>
      <c r="F505" s="45" t="s">
        <v>1471</v>
      </c>
      <c r="G505" t="s">
        <v>2796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532</v>
      </c>
      <c r="B506" s="31" t="str">
        <f>_xlfn.TEXTAFTER(CONTROL[[#This Row],[VEHIDCODE]],"_")</f>
        <v>Australia_Sydney_Trains_A_Set_Waratah</v>
      </c>
      <c r="C506" t="s">
        <v>725</v>
      </c>
      <c r="D506" t="s">
        <v>946</v>
      </c>
      <c r="E506">
        <v>8054</v>
      </c>
      <c r="F506" s="45" t="s">
        <v>1472</v>
      </c>
      <c r="G506" t="s">
        <v>2797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533</v>
      </c>
      <c r="B507" s="31" t="str">
        <f>_xlfn.TEXTAFTER(CONTROL[[#This Row],[VEHIDCODE]],"_")</f>
        <v>Denmark_DSB_S_Tog_II</v>
      </c>
      <c r="C507" t="s">
        <v>725</v>
      </c>
      <c r="D507" t="s">
        <v>946</v>
      </c>
      <c r="E507">
        <v>8013</v>
      </c>
      <c r="F507" s="45" t="s">
        <v>1473</v>
      </c>
      <c r="G507" t="s">
        <v>2798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534</v>
      </c>
      <c r="B508" s="31" t="str">
        <f>_xlfn.TEXTAFTER(CONTROL[[#This Row],[VEHIDCODE]],"_")</f>
        <v>Denmark_DSB_S_Tog_IV</v>
      </c>
      <c r="C508" t="s">
        <v>725</v>
      </c>
      <c r="D508" t="s">
        <v>946</v>
      </c>
      <c r="E508">
        <v>8028</v>
      </c>
      <c r="F508" s="45" t="s">
        <v>1474</v>
      </c>
      <c r="G508" t="s">
        <v>2799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535</v>
      </c>
      <c r="B509" s="31" t="str">
        <f>_xlfn.TEXTAFTER(CONTROL[[#This Row],[VEHIDCODE]],"_")</f>
        <v>Italy_ATAC_ECD_21_30</v>
      </c>
      <c r="C509" t="s">
        <v>725</v>
      </c>
      <c r="D509" t="s">
        <v>946</v>
      </c>
      <c r="E509">
        <v>8002</v>
      </c>
      <c r="F509" s="45" t="s">
        <v>2800</v>
      </c>
      <c r="G509" t="s">
        <v>2801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536</v>
      </c>
      <c r="B510" s="31" t="str">
        <f>_xlfn.TEXTAFTER(CONTROL[[#This Row],[VEHIDCODE]],"_")</f>
        <v>Netherlands_NS_Mat24</v>
      </c>
      <c r="C510" t="s">
        <v>725</v>
      </c>
      <c r="D510" t="s">
        <v>946</v>
      </c>
      <c r="E510">
        <v>8000</v>
      </c>
      <c r="F510" s="45" t="s">
        <v>1475</v>
      </c>
      <c r="G510" t="s">
        <v>2802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537</v>
      </c>
      <c r="B511" s="31" t="str">
        <f>_xlfn.TEXTAFTER(CONTROL[[#This Row],[VEHIDCODE]],"_")</f>
        <v>Netherlands_NS_Mat36</v>
      </c>
      <c r="C511" t="s">
        <v>725</v>
      </c>
      <c r="D511" t="s">
        <v>946</v>
      </c>
      <c r="E511">
        <v>8003</v>
      </c>
      <c r="F511" s="45" t="s">
        <v>1476</v>
      </c>
      <c r="G511" t="s">
        <v>2803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538</v>
      </c>
      <c r="B512" s="31" t="str">
        <f>_xlfn.TEXTAFTER(CONTROL[[#This Row],[VEHIDCODE]],"_")</f>
        <v>Netherlands_NS_Mat54</v>
      </c>
      <c r="C512" t="s">
        <v>725</v>
      </c>
      <c r="D512" t="s">
        <v>946</v>
      </c>
      <c r="E512">
        <v>8007</v>
      </c>
      <c r="F512" s="45" t="s">
        <v>1477</v>
      </c>
      <c r="G512" t="s">
        <v>2804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539</v>
      </c>
      <c r="B513" s="31" t="str">
        <f>_xlfn.TEXTAFTER(CONTROL[[#This Row],[VEHIDCODE]],"_")</f>
        <v>Netherlands_NS_Plan_Y</v>
      </c>
      <c r="C513" t="s">
        <v>725</v>
      </c>
      <c r="D513" t="s">
        <v>946</v>
      </c>
      <c r="E513">
        <v>8017</v>
      </c>
      <c r="F513" s="45" t="s">
        <v>1478</v>
      </c>
      <c r="G513" t="s">
        <v>2805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540</v>
      </c>
      <c r="B514" s="31" t="str">
        <f>_xlfn.TEXTAFTER(CONTROL[[#This Row],[VEHIDCODE]],"_")</f>
        <v>Netherlands_NS_ICM_4000</v>
      </c>
      <c r="C514" t="s">
        <v>725</v>
      </c>
      <c r="D514" t="s">
        <v>946</v>
      </c>
      <c r="E514">
        <v>8018</v>
      </c>
      <c r="F514" s="45" t="s">
        <v>1479</v>
      </c>
      <c r="G514" t="s">
        <v>2806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541</v>
      </c>
      <c r="B515" s="31" t="str">
        <f>_xlfn.TEXTAFTER(CONTROL[[#This Row],[VEHIDCODE]],"_")</f>
        <v>Netherlands_NS_DD_IRM_VIRM</v>
      </c>
      <c r="C515" t="s">
        <v>725</v>
      </c>
      <c r="D515" t="s">
        <v>946</v>
      </c>
      <c r="E515">
        <v>8025</v>
      </c>
      <c r="F515" s="45" t="s">
        <v>2808</v>
      </c>
      <c r="G515" t="s">
        <v>2807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542</v>
      </c>
      <c r="B516" s="31" t="str">
        <f>_xlfn.TEXTAFTER(CONTROL[[#This Row],[VEHIDCODE]],"_")</f>
        <v>Netherlands_NS_mDDm_390</v>
      </c>
      <c r="C516" t="s">
        <v>725</v>
      </c>
      <c r="D516" t="s">
        <v>946</v>
      </c>
      <c r="E516">
        <v>8031</v>
      </c>
      <c r="F516" s="45" t="s">
        <v>1480</v>
      </c>
      <c r="G516" t="s">
        <v>2811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543</v>
      </c>
      <c r="B517" s="31" t="str">
        <f>_xlfn.TEXTAFTER(CONTROL[[#This Row],[VEHIDCODE]],"_")</f>
        <v>Poland_PKP_EW90</v>
      </c>
      <c r="C517" t="s">
        <v>725</v>
      </c>
      <c r="D517" t="s">
        <v>946</v>
      </c>
      <c r="E517">
        <v>8047</v>
      </c>
      <c r="F517" s="45" t="s">
        <v>1481</v>
      </c>
      <c r="G517" t="s">
        <v>2809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544</v>
      </c>
      <c r="B518" s="31" t="str">
        <f>_xlfn.TEXTAFTER(CONTROL[[#This Row],[VEHIDCODE]],"_")</f>
        <v>Italy_FS_ETR200</v>
      </c>
      <c r="C518" t="s">
        <v>725</v>
      </c>
      <c r="D518" t="s">
        <v>946</v>
      </c>
      <c r="E518">
        <v>8004</v>
      </c>
      <c r="F518" s="45" t="s">
        <v>1482</v>
      </c>
      <c r="G518" t="s">
        <v>2810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545</v>
      </c>
      <c r="B519" s="31" t="str">
        <f>_xlfn.TEXTAFTER(CONTROL[[#This Row],[VEHIDCODE]],"_")</f>
        <v>Italy_FS_ETR300_Settebello</v>
      </c>
      <c r="C519" t="s">
        <v>725</v>
      </c>
      <c r="D519" t="s">
        <v>946</v>
      </c>
      <c r="E519">
        <v>8006</v>
      </c>
      <c r="F519" s="45" t="s">
        <v>1483</v>
      </c>
      <c r="G519" t="s">
        <v>2812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546</v>
      </c>
      <c r="B520" s="31" t="str">
        <f>_xlfn.TEXTAFTER(CONTROL[[#This Row],[VEHIDCODE]],"_")</f>
        <v>Italy_FS_ETR500</v>
      </c>
      <c r="C520" t="s">
        <v>725</v>
      </c>
      <c r="D520" t="s">
        <v>946</v>
      </c>
      <c r="E520">
        <v>8024</v>
      </c>
      <c r="F520" s="45" t="s">
        <v>1484</v>
      </c>
      <c r="G520" t="s">
        <v>2813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547</v>
      </c>
      <c r="B521" s="31" t="str">
        <f>_xlfn.TEXTAFTER(CONTROL[[#This Row],[VEHIDCODE]],"_")</f>
        <v>Italy_FS_ALe426</v>
      </c>
      <c r="C521" t="s">
        <v>725</v>
      </c>
      <c r="D521" t="s">
        <v>946</v>
      </c>
      <c r="E521">
        <v>8029</v>
      </c>
      <c r="F521" s="45" t="s">
        <v>1485</v>
      </c>
      <c r="G521" t="s">
        <v>2814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548</v>
      </c>
      <c r="B522" s="31" t="str">
        <f>_xlfn.TEXTAFTER(CONTROL[[#This Row],[VEHIDCODE]],"_")</f>
        <v>Morocco_ONCF_ZMC</v>
      </c>
      <c r="C522" t="s">
        <v>725</v>
      </c>
      <c r="D522" t="s">
        <v>946</v>
      </c>
      <c r="E522">
        <v>8064</v>
      </c>
      <c r="F522" s="45" t="s">
        <v>1486</v>
      </c>
      <c r="G522" t="s">
        <v>2815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549</v>
      </c>
      <c r="B523" s="31" t="str">
        <f>_xlfn.TEXTAFTER(CONTROL[[#This Row],[VEHIDCODE]],"_")</f>
        <v>Poland_PKP_EW54</v>
      </c>
      <c r="C523" t="s">
        <v>725</v>
      </c>
      <c r="D523" t="s">
        <v>946</v>
      </c>
      <c r="E523">
        <v>8060</v>
      </c>
      <c r="F523" s="45" t="s">
        <v>1487</v>
      </c>
      <c r="G523" t="s">
        <v>2816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550</v>
      </c>
      <c r="B524" s="31" t="str">
        <f>_xlfn.TEXTAFTER(CONTROL[[#This Row],[VEHIDCODE]],"_")</f>
        <v>Italy_FS_ALe_801</v>
      </c>
      <c r="C524" t="s">
        <v>725</v>
      </c>
      <c r="D524" t="s">
        <v>946</v>
      </c>
      <c r="E524">
        <v>8051</v>
      </c>
      <c r="F524" s="45" t="s">
        <v>1488</v>
      </c>
      <c r="G524" t="s">
        <v>2817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551</v>
      </c>
      <c r="B525" s="31" t="str">
        <f>_xlfn.TEXTAFTER(CONTROL[[#This Row],[VEHIDCODE]],"_")</f>
        <v>Austria_OBB_4030</v>
      </c>
      <c r="C525" t="s">
        <v>725</v>
      </c>
      <c r="D525" t="s">
        <v>946</v>
      </c>
      <c r="E525">
        <v>8050</v>
      </c>
      <c r="F525" s="45" t="s">
        <v>3039</v>
      </c>
      <c r="G525" t="s">
        <v>2818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552</v>
      </c>
      <c r="B526" s="31" t="str">
        <f>_xlfn.TEXTAFTER(CONTROL[[#This Row],[VEHIDCODE]],"_")</f>
        <v>Austria_OBB_4041</v>
      </c>
      <c r="C526" t="s">
        <v>725</v>
      </c>
      <c r="D526" t="s">
        <v>946</v>
      </c>
      <c r="E526">
        <v>8001</v>
      </c>
      <c r="F526" s="45" t="s">
        <v>3040</v>
      </c>
      <c r="G526" t="s">
        <v>2819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553</v>
      </c>
      <c r="B527" s="31" t="str">
        <f>_xlfn.TEXTAFTER(CONTROL[[#This Row],[VEHIDCODE]],"_")</f>
        <v>Austria_WESTbahn_4010_KISS</v>
      </c>
      <c r="C527" t="s">
        <v>725</v>
      </c>
      <c r="D527" t="s">
        <v>946</v>
      </c>
      <c r="E527">
        <v>8069</v>
      </c>
      <c r="F527" s="45" t="s">
        <v>1489</v>
      </c>
      <c r="G527" t="s">
        <v>2820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554</v>
      </c>
      <c r="B528" s="31" t="str">
        <f>_xlfn.TEXTAFTER(CONTROL[[#This Row],[VEHIDCODE]],"_")</f>
        <v>Germany_DB_ET420</v>
      </c>
      <c r="C528" t="s">
        <v>725</v>
      </c>
      <c r="D528" t="s">
        <v>946</v>
      </c>
      <c r="E528">
        <v>8014</v>
      </c>
      <c r="F528" s="45" t="s">
        <v>1490</v>
      </c>
      <c r="G528" t="s">
        <v>2821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555</v>
      </c>
      <c r="B529" s="31" t="str">
        <f>_xlfn.TEXTAFTER(CONTROL[[#This Row],[VEHIDCODE]],"_")</f>
        <v>Norway_NSB_BM73</v>
      </c>
      <c r="C529" t="s">
        <v>725</v>
      </c>
      <c r="D529" t="s">
        <v>946</v>
      </c>
      <c r="E529">
        <v>8032</v>
      </c>
      <c r="F529" s="45" t="s">
        <v>1491</v>
      </c>
      <c r="G529" t="s">
        <v>2822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556</v>
      </c>
      <c r="B530" s="31" t="str">
        <f>_xlfn.TEXTAFTER(CONTROL[[#This Row],[VEHIDCODE]],"_")</f>
        <v>Norway_NSB_BM65</v>
      </c>
      <c r="C530" t="s">
        <v>725</v>
      </c>
      <c r="D530" t="s">
        <v>946</v>
      </c>
      <c r="E530">
        <v>8005</v>
      </c>
      <c r="F530" s="45" t="s">
        <v>1492</v>
      </c>
      <c r="G530" t="s">
        <v>2823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557</v>
      </c>
      <c r="B531" s="31" t="str">
        <f>_xlfn.TEXTAFTER(CONTROL[[#This Row],[VEHIDCODE]],"_")</f>
        <v>Sweden_SJ_X2000</v>
      </c>
      <c r="C531" t="s">
        <v>725</v>
      </c>
      <c r="D531" t="s">
        <v>946</v>
      </c>
      <c r="E531">
        <v>8023</v>
      </c>
      <c r="F531" s="45" t="s">
        <v>1493</v>
      </c>
      <c r="G531" t="s">
        <v>2824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558</v>
      </c>
      <c r="B532" s="31" t="str">
        <f>_xlfn.TEXTAFTER(CONTROL[[#This Row],[VEHIDCODE]],"_")</f>
        <v>Switzerland_SBB_RABDe_510</v>
      </c>
      <c r="C532" t="s">
        <v>725</v>
      </c>
      <c r="D532" t="s">
        <v>946</v>
      </c>
      <c r="E532">
        <v>8012</v>
      </c>
      <c r="F532" s="45" t="s">
        <v>1494</v>
      </c>
      <c r="G532" t="s">
        <v>2825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559</v>
      </c>
      <c r="B533" s="31" t="str">
        <f>_xlfn.TEXTAFTER(CONTROL[[#This Row],[VEHIDCODE]],"_")</f>
        <v>Switzerland_SBB_RBDe_560</v>
      </c>
      <c r="C533" t="s">
        <v>725</v>
      </c>
      <c r="D533" t="s">
        <v>946</v>
      </c>
      <c r="E533">
        <v>8020</v>
      </c>
      <c r="F533" s="45" t="s">
        <v>1495</v>
      </c>
      <c r="G533" t="s">
        <v>2826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560</v>
      </c>
      <c r="B534" s="31" t="str">
        <f>_xlfn.TEXTAFTER(CONTROL[[#This Row],[VEHIDCODE]],"_")</f>
        <v>Switzerland_SBB_RABe_523_Flirt</v>
      </c>
      <c r="C534" t="s">
        <v>725</v>
      </c>
      <c r="D534" t="s">
        <v>946</v>
      </c>
      <c r="E534">
        <v>8038</v>
      </c>
      <c r="F534" s="45" t="s">
        <v>1496</v>
      </c>
      <c r="G534" t="s">
        <v>2827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561</v>
      </c>
      <c r="B535" s="31" t="str">
        <f>_xlfn.TEXTAFTER(CONTROL[[#This Row],[VEHIDCODE]],"_")</f>
        <v>USA_Amtrak_Budd_Metroliner</v>
      </c>
      <c r="C535" t="s">
        <v>725</v>
      </c>
      <c r="D535" t="s">
        <v>946</v>
      </c>
      <c r="E535">
        <v>8062</v>
      </c>
      <c r="F535" s="45" t="s">
        <v>1497</v>
      </c>
      <c r="G535" t="s">
        <v>2828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562</v>
      </c>
      <c r="B536" s="31" t="str">
        <f>_xlfn.TEXTAFTER(CONTROL[[#This Row],[VEHIDCODE]],"_")</f>
        <v>Germany_DB_403_ICE_3</v>
      </c>
      <c r="C536" t="s">
        <v>725</v>
      </c>
      <c r="D536" t="s">
        <v>946</v>
      </c>
      <c r="E536">
        <v>8036</v>
      </c>
      <c r="F536" s="45" t="s">
        <v>1498</v>
      </c>
      <c r="G536" t="s">
        <v>2829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563</v>
      </c>
      <c r="B537" s="31" t="str">
        <f>_xlfn.TEXTAFTER(CONTROL[[#This Row],[VEHIDCODE]],"_")</f>
        <v>Bulgaria_BDZ_10_Desiro</v>
      </c>
      <c r="C537" t="s">
        <v>725</v>
      </c>
      <c r="D537" t="s">
        <v>946</v>
      </c>
      <c r="E537">
        <v>8039</v>
      </c>
      <c r="F537" s="45" t="s">
        <v>1499</v>
      </c>
      <c r="G537" t="s">
        <v>2830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564</v>
      </c>
      <c r="B538" s="31" t="str">
        <f>_xlfn.TEXTAFTER(CONTROL[[#This Row],[VEHIDCODE]],"_")</f>
        <v>Finland_VR_Sm2</v>
      </c>
      <c r="C538" t="s">
        <v>725</v>
      </c>
      <c r="D538" t="s">
        <v>946</v>
      </c>
      <c r="E538">
        <v>8016</v>
      </c>
      <c r="F538" s="45" t="s">
        <v>1500</v>
      </c>
      <c r="G538" t="s">
        <v>2831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565</v>
      </c>
      <c r="B539" s="31" t="str">
        <f>_xlfn.TEXTAFTER(CONTROL[[#This Row],[VEHIDCODE]],"_")</f>
        <v>Finland_VR_Sm4</v>
      </c>
      <c r="C539" t="s">
        <v>725</v>
      </c>
      <c r="D539" t="s">
        <v>946</v>
      </c>
      <c r="E539">
        <v>8034</v>
      </c>
      <c r="F539" s="45" t="s">
        <v>1501</v>
      </c>
      <c r="G539" t="s">
        <v>2832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566</v>
      </c>
      <c r="B540" s="31" t="str">
        <f>_xlfn.TEXTAFTER(CONTROL[[#This Row],[VEHIDCODE]],"_")</f>
        <v>Hungary_MAV_BDVmot</v>
      </c>
      <c r="C540" t="s">
        <v>725</v>
      </c>
      <c r="D540" t="s">
        <v>946</v>
      </c>
      <c r="E540">
        <v>8022</v>
      </c>
      <c r="F540" s="45" t="s">
        <v>3049</v>
      </c>
      <c r="G540" t="s">
        <v>2833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567</v>
      </c>
      <c r="B541" s="31" t="str">
        <f>_xlfn.TEXTAFTER(CONTROL[[#This Row],[VEHIDCODE]],"_")</f>
        <v>Europe_Sureot</v>
      </c>
      <c r="C541" t="s">
        <v>725</v>
      </c>
      <c r="D541" t="s">
        <v>946</v>
      </c>
      <c r="E541">
        <v>8072</v>
      </c>
      <c r="F541" s="45" t="s">
        <v>1502</v>
      </c>
      <c r="G541" t="s">
        <v>1740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568</v>
      </c>
      <c r="B542" s="31" t="str">
        <f>_xlfn.TEXTAFTER(CONTROL[[#This Row],[VEHIDCODE]],"_")</f>
        <v>Japan_JNR_Shinkansen_Series_0</v>
      </c>
      <c r="C542" t="s">
        <v>725</v>
      </c>
      <c r="D542" t="s">
        <v>946</v>
      </c>
      <c r="E542">
        <v>8011</v>
      </c>
      <c r="F542" s="45" t="s">
        <v>1503</v>
      </c>
      <c r="G542" t="s">
        <v>2834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569</v>
      </c>
      <c r="B543" s="31" t="str">
        <f>_xlfn.TEXTAFTER(CONTROL[[#This Row],[VEHIDCODE]],"_")</f>
        <v>Japan_JR_Shinkansen_Series_700</v>
      </c>
      <c r="C543" t="s">
        <v>725</v>
      </c>
      <c r="D543" t="s">
        <v>946</v>
      </c>
      <c r="E543">
        <v>8030</v>
      </c>
      <c r="F543" s="45" t="s">
        <v>1504</v>
      </c>
      <c r="G543" t="s">
        <v>2835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570</v>
      </c>
      <c r="B544" s="31" t="str">
        <f>_xlfn.TEXTAFTER(CONTROL[[#This Row],[VEHIDCODE]],"_")</f>
        <v>Japan_JR_Shinkansen_Series_E1_Max</v>
      </c>
      <c r="C544" t="s">
        <v>725</v>
      </c>
      <c r="D544" t="s">
        <v>946</v>
      </c>
      <c r="E544">
        <v>8065</v>
      </c>
      <c r="F544" s="45" t="s">
        <v>1505</v>
      </c>
      <c r="G544" t="s">
        <v>2836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571</v>
      </c>
      <c r="B545" s="31" t="str">
        <f>_xlfn.TEXTAFTER(CONTROL[[#This Row],[VEHIDCODE]],"_")</f>
        <v>Luxembourg_CFL_2200_Coradia_Duplex</v>
      </c>
      <c r="C545" t="s">
        <v>725</v>
      </c>
      <c r="D545" t="s">
        <v>946</v>
      </c>
      <c r="E545">
        <v>8035</v>
      </c>
      <c r="F545" s="45" t="s">
        <v>1506</v>
      </c>
      <c r="G545" t="s">
        <v>2837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572</v>
      </c>
      <c r="B546" s="31" t="str">
        <f>_xlfn.TEXTAFTER(CONTROL[[#This Row],[VEHIDCODE]],"_")</f>
        <v>Macedonia_Macedonian_Railways_412</v>
      </c>
      <c r="C546" t="s">
        <v>725</v>
      </c>
      <c r="D546" t="s">
        <v>946</v>
      </c>
      <c r="E546">
        <v>8053</v>
      </c>
      <c r="F546" s="45" t="s">
        <v>1507</v>
      </c>
      <c r="G546" t="s">
        <v>2838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573</v>
      </c>
      <c r="B547" s="31" t="str">
        <f>_xlfn.TEXTAFTER(CONTROL[[#This Row],[VEHIDCODE]],"_")</f>
        <v>Romania_CFR_58</v>
      </c>
      <c r="C547" t="s">
        <v>725</v>
      </c>
      <c r="D547" t="s">
        <v>946</v>
      </c>
      <c r="E547">
        <v>8061</v>
      </c>
      <c r="F547" s="45" t="s">
        <v>1508</v>
      </c>
      <c r="G547" t="s">
        <v>2839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574</v>
      </c>
      <c r="B548" s="31" t="str">
        <f>_xlfn.TEXTAFTER(CONTROL[[#This Row],[VEHIDCODE]],"_")</f>
        <v>South_Africa_Gautrain_Electrostar</v>
      </c>
      <c r="C548" t="s">
        <v>725</v>
      </c>
      <c r="D548" t="s">
        <v>946</v>
      </c>
      <c r="E548">
        <v>8041</v>
      </c>
      <c r="F548" s="45" t="s">
        <v>1509</v>
      </c>
      <c r="G548" t="s">
        <v>2840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575</v>
      </c>
      <c r="B549" s="31" t="str">
        <f>_xlfn.TEXTAFTER(CONTROL[[#This Row],[VEHIDCODE]],"_")</f>
        <v>Turkey_TCDD_E8000</v>
      </c>
      <c r="C549" t="s">
        <v>725</v>
      </c>
      <c r="D549" t="s">
        <v>946</v>
      </c>
      <c r="E549">
        <v>8008</v>
      </c>
      <c r="F549" s="45" t="s">
        <v>2841</v>
      </c>
      <c r="G549" t="s">
        <v>2842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576</v>
      </c>
      <c r="B550" s="31" t="str">
        <f>_xlfn.TEXTAFTER(CONTROL[[#This Row],[VEHIDCODE]],"_")</f>
        <v>China_Railways_CHR380A</v>
      </c>
      <c r="C550" t="s">
        <v>725</v>
      </c>
      <c r="D550" t="s">
        <v>946</v>
      </c>
      <c r="E550">
        <v>8071</v>
      </c>
      <c r="F550" s="45" t="s">
        <v>1710</v>
      </c>
      <c r="G550" t="s">
        <v>2843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577</v>
      </c>
      <c r="B551" s="31" t="str">
        <f>_xlfn.TEXTAFTER(CONTROL[[#This Row],[VEHIDCODE]],"_")</f>
        <v>USA_PRR_MP54</v>
      </c>
      <c r="C551" t="s">
        <v>725</v>
      </c>
      <c r="D551" t="s">
        <v>946</v>
      </c>
      <c r="E551">
        <v>8045</v>
      </c>
      <c r="F551" s="45" t="s">
        <v>1510</v>
      </c>
      <c r="G551" t="s">
        <v>2844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578</v>
      </c>
      <c r="B552" s="31" t="str">
        <f>_xlfn.TEXTAFTER(CONTROL[[#This Row],[VEHIDCODE]],"_")</f>
        <v>Italy_NTV_AGV</v>
      </c>
      <c r="C552" t="s">
        <v>725</v>
      </c>
      <c r="D552" t="s">
        <v>946</v>
      </c>
      <c r="E552">
        <v>8042</v>
      </c>
      <c r="F552" s="45" t="s">
        <v>1511</v>
      </c>
      <c r="G552" t="s">
        <v>2845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579</v>
      </c>
      <c r="B553" s="31" t="str">
        <f>_xlfn.TEXTAFTER(CONTROL[[#This Row],[VEHIDCODE]],"_")</f>
        <v>Italy_NTV_AGV_Duplex</v>
      </c>
      <c r="C553" t="s">
        <v>725</v>
      </c>
      <c r="D553" t="s">
        <v>946</v>
      </c>
      <c r="E553">
        <v>8044</v>
      </c>
      <c r="F553" s="45" t="s">
        <v>1512</v>
      </c>
      <c r="G553" t="s">
        <v>2846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580</v>
      </c>
      <c r="B554" s="31" t="str">
        <f>_xlfn.TEXTAFTER(CONTROL[[#This Row],[VEHIDCODE]],"_")</f>
        <v>Netherlands_NS_Hispeed_V250_Albatros</v>
      </c>
      <c r="C554" t="s">
        <v>725</v>
      </c>
      <c r="D554" t="s">
        <v>946</v>
      </c>
      <c r="E554">
        <v>8055</v>
      </c>
      <c r="F554" s="45" t="s">
        <v>1513</v>
      </c>
      <c r="G554" t="s">
        <v>2847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581</v>
      </c>
      <c r="B555" s="31" t="str">
        <f>_xlfn.TEXTAFTER(CONTROL[[#This Row],[VEHIDCODE]],"_")</f>
        <v>Netherlands_NS_4800_HSA</v>
      </c>
      <c r="C555" t="s">
        <v>725</v>
      </c>
      <c r="D555" t="s">
        <v>946</v>
      </c>
      <c r="E555">
        <v>8043</v>
      </c>
      <c r="F555" s="45" t="s">
        <v>2850</v>
      </c>
      <c r="G555" t="s">
        <v>1740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582</v>
      </c>
      <c r="B556" s="31" t="str">
        <f>_xlfn.TEXTAFTER(CONTROL[[#This Row],[VEHIDCODE]],"_")</f>
        <v>Switzerland_SBB_Rae_TEE_II</v>
      </c>
      <c r="C556" t="s">
        <v>725</v>
      </c>
      <c r="D556" t="s">
        <v>946</v>
      </c>
      <c r="E556">
        <v>8009</v>
      </c>
      <c r="F556" s="45" t="s">
        <v>1514</v>
      </c>
      <c r="G556" t="s">
        <v>2848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583</v>
      </c>
      <c r="B557" s="31" t="str">
        <f>_xlfn.TEXTAFTER(CONTROL[[#This Row],[VEHIDCODE]],"_")</f>
        <v>USA_Erie_Lackawanna_MU_Cars</v>
      </c>
      <c r="C557" t="s">
        <v>725</v>
      </c>
      <c r="D557" t="s">
        <v>946</v>
      </c>
      <c r="E557">
        <v>8048</v>
      </c>
      <c r="F557" s="45" t="s">
        <v>1515</v>
      </c>
      <c r="G557" t="s">
        <v>2849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584</v>
      </c>
      <c r="B558" s="31" t="str">
        <f>_xlfn.TEXTAFTER(CONTROL[[#This Row],[VEHIDCODE]],"_")</f>
        <v>France_SNCF_TGV_Sud_Est</v>
      </c>
      <c r="C558" t="s">
        <v>725</v>
      </c>
      <c r="D558" t="s">
        <v>946</v>
      </c>
      <c r="E558">
        <v>8019</v>
      </c>
      <c r="F558" s="45" t="s">
        <v>1516</v>
      </c>
      <c r="G558" t="s">
        <v>2851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585</v>
      </c>
      <c r="B559" s="31" t="str">
        <f>_xlfn.TEXTAFTER(CONTROL[[#This Row],[VEHIDCODE]],"_")</f>
        <v>France_SNCF_TGV_Duplex</v>
      </c>
      <c r="C559" t="s">
        <v>725</v>
      </c>
      <c r="D559" t="s">
        <v>946</v>
      </c>
      <c r="E559">
        <v>8026</v>
      </c>
      <c r="F559" s="45" t="s">
        <v>1517</v>
      </c>
      <c r="G559" t="s">
        <v>2852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586</v>
      </c>
      <c r="B560" s="31" t="str">
        <f>_xlfn.TEXTAFTER(CONTROL[[#This Row],[VEHIDCODE]],"_")</f>
        <v>France_Thalys_PBKA</v>
      </c>
      <c r="C560" t="s">
        <v>725</v>
      </c>
      <c r="D560" t="s">
        <v>946</v>
      </c>
      <c r="E560">
        <v>8027</v>
      </c>
      <c r="F560" s="45" t="s">
        <v>1518</v>
      </c>
      <c r="G560" t="s">
        <v>2853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587</v>
      </c>
      <c r="B561" s="31" t="str">
        <f>_xlfn.TEXTAFTER(CONTROL[[#This Row],[VEHIDCODE]],"_")</f>
        <v>Czech_Republic_CD_680_Pendolino</v>
      </c>
      <c r="C561" t="s">
        <v>725</v>
      </c>
      <c r="D561" t="s">
        <v>946</v>
      </c>
      <c r="E561">
        <v>8033</v>
      </c>
      <c r="F561" s="45" t="s">
        <v>3065</v>
      </c>
      <c r="G561" t="s">
        <v>2854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588</v>
      </c>
      <c r="B562" s="31" t="str">
        <f>_xlfn.TEXTAFTER(CONTROL[[#This Row],[VEHIDCODE]],"_")</f>
        <v>Spain_RENFE_120</v>
      </c>
      <c r="C562" t="s">
        <v>725</v>
      </c>
      <c r="D562" t="s">
        <v>946</v>
      </c>
      <c r="E562">
        <v>8037</v>
      </c>
      <c r="F562" s="45" t="s">
        <v>1519</v>
      </c>
      <c r="G562" t="s">
        <v>2855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589</v>
      </c>
      <c r="B563" s="31" t="str">
        <f>_xlfn.TEXTAFTER(CONTROL[[#This Row],[VEHIDCODE]],"_")</f>
        <v>USA_Amtrak_Acela_Express</v>
      </c>
      <c r="C563" t="s">
        <v>725</v>
      </c>
      <c r="D563" t="s">
        <v>946</v>
      </c>
      <c r="E563">
        <v>8067</v>
      </c>
      <c r="F563" s="45" t="s">
        <v>1520</v>
      </c>
      <c r="G563" t="s">
        <v>2856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590</v>
      </c>
      <c r="B564" s="31" t="str">
        <f>_xlfn.TEXTAFTER(CONTROL[[#This Row],[VEHIDCODE]],"_")</f>
        <v>USA_Brooklyn_Union_Gate_Car</v>
      </c>
      <c r="C564" t="s">
        <v>726</v>
      </c>
      <c r="D564" t="s">
        <v>959</v>
      </c>
      <c r="E564">
        <v>14000</v>
      </c>
      <c r="F564" s="45" t="s">
        <v>2978</v>
      </c>
      <c r="G564" t="s">
        <v>2918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591</v>
      </c>
      <c r="B565" s="31" t="str">
        <f>_xlfn.TEXTAFTER(CONTROL[[#This Row],[VEHIDCODE]],"_")</f>
        <v>Hungary_Budapest_1894_Stock</v>
      </c>
      <c r="C565" t="s">
        <v>726</v>
      </c>
      <c r="D565" t="s">
        <v>959</v>
      </c>
      <c r="E565">
        <v>14001</v>
      </c>
      <c r="F565" s="45" t="s">
        <v>1521</v>
      </c>
      <c r="G565" t="s">
        <v>2919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592</v>
      </c>
      <c r="B566" s="31" t="str">
        <f>_xlfn.TEXTAFTER(CONTROL[[#This Row],[VEHIDCODE]],"_")</f>
        <v>USA_Chicago_L_Northwest_Elevated_1907_Stock</v>
      </c>
      <c r="C566" t="s">
        <v>726</v>
      </c>
      <c r="D566" t="s">
        <v>959</v>
      </c>
      <c r="E566">
        <v>14002</v>
      </c>
      <c r="F566" s="45" t="s">
        <v>1522</v>
      </c>
      <c r="G566" t="s">
        <v>2920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593</v>
      </c>
      <c r="B567" s="31" t="str">
        <f>_xlfn.TEXTAFTER(CONTROL[[#This Row],[VEHIDCODE]],"_")</f>
        <v>Germany_Berlin_U_Bahn_C_II</v>
      </c>
      <c r="C567" t="s">
        <v>726</v>
      </c>
      <c r="D567" t="s">
        <v>959</v>
      </c>
      <c r="E567">
        <v>14003</v>
      </c>
      <c r="F567" s="45" t="s">
        <v>1523</v>
      </c>
      <c r="G567" t="s">
        <v>2921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594</v>
      </c>
      <c r="B568" s="31" t="str">
        <f>_xlfn.TEXTAFTER(CONTROL[[#This Row],[VEHIDCODE]],"_")</f>
        <v>World_Turbobus</v>
      </c>
      <c r="C568" t="s">
        <v>727</v>
      </c>
      <c r="D568" t="s">
        <v>964</v>
      </c>
      <c r="E568">
        <v>16000</v>
      </c>
      <c r="F568" s="45" t="s">
        <v>1524</v>
      </c>
      <c r="G568" t="s">
        <v>1740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595</v>
      </c>
      <c r="B569" s="31" t="str">
        <f>_xlfn.TEXTAFTER(CONTROL[[#This Row],[VEHIDCODE]],"_")</f>
        <v>Germany_DB_182_ES64UM_Mutus</v>
      </c>
      <c r="C569" t="s">
        <v>728</v>
      </c>
      <c r="D569" t="s">
        <v>3074</v>
      </c>
      <c r="E569">
        <v>15001</v>
      </c>
      <c r="F569" s="45" t="s">
        <v>1525</v>
      </c>
      <c r="G569" t="s">
        <v>1740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596</v>
      </c>
      <c r="B570" s="31" t="str">
        <f>_xlfn.TEXTAFTER(CONTROL[[#This Row],[VEHIDCODE]],"_")</f>
        <v>China_Transrapid</v>
      </c>
      <c r="C570" t="s">
        <v>728</v>
      </c>
      <c r="D570" t="s">
        <v>950</v>
      </c>
      <c r="E570">
        <v>10000</v>
      </c>
      <c r="F570" s="45" t="s">
        <v>1526</v>
      </c>
      <c r="G570" t="s">
        <v>2857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597</v>
      </c>
      <c r="B571" s="31" t="str">
        <f>_xlfn.TEXTAFTER(CONTROL[[#This Row],[VEHIDCODE]],"_")</f>
        <v>Japan_MLX01_901</v>
      </c>
      <c r="C571" t="s">
        <v>728</v>
      </c>
      <c r="D571" t="s">
        <v>950</v>
      </c>
      <c r="E571">
        <v>10001</v>
      </c>
      <c r="F571" s="45" t="s">
        <v>1527</v>
      </c>
      <c r="G571" t="s">
        <v>2858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901</v>
      </c>
      <c r="B572" s="31" t="str">
        <f>_xlfn.TEXTAFTER(CONTROL[[#This Row],[VEHIDCODE]],"_")</f>
        <v>Wagon_Gen7M_Boxcar_Type1</v>
      </c>
      <c r="C572" t="s">
        <v>750</v>
      </c>
      <c r="D572" t="s">
        <v>956</v>
      </c>
      <c r="E572">
        <v>18003</v>
      </c>
      <c r="F572" s="45" t="s">
        <v>2987</v>
      </c>
      <c r="G572" t="s">
        <v>1740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884</v>
      </c>
      <c r="B573" s="31" t="str">
        <f>_xlfn.TEXTAFTER(CONTROL[[#This Row],[VEHIDCODE]],"_")</f>
        <v>Wagon_Gen7M_Boxcar_Type2</v>
      </c>
      <c r="C573" t="s">
        <v>750</v>
      </c>
      <c r="D573" t="s">
        <v>956</v>
      </c>
      <c r="E573">
        <v>18013</v>
      </c>
      <c r="F573" s="45" t="s">
        <v>3002</v>
      </c>
      <c r="G573" t="s">
        <v>1740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885</v>
      </c>
      <c r="B574" s="31" t="str">
        <f>_xlfn.TEXTAFTER(CONTROL[[#This Row],[VEHIDCODE]],"_")</f>
        <v>Wagon_Gen7M_Car_Transporter</v>
      </c>
      <c r="C574" t="s">
        <v>750</v>
      </c>
      <c r="D574" t="s">
        <v>956</v>
      </c>
      <c r="E574">
        <v>18008</v>
      </c>
      <c r="F574" s="45" t="s">
        <v>1528</v>
      </c>
      <c r="G574" t="s">
        <v>1740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886</v>
      </c>
      <c r="B575" s="31" t="str">
        <f>_xlfn.TEXTAFTER(CONTROL[[#This Row],[VEHIDCODE]],"_")</f>
        <v>Wagon_Gen7M_Centerbeam</v>
      </c>
      <c r="C575" t="s">
        <v>750</v>
      </c>
      <c r="D575" t="s">
        <v>956</v>
      </c>
      <c r="E575">
        <v>18010</v>
      </c>
      <c r="F575" s="45" t="s">
        <v>1529</v>
      </c>
      <c r="G575" t="s">
        <v>1740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887</v>
      </c>
      <c r="B576" s="31" t="str">
        <f>_xlfn.TEXTAFTER(CONTROL[[#This Row],[VEHIDCODE]],"_")</f>
        <v>Wagon_Gen7M_Container_Carrier</v>
      </c>
      <c r="C576" t="s">
        <v>750</v>
      </c>
      <c r="D576" t="s">
        <v>956</v>
      </c>
      <c r="E576">
        <v>18009</v>
      </c>
      <c r="F576" s="45" t="s">
        <v>1530</v>
      </c>
      <c r="G576" t="s">
        <v>1740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888</v>
      </c>
      <c r="B577" s="31" t="str">
        <f>_xlfn.TEXTAFTER(CONTROL[[#This Row],[VEHIDCODE]],"_")</f>
        <v>Wagon_Gen7M_Container_Doublestack</v>
      </c>
      <c r="C577" t="s">
        <v>750</v>
      </c>
      <c r="D577" t="s">
        <v>956</v>
      </c>
      <c r="E577">
        <v>18011</v>
      </c>
      <c r="F577" s="45" t="s">
        <v>1531</v>
      </c>
      <c r="G577" t="s">
        <v>1740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889</v>
      </c>
      <c r="B578" s="31" t="str">
        <f>_xlfn.TEXTAFTER(CONTROL[[#This Row],[VEHIDCODE]],"_")</f>
        <v>Wagon_Gen7M_Flatcar</v>
      </c>
      <c r="C578" t="s">
        <v>750</v>
      </c>
      <c r="D578" t="s">
        <v>956</v>
      </c>
      <c r="E578">
        <v>18001</v>
      </c>
      <c r="F578" s="45" t="s">
        <v>1532</v>
      </c>
      <c r="G578" t="s">
        <v>1740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890</v>
      </c>
      <c r="B579" s="31" t="str">
        <f>_xlfn.TEXTAFTER(CONTROL[[#This Row],[VEHIDCODE]],"_")</f>
        <v>Wagon_Gen7M_Gondola</v>
      </c>
      <c r="C579" t="s">
        <v>750</v>
      </c>
      <c r="D579" t="s">
        <v>956</v>
      </c>
      <c r="E579">
        <v>18005</v>
      </c>
      <c r="F579" s="45" t="s">
        <v>1533</v>
      </c>
      <c r="G579" t="s">
        <v>1740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891</v>
      </c>
      <c r="B580" s="31" t="str">
        <f>_xlfn.TEXTAFTER(CONTROL[[#This Row],[VEHIDCODE]],"_")</f>
        <v>Wagon_Gen7M_Heavy_Flatcar</v>
      </c>
      <c r="C580" t="s">
        <v>750</v>
      </c>
      <c r="D580" t="s">
        <v>956</v>
      </c>
      <c r="E580">
        <v>18002</v>
      </c>
      <c r="F580" s="45" t="s">
        <v>1534</v>
      </c>
      <c r="G580" t="s">
        <v>1740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892</v>
      </c>
      <c r="B581" s="31" t="str">
        <f>_xlfn.TEXTAFTER(CONTROL[[#This Row],[VEHIDCODE]],"_")</f>
        <v>Wagon_Gen7M_Hopper_Type1</v>
      </c>
      <c r="C581" t="s">
        <v>750</v>
      </c>
      <c r="D581" t="s">
        <v>956</v>
      </c>
      <c r="E581">
        <v>18007</v>
      </c>
      <c r="F581" s="45" t="s">
        <v>2988</v>
      </c>
      <c r="G581" t="s">
        <v>1740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893</v>
      </c>
      <c r="B582" s="31" t="str">
        <f>_xlfn.TEXTAFTER(CONTROL[[#This Row],[VEHIDCODE]],"_")</f>
        <v>Wagon_Gen7M_Hopper_Type2</v>
      </c>
      <c r="C582" t="s">
        <v>750</v>
      </c>
      <c r="D582" t="s">
        <v>956</v>
      </c>
      <c r="E582">
        <v>18015</v>
      </c>
      <c r="F582" s="45" t="s">
        <v>3003</v>
      </c>
      <c r="G582" t="s">
        <v>1740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894</v>
      </c>
      <c r="B583" s="31" t="str">
        <f>_xlfn.TEXTAFTER(CONTROL[[#This Row],[VEHIDCODE]],"_")</f>
        <v>Wagon_Gen7M_Silo_Type1</v>
      </c>
      <c r="C583" t="s">
        <v>750</v>
      </c>
      <c r="D583" t="s">
        <v>956</v>
      </c>
      <c r="E583">
        <v>18006</v>
      </c>
      <c r="F583" s="45" t="s">
        <v>2989</v>
      </c>
      <c r="G583" t="s">
        <v>1740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895</v>
      </c>
      <c r="B584" s="31" t="str">
        <f>_xlfn.TEXTAFTER(CONTROL[[#This Row],[VEHIDCODE]],"_")</f>
        <v>Wagon_Gen7M_Silo_Type2</v>
      </c>
      <c r="C584" t="s">
        <v>750</v>
      </c>
      <c r="D584" t="s">
        <v>956</v>
      </c>
      <c r="E584">
        <v>18014</v>
      </c>
      <c r="F584" s="45" t="s">
        <v>3004</v>
      </c>
      <c r="G584" t="s">
        <v>1740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896</v>
      </c>
      <c r="B585" s="31" t="str">
        <f>_xlfn.TEXTAFTER(CONTROL[[#This Row],[VEHIDCODE]],"_")</f>
        <v>Wagon_Gen7M_Superheavy_Flatcar</v>
      </c>
      <c r="C585" t="s">
        <v>750</v>
      </c>
      <c r="D585" t="s">
        <v>956</v>
      </c>
      <c r="E585">
        <v>18012</v>
      </c>
      <c r="F585" s="45" t="s">
        <v>1535</v>
      </c>
      <c r="G585" t="s">
        <v>1740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897</v>
      </c>
      <c r="B586" s="31" t="str">
        <f>_xlfn.TEXTAFTER(CONTROL[[#This Row],[VEHIDCODE]],"_")</f>
        <v>Wagon_Gen7M_Tanker</v>
      </c>
      <c r="C586" t="s">
        <v>750</v>
      </c>
      <c r="D586" t="s">
        <v>956</v>
      </c>
      <c r="E586">
        <v>18004</v>
      </c>
      <c r="F586" s="45" t="s">
        <v>1536</v>
      </c>
      <c r="G586" t="s">
        <v>1740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609</v>
      </c>
      <c r="B587" s="31" t="str">
        <f>_xlfn.TEXTAFTER(CONTROL[[#This Row],[VEHIDCODE]],"_")</f>
        <v>Japan_JR_Shikoku_1000</v>
      </c>
      <c r="C587" t="s">
        <v>718</v>
      </c>
      <c r="D587" t="s">
        <v>935</v>
      </c>
      <c r="E587">
        <v>2038</v>
      </c>
      <c r="F587" s="45" t="s">
        <v>1537</v>
      </c>
      <c r="G587" t="s">
        <v>2890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610</v>
      </c>
      <c r="B588" s="31" t="str">
        <f>_xlfn.TEXTAFTER(CONTROL[[#This Row],[VEHIDCODE]],"_")</f>
        <v>Japan_JR_KiHa_E120</v>
      </c>
      <c r="C588" t="s">
        <v>718</v>
      </c>
      <c r="D588" t="s">
        <v>935</v>
      </c>
      <c r="E588">
        <v>2040</v>
      </c>
      <c r="F588" s="45" t="s">
        <v>1538</v>
      </c>
      <c r="G588" t="s">
        <v>2891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611</v>
      </c>
      <c r="B589" s="31" t="str">
        <f>_xlfn.TEXTAFTER(CONTROL[[#This Row],[VEHIDCODE]],"_")</f>
        <v>Chile_EFE_Buscarril</v>
      </c>
      <c r="C589" t="s">
        <v>718</v>
      </c>
      <c r="D589" t="s">
        <v>935</v>
      </c>
      <c r="E589">
        <v>2042</v>
      </c>
      <c r="F589" s="45" t="s">
        <v>2261</v>
      </c>
      <c r="G589" t="s">
        <v>1740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612</v>
      </c>
      <c r="B590" s="31" t="str">
        <f>_xlfn.TEXTAFTER(CONTROL[[#This Row],[VEHIDCODE]],"_")</f>
        <v>Argentina_FCPBA_M_Railcar</v>
      </c>
      <c r="C590" t="s">
        <v>718</v>
      </c>
      <c r="D590" t="s">
        <v>935</v>
      </c>
      <c r="E590">
        <v>2043</v>
      </c>
      <c r="F590" s="45" t="s">
        <v>1539</v>
      </c>
      <c r="G590" t="s">
        <v>2893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613</v>
      </c>
      <c r="B591" s="31" t="str">
        <f>_xlfn.TEXTAFTER(CONTROL[[#This Row],[VEHIDCODE]],"_")</f>
        <v>Eritrea_Eritrean_Railway_A62_70_Littorina</v>
      </c>
      <c r="C591" t="s">
        <v>718</v>
      </c>
      <c r="D591" t="s">
        <v>935</v>
      </c>
      <c r="E591">
        <v>2045</v>
      </c>
      <c r="F591" s="45" t="s">
        <v>1540</v>
      </c>
      <c r="G591" t="s">
        <v>2892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614</v>
      </c>
      <c r="B592" s="31" t="str">
        <f>_xlfn.TEXTAFTER(CONTROL[[#This Row],[VEHIDCODE]],"_")</f>
        <v>Switzerland_AB_CFe_3_3</v>
      </c>
      <c r="C592" t="s">
        <v>719</v>
      </c>
      <c r="D592" t="s">
        <v>936</v>
      </c>
      <c r="E592">
        <v>3000</v>
      </c>
      <c r="F592" s="45" t="s">
        <v>1541</v>
      </c>
      <c r="G592" t="s">
        <v>2894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615</v>
      </c>
      <c r="B593" s="31" t="str">
        <f>_xlfn.TEXTAFTER(CONTROL[[#This Row],[VEHIDCODE]],"_")</f>
        <v>Switzerland_TPC_BVB_Be_2_2</v>
      </c>
      <c r="C593" t="s">
        <v>719</v>
      </c>
      <c r="D593" t="s">
        <v>936</v>
      </c>
      <c r="E593">
        <v>3006</v>
      </c>
      <c r="F593" s="45" t="s">
        <v>1542</v>
      </c>
      <c r="G593" t="s">
        <v>1740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616</v>
      </c>
      <c r="B594" s="31" t="str">
        <f>_xlfn.TEXTAFTER(CONTROL[[#This Row],[VEHIDCODE]],"_")</f>
        <v>Switzerland_MVR_Beh_2_4</v>
      </c>
      <c r="C594" t="s">
        <v>719</v>
      </c>
      <c r="D594" t="s">
        <v>936</v>
      </c>
      <c r="E594">
        <v>3016</v>
      </c>
      <c r="F594" s="45" t="s">
        <v>1543</v>
      </c>
      <c r="G594" t="s">
        <v>2895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617</v>
      </c>
      <c r="B595" s="31" t="str">
        <f>_xlfn.TEXTAFTER(CONTROL[[#This Row],[VEHIDCODE]],"_")</f>
        <v>Spain_Ferrocarril_de_Soller_1_3</v>
      </c>
      <c r="C595" t="s">
        <v>719</v>
      </c>
      <c r="D595" t="s">
        <v>936</v>
      </c>
      <c r="E595">
        <v>3007</v>
      </c>
      <c r="F595" s="45" t="s">
        <v>1544</v>
      </c>
      <c r="G595" t="s">
        <v>2896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618</v>
      </c>
      <c r="B596" s="31" t="str">
        <f>_xlfn.TEXTAFTER(CONTROL[[#This Row],[VEHIDCODE]],"_")</f>
        <v>Japan_Choshi_DeHa_1000</v>
      </c>
      <c r="C596" t="s">
        <v>719</v>
      </c>
      <c r="D596" t="s">
        <v>936</v>
      </c>
      <c r="E596">
        <v>3011</v>
      </c>
      <c r="F596" s="45" t="s">
        <v>1545</v>
      </c>
      <c r="G596" t="s">
        <v>2897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619</v>
      </c>
      <c r="B597" s="31" t="str">
        <f>_xlfn.TEXTAFTER(CONTROL[[#This Row],[VEHIDCODE]],"_")</f>
        <v>Switzerland_RhB_G_3_4</v>
      </c>
      <c r="C597" t="s">
        <v>720</v>
      </c>
      <c r="D597" t="s">
        <v>938</v>
      </c>
      <c r="E597">
        <v>4049</v>
      </c>
      <c r="F597" s="45" t="s">
        <v>1546</v>
      </c>
      <c r="G597" t="s">
        <v>2898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620</v>
      </c>
      <c r="B598" s="31" t="str">
        <f>_xlfn.TEXTAFTER(CONTROL[[#This Row],[VEHIDCODE]],"_")</f>
        <v>Japan_JNR_Class_E10</v>
      </c>
      <c r="C598" t="s">
        <v>720</v>
      </c>
      <c r="D598" t="s">
        <v>938</v>
      </c>
      <c r="E598">
        <v>4067</v>
      </c>
      <c r="F598" s="45" t="s">
        <v>1547</v>
      </c>
      <c r="G598" t="s">
        <v>2899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621</v>
      </c>
      <c r="B599" s="31" t="str">
        <f>_xlfn.TEXTAFTER(CONTROL[[#This Row],[VEHIDCODE]],"_")</f>
        <v>Japan_JNR_7100</v>
      </c>
      <c r="C599" t="s">
        <v>720</v>
      </c>
      <c r="D599" t="s">
        <v>938</v>
      </c>
      <c r="E599">
        <v>4075</v>
      </c>
      <c r="F599" s="45" t="s">
        <v>1548</v>
      </c>
      <c r="G599" t="s">
        <v>2900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622</v>
      </c>
      <c r="B600" s="31" t="str">
        <f>_xlfn.TEXTAFTER(CONTROL[[#This Row],[VEHIDCODE]],"_")</f>
        <v>Japan_JNR_860</v>
      </c>
      <c r="C600" t="s">
        <v>720</v>
      </c>
      <c r="D600" t="s">
        <v>938</v>
      </c>
      <c r="E600">
        <v>4077</v>
      </c>
      <c r="F600" s="45" t="s">
        <v>1549</v>
      </c>
      <c r="G600" t="s">
        <v>2901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623</v>
      </c>
      <c r="B601" s="31" t="str">
        <f>_xlfn.TEXTAFTER(CONTROL[[#This Row],[VEHIDCODE]],"_")</f>
        <v>Japan_JNR_9600</v>
      </c>
      <c r="C601" t="s">
        <v>720</v>
      </c>
      <c r="D601" t="s">
        <v>938</v>
      </c>
      <c r="E601">
        <v>4086</v>
      </c>
      <c r="F601" s="45" t="s">
        <v>1550</v>
      </c>
      <c r="G601" t="s">
        <v>2902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624</v>
      </c>
      <c r="B602" s="31" t="str">
        <f>_xlfn.TEXTAFTER(CONTROL[[#This Row],[VEHIDCODE]],"_")</f>
        <v>Japan_JNR_D50</v>
      </c>
      <c r="C602" t="s">
        <v>720</v>
      </c>
      <c r="D602" t="s">
        <v>938</v>
      </c>
      <c r="E602">
        <v>4111</v>
      </c>
      <c r="F602" s="45" t="s">
        <v>1551</v>
      </c>
      <c r="G602" t="s">
        <v>2903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625</v>
      </c>
      <c r="B603" s="31" t="str">
        <f>_xlfn.TEXTAFTER(CONTROL[[#This Row],[VEHIDCODE]],"_")</f>
        <v>Japan_JNR_DF50</v>
      </c>
      <c r="C603" t="s">
        <v>721</v>
      </c>
      <c r="D603" t="s">
        <v>940</v>
      </c>
      <c r="E603">
        <v>5082</v>
      </c>
      <c r="F603" s="45" t="s">
        <v>1552</v>
      </c>
      <c r="G603" t="s">
        <v>2904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626</v>
      </c>
      <c r="B604" s="31" t="str">
        <f>_xlfn.TEXTAFTER(CONTROL[[#This Row],[VEHIDCODE]],"_")</f>
        <v>Switzerland_RhB_DE_2_2</v>
      </c>
      <c r="C604" t="s">
        <v>722</v>
      </c>
      <c r="D604" t="s">
        <v>942</v>
      </c>
      <c r="E604">
        <v>6000</v>
      </c>
      <c r="F604" s="45" t="s">
        <v>1553</v>
      </c>
      <c r="G604" t="s">
        <v>2905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627</v>
      </c>
      <c r="B605" s="31" t="str">
        <f>_xlfn.TEXTAFTER(CONTROL[[#This Row],[VEHIDCODE]],"_")</f>
        <v>Japan_JNR_EH10</v>
      </c>
      <c r="C605" t="s">
        <v>722</v>
      </c>
      <c r="D605" t="s">
        <v>942</v>
      </c>
      <c r="E605">
        <v>6081</v>
      </c>
      <c r="F605" s="45" t="s">
        <v>1554</v>
      </c>
      <c r="G605" t="s">
        <v>2906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628</v>
      </c>
      <c r="B606" s="31" t="str">
        <f>_xlfn.TEXTAFTER(CONTROL[[#This Row],[VEHIDCODE]],"_")</f>
        <v>Japan_JNR_EF64</v>
      </c>
      <c r="C606" t="s">
        <v>722</v>
      </c>
      <c r="D606" t="s">
        <v>942</v>
      </c>
      <c r="E606">
        <v>6029</v>
      </c>
      <c r="F606" s="45" t="s">
        <v>1555</v>
      </c>
      <c r="G606" t="s">
        <v>2907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629</v>
      </c>
      <c r="B607" s="31" t="str">
        <f>_xlfn.TEXTAFTER(CONTROL[[#This Row],[VEHIDCODE]],"_")</f>
        <v>New_Zealand_NZR_EO_Class</v>
      </c>
      <c r="C607" t="s">
        <v>722</v>
      </c>
      <c r="D607" t="s">
        <v>942</v>
      </c>
      <c r="E607">
        <v>6073</v>
      </c>
      <c r="F607" s="45" t="s">
        <v>1556</v>
      </c>
      <c r="G607" t="s">
        <v>2908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630</v>
      </c>
      <c r="B608" s="31" t="str">
        <f>_xlfn.TEXTAFTER(CONTROL[[#This Row],[VEHIDCODE]],"_")</f>
        <v>Australia_NSWGR_71</v>
      </c>
      <c r="C608" t="s">
        <v>722</v>
      </c>
      <c r="D608" t="s">
        <v>942</v>
      </c>
      <c r="E608">
        <v>6079</v>
      </c>
      <c r="F608" s="45" t="s">
        <v>1557</v>
      </c>
      <c r="G608" t="s">
        <v>2909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631</v>
      </c>
      <c r="B609" s="31" t="str">
        <f>_xlfn.TEXTAFTER(CONTROL[[#This Row],[VEHIDCODE]],"_")</f>
        <v>South_Africa_SAR_4E</v>
      </c>
      <c r="C609" t="s">
        <v>722</v>
      </c>
      <c r="D609" t="s">
        <v>942</v>
      </c>
      <c r="E609">
        <v>6080</v>
      </c>
      <c r="F609" s="45" t="s">
        <v>1558</v>
      </c>
      <c r="G609" t="s">
        <v>2910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632</v>
      </c>
      <c r="B610" s="31" t="str">
        <f>_xlfn.TEXTAFTER(CONTROL[[#This Row],[VEHIDCODE]],"_")</f>
        <v>South_Africa_SAR_5E1</v>
      </c>
      <c r="C610" t="s">
        <v>722</v>
      </c>
      <c r="D610" t="s">
        <v>942</v>
      </c>
      <c r="E610">
        <v>6088</v>
      </c>
      <c r="F610" s="45" t="s">
        <v>1559</v>
      </c>
      <c r="G610" t="s">
        <v>2911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633</v>
      </c>
      <c r="B611" s="31" t="str">
        <f>_xlfn.TEXTAFTER(CONTROL[[#This Row],[VEHIDCODE]],"_")</f>
        <v>South_Africa_SAR_6E</v>
      </c>
      <c r="C611" t="s">
        <v>722</v>
      </c>
      <c r="D611" t="s">
        <v>942</v>
      </c>
      <c r="E611">
        <v>6033</v>
      </c>
      <c r="F611" s="45" t="s">
        <v>1560</v>
      </c>
      <c r="G611" t="s">
        <v>2912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634</v>
      </c>
      <c r="B612" s="31" t="str">
        <f>_xlfn.TEXTAFTER(CONTROL[[#This Row],[VEHIDCODE]],"_")</f>
        <v>Switzerland_RhB_Ge_4_4_I</v>
      </c>
      <c r="C612" t="s">
        <v>722</v>
      </c>
      <c r="D612" t="s">
        <v>942</v>
      </c>
      <c r="E612">
        <v>6078</v>
      </c>
      <c r="F612" s="45" t="s">
        <v>1561</v>
      </c>
      <c r="G612" t="s">
        <v>2915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635</v>
      </c>
      <c r="B613" s="31" t="str">
        <f>_xlfn.TEXTAFTER(CONTROL[[#This Row],[VEHIDCODE]],"_")</f>
        <v>Switzerland_RhB_Ge_6_6_Krokodil</v>
      </c>
      <c r="C613" t="s">
        <v>722</v>
      </c>
      <c r="D613" t="s">
        <v>942</v>
      </c>
      <c r="E613">
        <v>6070</v>
      </c>
      <c r="F613" s="45" t="s">
        <v>1562</v>
      </c>
      <c r="G613" t="s">
        <v>2916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636</v>
      </c>
      <c r="B614" s="31" t="str">
        <f>_xlfn.TEXTAFTER(CONTROL[[#This Row],[VEHIDCODE]],"_")</f>
        <v>Brasil_MRS_He_4_4</v>
      </c>
      <c r="C614" t="s">
        <v>722</v>
      </c>
      <c r="D614" t="s">
        <v>942</v>
      </c>
      <c r="E614">
        <v>6133</v>
      </c>
      <c r="F614" s="45" t="s">
        <v>3096</v>
      </c>
      <c r="G614" t="s">
        <v>1740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637</v>
      </c>
      <c r="B615" s="31" t="str">
        <f>_xlfn.TEXTAFTER(CONTROL[[#This Row],[VEHIDCODE]],"_")</f>
        <v>South_Africa_SAR_7E</v>
      </c>
      <c r="C615" t="s">
        <v>722</v>
      </c>
      <c r="D615" t="s">
        <v>942</v>
      </c>
      <c r="E615">
        <v>6128</v>
      </c>
      <c r="F615" s="45" t="s">
        <v>1563</v>
      </c>
      <c r="G615" t="s">
        <v>2913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638</v>
      </c>
      <c r="B616" s="31" t="str">
        <f>_xlfn.TEXTAFTER(CONTROL[[#This Row],[VEHIDCODE]],"_")</f>
        <v>South_Africa_SAR_11E</v>
      </c>
      <c r="C616" t="s">
        <v>722</v>
      </c>
      <c r="D616" t="s">
        <v>942</v>
      </c>
      <c r="E616">
        <v>6130</v>
      </c>
      <c r="F616" s="45" t="s">
        <v>1564</v>
      </c>
      <c r="G616" t="s">
        <v>2914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639</v>
      </c>
      <c r="B617" s="31" t="str">
        <f>_xlfn.TEXTAFTER(CONTROL[[#This Row],[VEHIDCODE]],"_")</f>
        <v>New_Zealand_TranzRail_EF</v>
      </c>
      <c r="C617" t="s">
        <v>722</v>
      </c>
      <c r="D617" t="s">
        <v>942</v>
      </c>
      <c r="E617">
        <v>6113</v>
      </c>
      <c r="F617" s="45" t="s">
        <v>1565</v>
      </c>
      <c r="G617" t="s">
        <v>2917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640</v>
      </c>
      <c r="B618" s="31" t="str">
        <f>_xlfn.TEXTAFTER(CONTROL[[#This Row],[VEHIDCODE]],"_")</f>
        <v>Japan_Odakyu_3100_Series_Romance</v>
      </c>
      <c r="C618" t="s">
        <v>725</v>
      </c>
      <c r="D618" t="s">
        <v>946</v>
      </c>
      <c r="E618">
        <v>8010</v>
      </c>
      <c r="F618" s="45" t="s">
        <v>1566</v>
      </c>
      <c r="G618" t="s">
        <v>2859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641</v>
      </c>
      <c r="B619" s="31" t="str">
        <f>_xlfn.TEXTAFTER(CONTROL[[#This Row],[VEHIDCODE]],"_")</f>
        <v>Japan_Odakyu_10000_Series_Romance</v>
      </c>
      <c r="C619" t="s">
        <v>725</v>
      </c>
      <c r="D619" t="s">
        <v>946</v>
      </c>
      <c r="E619">
        <v>8021</v>
      </c>
      <c r="F619" s="45" t="s">
        <v>1567</v>
      </c>
      <c r="G619" t="s">
        <v>2860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642</v>
      </c>
      <c r="B620" s="31" t="str">
        <f>_xlfn.TEXTAFTER(CONTROL[[#This Row],[VEHIDCODE]],"_")</f>
        <v>Australia_Sydney_Trains_S_Set</v>
      </c>
      <c r="C620" t="s">
        <v>725</v>
      </c>
      <c r="D620" t="s">
        <v>946</v>
      </c>
      <c r="E620">
        <v>8015</v>
      </c>
      <c r="F620" s="45" t="s">
        <v>1568</v>
      </c>
      <c r="G620" t="s">
        <v>2861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643</v>
      </c>
      <c r="B621" s="31" t="str">
        <f>_xlfn.TEXTAFTER(CONTROL[[#This Row],[VEHIDCODE]],"_")</f>
        <v>Australia_Sydney_Trains_OSCars</v>
      </c>
      <c r="C621" t="s">
        <v>725</v>
      </c>
      <c r="D621" t="s">
        <v>946</v>
      </c>
      <c r="E621">
        <v>8040</v>
      </c>
      <c r="F621" s="45" t="s">
        <v>1569</v>
      </c>
      <c r="G621" t="s">
        <v>2862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644</v>
      </c>
      <c r="B622" s="31" t="str">
        <f>_xlfn.TEXTAFTER(CONTROL[[#This Row],[VEHIDCODE]],"_")</f>
        <v>Australia_Victorian_Railways_Swing_Door</v>
      </c>
      <c r="C622" t="s">
        <v>725</v>
      </c>
      <c r="D622" t="s">
        <v>946</v>
      </c>
      <c r="E622">
        <v>8046</v>
      </c>
      <c r="F622" s="45" t="s">
        <v>1570</v>
      </c>
      <c r="G622" t="s">
        <v>2863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645</v>
      </c>
      <c r="B623" s="31" t="str">
        <f>_xlfn.TEXTAFTER(CONTROL[[#This Row],[VEHIDCODE]],"_")</f>
        <v>New_Zealand_NZR_EM_ET_Class</v>
      </c>
      <c r="C623" t="s">
        <v>725</v>
      </c>
      <c r="D623" t="s">
        <v>946</v>
      </c>
      <c r="E623">
        <v>8052</v>
      </c>
      <c r="F623" s="45" t="s">
        <v>1571</v>
      </c>
      <c r="G623" t="s">
        <v>2864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646</v>
      </c>
      <c r="B624" s="31" t="str">
        <f>_xlfn.TEXTAFTER(CONTROL[[#This Row],[VEHIDCODE]],"_")</f>
        <v>South_Africa_SAR_5M2</v>
      </c>
      <c r="C624" t="s">
        <v>725</v>
      </c>
      <c r="D624" t="s">
        <v>946</v>
      </c>
      <c r="E624">
        <v>8049</v>
      </c>
      <c r="F624" s="45" t="s">
        <v>1572</v>
      </c>
      <c r="G624" t="s">
        <v>2865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647</v>
      </c>
      <c r="B625" s="31" t="str">
        <f>_xlfn.TEXTAFTER(CONTROL[[#This Row],[VEHIDCODE]],"_")</f>
        <v>Chile_EFE_XTrapolis_100</v>
      </c>
      <c r="C625" t="s">
        <v>725</v>
      </c>
      <c r="D625" t="s">
        <v>946</v>
      </c>
      <c r="E625">
        <v>8057</v>
      </c>
      <c r="F625" s="45" t="s">
        <v>1573</v>
      </c>
      <c r="G625" t="s">
        <v>2866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648</v>
      </c>
      <c r="B626" s="31" t="str">
        <f>_xlfn.TEXTAFTER(CONTROL[[#This Row],[VEHIDCODE]],"_")</f>
        <v>Chile_EFE_AES_Railcar</v>
      </c>
      <c r="C626" t="s">
        <v>725</v>
      </c>
      <c r="D626" t="s">
        <v>946</v>
      </c>
      <c r="E626">
        <v>8056</v>
      </c>
      <c r="F626" s="45" t="s">
        <v>1574</v>
      </c>
      <c r="G626" t="s">
        <v>2867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649</v>
      </c>
      <c r="B627" s="31" t="str">
        <f>_xlfn.TEXTAFTER(CONTROL[[#This Row],[VEHIDCODE]],"_")</f>
        <v>Tunisia_SNCFT_YZ_E</v>
      </c>
      <c r="C627" t="s">
        <v>725</v>
      </c>
      <c r="D627" t="s">
        <v>946</v>
      </c>
      <c r="E627">
        <v>8058</v>
      </c>
      <c r="F627" s="45" t="s">
        <v>1575</v>
      </c>
      <c r="G627" t="s">
        <v>1740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650</v>
      </c>
      <c r="B628" s="31" t="str">
        <f>_xlfn.TEXTAFTER(CONTROL[[#This Row],[VEHIDCODE]],"_")</f>
        <v>Australia_Queensland_Rail_Tilt_Train</v>
      </c>
      <c r="C628" t="s">
        <v>725</v>
      </c>
      <c r="D628" t="s">
        <v>946</v>
      </c>
      <c r="E628">
        <v>8066</v>
      </c>
      <c r="F628" s="45" t="s">
        <v>1576</v>
      </c>
      <c r="G628" t="s">
        <v>2868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651</v>
      </c>
      <c r="B629" s="31" t="str">
        <f>_xlfn.TEXTAFTER(CONTROL[[#This Row],[VEHIDCODE]],"_")</f>
        <v>Russia_RZD_VL15</v>
      </c>
      <c r="C629" t="s">
        <v>722</v>
      </c>
      <c r="D629" t="s">
        <v>942</v>
      </c>
      <c r="E629">
        <v>6041</v>
      </c>
      <c r="F629" s="45" t="s">
        <v>1577</v>
      </c>
      <c r="G629" t="s">
        <v>2874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652</v>
      </c>
      <c r="B630" s="31" t="str">
        <f>_xlfn.TEXTAFTER(CONTROL[[#This Row],[VEHIDCODE]],"_")</f>
        <v>Russia_RZD_VL11</v>
      </c>
      <c r="C630" t="s">
        <v>722</v>
      </c>
      <c r="D630" t="s">
        <v>942</v>
      </c>
      <c r="E630">
        <v>6134</v>
      </c>
      <c r="F630" s="45" t="s">
        <v>1578</v>
      </c>
      <c r="G630" t="s">
        <v>2875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653</v>
      </c>
      <c r="B631" s="31" t="str">
        <f>_xlfn.TEXTAFTER(CONTROL[[#This Row],[VEHIDCODE]],"_")</f>
        <v>Russia_RZD_VL22M</v>
      </c>
      <c r="C631" t="s">
        <v>722</v>
      </c>
      <c r="D631" t="s">
        <v>942</v>
      </c>
      <c r="E631">
        <v>6018</v>
      </c>
      <c r="F631" s="45" t="s">
        <v>1579</v>
      </c>
      <c r="G631" t="s">
        <v>2876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654</v>
      </c>
      <c r="B632" s="31" t="str">
        <f>_xlfn.TEXTAFTER(CONTROL[[#This Row],[VEHIDCODE]],"_")</f>
        <v>Ukraine_UZ_DE1</v>
      </c>
      <c r="C632" t="s">
        <v>722</v>
      </c>
      <c r="D632" t="s">
        <v>942</v>
      </c>
      <c r="E632">
        <v>6117</v>
      </c>
      <c r="F632" s="45" t="s">
        <v>1580</v>
      </c>
      <c r="G632" t="s">
        <v>2877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655</v>
      </c>
      <c r="B633" s="31" t="str">
        <f>_xlfn.TEXTAFTER(CONTROL[[#This Row],[VEHIDCODE]],"_")</f>
        <v>Russia_RZD_ChS3</v>
      </c>
      <c r="C633" t="s">
        <v>722</v>
      </c>
      <c r="D633" t="s">
        <v>942</v>
      </c>
      <c r="E633">
        <v>6083</v>
      </c>
      <c r="F633" s="45" t="s">
        <v>1581</v>
      </c>
      <c r="G633" t="s">
        <v>2878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656</v>
      </c>
      <c r="B634" s="31" t="str">
        <f>_xlfn.TEXTAFTER(CONTROL[[#This Row],[VEHIDCODE]],"_")</f>
        <v>Ukraine_UZ_ChS7</v>
      </c>
      <c r="C634" t="s">
        <v>722</v>
      </c>
      <c r="D634" t="s">
        <v>942</v>
      </c>
      <c r="E634">
        <v>6112</v>
      </c>
      <c r="F634" s="45" t="s">
        <v>1582</v>
      </c>
      <c r="G634" t="s">
        <v>2879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657</v>
      </c>
      <c r="B635" s="31" t="str">
        <f>_xlfn.TEXTAFTER(CONTROL[[#This Row],[VEHIDCODE]],"_")</f>
        <v>Brasil_RFFSA_GE_C_C_4400</v>
      </c>
      <c r="C635" t="s">
        <v>722</v>
      </c>
      <c r="D635" t="s">
        <v>942</v>
      </c>
      <c r="E635">
        <v>6124</v>
      </c>
      <c r="F635" s="45" t="s">
        <v>1583</v>
      </c>
      <c r="G635" t="s">
        <v>2880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658</v>
      </c>
      <c r="B636" s="31" t="str">
        <f>_xlfn.TEXTAFTER(CONTROL[[#This Row],[VEHIDCODE]],"_")</f>
        <v>Russia_RZD_VL85</v>
      </c>
      <c r="C636" t="s">
        <v>722</v>
      </c>
      <c r="D636" t="s">
        <v>942</v>
      </c>
      <c r="E636">
        <v>6040</v>
      </c>
      <c r="F636" s="45" t="s">
        <v>1584</v>
      </c>
      <c r="G636" t="s">
        <v>2881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659</v>
      </c>
      <c r="B637" s="31" t="str">
        <f>_xlfn.TEXTAFTER(CONTROL[[#This Row],[VEHIDCODE]],"_")</f>
        <v>Russia_RZD_VL41</v>
      </c>
      <c r="C637" t="s">
        <v>722</v>
      </c>
      <c r="D637" t="s">
        <v>942</v>
      </c>
      <c r="E637">
        <v>6028</v>
      </c>
      <c r="F637" s="45" t="s">
        <v>1585</v>
      </c>
      <c r="G637" t="s">
        <v>2882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660</v>
      </c>
      <c r="B638" s="31" t="str">
        <f>_xlfn.TEXTAFTER(CONTROL[[#This Row],[VEHIDCODE]],"_")</f>
        <v>India_Indian_Railways_WAP_4</v>
      </c>
      <c r="C638" t="s">
        <v>722</v>
      </c>
      <c r="D638" t="s">
        <v>942</v>
      </c>
      <c r="E638">
        <v>6048</v>
      </c>
      <c r="F638" s="45" t="s">
        <v>1586</v>
      </c>
      <c r="G638" t="s">
        <v>2883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661</v>
      </c>
      <c r="B639" s="31" t="str">
        <f>_xlfn.TEXTAFTER(CONTROL[[#This Row],[VEHIDCODE]],"_")</f>
        <v>Finland_VR_Sr1</v>
      </c>
      <c r="C639" t="s">
        <v>722</v>
      </c>
      <c r="D639" t="s">
        <v>942</v>
      </c>
      <c r="E639">
        <v>6034</v>
      </c>
      <c r="F639" s="45" t="s">
        <v>1587</v>
      </c>
      <c r="G639" t="s">
        <v>2884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662</v>
      </c>
      <c r="B640" s="31" t="str">
        <f>_xlfn.TEXTAFTER(CONTROL[[#This Row],[VEHIDCODE]],"_")</f>
        <v>Kazakhstan_KTZ_KZ4A</v>
      </c>
      <c r="C640" t="s">
        <v>722</v>
      </c>
      <c r="D640" t="s">
        <v>942</v>
      </c>
      <c r="E640">
        <v>6057</v>
      </c>
      <c r="F640" s="45" t="s">
        <v>1588</v>
      </c>
      <c r="G640" t="s">
        <v>2885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663</v>
      </c>
      <c r="B641" s="31" t="str">
        <f>_xlfn.TEXTAFTER(CONTROL[[#This Row],[VEHIDCODE]],"_")</f>
        <v>Kazakhstan_KTZ_KZ8A</v>
      </c>
      <c r="C641" t="s">
        <v>722</v>
      </c>
      <c r="D641" t="s">
        <v>942</v>
      </c>
      <c r="E641">
        <v>6095</v>
      </c>
      <c r="F641" s="45" t="s">
        <v>1589</v>
      </c>
      <c r="G641" t="s">
        <v>2886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664</v>
      </c>
      <c r="B642" s="31" t="str">
        <f>_xlfn.TEXTAFTER(CONTROL[[#This Row],[VEHIDCODE]],"_")</f>
        <v>Russia_RZD_EP20</v>
      </c>
      <c r="C642" t="s">
        <v>722</v>
      </c>
      <c r="D642" t="s">
        <v>942</v>
      </c>
      <c r="E642">
        <v>6092</v>
      </c>
      <c r="F642" s="45" t="s">
        <v>1590</v>
      </c>
      <c r="G642" t="s">
        <v>2887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665</v>
      </c>
      <c r="B643" s="31" t="str">
        <f>_xlfn.TEXTAFTER(CONTROL[[#This Row],[VEHIDCODE]],"_")</f>
        <v>Finland_VR_Dm7</v>
      </c>
      <c r="C643" t="s">
        <v>718</v>
      </c>
      <c r="D643" t="s">
        <v>935</v>
      </c>
      <c r="E643">
        <v>2010</v>
      </c>
      <c r="F643" s="45" t="s">
        <v>1591</v>
      </c>
      <c r="G643" t="s">
        <v>2888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666</v>
      </c>
      <c r="B644" s="31" t="str">
        <f>_xlfn.TEXTAFTER(CONTROL[[#This Row],[VEHIDCODE]],"_")</f>
        <v>Russia_RZD_ACh2</v>
      </c>
      <c r="C644" t="s">
        <v>718</v>
      </c>
      <c r="D644" t="s">
        <v>935</v>
      </c>
      <c r="E644">
        <v>2011</v>
      </c>
      <c r="F644" s="45" t="s">
        <v>1592</v>
      </c>
      <c r="G644" t="s">
        <v>2889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667</v>
      </c>
      <c r="B645" s="31" t="str">
        <f>_xlfn.TEXTAFTER(CONTROL[[#This Row],[VEHIDCODE]],"_")</f>
        <v>Russia_RZD_ER200</v>
      </c>
      <c r="C645" t="s">
        <v>725</v>
      </c>
      <c r="D645" t="s">
        <v>946</v>
      </c>
      <c r="E645">
        <v>8063</v>
      </c>
      <c r="F645" s="45" t="s">
        <v>1593</v>
      </c>
      <c r="G645" t="s">
        <v>2869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668</v>
      </c>
      <c r="B646" s="31" t="str">
        <f>_xlfn.TEXTAFTER(CONTROL[[#This Row],[VEHIDCODE]],"_")</f>
        <v>Russia_RZD_S</v>
      </c>
      <c r="C646" t="s">
        <v>725</v>
      </c>
      <c r="D646" t="s">
        <v>946</v>
      </c>
      <c r="E646">
        <v>8059</v>
      </c>
      <c r="F646" s="45" t="s">
        <v>1594</v>
      </c>
      <c r="G646" t="s">
        <v>2870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669</v>
      </c>
      <c r="B647" s="31" t="str">
        <f>_xlfn.TEXTAFTER(CONTROL[[#This Row],[VEHIDCODE]],"_")</f>
        <v>Croatia_HZ_6112</v>
      </c>
      <c r="C647" t="s">
        <v>725</v>
      </c>
      <c r="D647" t="s">
        <v>946</v>
      </c>
      <c r="E647">
        <v>8070</v>
      </c>
      <c r="F647" s="45" t="s">
        <v>1595</v>
      </c>
      <c r="G647" t="s">
        <v>2871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670</v>
      </c>
      <c r="B648" s="31" t="str">
        <f>_xlfn.TEXTAFTER(CONTROL[[#This Row],[VEHIDCODE]],"_")</f>
        <v>Russia_RZD_ES1_Lastochka</v>
      </c>
      <c r="C648" t="s">
        <v>725</v>
      </c>
      <c r="D648" t="s">
        <v>946</v>
      </c>
      <c r="E648">
        <v>8068</v>
      </c>
      <c r="F648" s="45" t="s">
        <v>1596</v>
      </c>
      <c r="G648" t="s">
        <v>2872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745</v>
      </c>
      <c r="B649" s="31" t="str">
        <f>_xlfn.TEXTAFTER(CONTROL[[#This Row],[VEHIDCODE]],"_")</f>
        <v>Metro_Wagon_Powered</v>
      </c>
      <c r="C649" t="s">
        <v>900</v>
      </c>
      <c r="D649" t="s">
        <v>967</v>
      </c>
      <c r="E649">
        <v>13003</v>
      </c>
      <c r="F649" s="45" t="s">
        <v>1597</v>
      </c>
      <c r="G649" t="s">
        <v>1740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744</v>
      </c>
      <c r="B650" s="31" t="str">
        <f>_xlfn.TEXTAFTER(CONTROL[[#This Row],[VEHIDCODE]],"_")</f>
        <v>Metro_Wagon_Unpowered</v>
      </c>
      <c r="C650" t="s">
        <v>900</v>
      </c>
      <c r="D650" t="s">
        <v>967</v>
      </c>
      <c r="E650">
        <v>13002</v>
      </c>
      <c r="F650" s="45" t="s">
        <v>1597</v>
      </c>
      <c r="G650" t="s">
        <v>1740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746</v>
      </c>
      <c r="B651" s="31" t="str">
        <f>_xlfn.TEXTAFTER(CONTROL[[#This Row],[VEHIDCODE]],"_")</f>
        <v>MU_Cargo_Wagon_Powered</v>
      </c>
      <c r="C651" t="s">
        <v>900</v>
      </c>
      <c r="D651" t="s">
        <v>969</v>
      </c>
      <c r="E651">
        <v>13007</v>
      </c>
      <c r="F651" s="45" t="s">
        <v>1598</v>
      </c>
      <c r="G651" t="s">
        <v>1740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747</v>
      </c>
      <c r="B652" s="31" t="str">
        <f>_xlfn.TEXTAFTER(CONTROL[[#This Row],[VEHIDCODE]],"_")</f>
        <v>MU_Cargo_Wagon_Unpowered</v>
      </c>
      <c r="C652" t="s">
        <v>900</v>
      </c>
      <c r="D652" t="s">
        <v>969</v>
      </c>
      <c r="E652">
        <v>13006</v>
      </c>
      <c r="F652" s="45" t="s">
        <v>1598</v>
      </c>
      <c r="G652" t="s">
        <v>1740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748</v>
      </c>
      <c r="B653" s="31" t="str">
        <f>_xlfn.TEXTAFTER(CONTROL[[#This Row],[VEHIDCODE]],"_")</f>
        <v>MU_Wagon_Powered</v>
      </c>
      <c r="C653" t="s">
        <v>900</v>
      </c>
      <c r="D653" t="s">
        <v>966</v>
      </c>
      <c r="E653">
        <v>13001</v>
      </c>
      <c r="F653" s="45" t="s">
        <v>1599</v>
      </c>
      <c r="G653" t="s">
        <v>1740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749</v>
      </c>
      <c r="B654" s="31" t="str">
        <f>_xlfn.TEXTAFTER(CONTROL[[#This Row],[VEHIDCODE]],"_")</f>
        <v>MU_Wagon_Unpowered</v>
      </c>
      <c r="C654" t="s">
        <v>900</v>
      </c>
      <c r="D654" t="s">
        <v>966</v>
      </c>
      <c r="E654">
        <v>13000</v>
      </c>
      <c r="F654" s="45" t="s">
        <v>1599</v>
      </c>
      <c r="G654" t="s">
        <v>1740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751</v>
      </c>
      <c r="B655" s="31" t="str">
        <f>_xlfn.TEXTAFTER(CONTROL[[#This Row],[VEHIDCODE]],"_")</f>
        <v>Wagon_Gen1_Flat_Wagon</v>
      </c>
      <c r="C655" t="s">
        <v>729</v>
      </c>
      <c r="D655" t="s">
        <v>954</v>
      </c>
      <c r="E655">
        <v>12000</v>
      </c>
      <c r="F655" s="45" t="s">
        <v>1600</v>
      </c>
      <c r="G655" t="s">
        <v>1740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752</v>
      </c>
      <c r="B656" s="31" t="str">
        <f>_xlfn.TEXTAFTER(CONTROL[[#This Row],[VEHIDCODE]],"_")</f>
        <v>Wagon_Gen1_Boxcar</v>
      </c>
      <c r="C656" t="s">
        <v>729</v>
      </c>
      <c r="D656" t="s">
        <v>954</v>
      </c>
      <c r="E656">
        <v>12001</v>
      </c>
      <c r="F656" s="45" t="s">
        <v>1601</v>
      </c>
      <c r="G656" t="s">
        <v>1740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753</v>
      </c>
      <c r="B657" s="31" t="str">
        <f>_xlfn.TEXTAFTER(CONTROL[[#This Row],[VEHIDCODE]],"_")</f>
        <v>Wagon_Gen1_Tanker</v>
      </c>
      <c r="C657" t="s">
        <v>729</v>
      </c>
      <c r="D657" t="s">
        <v>954</v>
      </c>
      <c r="E657">
        <v>12002</v>
      </c>
      <c r="F657" s="45" t="s">
        <v>1602</v>
      </c>
      <c r="G657" t="s">
        <v>1740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754</v>
      </c>
      <c r="B658" s="31" t="str">
        <f>_xlfn.TEXTAFTER(CONTROL[[#This Row],[VEHIDCODE]],"_")</f>
        <v>Wagon_Gen1_Open_Wagon</v>
      </c>
      <c r="C658" t="s">
        <v>729</v>
      </c>
      <c r="D658" t="s">
        <v>954</v>
      </c>
      <c r="E658">
        <v>12003</v>
      </c>
      <c r="F658" s="45" t="s">
        <v>1603</v>
      </c>
      <c r="G658" t="s">
        <v>1740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826</v>
      </c>
      <c r="B659" s="31" t="str">
        <f>_xlfn.TEXTAFTER(CONTROL[[#This Row],[VEHIDCODE]],"_")</f>
        <v>Wagon_Gen2_Flat_Wagon</v>
      </c>
      <c r="C659" t="s">
        <v>730</v>
      </c>
      <c r="D659" t="s">
        <v>954</v>
      </c>
      <c r="E659">
        <v>12004</v>
      </c>
      <c r="F659" s="45" t="s">
        <v>1604</v>
      </c>
      <c r="G659" t="s">
        <v>1740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827</v>
      </c>
      <c r="B660" s="31" t="str">
        <f>_xlfn.TEXTAFTER(CONTROL[[#This Row],[VEHIDCODE]],"_")</f>
        <v>Wagon_Gen2_Boxcar_Type1</v>
      </c>
      <c r="C660" t="s">
        <v>730</v>
      </c>
      <c r="D660" t="s">
        <v>954</v>
      </c>
      <c r="E660">
        <v>12005</v>
      </c>
      <c r="F660" s="45" t="s">
        <v>2990</v>
      </c>
      <c r="G660" t="s">
        <v>1740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828</v>
      </c>
      <c r="B661" s="31" t="str">
        <f>_xlfn.TEXTAFTER(CONTROL[[#This Row],[VEHIDCODE]],"_")</f>
        <v>Wagon_Gen2_Boxcar_Type2</v>
      </c>
      <c r="C661" t="s">
        <v>730</v>
      </c>
      <c r="D661" t="s">
        <v>954</v>
      </c>
      <c r="E661">
        <v>12038</v>
      </c>
      <c r="F661" s="45" t="s">
        <v>3005</v>
      </c>
      <c r="G661" t="s">
        <v>1740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829</v>
      </c>
      <c r="B662" s="31" t="str">
        <f>_xlfn.TEXTAFTER(CONTROL[[#This Row],[VEHIDCODE]],"_")</f>
        <v>Wagon_Gen2_Tanker</v>
      </c>
      <c r="C662" t="s">
        <v>730</v>
      </c>
      <c r="D662" t="s">
        <v>954</v>
      </c>
      <c r="E662">
        <v>12006</v>
      </c>
      <c r="F662" s="45" t="s">
        <v>1605</v>
      </c>
      <c r="G662" t="s">
        <v>1740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830</v>
      </c>
      <c r="B663" s="31" t="str">
        <f>_xlfn.TEXTAFTER(CONTROL[[#This Row],[VEHIDCODE]],"_")</f>
        <v>Wagon_Gen2_Open_Wagon</v>
      </c>
      <c r="C663" t="s">
        <v>730</v>
      </c>
      <c r="D663" t="s">
        <v>954</v>
      </c>
      <c r="E663">
        <v>12007</v>
      </c>
      <c r="F663" s="45" t="s">
        <v>1606</v>
      </c>
      <c r="G663" t="s">
        <v>1740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831</v>
      </c>
      <c r="B664" s="31" t="str">
        <f>_xlfn.TEXTAFTER(CONTROL[[#This Row],[VEHIDCODE]],"_")</f>
        <v>Wagon_Gen2_Silo</v>
      </c>
      <c r="C664" t="s">
        <v>730</v>
      </c>
      <c r="D664" t="s">
        <v>954</v>
      </c>
      <c r="E664">
        <v>12008</v>
      </c>
      <c r="F664" s="45" t="s">
        <v>1607</v>
      </c>
      <c r="G664" t="s">
        <v>1740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832</v>
      </c>
      <c r="B665" s="31" t="str">
        <f>_xlfn.TEXTAFTER(CONTROL[[#This Row],[VEHIDCODE]],"_")</f>
        <v>Wagon_Gen2_Hopper</v>
      </c>
      <c r="C665" t="s">
        <v>730</v>
      </c>
      <c r="D665" t="s">
        <v>954</v>
      </c>
      <c r="E665">
        <v>12009</v>
      </c>
      <c r="F665" s="45" t="s">
        <v>1608</v>
      </c>
      <c r="G665" t="s">
        <v>1740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833</v>
      </c>
      <c r="B666" s="31" t="str">
        <f>_xlfn.TEXTAFTER(CONTROL[[#This Row],[VEHIDCODE]],"_")</f>
        <v>Wagon_Gen3_Flat_Wagon</v>
      </c>
      <c r="C666" t="s">
        <v>731</v>
      </c>
      <c r="D666" t="s">
        <v>954</v>
      </c>
      <c r="E666">
        <v>12010</v>
      </c>
      <c r="F666" s="45" t="s">
        <v>1609</v>
      </c>
      <c r="G666" t="s">
        <v>1740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834</v>
      </c>
      <c r="B667" s="31" t="str">
        <f>_xlfn.TEXTAFTER(CONTROL[[#This Row],[VEHIDCODE]],"_")</f>
        <v>Wagon_Gen3_Boxcar_Type1</v>
      </c>
      <c r="C667" t="s">
        <v>731</v>
      </c>
      <c r="D667" t="s">
        <v>954</v>
      </c>
      <c r="E667">
        <v>12011</v>
      </c>
      <c r="F667" s="45" t="s">
        <v>2991</v>
      </c>
      <c r="G667" t="s">
        <v>1740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835</v>
      </c>
      <c r="B668" s="31" t="str">
        <f>_xlfn.TEXTAFTER(CONTROL[[#This Row],[VEHIDCODE]],"_")</f>
        <v>Wagon_Gen3_Boxcar_Type2</v>
      </c>
      <c r="C668" t="s">
        <v>731</v>
      </c>
      <c r="D668" t="s">
        <v>954</v>
      </c>
      <c r="E668">
        <v>12047</v>
      </c>
      <c r="F668" s="45" t="s">
        <v>3006</v>
      </c>
      <c r="G668" t="s">
        <v>1740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836</v>
      </c>
      <c r="B669" s="31" t="str">
        <f>_xlfn.TEXTAFTER(CONTROL[[#This Row],[VEHIDCODE]],"_")</f>
        <v>Wagon_Gen3_Tanker</v>
      </c>
      <c r="C669" t="s">
        <v>731</v>
      </c>
      <c r="D669" t="s">
        <v>954</v>
      </c>
      <c r="E669">
        <v>12012</v>
      </c>
      <c r="F669" s="45" t="s">
        <v>1610</v>
      </c>
      <c r="G669" t="s">
        <v>1740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837</v>
      </c>
      <c r="B670" s="31" t="str">
        <f>_xlfn.TEXTAFTER(CONTROL[[#This Row],[VEHIDCODE]],"_")</f>
        <v>Wagon_Gen3_Open_Wagon</v>
      </c>
      <c r="C670" t="s">
        <v>731</v>
      </c>
      <c r="D670" t="s">
        <v>954</v>
      </c>
      <c r="E670">
        <v>12013</v>
      </c>
      <c r="F670" s="45" t="s">
        <v>1611</v>
      </c>
      <c r="G670" t="s">
        <v>1740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838</v>
      </c>
      <c r="B671" s="31" t="str">
        <f>_xlfn.TEXTAFTER(CONTROL[[#This Row],[VEHIDCODE]],"_")</f>
        <v>Wagon_Gen3_Silo_Type1</v>
      </c>
      <c r="C671" t="s">
        <v>731</v>
      </c>
      <c r="D671" t="s">
        <v>954</v>
      </c>
      <c r="E671">
        <v>12014</v>
      </c>
      <c r="F671" s="45" t="s">
        <v>2992</v>
      </c>
      <c r="G671" t="s">
        <v>1740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839</v>
      </c>
      <c r="B672" s="31" t="str">
        <f>_xlfn.TEXTAFTER(CONTROL[[#This Row],[VEHIDCODE]],"_")</f>
        <v>Wagon_Gen3_Silo_Type2</v>
      </c>
      <c r="C672" t="s">
        <v>731</v>
      </c>
      <c r="D672" t="s">
        <v>954</v>
      </c>
      <c r="E672">
        <v>12039</v>
      </c>
      <c r="F672" s="45" t="s">
        <v>3007</v>
      </c>
      <c r="G672" t="s">
        <v>1740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840</v>
      </c>
      <c r="B673" s="31" t="str">
        <f>_xlfn.TEXTAFTER(CONTROL[[#This Row],[VEHIDCODE]],"_")</f>
        <v>Wagon_Gen3_Hopper</v>
      </c>
      <c r="C673" t="s">
        <v>731</v>
      </c>
      <c r="D673" t="s">
        <v>954</v>
      </c>
      <c r="E673">
        <v>12015</v>
      </c>
      <c r="F673" s="45" t="s">
        <v>1612</v>
      </c>
      <c r="G673" t="s">
        <v>1740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841</v>
      </c>
      <c r="B674" s="31" t="str">
        <f>_xlfn.TEXTAFTER(CONTROL[[#This Row],[VEHIDCODE]],"_")</f>
        <v>Wagon_Gen4_Flatcar</v>
      </c>
      <c r="C674" t="s">
        <v>732</v>
      </c>
      <c r="D674" t="s">
        <v>954</v>
      </c>
      <c r="E674">
        <v>12016</v>
      </c>
      <c r="F674" s="45" t="s">
        <v>1613</v>
      </c>
      <c r="G674" t="s">
        <v>1740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842</v>
      </c>
      <c r="B675" s="31" t="str">
        <f>_xlfn.TEXTAFTER(CONTROL[[#This Row],[VEHIDCODE]],"_")</f>
        <v>Wagon_Gen4_Heavy_Flatcar</v>
      </c>
      <c r="C675" t="s">
        <v>732</v>
      </c>
      <c r="D675" t="s">
        <v>954</v>
      </c>
      <c r="E675">
        <v>12017</v>
      </c>
      <c r="F675" s="45" t="s">
        <v>1614</v>
      </c>
      <c r="G675" t="s">
        <v>1740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843</v>
      </c>
      <c r="B676" s="31" t="str">
        <f>_xlfn.TEXTAFTER(CONTROL[[#This Row],[VEHIDCODE]],"_")</f>
        <v>Wagon_Gen4_Boxcar_Type1</v>
      </c>
      <c r="C676" t="s">
        <v>732</v>
      </c>
      <c r="D676" t="s">
        <v>954</v>
      </c>
      <c r="E676">
        <v>12018</v>
      </c>
      <c r="F676" s="45" t="s">
        <v>2993</v>
      </c>
      <c r="G676" t="s">
        <v>1740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844</v>
      </c>
      <c r="B677" s="31" t="str">
        <f>_xlfn.TEXTAFTER(CONTROL[[#This Row],[VEHIDCODE]],"_")</f>
        <v>Wagon_Gen4_Boxcar_Type2</v>
      </c>
      <c r="C677" t="s">
        <v>732</v>
      </c>
      <c r="D677" t="s">
        <v>954</v>
      </c>
      <c r="E677">
        <v>12048</v>
      </c>
      <c r="F677" s="45" t="s">
        <v>3008</v>
      </c>
      <c r="G677" t="s">
        <v>1740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845</v>
      </c>
      <c r="B678" s="31" t="str">
        <f>_xlfn.TEXTAFTER(CONTROL[[#This Row],[VEHIDCODE]],"_")</f>
        <v>Wagon_Gen4_Tanker</v>
      </c>
      <c r="C678" t="s">
        <v>732</v>
      </c>
      <c r="D678" t="s">
        <v>954</v>
      </c>
      <c r="E678">
        <v>12019</v>
      </c>
      <c r="F678" s="45" t="s">
        <v>1615</v>
      </c>
      <c r="G678" t="s">
        <v>1740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846</v>
      </c>
      <c r="B679" s="31" t="str">
        <f>_xlfn.TEXTAFTER(CONTROL[[#This Row],[VEHIDCODE]],"_")</f>
        <v>Wagon_Gen4_Gondola</v>
      </c>
      <c r="C679" t="s">
        <v>732</v>
      </c>
      <c r="D679" t="s">
        <v>954</v>
      </c>
      <c r="E679">
        <v>12020</v>
      </c>
      <c r="F679" s="45" t="s">
        <v>1616</v>
      </c>
      <c r="G679" t="s">
        <v>1740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847</v>
      </c>
      <c r="B680" s="31" t="str">
        <f>_xlfn.TEXTAFTER(CONTROL[[#This Row],[VEHIDCODE]],"_")</f>
        <v>Wagon_Gen4_Silo_Type1</v>
      </c>
      <c r="C680" t="s">
        <v>732</v>
      </c>
      <c r="D680" t="s">
        <v>954</v>
      </c>
      <c r="E680">
        <v>12021</v>
      </c>
      <c r="F680" s="45" t="s">
        <v>2994</v>
      </c>
      <c r="G680" t="s">
        <v>1740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848</v>
      </c>
      <c r="B681" s="31" t="str">
        <f>_xlfn.TEXTAFTER(CONTROL[[#This Row],[VEHIDCODE]],"_")</f>
        <v>Wagon_Gen4_Silo_Type2</v>
      </c>
      <c r="C681" t="s">
        <v>732</v>
      </c>
      <c r="D681" t="s">
        <v>954</v>
      </c>
      <c r="E681">
        <v>12040</v>
      </c>
      <c r="F681" s="45" t="s">
        <v>3009</v>
      </c>
      <c r="G681" t="s">
        <v>1740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849</v>
      </c>
      <c r="B682" s="31" t="str">
        <f>_xlfn.TEXTAFTER(CONTROL[[#This Row],[VEHIDCODE]],"_")</f>
        <v>Wagon_Gen4_Hopper_Type1</v>
      </c>
      <c r="C682" t="s">
        <v>732</v>
      </c>
      <c r="D682" t="s">
        <v>954</v>
      </c>
      <c r="E682">
        <v>12022</v>
      </c>
      <c r="F682" s="45" t="s">
        <v>2995</v>
      </c>
      <c r="G682" t="s">
        <v>1740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850</v>
      </c>
      <c r="B683" s="31" t="str">
        <f>_xlfn.TEXTAFTER(CONTROL[[#This Row],[VEHIDCODE]],"_")</f>
        <v>Wagon_Gen4_Hopper_Type2</v>
      </c>
      <c r="C683" t="s">
        <v>732</v>
      </c>
      <c r="D683" t="s">
        <v>954</v>
      </c>
      <c r="E683">
        <v>12041</v>
      </c>
      <c r="F683" s="45" t="s">
        <v>3010</v>
      </c>
      <c r="G683" t="s">
        <v>1740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851</v>
      </c>
      <c r="B684" s="31" t="str">
        <f>_xlfn.TEXTAFTER(CONTROL[[#This Row],[VEHIDCODE]],"_")</f>
        <v>Wagon_Gen4_Car_Transporter</v>
      </c>
      <c r="C684" t="s">
        <v>732</v>
      </c>
      <c r="D684" t="s">
        <v>954</v>
      </c>
      <c r="E684">
        <v>12023</v>
      </c>
      <c r="F684" s="45" t="s">
        <v>1617</v>
      </c>
      <c r="G684" t="s">
        <v>1740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852</v>
      </c>
      <c r="B685" s="31" t="str">
        <f>_xlfn.TEXTAFTER(CONTROL[[#This Row],[VEHIDCODE]],"_")</f>
        <v>Wagon_Gen4_Container_Carrier</v>
      </c>
      <c r="C685" t="s">
        <v>732</v>
      </c>
      <c r="D685" t="s">
        <v>954</v>
      </c>
      <c r="E685">
        <v>12024</v>
      </c>
      <c r="F685" s="45" t="s">
        <v>1618</v>
      </c>
      <c r="G685" t="s">
        <v>1740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853</v>
      </c>
      <c r="B686" s="31" t="str">
        <f>_xlfn.TEXTAFTER(CONTROL[[#This Row],[VEHIDCODE]],"_")</f>
        <v>Wagon_Gen4_Centerbeam</v>
      </c>
      <c r="C686" t="s">
        <v>732</v>
      </c>
      <c r="D686" t="s">
        <v>954</v>
      </c>
      <c r="E686">
        <v>12025</v>
      </c>
      <c r="F686" s="45" t="s">
        <v>1619</v>
      </c>
      <c r="G686" t="s">
        <v>1740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854</v>
      </c>
      <c r="B687" s="31" t="str">
        <f>_xlfn.TEXTAFTER(CONTROL[[#This Row],[VEHIDCODE]],"_")</f>
        <v>Wagon_Gen5_Flatcar</v>
      </c>
      <c r="C687" t="s">
        <v>733</v>
      </c>
      <c r="D687" t="s">
        <v>954</v>
      </c>
      <c r="E687">
        <v>12026</v>
      </c>
      <c r="F687" s="45" t="s">
        <v>1620</v>
      </c>
      <c r="G687" t="s">
        <v>1740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855</v>
      </c>
      <c r="B688" s="31" t="str">
        <f>_xlfn.TEXTAFTER(CONTROL[[#This Row],[VEHIDCODE]],"_")</f>
        <v>Wagon_Gen5_Heavy_Flatcar</v>
      </c>
      <c r="C688" t="s">
        <v>733</v>
      </c>
      <c r="D688" t="s">
        <v>954</v>
      </c>
      <c r="E688">
        <v>12027</v>
      </c>
      <c r="F688" s="45" t="s">
        <v>1621</v>
      </c>
      <c r="G688" t="s">
        <v>1740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856</v>
      </c>
      <c r="B689" s="31" t="str">
        <f>_xlfn.TEXTAFTER(CONTROL[[#This Row],[VEHIDCODE]],"_")</f>
        <v>Wagon_Gen5_Boxcar_Type1</v>
      </c>
      <c r="C689" t="s">
        <v>733</v>
      </c>
      <c r="D689" t="s">
        <v>954</v>
      </c>
      <c r="E689">
        <v>12028</v>
      </c>
      <c r="F689" s="45" t="s">
        <v>2996</v>
      </c>
      <c r="G689" t="s">
        <v>1740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857</v>
      </c>
      <c r="B690" s="31" t="str">
        <f>_xlfn.TEXTAFTER(CONTROL[[#This Row],[VEHIDCODE]],"_")</f>
        <v>Wagon_Gen5_Boxcar_Type2</v>
      </c>
      <c r="C690" t="s">
        <v>733</v>
      </c>
      <c r="D690" t="s">
        <v>954</v>
      </c>
      <c r="E690">
        <v>12042</v>
      </c>
      <c r="F690" s="45" t="s">
        <v>3011</v>
      </c>
      <c r="G690" t="s">
        <v>1740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858</v>
      </c>
      <c r="B691" s="31" t="str">
        <f>_xlfn.TEXTAFTER(CONTROL[[#This Row],[VEHIDCODE]],"_")</f>
        <v>Wagon_Gen5_Tanker</v>
      </c>
      <c r="C691" t="s">
        <v>733</v>
      </c>
      <c r="D691" t="s">
        <v>954</v>
      </c>
      <c r="E691">
        <v>12029</v>
      </c>
      <c r="F691" s="45" t="s">
        <v>1622</v>
      </c>
      <c r="G691" t="s">
        <v>1740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859</v>
      </c>
      <c r="B692" s="31" t="str">
        <f>_xlfn.TEXTAFTER(CONTROL[[#This Row],[VEHIDCODE]],"_")</f>
        <v>Wagon_Gen5_Gondola</v>
      </c>
      <c r="C692" t="s">
        <v>733</v>
      </c>
      <c r="D692" t="s">
        <v>954</v>
      </c>
      <c r="E692">
        <v>12030</v>
      </c>
      <c r="F692" s="45" t="s">
        <v>1623</v>
      </c>
      <c r="G692" t="s">
        <v>1740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860</v>
      </c>
      <c r="B693" s="31" t="str">
        <f>_xlfn.TEXTAFTER(CONTROL[[#This Row],[VEHIDCODE]],"_")</f>
        <v>Wagon_Gen5_Silo_Type1</v>
      </c>
      <c r="C693" t="s">
        <v>733</v>
      </c>
      <c r="D693" t="s">
        <v>954</v>
      </c>
      <c r="E693">
        <v>12031</v>
      </c>
      <c r="F693" s="45" t="s">
        <v>2997</v>
      </c>
      <c r="G693" t="s">
        <v>1740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861</v>
      </c>
      <c r="B694" s="31" t="str">
        <f>_xlfn.TEXTAFTER(CONTROL[[#This Row],[VEHIDCODE]],"_")</f>
        <v>Wagon_Gen5_Silo_Type2</v>
      </c>
      <c r="C694" t="s">
        <v>733</v>
      </c>
      <c r="D694" t="s">
        <v>954</v>
      </c>
      <c r="E694">
        <v>12043</v>
      </c>
      <c r="F694" s="45" t="s">
        <v>3012</v>
      </c>
      <c r="G694" t="s">
        <v>1740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862</v>
      </c>
      <c r="B695" s="31" t="str">
        <f>_xlfn.TEXTAFTER(CONTROL[[#This Row],[VEHIDCODE]],"_")</f>
        <v>Wagon_Gen5_Hopper_Type1</v>
      </c>
      <c r="C695" t="s">
        <v>733</v>
      </c>
      <c r="D695" t="s">
        <v>954</v>
      </c>
      <c r="E695">
        <v>12032</v>
      </c>
      <c r="F695" s="45" t="s">
        <v>2998</v>
      </c>
      <c r="G695" t="s">
        <v>1740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863</v>
      </c>
      <c r="B696" s="31" t="str">
        <f>_xlfn.TEXTAFTER(CONTROL[[#This Row],[VEHIDCODE]],"_")</f>
        <v>Wagon_Gen5_Hopper_Type2</v>
      </c>
      <c r="C696" t="s">
        <v>733</v>
      </c>
      <c r="D696" t="s">
        <v>954</v>
      </c>
      <c r="E696">
        <v>12044</v>
      </c>
      <c r="F696" s="45" t="s">
        <v>3013</v>
      </c>
      <c r="G696" t="s">
        <v>1740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864</v>
      </c>
      <c r="B697" s="31" t="str">
        <f>_xlfn.TEXTAFTER(CONTROL[[#This Row],[VEHIDCODE]],"_")</f>
        <v>Wagon_Gen5_Car_Transporter</v>
      </c>
      <c r="C697" t="s">
        <v>733</v>
      </c>
      <c r="D697" t="s">
        <v>954</v>
      </c>
      <c r="E697">
        <v>12033</v>
      </c>
      <c r="F697" s="45" t="s">
        <v>1624</v>
      </c>
      <c r="G697" t="s">
        <v>1740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865</v>
      </c>
      <c r="B698" s="31" t="str">
        <f>_xlfn.TEXTAFTER(CONTROL[[#This Row],[VEHIDCODE]],"_")</f>
        <v>Wagon_Gen5_Container_Carrier</v>
      </c>
      <c r="C698" t="s">
        <v>733</v>
      </c>
      <c r="D698" t="s">
        <v>954</v>
      </c>
      <c r="E698">
        <v>12034</v>
      </c>
      <c r="F698" s="45" t="s">
        <v>1625</v>
      </c>
      <c r="G698" t="s">
        <v>1740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866</v>
      </c>
      <c r="B699" s="31" t="str">
        <f>_xlfn.TEXTAFTER(CONTROL[[#This Row],[VEHIDCODE]],"_")</f>
        <v>Wagon_Gen5_Centerbeam</v>
      </c>
      <c r="C699" t="s">
        <v>733</v>
      </c>
      <c r="D699" t="s">
        <v>954</v>
      </c>
      <c r="E699">
        <v>12035</v>
      </c>
      <c r="F699" s="45" t="s">
        <v>1626</v>
      </c>
      <c r="G699" t="s">
        <v>1740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867</v>
      </c>
      <c r="B700" s="31" t="str">
        <f>_xlfn.TEXTAFTER(CONTROL[[#This Row],[VEHIDCODE]],"_")</f>
        <v>Wagon_Gen5_Container_Doublestack</v>
      </c>
      <c r="C700" t="s">
        <v>733</v>
      </c>
      <c r="D700" t="s">
        <v>954</v>
      </c>
      <c r="E700">
        <v>12036</v>
      </c>
      <c r="F700" s="45" t="s">
        <v>1627</v>
      </c>
      <c r="G700" t="s">
        <v>1740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868</v>
      </c>
      <c r="B701" s="31" t="str">
        <f>_xlfn.TEXTAFTER(CONTROL[[#This Row],[VEHIDCODE]],"_")</f>
        <v>Wagon_Gen5_Superheavy_Flatcar</v>
      </c>
      <c r="C701" t="s">
        <v>733</v>
      </c>
      <c r="D701" t="s">
        <v>954</v>
      </c>
      <c r="E701">
        <v>12037</v>
      </c>
      <c r="F701" s="45" t="s">
        <v>1628</v>
      </c>
      <c r="G701" t="s">
        <v>1740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869</v>
      </c>
      <c r="B702" s="31" t="str">
        <f>_xlfn.TEXTAFTER(CONTROL[[#This Row],[VEHIDCODE]],"_")</f>
        <v>Wagon_Gen6_Flatcar</v>
      </c>
      <c r="C702" t="s">
        <v>734</v>
      </c>
      <c r="D702" t="s">
        <v>954</v>
      </c>
      <c r="E702">
        <v>12049</v>
      </c>
      <c r="F702" s="45" t="s">
        <v>1629</v>
      </c>
      <c r="G702" t="s">
        <v>1740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870</v>
      </c>
      <c r="B703" s="31" t="str">
        <f>_xlfn.TEXTAFTER(CONTROL[[#This Row],[VEHIDCODE]],"_")</f>
        <v>Wagon_Gen6_Heavy_Flatcar</v>
      </c>
      <c r="C703" t="s">
        <v>734</v>
      </c>
      <c r="D703" t="s">
        <v>954</v>
      </c>
      <c r="E703">
        <v>12050</v>
      </c>
      <c r="F703" s="45" t="s">
        <v>1630</v>
      </c>
      <c r="G703" t="s">
        <v>1740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871</v>
      </c>
      <c r="B704" s="31" t="str">
        <f>_xlfn.TEXTAFTER(CONTROL[[#This Row],[VEHIDCODE]],"_")</f>
        <v>Wagon_Gen6_Boxcar_Type1</v>
      </c>
      <c r="C704" t="s">
        <v>734</v>
      </c>
      <c r="D704" t="s">
        <v>954</v>
      </c>
      <c r="E704">
        <v>12051</v>
      </c>
      <c r="F704" s="45" t="s">
        <v>2999</v>
      </c>
      <c r="G704" t="s">
        <v>1740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872</v>
      </c>
      <c r="B705" s="31" t="str">
        <f>_xlfn.TEXTAFTER(CONTROL[[#This Row],[VEHIDCODE]],"_")</f>
        <v>Wagon_Gen6_Boxcar_Type2</v>
      </c>
      <c r="C705" t="s">
        <v>734</v>
      </c>
      <c r="D705" t="s">
        <v>954</v>
      </c>
      <c r="E705">
        <v>12061</v>
      </c>
      <c r="F705" s="45" t="s">
        <v>3014</v>
      </c>
      <c r="G705" t="s">
        <v>1740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873</v>
      </c>
      <c r="B706" s="31" t="str">
        <f>_xlfn.TEXTAFTER(CONTROL[[#This Row],[VEHIDCODE]],"_")</f>
        <v>Wagon_Gen6_Tanker</v>
      </c>
      <c r="C706" t="s">
        <v>734</v>
      </c>
      <c r="D706" t="s">
        <v>954</v>
      </c>
      <c r="E706">
        <v>12052</v>
      </c>
      <c r="F706" s="45" t="s">
        <v>1631</v>
      </c>
      <c r="G706" t="s">
        <v>1740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874</v>
      </c>
      <c r="B707" s="31" t="str">
        <f>_xlfn.TEXTAFTER(CONTROL[[#This Row],[VEHIDCODE]],"_")</f>
        <v>Wagon_Gen6_Gondola</v>
      </c>
      <c r="C707" t="s">
        <v>734</v>
      </c>
      <c r="D707" t="s">
        <v>954</v>
      </c>
      <c r="E707">
        <v>12053</v>
      </c>
      <c r="F707" s="45" t="s">
        <v>1632</v>
      </c>
      <c r="G707" t="s">
        <v>1740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875</v>
      </c>
      <c r="B708" s="31" t="str">
        <f>_xlfn.TEXTAFTER(CONTROL[[#This Row],[VEHIDCODE]],"_")</f>
        <v>Wagon_Gen6_Silo_Type1</v>
      </c>
      <c r="C708" t="s">
        <v>734</v>
      </c>
      <c r="D708" t="s">
        <v>954</v>
      </c>
      <c r="E708">
        <v>12054</v>
      </c>
      <c r="F708" s="45" t="s">
        <v>3000</v>
      </c>
      <c r="G708" t="s">
        <v>1740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876</v>
      </c>
      <c r="B709" s="31" t="str">
        <f>_xlfn.TEXTAFTER(CONTROL[[#This Row],[VEHIDCODE]],"_")</f>
        <v>Wagon_Gen6_Silo_Type2</v>
      </c>
      <c r="C709" t="s">
        <v>734</v>
      </c>
      <c r="D709" t="s">
        <v>954</v>
      </c>
      <c r="E709">
        <v>12062</v>
      </c>
      <c r="F709" s="45" t="s">
        <v>3015</v>
      </c>
      <c r="G709" t="s">
        <v>1740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877</v>
      </c>
      <c r="B710" s="31" t="str">
        <f>_xlfn.TEXTAFTER(CONTROL[[#This Row],[VEHIDCODE]],"_")</f>
        <v>Wagon_Gen6_Hopper_Type1</v>
      </c>
      <c r="C710" t="s">
        <v>734</v>
      </c>
      <c r="D710" t="s">
        <v>954</v>
      </c>
      <c r="E710">
        <v>12055</v>
      </c>
      <c r="F710" s="45" t="s">
        <v>3001</v>
      </c>
      <c r="G710" t="s">
        <v>1740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878</v>
      </c>
      <c r="B711" s="31" t="str">
        <f>_xlfn.TEXTAFTER(CONTROL[[#This Row],[VEHIDCODE]],"_")</f>
        <v>Wagon_Gen6_Hopper_Type2</v>
      </c>
      <c r="C711" t="s">
        <v>734</v>
      </c>
      <c r="D711" t="s">
        <v>954</v>
      </c>
      <c r="E711">
        <v>12063</v>
      </c>
      <c r="F711" s="45" t="s">
        <v>3016</v>
      </c>
      <c r="G711" t="s">
        <v>1740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879</v>
      </c>
      <c r="B712" s="31" t="str">
        <f>_xlfn.TEXTAFTER(CONTROL[[#This Row],[VEHIDCODE]],"_")</f>
        <v>Wagon_Gen6_Car_Transporter</v>
      </c>
      <c r="C712" t="s">
        <v>734</v>
      </c>
      <c r="D712" t="s">
        <v>954</v>
      </c>
      <c r="E712">
        <v>12056</v>
      </c>
      <c r="F712" s="45" t="s">
        <v>1633</v>
      </c>
      <c r="G712" t="s">
        <v>1740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880</v>
      </c>
      <c r="B713" s="31" t="str">
        <f>_xlfn.TEXTAFTER(CONTROL[[#This Row],[VEHIDCODE]],"_")</f>
        <v>Wagon_Gen6_Container_Carrier</v>
      </c>
      <c r="C713" t="s">
        <v>734</v>
      </c>
      <c r="D713" t="s">
        <v>954</v>
      </c>
      <c r="E713">
        <v>12057</v>
      </c>
      <c r="F713" s="45" t="s">
        <v>1634</v>
      </c>
      <c r="G713" t="s">
        <v>1740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881</v>
      </c>
      <c r="B714" s="31" t="str">
        <f>_xlfn.TEXTAFTER(CONTROL[[#This Row],[VEHIDCODE]],"_")</f>
        <v>Wagon_Gen6_Centerbeam</v>
      </c>
      <c r="C714" t="s">
        <v>734</v>
      </c>
      <c r="D714" t="s">
        <v>954</v>
      </c>
      <c r="E714">
        <v>12058</v>
      </c>
      <c r="F714" s="45" t="s">
        <v>1635</v>
      </c>
      <c r="G714" t="s">
        <v>1740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882</v>
      </c>
      <c r="B715" s="31" t="str">
        <f>_xlfn.TEXTAFTER(CONTROL[[#This Row],[VEHIDCODE]],"_")</f>
        <v>Wagon_Gen6_Container_Doublestack</v>
      </c>
      <c r="C715" t="s">
        <v>734</v>
      </c>
      <c r="D715" t="s">
        <v>954</v>
      </c>
      <c r="E715">
        <v>12059</v>
      </c>
      <c r="F715" s="45" t="s">
        <v>1636</v>
      </c>
      <c r="G715" t="s">
        <v>1740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883</v>
      </c>
      <c r="B716" s="31" t="str">
        <f>_xlfn.TEXTAFTER(CONTROL[[#This Row],[VEHIDCODE]],"_")</f>
        <v>Wagon_Gen6_Superheavy_Flatcar</v>
      </c>
      <c r="C716" t="s">
        <v>734</v>
      </c>
      <c r="D716" t="s">
        <v>954</v>
      </c>
      <c r="E716">
        <v>12060</v>
      </c>
      <c r="F716" s="45" t="s">
        <v>1637</v>
      </c>
      <c r="G716" t="s">
        <v>1740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898</v>
      </c>
      <c r="B717" s="31" t="str">
        <f>_xlfn.TEXTAFTER(CONTROL[[#This Row],[VEHIDCODE]],"_")</f>
        <v>Wagon_Service_Car_Type1</v>
      </c>
      <c r="C717" t="s">
        <v>735</v>
      </c>
      <c r="D717" t="s">
        <v>954</v>
      </c>
      <c r="E717">
        <v>12045</v>
      </c>
      <c r="F717" s="45" t="s">
        <v>2975</v>
      </c>
      <c r="G717" t="s">
        <v>1740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899</v>
      </c>
      <c r="B718" s="31" t="str">
        <f>_xlfn.TEXTAFTER(CONTROL[[#This Row],[VEHIDCODE]],"_")</f>
        <v>Wagon_Service_Car_Type2</v>
      </c>
      <c r="C718" t="s">
        <v>735</v>
      </c>
      <c r="D718" t="s">
        <v>954</v>
      </c>
      <c r="E718">
        <v>12046</v>
      </c>
      <c r="F718" s="45" t="s">
        <v>2976</v>
      </c>
      <c r="G718" t="s">
        <v>1740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755</v>
      </c>
      <c r="B719" s="31" t="str">
        <f>_xlfn.TEXTAFTER(CONTROL[[#This Row],[VEHIDCODE]],"_")</f>
        <v>Coach_Gen1_Wooden_2_axle_Compartment_Coach</v>
      </c>
      <c r="C719" t="s">
        <v>736</v>
      </c>
      <c r="D719" t="s">
        <v>952</v>
      </c>
      <c r="E719">
        <v>11000</v>
      </c>
      <c r="F719" s="45" t="s">
        <v>1638</v>
      </c>
      <c r="G719" t="s">
        <v>1740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756</v>
      </c>
      <c r="B720" s="31" t="str">
        <f>_xlfn.TEXTAFTER(CONTROL[[#This Row],[VEHIDCODE]],"_")</f>
        <v>Coach_Gen1_Wooden_2_axle_Regional_Coach</v>
      </c>
      <c r="C720" t="s">
        <v>736</v>
      </c>
      <c r="D720" t="s">
        <v>952</v>
      </c>
      <c r="E720">
        <v>11001</v>
      </c>
      <c r="F720" s="45" t="s">
        <v>1639</v>
      </c>
      <c r="G720" t="s">
        <v>1740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757</v>
      </c>
      <c r="B721" s="31" t="str">
        <f>_xlfn.TEXTAFTER(CONTROL[[#This Row],[VEHIDCODE]],"_")</f>
        <v>Coach_Gen1_Wooden_2_axle_Mail_Coach</v>
      </c>
      <c r="C721" t="s">
        <v>736</v>
      </c>
      <c r="D721" t="s">
        <v>952</v>
      </c>
      <c r="E721">
        <v>11002</v>
      </c>
      <c r="F721" s="45" t="s">
        <v>1640</v>
      </c>
      <c r="G721" t="s">
        <v>1740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758</v>
      </c>
      <c r="B722" s="31" t="str">
        <f>_xlfn.TEXTAFTER(CONTROL[[#This Row],[VEHIDCODE]],"_")</f>
        <v>Coach_Gen1_Clerestory_Compartment_Coach</v>
      </c>
      <c r="C722" t="s">
        <v>736</v>
      </c>
      <c r="D722" t="s">
        <v>952</v>
      </c>
      <c r="E722">
        <v>11003</v>
      </c>
      <c r="F722" s="45" t="s">
        <v>1641</v>
      </c>
      <c r="G722" t="s">
        <v>1740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759</v>
      </c>
      <c r="B723" s="31" t="str">
        <f>_xlfn.TEXTAFTER(CONTROL[[#This Row],[VEHIDCODE]],"_")</f>
        <v>Coach_Gen1_Clerestory_Regional_Coach</v>
      </c>
      <c r="C723" t="s">
        <v>736</v>
      </c>
      <c r="D723" t="s">
        <v>952</v>
      </c>
      <c r="E723">
        <v>11004</v>
      </c>
      <c r="F723" s="45" t="s">
        <v>1642</v>
      </c>
      <c r="G723" t="s">
        <v>1740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760</v>
      </c>
      <c r="B724" s="31" t="str">
        <f>_xlfn.TEXTAFTER(CONTROL[[#This Row],[VEHIDCODE]],"_")</f>
        <v>Coach_Gen1_Clerestory_Mail_Coach</v>
      </c>
      <c r="C724" t="s">
        <v>736</v>
      </c>
      <c r="D724" t="s">
        <v>952</v>
      </c>
      <c r="E724">
        <v>11005</v>
      </c>
      <c r="F724" s="45" t="s">
        <v>1643</v>
      </c>
      <c r="G724" t="s">
        <v>1740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761</v>
      </c>
      <c r="B725" s="31" t="str">
        <f>_xlfn.TEXTAFTER(CONTROL[[#This Row],[VEHIDCODE]],"_")</f>
        <v>Coach_Gen1_Wooden_3_axle_Compartment_Coach</v>
      </c>
      <c r="C725" t="s">
        <v>736</v>
      </c>
      <c r="D725" t="s">
        <v>952</v>
      </c>
      <c r="E725">
        <v>11006</v>
      </c>
      <c r="F725" s="45" t="s">
        <v>1644</v>
      </c>
      <c r="G725" t="s">
        <v>1740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762</v>
      </c>
      <c r="B726" s="31" t="str">
        <f>_xlfn.TEXTAFTER(CONTROL[[#This Row],[VEHIDCODE]],"_")</f>
        <v>Coach_Gen1_Wooden_3_axle_Regional_Coach</v>
      </c>
      <c r="C726" t="s">
        <v>736</v>
      </c>
      <c r="D726" t="s">
        <v>952</v>
      </c>
      <c r="E726">
        <v>11007</v>
      </c>
      <c r="F726" s="45" t="s">
        <v>1645</v>
      </c>
      <c r="G726" t="s">
        <v>1740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763</v>
      </c>
      <c r="B727" s="31" t="str">
        <f>_xlfn.TEXTAFTER(CONTROL[[#This Row],[VEHIDCODE]],"_")</f>
        <v>Coach_Gen1_Wooden_3_axle_Mail_Coach</v>
      </c>
      <c r="C727" t="s">
        <v>736</v>
      </c>
      <c r="D727" t="s">
        <v>952</v>
      </c>
      <c r="E727">
        <v>11008</v>
      </c>
      <c r="F727" s="45" t="s">
        <v>1646</v>
      </c>
      <c r="G727" t="s">
        <v>1740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764</v>
      </c>
      <c r="B728" s="31" t="str">
        <f>_xlfn.TEXTAFTER(CONTROL[[#This Row],[VEHIDCODE]],"_")</f>
        <v>Coach_Gen2_Heavyweight_Intercity_Coach</v>
      </c>
      <c r="C728" t="s">
        <v>737</v>
      </c>
      <c r="D728" t="s">
        <v>952</v>
      </c>
      <c r="E728">
        <v>11009</v>
      </c>
      <c r="F728" s="45" t="s">
        <v>1647</v>
      </c>
      <c r="G728" t="s">
        <v>1740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765</v>
      </c>
      <c r="B729" s="31" t="str">
        <f>_xlfn.TEXTAFTER(CONTROL[[#This Row],[VEHIDCODE]],"_")</f>
        <v>Coach_Gen2_Heavyweight_Mail_Coach</v>
      </c>
      <c r="C729" t="s">
        <v>737</v>
      </c>
      <c r="D729" t="s">
        <v>952</v>
      </c>
      <c r="E729">
        <v>11010</v>
      </c>
      <c r="F729" s="45" t="s">
        <v>1648</v>
      </c>
      <c r="G729" t="s">
        <v>1740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766</v>
      </c>
      <c r="B730" s="31" t="str">
        <f>_xlfn.TEXTAFTER(CONTROL[[#This Row],[VEHIDCODE]],"_")</f>
        <v>Coach_Gen2_Steel_Intercity_Coach</v>
      </c>
      <c r="C730" t="s">
        <v>737</v>
      </c>
      <c r="D730" t="s">
        <v>952</v>
      </c>
      <c r="E730">
        <v>11011</v>
      </c>
      <c r="F730" s="45" t="s">
        <v>1649</v>
      </c>
      <c r="G730" t="s">
        <v>1740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767</v>
      </c>
      <c r="B731" s="31" t="str">
        <f>_xlfn.TEXTAFTER(CONTROL[[#This Row],[VEHIDCODE]],"_")</f>
        <v>Coach_Gen2_Steel_Compartment_Coach</v>
      </c>
      <c r="C731" t="s">
        <v>737</v>
      </c>
      <c r="D731" t="s">
        <v>952</v>
      </c>
      <c r="E731">
        <v>11012</v>
      </c>
      <c r="F731" s="45" t="s">
        <v>1650</v>
      </c>
      <c r="G731" t="s">
        <v>1740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768</v>
      </c>
      <c r="B732" s="31" t="str">
        <f>_xlfn.TEXTAFTER(CONTROL[[#This Row],[VEHIDCODE]],"_")</f>
        <v>Coach_Gen2_Steel_Regional_Coach</v>
      </c>
      <c r="C732" t="s">
        <v>737</v>
      </c>
      <c r="D732" t="s">
        <v>952</v>
      </c>
      <c r="E732">
        <v>11013</v>
      </c>
      <c r="F732" s="45" t="s">
        <v>1651</v>
      </c>
      <c r="G732" t="s">
        <v>1740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769</v>
      </c>
      <c r="B733" s="31" t="str">
        <f>_xlfn.TEXTAFTER(CONTROL[[#This Row],[VEHIDCODE]],"_")</f>
        <v>Coach_Gen2_Steel_Mail_Coach</v>
      </c>
      <c r="C733" t="s">
        <v>737</v>
      </c>
      <c r="D733" t="s">
        <v>952</v>
      </c>
      <c r="E733">
        <v>11014</v>
      </c>
      <c r="F733" s="45" t="s">
        <v>1652</v>
      </c>
      <c r="G733" t="s">
        <v>1740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770</v>
      </c>
      <c r="B734" s="31" t="str">
        <f>_xlfn.TEXTAFTER(CONTROL[[#This Row],[VEHIDCODE]],"_")</f>
        <v>Coach_Gen2_Steel_2_axle_Compartment_Coach</v>
      </c>
      <c r="C734" t="s">
        <v>737</v>
      </c>
      <c r="D734" t="s">
        <v>952</v>
      </c>
      <c r="E734">
        <v>11015</v>
      </c>
      <c r="F734" s="45" t="s">
        <v>1653</v>
      </c>
      <c r="G734" t="s">
        <v>1740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771</v>
      </c>
      <c r="B735" s="31" t="str">
        <f>_xlfn.TEXTAFTER(CONTROL[[#This Row],[VEHIDCODE]],"_")</f>
        <v>Coach_Gen2_Steel_2_axle_Regional_Coach</v>
      </c>
      <c r="C735" t="s">
        <v>737</v>
      </c>
      <c r="D735" t="s">
        <v>952</v>
      </c>
      <c r="E735">
        <v>11016</v>
      </c>
      <c r="F735" s="45" t="s">
        <v>1654</v>
      </c>
      <c r="G735" t="s">
        <v>1740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772</v>
      </c>
      <c r="B736" s="31" t="str">
        <f>_xlfn.TEXTAFTER(CONTROL[[#This Row],[VEHIDCODE]],"_")</f>
        <v>Coach_Gen2_Steel_2_axle_Mail_Coach</v>
      </c>
      <c r="C736" t="s">
        <v>737</v>
      </c>
      <c r="D736" t="s">
        <v>952</v>
      </c>
      <c r="E736">
        <v>11017</v>
      </c>
      <c r="F736" s="45" t="s">
        <v>1655</v>
      </c>
      <c r="G736" t="s">
        <v>1740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773</v>
      </c>
      <c r="B737" s="31" t="str">
        <f>_xlfn.TEXTAFTER(CONTROL[[#This Row],[VEHIDCODE]],"_")</f>
        <v>Coach_Gen2_Steel_3_axle_Compartment_Coach</v>
      </c>
      <c r="C737" t="s">
        <v>737</v>
      </c>
      <c r="D737" t="s">
        <v>952</v>
      </c>
      <c r="E737">
        <v>11018</v>
      </c>
      <c r="F737" s="45" t="s">
        <v>1656</v>
      </c>
      <c r="G737" t="s">
        <v>1740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774</v>
      </c>
      <c r="B738" s="31" t="str">
        <f>_xlfn.TEXTAFTER(CONTROL[[#This Row],[VEHIDCODE]],"_")</f>
        <v>Coach_Gen2_Steel_3_axle_Regional_Coach</v>
      </c>
      <c r="C738" t="s">
        <v>737</v>
      </c>
      <c r="D738" t="s">
        <v>952</v>
      </c>
      <c r="E738">
        <v>11019</v>
      </c>
      <c r="F738" s="45" t="s">
        <v>1657</v>
      </c>
      <c r="G738" t="s">
        <v>1740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775</v>
      </c>
      <c r="B739" s="31" t="str">
        <f>_xlfn.TEXTAFTER(CONTROL[[#This Row],[VEHIDCODE]],"_")</f>
        <v>Coach_Gen2_Steel_3_axle_Mail_Coach</v>
      </c>
      <c r="C739" t="s">
        <v>737</v>
      </c>
      <c r="D739" t="s">
        <v>952</v>
      </c>
      <c r="E739">
        <v>11020</v>
      </c>
      <c r="F739" s="45" t="s">
        <v>1658</v>
      </c>
      <c r="G739" t="s">
        <v>1740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776</v>
      </c>
      <c r="B740" s="31" t="str">
        <f>_xlfn.TEXTAFTER(CONTROL[[#This Row],[VEHIDCODE]],"_")</f>
        <v>Coach_Gen3_Steel_Lightweight_Intercity_Coach</v>
      </c>
      <c r="C740" t="s">
        <v>738</v>
      </c>
      <c r="D740" t="s">
        <v>952</v>
      </c>
      <c r="E740">
        <v>11021</v>
      </c>
      <c r="F740" s="45" t="s">
        <v>1659</v>
      </c>
      <c r="G740" t="s">
        <v>1740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777</v>
      </c>
      <c r="B741" s="31" t="str">
        <f>_xlfn.TEXTAFTER(CONTROL[[#This Row],[VEHIDCODE]],"_")</f>
        <v>Coach_Gen3_Steel_Lightweight_Regional_Coach</v>
      </c>
      <c r="C741" t="s">
        <v>738</v>
      </c>
      <c r="D741" t="s">
        <v>952</v>
      </c>
      <c r="E741">
        <v>11022</v>
      </c>
      <c r="F741" s="45" t="s">
        <v>1660</v>
      </c>
      <c r="G741" t="s">
        <v>1740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778</v>
      </c>
      <c r="B742" s="31" t="str">
        <f>_xlfn.TEXTAFTER(CONTROL[[#This Row],[VEHIDCODE]],"_")</f>
        <v>Coach_Gen3_Steel_Lightweight_Mail_Coach</v>
      </c>
      <c r="C742" t="s">
        <v>738</v>
      </c>
      <c r="D742" t="s">
        <v>952</v>
      </c>
      <c r="E742">
        <v>11023</v>
      </c>
      <c r="F742" s="45" t="s">
        <v>1661</v>
      </c>
      <c r="G742" t="s">
        <v>1740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779</v>
      </c>
      <c r="B743" s="31" t="str">
        <f>_xlfn.TEXTAFTER(CONTROL[[#This Row],[VEHIDCODE]],"_")</f>
        <v>Coach_Gen3_Aluminium_Lightweight_Intercity_Coach</v>
      </c>
      <c r="C743" t="s">
        <v>738</v>
      </c>
      <c r="D743" t="s">
        <v>952</v>
      </c>
      <c r="E743">
        <v>11024</v>
      </c>
      <c r="F743" s="45" t="s">
        <v>1662</v>
      </c>
      <c r="G743" t="s">
        <v>1740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780</v>
      </c>
      <c r="B744" s="31" t="str">
        <f>_xlfn.TEXTAFTER(CONTROL[[#This Row],[VEHIDCODE]],"_")</f>
        <v>Coach_Gen3_Aluminium_Lightweight_Regional_Coach</v>
      </c>
      <c r="C744" t="s">
        <v>738</v>
      </c>
      <c r="D744" t="s">
        <v>952</v>
      </c>
      <c r="E744">
        <v>11025</v>
      </c>
      <c r="F744" s="45" t="s">
        <v>1663</v>
      </c>
      <c r="G744" t="s">
        <v>1740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781</v>
      </c>
      <c r="B745" s="31" t="str">
        <f>_xlfn.TEXTAFTER(CONTROL[[#This Row],[VEHIDCODE]],"_")</f>
        <v>Coach_Gen3_Aluminium_Lightweight_Mail_Coach</v>
      </c>
      <c r="C745" t="s">
        <v>738</v>
      </c>
      <c r="D745" t="s">
        <v>952</v>
      </c>
      <c r="E745">
        <v>11026</v>
      </c>
      <c r="F745" s="45" t="s">
        <v>1664</v>
      </c>
      <c r="G745" t="s">
        <v>1740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782</v>
      </c>
      <c r="B746" s="31" t="str">
        <f>_xlfn.TEXTAFTER(CONTROL[[#This Row],[VEHIDCODE]],"_")</f>
        <v>Coach_Gen3_Gallery_Car</v>
      </c>
      <c r="C746" t="s">
        <v>738</v>
      </c>
      <c r="D746" t="s">
        <v>952</v>
      </c>
      <c r="E746">
        <v>11027</v>
      </c>
      <c r="F746" s="45" t="s">
        <v>1665</v>
      </c>
      <c r="G746" t="s">
        <v>1740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783</v>
      </c>
      <c r="B747" s="31" t="str">
        <f>_xlfn.TEXTAFTER(CONTROL[[#This Row],[VEHIDCODE]],"_")</f>
        <v>Coach_Gen3_Mk1_Intercity_Coach</v>
      </c>
      <c r="C747" t="s">
        <v>738</v>
      </c>
      <c r="D747" t="s">
        <v>952</v>
      </c>
      <c r="E747">
        <v>11028</v>
      </c>
      <c r="F747" s="45" t="s">
        <v>1666</v>
      </c>
      <c r="G747" t="s">
        <v>1740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784</v>
      </c>
      <c r="B748" s="31" t="str">
        <f>_xlfn.TEXTAFTER(CONTROL[[#This Row],[VEHIDCODE]],"_")</f>
        <v>Coach_Gen3_Mk1_Regional_Coach</v>
      </c>
      <c r="C748" t="s">
        <v>738</v>
      </c>
      <c r="D748" t="s">
        <v>952</v>
      </c>
      <c r="E748">
        <v>11029</v>
      </c>
      <c r="F748" s="45" t="s">
        <v>1667</v>
      </c>
      <c r="G748" t="s">
        <v>1740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785</v>
      </c>
      <c r="B749" s="31" t="str">
        <f>_xlfn.TEXTAFTER(CONTROL[[#This Row],[VEHIDCODE]],"_")</f>
        <v>Coach_Gen3_Mk1_Mail_Coach</v>
      </c>
      <c r="C749" t="s">
        <v>738</v>
      </c>
      <c r="D749" t="s">
        <v>952</v>
      </c>
      <c r="E749">
        <v>11030</v>
      </c>
      <c r="F749" s="45" t="s">
        <v>1668</v>
      </c>
      <c r="G749" t="s">
        <v>1740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786</v>
      </c>
      <c r="B750" s="31" t="str">
        <f>_xlfn.TEXTAFTER(CONTROL[[#This Row],[VEHIDCODE]],"_")</f>
        <v>Coach_Gen3_UIC_X_Intercity_Coach</v>
      </c>
      <c r="C750" t="s">
        <v>738</v>
      </c>
      <c r="D750" t="s">
        <v>952</v>
      </c>
      <c r="E750">
        <v>11031</v>
      </c>
      <c r="F750" s="45" t="s">
        <v>1669</v>
      </c>
      <c r="G750" t="s">
        <v>1740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787</v>
      </c>
      <c r="B751" s="31" t="str">
        <f>_xlfn.TEXTAFTER(CONTROL[[#This Row],[VEHIDCODE]],"_")</f>
        <v>Coach_Gen3_TEE_Intercity_Coach</v>
      </c>
      <c r="C751" t="s">
        <v>738</v>
      </c>
      <c r="D751" t="s">
        <v>952</v>
      </c>
      <c r="E751">
        <v>11032</v>
      </c>
      <c r="F751" s="45" t="s">
        <v>1670</v>
      </c>
      <c r="G751" t="s">
        <v>1740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788</v>
      </c>
      <c r="B752" s="31" t="str">
        <f>_xlfn.TEXTAFTER(CONTROL[[#This Row],[VEHIDCODE]],"_")</f>
        <v>Coach_Gen3_UIC_X_Regional_Coach</v>
      </c>
      <c r="C752" t="s">
        <v>738</v>
      </c>
      <c r="D752" t="s">
        <v>952</v>
      </c>
      <c r="E752">
        <v>11033</v>
      </c>
      <c r="F752" s="45" t="s">
        <v>1671</v>
      </c>
      <c r="G752" t="s">
        <v>1740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789</v>
      </c>
      <c r="B753" s="31" t="str">
        <f>_xlfn.TEXTAFTER(CONTROL[[#This Row],[VEHIDCODE]],"_")</f>
        <v>Coach_Gen3_Umbauwagen_Local_Coach</v>
      </c>
      <c r="C753" t="s">
        <v>738</v>
      </c>
      <c r="D753" t="s">
        <v>952</v>
      </c>
      <c r="E753">
        <v>11034</v>
      </c>
      <c r="F753" s="45" t="s">
        <v>1672</v>
      </c>
      <c r="G753" t="s">
        <v>1740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790</v>
      </c>
      <c r="B754" s="31" t="str">
        <f>_xlfn.TEXTAFTER(CONTROL[[#This Row],[VEHIDCODE]],"_")</f>
        <v>Coach_Gen3_Doppelstockwagen_Local_Coach</v>
      </c>
      <c r="C754" t="s">
        <v>738</v>
      </c>
      <c r="D754" t="s">
        <v>952</v>
      </c>
      <c r="E754">
        <v>11035</v>
      </c>
      <c r="F754" s="45" t="s">
        <v>1673</v>
      </c>
      <c r="G754" t="s">
        <v>1740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791</v>
      </c>
      <c r="B755" s="31" t="str">
        <f>_xlfn.TEXTAFTER(CONTROL[[#This Row],[VEHIDCODE]],"_")</f>
        <v>Coach_Gen3_UIC_X_Mail_Coach</v>
      </c>
      <c r="C755" t="s">
        <v>738</v>
      </c>
      <c r="D755" t="s">
        <v>952</v>
      </c>
      <c r="E755">
        <v>11036</v>
      </c>
      <c r="F755" s="45" t="s">
        <v>1674</v>
      </c>
      <c r="G755" t="s">
        <v>1740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792</v>
      </c>
      <c r="B756" s="31" t="str">
        <f>_xlfn.TEXTAFTER(CONTROL[[#This Row],[VEHIDCODE]],"_")</f>
        <v>Coach_Gen3_Indian_Intercity_Coach</v>
      </c>
      <c r="C756" t="s">
        <v>738</v>
      </c>
      <c r="D756" t="s">
        <v>952</v>
      </c>
      <c r="E756">
        <v>11037</v>
      </c>
      <c r="F756" s="45" t="s">
        <v>1675</v>
      </c>
      <c r="G756" t="s">
        <v>1740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793</v>
      </c>
      <c r="B757" s="31" t="str">
        <f>_xlfn.TEXTAFTER(CONTROL[[#This Row],[VEHIDCODE]],"_")</f>
        <v>Coach_Gen3_Indian_Local_Coach</v>
      </c>
      <c r="C757" t="s">
        <v>738</v>
      </c>
      <c r="D757" t="s">
        <v>952</v>
      </c>
      <c r="E757">
        <v>11038</v>
      </c>
      <c r="F757" s="45" t="s">
        <v>1676</v>
      </c>
      <c r="G757" t="s">
        <v>1740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794</v>
      </c>
      <c r="B758" s="31" t="str">
        <f>_xlfn.TEXTAFTER(CONTROL[[#This Row],[VEHIDCODE]],"_")</f>
        <v>Coach_Gen3_Indian_Regional_Coach</v>
      </c>
      <c r="C758" t="s">
        <v>738</v>
      </c>
      <c r="D758" t="s">
        <v>952</v>
      </c>
      <c r="E758">
        <v>11039</v>
      </c>
      <c r="F758" s="45" t="s">
        <v>1677</v>
      </c>
      <c r="G758" t="s">
        <v>1740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795</v>
      </c>
      <c r="B759" s="31" t="str">
        <f>_xlfn.TEXTAFTER(CONTROL[[#This Row],[VEHIDCODE]],"_")</f>
        <v>Coach_Gen3_Indian_Mail_Coach</v>
      </c>
      <c r="C759" t="s">
        <v>738</v>
      </c>
      <c r="D759" t="s">
        <v>952</v>
      </c>
      <c r="E759">
        <v>11040</v>
      </c>
      <c r="F759" s="45" t="s">
        <v>1678</v>
      </c>
      <c r="G759" t="s">
        <v>1740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796</v>
      </c>
      <c r="B760" s="31" t="str">
        <f>_xlfn.TEXTAFTER(CONTROL[[#This Row],[VEHIDCODE]],"_")</f>
        <v>Coach_Gen4_Eurofima_Intercity_Coach</v>
      </c>
      <c r="C760" t="s">
        <v>739</v>
      </c>
      <c r="D760" t="s">
        <v>952</v>
      </c>
      <c r="E760">
        <v>11041</v>
      </c>
      <c r="F760" s="45" t="s">
        <v>1679</v>
      </c>
      <c r="G760" t="s">
        <v>1740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797</v>
      </c>
      <c r="B761" s="31" t="str">
        <f>_xlfn.TEXTAFTER(CONTROL[[#This Row],[VEHIDCODE]],"_")</f>
        <v>Coach_Gen4_InterRegio_Coach</v>
      </c>
      <c r="C761" t="s">
        <v>739</v>
      </c>
      <c r="D761" t="s">
        <v>952</v>
      </c>
      <c r="E761">
        <v>11042</v>
      </c>
      <c r="F761" s="45" t="s">
        <v>1680</v>
      </c>
      <c r="G761" t="s">
        <v>1740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798</v>
      </c>
      <c r="B762" s="31" t="str">
        <f>_xlfn.TEXTAFTER(CONTROL[[#This Row],[VEHIDCODE]],"_")</f>
        <v>Coach_Gen4_Silberling_Commuter_Coach</v>
      </c>
      <c r="C762" t="s">
        <v>739</v>
      </c>
      <c r="D762" t="s">
        <v>952</v>
      </c>
      <c r="E762">
        <v>11043</v>
      </c>
      <c r="F762" s="45" t="s">
        <v>1681</v>
      </c>
      <c r="G762" t="s">
        <v>1740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799</v>
      </c>
      <c r="B763" s="31" t="str">
        <f>_xlfn.TEXTAFTER(CONTROL[[#This Row],[VEHIDCODE]],"_")</f>
        <v>Coach_Gen4_Eurofima_Mail_Coach</v>
      </c>
      <c r="C763" t="s">
        <v>739</v>
      </c>
      <c r="D763" t="s">
        <v>952</v>
      </c>
      <c r="E763">
        <v>11044</v>
      </c>
      <c r="F763" s="45" t="s">
        <v>1682</v>
      </c>
      <c r="G763" t="s">
        <v>1740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800</v>
      </c>
      <c r="B764" s="31" t="str">
        <f>_xlfn.TEXTAFTER(CONTROL[[#This Row],[VEHIDCODE]],"_")</f>
        <v>Coach_Gen4_Double_Decker_Coach</v>
      </c>
      <c r="C764" t="s">
        <v>739</v>
      </c>
      <c r="D764" t="s">
        <v>952</v>
      </c>
      <c r="E764">
        <v>11045</v>
      </c>
      <c r="F764" s="45" t="s">
        <v>1683</v>
      </c>
      <c r="G764" t="s">
        <v>1740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801</v>
      </c>
      <c r="B765" s="31" t="str">
        <f>_xlfn.TEXTAFTER(CONTROL[[#This Row],[VEHIDCODE]],"_")</f>
        <v>Coach_Gen4_Russian_Intercity_Coach</v>
      </c>
      <c r="C765" t="s">
        <v>739</v>
      </c>
      <c r="D765" t="s">
        <v>952</v>
      </c>
      <c r="E765">
        <v>11046</v>
      </c>
      <c r="F765" s="45" t="s">
        <v>1684</v>
      </c>
      <c r="G765" t="s">
        <v>1740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802</v>
      </c>
      <c r="B766" s="31" t="str">
        <f>_xlfn.TEXTAFTER(CONTROL[[#This Row],[VEHIDCODE]],"_")</f>
        <v>Coach_Gen4_Russian_Regional_Coach</v>
      </c>
      <c r="C766" t="s">
        <v>739</v>
      </c>
      <c r="D766" t="s">
        <v>952</v>
      </c>
      <c r="E766">
        <v>11047</v>
      </c>
      <c r="F766" s="45" t="s">
        <v>1685</v>
      </c>
      <c r="G766" t="s">
        <v>1740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803</v>
      </c>
      <c r="B767" s="31" t="str">
        <f>_xlfn.TEXTAFTER(CONTROL[[#This Row],[VEHIDCODE]],"_")</f>
        <v>Coach_Gen4_Russian_Mail_Coach</v>
      </c>
      <c r="C767" t="s">
        <v>739</v>
      </c>
      <c r="D767" t="s">
        <v>952</v>
      </c>
      <c r="E767">
        <v>11048</v>
      </c>
      <c r="F767" s="45" t="s">
        <v>1686</v>
      </c>
      <c r="G767" t="s">
        <v>1740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804</v>
      </c>
      <c r="B768" s="31" t="str">
        <f>_xlfn.TEXTAFTER(CONTROL[[#This Row],[VEHIDCODE]],"_")</f>
        <v>Coach_Gen4_Superliner_Coach</v>
      </c>
      <c r="C768" t="s">
        <v>739</v>
      </c>
      <c r="D768" t="s">
        <v>952</v>
      </c>
      <c r="E768">
        <v>11049</v>
      </c>
      <c r="F768" s="45" t="s">
        <v>1687</v>
      </c>
      <c r="G768" t="s">
        <v>1740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805</v>
      </c>
      <c r="B769" s="31" t="str">
        <f>_xlfn.TEXTAFTER(CONTROL[[#This Row],[VEHIDCODE]],"_")</f>
        <v>Coach_Gen4_Superliner_California</v>
      </c>
      <c r="C769" t="s">
        <v>739</v>
      </c>
      <c r="D769" t="s">
        <v>952</v>
      </c>
      <c r="E769">
        <v>11050</v>
      </c>
      <c r="F769" s="45" t="s">
        <v>1688</v>
      </c>
      <c r="G769" t="s">
        <v>1740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806</v>
      </c>
      <c r="B770" s="31" t="str">
        <f>_xlfn.TEXTAFTER(CONTROL[[#This Row],[VEHIDCODE]],"_")</f>
        <v>Coach_Gen4_Amfleet_Regional_Coach</v>
      </c>
      <c r="C770" t="s">
        <v>739</v>
      </c>
      <c r="D770" t="s">
        <v>952</v>
      </c>
      <c r="E770">
        <v>11051</v>
      </c>
      <c r="F770" s="45" t="s">
        <v>1689</v>
      </c>
      <c r="G770" t="s">
        <v>1740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807</v>
      </c>
      <c r="B771" s="31" t="str">
        <f>_xlfn.TEXTAFTER(CONTROL[[#This Row],[VEHIDCODE]],"_")</f>
        <v>Coach_Gen4_Amfleet_Intercity_Coach</v>
      </c>
      <c r="C771" t="s">
        <v>739</v>
      </c>
      <c r="D771" t="s">
        <v>952</v>
      </c>
      <c r="E771">
        <v>11052</v>
      </c>
      <c r="F771" s="45" t="s">
        <v>1690</v>
      </c>
      <c r="G771" t="s">
        <v>1740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808</v>
      </c>
      <c r="B772" s="31" t="str">
        <f>_xlfn.TEXTAFTER(CONTROL[[#This Row],[VEHIDCODE]],"_")</f>
        <v>Coach_Gen4_Comet_Commuter_Coach</v>
      </c>
      <c r="C772" t="s">
        <v>739</v>
      </c>
      <c r="D772" t="s">
        <v>952</v>
      </c>
      <c r="E772">
        <v>11053</v>
      </c>
      <c r="F772" s="45" t="s">
        <v>1691</v>
      </c>
      <c r="G772" t="s">
        <v>1740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809</v>
      </c>
      <c r="B773" s="31" t="str">
        <f>_xlfn.TEXTAFTER(CONTROL[[#This Row],[VEHIDCODE]],"_")</f>
        <v>Coach_Gen4_Horizon_Regional_Coach</v>
      </c>
      <c r="C773" t="s">
        <v>739</v>
      </c>
      <c r="D773" t="s">
        <v>952</v>
      </c>
      <c r="E773">
        <v>11054</v>
      </c>
      <c r="F773" s="45" t="s">
        <v>1692</v>
      </c>
      <c r="G773" t="s">
        <v>1740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810</v>
      </c>
      <c r="B774" s="31" t="str">
        <f>_xlfn.TEXTAFTER(CONTROL[[#This Row],[VEHIDCODE]],"_")</f>
        <v>Coach_Gen4_Horizon_Baggage_Coach</v>
      </c>
      <c r="C774" t="s">
        <v>739</v>
      </c>
      <c r="D774" t="s">
        <v>952</v>
      </c>
      <c r="E774">
        <v>11055</v>
      </c>
      <c r="F774" s="45" t="s">
        <v>1693</v>
      </c>
      <c r="G774" t="s">
        <v>1740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811</v>
      </c>
      <c r="B775" s="31" t="str">
        <f>_xlfn.TEXTAFTER(CONTROL[[#This Row],[VEHIDCODE]],"_")</f>
        <v>Coach_Gen4_Bombardier_Bi_level</v>
      </c>
      <c r="C775" t="s">
        <v>739</v>
      </c>
      <c r="D775" t="s">
        <v>952</v>
      </c>
      <c r="E775">
        <v>11056</v>
      </c>
      <c r="F775" s="45" t="s">
        <v>1694</v>
      </c>
      <c r="G775" t="s">
        <v>1740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812</v>
      </c>
      <c r="B776" s="31" t="str">
        <f>_xlfn.TEXTAFTER(CONTROL[[#This Row],[VEHIDCODE]],"_")</f>
        <v>Coach_Gen5_High_Speed_Coach</v>
      </c>
      <c r="C776" t="s">
        <v>740</v>
      </c>
      <c r="D776" t="s">
        <v>952</v>
      </c>
      <c r="E776">
        <v>11057</v>
      </c>
      <c r="F776" s="45" t="s">
        <v>1695</v>
      </c>
      <c r="G776" t="s">
        <v>1740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813</v>
      </c>
      <c r="B777" s="31" t="str">
        <f>_xlfn.TEXTAFTER(CONTROL[[#This Row],[VEHIDCODE]],"_")</f>
        <v>Coach_Gen5_Modern_Regional_Coach</v>
      </c>
      <c r="C777" t="s">
        <v>740</v>
      </c>
      <c r="D777" t="s">
        <v>952</v>
      </c>
      <c r="E777">
        <v>11058</v>
      </c>
      <c r="F777" s="45" t="s">
        <v>1696</v>
      </c>
      <c r="G777" t="s">
        <v>1740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814</v>
      </c>
      <c r="B778" s="31" t="str">
        <f>_xlfn.TEXTAFTER(CONTROL[[#This Row],[VEHIDCODE]],"_")</f>
        <v>Coach_Gen5_Modern_Commuter_Coach</v>
      </c>
      <c r="C778" t="s">
        <v>740</v>
      </c>
      <c r="D778" t="s">
        <v>952</v>
      </c>
      <c r="E778">
        <v>11059</v>
      </c>
      <c r="F778" s="45" t="s">
        <v>1697</v>
      </c>
      <c r="G778" t="s">
        <v>1740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815</v>
      </c>
      <c r="B779" s="31" t="str">
        <f>_xlfn.TEXTAFTER(CONTROL[[#This Row],[VEHIDCODE]],"_")</f>
        <v>Coach_Gen5_Modern_Double_Decker_Coach</v>
      </c>
      <c r="C779" t="s">
        <v>740</v>
      </c>
      <c r="D779" t="s">
        <v>952</v>
      </c>
      <c r="E779">
        <v>11060</v>
      </c>
      <c r="F779" s="45" t="s">
        <v>1698</v>
      </c>
      <c r="G779" t="s">
        <v>1740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816</v>
      </c>
      <c r="B780" s="31" t="str">
        <f>_xlfn.TEXTAFTER(CONTROL[[#This Row],[VEHIDCODE]],"_")</f>
        <v>Coach_Gen5_High_Speed_Double_Decker_IC2000</v>
      </c>
      <c r="C780" t="s">
        <v>740</v>
      </c>
      <c r="D780" t="s">
        <v>952</v>
      </c>
      <c r="E780">
        <v>11061</v>
      </c>
      <c r="F780" s="45" t="s">
        <v>1699</v>
      </c>
      <c r="G780" t="s">
        <v>1740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817</v>
      </c>
      <c r="B781" s="31" t="str">
        <f>_xlfn.TEXTAFTER(CONTROL[[#This Row],[VEHIDCODE]],"_")</f>
        <v>Coach_Gen5_High_Speed_Mail_Coach</v>
      </c>
      <c r="C781" t="s">
        <v>740</v>
      </c>
      <c r="D781" t="s">
        <v>952</v>
      </c>
      <c r="E781">
        <v>11062</v>
      </c>
      <c r="F781" s="45" t="s">
        <v>1700</v>
      </c>
      <c r="G781" t="s">
        <v>1740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818</v>
      </c>
      <c r="B782" s="31" t="str">
        <f>_xlfn.TEXTAFTER(CONTROL[[#This Row],[VEHIDCODE]],"_")</f>
        <v>Coach_Gen5_Talgo_Pendular</v>
      </c>
      <c r="C782" t="s">
        <v>740</v>
      </c>
      <c r="D782" t="s">
        <v>952</v>
      </c>
      <c r="E782">
        <v>11063</v>
      </c>
      <c r="F782" s="45" t="s">
        <v>1701</v>
      </c>
      <c r="G782" t="s">
        <v>1740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819</v>
      </c>
      <c r="B783" s="31" t="str">
        <f>_xlfn.TEXTAFTER(CONTROL[[#This Row],[VEHIDCODE]],"_")</f>
        <v>Coach_Gen5_Talgo_Pendular_Mail</v>
      </c>
      <c r="C783" t="s">
        <v>740</v>
      </c>
      <c r="D783" t="s">
        <v>952</v>
      </c>
      <c r="E783">
        <v>11064</v>
      </c>
      <c r="F783" s="45" t="s">
        <v>1702</v>
      </c>
      <c r="G783" t="s">
        <v>1740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820</v>
      </c>
      <c r="B784" s="31" t="str">
        <f>_xlfn.TEXTAFTER(CONTROL[[#This Row],[VEHIDCODE]],"_")</f>
        <v>Coach_Gen6_Grand_Voyager_Coach</v>
      </c>
      <c r="C784" t="s">
        <v>741</v>
      </c>
      <c r="D784" t="s">
        <v>952</v>
      </c>
      <c r="E784">
        <v>11065</v>
      </c>
      <c r="F784" s="45" t="s">
        <v>1703</v>
      </c>
      <c r="G784" t="s">
        <v>1740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821</v>
      </c>
      <c r="B785" s="31" t="str">
        <f>_xlfn.TEXTAFTER(CONTROL[[#This Row],[VEHIDCODE]],"_")</f>
        <v>Coach_Gen6_Grand_Regio_Coach</v>
      </c>
      <c r="C785" t="s">
        <v>741</v>
      </c>
      <c r="D785" t="s">
        <v>952</v>
      </c>
      <c r="E785">
        <v>11066</v>
      </c>
      <c r="F785" s="45" t="s">
        <v>1704</v>
      </c>
      <c r="G785" t="s">
        <v>1740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822</v>
      </c>
      <c r="B786" s="31" t="str">
        <f>_xlfn.TEXTAFTER(CONTROL[[#This Row],[VEHIDCODE]],"_")</f>
        <v>Coach_Gen6_Metropolis_Coach</v>
      </c>
      <c r="C786" t="s">
        <v>741</v>
      </c>
      <c r="D786" t="s">
        <v>952</v>
      </c>
      <c r="E786">
        <v>11067</v>
      </c>
      <c r="F786" s="45" t="s">
        <v>1705</v>
      </c>
      <c r="G786" t="s">
        <v>1740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823</v>
      </c>
      <c r="B787" s="31" t="str">
        <f>_xlfn.TEXTAFTER(CONTROL[[#This Row],[VEHIDCODE]],"_")</f>
        <v>Coach_Gen6_Speedmail_Coach</v>
      </c>
      <c r="C787" t="s">
        <v>741</v>
      </c>
      <c r="D787" t="s">
        <v>952</v>
      </c>
      <c r="E787">
        <v>11068</v>
      </c>
      <c r="F787" s="45" t="s">
        <v>1706</v>
      </c>
      <c r="G787" t="s">
        <v>1740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824</v>
      </c>
      <c r="B788" s="31" t="str">
        <f>_xlfn.TEXTAFTER(CONTROL[[#This Row],[VEHIDCODE]],"_")</f>
        <v>Coach_Gen6_Super_Regio_Coach</v>
      </c>
      <c r="C788" t="s">
        <v>741</v>
      </c>
      <c r="D788" t="s">
        <v>952</v>
      </c>
      <c r="E788">
        <v>11069</v>
      </c>
      <c r="F788" s="45" t="s">
        <v>1707</v>
      </c>
      <c r="G788" t="s">
        <v>1740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825</v>
      </c>
      <c r="B789" s="31" t="str">
        <f>_xlfn.TEXTAFTER(CONTROL[[#This Row],[VEHIDCODE]],"_")</f>
        <v>Coach_Gen6_Super_Voyager_Coach</v>
      </c>
      <c r="C789" t="s">
        <v>741</v>
      </c>
      <c r="D789" t="s">
        <v>952</v>
      </c>
      <c r="E789">
        <v>11070</v>
      </c>
      <c r="F789" s="45" t="s">
        <v>1708</v>
      </c>
      <c r="G789" t="s">
        <v>1740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1744</v>
      </c>
      <c r="B790" s="31" t="str">
        <f>_xlfn.TEXTAFTER(CONTROL[[#This Row],[VEHIDCODE]],"_")</f>
        <v>Gabon_Alsthom_AD30B</v>
      </c>
      <c r="C790" t="s">
        <v>721</v>
      </c>
      <c r="D790" t="s">
        <v>940</v>
      </c>
      <c r="E790">
        <v>5134</v>
      </c>
      <c r="F790" s="45" t="s">
        <v>3103</v>
      </c>
      <c r="G790" t="s">
        <v>1740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1746</v>
      </c>
      <c r="B791" s="31" t="str">
        <f>_xlfn.TEXTAFTER(CONTROL[[#This Row],[VEHIDCODE]],"_")</f>
        <v>South_Africa_Katanga_Mikado_2_8_2</v>
      </c>
      <c r="C791" t="s">
        <v>720</v>
      </c>
      <c r="D791" t="s">
        <v>938</v>
      </c>
      <c r="E791">
        <v>4117</v>
      </c>
      <c r="F791" s="45" t="s">
        <v>1745</v>
      </c>
      <c r="G791" t="s">
        <v>2416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2795</v>
      </c>
      <c r="B792" s="31" t="str">
        <f>_xlfn.TEXTAFTER(CONTROL[[#This Row],[VEHIDCODE]],"_")</f>
        <v>Japan_JR_Freight_M250</v>
      </c>
      <c r="C792" t="s">
        <v>2793</v>
      </c>
      <c r="D792" t="s">
        <v>2790</v>
      </c>
      <c r="E792">
        <v>19000</v>
      </c>
      <c r="F792" s="45" t="s">
        <v>2794</v>
      </c>
      <c r="G792" t="s">
        <v>2873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2939</v>
      </c>
      <c r="B793" s="31" t="str">
        <f>_xlfn.TEXTAFTER(CONTROL[[#This Row],[VEHIDCODE]],"_")</f>
        <v>Gemany_Hessian_Ludwig_Railway_Type_Thomas</v>
      </c>
      <c r="C793" t="s">
        <v>717</v>
      </c>
      <c r="D793" t="s">
        <v>932</v>
      </c>
      <c r="E793">
        <f ca="1">_xlfn.MAXIFS(INDIRECT("E2:E"&amp;ROW()-1,TRUE),INDIRECT("D2:D"&amp;ROW()-1,TRUE),CONTROL[[#This Row],[VEHID_ID_CATEGORY]])+1</f>
        <v>1008</v>
      </c>
      <c r="F793" s="45" t="s">
        <v>3094</v>
      </c>
      <c r="G793" t="s">
        <v>2940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2941</v>
      </c>
      <c r="B794" s="31" t="str">
        <f>_xlfn.TEXTAFTER(CONTROL[[#This Row],[VEHIDCODE]],"_")</f>
        <v>Austria_NOLB_30_33</v>
      </c>
      <c r="C794" t="s">
        <v>717</v>
      </c>
      <c r="D794" t="s">
        <v>932</v>
      </c>
      <c r="E794">
        <f ca="1">_xlfn.MAXIFS(INDIRECT("E2:E"&amp;ROW()-1,TRUE),INDIRECT("D2:D"&amp;ROW()-1,TRUE),CONTROL[[#This Row],[VEHID_ID_CATEGORY]])+1</f>
        <v>1009</v>
      </c>
      <c r="F794" s="45" t="s">
        <v>3041</v>
      </c>
      <c r="G794" t="s">
        <v>2272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2943</v>
      </c>
      <c r="B795" s="31" t="str">
        <f>_xlfn.TEXTAFTER(CONTROL[[#This Row],[VEHIDCODE]],"_")</f>
        <v>Mozambique_Mozambique_Railways_No_101</v>
      </c>
      <c r="C795" t="s">
        <v>720</v>
      </c>
      <c r="D795" t="s">
        <v>938</v>
      </c>
      <c r="E795">
        <f ca="1">_xlfn.MAXIFS(INDIRECT("E2:E"&amp;ROW()-1,TRUE),INDIRECT("D2:D"&amp;ROW()-1,TRUE),CONTROL[[#This Row],[VEHID_ID_CATEGORY]])+1</f>
        <v>4118</v>
      </c>
      <c r="F795" s="45" t="s">
        <v>3098</v>
      </c>
      <c r="G795" t="s">
        <v>2942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2945</v>
      </c>
      <c r="B796" s="31" t="str">
        <f>_xlfn.TEXTAFTER(CONTROL[[#This Row],[VEHIDCODE]],"_")</f>
        <v>Ivory_Coast_Golwe_2_6_0_0_6_2T</v>
      </c>
      <c r="C796" t="s">
        <v>720</v>
      </c>
      <c r="D796" t="s">
        <v>938</v>
      </c>
      <c r="E796">
        <f ca="1">_xlfn.MAXIFS(INDIRECT("E2:E"&amp;ROW()-1,TRUE),INDIRECT("D2:D"&amp;ROW()-1,TRUE),CONTROL[[#This Row],[VEHID_ID_CATEGORY]])+1</f>
        <v>4119</v>
      </c>
      <c r="F796" s="45" t="s">
        <v>3101</v>
      </c>
      <c r="G796" t="s">
        <v>2944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2959</v>
      </c>
      <c r="B797" s="31" t="str">
        <f>_xlfn.TEXTAFTER(CONTROL[[#This Row],[VEHIDCODE]],"_")</f>
        <v>Ghana_Railway_Corporation_Class_TT12</v>
      </c>
      <c r="C797" t="s">
        <v>721</v>
      </c>
      <c r="D797" t="s">
        <v>940</v>
      </c>
      <c r="E797">
        <f ca="1">_xlfn.MAXIFS(INDIRECT("E2:E"&amp;ROW()-1,TRUE),INDIRECT("D2:D"&amp;ROW()-1,TRUE),CONTROL[[#This Row],[VEHID_ID_CATEGORY]])+1</f>
        <v>5135</v>
      </c>
      <c r="F797" s="45" t="s">
        <v>2957</v>
      </c>
      <c r="G797" t="s">
        <v>2958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2961</v>
      </c>
      <c r="B798" s="31" t="str">
        <f>_xlfn.TEXTAFTER(CONTROL[[#This Row],[VEHIDCODE]],"_")</f>
        <v>Sierra_Leone_LAMCO_301_Series</v>
      </c>
      <c r="C798" t="s">
        <v>721</v>
      </c>
      <c r="D798" t="s">
        <v>940</v>
      </c>
      <c r="E798">
        <f ca="1">_xlfn.MAXIFS(INDIRECT("E2:E"&amp;ROW()-1,TRUE),INDIRECT("D2:D"&amp;ROW()-1,TRUE),CONTROL[[#This Row],[VEHID_ID_CATEGORY]])+1</f>
        <v>5136</v>
      </c>
      <c r="F798" s="45" t="s">
        <v>2962</v>
      </c>
      <c r="G798" t="s">
        <v>2963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2964</v>
      </c>
      <c r="B799" s="31" t="str">
        <f>_xlfn.TEXTAFTER(CONTROL[[#This Row],[VEHIDCODE]],"_")</f>
        <v>Congo_Type_2450_Acec_Charleroi_Zaire_Electric</v>
      </c>
      <c r="C799" t="s">
        <v>722</v>
      </c>
      <c r="D799" t="s">
        <v>942</v>
      </c>
      <c r="E799">
        <f ca="1">_xlfn.MAXIFS(INDIRECT("E2:E"&amp;ROW()-1,TRUE),INDIRECT("D2:D"&amp;ROW()-1,TRUE),CONTROL[[#This Row],[VEHID_ID_CATEGORY]])+1</f>
        <v>6136</v>
      </c>
      <c r="F799" s="45" t="s">
        <v>2966</v>
      </c>
      <c r="G799" t="s">
        <v>2965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2967</v>
      </c>
      <c r="B800" s="31" t="str">
        <f>_xlfn.TEXTAFTER(CONTROL[[#This Row],[VEHIDCODE]],"_")</f>
        <v>Congo_Alstom_BB_BB</v>
      </c>
      <c r="C800" t="s">
        <v>721</v>
      </c>
      <c r="D800" t="s">
        <v>940</v>
      </c>
      <c r="E800">
        <f ca="1">_xlfn.MAXIFS(INDIRECT("E2:E"&amp;ROW()-1,TRUE),INDIRECT("D2:D"&amp;ROW()-1,TRUE),CONTROL[[#This Row],[VEHID_ID_CATEGORY]])+1</f>
        <v>5137</v>
      </c>
      <c r="F800" s="45" t="s">
        <v>3102</v>
      </c>
      <c r="G800" t="s">
        <v>2968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2969</v>
      </c>
      <c r="B801" s="31" t="str">
        <f>_xlfn.TEXTAFTER(CONTROL[[#This Row],[VEHIDCODE]],"_")</f>
        <v>Zimbabwe_Sorefame_DE8</v>
      </c>
      <c r="C801" t="s">
        <v>721</v>
      </c>
      <c r="D801" t="s">
        <v>940</v>
      </c>
      <c r="E801">
        <f ca="1">_xlfn.MAXIFS(INDIRECT("E2:E"&amp;ROW()-1,TRUE),INDIRECT("D2:D"&amp;ROW()-1,TRUE),CONTROL[[#This Row],[VEHID_ID_CATEGORY]])+1</f>
        <v>5138</v>
      </c>
      <c r="F801" s="45" t="s">
        <v>2970</v>
      </c>
      <c r="G801" t="s">
        <v>1740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2971</v>
      </c>
      <c r="B802" s="31" t="str">
        <f>_xlfn.TEXTAFTER(CONTROL[[#This Row],[VEHIDCODE]],"_")</f>
        <v>Ivory_Coast_GMD_GT22LC2</v>
      </c>
      <c r="C802" t="s">
        <v>721</v>
      </c>
      <c r="D802" t="s">
        <v>940</v>
      </c>
      <c r="E802">
        <f ca="1">_xlfn.MAXIFS(INDIRECT("E2:E"&amp;ROW()-1,TRUE),INDIRECT("D2:D"&amp;ROW()-1,TRUE),CONTROL[[#This Row],[VEHID_ID_CATEGORY]])+1</f>
        <v>5139</v>
      </c>
      <c r="F802" s="45" t="s">
        <v>3099</v>
      </c>
      <c r="G802" t="s">
        <v>2972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2973</v>
      </c>
      <c r="B803" s="31" t="str">
        <f>_xlfn.TEXTAFTER(CONTROL[[#This Row],[VEHIDCODE]],"_")</f>
        <v>Tanzania_TRC_E6800</v>
      </c>
      <c r="C803" t="s">
        <v>722</v>
      </c>
      <c r="D803" t="s">
        <v>942</v>
      </c>
      <c r="E803">
        <f ca="1">_xlfn.MAXIFS(INDIRECT("E2:E"&amp;ROW()-1,TRUE),INDIRECT("D2:D"&amp;ROW()-1,TRUE),CONTROL[[#This Row],[VEHID_ID_CATEGORY]])+1</f>
        <v>6137</v>
      </c>
      <c r="F803" s="45" t="s">
        <v>3100</v>
      </c>
      <c r="G803" t="s">
        <v>2974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2977</v>
      </c>
      <c r="B804" s="43" t="str">
        <f>_xlfn.TEXTAFTER(CONTROL[[#This Row],[VEHIDCODE]],"_")</f>
        <v>USA_Brooklyn_Union_Gate_Car</v>
      </c>
      <c r="C804" t="s">
        <v>722</v>
      </c>
      <c r="D804" t="s">
        <v>948</v>
      </c>
      <c r="E804" s="17">
        <f ca="1">_xlfn.MAXIFS(INDIRECT("E2:E"&amp;ROW()-1,TRUE),INDIRECT("D2:D"&amp;ROW()-1,TRUE),CONTROL[[#This Row],[VEHID_ID_CATEGORY]])+1</f>
        <v>9056</v>
      </c>
      <c r="F804" s="45" t="s">
        <v>2979</v>
      </c>
      <c r="G804" t="s">
        <v>2918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3108</v>
      </c>
      <c r="B805" s="31" t="str">
        <f>_xlfn.TEXTAFTER(CONTROL[[#This Row],[VEHIDCODE]],"_")</f>
        <v>Coach_Gen5_CityNightLine_Sleeper</v>
      </c>
      <c r="C805" t="s">
        <v>740</v>
      </c>
      <c r="D805" t="s">
        <v>952</v>
      </c>
      <c r="E805" s="17">
        <f ca="1">_xlfn.MAXIFS(INDIRECT("E2:E"&amp;ROW()-1,TRUE),INDIRECT("D2:D"&amp;ROW()-1,TRUE),CONTROL[[#This Row],[VEHID_ID_CATEGORY]])+1</f>
        <v>11071</v>
      </c>
      <c r="F805" s="46" t="s">
        <v>3106</v>
      </c>
      <c r="G805" t="s">
        <v>1740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item_mu_Coach_Gen5_CityNightLine_Sleeper</v>
      </c>
      <c r="P805" s="31" t="str">
        <f>"str_"&amp;CONTROL[[#This Row],[VEHIDCODE]]</f>
        <v>str_mu_Coach_Gen5_CityNightLine_Sleeper</v>
      </c>
    </row>
    <row r="806" spans="1:16">
      <c r="A806" t="s">
        <v>3109</v>
      </c>
      <c r="B806" s="31" t="str">
        <f>_xlfn.TEXTAFTER(CONTROL[[#This Row],[VEHIDCODE]],"_")</f>
        <v>Coach_Gen4_Trans_Euro_Night_Sleeper</v>
      </c>
      <c r="C806" t="s">
        <v>739</v>
      </c>
      <c r="D806" t="s">
        <v>952</v>
      </c>
      <c r="E806" s="17">
        <f ca="1">_xlfn.MAXIFS(INDIRECT("E2:E"&amp;ROW()-1,TRUE),INDIRECT("D2:D"&amp;ROW()-1,TRUE),CONTROL[[#This Row],[VEHID_ID_CATEGORY]])+1</f>
        <v>11072</v>
      </c>
      <c r="F806" s="46" t="s">
        <v>3107</v>
      </c>
      <c r="G806" t="s">
        <v>1740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item_mu_Coach_Gen4_Trans_Euro_Night_Sleeper</v>
      </c>
      <c r="P806" s="31" t="str">
        <f>"str_"&amp;CONTROL[[#This Row],[VEHIDCODE]]</f>
        <v>str_mu_Coach_Gen4_Trans_Euro_Night_Sleeper</v>
      </c>
    </row>
    <row r="807" spans="1:16">
      <c r="A807" s="2" t="s">
        <v>3081</v>
      </c>
      <c r="B807" s="31" t="str">
        <f>_xlfn.TEXTAFTER(CONTROL[[#This Row],[VEHIDCODE]],"_")</f>
        <v>Wagon_Gen1_Livestock_Van</v>
      </c>
      <c r="C807" t="s">
        <v>729</v>
      </c>
      <c r="D807" t="s">
        <v>954</v>
      </c>
      <c r="E807" s="17">
        <f ca="1">_xlfn.MAXIFS(INDIRECT("E2:E"&amp;ROW()-1,TRUE),INDIRECT("D2:D"&amp;ROW()-1,TRUE),CONTROL[[#This Row],[VEHID_ID_CATEGORY]])+1</f>
        <v>12064</v>
      </c>
      <c r="F807" s="45" t="s">
        <v>3082</v>
      </c>
      <c r="G807" t="s">
        <v>1740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3076</v>
      </c>
      <c r="B808" s="31" t="str">
        <f>_xlfn.TEXTAFTER(CONTROL[[#This Row],[VEHIDCODE]],"_")</f>
        <v>Wagon_Gen2_Livestock_Van</v>
      </c>
      <c r="C808" t="s">
        <v>730</v>
      </c>
      <c r="D808" t="s">
        <v>954</v>
      </c>
      <c r="E808" s="17">
        <f ca="1">_xlfn.MAXIFS(INDIRECT("E2:E"&amp;ROW()-1,TRUE),INDIRECT("D2:D"&amp;ROW()-1,TRUE),CONTROL[[#This Row],[VEHID_ID_CATEGORY]])+1</f>
        <v>12065</v>
      </c>
      <c r="F808" s="45" t="s">
        <v>3083</v>
      </c>
      <c r="G808" t="s">
        <v>1740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3077</v>
      </c>
      <c r="B809" s="31" t="str">
        <f>_xlfn.TEXTAFTER(CONTROL[[#This Row],[VEHIDCODE]],"_")</f>
        <v>Wagon_Gen3_Livestock_Van</v>
      </c>
      <c r="C809" t="s">
        <v>731</v>
      </c>
      <c r="D809" t="s">
        <v>954</v>
      </c>
      <c r="E809" s="17">
        <f ca="1">_xlfn.MAXIFS(INDIRECT("E2:E"&amp;ROW()-1,TRUE),INDIRECT("D2:D"&amp;ROW()-1,TRUE),CONTROL[[#This Row],[VEHID_ID_CATEGORY]])+1</f>
        <v>12066</v>
      </c>
      <c r="F809" s="45" t="s">
        <v>3084</v>
      </c>
      <c r="G809" t="s">
        <v>1740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3078</v>
      </c>
      <c r="B810" s="31" t="str">
        <f>_xlfn.TEXTAFTER(CONTROL[[#This Row],[VEHIDCODE]],"_")</f>
        <v>Wagon_Gen4_Livestock_Van</v>
      </c>
      <c r="C810" t="s">
        <v>732</v>
      </c>
      <c r="D810" t="s">
        <v>954</v>
      </c>
      <c r="E810" s="17">
        <f ca="1">_xlfn.MAXIFS(INDIRECT("E2:E"&amp;ROW()-1,TRUE),INDIRECT("D2:D"&amp;ROW()-1,TRUE),CONTROL[[#This Row],[VEHID_ID_CATEGORY]])+1</f>
        <v>12067</v>
      </c>
      <c r="F810" s="45" t="s">
        <v>3085</v>
      </c>
      <c r="G810" t="s">
        <v>1740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3079</v>
      </c>
      <c r="B811" s="31" t="str">
        <f>_xlfn.TEXTAFTER(CONTROL[[#This Row],[VEHIDCODE]],"_")</f>
        <v>Wagon_Gen5_Livestock_Van</v>
      </c>
      <c r="C811" t="s">
        <v>733</v>
      </c>
      <c r="D811" t="s">
        <v>954</v>
      </c>
      <c r="E811" s="17">
        <f ca="1">_xlfn.MAXIFS(INDIRECT("E2:E"&amp;ROW()-1,TRUE),INDIRECT("D2:D"&amp;ROW()-1,TRUE),CONTROL[[#This Row],[VEHID_ID_CATEGORY]])+1</f>
        <v>12068</v>
      </c>
      <c r="F811" s="45" t="s">
        <v>3086</v>
      </c>
      <c r="G811" t="s">
        <v>1740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3080</v>
      </c>
      <c r="B812" s="31" t="str">
        <f>_xlfn.TEXTAFTER(CONTROL[[#This Row],[VEHIDCODE]],"_")</f>
        <v>Wagon_Gen6_Livestock_Van</v>
      </c>
      <c r="C812" t="s">
        <v>734</v>
      </c>
      <c r="D812" t="s">
        <v>954</v>
      </c>
      <c r="E812" s="17">
        <f ca="1">_xlfn.MAXIFS(INDIRECT("E2:E"&amp;ROW()-1,TRUE),INDIRECT("D2:D"&amp;ROW()-1,TRUE),CONTROL[[#This Row],[VEHID_ID_CATEGORY]])+1</f>
        <v>12069</v>
      </c>
      <c r="F812" s="45" t="s">
        <v>3087</v>
      </c>
      <c r="G812" t="s">
        <v>1740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3116</v>
      </c>
      <c r="B813" s="31" t="str">
        <f>_xlfn.TEXTAFTER(CONTROL[[#This Row],[VEHIDCODE]],"_")</f>
        <v>Wagon_Gen7M_Livestock_Van</v>
      </c>
      <c r="C813" t="s">
        <v>750</v>
      </c>
      <c r="D813" t="s">
        <v>956</v>
      </c>
      <c r="E813" s="17">
        <f ca="1">_xlfn.MAXIFS(INDIRECT("E2:E"&amp;ROW()-1,TRUE),INDIRECT("D2:D"&amp;ROW()-1,TRUE),CONTROL[[#This Row],[VEHID_ID_CATEGORY]])+1</f>
        <v>18016</v>
      </c>
      <c r="F813" s="45" t="s">
        <v>3088</v>
      </c>
      <c r="G813" t="s">
        <v>1740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item_mglv_Wagon_Gen7M_Livestock_Van</v>
      </c>
      <c r="P813" s="31" t="str">
        <f>"str_"&amp;CONTROL[[#This Row],[VEHIDCODE]]</f>
        <v>str_mglv_Wagon_Gen7M_Livestock_Van</v>
      </c>
    </row>
    <row r="814" spans="1:16">
      <c r="A814" t="s">
        <v>3092</v>
      </c>
      <c r="B814" s="31" t="str">
        <f>_xlfn.TEXTAFTER(CONTROL[[#This Row],[VEHIDCODE]],"_")</f>
        <v>Hungary_MAV_Class_V63</v>
      </c>
      <c r="C814" t="s">
        <v>722</v>
      </c>
      <c r="D814" t="s">
        <v>942</v>
      </c>
      <c r="E814">
        <f ca="1">_xlfn.MAXIFS(INDIRECT("E2:E"&amp;ROW()-1,TRUE),INDIRECT("D2:D"&amp;ROW()-1,TRUE),CONTROL[[#This Row],[VEHID_ID_CATEGORY]])+1</f>
        <v>6138</v>
      </c>
      <c r="F814" s="45" t="s">
        <v>3097</v>
      </c>
      <c r="G814" t="s">
        <v>3093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  <row r="815" spans="1:16">
      <c r="A815" t="s">
        <v>3110</v>
      </c>
      <c r="B815" s="31" t="str">
        <f>_xlfn.TEXTAFTER(CONTROL[[#This Row],[VEHIDCODE]],"_")</f>
        <v>UK_London_1992_Stock</v>
      </c>
      <c r="C815" t="s">
        <v>722</v>
      </c>
      <c r="D815" t="s">
        <v>948</v>
      </c>
      <c r="E815">
        <f ca="1">_xlfn.MAXIFS(INDIRECT("E2:E"&amp;ROW()-1,TRUE),INDIRECT("D2:D"&amp;ROW()-1,TRUE),CONTROL[[#This Row],[VEHID_ID_CATEGORY]])+1</f>
        <v>9057</v>
      </c>
      <c r="F815" s="45" t="s">
        <v>3111</v>
      </c>
      <c r="G815" t="s">
        <v>3112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Row],[VEHIDCODE]],roster!A:A,roster!B:B))</f>
        <v>1</v>
      </c>
      <c r="N815" t="b">
        <f>ISNUMBER(_xlfn.XMATCH(CONTROL[[#This Row],[VEHIDCODE]],GRAPHICS_PROPERTIES[VEHIDCODE],0))</f>
        <v>1</v>
      </c>
      <c r="O815" s="31" t="str">
        <f>"item_"&amp;CONTROL[[#This Row],[VEHIDCODE]]</f>
        <v>item_mtro_UK_London_1992_Stock</v>
      </c>
      <c r="P815" s="31" t="str">
        <f>"str_"&amp;CONTROL[[#This Row],[VEHIDCODE]]</f>
        <v>str_mtro_UK_London_1992_Stock</v>
      </c>
    </row>
    <row r="816" spans="1:16">
      <c r="A816" s="2" t="s">
        <v>3113</v>
      </c>
      <c r="B816" s="31" t="str">
        <f>_xlfn.TEXTAFTER(CONTROL[[#This Row],[VEHIDCODE]],"_")</f>
        <v>UK_London_S_Stock</v>
      </c>
      <c r="C816" t="s">
        <v>722</v>
      </c>
      <c r="D816" t="s">
        <v>948</v>
      </c>
      <c r="E816">
        <f ca="1">_xlfn.MAXIFS(INDIRECT("E2:E"&amp;ROW()-1,TRUE),INDIRECT("D2:D"&amp;ROW()-1,TRUE),CONTROL[[#This Row],[VEHID_ID_CATEGORY]])+1</f>
        <v>9058</v>
      </c>
      <c r="F816" s="45" t="s">
        <v>3114</v>
      </c>
      <c r="G816" t="s">
        <v>3115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Row],[VEHIDCODE]],roster!A:A,roster!B:B))</f>
        <v>1</v>
      </c>
      <c r="N816" t="b">
        <f>ISNUMBER(_xlfn.XMATCH(CONTROL[[#This Row],[VEHIDCODE]],GRAPHICS_PROPERTIES[VEHIDCODE],0))</f>
        <v>1</v>
      </c>
      <c r="O816" s="31" t="str">
        <f>"item_"&amp;CONTROL[[#This Row],[VEHIDCODE]]</f>
        <v>item_mtro_UK_London_S_Stock</v>
      </c>
      <c r="P816" s="31" t="str">
        <f>"str_"&amp;CONTROL[[#This Row],[VEHIDCODE]]</f>
        <v>str_mtro_UK_London_S_Stock</v>
      </c>
    </row>
    <row r="817" spans="1:16">
      <c r="A817" s="2" t="s">
        <v>3117</v>
      </c>
      <c r="B817" s="31" t="str">
        <f>_xlfn.TEXTAFTER(CONTROL[[#This Row],[VEHIDCODE]],"_")</f>
        <v>UK_London_1972_Stock</v>
      </c>
      <c r="C817" t="s">
        <v>722</v>
      </c>
      <c r="D817" t="s">
        <v>948</v>
      </c>
      <c r="E817">
        <f ca="1">_xlfn.MAXIFS(INDIRECT("E2:E"&amp;ROW()-1,TRUE),INDIRECT("D2:D"&amp;ROW()-1,TRUE),CONTROL[[#This Row],[VEHID_ID_CATEGORY]])+1</f>
        <v>9059</v>
      </c>
      <c r="F817" s="45" t="s">
        <v>3118</v>
      </c>
      <c r="G817" t="s">
        <v>3119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Row],[VEHIDCODE]],roster!A:A,roster!B:B))</f>
        <v>1</v>
      </c>
      <c r="N817" t="b">
        <f>ISNUMBER(_xlfn.XMATCH(CONTROL[[#This Row],[VEHIDCODE]],GRAPHICS_PROPERTIES[VEHIDCODE],0))</f>
        <v>1</v>
      </c>
      <c r="O817" s="31" t="str">
        <f>"item_"&amp;CONTROL[[#This Row],[VEHIDCODE]]</f>
        <v>item_mtro_UK_London_1972_Stock</v>
      </c>
      <c r="P817" s="31" t="str">
        <f>"str_"&amp;CONTROL[[#This Row],[VEHIDCODE]]</f>
        <v>str_mtro_UK_London_1972_Stock</v>
      </c>
    </row>
  </sheetData>
  <conditionalFormatting sqref="F1:F1048576">
    <cfRule type="containsText" dxfId="26" priority="1" operator="containsText" text=")">
      <formula>NOT(ISERROR(SEARCH(")",F1)))</formula>
    </cfRule>
    <cfRule type="containsText" dxfId="25" priority="2" operator="containsText" text="(">
      <formula>NOT(ISERROR(SEARCH("(",F1)))</formula>
    </cfRule>
  </conditionalFormatting>
  <conditionalFormatting sqref="H2:H817">
    <cfRule type="containsText" dxfId="24" priority="3" operator="containsText" text="FALSE">
      <formula>NOT(ISERROR(SEARCH("FALSE",H2)))</formula>
    </cfRule>
  </conditionalFormatting>
  <conditionalFormatting sqref="I1:I817">
    <cfRule type="containsText" dxfId="23" priority="7" operator="containsText" text="FALSE">
      <formula>NOT(ISERROR(SEARCH("FALSE",I1)))</formula>
    </cfRule>
  </conditionalFormatting>
  <conditionalFormatting sqref="J1:P795 K796:P803 J804:P804 K805:P814 K818:P1048576 J815:P817">
    <cfRule type="cellIs" dxfId="22" priority="5" operator="equal">
      <formula>FALSE</formula>
    </cfRule>
  </conditionalFormatting>
  <dataValidations count="1">
    <dataValidation type="list" allowBlank="1" showInputMessage="1" showErrorMessage="1" sqref="D2:D817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17"/>
  <sheetViews>
    <sheetView zoomScaleNormal="100" workbookViewId="0">
      <pane xSplit="1" ySplit="1" topLeftCell="P803" activePane="bottomRight" state="frozen"/>
      <selection pane="topRight" activeCell="B1" sqref="B1"/>
      <selection pane="bottomLeft" activeCell="A2" sqref="A2"/>
      <selection pane="bottomRight" activeCell="A817" sqref="A817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1" width="11.3046875" customWidth="1"/>
    <col min="12" max="12" width="16.23046875" customWidth="1"/>
    <col min="13" max="13" width="10.07421875" customWidth="1"/>
    <col min="14" max="14" width="4.07421875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1.84375" style="2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1750</v>
      </c>
      <c r="E1" s="1" t="s">
        <v>2262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3091</v>
      </c>
      <c r="K1" s="3" t="s">
        <v>7</v>
      </c>
      <c r="L1" s="20" t="s">
        <v>1047</v>
      </c>
      <c r="M1" s="1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2269</v>
      </c>
      <c r="S1" s="28" t="s">
        <v>2270</v>
      </c>
      <c r="T1" s="28" t="s">
        <v>2271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1051</v>
      </c>
      <c r="Z1" s="1" t="s">
        <v>684</v>
      </c>
      <c r="AA1" s="1" t="s">
        <v>685</v>
      </c>
      <c r="AB1" s="3" t="s">
        <v>686</v>
      </c>
      <c r="AC1" s="8" t="s">
        <v>1005</v>
      </c>
      <c r="AD1" s="8" t="s">
        <v>1006</v>
      </c>
      <c r="AE1" s="35" t="s">
        <v>1022</v>
      </c>
      <c r="AF1" s="8" t="s">
        <v>2268</v>
      </c>
      <c r="AG1" s="1" t="s">
        <v>2516</v>
      </c>
    </row>
    <row r="2" spans="1:53">
      <c r="A2" s="2" t="s">
        <v>742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s="2" t="s">
        <v>19</v>
      </c>
      <c r="L2">
        <f>_xlfn.XLOOKUP("LOADINGSPEEDDEF_"&amp;PROPERTIES[[#This Row],[LOADINGSPEED]],LOADINGSPEEDDEF[TYPE],LOADINGSPEEDDEF[SPEED])</f>
        <v>0</v>
      </c>
      <c r="M2" t="s">
        <v>20</v>
      </c>
      <c r="N2"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>
        <v>25</v>
      </c>
      <c r="W2" s="9">
        <v>0</v>
      </c>
      <c r="X2" s="9">
        <v>0</v>
      </c>
      <c r="Y2" s="10">
        <v>0</v>
      </c>
      <c r="Z2" t="s">
        <v>917</v>
      </c>
      <c r="AA2" t="s">
        <v>903</v>
      </c>
      <c r="AB2" s="2" t="s">
        <v>921</v>
      </c>
      <c r="AC2" s="9" t="s">
        <v>977</v>
      </c>
      <c r="AD2" s="9" t="s">
        <v>978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2" s="2" t="b">
        <v>0</v>
      </c>
      <c r="AY2"/>
      <c r="AZ2"/>
      <c r="BA2"/>
    </row>
    <row r="3" spans="1:53">
      <c r="A3" s="2" t="s">
        <v>743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s="2" t="s">
        <v>19</v>
      </c>
      <c r="L3">
        <f>_xlfn.XLOOKUP("LOADINGSPEEDDEF_"&amp;PROPERTIES[[#This Row],[LOADINGSPEED]],LOADINGSPEEDDEF[TYPE],LOADINGSPEEDDEF[SPEED])</f>
        <v>0</v>
      </c>
      <c r="M3" t="s">
        <v>20</v>
      </c>
      <c r="N3"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>
        <v>25</v>
      </c>
      <c r="W3" s="9">
        <v>0</v>
      </c>
      <c r="X3" s="9">
        <v>0</v>
      </c>
      <c r="Y3" s="10">
        <v>0</v>
      </c>
      <c r="Z3" t="s">
        <v>917</v>
      </c>
      <c r="AA3" t="s">
        <v>903</v>
      </c>
      <c r="AB3" s="2" t="s">
        <v>921</v>
      </c>
      <c r="AC3" s="9" t="s">
        <v>977</v>
      </c>
      <c r="AD3" s="9" t="s">
        <v>978</v>
      </c>
      <c r="AE3" s="10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3" s="2" t="b">
        <v>0</v>
      </c>
      <c r="AY3"/>
      <c r="AZ3"/>
      <c r="BA3"/>
    </row>
    <row r="4" spans="1:53">
      <c r="A4" s="2" t="s">
        <v>21</v>
      </c>
      <c r="B4">
        <v>1903</v>
      </c>
      <c r="C4">
        <v>0</v>
      </c>
      <c r="D4" t="s">
        <v>1762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>
        <v>5</v>
      </c>
      <c r="K4" s="2" t="s">
        <v>23</v>
      </c>
      <c r="L4">
        <f>_xlfn.XLOOKUP("LOADINGSPEEDDEF_"&amp;PROPERTIES[[#This Row],[LOADINGSPEED]],LOADINGSPEEDDEF[TYPE],LOADINGSPEEDDEF[SPEED])</f>
        <v>40</v>
      </c>
      <c r="M4">
        <v>45</v>
      </c>
      <c r="N4"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>
        <v>15</v>
      </c>
      <c r="W4" s="9">
        <v>0</v>
      </c>
      <c r="X4" s="9">
        <v>0</v>
      </c>
      <c r="Y4" s="10">
        <v>0</v>
      </c>
      <c r="Z4" t="s">
        <v>904</v>
      </c>
      <c r="AA4" t="s">
        <v>903</v>
      </c>
      <c r="AB4" s="2" t="s">
        <v>921</v>
      </c>
      <c r="AC4" s="9" t="s">
        <v>979</v>
      </c>
      <c r="AD4" s="9" t="s">
        <v>980</v>
      </c>
      <c r="AE4" s="10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" s="2" t="b">
        <v>0</v>
      </c>
      <c r="AY4"/>
      <c r="AZ4"/>
      <c r="BA4"/>
    </row>
    <row r="5" spans="1:53">
      <c r="A5" s="2" t="s">
        <v>24</v>
      </c>
      <c r="B5">
        <v>1906</v>
      </c>
      <c r="C5">
        <v>0</v>
      </c>
      <c r="D5" t="s">
        <v>1859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>
        <v>8</v>
      </c>
      <c r="K5" s="2" t="s">
        <v>23</v>
      </c>
      <c r="L5">
        <f>_xlfn.XLOOKUP("LOADINGSPEEDDEF_"&amp;PROPERTIES[[#This Row],[LOADINGSPEED]],LOADINGSPEEDDEF[TYPE],LOADINGSPEEDDEF[SPEED])</f>
        <v>40</v>
      </c>
      <c r="M5">
        <v>45</v>
      </c>
      <c r="N5"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>
        <v>15</v>
      </c>
      <c r="W5" s="9">
        <v>0</v>
      </c>
      <c r="X5" s="9">
        <v>0</v>
      </c>
      <c r="Y5" s="10">
        <v>0</v>
      </c>
      <c r="Z5" t="s">
        <v>905</v>
      </c>
      <c r="AA5" t="s">
        <v>903</v>
      </c>
      <c r="AB5" s="2" t="s">
        <v>921</v>
      </c>
      <c r="AC5" s="9" t="s">
        <v>979</v>
      </c>
      <c r="AD5" s="9" t="s">
        <v>980</v>
      </c>
      <c r="AE5" s="10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" s="2" t="b">
        <v>0</v>
      </c>
      <c r="AY5"/>
      <c r="AZ5"/>
      <c r="BA5"/>
    </row>
    <row r="6" spans="1:53">
      <c r="A6" s="2" t="s">
        <v>25</v>
      </c>
      <c r="B6">
        <v>1883</v>
      </c>
      <c r="C6">
        <v>0</v>
      </c>
      <c r="D6" t="s">
        <v>1763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>
        <v>6</v>
      </c>
      <c r="K6" s="2" t="s">
        <v>23</v>
      </c>
      <c r="L6">
        <f>_xlfn.XLOOKUP("LOADINGSPEEDDEF_"&amp;PROPERTIES[[#This Row],[LOADINGSPEED]],LOADINGSPEEDDEF[TYPE],LOADINGSPEEDDEF[SPEED])</f>
        <v>40</v>
      </c>
      <c r="M6">
        <v>45</v>
      </c>
      <c r="N6"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>
        <v>15</v>
      </c>
      <c r="W6" s="9">
        <v>0</v>
      </c>
      <c r="X6" s="9">
        <v>0</v>
      </c>
      <c r="Y6" s="10">
        <v>0</v>
      </c>
      <c r="Z6" t="s">
        <v>906</v>
      </c>
      <c r="AA6" t="s">
        <v>903</v>
      </c>
      <c r="AB6" s="2" t="s">
        <v>921</v>
      </c>
      <c r="AC6" s="9" t="s">
        <v>979</v>
      </c>
      <c r="AD6" s="9" t="s">
        <v>980</v>
      </c>
      <c r="AE6" s="10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" s="2" t="b">
        <v>0</v>
      </c>
      <c r="AY6"/>
      <c r="AZ6"/>
      <c r="BA6"/>
    </row>
    <row r="7" spans="1:53">
      <c r="A7" s="2" t="s">
        <v>26</v>
      </c>
      <c r="B7">
        <v>1902</v>
      </c>
      <c r="C7">
        <v>0</v>
      </c>
      <c r="D7" t="s">
        <v>1793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>
        <v>5</v>
      </c>
      <c r="K7" s="2" t="s">
        <v>23</v>
      </c>
      <c r="L7">
        <f>_xlfn.XLOOKUP("LOADINGSPEEDDEF_"&amp;PROPERTIES[[#This Row],[LOADINGSPEED]],LOADINGSPEEDDEF[TYPE],LOADINGSPEEDDEF[SPEED])</f>
        <v>40</v>
      </c>
      <c r="M7">
        <v>45</v>
      </c>
      <c r="N7"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>
        <v>15</v>
      </c>
      <c r="W7" s="9">
        <v>0</v>
      </c>
      <c r="X7" s="9">
        <v>0</v>
      </c>
      <c r="Y7" s="10">
        <v>0</v>
      </c>
      <c r="Z7" t="s">
        <v>904</v>
      </c>
      <c r="AA7" t="s">
        <v>903</v>
      </c>
      <c r="AB7" s="2" t="s">
        <v>921</v>
      </c>
      <c r="AC7" s="9" t="s">
        <v>979</v>
      </c>
      <c r="AD7" s="9" t="s">
        <v>980</v>
      </c>
      <c r="AE7" s="10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" s="2" t="b">
        <v>0</v>
      </c>
      <c r="AY7"/>
      <c r="AZ7"/>
      <c r="BA7"/>
    </row>
    <row r="8" spans="1:53">
      <c r="A8" s="2" t="s">
        <v>27</v>
      </c>
      <c r="B8">
        <v>1906</v>
      </c>
      <c r="C8">
        <v>0</v>
      </c>
      <c r="D8" t="s">
        <v>1807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>
        <v>8</v>
      </c>
      <c r="K8" s="2" t="s">
        <v>23</v>
      </c>
      <c r="L8">
        <f>_xlfn.XLOOKUP("LOADINGSPEEDDEF_"&amp;PROPERTIES[[#This Row],[LOADINGSPEED]],LOADINGSPEEDDEF[TYPE],LOADINGSPEEDDEF[SPEED])</f>
        <v>40</v>
      </c>
      <c r="M8">
        <v>45</v>
      </c>
      <c r="N8"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>
        <v>15</v>
      </c>
      <c r="W8" s="9">
        <v>0</v>
      </c>
      <c r="X8" s="9">
        <v>0</v>
      </c>
      <c r="Y8" s="10">
        <v>0</v>
      </c>
      <c r="Z8" t="s">
        <v>904</v>
      </c>
      <c r="AA8" t="s">
        <v>903</v>
      </c>
      <c r="AB8" s="2" t="s">
        <v>921</v>
      </c>
      <c r="AC8" s="9" t="s">
        <v>979</v>
      </c>
      <c r="AD8" s="9" t="s">
        <v>980</v>
      </c>
      <c r="AE8" s="10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8" s="2" t="b">
        <v>0</v>
      </c>
      <c r="AY8"/>
      <c r="AZ8"/>
      <c r="BA8"/>
    </row>
    <row r="9" spans="1:53">
      <c r="A9" s="2" t="s">
        <v>28</v>
      </c>
      <c r="B9">
        <v>1906</v>
      </c>
      <c r="C9">
        <v>0</v>
      </c>
      <c r="D9" t="s">
        <v>1995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>
        <v>10</v>
      </c>
      <c r="K9" s="2" t="s">
        <v>23</v>
      </c>
      <c r="L9">
        <f>_xlfn.XLOOKUP("LOADINGSPEEDDEF_"&amp;PROPERTIES[[#This Row],[LOADINGSPEED]],LOADINGSPEEDDEF[TYPE],LOADINGSPEEDDEF[SPEED])</f>
        <v>40</v>
      </c>
      <c r="M9">
        <v>45</v>
      </c>
      <c r="N9"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>
        <v>15</v>
      </c>
      <c r="W9" s="9">
        <v>0</v>
      </c>
      <c r="X9" s="9">
        <v>2</v>
      </c>
      <c r="Y9" s="10">
        <v>0</v>
      </c>
      <c r="Z9" t="s">
        <v>907</v>
      </c>
      <c r="AA9" t="s">
        <v>903</v>
      </c>
      <c r="AB9" s="2" t="s">
        <v>921</v>
      </c>
      <c r="AC9" s="9" t="s">
        <v>979</v>
      </c>
      <c r="AD9" s="9" t="s">
        <v>980</v>
      </c>
      <c r="AE9" s="10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9" s="2" t="b">
        <v>0</v>
      </c>
      <c r="AY9"/>
      <c r="AZ9"/>
      <c r="BA9"/>
    </row>
    <row r="10" spans="1:53">
      <c r="A10" s="2" t="s">
        <v>29</v>
      </c>
      <c r="B10">
        <v>1912</v>
      </c>
      <c r="C10">
        <v>0</v>
      </c>
      <c r="D10" t="s">
        <v>1763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>
        <v>6</v>
      </c>
      <c r="K10" s="2" t="s">
        <v>23</v>
      </c>
      <c r="L10">
        <f>_xlfn.XLOOKUP("LOADINGSPEEDDEF_"&amp;PROPERTIES[[#This Row],[LOADINGSPEED]],LOADINGSPEEDDEF[TYPE],LOADINGSPEEDDEF[SPEED])</f>
        <v>40</v>
      </c>
      <c r="M10">
        <v>45</v>
      </c>
      <c r="N10"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>
        <v>15</v>
      </c>
      <c r="W10" s="9">
        <v>0</v>
      </c>
      <c r="X10" s="9">
        <v>0</v>
      </c>
      <c r="Y10" s="10">
        <v>0</v>
      </c>
      <c r="Z10" t="s">
        <v>906</v>
      </c>
      <c r="AA10" t="s">
        <v>903</v>
      </c>
      <c r="AB10" s="2" t="s">
        <v>921</v>
      </c>
      <c r="AC10" s="9" t="s">
        <v>979</v>
      </c>
      <c r="AD10" s="9" t="s">
        <v>980</v>
      </c>
      <c r="AE10" s="10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0" s="2" t="b">
        <v>0</v>
      </c>
      <c r="AY10"/>
      <c r="AZ10"/>
      <c r="BA10"/>
    </row>
    <row r="11" spans="1:53">
      <c r="A11" s="2" t="s">
        <v>30</v>
      </c>
      <c r="B11">
        <v>1880</v>
      </c>
      <c r="C11">
        <v>0</v>
      </c>
      <c r="D11" t="s">
        <v>1762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>
        <v>5</v>
      </c>
      <c r="K11" s="2" t="s">
        <v>32</v>
      </c>
      <c r="L11">
        <f>_xlfn.XLOOKUP("LOADINGSPEEDDEF_"&amp;PROPERTIES[[#This Row],[LOADINGSPEED]],LOADINGSPEEDDEF[TYPE],LOADINGSPEEDDEF[SPEED])</f>
        <v>20</v>
      </c>
      <c r="M11">
        <v>45</v>
      </c>
      <c r="N11"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>
        <v>15</v>
      </c>
      <c r="W11" s="9">
        <v>0</v>
      </c>
      <c r="X11" s="9">
        <v>0</v>
      </c>
      <c r="Y11" s="10">
        <v>0</v>
      </c>
      <c r="Z11" t="s">
        <v>904</v>
      </c>
      <c r="AA11" t="s">
        <v>903</v>
      </c>
      <c r="AB11" s="2" t="s">
        <v>921</v>
      </c>
      <c r="AC11" s="9" t="s">
        <v>979</v>
      </c>
      <c r="AD11" s="9" t="s">
        <v>980</v>
      </c>
      <c r="AE11" s="10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1" s="2" t="b">
        <v>0</v>
      </c>
      <c r="AY11"/>
      <c r="AZ11"/>
      <c r="BA11"/>
    </row>
    <row r="12" spans="1:53">
      <c r="A12" s="2" t="s">
        <v>33</v>
      </c>
      <c r="B12">
        <v>1922</v>
      </c>
      <c r="C12">
        <v>0</v>
      </c>
      <c r="D12" t="s">
        <v>1763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>
        <v>5</v>
      </c>
      <c r="K12" s="2" t="s">
        <v>23</v>
      </c>
      <c r="L12">
        <f>_xlfn.XLOOKUP("LOADINGSPEEDDEF_"&amp;PROPERTIES[[#This Row],[LOADINGSPEED]],LOADINGSPEEDDEF[TYPE],LOADINGSPEEDDEF[SPEED])</f>
        <v>40</v>
      </c>
      <c r="M12">
        <v>45</v>
      </c>
      <c r="N12"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>
        <v>15</v>
      </c>
      <c r="W12" s="9">
        <v>0</v>
      </c>
      <c r="X12" s="9">
        <v>0</v>
      </c>
      <c r="Y12" s="10">
        <v>0</v>
      </c>
      <c r="Z12" t="s">
        <v>906</v>
      </c>
      <c r="AA12" t="s">
        <v>903</v>
      </c>
      <c r="AB12" s="2" t="s">
        <v>921</v>
      </c>
      <c r="AC12" s="9" t="s">
        <v>981</v>
      </c>
      <c r="AD12" s="9" t="s">
        <v>982</v>
      </c>
      <c r="AE12" s="10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2" s="2" t="b">
        <v>0</v>
      </c>
      <c r="AY12"/>
      <c r="AZ12"/>
      <c r="BA12"/>
    </row>
    <row r="13" spans="1:53">
      <c r="A13" s="2" t="s">
        <v>35</v>
      </c>
      <c r="B13">
        <v>1932</v>
      </c>
      <c r="C13">
        <v>0</v>
      </c>
      <c r="D13" t="s">
        <v>1807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>
        <v>6</v>
      </c>
      <c r="K13" s="2" t="s">
        <v>23</v>
      </c>
      <c r="L13">
        <f>_xlfn.XLOOKUP("LOADINGSPEEDDEF_"&amp;PROPERTIES[[#This Row],[LOADINGSPEED]],LOADINGSPEEDDEF[TYPE],LOADINGSPEEDDEF[SPEED])</f>
        <v>40</v>
      </c>
      <c r="M13">
        <v>45</v>
      </c>
      <c r="N13"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>
        <v>15</v>
      </c>
      <c r="W13" s="9">
        <v>0</v>
      </c>
      <c r="X13" s="9">
        <v>0</v>
      </c>
      <c r="Y13" s="10">
        <v>0</v>
      </c>
      <c r="Z13" t="s">
        <v>904</v>
      </c>
      <c r="AA13" t="s">
        <v>903</v>
      </c>
      <c r="AB13" s="2" t="s">
        <v>921</v>
      </c>
      <c r="AC13" s="9" t="s">
        <v>981</v>
      </c>
      <c r="AD13" s="9" t="s">
        <v>982</v>
      </c>
      <c r="AE13" s="10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3" s="2" t="b">
        <v>0</v>
      </c>
      <c r="AY13"/>
      <c r="AZ13"/>
      <c r="BA13"/>
    </row>
    <row r="14" spans="1:53">
      <c r="A14" s="2" t="s">
        <v>36</v>
      </c>
      <c r="B14">
        <v>1934</v>
      </c>
      <c r="C14">
        <v>0</v>
      </c>
      <c r="D14" t="s">
        <v>1826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>
        <v>6</v>
      </c>
      <c r="K14" s="2" t="s">
        <v>23</v>
      </c>
      <c r="L14">
        <f>_xlfn.XLOOKUP("LOADINGSPEEDDEF_"&amp;PROPERTIES[[#This Row],[LOADINGSPEED]],LOADINGSPEEDDEF[TYPE],LOADINGSPEEDDEF[SPEED])</f>
        <v>40</v>
      </c>
      <c r="M14">
        <v>45</v>
      </c>
      <c r="N14"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>
        <v>15</v>
      </c>
      <c r="W14" s="9">
        <v>0</v>
      </c>
      <c r="X14" s="9">
        <v>0</v>
      </c>
      <c r="Y14" s="10">
        <v>0</v>
      </c>
      <c r="Z14" t="s">
        <v>908</v>
      </c>
      <c r="AA14" t="s">
        <v>903</v>
      </c>
      <c r="AB14" s="2" t="s">
        <v>921</v>
      </c>
      <c r="AC14" s="9" t="s">
        <v>981</v>
      </c>
      <c r="AD14" s="9" t="s">
        <v>982</v>
      </c>
      <c r="AE14" s="10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4" s="2" t="b">
        <v>0</v>
      </c>
      <c r="AY14"/>
      <c r="AZ14"/>
      <c r="BA14"/>
    </row>
    <row r="15" spans="1:53">
      <c r="A15" s="2" t="s">
        <v>37</v>
      </c>
      <c r="B15">
        <v>1935</v>
      </c>
      <c r="C15">
        <v>0</v>
      </c>
      <c r="D15" t="s">
        <v>1762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>
        <v>8</v>
      </c>
      <c r="K15" s="2" t="s">
        <v>23</v>
      </c>
      <c r="L15">
        <f>_xlfn.XLOOKUP("LOADINGSPEEDDEF_"&amp;PROPERTIES[[#This Row],[LOADINGSPEED]],LOADINGSPEEDDEF[TYPE],LOADINGSPEEDDEF[SPEED])</f>
        <v>40</v>
      </c>
      <c r="M15">
        <v>45</v>
      </c>
      <c r="N15"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>
        <v>15</v>
      </c>
      <c r="W15" s="9">
        <v>0</v>
      </c>
      <c r="X15" s="9">
        <v>0</v>
      </c>
      <c r="Y15" s="10">
        <v>0</v>
      </c>
      <c r="Z15" t="s">
        <v>904</v>
      </c>
      <c r="AA15" t="s">
        <v>903</v>
      </c>
      <c r="AB15" s="2" t="s">
        <v>921</v>
      </c>
      <c r="AC15" s="9" t="s">
        <v>981</v>
      </c>
      <c r="AD15" s="9" t="s">
        <v>982</v>
      </c>
      <c r="AE15" s="10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5" s="2" t="b">
        <v>0</v>
      </c>
      <c r="AY15"/>
      <c r="AZ15"/>
      <c r="BA15"/>
    </row>
    <row r="16" spans="1:53">
      <c r="A16" s="2" t="s">
        <v>38</v>
      </c>
      <c r="B16">
        <v>1940</v>
      </c>
      <c r="C16">
        <v>0</v>
      </c>
      <c r="D16" t="s">
        <v>1920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>
        <v>8</v>
      </c>
      <c r="K16" s="2" t="s">
        <v>23</v>
      </c>
      <c r="L16">
        <f>_xlfn.XLOOKUP("LOADINGSPEEDDEF_"&amp;PROPERTIES[[#This Row],[LOADINGSPEED]],LOADINGSPEEDDEF[TYPE],LOADINGSPEEDDEF[SPEED])</f>
        <v>40</v>
      </c>
      <c r="M16">
        <v>45</v>
      </c>
      <c r="N16"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>
        <v>15</v>
      </c>
      <c r="W16" s="9">
        <v>0</v>
      </c>
      <c r="X16" s="9">
        <v>0</v>
      </c>
      <c r="Y16" s="10">
        <v>0</v>
      </c>
      <c r="Z16" t="s">
        <v>906</v>
      </c>
      <c r="AA16" t="s">
        <v>903</v>
      </c>
      <c r="AB16" s="2" t="s">
        <v>921</v>
      </c>
      <c r="AC16" s="9" t="s">
        <v>981</v>
      </c>
      <c r="AD16" s="9" t="s">
        <v>982</v>
      </c>
      <c r="AE16" s="10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6" s="2" t="b">
        <v>0</v>
      </c>
      <c r="AY16"/>
      <c r="AZ16"/>
      <c r="BA16"/>
    </row>
    <row r="17" spans="1:53">
      <c r="A17" s="2" t="s">
        <v>39</v>
      </c>
      <c r="B17">
        <v>1948</v>
      </c>
      <c r="C17">
        <v>0</v>
      </c>
      <c r="D17" t="s">
        <v>1933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>
        <v>8</v>
      </c>
      <c r="K17" s="2" t="s">
        <v>23</v>
      </c>
      <c r="L17">
        <f>_xlfn.XLOOKUP("LOADINGSPEEDDEF_"&amp;PROPERTIES[[#This Row],[LOADINGSPEED]],LOADINGSPEEDDEF[TYPE],LOADINGSPEEDDEF[SPEED])</f>
        <v>40</v>
      </c>
      <c r="M17">
        <v>45</v>
      </c>
      <c r="N17"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>
        <v>15</v>
      </c>
      <c r="W17" s="9">
        <v>0</v>
      </c>
      <c r="X17" s="9">
        <v>0</v>
      </c>
      <c r="Y17" s="10">
        <v>0</v>
      </c>
      <c r="Z17" t="s">
        <v>905</v>
      </c>
      <c r="AA17" t="s">
        <v>903</v>
      </c>
      <c r="AB17" s="2" t="s">
        <v>921</v>
      </c>
      <c r="AC17" s="9" t="s">
        <v>981</v>
      </c>
      <c r="AD17" s="9" t="s">
        <v>982</v>
      </c>
      <c r="AE17" s="10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7" s="2" t="b">
        <v>0</v>
      </c>
      <c r="AY17"/>
      <c r="AZ17"/>
      <c r="BA17"/>
    </row>
    <row r="18" spans="1:53">
      <c r="A18" s="2" t="s">
        <v>40</v>
      </c>
      <c r="B18">
        <v>1949</v>
      </c>
      <c r="C18">
        <v>0</v>
      </c>
      <c r="D18" t="s">
        <v>1981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>
        <v>8</v>
      </c>
      <c r="K18" s="2" t="s">
        <v>23</v>
      </c>
      <c r="L18">
        <f>_xlfn.XLOOKUP("LOADINGSPEEDDEF_"&amp;PROPERTIES[[#This Row],[LOADINGSPEED]],LOADINGSPEEDDEF[TYPE],LOADINGSPEEDDEF[SPEED])</f>
        <v>40</v>
      </c>
      <c r="M18">
        <v>45</v>
      </c>
      <c r="N18"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>
        <v>15</v>
      </c>
      <c r="W18" s="9">
        <v>0</v>
      </c>
      <c r="X18" s="9">
        <v>0</v>
      </c>
      <c r="Y18" s="10">
        <v>0</v>
      </c>
      <c r="Z18" t="s">
        <v>909</v>
      </c>
      <c r="AA18" t="s">
        <v>903</v>
      </c>
      <c r="AB18" s="2" t="s">
        <v>921</v>
      </c>
      <c r="AC18" s="9" t="s">
        <v>981</v>
      </c>
      <c r="AD18" s="9" t="s">
        <v>982</v>
      </c>
      <c r="AE18" s="10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8" s="2" t="b">
        <v>0</v>
      </c>
      <c r="AY18"/>
      <c r="AZ18"/>
      <c r="BA18"/>
    </row>
    <row r="19" spans="1:53">
      <c r="A19" s="2" t="s">
        <v>41</v>
      </c>
      <c r="B19">
        <v>1953</v>
      </c>
      <c r="C19">
        <v>0</v>
      </c>
      <c r="D19" t="s">
        <v>1807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>
        <v>6</v>
      </c>
      <c r="K19" s="2" t="s">
        <v>23</v>
      </c>
      <c r="L19">
        <f>_xlfn.XLOOKUP("LOADINGSPEEDDEF_"&amp;PROPERTIES[[#This Row],[LOADINGSPEED]],LOADINGSPEEDDEF[TYPE],LOADINGSPEEDDEF[SPEED])</f>
        <v>40</v>
      </c>
      <c r="M19">
        <v>45</v>
      </c>
      <c r="N19"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>
        <v>15</v>
      </c>
      <c r="W19" s="9">
        <v>0</v>
      </c>
      <c r="X19" s="9">
        <v>0</v>
      </c>
      <c r="Y19" s="10">
        <v>0</v>
      </c>
      <c r="Z19" t="s">
        <v>904</v>
      </c>
      <c r="AA19" t="s">
        <v>903</v>
      </c>
      <c r="AB19" s="2" t="s">
        <v>921</v>
      </c>
      <c r="AC19" s="9" t="s">
        <v>981</v>
      </c>
      <c r="AD19" s="9" t="s">
        <v>982</v>
      </c>
      <c r="AE19" s="10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9" s="2" t="b">
        <v>0</v>
      </c>
      <c r="AY19"/>
      <c r="AZ19"/>
      <c r="BA19"/>
    </row>
    <row r="20" spans="1:53">
      <c r="A20" s="2" t="s">
        <v>42</v>
      </c>
      <c r="B20">
        <v>1959</v>
      </c>
      <c r="C20">
        <v>0</v>
      </c>
      <c r="D20" t="s">
        <v>1807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>
        <v>8</v>
      </c>
      <c r="K20" s="2" t="s">
        <v>23</v>
      </c>
      <c r="L20">
        <f>_xlfn.XLOOKUP("LOADINGSPEEDDEF_"&amp;PROPERTIES[[#This Row],[LOADINGSPEED]],LOADINGSPEEDDEF[TYPE],LOADINGSPEEDDEF[SPEED])</f>
        <v>40</v>
      </c>
      <c r="M20">
        <v>45</v>
      </c>
      <c r="N20"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>
        <v>15</v>
      </c>
      <c r="W20" s="9">
        <v>0</v>
      </c>
      <c r="X20" s="9">
        <v>0</v>
      </c>
      <c r="Y20" s="10">
        <v>0</v>
      </c>
      <c r="Z20" t="s">
        <v>904</v>
      </c>
      <c r="AA20" t="s">
        <v>903</v>
      </c>
      <c r="AB20" s="2" t="s">
        <v>921</v>
      </c>
      <c r="AC20" s="9" t="s">
        <v>981</v>
      </c>
      <c r="AD20" s="9" t="s">
        <v>982</v>
      </c>
      <c r="AE20" s="10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0" s="2" t="b">
        <v>0</v>
      </c>
      <c r="AY20"/>
      <c r="AZ20"/>
      <c r="BA20"/>
    </row>
    <row r="21" spans="1:53">
      <c r="A21" s="2" t="s">
        <v>43</v>
      </c>
      <c r="B21">
        <v>1954</v>
      </c>
      <c r="C21">
        <v>0</v>
      </c>
      <c r="D21" t="s">
        <v>1915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>
        <v>8</v>
      </c>
      <c r="K21" s="2" t="s">
        <v>23</v>
      </c>
      <c r="L21">
        <f>_xlfn.XLOOKUP("LOADINGSPEEDDEF_"&amp;PROPERTIES[[#This Row],[LOADINGSPEED]],LOADINGSPEEDDEF[TYPE],LOADINGSPEEDDEF[SPEED])</f>
        <v>40</v>
      </c>
      <c r="M21">
        <v>45</v>
      </c>
      <c r="N21"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>
        <v>15</v>
      </c>
      <c r="W21" s="9">
        <v>0</v>
      </c>
      <c r="X21" s="9">
        <v>0</v>
      </c>
      <c r="Y21" s="10">
        <v>0</v>
      </c>
      <c r="Z21" t="s">
        <v>904</v>
      </c>
      <c r="AA21" t="s">
        <v>903</v>
      </c>
      <c r="AB21" s="2" t="s">
        <v>921</v>
      </c>
      <c r="AC21" s="9" t="s">
        <v>981</v>
      </c>
      <c r="AD21" s="9" t="s">
        <v>982</v>
      </c>
      <c r="AE21" s="10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1" s="2" t="b">
        <v>0</v>
      </c>
      <c r="AY21"/>
      <c r="AZ21"/>
      <c r="BA21"/>
    </row>
    <row r="22" spans="1:53">
      <c r="A22" s="2" t="s">
        <v>44</v>
      </c>
      <c r="B22">
        <v>1984</v>
      </c>
      <c r="C22">
        <v>0</v>
      </c>
      <c r="D22" t="s">
        <v>1915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>
        <v>8</v>
      </c>
      <c r="K22" s="2" t="s">
        <v>23</v>
      </c>
      <c r="L22">
        <f>_xlfn.XLOOKUP("LOADINGSPEEDDEF_"&amp;PROPERTIES[[#This Row],[LOADINGSPEED]],LOADINGSPEEDDEF[TYPE],LOADINGSPEEDDEF[SPEED])</f>
        <v>40</v>
      </c>
      <c r="M22">
        <v>45</v>
      </c>
      <c r="N22"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>
        <v>15</v>
      </c>
      <c r="W22" s="9">
        <v>0</v>
      </c>
      <c r="X22" s="9">
        <v>0</v>
      </c>
      <c r="Y22" s="10">
        <v>0</v>
      </c>
      <c r="Z22" t="s">
        <v>904</v>
      </c>
      <c r="AA22" t="s">
        <v>903</v>
      </c>
      <c r="AB22" s="2" t="s">
        <v>921</v>
      </c>
      <c r="AC22" s="9" t="s">
        <v>981</v>
      </c>
      <c r="AD22" s="9" t="s">
        <v>982</v>
      </c>
      <c r="AE22" s="10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2" s="2" t="b">
        <v>0</v>
      </c>
      <c r="AY22"/>
      <c r="AZ22"/>
      <c r="BA22"/>
    </row>
    <row r="23" spans="1:53">
      <c r="A23" s="2" t="s">
        <v>45</v>
      </c>
      <c r="B23">
        <v>1987</v>
      </c>
      <c r="C23">
        <v>0</v>
      </c>
      <c r="D23" t="s">
        <v>1762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>
        <v>8</v>
      </c>
      <c r="K23" s="2" t="s">
        <v>23</v>
      </c>
      <c r="L23">
        <f>_xlfn.XLOOKUP("LOADINGSPEEDDEF_"&amp;PROPERTIES[[#This Row],[LOADINGSPEED]],LOADINGSPEEDDEF[TYPE],LOADINGSPEEDDEF[SPEED])</f>
        <v>40</v>
      </c>
      <c r="M23">
        <v>45</v>
      </c>
      <c r="N23"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>
        <v>15</v>
      </c>
      <c r="W23" s="9">
        <v>0</v>
      </c>
      <c r="X23" s="9">
        <v>0</v>
      </c>
      <c r="Y23" s="10">
        <v>0</v>
      </c>
      <c r="Z23" t="s">
        <v>904</v>
      </c>
      <c r="AA23" t="s">
        <v>903</v>
      </c>
      <c r="AB23" s="2" t="s">
        <v>921</v>
      </c>
      <c r="AC23" s="9" t="s">
        <v>981</v>
      </c>
      <c r="AD23" s="9" t="s">
        <v>982</v>
      </c>
      <c r="AE23" s="10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3" s="2" t="b">
        <v>0</v>
      </c>
      <c r="AY23"/>
      <c r="AZ23"/>
      <c r="BA23"/>
    </row>
    <row r="24" spans="1:53">
      <c r="A24" s="2" t="s">
        <v>46</v>
      </c>
      <c r="B24">
        <v>1991</v>
      </c>
      <c r="C24">
        <v>0</v>
      </c>
      <c r="D24" t="s">
        <v>1826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>
        <v>8</v>
      </c>
      <c r="K24" s="2" t="s">
        <v>23</v>
      </c>
      <c r="L24">
        <f>_xlfn.XLOOKUP("LOADINGSPEEDDEF_"&amp;PROPERTIES[[#This Row],[LOADINGSPEED]],LOADINGSPEEDDEF[TYPE],LOADINGSPEEDDEF[SPEED])</f>
        <v>40</v>
      </c>
      <c r="M24">
        <v>45</v>
      </c>
      <c r="N24"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>
        <v>15</v>
      </c>
      <c r="W24" s="9">
        <v>0</v>
      </c>
      <c r="X24" s="9">
        <v>0</v>
      </c>
      <c r="Y24" s="10">
        <v>0</v>
      </c>
      <c r="Z24" t="s">
        <v>908</v>
      </c>
      <c r="AA24" t="s">
        <v>903</v>
      </c>
      <c r="AB24" s="2" t="s">
        <v>921</v>
      </c>
      <c r="AC24" s="9" t="s">
        <v>981</v>
      </c>
      <c r="AD24" s="9" t="s">
        <v>982</v>
      </c>
      <c r="AE24" s="10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4" s="2" t="b">
        <v>0</v>
      </c>
      <c r="AY24"/>
      <c r="AZ24"/>
      <c r="BA24"/>
    </row>
    <row r="25" spans="1:53">
      <c r="A25" s="2" t="s">
        <v>47</v>
      </c>
      <c r="B25">
        <v>1996</v>
      </c>
      <c r="C25">
        <v>0</v>
      </c>
      <c r="D25" t="s">
        <v>1806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>
        <v>7</v>
      </c>
      <c r="K25" s="2" t="s">
        <v>23</v>
      </c>
      <c r="L25">
        <f>_xlfn.XLOOKUP("LOADINGSPEEDDEF_"&amp;PROPERTIES[[#This Row],[LOADINGSPEED]],LOADINGSPEEDDEF[TYPE],LOADINGSPEEDDEF[SPEED])</f>
        <v>40</v>
      </c>
      <c r="M25" t="s">
        <v>20</v>
      </c>
      <c r="N25"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>
        <v>15</v>
      </c>
      <c r="W25" s="9">
        <v>0</v>
      </c>
      <c r="X25" s="9">
        <v>0</v>
      </c>
      <c r="Y25" s="10">
        <v>0</v>
      </c>
      <c r="Z25" t="s">
        <v>910</v>
      </c>
      <c r="AA25" t="s">
        <v>903</v>
      </c>
      <c r="AB25" s="2" t="s">
        <v>921</v>
      </c>
      <c r="AC25" s="9" t="s">
        <v>981</v>
      </c>
      <c r="AD25" s="9" t="s">
        <v>982</v>
      </c>
      <c r="AE25" s="10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5" s="2" t="b">
        <v>0</v>
      </c>
      <c r="AY25"/>
      <c r="AZ25"/>
      <c r="BA25"/>
    </row>
    <row r="26" spans="1:53">
      <c r="A26" s="2" t="s">
        <v>48</v>
      </c>
      <c r="B26">
        <v>1996</v>
      </c>
      <c r="C26">
        <v>0</v>
      </c>
      <c r="D26" t="s">
        <v>1807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>
        <v>7</v>
      </c>
      <c r="K26" s="2" t="s">
        <v>23</v>
      </c>
      <c r="L26">
        <f>_xlfn.XLOOKUP("LOADINGSPEEDDEF_"&amp;PROPERTIES[[#This Row],[LOADINGSPEED]],LOADINGSPEEDDEF[TYPE],LOADINGSPEEDDEF[SPEED])</f>
        <v>40</v>
      </c>
      <c r="M26" t="s">
        <v>20</v>
      </c>
      <c r="N26"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>
        <v>15</v>
      </c>
      <c r="W26" s="9">
        <v>0</v>
      </c>
      <c r="X26" s="9">
        <v>0</v>
      </c>
      <c r="Y26" s="10">
        <v>0</v>
      </c>
      <c r="Z26" t="s">
        <v>904</v>
      </c>
      <c r="AA26" t="s">
        <v>903</v>
      </c>
      <c r="AB26" s="2" t="s">
        <v>921</v>
      </c>
      <c r="AC26" s="9" t="s">
        <v>981</v>
      </c>
      <c r="AD26" s="9" t="s">
        <v>982</v>
      </c>
      <c r="AE26" s="10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6" s="2" t="b">
        <v>0</v>
      </c>
      <c r="AY26"/>
      <c r="AZ26"/>
      <c r="BA26"/>
    </row>
    <row r="27" spans="1:53">
      <c r="A27" s="2" t="s">
        <v>49</v>
      </c>
      <c r="B27">
        <v>1997</v>
      </c>
      <c r="C27">
        <v>0</v>
      </c>
      <c r="D27" t="s">
        <v>1882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>
        <v>8</v>
      </c>
      <c r="K27" s="2" t="s">
        <v>23</v>
      </c>
      <c r="L27">
        <f>_xlfn.XLOOKUP("LOADINGSPEEDDEF_"&amp;PROPERTIES[[#This Row],[LOADINGSPEED]],LOADINGSPEEDDEF[TYPE],LOADINGSPEEDDEF[SPEED])</f>
        <v>40</v>
      </c>
      <c r="M27" t="s">
        <v>20</v>
      </c>
      <c r="N27"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>
        <v>15</v>
      </c>
      <c r="W27" s="9">
        <v>0</v>
      </c>
      <c r="X27" s="9">
        <v>0</v>
      </c>
      <c r="Y27" s="10">
        <v>0</v>
      </c>
      <c r="Z27" t="s">
        <v>908</v>
      </c>
      <c r="AA27" t="s">
        <v>903</v>
      </c>
      <c r="AB27" s="2" t="s">
        <v>921</v>
      </c>
      <c r="AC27" s="9" t="s">
        <v>981</v>
      </c>
      <c r="AD27" s="9" t="s">
        <v>982</v>
      </c>
      <c r="AE27" s="10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7" s="2" t="b">
        <v>0</v>
      </c>
      <c r="AY27"/>
      <c r="AZ27"/>
      <c r="BA27"/>
    </row>
    <row r="28" spans="1:53">
      <c r="A28" s="2" t="s">
        <v>50</v>
      </c>
      <c r="B28">
        <v>1902</v>
      </c>
      <c r="C28">
        <v>0</v>
      </c>
      <c r="D28" t="s">
        <v>1762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>
        <v>4</v>
      </c>
      <c r="K28" s="2" t="s">
        <v>23</v>
      </c>
      <c r="L28">
        <f>_xlfn.XLOOKUP("LOADINGSPEEDDEF_"&amp;PROPERTIES[[#This Row],[LOADINGSPEED]],LOADINGSPEEDDEF[TYPE],LOADINGSPEEDDEF[SPEED])</f>
        <v>40</v>
      </c>
      <c r="M28">
        <v>45</v>
      </c>
      <c r="N28"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>
        <v>15</v>
      </c>
      <c r="W28" s="9">
        <v>0</v>
      </c>
      <c r="X28" s="9">
        <v>0</v>
      </c>
      <c r="Y28" s="10">
        <v>0</v>
      </c>
      <c r="Z28" t="s">
        <v>904</v>
      </c>
      <c r="AA28" t="s">
        <v>903</v>
      </c>
      <c r="AB28" s="2" t="s">
        <v>921</v>
      </c>
      <c r="AC28" s="9" t="s">
        <v>981</v>
      </c>
      <c r="AD28" s="9" t="s">
        <v>982</v>
      </c>
      <c r="AE28" s="10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8" s="2" t="b">
        <v>0</v>
      </c>
      <c r="AY28"/>
      <c r="AZ28"/>
      <c r="BA28"/>
    </row>
    <row r="29" spans="1:53">
      <c r="A29" s="2" t="s">
        <v>51</v>
      </c>
      <c r="B29">
        <v>1909</v>
      </c>
      <c r="C29">
        <v>0</v>
      </c>
      <c r="D29" t="s">
        <v>1981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>
        <v>8</v>
      </c>
      <c r="K29" s="2" t="s">
        <v>23</v>
      </c>
      <c r="L29">
        <f>_xlfn.XLOOKUP("LOADINGSPEEDDEF_"&amp;PROPERTIES[[#This Row],[LOADINGSPEED]],LOADINGSPEEDDEF[TYPE],LOADINGSPEEDDEF[SPEED])</f>
        <v>40</v>
      </c>
      <c r="M29">
        <v>45</v>
      </c>
      <c r="N29"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>
        <v>15</v>
      </c>
      <c r="W29" s="9">
        <v>0</v>
      </c>
      <c r="X29" s="9">
        <v>0</v>
      </c>
      <c r="Y29" s="10">
        <v>0</v>
      </c>
      <c r="Z29" t="s">
        <v>909</v>
      </c>
      <c r="AA29" t="s">
        <v>903</v>
      </c>
      <c r="AB29" s="2" t="s">
        <v>921</v>
      </c>
      <c r="AC29" s="9" t="s">
        <v>981</v>
      </c>
      <c r="AD29" s="9" t="s">
        <v>982</v>
      </c>
      <c r="AE29" s="10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9" s="2" t="b">
        <v>0</v>
      </c>
      <c r="AY29"/>
      <c r="AZ29"/>
      <c r="BA29"/>
    </row>
    <row r="30" spans="1:53">
      <c r="A30" s="2" t="s">
        <v>52</v>
      </c>
      <c r="B30">
        <v>1914</v>
      </c>
      <c r="C30">
        <v>0</v>
      </c>
      <c r="D30" t="s">
        <v>1807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>
        <v>10</v>
      </c>
      <c r="K30" s="2" t="s">
        <v>23</v>
      </c>
      <c r="L30">
        <f>_xlfn.XLOOKUP("LOADINGSPEEDDEF_"&amp;PROPERTIES[[#This Row],[LOADINGSPEED]],LOADINGSPEEDDEF[TYPE],LOADINGSPEEDDEF[SPEED])</f>
        <v>40</v>
      </c>
      <c r="M30">
        <v>45</v>
      </c>
      <c r="N30"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>
        <v>15</v>
      </c>
      <c r="W30" s="9">
        <v>0</v>
      </c>
      <c r="X30" s="9">
        <v>2</v>
      </c>
      <c r="Y30" s="10">
        <v>0</v>
      </c>
      <c r="Z30" t="s">
        <v>904</v>
      </c>
      <c r="AA30" t="s">
        <v>903</v>
      </c>
      <c r="AB30" s="2" t="s">
        <v>921</v>
      </c>
      <c r="AC30" s="9" t="s">
        <v>981</v>
      </c>
      <c r="AD30" s="9" t="s">
        <v>982</v>
      </c>
      <c r="AE30" s="10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0" s="2" t="b">
        <v>0</v>
      </c>
      <c r="AY30"/>
      <c r="AZ30"/>
      <c r="BA30"/>
    </row>
    <row r="31" spans="1:53">
      <c r="A31" s="2" t="s">
        <v>53</v>
      </c>
      <c r="B31">
        <v>1921</v>
      </c>
      <c r="C31">
        <v>0</v>
      </c>
      <c r="D31" t="s">
        <v>1826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>
        <v>4</v>
      </c>
      <c r="K31" s="2" t="s">
        <v>23</v>
      </c>
      <c r="L31">
        <f>_xlfn.XLOOKUP("LOADINGSPEEDDEF_"&amp;PROPERTIES[[#This Row],[LOADINGSPEED]],LOADINGSPEEDDEF[TYPE],LOADINGSPEEDDEF[SPEED])</f>
        <v>40</v>
      </c>
      <c r="M31">
        <v>45</v>
      </c>
      <c r="N31"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>
        <v>15</v>
      </c>
      <c r="W31" s="9">
        <v>0</v>
      </c>
      <c r="X31" s="9">
        <v>0</v>
      </c>
      <c r="Y31" s="10">
        <v>0</v>
      </c>
      <c r="Z31" t="s">
        <v>908</v>
      </c>
      <c r="AA31" t="s">
        <v>903</v>
      </c>
      <c r="AB31" s="2" t="s">
        <v>921</v>
      </c>
      <c r="AC31" s="9" t="s">
        <v>981</v>
      </c>
      <c r="AD31" s="9" t="s">
        <v>982</v>
      </c>
      <c r="AE31" s="10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1" s="2" t="b">
        <v>0</v>
      </c>
      <c r="AY31"/>
      <c r="AZ31"/>
      <c r="BA31"/>
    </row>
    <row r="32" spans="1:53">
      <c r="A32" s="2" t="s">
        <v>54</v>
      </c>
      <c r="B32">
        <v>1922</v>
      </c>
      <c r="C32">
        <v>0</v>
      </c>
      <c r="D32" t="s">
        <v>1807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>
        <v>5</v>
      </c>
      <c r="K32" s="2" t="s">
        <v>23</v>
      </c>
      <c r="L32">
        <f>_xlfn.XLOOKUP("LOADINGSPEEDDEF_"&amp;PROPERTIES[[#This Row],[LOADINGSPEED]],LOADINGSPEEDDEF[TYPE],LOADINGSPEEDDEF[SPEED])</f>
        <v>40</v>
      </c>
      <c r="M32">
        <v>45</v>
      </c>
      <c r="N32"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>
        <v>15</v>
      </c>
      <c r="W32" s="9">
        <v>0</v>
      </c>
      <c r="X32" s="9">
        <v>0</v>
      </c>
      <c r="Y32" s="10">
        <v>0</v>
      </c>
      <c r="Z32" t="s">
        <v>904</v>
      </c>
      <c r="AA32" t="s">
        <v>903</v>
      </c>
      <c r="AB32" s="2" t="s">
        <v>921</v>
      </c>
      <c r="AC32" s="9" t="s">
        <v>981</v>
      </c>
      <c r="AD32" s="9" t="s">
        <v>982</v>
      </c>
      <c r="AE32" s="10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2" s="2" t="b">
        <v>0</v>
      </c>
      <c r="AY32"/>
      <c r="AZ32"/>
      <c r="BA32"/>
    </row>
    <row r="33" spans="1:53">
      <c r="A33" s="2" t="s">
        <v>55</v>
      </c>
      <c r="B33">
        <v>1928</v>
      </c>
      <c r="C33">
        <v>0</v>
      </c>
      <c r="D33" t="s">
        <v>1763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>
        <v>7</v>
      </c>
      <c r="K33" s="2" t="s">
        <v>23</v>
      </c>
      <c r="L33">
        <f>_xlfn.XLOOKUP("LOADINGSPEEDDEF_"&amp;PROPERTIES[[#This Row],[LOADINGSPEED]],LOADINGSPEEDDEF[TYPE],LOADINGSPEEDDEF[SPEED])</f>
        <v>40</v>
      </c>
      <c r="M33">
        <v>45</v>
      </c>
      <c r="N33"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>
        <v>15</v>
      </c>
      <c r="W33" s="9">
        <v>0</v>
      </c>
      <c r="X33" s="9">
        <v>0</v>
      </c>
      <c r="Y33" s="10">
        <v>0</v>
      </c>
      <c r="Z33" t="s">
        <v>906</v>
      </c>
      <c r="AA33" t="s">
        <v>903</v>
      </c>
      <c r="AB33" s="2" t="s">
        <v>921</v>
      </c>
      <c r="AC33" s="9" t="s">
        <v>981</v>
      </c>
      <c r="AD33" s="9" t="s">
        <v>982</v>
      </c>
      <c r="AE33" s="10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3" s="2" t="b">
        <v>0</v>
      </c>
      <c r="AY33"/>
      <c r="AZ33"/>
      <c r="BA33"/>
    </row>
    <row r="34" spans="1:53">
      <c r="A34" s="2" t="s">
        <v>56</v>
      </c>
      <c r="B34">
        <v>1930</v>
      </c>
      <c r="C34">
        <v>0</v>
      </c>
      <c r="D34" t="s">
        <v>1806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>
        <v>5</v>
      </c>
      <c r="K34" s="2" t="s">
        <v>23</v>
      </c>
      <c r="L34">
        <f>_xlfn.XLOOKUP("LOADINGSPEEDDEF_"&amp;PROPERTIES[[#This Row],[LOADINGSPEED]],LOADINGSPEEDDEF[TYPE],LOADINGSPEEDDEF[SPEED])</f>
        <v>40</v>
      </c>
      <c r="M34">
        <v>45</v>
      </c>
      <c r="N34"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>
        <v>15</v>
      </c>
      <c r="W34" s="9">
        <v>0</v>
      </c>
      <c r="X34" s="9">
        <v>0</v>
      </c>
      <c r="Y34" s="10">
        <v>0</v>
      </c>
      <c r="Z34" t="s">
        <v>910</v>
      </c>
      <c r="AA34" t="s">
        <v>903</v>
      </c>
      <c r="AB34" s="2" t="s">
        <v>921</v>
      </c>
      <c r="AC34" s="9" t="s">
        <v>981</v>
      </c>
      <c r="AD34" s="9" t="s">
        <v>982</v>
      </c>
      <c r="AE34" s="10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4" s="2" t="b">
        <v>0</v>
      </c>
      <c r="AY34"/>
      <c r="AZ34"/>
      <c r="BA34"/>
    </row>
    <row r="35" spans="1:53">
      <c r="A35" s="2" t="s">
        <v>57</v>
      </c>
      <c r="B35">
        <v>1930</v>
      </c>
      <c r="C35">
        <v>0</v>
      </c>
      <c r="D35" t="s">
        <v>1807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>
        <v>8</v>
      </c>
      <c r="K35" s="2" t="s">
        <v>23</v>
      </c>
      <c r="L35">
        <f>_xlfn.XLOOKUP("LOADINGSPEEDDEF_"&amp;PROPERTIES[[#This Row],[LOADINGSPEED]],LOADINGSPEEDDEF[TYPE],LOADINGSPEEDDEF[SPEED])</f>
        <v>40</v>
      </c>
      <c r="M35">
        <v>45</v>
      </c>
      <c r="N35"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>
        <v>15</v>
      </c>
      <c r="W35" s="9">
        <v>0</v>
      </c>
      <c r="X35" s="9">
        <v>0</v>
      </c>
      <c r="Y35" s="10">
        <v>0</v>
      </c>
      <c r="Z35" t="s">
        <v>904</v>
      </c>
      <c r="AA35" t="s">
        <v>903</v>
      </c>
      <c r="AB35" s="2" t="s">
        <v>921</v>
      </c>
      <c r="AC35" s="9" t="s">
        <v>981</v>
      </c>
      <c r="AD35" s="9" t="s">
        <v>982</v>
      </c>
      <c r="AE35" s="10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35" s="2" t="b">
        <v>0</v>
      </c>
      <c r="AY35"/>
      <c r="AZ35"/>
      <c r="BA35"/>
    </row>
    <row r="36" spans="1:53">
      <c r="A36" s="2" t="s">
        <v>58</v>
      </c>
      <c r="B36">
        <v>1935</v>
      </c>
      <c r="C36">
        <v>0</v>
      </c>
      <c r="D36" t="s">
        <v>1809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>
        <v>8</v>
      </c>
      <c r="K36" s="2" t="s">
        <v>23</v>
      </c>
      <c r="L36">
        <f>_xlfn.XLOOKUP("LOADINGSPEEDDEF_"&amp;PROPERTIES[[#This Row],[LOADINGSPEED]],LOADINGSPEEDDEF[TYPE],LOADINGSPEEDDEF[SPEED])</f>
        <v>40</v>
      </c>
      <c r="M36">
        <v>45</v>
      </c>
      <c r="N36"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>
        <v>15</v>
      </c>
      <c r="W36" s="9">
        <v>0</v>
      </c>
      <c r="X36" s="9">
        <v>0</v>
      </c>
      <c r="Y36" s="10">
        <v>0</v>
      </c>
      <c r="Z36" t="s">
        <v>908</v>
      </c>
      <c r="AA36" t="s">
        <v>903</v>
      </c>
      <c r="AB36" s="2" t="s">
        <v>921</v>
      </c>
      <c r="AC36" s="9" t="s">
        <v>981</v>
      </c>
      <c r="AD36" s="9" t="s">
        <v>982</v>
      </c>
      <c r="AE36" s="10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6" s="2" t="b">
        <v>0</v>
      </c>
      <c r="AY36"/>
      <c r="AZ36"/>
      <c r="BA36"/>
    </row>
    <row r="37" spans="1:53">
      <c r="A37" s="2" t="s">
        <v>59</v>
      </c>
      <c r="B37">
        <v>1935</v>
      </c>
      <c r="C37">
        <v>0</v>
      </c>
      <c r="D37" t="s">
        <v>1916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>
        <v>6</v>
      </c>
      <c r="K37" s="2" t="s">
        <v>23</v>
      </c>
      <c r="L37">
        <f>_xlfn.XLOOKUP("LOADINGSPEEDDEF_"&amp;PROPERTIES[[#This Row],[LOADINGSPEED]],LOADINGSPEEDDEF[TYPE],LOADINGSPEEDDEF[SPEED])</f>
        <v>40</v>
      </c>
      <c r="M37">
        <v>45</v>
      </c>
      <c r="N37"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>
        <v>15</v>
      </c>
      <c r="W37" s="9">
        <v>0</v>
      </c>
      <c r="X37" s="9">
        <v>0</v>
      </c>
      <c r="Y37" s="10">
        <v>0</v>
      </c>
      <c r="Z37" t="s">
        <v>908</v>
      </c>
      <c r="AA37" t="s">
        <v>903</v>
      </c>
      <c r="AB37" s="2" t="s">
        <v>921</v>
      </c>
      <c r="AC37" s="9" t="s">
        <v>981</v>
      </c>
      <c r="AD37" s="9" t="s">
        <v>982</v>
      </c>
      <c r="AE37" s="10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7" s="2" t="b">
        <v>0</v>
      </c>
      <c r="AY37"/>
      <c r="AZ37"/>
      <c r="BA37"/>
    </row>
    <row r="38" spans="1:53">
      <c r="A38" s="2" t="s">
        <v>60</v>
      </c>
      <c r="B38">
        <v>1936</v>
      </c>
      <c r="C38">
        <v>0</v>
      </c>
      <c r="D38" t="s">
        <v>1806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>
        <v>7</v>
      </c>
      <c r="K38" s="2" t="s">
        <v>23</v>
      </c>
      <c r="L38">
        <f>_xlfn.XLOOKUP("LOADINGSPEEDDEF_"&amp;PROPERTIES[[#This Row],[LOADINGSPEED]],LOADINGSPEEDDEF[TYPE],LOADINGSPEEDDEF[SPEED])</f>
        <v>40</v>
      </c>
      <c r="M38">
        <v>45</v>
      </c>
      <c r="N38"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>
        <v>15</v>
      </c>
      <c r="W38" s="9">
        <v>0</v>
      </c>
      <c r="X38" s="9">
        <v>0</v>
      </c>
      <c r="Y38" s="10">
        <v>0</v>
      </c>
      <c r="Z38" t="s">
        <v>910</v>
      </c>
      <c r="AA38" t="s">
        <v>903</v>
      </c>
      <c r="AB38" s="2" t="s">
        <v>921</v>
      </c>
      <c r="AC38" s="9" t="s">
        <v>981</v>
      </c>
      <c r="AD38" s="9" t="s">
        <v>982</v>
      </c>
      <c r="AE38" s="10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8" s="2" t="b">
        <v>0</v>
      </c>
      <c r="AY38"/>
      <c r="AZ38"/>
      <c r="BA38"/>
    </row>
    <row r="39" spans="1:53">
      <c r="A39" s="2" t="s">
        <v>61</v>
      </c>
      <c r="B39">
        <v>1937</v>
      </c>
      <c r="C39">
        <v>0</v>
      </c>
      <c r="D39" t="s">
        <v>1915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>
        <v>8</v>
      </c>
      <c r="K39" s="2" t="s">
        <v>23</v>
      </c>
      <c r="L39">
        <f>_xlfn.XLOOKUP("LOADINGSPEEDDEF_"&amp;PROPERTIES[[#This Row],[LOADINGSPEED]],LOADINGSPEEDDEF[TYPE],LOADINGSPEEDDEF[SPEED])</f>
        <v>40</v>
      </c>
      <c r="M39">
        <v>45</v>
      </c>
      <c r="N39"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>
        <v>15</v>
      </c>
      <c r="W39" s="9">
        <v>0</v>
      </c>
      <c r="X39" s="9">
        <v>0</v>
      </c>
      <c r="Y39" s="10">
        <v>0</v>
      </c>
      <c r="Z39" t="s">
        <v>904</v>
      </c>
      <c r="AA39" t="s">
        <v>903</v>
      </c>
      <c r="AB39" s="2" t="s">
        <v>921</v>
      </c>
      <c r="AC39" s="9" t="s">
        <v>981</v>
      </c>
      <c r="AD39" s="9" t="s">
        <v>982</v>
      </c>
      <c r="AE39" s="10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9" s="2" t="b">
        <v>0</v>
      </c>
      <c r="AY39"/>
      <c r="AZ39"/>
      <c r="BA39"/>
    </row>
    <row r="40" spans="1:53">
      <c r="A40" s="2" t="s">
        <v>62</v>
      </c>
      <c r="B40">
        <v>1938</v>
      </c>
      <c r="C40">
        <v>0</v>
      </c>
      <c r="D40" t="s">
        <v>1763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>
        <v>7</v>
      </c>
      <c r="K40" s="2" t="s">
        <v>23</v>
      </c>
      <c r="L40">
        <f>_xlfn.XLOOKUP("LOADINGSPEEDDEF_"&amp;PROPERTIES[[#This Row],[LOADINGSPEED]],LOADINGSPEEDDEF[TYPE],LOADINGSPEEDDEF[SPEED])</f>
        <v>40</v>
      </c>
      <c r="M40">
        <v>45</v>
      </c>
      <c r="N40"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>
        <v>15</v>
      </c>
      <c r="W40" s="9">
        <v>0</v>
      </c>
      <c r="X40" s="9">
        <v>0</v>
      </c>
      <c r="Y40" s="10">
        <v>0</v>
      </c>
      <c r="Z40" t="s">
        <v>906</v>
      </c>
      <c r="AA40" t="s">
        <v>903</v>
      </c>
      <c r="AB40" s="2" t="s">
        <v>921</v>
      </c>
      <c r="AC40" s="9" t="s">
        <v>981</v>
      </c>
      <c r="AD40" s="9" t="s">
        <v>982</v>
      </c>
      <c r="AE40" s="10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0" s="2" t="b">
        <v>0</v>
      </c>
      <c r="AY40"/>
      <c r="AZ40"/>
      <c r="BA40"/>
    </row>
    <row r="41" spans="1:53">
      <c r="A41" s="2" t="s">
        <v>63</v>
      </c>
      <c r="B41">
        <v>1941</v>
      </c>
      <c r="C41">
        <v>0</v>
      </c>
      <c r="D41" t="s">
        <v>1933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>
        <v>5</v>
      </c>
      <c r="K41" s="2" t="s">
        <v>23</v>
      </c>
      <c r="L41">
        <f>_xlfn.XLOOKUP("LOADINGSPEEDDEF_"&amp;PROPERTIES[[#This Row],[LOADINGSPEED]],LOADINGSPEEDDEF[TYPE],LOADINGSPEEDDEF[SPEED])</f>
        <v>40</v>
      </c>
      <c r="M41">
        <v>45</v>
      </c>
      <c r="N41"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>
        <v>15</v>
      </c>
      <c r="W41" s="9">
        <v>0</v>
      </c>
      <c r="X41" s="9">
        <v>0</v>
      </c>
      <c r="Y41" s="10">
        <v>0</v>
      </c>
      <c r="Z41" t="s">
        <v>905</v>
      </c>
      <c r="AA41" t="s">
        <v>903</v>
      </c>
      <c r="AB41" s="2" t="s">
        <v>921</v>
      </c>
      <c r="AC41" s="9" t="s">
        <v>981</v>
      </c>
      <c r="AD41" s="9" t="s">
        <v>982</v>
      </c>
      <c r="AE41" s="10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1" s="2" t="b">
        <v>0</v>
      </c>
      <c r="AY41"/>
      <c r="AZ41"/>
      <c r="BA41"/>
    </row>
    <row r="42" spans="1:53">
      <c r="A42" s="2" t="s">
        <v>64</v>
      </c>
      <c r="B42">
        <v>1954</v>
      </c>
      <c r="C42">
        <v>0</v>
      </c>
      <c r="D42" t="s">
        <v>1770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>
        <v>7</v>
      </c>
      <c r="K42" s="2" t="s">
        <v>23</v>
      </c>
      <c r="L42">
        <f>_xlfn.XLOOKUP("LOADINGSPEEDDEF_"&amp;PROPERTIES[[#This Row],[LOADINGSPEED]],LOADINGSPEEDDEF[TYPE],LOADINGSPEEDDEF[SPEED])</f>
        <v>40</v>
      </c>
      <c r="M42">
        <v>45</v>
      </c>
      <c r="N42"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>
        <v>15</v>
      </c>
      <c r="W42" s="9">
        <v>0</v>
      </c>
      <c r="X42" s="9">
        <v>0</v>
      </c>
      <c r="Y42" s="10">
        <v>0</v>
      </c>
      <c r="Z42" t="s">
        <v>904</v>
      </c>
      <c r="AA42" t="s">
        <v>903</v>
      </c>
      <c r="AB42" s="2" t="s">
        <v>921</v>
      </c>
      <c r="AC42" s="9" t="s">
        <v>981</v>
      </c>
      <c r="AD42" s="9" t="s">
        <v>982</v>
      </c>
      <c r="AE42" s="10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2" s="2" t="b">
        <v>0</v>
      </c>
      <c r="AY42"/>
      <c r="AZ42"/>
      <c r="BA42"/>
    </row>
    <row r="43" spans="1:53">
      <c r="A43" s="2" t="s">
        <v>65</v>
      </c>
      <c r="B43">
        <v>1960</v>
      </c>
      <c r="C43">
        <v>0</v>
      </c>
      <c r="D43" t="s">
        <v>1772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>
        <v>8</v>
      </c>
      <c r="K43" s="2" t="s">
        <v>23</v>
      </c>
      <c r="L43">
        <f>_xlfn.XLOOKUP("LOADINGSPEEDDEF_"&amp;PROPERTIES[[#This Row],[LOADINGSPEED]],LOADINGSPEEDDEF[TYPE],LOADINGSPEEDDEF[SPEED])</f>
        <v>40</v>
      </c>
      <c r="M43">
        <v>45</v>
      </c>
      <c r="N43"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>
        <v>15</v>
      </c>
      <c r="W43" s="9">
        <v>0</v>
      </c>
      <c r="X43" s="9">
        <v>0</v>
      </c>
      <c r="Y43" s="10">
        <v>0</v>
      </c>
      <c r="Z43" t="s">
        <v>910</v>
      </c>
      <c r="AA43" t="s">
        <v>903</v>
      </c>
      <c r="AB43" s="2" t="s">
        <v>921</v>
      </c>
      <c r="AC43" s="9" t="s">
        <v>981</v>
      </c>
      <c r="AD43" s="9" t="s">
        <v>982</v>
      </c>
      <c r="AE43" s="10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3" s="2" t="b">
        <v>0</v>
      </c>
      <c r="AY43"/>
      <c r="AZ43"/>
      <c r="BA43"/>
    </row>
    <row r="44" spans="1:53">
      <c r="A44" s="2" t="s">
        <v>66</v>
      </c>
      <c r="B44">
        <v>1962</v>
      </c>
      <c r="C44">
        <v>0</v>
      </c>
      <c r="D44" t="s">
        <v>1838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>
        <v>8</v>
      </c>
      <c r="K44" s="2" t="s">
        <v>23</v>
      </c>
      <c r="L44">
        <f>_xlfn.XLOOKUP("LOADINGSPEEDDEF_"&amp;PROPERTIES[[#This Row],[LOADINGSPEED]],LOADINGSPEEDDEF[TYPE],LOADINGSPEEDDEF[SPEED])</f>
        <v>40</v>
      </c>
      <c r="M44">
        <v>45</v>
      </c>
      <c r="N44"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>
        <v>15</v>
      </c>
      <c r="W44" s="9">
        <v>0</v>
      </c>
      <c r="X44" s="9">
        <v>0</v>
      </c>
      <c r="Y44" s="10">
        <v>0</v>
      </c>
      <c r="Z44" t="s">
        <v>905</v>
      </c>
      <c r="AA44" t="s">
        <v>903</v>
      </c>
      <c r="AB44" s="2" t="s">
        <v>921</v>
      </c>
      <c r="AC44" s="9" t="s">
        <v>981</v>
      </c>
      <c r="AD44" s="9" t="s">
        <v>982</v>
      </c>
      <c r="AE44" s="10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4" s="2" t="b">
        <v>0</v>
      </c>
      <c r="AY44"/>
      <c r="AZ44"/>
      <c r="BA44"/>
    </row>
    <row r="45" spans="1:53">
      <c r="A45" s="2" t="s">
        <v>67</v>
      </c>
      <c r="B45">
        <v>1975</v>
      </c>
      <c r="C45">
        <v>0</v>
      </c>
      <c r="D45" t="s">
        <v>1972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>
        <v>8</v>
      </c>
      <c r="K45" s="2" t="s">
        <v>23</v>
      </c>
      <c r="L45">
        <f>_xlfn.XLOOKUP("LOADINGSPEEDDEF_"&amp;PROPERTIES[[#This Row],[LOADINGSPEED]],LOADINGSPEEDDEF[TYPE],LOADINGSPEEDDEF[SPEED])</f>
        <v>40</v>
      </c>
      <c r="M45">
        <v>45</v>
      </c>
      <c r="N45"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>
        <v>15</v>
      </c>
      <c r="W45" s="9">
        <v>0</v>
      </c>
      <c r="X45" s="9">
        <v>0</v>
      </c>
      <c r="Y45" s="10">
        <v>0</v>
      </c>
      <c r="Z45" t="s">
        <v>907</v>
      </c>
      <c r="AA45" t="s">
        <v>903</v>
      </c>
      <c r="AB45" s="2" t="s">
        <v>921</v>
      </c>
      <c r="AC45" s="9" t="s">
        <v>981</v>
      </c>
      <c r="AD45" s="9" t="s">
        <v>982</v>
      </c>
      <c r="AE45" s="10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" s="2" t="b">
        <v>0</v>
      </c>
      <c r="AY45"/>
      <c r="AZ45"/>
      <c r="BA45"/>
    </row>
    <row r="46" spans="1:53">
      <c r="A46" s="2" t="s">
        <v>68</v>
      </c>
      <c r="B46">
        <v>1979</v>
      </c>
      <c r="C46">
        <v>0</v>
      </c>
      <c r="D46" t="s">
        <v>1981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>
        <v>8</v>
      </c>
      <c r="K46" s="2" t="s">
        <v>23</v>
      </c>
      <c r="L46">
        <f>_xlfn.XLOOKUP("LOADINGSPEEDDEF_"&amp;PROPERTIES[[#This Row],[LOADINGSPEED]],LOADINGSPEEDDEF[TYPE],LOADINGSPEEDDEF[SPEED])</f>
        <v>40</v>
      </c>
      <c r="M46">
        <v>45</v>
      </c>
      <c r="N46"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>
        <v>15</v>
      </c>
      <c r="W46" s="9">
        <v>0</v>
      </c>
      <c r="X46" s="9">
        <v>0</v>
      </c>
      <c r="Y46" s="10">
        <v>0</v>
      </c>
      <c r="Z46" t="s">
        <v>909</v>
      </c>
      <c r="AA46" t="s">
        <v>903</v>
      </c>
      <c r="AB46" s="2" t="s">
        <v>921</v>
      </c>
      <c r="AC46" s="9" t="s">
        <v>981</v>
      </c>
      <c r="AD46" s="9" t="s">
        <v>982</v>
      </c>
      <c r="AE46" s="10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" s="2" t="b">
        <v>0</v>
      </c>
      <c r="AY46"/>
      <c r="AZ46"/>
      <c r="BA46"/>
    </row>
    <row r="47" spans="1:53">
      <c r="A47" s="2" t="s">
        <v>69</v>
      </c>
      <c r="B47">
        <v>2005</v>
      </c>
      <c r="C47">
        <v>0</v>
      </c>
      <c r="D47" t="s">
        <v>1820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>
        <v>8</v>
      </c>
      <c r="K47" s="2" t="s">
        <v>23</v>
      </c>
      <c r="L47">
        <f>_xlfn.XLOOKUP("LOADINGSPEEDDEF_"&amp;PROPERTIES[[#This Row],[LOADINGSPEED]],LOADINGSPEEDDEF[TYPE],LOADINGSPEEDDEF[SPEED])</f>
        <v>40</v>
      </c>
      <c r="M47" t="s">
        <v>20</v>
      </c>
      <c r="N47"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>
        <v>15</v>
      </c>
      <c r="W47" s="9">
        <v>0</v>
      </c>
      <c r="X47" s="9">
        <v>0</v>
      </c>
      <c r="Y47" s="10">
        <v>0</v>
      </c>
      <c r="Z47" t="s">
        <v>908</v>
      </c>
      <c r="AA47" t="s">
        <v>903</v>
      </c>
      <c r="AB47" s="2" t="s">
        <v>921</v>
      </c>
      <c r="AC47" s="9" t="s">
        <v>981</v>
      </c>
      <c r="AD47" s="9" t="s">
        <v>982</v>
      </c>
      <c r="AE47" s="10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" s="2" t="b">
        <v>0</v>
      </c>
      <c r="AY47"/>
      <c r="AZ47"/>
      <c r="BA47"/>
    </row>
    <row r="48" spans="1:53">
      <c r="A48" s="2" t="s">
        <v>70</v>
      </c>
      <c r="B48">
        <v>2011</v>
      </c>
      <c r="C48">
        <v>0</v>
      </c>
      <c r="D48" t="s">
        <v>1806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>
        <v>8</v>
      </c>
      <c r="K48" s="2" t="s">
        <v>23</v>
      </c>
      <c r="L48">
        <f>_xlfn.XLOOKUP("LOADINGSPEEDDEF_"&amp;PROPERTIES[[#This Row],[LOADINGSPEED]],LOADINGSPEEDDEF[TYPE],LOADINGSPEEDDEF[SPEED])</f>
        <v>40</v>
      </c>
      <c r="M48" t="s">
        <v>20</v>
      </c>
      <c r="N48"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>
        <v>15</v>
      </c>
      <c r="W48" s="9">
        <v>0</v>
      </c>
      <c r="X48" s="9">
        <v>0</v>
      </c>
      <c r="Y48" s="10">
        <v>0</v>
      </c>
      <c r="Z48" t="s">
        <v>910</v>
      </c>
      <c r="AA48" t="s">
        <v>903</v>
      </c>
      <c r="AB48" s="2" t="s">
        <v>921</v>
      </c>
      <c r="AC48" s="9" t="s">
        <v>981</v>
      </c>
      <c r="AD48" s="9" t="s">
        <v>982</v>
      </c>
      <c r="AE48" s="10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" s="2" t="b">
        <v>0</v>
      </c>
      <c r="AY48"/>
      <c r="AZ48"/>
      <c r="BA48"/>
    </row>
    <row r="49" spans="1:53">
      <c r="A49" s="2" t="s">
        <v>71</v>
      </c>
      <c r="B49">
        <v>1956</v>
      </c>
      <c r="C49">
        <v>0</v>
      </c>
      <c r="D49" t="s">
        <v>1859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>
        <v>8</v>
      </c>
      <c r="K49" s="2" t="s">
        <v>23</v>
      </c>
      <c r="L49">
        <f>_xlfn.XLOOKUP("LOADINGSPEEDDEF_"&amp;PROPERTIES[[#This Row],[LOADINGSPEED]],LOADINGSPEEDDEF[TYPE],LOADINGSPEEDDEF[SPEED])</f>
        <v>40</v>
      </c>
      <c r="M49">
        <v>45</v>
      </c>
      <c r="N49"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>
        <v>25</v>
      </c>
      <c r="W49" s="9">
        <v>0</v>
      </c>
      <c r="X49" s="9">
        <v>0</v>
      </c>
      <c r="Y49" s="10">
        <v>0</v>
      </c>
      <c r="Z49" t="s">
        <v>905</v>
      </c>
      <c r="AA49" t="s">
        <v>903</v>
      </c>
      <c r="AB49" s="2" t="s">
        <v>921</v>
      </c>
      <c r="AC49" s="9" t="s">
        <v>981</v>
      </c>
      <c r="AD49" s="9" t="s">
        <v>982</v>
      </c>
      <c r="AE49" s="10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" s="2" t="b">
        <v>0</v>
      </c>
      <c r="AY49"/>
      <c r="AZ49"/>
      <c r="BA49"/>
    </row>
    <row r="50" spans="1:53">
      <c r="A50" s="2" t="s">
        <v>72</v>
      </c>
      <c r="B50">
        <v>1903</v>
      </c>
      <c r="C50">
        <v>0</v>
      </c>
      <c r="D50" t="s">
        <v>1806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>
        <v>7</v>
      </c>
      <c r="K50" s="2" t="s">
        <v>23</v>
      </c>
      <c r="L50">
        <f>_xlfn.XLOOKUP("LOADINGSPEEDDEF_"&amp;PROPERTIES[[#This Row],[LOADINGSPEED]],LOADINGSPEEDDEF[TYPE],LOADINGSPEEDDEF[SPEED])</f>
        <v>40</v>
      </c>
      <c r="M50">
        <v>45</v>
      </c>
      <c r="N50"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>
        <v>15</v>
      </c>
      <c r="W50" s="9">
        <v>0</v>
      </c>
      <c r="X50" s="9">
        <v>0</v>
      </c>
      <c r="Y50" s="10">
        <v>0</v>
      </c>
      <c r="Z50" t="s">
        <v>910</v>
      </c>
      <c r="AA50" t="s">
        <v>903</v>
      </c>
      <c r="AB50" s="2" t="s">
        <v>921</v>
      </c>
      <c r="AC50" s="9" t="s">
        <v>983</v>
      </c>
      <c r="AD50" s="9" t="s">
        <v>984</v>
      </c>
      <c r="AE50" s="10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" s="2" t="b">
        <v>0</v>
      </c>
      <c r="AY50"/>
      <c r="AZ50"/>
      <c r="BA50"/>
    </row>
    <row r="51" spans="1:53">
      <c r="A51" s="2" t="s">
        <v>74</v>
      </c>
      <c r="B51">
        <v>1960</v>
      </c>
      <c r="C51">
        <v>0</v>
      </c>
      <c r="D51" t="s">
        <v>1825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>
        <v>8</v>
      </c>
      <c r="K51" s="2" t="s">
        <v>23</v>
      </c>
      <c r="L51">
        <f>_xlfn.XLOOKUP("LOADINGSPEEDDEF_"&amp;PROPERTIES[[#This Row],[LOADINGSPEED]],LOADINGSPEEDDEF[TYPE],LOADINGSPEEDDEF[SPEED])</f>
        <v>40</v>
      </c>
      <c r="M51">
        <v>45</v>
      </c>
      <c r="N51"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>
        <v>15</v>
      </c>
      <c r="W51" s="9">
        <v>0</v>
      </c>
      <c r="X51" s="9">
        <v>0</v>
      </c>
      <c r="Y51" s="10">
        <v>0</v>
      </c>
      <c r="Z51" t="s">
        <v>904</v>
      </c>
      <c r="AA51" t="s">
        <v>903</v>
      </c>
      <c r="AB51" s="2" t="s">
        <v>921</v>
      </c>
      <c r="AC51" s="9" t="s">
        <v>983</v>
      </c>
      <c r="AD51" s="9" t="s">
        <v>984</v>
      </c>
      <c r="AE51" s="10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" s="2" t="b">
        <v>0</v>
      </c>
      <c r="AY51"/>
      <c r="AZ51"/>
      <c r="BA51"/>
    </row>
    <row r="52" spans="1:53">
      <c r="A52" s="2" t="s">
        <v>75</v>
      </c>
      <c r="B52">
        <v>1930</v>
      </c>
      <c r="C52">
        <v>0</v>
      </c>
      <c r="D52" t="s">
        <v>1807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>
        <v>4</v>
      </c>
      <c r="K52" s="2" t="s">
        <v>23</v>
      </c>
      <c r="L52">
        <f>_xlfn.XLOOKUP("LOADINGSPEEDDEF_"&amp;PROPERTIES[[#This Row],[LOADINGSPEED]],LOADINGSPEEDDEF[TYPE],LOADINGSPEEDDEF[SPEED])</f>
        <v>40</v>
      </c>
      <c r="M52">
        <v>45</v>
      </c>
      <c r="N52"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>
        <v>15</v>
      </c>
      <c r="W52" s="9">
        <v>0</v>
      </c>
      <c r="X52" s="9">
        <v>0</v>
      </c>
      <c r="Y52" s="10">
        <v>0</v>
      </c>
      <c r="Z52" t="s">
        <v>904</v>
      </c>
      <c r="AA52" t="s">
        <v>903</v>
      </c>
      <c r="AB52" s="2" t="s">
        <v>921</v>
      </c>
      <c r="AC52" s="9" t="s">
        <v>983</v>
      </c>
      <c r="AD52" s="9" t="s">
        <v>984</v>
      </c>
      <c r="AE52" s="10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" s="2" t="b">
        <v>0</v>
      </c>
      <c r="AY52"/>
      <c r="AZ52"/>
      <c r="BA52"/>
    </row>
    <row r="53" spans="1:53">
      <c r="A53" s="2" t="s">
        <v>76</v>
      </c>
      <c r="B53">
        <v>1982</v>
      </c>
      <c r="C53">
        <v>0</v>
      </c>
      <c r="D53" t="s">
        <v>1807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>
        <v>5</v>
      </c>
      <c r="K53" s="2" t="s">
        <v>23</v>
      </c>
      <c r="L53">
        <f>_xlfn.XLOOKUP("LOADINGSPEEDDEF_"&amp;PROPERTIES[[#This Row],[LOADINGSPEED]],LOADINGSPEEDDEF[TYPE],LOADINGSPEEDDEF[SPEED])</f>
        <v>40</v>
      </c>
      <c r="M53">
        <v>45</v>
      </c>
      <c r="N53"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>
        <v>15</v>
      </c>
      <c r="W53" s="9">
        <v>0</v>
      </c>
      <c r="X53" s="9">
        <v>0</v>
      </c>
      <c r="Y53" s="10">
        <v>0</v>
      </c>
      <c r="Z53" t="s">
        <v>904</v>
      </c>
      <c r="AA53" t="s">
        <v>903</v>
      </c>
      <c r="AB53" s="2" t="s">
        <v>921</v>
      </c>
      <c r="AC53" s="9" t="s">
        <v>983</v>
      </c>
      <c r="AD53" s="9" t="s">
        <v>984</v>
      </c>
      <c r="AE53" s="10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" s="2" t="b">
        <v>0</v>
      </c>
      <c r="AY53"/>
      <c r="AZ53"/>
      <c r="BA53"/>
    </row>
    <row r="54" spans="1:53">
      <c r="A54" s="2" t="s">
        <v>77</v>
      </c>
      <c r="B54">
        <v>1930</v>
      </c>
      <c r="C54">
        <v>0</v>
      </c>
      <c r="D54" t="s">
        <v>1951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>
        <v>7</v>
      </c>
      <c r="K54" s="2" t="s">
        <v>23</v>
      </c>
      <c r="L54">
        <f>_xlfn.XLOOKUP("LOADINGSPEEDDEF_"&amp;PROPERTIES[[#This Row],[LOADINGSPEED]],LOADINGSPEEDDEF[TYPE],LOADINGSPEEDDEF[SPEED])</f>
        <v>40</v>
      </c>
      <c r="M54">
        <v>45</v>
      </c>
      <c r="N54"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>
        <v>15</v>
      </c>
      <c r="W54" s="9">
        <v>0</v>
      </c>
      <c r="X54" s="9">
        <v>0</v>
      </c>
      <c r="Y54" s="10">
        <v>0</v>
      </c>
      <c r="Z54" t="s">
        <v>910</v>
      </c>
      <c r="AA54" t="s">
        <v>903</v>
      </c>
      <c r="AB54" s="2" t="s">
        <v>921</v>
      </c>
      <c r="AC54" s="9" t="s">
        <v>983</v>
      </c>
      <c r="AD54" s="9" t="s">
        <v>984</v>
      </c>
      <c r="AE54" s="10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" s="2" t="b">
        <v>0</v>
      </c>
      <c r="AY54"/>
      <c r="AZ54"/>
      <c r="BA54"/>
    </row>
    <row r="55" spans="1:53">
      <c r="A55" s="2" t="s">
        <v>78</v>
      </c>
      <c r="B55">
        <v>1949</v>
      </c>
      <c r="C55">
        <v>0</v>
      </c>
      <c r="D55" t="s">
        <v>1859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>
        <v>8</v>
      </c>
      <c r="K55" s="2" t="s">
        <v>23</v>
      </c>
      <c r="L55">
        <f>_xlfn.XLOOKUP("LOADINGSPEEDDEF_"&amp;PROPERTIES[[#This Row],[LOADINGSPEED]],LOADINGSPEEDDEF[TYPE],LOADINGSPEEDDEF[SPEED])</f>
        <v>40</v>
      </c>
      <c r="M55">
        <v>45</v>
      </c>
      <c r="N55"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>
        <v>15</v>
      </c>
      <c r="W55" s="9">
        <v>0</v>
      </c>
      <c r="X55" s="9">
        <v>0</v>
      </c>
      <c r="Y55" s="10">
        <v>0</v>
      </c>
      <c r="Z55" t="s">
        <v>905</v>
      </c>
      <c r="AA55" t="s">
        <v>903</v>
      </c>
      <c r="AB55" s="2" t="s">
        <v>921</v>
      </c>
      <c r="AC55" s="9" t="s">
        <v>983</v>
      </c>
      <c r="AD55" s="9" t="s">
        <v>984</v>
      </c>
      <c r="AE55" s="10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" s="2" t="b">
        <v>0</v>
      </c>
      <c r="AY55"/>
      <c r="AZ55"/>
      <c r="BA55"/>
    </row>
    <row r="56" spans="1:53">
      <c r="A56" s="2" t="s">
        <v>79</v>
      </c>
      <c r="B56">
        <v>1981</v>
      </c>
      <c r="C56">
        <v>0</v>
      </c>
      <c r="D56" t="s">
        <v>1859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>
        <v>7</v>
      </c>
      <c r="K56" s="2" t="s">
        <v>23</v>
      </c>
      <c r="L56">
        <f>_xlfn.XLOOKUP("LOADINGSPEEDDEF_"&amp;PROPERTIES[[#This Row],[LOADINGSPEED]],LOADINGSPEEDDEF[TYPE],LOADINGSPEEDDEF[SPEED])</f>
        <v>40</v>
      </c>
      <c r="M56">
        <v>45</v>
      </c>
      <c r="N56"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>
        <v>15</v>
      </c>
      <c r="W56" s="9">
        <v>0</v>
      </c>
      <c r="X56" s="9">
        <v>0</v>
      </c>
      <c r="Y56" s="10">
        <v>0</v>
      </c>
      <c r="Z56" t="s">
        <v>905</v>
      </c>
      <c r="AA56" t="s">
        <v>903</v>
      </c>
      <c r="AB56" s="2" t="s">
        <v>921</v>
      </c>
      <c r="AC56" s="9" t="s">
        <v>983</v>
      </c>
      <c r="AD56" s="9" t="s">
        <v>984</v>
      </c>
      <c r="AE56" s="10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6" s="2" t="b">
        <v>0</v>
      </c>
      <c r="AY56"/>
      <c r="AZ56"/>
      <c r="BA56"/>
    </row>
    <row r="57" spans="1:53">
      <c r="A57" s="2" t="s">
        <v>80</v>
      </c>
      <c r="B57">
        <v>1950</v>
      </c>
      <c r="C57">
        <v>0</v>
      </c>
      <c r="D57" t="s">
        <v>1859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>
        <v>8</v>
      </c>
      <c r="K57" s="2" t="s">
        <v>23</v>
      </c>
      <c r="L57">
        <f>_xlfn.XLOOKUP("LOADINGSPEEDDEF_"&amp;PROPERTIES[[#This Row],[LOADINGSPEED]],LOADINGSPEEDDEF[TYPE],LOADINGSPEEDDEF[SPEED])</f>
        <v>40</v>
      </c>
      <c r="M57">
        <v>45</v>
      </c>
      <c r="N57"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>
        <v>15</v>
      </c>
      <c r="W57" s="9">
        <v>0</v>
      </c>
      <c r="X57" s="9">
        <v>0</v>
      </c>
      <c r="Y57" s="10">
        <v>0</v>
      </c>
      <c r="Z57" t="s">
        <v>905</v>
      </c>
      <c r="AA57" t="s">
        <v>903</v>
      </c>
      <c r="AB57" s="2" t="s">
        <v>921</v>
      </c>
      <c r="AC57" s="9" t="s">
        <v>983</v>
      </c>
      <c r="AD57" s="9" t="s">
        <v>984</v>
      </c>
      <c r="AE57" s="10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7" s="2" t="b">
        <v>0</v>
      </c>
      <c r="AY57"/>
      <c r="AZ57"/>
      <c r="BA57"/>
    </row>
    <row r="58" spans="1:53">
      <c r="A58" s="2" t="s">
        <v>81</v>
      </c>
      <c r="B58">
        <v>1927</v>
      </c>
      <c r="C58">
        <v>0</v>
      </c>
      <c r="D58" t="s">
        <v>1886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>
        <v>8</v>
      </c>
      <c r="K58" s="2" t="s">
        <v>23</v>
      </c>
      <c r="L58">
        <f>_xlfn.XLOOKUP("LOADINGSPEEDDEF_"&amp;PROPERTIES[[#This Row],[LOADINGSPEED]],LOADINGSPEEDDEF[TYPE],LOADINGSPEEDDEF[SPEED])</f>
        <v>40</v>
      </c>
      <c r="M58">
        <v>45</v>
      </c>
      <c r="N58"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>
        <v>15</v>
      </c>
      <c r="W58" s="9">
        <v>0</v>
      </c>
      <c r="X58" s="9">
        <v>0</v>
      </c>
      <c r="Y58" s="10">
        <v>0</v>
      </c>
      <c r="Z58" t="s">
        <v>907</v>
      </c>
      <c r="AA58" t="s">
        <v>903</v>
      </c>
      <c r="AB58" s="2" t="s">
        <v>921</v>
      </c>
      <c r="AC58" s="9" t="s">
        <v>983</v>
      </c>
      <c r="AD58" s="9" t="s">
        <v>984</v>
      </c>
      <c r="AE58" s="10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" s="2" t="b">
        <v>0</v>
      </c>
      <c r="AY58"/>
      <c r="AZ58"/>
      <c r="BA58"/>
    </row>
    <row r="59" spans="1:53">
      <c r="A59" s="2" t="s">
        <v>82</v>
      </c>
      <c r="B59">
        <v>2005</v>
      </c>
      <c r="C59">
        <v>0</v>
      </c>
      <c r="D59" t="s">
        <v>1928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>
        <v>8</v>
      </c>
      <c r="K59" s="2" t="s">
        <v>23</v>
      </c>
      <c r="L59">
        <f>_xlfn.XLOOKUP("LOADINGSPEEDDEF_"&amp;PROPERTIES[[#This Row],[LOADINGSPEED]],LOADINGSPEEDDEF[TYPE],LOADINGSPEEDDEF[SPEED])</f>
        <v>40</v>
      </c>
      <c r="M59" t="s">
        <v>20</v>
      </c>
      <c r="N59"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>
        <v>15</v>
      </c>
      <c r="W59" s="9">
        <v>0</v>
      </c>
      <c r="X59" s="9">
        <v>0</v>
      </c>
      <c r="Y59" s="10">
        <v>0</v>
      </c>
      <c r="Z59" t="s">
        <v>910</v>
      </c>
      <c r="AA59" t="s">
        <v>903</v>
      </c>
      <c r="AB59" s="2" t="s">
        <v>921</v>
      </c>
      <c r="AC59" s="9" t="s">
        <v>983</v>
      </c>
      <c r="AD59" s="9" t="s">
        <v>984</v>
      </c>
      <c r="AE59" s="10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" s="2" t="b">
        <v>0</v>
      </c>
      <c r="AY59"/>
      <c r="AZ59"/>
      <c r="BA59"/>
    </row>
    <row r="60" spans="1:53">
      <c r="A60" s="2" t="s">
        <v>83</v>
      </c>
      <c r="B60">
        <v>1989</v>
      </c>
      <c r="C60">
        <v>0</v>
      </c>
      <c r="D60" t="s">
        <v>1762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>
        <v>8</v>
      </c>
      <c r="K60" s="2" t="s">
        <v>23</v>
      </c>
      <c r="L60">
        <f>_xlfn.XLOOKUP("LOADINGSPEEDDEF_"&amp;PROPERTIES[[#This Row],[LOADINGSPEED]],LOADINGSPEEDDEF[TYPE],LOADINGSPEEDDEF[SPEED])</f>
        <v>40</v>
      </c>
      <c r="M60">
        <v>45</v>
      </c>
      <c r="N60"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>
        <v>15</v>
      </c>
      <c r="W60" s="9">
        <v>0</v>
      </c>
      <c r="X60" s="9">
        <v>0</v>
      </c>
      <c r="Y60" s="10">
        <v>0</v>
      </c>
      <c r="Z60" t="s">
        <v>904</v>
      </c>
      <c r="AA60" t="s">
        <v>903</v>
      </c>
      <c r="AB60" s="2" t="s">
        <v>921</v>
      </c>
      <c r="AC60" s="9" t="s">
        <v>983</v>
      </c>
      <c r="AD60" s="9" t="s">
        <v>984</v>
      </c>
      <c r="AE60" s="10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0" s="2" t="b">
        <v>0</v>
      </c>
      <c r="AY60"/>
      <c r="AZ60"/>
      <c r="BA60"/>
    </row>
    <row r="61" spans="1:53">
      <c r="A61" s="2" t="s">
        <v>84</v>
      </c>
      <c r="B61">
        <v>2001</v>
      </c>
      <c r="C61">
        <v>0</v>
      </c>
      <c r="D61" t="s">
        <v>1762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>
        <v>8</v>
      </c>
      <c r="K61" s="2" t="s">
        <v>23</v>
      </c>
      <c r="L61">
        <f>_xlfn.XLOOKUP("LOADINGSPEEDDEF_"&amp;PROPERTIES[[#This Row],[LOADINGSPEED]],LOADINGSPEEDDEF[TYPE],LOADINGSPEEDDEF[SPEED])</f>
        <v>40</v>
      </c>
      <c r="M61" t="s">
        <v>20</v>
      </c>
      <c r="N61"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>
        <v>15</v>
      </c>
      <c r="W61" s="9">
        <v>0</v>
      </c>
      <c r="X61" s="9">
        <v>0</v>
      </c>
      <c r="Y61" s="10">
        <v>0</v>
      </c>
      <c r="Z61" t="s">
        <v>904</v>
      </c>
      <c r="AA61" t="s">
        <v>903</v>
      </c>
      <c r="AB61" s="2" t="s">
        <v>921</v>
      </c>
      <c r="AC61" s="9" t="s">
        <v>983</v>
      </c>
      <c r="AD61" s="9" t="s">
        <v>984</v>
      </c>
      <c r="AE61" s="10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" s="2" t="b">
        <v>0</v>
      </c>
      <c r="AY61"/>
      <c r="AZ61"/>
      <c r="BA61"/>
    </row>
    <row r="62" spans="1:53">
      <c r="A62" s="2" t="s">
        <v>85</v>
      </c>
      <c r="B62">
        <v>1927</v>
      </c>
      <c r="C62">
        <v>0</v>
      </c>
      <c r="D62" t="s">
        <v>1807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>
        <v>8</v>
      </c>
      <c r="K62" s="2" t="s">
        <v>23</v>
      </c>
      <c r="L62">
        <f>_xlfn.XLOOKUP("LOADINGSPEEDDEF_"&amp;PROPERTIES[[#This Row],[LOADINGSPEED]],LOADINGSPEEDDEF[TYPE],LOADINGSPEEDDEF[SPEED])</f>
        <v>40</v>
      </c>
      <c r="M62">
        <v>45</v>
      </c>
      <c r="N62"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>
        <v>15</v>
      </c>
      <c r="W62" s="9">
        <v>0</v>
      </c>
      <c r="X62" s="9">
        <v>0</v>
      </c>
      <c r="Y62" s="10">
        <v>0</v>
      </c>
      <c r="Z62" t="s">
        <v>904</v>
      </c>
      <c r="AA62" t="s">
        <v>903</v>
      </c>
      <c r="AB62" s="2" t="s">
        <v>921</v>
      </c>
      <c r="AC62" s="9" t="s">
        <v>983</v>
      </c>
      <c r="AD62" s="9" t="s">
        <v>984</v>
      </c>
      <c r="AE62" s="10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" s="2" t="b">
        <v>0</v>
      </c>
      <c r="AY62"/>
      <c r="AZ62"/>
      <c r="BA62"/>
    </row>
    <row r="63" spans="1:53">
      <c r="A63" s="2" t="s">
        <v>86</v>
      </c>
      <c r="B63">
        <v>1955</v>
      </c>
      <c r="C63">
        <v>0</v>
      </c>
      <c r="D63" t="s">
        <v>1946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>
        <v>6</v>
      </c>
      <c r="K63" s="2" t="s">
        <v>23</v>
      </c>
      <c r="L63">
        <f>_xlfn.XLOOKUP("LOADINGSPEEDDEF_"&amp;PROPERTIES[[#This Row],[LOADINGSPEED]],LOADINGSPEEDDEF[TYPE],LOADINGSPEEDDEF[SPEED])</f>
        <v>40</v>
      </c>
      <c r="M63">
        <v>45</v>
      </c>
      <c r="N63"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>
        <v>15</v>
      </c>
      <c r="W63" s="9">
        <v>0</v>
      </c>
      <c r="X63" s="9">
        <v>0</v>
      </c>
      <c r="Y63" s="10">
        <v>0</v>
      </c>
      <c r="Z63" t="s">
        <v>908</v>
      </c>
      <c r="AA63" t="s">
        <v>903</v>
      </c>
      <c r="AB63" s="2" t="s">
        <v>921</v>
      </c>
      <c r="AC63" s="9" t="s">
        <v>983</v>
      </c>
      <c r="AD63" s="9" t="s">
        <v>984</v>
      </c>
      <c r="AE63" s="10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3" s="2" t="b">
        <v>0</v>
      </c>
      <c r="AY63"/>
      <c r="AZ63"/>
      <c r="BA63"/>
    </row>
    <row r="64" spans="1:53">
      <c r="A64" s="2" t="s">
        <v>87</v>
      </c>
      <c r="B64">
        <v>1963</v>
      </c>
      <c r="C64">
        <v>0</v>
      </c>
      <c r="D64" t="s">
        <v>1981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>
        <v>8</v>
      </c>
      <c r="K64" s="2" t="s">
        <v>23</v>
      </c>
      <c r="L64">
        <f>_xlfn.XLOOKUP("LOADINGSPEEDDEF_"&amp;PROPERTIES[[#This Row],[LOADINGSPEED]],LOADINGSPEEDDEF[TYPE],LOADINGSPEEDDEF[SPEED])</f>
        <v>40</v>
      </c>
      <c r="M64">
        <v>45</v>
      </c>
      <c r="N64"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>
        <v>15</v>
      </c>
      <c r="W64" s="9">
        <v>0</v>
      </c>
      <c r="X64" s="9">
        <v>0</v>
      </c>
      <c r="Y64" s="10">
        <v>0</v>
      </c>
      <c r="Z64" t="s">
        <v>909</v>
      </c>
      <c r="AA64" t="s">
        <v>903</v>
      </c>
      <c r="AB64" s="2" t="s">
        <v>921</v>
      </c>
      <c r="AC64" s="9" t="s">
        <v>983</v>
      </c>
      <c r="AD64" s="9" t="s">
        <v>984</v>
      </c>
      <c r="AE64" s="10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" s="2" t="b">
        <v>0</v>
      </c>
      <c r="AY64"/>
      <c r="AZ64"/>
      <c r="BA64"/>
    </row>
    <row r="65" spans="1:53">
      <c r="A65" s="2" t="s">
        <v>88</v>
      </c>
      <c r="B65">
        <v>2010</v>
      </c>
      <c r="C65">
        <v>0</v>
      </c>
      <c r="D65" t="s">
        <v>1981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>
        <v>8</v>
      </c>
      <c r="K65" s="2" t="s">
        <v>23</v>
      </c>
      <c r="L65">
        <f>_xlfn.XLOOKUP("LOADINGSPEEDDEF_"&amp;PROPERTIES[[#This Row],[LOADINGSPEED]],LOADINGSPEEDDEF[TYPE],LOADINGSPEEDDEF[SPEED])</f>
        <v>40</v>
      </c>
      <c r="M65" t="s">
        <v>20</v>
      </c>
      <c r="N65"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>
        <v>15</v>
      </c>
      <c r="W65" s="9">
        <v>0</v>
      </c>
      <c r="X65" s="9">
        <v>0</v>
      </c>
      <c r="Y65" s="10">
        <v>0</v>
      </c>
      <c r="Z65" t="s">
        <v>909</v>
      </c>
      <c r="AA65" t="s">
        <v>903</v>
      </c>
      <c r="AB65" s="2" t="s">
        <v>921</v>
      </c>
      <c r="AC65" s="9" t="s">
        <v>983</v>
      </c>
      <c r="AD65" s="9" t="s">
        <v>984</v>
      </c>
      <c r="AE65" s="10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5" s="2" t="b">
        <v>0</v>
      </c>
      <c r="AY65"/>
      <c r="AZ65"/>
      <c r="BA65"/>
    </row>
    <row r="66" spans="1:53">
      <c r="A66" s="2" t="s">
        <v>89</v>
      </c>
      <c r="B66">
        <v>1835</v>
      </c>
      <c r="C66">
        <v>0</v>
      </c>
      <c r="D66" t="s">
        <v>1770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>
        <v>7</v>
      </c>
      <c r="K66" s="2" t="s">
        <v>19</v>
      </c>
      <c r="L66">
        <f>_xlfn.XLOOKUP("LOADINGSPEEDDEF_"&amp;PROPERTIES[[#This Row],[LOADINGSPEED]],LOADINGSPEEDDEF[TYPE],LOADINGSPEEDDEF[SPEED])</f>
        <v>0</v>
      </c>
      <c r="M66">
        <v>45</v>
      </c>
      <c r="N66">
        <v>1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>
        <v>40</v>
      </c>
      <c r="W66" s="9">
        <v>0</v>
      </c>
      <c r="X66" s="9">
        <v>0</v>
      </c>
      <c r="Y66" s="10">
        <v>0</v>
      </c>
      <c r="Z66" t="s">
        <v>904</v>
      </c>
      <c r="AA66" t="s">
        <v>903</v>
      </c>
      <c r="AB66" s="2" t="s">
        <v>921</v>
      </c>
      <c r="AC66" s="9" t="s">
        <v>985</v>
      </c>
      <c r="AD66" s="9" t="s">
        <v>986</v>
      </c>
      <c r="AE66" s="10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6" s="2" t="b">
        <v>0</v>
      </c>
      <c r="AY66"/>
      <c r="AZ66"/>
      <c r="BA66"/>
    </row>
    <row r="67" spans="1:53">
      <c r="A67" s="2" t="s">
        <v>90</v>
      </c>
      <c r="B67">
        <v>1848</v>
      </c>
      <c r="C67">
        <v>0</v>
      </c>
      <c r="D67" t="s">
        <v>1981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>
        <v>10</v>
      </c>
      <c r="K67" s="2" t="s">
        <v>19</v>
      </c>
      <c r="L67">
        <f>_xlfn.XLOOKUP("LOADINGSPEEDDEF_"&amp;PROPERTIES[[#This Row],[LOADINGSPEED]],LOADINGSPEEDDEF[TYPE],LOADINGSPEEDDEF[SPEED])</f>
        <v>0</v>
      </c>
      <c r="M67">
        <v>45</v>
      </c>
      <c r="N67">
        <v>1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>
        <v>40</v>
      </c>
      <c r="W67" s="9">
        <v>0</v>
      </c>
      <c r="X67" s="9">
        <v>4</v>
      </c>
      <c r="Y67" s="10">
        <v>0</v>
      </c>
      <c r="Z67" t="s">
        <v>909</v>
      </c>
      <c r="AA67" t="s">
        <v>903</v>
      </c>
      <c r="AB67" s="2" t="s">
        <v>921</v>
      </c>
      <c r="AC67" s="9" t="s">
        <v>985</v>
      </c>
      <c r="AD67" s="9" t="s">
        <v>986</v>
      </c>
      <c r="AE67" s="10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7" s="2" t="b">
        <v>0</v>
      </c>
      <c r="AY67"/>
      <c r="AZ67"/>
      <c r="BA67"/>
    </row>
    <row r="68" spans="1:53">
      <c r="A68" s="2" t="s">
        <v>91</v>
      </c>
      <c r="B68">
        <v>1854</v>
      </c>
      <c r="C68">
        <v>0</v>
      </c>
      <c r="D68" t="s">
        <v>1793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>
        <v>5</v>
      </c>
      <c r="K68" s="2" t="s">
        <v>19</v>
      </c>
      <c r="L68">
        <f>_xlfn.XLOOKUP("LOADINGSPEEDDEF_"&amp;PROPERTIES[[#This Row],[LOADINGSPEED]],LOADINGSPEEDDEF[TYPE],LOADINGSPEEDDEF[SPEED])</f>
        <v>0</v>
      </c>
      <c r="M68">
        <v>45</v>
      </c>
      <c r="N68">
        <v>1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>
        <v>40</v>
      </c>
      <c r="W68" s="9">
        <v>0</v>
      </c>
      <c r="X68" s="9">
        <v>0</v>
      </c>
      <c r="Y68" s="10">
        <v>0</v>
      </c>
      <c r="Z68" t="s">
        <v>904</v>
      </c>
      <c r="AA68" t="s">
        <v>903</v>
      </c>
      <c r="AB68" s="2" t="s">
        <v>921</v>
      </c>
      <c r="AC68" s="9" t="s">
        <v>985</v>
      </c>
      <c r="AD68" s="9" t="s">
        <v>986</v>
      </c>
      <c r="AE68" s="10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8" s="2" t="b">
        <v>0</v>
      </c>
      <c r="AY68"/>
      <c r="AZ68"/>
      <c r="BA68"/>
    </row>
    <row r="69" spans="1:53">
      <c r="A69" s="2" t="s">
        <v>92</v>
      </c>
      <c r="B69">
        <v>1869</v>
      </c>
      <c r="C69">
        <v>0</v>
      </c>
      <c r="D69" t="s">
        <v>1981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>
        <v>11</v>
      </c>
      <c r="K69" s="2" t="s">
        <v>19</v>
      </c>
      <c r="L69">
        <f>_xlfn.XLOOKUP("LOADINGSPEEDDEF_"&amp;PROPERTIES[[#This Row],[LOADINGSPEED]],LOADINGSPEEDDEF[TYPE],LOADINGSPEEDDEF[SPEED])</f>
        <v>0</v>
      </c>
      <c r="M69">
        <v>45</v>
      </c>
      <c r="N69">
        <v>1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>
        <v>40</v>
      </c>
      <c r="W69" s="9">
        <v>0</v>
      </c>
      <c r="X69" s="9">
        <v>4</v>
      </c>
      <c r="Y69" s="10">
        <v>0</v>
      </c>
      <c r="Z69" t="s">
        <v>909</v>
      </c>
      <c r="AA69" t="s">
        <v>903</v>
      </c>
      <c r="AB69" s="2" t="s">
        <v>921</v>
      </c>
      <c r="AC69" s="9" t="s">
        <v>985</v>
      </c>
      <c r="AD69" s="9" t="s">
        <v>986</v>
      </c>
      <c r="AE69" s="10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9" s="2" t="b">
        <v>0</v>
      </c>
      <c r="AY69"/>
      <c r="AZ69"/>
      <c r="BA69"/>
    </row>
    <row r="70" spans="1:53">
      <c r="A70" s="2" t="s">
        <v>93</v>
      </c>
      <c r="B70">
        <v>1875</v>
      </c>
      <c r="C70">
        <v>0</v>
      </c>
      <c r="D70" t="s">
        <v>1981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>
        <v>13</v>
      </c>
      <c r="K70" s="2" t="s">
        <v>19</v>
      </c>
      <c r="L70">
        <f>_xlfn.XLOOKUP("LOADINGSPEEDDEF_"&amp;PROPERTIES[[#This Row],[LOADINGSPEED]],LOADINGSPEEDDEF[TYPE],LOADINGSPEEDDEF[SPEED])</f>
        <v>0</v>
      </c>
      <c r="M70">
        <v>45</v>
      </c>
      <c r="N70">
        <v>1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>
        <v>40</v>
      </c>
      <c r="W70" s="9">
        <v>0</v>
      </c>
      <c r="X70" s="9">
        <v>5</v>
      </c>
      <c r="Y70" s="10">
        <v>0</v>
      </c>
      <c r="Z70" t="s">
        <v>909</v>
      </c>
      <c r="AA70" t="s">
        <v>903</v>
      </c>
      <c r="AB70" s="2" t="s">
        <v>921</v>
      </c>
      <c r="AC70" s="9" t="s">
        <v>985</v>
      </c>
      <c r="AD70" s="9" t="s">
        <v>986</v>
      </c>
      <c r="AE70" s="10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0" s="2" t="b">
        <v>0</v>
      </c>
      <c r="AY70"/>
      <c r="AZ70"/>
      <c r="BA70"/>
    </row>
    <row r="71" spans="1:53">
      <c r="A71" s="2" t="s">
        <v>94</v>
      </c>
      <c r="B71">
        <v>1885</v>
      </c>
      <c r="C71">
        <v>0</v>
      </c>
      <c r="D71" t="s">
        <v>1849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>
        <v>6</v>
      </c>
      <c r="K71" s="2" t="s">
        <v>19</v>
      </c>
      <c r="L71">
        <f>_xlfn.XLOOKUP("LOADINGSPEEDDEF_"&amp;PROPERTIES[[#This Row],[LOADINGSPEED]],LOADINGSPEEDDEF[TYPE],LOADINGSPEEDDEF[SPEED])</f>
        <v>0</v>
      </c>
      <c r="M71">
        <v>45</v>
      </c>
      <c r="N71"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>
        <v>40</v>
      </c>
      <c r="W71" s="9">
        <v>0</v>
      </c>
      <c r="X71" s="9">
        <v>0</v>
      </c>
      <c r="Y71" s="10">
        <v>0</v>
      </c>
      <c r="Z71" t="s">
        <v>910</v>
      </c>
      <c r="AA71" t="s">
        <v>903</v>
      </c>
      <c r="AB71" s="2" t="s">
        <v>921</v>
      </c>
      <c r="AC71" s="9" t="s">
        <v>985</v>
      </c>
      <c r="AD71" s="9" t="s">
        <v>986</v>
      </c>
      <c r="AE71" s="10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1" s="2" t="b">
        <v>0</v>
      </c>
      <c r="AY71"/>
      <c r="AZ71"/>
      <c r="BA71"/>
    </row>
    <row r="72" spans="1:53">
      <c r="A72" s="2" t="s">
        <v>95</v>
      </c>
      <c r="B72">
        <v>1897</v>
      </c>
      <c r="C72">
        <v>0</v>
      </c>
      <c r="D72" t="s">
        <v>1762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>
        <v>6</v>
      </c>
      <c r="K72" s="2" t="s">
        <v>19</v>
      </c>
      <c r="L72">
        <f>_xlfn.XLOOKUP("LOADINGSPEEDDEF_"&amp;PROPERTIES[[#This Row],[LOADINGSPEED]],LOADINGSPEEDDEF[TYPE],LOADINGSPEEDDEF[SPEED])</f>
        <v>0</v>
      </c>
      <c r="M72">
        <v>45</v>
      </c>
      <c r="N72">
        <v>1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>
        <v>40</v>
      </c>
      <c r="W72" s="9">
        <v>0</v>
      </c>
      <c r="X72" s="9">
        <v>0</v>
      </c>
      <c r="Y72" s="10">
        <v>0</v>
      </c>
      <c r="Z72" t="s">
        <v>904</v>
      </c>
      <c r="AA72" t="s">
        <v>903</v>
      </c>
      <c r="AB72" s="2" t="s">
        <v>921</v>
      </c>
      <c r="AC72" s="9" t="s">
        <v>985</v>
      </c>
      <c r="AD72" s="9" t="s">
        <v>986</v>
      </c>
      <c r="AE72" s="10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2" s="2" t="b">
        <v>0</v>
      </c>
      <c r="AY72"/>
      <c r="AZ72"/>
      <c r="BA72"/>
    </row>
    <row r="73" spans="1:53">
      <c r="A73" s="2" t="s">
        <v>96</v>
      </c>
      <c r="B73">
        <v>1900</v>
      </c>
      <c r="C73">
        <v>0</v>
      </c>
      <c r="D73" t="s">
        <v>1826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>
        <v>7</v>
      </c>
      <c r="K73" s="2" t="s">
        <v>19</v>
      </c>
      <c r="L73">
        <f>_xlfn.XLOOKUP("LOADINGSPEEDDEF_"&amp;PROPERTIES[[#This Row],[LOADINGSPEED]],LOADINGSPEEDDEF[TYPE],LOADINGSPEEDDEF[SPEED])</f>
        <v>0</v>
      </c>
      <c r="M73">
        <v>45</v>
      </c>
      <c r="N73"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>
        <v>40</v>
      </c>
      <c r="W73" s="9">
        <v>0</v>
      </c>
      <c r="X73" s="9">
        <v>0</v>
      </c>
      <c r="Y73" s="10">
        <v>0</v>
      </c>
      <c r="Z73" t="s">
        <v>908</v>
      </c>
      <c r="AA73" t="s">
        <v>903</v>
      </c>
      <c r="AB73" s="2" t="s">
        <v>921</v>
      </c>
      <c r="AC73" s="9" t="s">
        <v>985</v>
      </c>
      <c r="AD73" s="9" t="s">
        <v>986</v>
      </c>
      <c r="AE73" s="10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3" s="2" t="b">
        <v>0</v>
      </c>
      <c r="AY73"/>
      <c r="AZ73"/>
      <c r="BA73"/>
    </row>
    <row r="74" spans="1:53">
      <c r="A74" s="2" t="s">
        <v>97</v>
      </c>
      <c r="B74">
        <v>1902</v>
      </c>
      <c r="C74">
        <v>0</v>
      </c>
      <c r="D74" t="s">
        <v>1793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>
        <v>12</v>
      </c>
      <c r="K74" s="2" t="s">
        <v>19</v>
      </c>
      <c r="L74">
        <f>_xlfn.XLOOKUP("LOADINGSPEEDDEF_"&amp;PROPERTIES[[#This Row],[LOADINGSPEED]],LOADINGSPEEDDEF[TYPE],LOADINGSPEEDDEF[SPEED])</f>
        <v>0</v>
      </c>
      <c r="M74">
        <v>45</v>
      </c>
      <c r="N74">
        <v>1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>
        <v>40</v>
      </c>
      <c r="W74" s="9">
        <v>0</v>
      </c>
      <c r="X74" s="9">
        <v>4</v>
      </c>
      <c r="Y74" s="10">
        <v>0</v>
      </c>
      <c r="Z74" t="s">
        <v>904</v>
      </c>
      <c r="AA74" t="s">
        <v>903</v>
      </c>
      <c r="AB74" s="2" t="s">
        <v>921</v>
      </c>
      <c r="AC74" s="9" t="s">
        <v>985</v>
      </c>
      <c r="AD74" s="9" t="s">
        <v>986</v>
      </c>
      <c r="AE74" s="10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4" s="2" t="b">
        <v>0</v>
      </c>
      <c r="AY74"/>
      <c r="AZ74"/>
      <c r="BA74"/>
    </row>
    <row r="75" spans="1:53">
      <c r="A75" s="2" t="s">
        <v>98</v>
      </c>
      <c r="B75">
        <v>1902</v>
      </c>
      <c r="C75">
        <v>0</v>
      </c>
      <c r="D75" t="s">
        <v>1793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>
        <v>6</v>
      </c>
      <c r="K75" s="2" t="s">
        <v>19</v>
      </c>
      <c r="L75">
        <f>_xlfn.XLOOKUP("LOADINGSPEEDDEF_"&amp;PROPERTIES[[#This Row],[LOADINGSPEED]],LOADINGSPEEDDEF[TYPE],LOADINGSPEEDDEF[SPEED])</f>
        <v>0</v>
      </c>
      <c r="M75">
        <v>45</v>
      </c>
      <c r="N75">
        <v>1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>
        <v>40</v>
      </c>
      <c r="W75" s="9">
        <v>0</v>
      </c>
      <c r="X75" s="9">
        <v>0</v>
      </c>
      <c r="Y75" s="10">
        <v>0</v>
      </c>
      <c r="Z75" t="s">
        <v>904</v>
      </c>
      <c r="AA75" t="s">
        <v>903</v>
      </c>
      <c r="AB75" s="2" t="s">
        <v>921</v>
      </c>
      <c r="AC75" s="9" t="s">
        <v>985</v>
      </c>
      <c r="AD75" s="9" t="s">
        <v>986</v>
      </c>
      <c r="AE75" s="10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5" s="2" t="b">
        <v>0</v>
      </c>
      <c r="AY75"/>
      <c r="AZ75"/>
      <c r="BA75"/>
    </row>
    <row r="76" spans="1:53">
      <c r="A76" s="2" t="s">
        <v>99</v>
      </c>
      <c r="B76">
        <v>1910</v>
      </c>
      <c r="C76">
        <v>0</v>
      </c>
      <c r="D76" t="s">
        <v>1762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>
        <v>7</v>
      </c>
      <c r="K76" s="2" t="s">
        <v>19</v>
      </c>
      <c r="L76">
        <f>_xlfn.XLOOKUP("LOADINGSPEEDDEF_"&amp;PROPERTIES[[#This Row],[LOADINGSPEED]],LOADINGSPEEDDEF[TYPE],LOADINGSPEEDDEF[SPEED])</f>
        <v>0</v>
      </c>
      <c r="M76">
        <v>45</v>
      </c>
      <c r="N76">
        <v>1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>
        <v>40</v>
      </c>
      <c r="W76" s="9">
        <v>0</v>
      </c>
      <c r="X76" s="9">
        <v>0</v>
      </c>
      <c r="Y76" s="10">
        <v>0</v>
      </c>
      <c r="Z76" t="s">
        <v>904</v>
      </c>
      <c r="AA76" t="s">
        <v>903</v>
      </c>
      <c r="AB76" s="2" t="s">
        <v>921</v>
      </c>
      <c r="AC76" s="9" t="s">
        <v>985</v>
      </c>
      <c r="AD76" s="9" t="s">
        <v>986</v>
      </c>
      <c r="AE76" s="10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6" s="2" t="b">
        <v>0</v>
      </c>
      <c r="AY76"/>
      <c r="AZ76"/>
      <c r="BA76"/>
    </row>
    <row r="77" spans="1:53">
      <c r="A77" s="2" t="s">
        <v>100</v>
      </c>
      <c r="B77">
        <v>1908</v>
      </c>
      <c r="C77">
        <v>0</v>
      </c>
      <c r="D77" t="s">
        <v>1920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>
        <v>14</v>
      </c>
      <c r="K77" s="2" t="s">
        <v>19</v>
      </c>
      <c r="L77">
        <f>_xlfn.XLOOKUP("LOADINGSPEEDDEF_"&amp;PROPERTIES[[#This Row],[LOADINGSPEED]],LOADINGSPEEDDEF[TYPE],LOADINGSPEEDDEF[SPEED])</f>
        <v>0</v>
      </c>
      <c r="M77">
        <v>45</v>
      </c>
      <c r="N77">
        <v>1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>
        <v>40</v>
      </c>
      <c r="W77" s="9">
        <v>0</v>
      </c>
      <c r="X77" s="9">
        <v>6</v>
      </c>
      <c r="Y77" s="10">
        <v>0</v>
      </c>
      <c r="Z77" t="s">
        <v>906</v>
      </c>
      <c r="AA77" t="s">
        <v>903</v>
      </c>
      <c r="AB77" s="2" t="s">
        <v>921</v>
      </c>
      <c r="AC77" s="9" t="s">
        <v>985</v>
      </c>
      <c r="AD77" s="9" t="s">
        <v>986</v>
      </c>
      <c r="AE77" s="10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7" s="2" t="b">
        <v>0</v>
      </c>
      <c r="AY77"/>
      <c r="AZ77"/>
      <c r="BA77"/>
    </row>
    <row r="78" spans="1:53">
      <c r="A78" s="2" t="s">
        <v>101</v>
      </c>
      <c r="B78">
        <v>1914</v>
      </c>
      <c r="C78">
        <v>0</v>
      </c>
      <c r="D78" t="s">
        <v>1847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>
        <v>6</v>
      </c>
      <c r="K78" s="2" t="s">
        <v>19</v>
      </c>
      <c r="L78">
        <f>_xlfn.XLOOKUP("LOADINGSPEEDDEF_"&amp;PROPERTIES[[#This Row],[LOADINGSPEED]],LOADINGSPEEDDEF[TYPE],LOADINGSPEEDDEF[SPEED])</f>
        <v>0</v>
      </c>
      <c r="M78">
        <v>45</v>
      </c>
      <c r="N78"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>
        <v>40</v>
      </c>
      <c r="W78" s="9">
        <v>0</v>
      </c>
      <c r="X78" s="9">
        <v>0</v>
      </c>
      <c r="Y78" s="10">
        <v>0</v>
      </c>
      <c r="Z78" t="s">
        <v>910</v>
      </c>
      <c r="AA78" t="s">
        <v>903</v>
      </c>
      <c r="AB78" s="2" t="s">
        <v>921</v>
      </c>
      <c r="AC78" s="9" t="s">
        <v>985</v>
      </c>
      <c r="AD78" s="9" t="s">
        <v>986</v>
      </c>
      <c r="AE78" s="10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8" s="2" t="b">
        <v>0</v>
      </c>
      <c r="AY78"/>
      <c r="AZ78"/>
      <c r="BA78"/>
    </row>
    <row r="79" spans="1:53">
      <c r="A79" s="2" t="s">
        <v>102</v>
      </c>
      <c r="B79">
        <v>1916</v>
      </c>
      <c r="C79">
        <v>0</v>
      </c>
      <c r="D79" t="s">
        <v>1859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>
        <v>6</v>
      </c>
      <c r="K79" s="2" t="s">
        <v>19</v>
      </c>
      <c r="L79">
        <f>_xlfn.XLOOKUP("LOADINGSPEEDDEF_"&amp;PROPERTIES[[#This Row],[LOADINGSPEED]],LOADINGSPEEDDEF[TYPE],LOADINGSPEEDDEF[SPEED])</f>
        <v>0</v>
      </c>
      <c r="M79">
        <v>45</v>
      </c>
      <c r="N79">
        <v>1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>
        <v>40</v>
      </c>
      <c r="W79" s="9">
        <v>0</v>
      </c>
      <c r="X79" s="9">
        <v>0</v>
      </c>
      <c r="Y79" s="10">
        <v>0</v>
      </c>
      <c r="Z79" t="s">
        <v>905</v>
      </c>
      <c r="AA79" t="s">
        <v>903</v>
      </c>
      <c r="AB79" s="2" t="s">
        <v>921</v>
      </c>
      <c r="AC79" s="9" t="s">
        <v>985</v>
      </c>
      <c r="AD79" s="9" t="s">
        <v>986</v>
      </c>
      <c r="AE79" s="10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" s="2" t="b">
        <v>0</v>
      </c>
      <c r="AY79"/>
      <c r="AZ79"/>
      <c r="BA79"/>
    </row>
    <row r="80" spans="1:53">
      <c r="A80" s="2" t="s">
        <v>103</v>
      </c>
      <c r="B80">
        <v>1910</v>
      </c>
      <c r="C80">
        <v>0</v>
      </c>
      <c r="D80" t="s">
        <v>1760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>
        <v>11</v>
      </c>
      <c r="K80" s="2" t="s">
        <v>19</v>
      </c>
      <c r="L80">
        <f>_xlfn.XLOOKUP("LOADINGSPEEDDEF_"&amp;PROPERTIES[[#This Row],[LOADINGSPEED]],LOADINGSPEEDDEF[TYPE],LOADINGSPEEDDEF[SPEED])</f>
        <v>0</v>
      </c>
      <c r="M80">
        <v>45</v>
      </c>
      <c r="N80">
        <v>1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>
        <v>40</v>
      </c>
      <c r="W80" s="9">
        <v>0</v>
      </c>
      <c r="X80" s="9">
        <v>4</v>
      </c>
      <c r="Y80" s="10">
        <v>0</v>
      </c>
      <c r="Z80" t="s">
        <v>911</v>
      </c>
      <c r="AA80" t="s">
        <v>903</v>
      </c>
      <c r="AB80" s="2" t="s">
        <v>921</v>
      </c>
      <c r="AC80" s="9" t="s">
        <v>985</v>
      </c>
      <c r="AD80" s="9" t="s">
        <v>986</v>
      </c>
      <c r="AE80" s="10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" s="2" t="b">
        <v>0</v>
      </c>
      <c r="AY80"/>
      <c r="AZ80"/>
      <c r="BA80"/>
    </row>
    <row r="81" spans="1:53">
      <c r="A81" s="2" t="s">
        <v>104</v>
      </c>
      <c r="B81">
        <v>1913</v>
      </c>
      <c r="C81">
        <v>0</v>
      </c>
      <c r="D81" t="s">
        <v>1825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7</v>
      </c>
      <c r="J81">
        <v>11</v>
      </c>
      <c r="K81" s="2" t="s">
        <v>19</v>
      </c>
      <c r="L81">
        <f>_xlfn.XLOOKUP("LOADINGSPEEDDEF_"&amp;PROPERTIES[[#This Row],[LOADINGSPEED]],LOADINGSPEEDDEF[TYPE],LOADINGSPEEDDEF[SPEED])</f>
        <v>0</v>
      </c>
      <c r="M81">
        <v>45</v>
      </c>
      <c r="N81">
        <v>1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>
        <v>40</v>
      </c>
      <c r="W81" s="9">
        <v>0</v>
      </c>
      <c r="X81" s="9">
        <v>4</v>
      </c>
      <c r="Y81" s="10">
        <v>0</v>
      </c>
      <c r="Z81" t="s">
        <v>904</v>
      </c>
      <c r="AA81" t="s">
        <v>903</v>
      </c>
      <c r="AB81" s="2" t="s">
        <v>921</v>
      </c>
      <c r="AC81" s="9" t="s">
        <v>985</v>
      </c>
      <c r="AD81" s="9" t="s">
        <v>986</v>
      </c>
      <c r="AE81" s="10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1" s="2" t="b">
        <v>0</v>
      </c>
      <c r="AY81"/>
      <c r="AZ81"/>
      <c r="BA81"/>
    </row>
    <row r="82" spans="1:53">
      <c r="A82" s="2" t="s">
        <v>105</v>
      </c>
      <c r="B82">
        <v>1911</v>
      </c>
      <c r="C82">
        <v>0</v>
      </c>
      <c r="D82" t="s">
        <v>1825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7</v>
      </c>
      <c r="J82">
        <v>7</v>
      </c>
      <c r="K82" s="2" t="s">
        <v>19</v>
      </c>
      <c r="L82">
        <f>_xlfn.XLOOKUP("LOADINGSPEEDDEF_"&amp;PROPERTIES[[#This Row],[LOADINGSPEED]],LOADINGSPEEDDEF[TYPE],LOADINGSPEEDDEF[SPEED])</f>
        <v>0</v>
      </c>
      <c r="M82">
        <v>45</v>
      </c>
      <c r="N82">
        <v>1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>
        <v>40</v>
      </c>
      <c r="W82" s="9">
        <v>0</v>
      </c>
      <c r="X82" s="9">
        <v>0</v>
      </c>
      <c r="Y82" s="10">
        <v>0</v>
      </c>
      <c r="Z82" t="s">
        <v>904</v>
      </c>
      <c r="AA82" t="s">
        <v>903</v>
      </c>
      <c r="AB82" s="2" t="s">
        <v>921</v>
      </c>
      <c r="AC82" s="9" t="s">
        <v>985</v>
      </c>
      <c r="AD82" s="9" t="s">
        <v>986</v>
      </c>
      <c r="AE82" s="10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2" s="2" t="b">
        <v>0</v>
      </c>
      <c r="AY82"/>
      <c r="AZ82"/>
      <c r="BA82"/>
    </row>
    <row r="83" spans="1:53">
      <c r="A83" s="2" t="s">
        <v>106</v>
      </c>
      <c r="B83">
        <v>1928</v>
      </c>
      <c r="C83">
        <v>0</v>
      </c>
      <c r="D83" t="s">
        <v>1826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>
        <f>8+7</f>
        <v>15</v>
      </c>
      <c r="K83" s="2" t="s">
        <v>19</v>
      </c>
      <c r="L83">
        <f>_xlfn.XLOOKUP("LOADINGSPEEDDEF_"&amp;PROPERTIES[[#This Row],[LOADINGSPEED]],LOADINGSPEEDDEF[TYPE],LOADINGSPEEDDEF[SPEED])</f>
        <v>0</v>
      </c>
      <c r="M83">
        <v>45</v>
      </c>
      <c r="N83"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>
        <v>40</v>
      </c>
      <c r="W83" s="9">
        <v>0</v>
      </c>
      <c r="X83" s="9">
        <v>6</v>
      </c>
      <c r="Y83" s="10">
        <v>0</v>
      </c>
      <c r="Z83" t="s">
        <v>908</v>
      </c>
      <c r="AA83" t="s">
        <v>903</v>
      </c>
      <c r="AB83" s="2" t="s">
        <v>921</v>
      </c>
      <c r="AC83" s="9" t="s">
        <v>985</v>
      </c>
      <c r="AD83" s="9" t="s">
        <v>986</v>
      </c>
      <c r="AE83" s="10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3" s="2" t="b">
        <v>0</v>
      </c>
      <c r="AY83"/>
      <c r="AZ83"/>
      <c r="BA83"/>
    </row>
    <row r="84" spans="1:53">
      <c r="A84" s="2" t="s">
        <v>107</v>
      </c>
      <c r="B84">
        <v>1929</v>
      </c>
      <c r="C84">
        <v>0</v>
      </c>
      <c r="D84" t="s">
        <v>1826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>
        <v>6</v>
      </c>
      <c r="K84" s="2" t="s">
        <v>19</v>
      </c>
      <c r="L84">
        <f>_xlfn.XLOOKUP("LOADINGSPEEDDEF_"&amp;PROPERTIES[[#This Row],[LOADINGSPEED]],LOADINGSPEEDDEF[TYPE],LOADINGSPEEDDEF[SPEED])</f>
        <v>0</v>
      </c>
      <c r="M84">
        <v>45</v>
      </c>
      <c r="N84"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>
        <v>40</v>
      </c>
      <c r="W84" s="9">
        <v>0</v>
      </c>
      <c r="X84" s="9">
        <v>0</v>
      </c>
      <c r="Y84" s="10">
        <v>0</v>
      </c>
      <c r="Z84" t="s">
        <v>908</v>
      </c>
      <c r="AA84" t="s">
        <v>903</v>
      </c>
      <c r="AB84" s="2" t="s">
        <v>921</v>
      </c>
      <c r="AC84" s="9" t="s">
        <v>985</v>
      </c>
      <c r="AD84" s="9" t="s">
        <v>986</v>
      </c>
      <c r="AE84" s="10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4" s="2" t="b">
        <v>0</v>
      </c>
      <c r="AY84"/>
      <c r="AZ84"/>
      <c r="BA84"/>
    </row>
    <row r="85" spans="1:53">
      <c r="A85" s="2" t="s">
        <v>108</v>
      </c>
      <c r="B85">
        <v>1930</v>
      </c>
      <c r="C85">
        <v>0</v>
      </c>
      <c r="D85" t="s">
        <v>1915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>
        <v>8</v>
      </c>
      <c r="K85" s="2" t="s">
        <v>19</v>
      </c>
      <c r="L85">
        <f>_xlfn.XLOOKUP("LOADINGSPEEDDEF_"&amp;PROPERTIES[[#This Row],[LOADINGSPEED]],LOADINGSPEEDDEF[TYPE],LOADINGSPEEDDEF[SPEED])</f>
        <v>0</v>
      </c>
      <c r="M85">
        <v>45</v>
      </c>
      <c r="N85">
        <v>1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>
        <v>40</v>
      </c>
      <c r="W85" s="9">
        <v>0</v>
      </c>
      <c r="X85" s="9">
        <v>0</v>
      </c>
      <c r="Y85" s="10">
        <v>0</v>
      </c>
      <c r="Z85" t="s">
        <v>904</v>
      </c>
      <c r="AA85" t="s">
        <v>903</v>
      </c>
      <c r="AB85" s="2" t="s">
        <v>921</v>
      </c>
      <c r="AC85" s="9" t="s">
        <v>985</v>
      </c>
      <c r="AD85" s="9" t="s">
        <v>986</v>
      </c>
      <c r="AE85" s="10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5" s="2" t="b">
        <v>0</v>
      </c>
      <c r="AY85"/>
      <c r="AZ85"/>
      <c r="BA85"/>
    </row>
    <row r="86" spans="1:53">
      <c r="A86" s="2" t="s">
        <v>109</v>
      </c>
      <c r="B86">
        <v>1930</v>
      </c>
      <c r="C86">
        <v>0</v>
      </c>
      <c r="D86" t="s">
        <v>1981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>
        <f>8+6</f>
        <v>14</v>
      </c>
      <c r="K86" s="2" t="s">
        <v>19</v>
      </c>
      <c r="L86">
        <f>_xlfn.XLOOKUP("LOADINGSPEEDDEF_"&amp;PROPERTIES[[#This Row],[LOADINGSPEED]],LOADINGSPEEDDEF[TYPE],LOADINGSPEEDDEF[SPEED])</f>
        <v>0</v>
      </c>
      <c r="M86">
        <v>45</v>
      </c>
      <c r="N86">
        <v>1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>
        <v>40</v>
      </c>
      <c r="W86" s="9">
        <v>0</v>
      </c>
      <c r="X86" s="9">
        <v>6</v>
      </c>
      <c r="Y86" s="10">
        <v>0</v>
      </c>
      <c r="Z86" t="s">
        <v>909</v>
      </c>
      <c r="AA86" t="s">
        <v>903</v>
      </c>
      <c r="AB86" s="2" t="s">
        <v>921</v>
      </c>
      <c r="AC86" s="9" t="s">
        <v>985</v>
      </c>
      <c r="AD86" s="9" t="s">
        <v>986</v>
      </c>
      <c r="AE86" s="10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86" s="2" t="b">
        <v>0</v>
      </c>
      <c r="AY86"/>
      <c r="AZ86"/>
      <c r="BA86"/>
    </row>
    <row r="87" spans="1:53">
      <c r="A87" s="2" t="s">
        <v>110</v>
      </c>
      <c r="B87">
        <v>1910</v>
      </c>
      <c r="C87">
        <v>0</v>
      </c>
      <c r="D87" t="s">
        <v>1807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>
        <v>12</v>
      </c>
      <c r="K87" s="2" t="s">
        <v>19</v>
      </c>
      <c r="L87">
        <f>_xlfn.XLOOKUP("LOADINGSPEEDDEF_"&amp;PROPERTIES[[#This Row],[LOADINGSPEED]],LOADINGSPEEDDEF[TYPE],LOADINGSPEEDDEF[SPEED])</f>
        <v>0</v>
      </c>
      <c r="M87">
        <v>45</v>
      </c>
      <c r="N87">
        <v>1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>
        <v>40</v>
      </c>
      <c r="W87" s="9">
        <v>0</v>
      </c>
      <c r="X87" s="9">
        <v>4</v>
      </c>
      <c r="Y87" s="10">
        <v>0</v>
      </c>
      <c r="Z87" t="s">
        <v>904</v>
      </c>
      <c r="AA87" t="s">
        <v>903</v>
      </c>
      <c r="AB87" s="2" t="s">
        <v>921</v>
      </c>
      <c r="AC87" s="9" t="s">
        <v>985</v>
      </c>
      <c r="AD87" s="9" t="s">
        <v>986</v>
      </c>
      <c r="AE87" s="10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7" s="2" t="b">
        <v>0</v>
      </c>
      <c r="AY87"/>
      <c r="AZ87"/>
      <c r="BA87"/>
    </row>
    <row r="88" spans="1:53">
      <c r="A88" s="2" t="s">
        <v>111</v>
      </c>
      <c r="B88">
        <v>1934</v>
      </c>
      <c r="C88">
        <v>0</v>
      </c>
      <c r="D88" t="s">
        <v>1826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>
        <v>13</v>
      </c>
      <c r="K88" s="2" t="s">
        <v>19</v>
      </c>
      <c r="L88">
        <f>_xlfn.XLOOKUP("LOADINGSPEEDDEF_"&amp;PROPERTIES[[#This Row],[LOADINGSPEED]],LOADINGSPEEDDEF[TYPE],LOADINGSPEEDDEF[SPEED])</f>
        <v>0</v>
      </c>
      <c r="M88">
        <v>45</v>
      </c>
      <c r="N88">
        <v>1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>
        <v>40</v>
      </c>
      <c r="W88" s="9">
        <v>0</v>
      </c>
      <c r="X88" s="9">
        <v>5</v>
      </c>
      <c r="Y88" s="10">
        <v>0</v>
      </c>
      <c r="Z88" t="s">
        <v>908</v>
      </c>
      <c r="AA88" t="s">
        <v>903</v>
      </c>
      <c r="AB88" s="2" t="s">
        <v>921</v>
      </c>
      <c r="AC88" s="9" t="s">
        <v>985</v>
      </c>
      <c r="AD88" s="9" t="s">
        <v>986</v>
      </c>
      <c r="AE88" s="10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8" s="2" t="b">
        <v>0</v>
      </c>
      <c r="AY88"/>
      <c r="AZ88"/>
      <c r="BA88"/>
    </row>
    <row r="89" spans="1:53">
      <c r="A89" s="2" t="s">
        <v>112</v>
      </c>
      <c r="B89">
        <v>1935</v>
      </c>
      <c r="C89">
        <v>0</v>
      </c>
      <c r="D89" t="s">
        <v>1940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>
        <v>6</v>
      </c>
      <c r="K89" s="2" t="s">
        <v>19</v>
      </c>
      <c r="L89">
        <f>_xlfn.XLOOKUP("LOADINGSPEEDDEF_"&amp;PROPERTIES[[#This Row],[LOADINGSPEED]],LOADINGSPEEDDEF[TYPE],LOADINGSPEEDDEF[SPEED])</f>
        <v>0</v>
      </c>
      <c r="M89">
        <v>45</v>
      </c>
      <c r="N89">
        <v>1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>
        <v>40</v>
      </c>
      <c r="W89" s="9">
        <v>0</v>
      </c>
      <c r="X89" s="9">
        <v>0</v>
      </c>
      <c r="Y89" s="10">
        <v>0</v>
      </c>
      <c r="Z89" t="s">
        <v>912</v>
      </c>
      <c r="AA89" t="s">
        <v>903</v>
      </c>
      <c r="AB89" s="2" t="s">
        <v>921</v>
      </c>
      <c r="AC89" s="9" t="s">
        <v>985</v>
      </c>
      <c r="AD89" s="9" t="s">
        <v>986</v>
      </c>
      <c r="AE89" s="10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89" s="2" t="b">
        <v>0</v>
      </c>
      <c r="AY89"/>
      <c r="AZ89"/>
      <c r="BA89"/>
    </row>
    <row r="90" spans="1:53">
      <c r="A90" s="2" t="s">
        <v>113</v>
      </c>
      <c r="B90">
        <v>1935</v>
      </c>
      <c r="C90">
        <v>0</v>
      </c>
      <c r="D90" t="s">
        <v>1826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>
        <f>8+6</f>
        <v>14</v>
      </c>
      <c r="K90" s="2" t="s">
        <v>19</v>
      </c>
      <c r="L90">
        <f>_xlfn.XLOOKUP("LOADINGSPEEDDEF_"&amp;PROPERTIES[[#This Row],[LOADINGSPEED]],LOADINGSPEEDDEF[TYPE],LOADINGSPEEDDEF[SPEED])</f>
        <v>0</v>
      </c>
      <c r="M90">
        <v>45</v>
      </c>
      <c r="N90">
        <v>1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>
        <v>40</v>
      </c>
      <c r="W90" s="9">
        <v>0</v>
      </c>
      <c r="X90" s="9">
        <v>6</v>
      </c>
      <c r="Y90" s="10">
        <v>0</v>
      </c>
      <c r="Z90" t="s">
        <v>908</v>
      </c>
      <c r="AA90" t="s">
        <v>903</v>
      </c>
      <c r="AB90" s="2" t="s">
        <v>921</v>
      </c>
      <c r="AC90" s="9" t="s">
        <v>985</v>
      </c>
      <c r="AD90" s="9" t="s">
        <v>986</v>
      </c>
      <c r="AE90" s="10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0" s="2" t="b">
        <v>0</v>
      </c>
      <c r="AY90"/>
      <c r="AZ90"/>
      <c r="BA90"/>
    </row>
    <row r="91" spans="1:53">
      <c r="A91" s="2" t="s">
        <v>114</v>
      </c>
      <c r="B91">
        <v>1937</v>
      </c>
      <c r="C91">
        <v>0</v>
      </c>
      <c r="D91" t="s">
        <v>1788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>
        <v>14</v>
      </c>
      <c r="K91" s="2" t="s">
        <v>19</v>
      </c>
      <c r="L91">
        <f>_xlfn.XLOOKUP("LOADINGSPEEDDEF_"&amp;PROPERTIES[[#This Row],[LOADINGSPEED]],LOADINGSPEEDDEF[TYPE],LOADINGSPEEDDEF[SPEED])</f>
        <v>0</v>
      </c>
      <c r="M91">
        <v>45</v>
      </c>
      <c r="N91">
        <v>1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>
        <v>40</v>
      </c>
      <c r="W91" s="9">
        <v>0</v>
      </c>
      <c r="X91" s="9">
        <v>6</v>
      </c>
      <c r="Y91" s="10">
        <v>0</v>
      </c>
      <c r="Z91" t="s">
        <v>909</v>
      </c>
      <c r="AA91" t="s">
        <v>903</v>
      </c>
      <c r="AB91" s="2" t="s">
        <v>921</v>
      </c>
      <c r="AC91" s="9" t="s">
        <v>985</v>
      </c>
      <c r="AD91" s="9" t="s">
        <v>986</v>
      </c>
      <c r="AE91" s="10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1" s="2" t="b">
        <v>0</v>
      </c>
      <c r="AY91"/>
      <c r="AZ91"/>
      <c r="BA91"/>
    </row>
    <row r="92" spans="1:53">
      <c r="A92" s="2" t="s">
        <v>115</v>
      </c>
      <c r="B92">
        <v>1937</v>
      </c>
      <c r="C92">
        <v>0</v>
      </c>
      <c r="D92" t="s">
        <v>1809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8</v>
      </c>
      <c r="J92">
        <v>4</v>
      </c>
      <c r="K92" s="2" t="s">
        <v>19</v>
      </c>
      <c r="L92">
        <f>_xlfn.XLOOKUP("LOADINGSPEEDDEF_"&amp;PROPERTIES[[#This Row],[LOADINGSPEED]],LOADINGSPEEDDEF[TYPE],LOADINGSPEEDDEF[SPEED])</f>
        <v>0</v>
      </c>
      <c r="M92">
        <v>45</v>
      </c>
      <c r="N92">
        <v>1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>
        <v>40</v>
      </c>
      <c r="W92" s="9">
        <v>0</v>
      </c>
      <c r="X92" s="9">
        <v>4</v>
      </c>
      <c r="Y92" s="10">
        <v>0</v>
      </c>
      <c r="Z92" t="s">
        <v>908</v>
      </c>
      <c r="AA92" t="s">
        <v>903</v>
      </c>
      <c r="AB92" s="2" t="s">
        <v>921</v>
      </c>
      <c r="AC92" s="9" t="s">
        <v>985</v>
      </c>
      <c r="AD92" s="9" t="s">
        <v>986</v>
      </c>
      <c r="AE92" s="10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2" s="2" t="b">
        <v>0</v>
      </c>
      <c r="AY92"/>
      <c r="AZ92"/>
      <c r="BA92"/>
    </row>
    <row r="93" spans="1:53">
      <c r="A93" s="2" t="s">
        <v>116</v>
      </c>
      <c r="B93">
        <v>1937</v>
      </c>
      <c r="C93">
        <v>0</v>
      </c>
      <c r="D93" t="s">
        <v>1807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>
        <f>8+6</f>
        <v>14</v>
      </c>
      <c r="K93" s="2" t="s">
        <v>19</v>
      </c>
      <c r="L93">
        <f>_xlfn.XLOOKUP("LOADINGSPEEDDEF_"&amp;PROPERTIES[[#This Row],[LOADINGSPEED]],LOADINGSPEEDDEF[TYPE],LOADINGSPEEDDEF[SPEED])</f>
        <v>0</v>
      </c>
      <c r="M93">
        <v>45</v>
      </c>
      <c r="N93">
        <v>1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>
        <v>40</v>
      </c>
      <c r="W93" s="9">
        <v>0</v>
      </c>
      <c r="X93" s="9">
        <v>6</v>
      </c>
      <c r="Y93" s="10">
        <v>0</v>
      </c>
      <c r="Z93" t="s">
        <v>904</v>
      </c>
      <c r="AA93" t="s">
        <v>903</v>
      </c>
      <c r="AB93" s="2" t="s">
        <v>921</v>
      </c>
      <c r="AC93" s="9" t="s">
        <v>985</v>
      </c>
      <c r="AD93" s="9" t="s">
        <v>986</v>
      </c>
      <c r="AE93" s="10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93" s="2" t="b">
        <v>0</v>
      </c>
      <c r="AY93"/>
      <c r="AZ93"/>
      <c r="BA93"/>
    </row>
    <row r="94" spans="1:53">
      <c r="A94" s="2" t="s">
        <v>117</v>
      </c>
      <c r="B94">
        <v>1948</v>
      </c>
      <c r="C94">
        <v>0</v>
      </c>
      <c r="D94" t="s">
        <v>1826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>
        <f>8+5</f>
        <v>13</v>
      </c>
      <c r="K94" s="2" t="s">
        <v>19</v>
      </c>
      <c r="L94">
        <f>_xlfn.XLOOKUP("LOADINGSPEEDDEF_"&amp;PROPERTIES[[#This Row],[LOADINGSPEED]],LOADINGSPEEDDEF[TYPE],LOADINGSPEEDDEF[SPEED])</f>
        <v>0</v>
      </c>
      <c r="M94">
        <v>45</v>
      </c>
      <c r="N94">
        <v>1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>
        <v>40</v>
      </c>
      <c r="W94" s="9">
        <v>0</v>
      </c>
      <c r="X94" s="9">
        <v>5</v>
      </c>
      <c r="Y94" s="10">
        <v>0</v>
      </c>
      <c r="Z94" t="s">
        <v>908</v>
      </c>
      <c r="AA94" t="s">
        <v>903</v>
      </c>
      <c r="AB94" s="2" t="s">
        <v>921</v>
      </c>
      <c r="AC94" s="9" t="s">
        <v>985</v>
      </c>
      <c r="AD94" s="9" t="s">
        <v>986</v>
      </c>
      <c r="AE94" s="10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4" s="2" t="b">
        <v>0</v>
      </c>
      <c r="AY94"/>
      <c r="AZ94"/>
      <c r="BA94"/>
    </row>
    <row r="95" spans="1:53">
      <c r="A95" s="2" t="s">
        <v>118</v>
      </c>
      <c r="B95">
        <v>1953</v>
      </c>
      <c r="C95">
        <v>0</v>
      </c>
      <c r="D95" t="s">
        <v>1995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>
        <f>8+5</f>
        <v>13</v>
      </c>
      <c r="K95" s="2" t="s">
        <v>19</v>
      </c>
      <c r="L95">
        <f>_xlfn.XLOOKUP("LOADINGSPEEDDEF_"&amp;PROPERTIES[[#This Row],[LOADINGSPEED]],LOADINGSPEEDDEF[TYPE],LOADINGSPEEDDEF[SPEED])</f>
        <v>0</v>
      </c>
      <c r="M95">
        <v>45</v>
      </c>
      <c r="N95">
        <v>1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>
        <v>40</v>
      </c>
      <c r="W95" s="9">
        <v>0</v>
      </c>
      <c r="X95" s="9">
        <v>5</v>
      </c>
      <c r="Y95" s="10">
        <v>0</v>
      </c>
      <c r="Z95" t="s">
        <v>907</v>
      </c>
      <c r="AA95" t="s">
        <v>903</v>
      </c>
      <c r="AB95" s="2" t="s">
        <v>921</v>
      </c>
      <c r="AC95" s="9" t="s">
        <v>985</v>
      </c>
      <c r="AD95" s="9" t="s">
        <v>986</v>
      </c>
      <c r="AE95" s="10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95" s="2" t="b">
        <v>0</v>
      </c>
      <c r="AY95"/>
      <c r="AZ95"/>
      <c r="BA95"/>
    </row>
    <row r="96" spans="1:53">
      <c r="A96" s="2" t="s">
        <v>119</v>
      </c>
      <c r="B96">
        <v>1954</v>
      </c>
      <c r="C96">
        <v>0</v>
      </c>
      <c r="D96" t="s">
        <v>1940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>
        <v>14</v>
      </c>
      <c r="K96" s="2" t="s">
        <v>19</v>
      </c>
      <c r="L96">
        <f>_xlfn.XLOOKUP("LOADINGSPEEDDEF_"&amp;PROPERTIES[[#This Row],[LOADINGSPEED]],LOADINGSPEEDDEF[TYPE],LOADINGSPEEDDEF[SPEED])</f>
        <v>0</v>
      </c>
      <c r="M96">
        <v>45</v>
      </c>
      <c r="N96">
        <v>1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>
        <v>40</v>
      </c>
      <c r="W96" s="9">
        <v>0</v>
      </c>
      <c r="X96" s="9">
        <v>6</v>
      </c>
      <c r="Y96" s="10">
        <v>0</v>
      </c>
      <c r="Z96" t="s">
        <v>912</v>
      </c>
      <c r="AA96" t="s">
        <v>903</v>
      </c>
      <c r="AB96" s="2" t="s">
        <v>921</v>
      </c>
      <c r="AC96" s="9" t="s">
        <v>985</v>
      </c>
      <c r="AD96" s="9" t="s">
        <v>986</v>
      </c>
      <c r="AE96" s="10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6" s="2" t="b">
        <v>0</v>
      </c>
      <c r="AY96"/>
      <c r="AZ96"/>
      <c r="BA96"/>
    </row>
    <row r="97" spans="1:53">
      <c r="A97" s="2" t="s">
        <v>120</v>
      </c>
      <c r="B97">
        <v>1934</v>
      </c>
      <c r="C97">
        <v>0</v>
      </c>
      <c r="D97" t="s">
        <v>1825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>
        <f>8+5</f>
        <v>13</v>
      </c>
      <c r="K97" s="2" t="s">
        <v>19</v>
      </c>
      <c r="L97">
        <f>_xlfn.XLOOKUP("LOADINGSPEEDDEF_"&amp;PROPERTIES[[#This Row],[LOADINGSPEED]],LOADINGSPEEDDEF[TYPE],LOADINGSPEEDDEF[SPEED])</f>
        <v>0</v>
      </c>
      <c r="M97">
        <v>45</v>
      </c>
      <c r="N97">
        <v>1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>
        <v>40</v>
      </c>
      <c r="W97" s="9">
        <v>0</v>
      </c>
      <c r="X97" s="9">
        <v>5</v>
      </c>
      <c r="Y97" s="10">
        <v>0</v>
      </c>
      <c r="Z97" t="s">
        <v>904</v>
      </c>
      <c r="AA97" t="s">
        <v>903</v>
      </c>
      <c r="AB97" s="2" t="s">
        <v>921</v>
      </c>
      <c r="AC97" s="9" t="s">
        <v>985</v>
      </c>
      <c r="AD97" s="9" t="s">
        <v>986</v>
      </c>
      <c r="AE97" s="10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7" s="2" t="b">
        <v>0</v>
      </c>
      <c r="AY97"/>
      <c r="AZ97"/>
      <c r="BA97"/>
    </row>
    <row r="98" spans="1:53">
      <c r="A98" s="2" t="s">
        <v>121</v>
      </c>
      <c r="B98">
        <v>1908</v>
      </c>
      <c r="C98">
        <v>0</v>
      </c>
      <c r="D98" t="s">
        <v>1859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>
        <v>5</v>
      </c>
      <c r="K98" s="2" t="s">
        <v>19</v>
      </c>
      <c r="L98">
        <f>_xlfn.XLOOKUP("LOADINGSPEEDDEF_"&amp;PROPERTIES[[#This Row],[LOADINGSPEED]],LOADINGSPEEDDEF[TYPE],LOADINGSPEEDDEF[SPEED])</f>
        <v>0</v>
      </c>
      <c r="M98">
        <v>45</v>
      </c>
      <c r="N98">
        <v>1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>
        <v>40</v>
      </c>
      <c r="W98" s="9">
        <v>0</v>
      </c>
      <c r="X98" s="9">
        <v>0</v>
      </c>
      <c r="Y98" s="10">
        <v>0</v>
      </c>
      <c r="Z98" t="s">
        <v>905</v>
      </c>
      <c r="AA98" t="s">
        <v>903</v>
      </c>
      <c r="AB98" s="2" t="s">
        <v>921</v>
      </c>
      <c r="AC98" s="9" t="s">
        <v>985</v>
      </c>
      <c r="AD98" s="9" t="s">
        <v>986</v>
      </c>
      <c r="AE98" s="10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98" s="2" t="b">
        <v>0</v>
      </c>
      <c r="AY98"/>
      <c r="AZ98"/>
      <c r="BA98"/>
    </row>
    <row r="99" spans="1:53">
      <c r="A99" s="2" t="s">
        <v>122</v>
      </c>
      <c r="B99">
        <v>1934</v>
      </c>
      <c r="C99">
        <v>0</v>
      </c>
      <c r="D99" t="s">
        <v>1928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>
        <v>7</v>
      </c>
      <c r="K99" s="2" t="s">
        <v>19</v>
      </c>
      <c r="L99">
        <f>_xlfn.XLOOKUP("LOADINGSPEEDDEF_"&amp;PROPERTIES[[#This Row],[LOADINGSPEED]],LOADINGSPEEDDEF[TYPE],LOADINGSPEEDDEF[SPEED])</f>
        <v>0</v>
      </c>
      <c r="M99">
        <v>45</v>
      </c>
      <c r="N99"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>
        <v>40</v>
      </c>
      <c r="W99" s="9">
        <v>0</v>
      </c>
      <c r="X99" s="9">
        <v>0</v>
      </c>
      <c r="Y99" s="10">
        <v>0</v>
      </c>
      <c r="Z99" t="s">
        <v>910</v>
      </c>
      <c r="AA99" t="s">
        <v>903</v>
      </c>
      <c r="AB99" s="2" t="s">
        <v>921</v>
      </c>
      <c r="AC99" s="9" t="s">
        <v>985</v>
      </c>
      <c r="AD99" s="9" t="s">
        <v>986</v>
      </c>
      <c r="AE99" s="10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9" s="2" t="b">
        <v>0</v>
      </c>
      <c r="AY99"/>
      <c r="AZ99"/>
      <c r="BA99"/>
    </row>
    <row r="100" spans="1:53">
      <c r="A100" s="2" t="s">
        <v>123</v>
      </c>
      <c r="B100">
        <v>1913</v>
      </c>
      <c r="C100">
        <v>0</v>
      </c>
      <c r="D100" t="s">
        <v>1793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>
        <v>12</v>
      </c>
      <c r="K100" s="2" t="s">
        <v>19</v>
      </c>
      <c r="L100">
        <f>_xlfn.XLOOKUP("LOADINGSPEEDDEF_"&amp;PROPERTIES[[#This Row],[LOADINGSPEED]],LOADINGSPEEDDEF[TYPE],LOADINGSPEEDDEF[SPEED])</f>
        <v>0</v>
      </c>
      <c r="M100">
        <v>45</v>
      </c>
      <c r="N100">
        <v>1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>
        <v>40</v>
      </c>
      <c r="W100" s="9">
        <v>0</v>
      </c>
      <c r="X100" s="9">
        <v>4</v>
      </c>
      <c r="Y100" s="10">
        <v>0</v>
      </c>
      <c r="Z100" t="s">
        <v>904</v>
      </c>
      <c r="AA100" t="s">
        <v>903</v>
      </c>
      <c r="AB100" s="2" t="s">
        <v>921</v>
      </c>
      <c r="AC100" s="9" t="s">
        <v>985</v>
      </c>
      <c r="AD100" s="9" t="s">
        <v>986</v>
      </c>
      <c r="AE100" s="10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00" s="2" t="b">
        <v>0</v>
      </c>
      <c r="AY100"/>
      <c r="AZ100"/>
      <c r="BA100"/>
    </row>
    <row r="101" spans="1:53">
      <c r="A101" s="2" t="s">
        <v>124</v>
      </c>
      <c r="B101">
        <v>1941</v>
      </c>
      <c r="C101">
        <v>0</v>
      </c>
      <c r="D101" t="s">
        <v>1981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>
        <f>8+7</f>
        <v>15</v>
      </c>
      <c r="K101" s="2" t="s">
        <v>19</v>
      </c>
      <c r="L101">
        <f>_xlfn.XLOOKUP("LOADINGSPEEDDEF_"&amp;PROPERTIES[[#This Row],[LOADINGSPEED]],LOADINGSPEEDDEF[TYPE],LOADINGSPEEDDEF[SPEED])</f>
        <v>0</v>
      </c>
      <c r="M101">
        <v>45</v>
      </c>
      <c r="N101">
        <v>1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>
        <v>40</v>
      </c>
      <c r="W101" s="9">
        <v>0</v>
      </c>
      <c r="X101" s="9">
        <v>7</v>
      </c>
      <c r="Y101" s="10">
        <v>0</v>
      </c>
      <c r="Z101" t="s">
        <v>909</v>
      </c>
      <c r="AA101" t="s">
        <v>903</v>
      </c>
      <c r="AB101" s="2" t="s">
        <v>921</v>
      </c>
      <c r="AC101" s="9" t="s">
        <v>985</v>
      </c>
      <c r="AD101" s="9" t="s">
        <v>986</v>
      </c>
      <c r="AE101" s="10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01" s="2" t="b">
        <v>0</v>
      </c>
      <c r="AY101"/>
      <c r="AZ101"/>
      <c r="BA101"/>
    </row>
    <row r="102" spans="1:53">
      <c r="A102" s="2" t="s">
        <v>125</v>
      </c>
      <c r="B102">
        <v>1844</v>
      </c>
      <c r="C102">
        <v>0</v>
      </c>
      <c r="D102" t="s">
        <v>1915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>
        <v>7</v>
      </c>
      <c r="K102" s="2" t="s">
        <v>19</v>
      </c>
      <c r="L102">
        <f>_xlfn.XLOOKUP("LOADINGSPEEDDEF_"&amp;PROPERTIES[[#This Row],[LOADINGSPEED]],LOADINGSPEEDDEF[TYPE],LOADINGSPEEDDEF[SPEED])</f>
        <v>0</v>
      </c>
      <c r="M102">
        <v>45</v>
      </c>
      <c r="N102">
        <v>1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>
        <v>40</v>
      </c>
      <c r="W102" s="9">
        <v>0</v>
      </c>
      <c r="X102" s="9">
        <v>3</v>
      </c>
      <c r="Y102" s="10">
        <v>0</v>
      </c>
      <c r="Z102" t="s">
        <v>904</v>
      </c>
      <c r="AA102" t="s">
        <v>903</v>
      </c>
      <c r="AB102" s="2" t="s">
        <v>921</v>
      </c>
      <c r="AC102" s="9" t="s">
        <v>985</v>
      </c>
      <c r="AD102" s="9" t="s">
        <v>986</v>
      </c>
      <c r="AE102" s="10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2" s="2" t="b">
        <v>0</v>
      </c>
      <c r="AY102"/>
      <c r="AZ102"/>
      <c r="BA102"/>
    </row>
    <row r="103" spans="1:53">
      <c r="A103" s="2" t="s">
        <v>126</v>
      </c>
      <c r="B103">
        <v>1846</v>
      </c>
      <c r="C103">
        <v>0</v>
      </c>
      <c r="D103" t="s">
        <v>1826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>
        <v>12</v>
      </c>
      <c r="K103" s="2" t="s">
        <v>19</v>
      </c>
      <c r="L103">
        <f>_xlfn.XLOOKUP("LOADINGSPEEDDEF_"&amp;PROPERTIES[[#This Row],[LOADINGSPEED]],LOADINGSPEEDDEF[TYPE],LOADINGSPEEDDEF[SPEED])</f>
        <v>0</v>
      </c>
      <c r="M103">
        <v>45</v>
      </c>
      <c r="N103">
        <v>1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>
        <v>40</v>
      </c>
      <c r="W103" s="9">
        <v>0</v>
      </c>
      <c r="X103" s="9">
        <v>4</v>
      </c>
      <c r="Y103" s="10">
        <v>0</v>
      </c>
      <c r="Z103" t="s">
        <v>908</v>
      </c>
      <c r="AA103" t="s">
        <v>903</v>
      </c>
      <c r="AB103" s="2" t="s">
        <v>921</v>
      </c>
      <c r="AC103" s="9" t="s">
        <v>985</v>
      </c>
      <c r="AD103" s="9" t="s">
        <v>986</v>
      </c>
      <c r="AE103" s="10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03" s="2" t="b">
        <v>0</v>
      </c>
      <c r="AY103"/>
      <c r="AZ103"/>
      <c r="BA103"/>
    </row>
    <row r="104" spans="1:53">
      <c r="A104" s="2" t="s">
        <v>127</v>
      </c>
      <c r="B104">
        <v>1855</v>
      </c>
      <c r="C104">
        <v>0</v>
      </c>
      <c r="D104" t="s">
        <v>1763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>
        <v>9</v>
      </c>
      <c r="K104" s="2" t="s">
        <v>19</v>
      </c>
      <c r="L104">
        <f>_xlfn.XLOOKUP("LOADINGSPEEDDEF_"&amp;PROPERTIES[[#This Row],[LOADINGSPEED]],LOADINGSPEEDDEF[TYPE],LOADINGSPEEDDEF[SPEED])</f>
        <v>0</v>
      </c>
      <c r="M104">
        <v>45</v>
      </c>
      <c r="N104">
        <v>1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>
        <v>40</v>
      </c>
      <c r="W104" s="9">
        <v>0</v>
      </c>
      <c r="X104" s="9">
        <v>4</v>
      </c>
      <c r="Y104" s="10">
        <v>0</v>
      </c>
      <c r="Z104" t="s">
        <v>906</v>
      </c>
      <c r="AA104" t="s">
        <v>903</v>
      </c>
      <c r="AB104" s="2" t="s">
        <v>921</v>
      </c>
      <c r="AC104" s="9" t="s">
        <v>985</v>
      </c>
      <c r="AD104" s="9" t="s">
        <v>986</v>
      </c>
      <c r="AE104" s="10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04" s="2" t="b">
        <v>0</v>
      </c>
      <c r="AY104"/>
      <c r="AZ104"/>
      <c r="BA104"/>
    </row>
    <row r="105" spans="1:53">
      <c r="A105" s="2" t="s">
        <v>128</v>
      </c>
      <c r="B105">
        <v>1863</v>
      </c>
      <c r="C105">
        <v>0</v>
      </c>
      <c r="D105" t="s">
        <v>1981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>
        <v>8</v>
      </c>
      <c r="K105" s="2" t="s">
        <v>19</v>
      </c>
      <c r="L105">
        <f>_xlfn.XLOOKUP("LOADINGSPEEDDEF_"&amp;PROPERTIES[[#This Row],[LOADINGSPEED]],LOADINGSPEEDDEF[TYPE],LOADINGSPEEDDEF[SPEED])</f>
        <v>0</v>
      </c>
      <c r="M105">
        <v>45</v>
      </c>
      <c r="N105">
        <v>1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>
        <v>40</v>
      </c>
      <c r="W105" s="9">
        <v>0</v>
      </c>
      <c r="X105" s="9">
        <v>3</v>
      </c>
      <c r="Y105" s="10">
        <v>0</v>
      </c>
      <c r="Z105" t="s">
        <v>909</v>
      </c>
      <c r="AA105" t="s">
        <v>903</v>
      </c>
      <c r="AB105" s="2" t="s">
        <v>921</v>
      </c>
      <c r="AC105" s="9" t="s">
        <v>985</v>
      </c>
      <c r="AD105" s="9" t="s">
        <v>986</v>
      </c>
      <c r="AE105" s="10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5" s="2" t="b">
        <v>0</v>
      </c>
      <c r="AY105"/>
      <c r="AZ105"/>
      <c r="BA105"/>
    </row>
    <row r="106" spans="1:53">
      <c r="A106" s="2" t="s">
        <v>129</v>
      </c>
      <c r="B106">
        <v>1865</v>
      </c>
      <c r="C106">
        <v>0</v>
      </c>
      <c r="D106" t="s">
        <v>1915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6</v>
      </c>
      <c r="J106">
        <v>9</v>
      </c>
      <c r="K106" s="2" t="s">
        <v>19</v>
      </c>
      <c r="L106">
        <f>_xlfn.XLOOKUP("LOADINGSPEEDDEF_"&amp;PROPERTIES[[#This Row],[LOADINGSPEED]],LOADINGSPEEDDEF[TYPE],LOADINGSPEEDDEF[SPEED])</f>
        <v>0</v>
      </c>
      <c r="M106">
        <v>45</v>
      </c>
      <c r="N106">
        <v>1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>
        <v>40</v>
      </c>
      <c r="W106" s="9">
        <v>0</v>
      </c>
      <c r="X106" s="9">
        <v>3</v>
      </c>
      <c r="Y106" s="10">
        <v>0</v>
      </c>
      <c r="Z106" t="s">
        <v>904</v>
      </c>
      <c r="AA106" t="s">
        <v>903</v>
      </c>
      <c r="AB106" s="2" t="s">
        <v>921</v>
      </c>
      <c r="AC106" s="9" t="s">
        <v>985</v>
      </c>
      <c r="AD106" s="9" t="s">
        <v>986</v>
      </c>
      <c r="AE106" s="10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6" s="2" t="b">
        <v>0</v>
      </c>
      <c r="AY106"/>
      <c r="AZ106"/>
      <c r="BA106"/>
    </row>
    <row r="107" spans="1:53">
      <c r="A107" s="2" t="s">
        <v>130</v>
      </c>
      <c r="B107">
        <v>1876</v>
      </c>
      <c r="C107">
        <v>0</v>
      </c>
      <c r="D107" t="s">
        <v>1995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>
        <v>5</v>
      </c>
      <c r="K107" s="2" t="s">
        <v>19</v>
      </c>
      <c r="L107">
        <f>_xlfn.XLOOKUP("LOADINGSPEEDDEF_"&amp;PROPERTIES[[#This Row],[LOADINGSPEED]],LOADINGSPEEDDEF[TYPE],LOADINGSPEEDDEF[SPEED])</f>
        <v>0</v>
      </c>
      <c r="M107">
        <v>45</v>
      </c>
      <c r="N107">
        <v>1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>
        <v>40</v>
      </c>
      <c r="W107" s="9">
        <v>0</v>
      </c>
      <c r="X107" s="9">
        <v>0</v>
      </c>
      <c r="Y107" s="10">
        <v>0</v>
      </c>
      <c r="Z107" t="s">
        <v>907</v>
      </c>
      <c r="AA107" t="s">
        <v>903</v>
      </c>
      <c r="AB107" s="2" t="s">
        <v>921</v>
      </c>
      <c r="AC107" s="9" t="s">
        <v>985</v>
      </c>
      <c r="AD107" s="9" t="s">
        <v>986</v>
      </c>
      <c r="AE107" s="10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07" s="2" t="b">
        <v>0</v>
      </c>
      <c r="AY107"/>
      <c r="AZ107"/>
      <c r="BA107"/>
    </row>
    <row r="108" spans="1:53">
      <c r="A108" s="2" t="s">
        <v>131</v>
      </c>
      <c r="B108">
        <v>1881</v>
      </c>
      <c r="C108">
        <v>0</v>
      </c>
      <c r="D108" t="s">
        <v>1763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>
        <v>11</v>
      </c>
      <c r="K108" s="2" t="s">
        <v>19</v>
      </c>
      <c r="L108">
        <f>_xlfn.XLOOKUP("LOADINGSPEEDDEF_"&amp;PROPERTIES[[#This Row],[LOADINGSPEED]],LOADINGSPEEDDEF[TYPE],LOADINGSPEEDDEF[SPEED])</f>
        <v>0</v>
      </c>
      <c r="M108">
        <v>45</v>
      </c>
      <c r="N108">
        <v>1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>
        <v>40</v>
      </c>
      <c r="W108" s="9">
        <v>0</v>
      </c>
      <c r="X108" s="9">
        <v>4</v>
      </c>
      <c r="Y108" s="10">
        <v>0</v>
      </c>
      <c r="Z108" t="s">
        <v>906</v>
      </c>
      <c r="AA108" t="s">
        <v>903</v>
      </c>
      <c r="AB108" s="2" t="s">
        <v>921</v>
      </c>
      <c r="AC108" s="9" t="s">
        <v>985</v>
      </c>
      <c r="AD108" s="9" t="s">
        <v>986</v>
      </c>
      <c r="AE108" s="10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8" s="2" t="b">
        <v>0</v>
      </c>
      <c r="AY108"/>
      <c r="AZ108"/>
      <c r="BA108"/>
    </row>
    <row r="109" spans="1:53">
      <c r="A109" s="2" t="s">
        <v>132</v>
      </c>
      <c r="B109">
        <v>1886</v>
      </c>
      <c r="C109">
        <v>0</v>
      </c>
      <c r="D109" t="s">
        <v>1788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>
        <v>10</v>
      </c>
      <c r="K109" s="2" t="s">
        <v>19</v>
      </c>
      <c r="L109">
        <f>_xlfn.XLOOKUP("LOADINGSPEEDDEF_"&amp;PROPERTIES[[#This Row],[LOADINGSPEED]],LOADINGSPEEDDEF[TYPE],LOADINGSPEEDDEF[SPEED])</f>
        <v>0</v>
      </c>
      <c r="M109">
        <v>45</v>
      </c>
      <c r="N109">
        <v>1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>
        <v>40</v>
      </c>
      <c r="W109" s="9">
        <v>0</v>
      </c>
      <c r="X109" s="9">
        <v>4</v>
      </c>
      <c r="Y109" s="10">
        <v>0</v>
      </c>
      <c r="Z109" t="s">
        <v>909</v>
      </c>
      <c r="AA109" t="s">
        <v>903</v>
      </c>
      <c r="AB109" s="2" t="s">
        <v>921</v>
      </c>
      <c r="AC109" s="9" t="s">
        <v>985</v>
      </c>
      <c r="AD109" s="9" t="s">
        <v>986</v>
      </c>
      <c r="AE109" s="10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9" s="2" t="b">
        <v>0</v>
      </c>
      <c r="AY109"/>
      <c r="AZ109"/>
      <c r="BA109"/>
    </row>
    <row r="110" spans="1:53">
      <c r="A110" s="2" t="s">
        <v>133</v>
      </c>
      <c r="B110">
        <v>1887</v>
      </c>
      <c r="C110">
        <v>0</v>
      </c>
      <c r="D110" t="s">
        <v>1995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>
        <v>5</v>
      </c>
      <c r="K110" s="2" t="s">
        <v>19</v>
      </c>
      <c r="L110">
        <f>_xlfn.XLOOKUP("LOADINGSPEEDDEF_"&amp;PROPERTIES[[#This Row],[LOADINGSPEED]],LOADINGSPEEDDEF[TYPE],LOADINGSPEEDDEF[SPEED])</f>
        <v>0</v>
      </c>
      <c r="M110">
        <v>45</v>
      </c>
      <c r="N110">
        <v>1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>
        <v>40</v>
      </c>
      <c r="W110" s="9">
        <v>0</v>
      </c>
      <c r="X110" s="9">
        <v>0</v>
      </c>
      <c r="Y110" s="10">
        <v>0</v>
      </c>
      <c r="Z110" t="s">
        <v>907</v>
      </c>
      <c r="AA110" t="s">
        <v>903</v>
      </c>
      <c r="AB110" s="2" t="s">
        <v>921</v>
      </c>
      <c r="AC110" s="9" t="s">
        <v>985</v>
      </c>
      <c r="AD110" s="9" t="s">
        <v>986</v>
      </c>
      <c r="AE110" s="10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0" s="2" t="b">
        <v>0</v>
      </c>
      <c r="AY110"/>
      <c r="AZ110"/>
      <c r="BA110"/>
    </row>
    <row r="111" spans="1:53">
      <c r="A111" s="2" t="s">
        <v>134</v>
      </c>
      <c r="B111">
        <v>1891</v>
      </c>
      <c r="C111">
        <v>0</v>
      </c>
      <c r="D111" t="s">
        <v>1818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>
        <v>9</v>
      </c>
      <c r="K111" s="2" t="s">
        <v>19</v>
      </c>
      <c r="L111">
        <f>_xlfn.XLOOKUP("LOADINGSPEEDDEF_"&amp;PROPERTIES[[#This Row],[LOADINGSPEED]],LOADINGSPEEDDEF[TYPE],LOADINGSPEEDDEF[SPEED])</f>
        <v>0</v>
      </c>
      <c r="M111">
        <v>45</v>
      </c>
      <c r="N111">
        <v>1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>
        <v>40</v>
      </c>
      <c r="W111" s="9">
        <v>0</v>
      </c>
      <c r="X111" s="9">
        <v>3</v>
      </c>
      <c r="Y111" s="10">
        <v>0</v>
      </c>
      <c r="Z111" t="s">
        <v>905</v>
      </c>
      <c r="AA111" t="s">
        <v>903</v>
      </c>
      <c r="AB111" s="2" t="s">
        <v>921</v>
      </c>
      <c r="AC111" s="9" t="s">
        <v>985</v>
      </c>
      <c r="AD111" s="9" t="s">
        <v>986</v>
      </c>
      <c r="AE111" s="10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1" s="2" t="b">
        <v>0</v>
      </c>
      <c r="AY111"/>
      <c r="AZ111"/>
      <c r="BA111"/>
    </row>
    <row r="112" spans="1:53">
      <c r="A112" s="2" t="s">
        <v>135</v>
      </c>
      <c r="B112">
        <v>1892</v>
      </c>
      <c r="C112">
        <v>0</v>
      </c>
      <c r="D112" t="s">
        <v>1807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>
        <v>6</v>
      </c>
      <c r="K112" s="2" t="s">
        <v>19</v>
      </c>
      <c r="L112">
        <f>_xlfn.XLOOKUP("LOADINGSPEEDDEF_"&amp;PROPERTIES[[#This Row],[LOADINGSPEED]],LOADINGSPEEDDEF[TYPE],LOADINGSPEEDDEF[SPEED])</f>
        <v>0</v>
      </c>
      <c r="M112">
        <v>45</v>
      </c>
      <c r="N112">
        <v>1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>
        <v>40</v>
      </c>
      <c r="W112" s="9">
        <v>0</v>
      </c>
      <c r="X112" s="9">
        <v>0</v>
      </c>
      <c r="Y112" s="10">
        <v>0</v>
      </c>
      <c r="Z112" t="s">
        <v>904</v>
      </c>
      <c r="AA112" t="s">
        <v>903</v>
      </c>
      <c r="AB112" s="2" t="s">
        <v>921</v>
      </c>
      <c r="AC112" s="9" t="s">
        <v>985</v>
      </c>
      <c r="AD112" s="9" t="s">
        <v>986</v>
      </c>
      <c r="AE112" s="10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2" s="2" t="b">
        <v>0</v>
      </c>
      <c r="AY112"/>
      <c r="AZ112"/>
      <c r="BA112"/>
    </row>
    <row r="113" spans="1:53">
      <c r="A113" s="2" t="s">
        <v>136</v>
      </c>
      <c r="B113">
        <v>1893</v>
      </c>
      <c r="C113">
        <v>0</v>
      </c>
      <c r="D113" t="s">
        <v>1807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>
        <v>11</v>
      </c>
      <c r="K113" s="2" t="s">
        <v>19</v>
      </c>
      <c r="L113">
        <f>_xlfn.XLOOKUP("LOADINGSPEEDDEF_"&amp;PROPERTIES[[#This Row],[LOADINGSPEED]],LOADINGSPEEDDEF[TYPE],LOADINGSPEEDDEF[SPEED])</f>
        <v>0</v>
      </c>
      <c r="M113">
        <v>45</v>
      </c>
      <c r="N113">
        <v>1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>
        <v>40</v>
      </c>
      <c r="W113" s="9">
        <v>0</v>
      </c>
      <c r="X113" s="9">
        <v>4</v>
      </c>
      <c r="Y113" s="10">
        <v>0</v>
      </c>
      <c r="Z113" t="s">
        <v>904</v>
      </c>
      <c r="AA113" t="s">
        <v>903</v>
      </c>
      <c r="AB113" s="2" t="s">
        <v>921</v>
      </c>
      <c r="AC113" s="9" t="s">
        <v>985</v>
      </c>
      <c r="AD113" s="9" t="s">
        <v>986</v>
      </c>
      <c r="AE113" s="10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13" s="2" t="b">
        <v>0</v>
      </c>
      <c r="AY113"/>
      <c r="AZ113"/>
      <c r="BA113"/>
    </row>
    <row r="114" spans="1:53">
      <c r="A114" s="2" t="s">
        <v>137</v>
      </c>
      <c r="B114">
        <v>1894</v>
      </c>
      <c r="C114">
        <v>0</v>
      </c>
      <c r="D114" t="s">
        <v>1916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>
        <v>7</v>
      </c>
      <c r="K114" s="2" t="s">
        <v>19</v>
      </c>
      <c r="L114">
        <f>_xlfn.XLOOKUP("LOADINGSPEEDDEF_"&amp;PROPERTIES[[#This Row],[LOADINGSPEED]],LOADINGSPEEDDEF[TYPE],LOADINGSPEEDDEF[SPEED])</f>
        <v>0</v>
      </c>
      <c r="M114">
        <v>45</v>
      </c>
      <c r="N114"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>
        <v>40</v>
      </c>
      <c r="W114" s="9">
        <v>0</v>
      </c>
      <c r="X114" s="9">
        <v>0</v>
      </c>
      <c r="Y114" s="10">
        <v>0</v>
      </c>
      <c r="Z114" t="s">
        <v>908</v>
      </c>
      <c r="AA114" t="s">
        <v>903</v>
      </c>
      <c r="AB114" s="2" t="s">
        <v>921</v>
      </c>
      <c r="AC114" s="9" t="s">
        <v>985</v>
      </c>
      <c r="AD114" s="9" t="s">
        <v>986</v>
      </c>
      <c r="AE114" s="10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4" s="2" t="b">
        <v>0</v>
      </c>
      <c r="AY114"/>
      <c r="AZ114"/>
      <c r="BA114"/>
    </row>
    <row r="115" spans="1:53">
      <c r="A115" s="2" t="s">
        <v>138</v>
      </c>
      <c r="B115">
        <v>1895</v>
      </c>
      <c r="C115">
        <v>0</v>
      </c>
      <c r="D115" t="s">
        <v>1981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>
        <v>11</v>
      </c>
      <c r="K115" s="2" t="s">
        <v>19</v>
      </c>
      <c r="L115">
        <f>_xlfn.XLOOKUP("LOADINGSPEEDDEF_"&amp;PROPERTIES[[#This Row],[LOADINGSPEED]],LOADINGSPEEDDEF[TYPE],LOADINGSPEEDDEF[SPEED])</f>
        <v>0</v>
      </c>
      <c r="M115">
        <v>45</v>
      </c>
      <c r="N115">
        <v>1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>
        <v>40</v>
      </c>
      <c r="W115" s="9">
        <v>0</v>
      </c>
      <c r="X115" s="9">
        <v>4</v>
      </c>
      <c r="Y115" s="10">
        <v>0</v>
      </c>
      <c r="Z115" t="s">
        <v>909</v>
      </c>
      <c r="AA115" t="s">
        <v>903</v>
      </c>
      <c r="AB115" s="2" t="s">
        <v>921</v>
      </c>
      <c r="AC115" s="9" t="s">
        <v>985</v>
      </c>
      <c r="AD115" s="9" t="s">
        <v>986</v>
      </c>
      <c r="AE115" s="10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15" s="2" t="b">
        <v>0</v>
      </c>
      <c r="AY115"/>
      <c r="AZ115"/>
      <c r="BA115"/>
    </row>
    <row r="116" spans="1:53">
      <c r="A116" s="2" t="s">
        <v>139</v>
      </c>
      <c r="B116">
        <v>1901</v>
      </c>
      <c r="C116">
        <v>0</v>
      </c>
      <c r="D116" t="s">
        <v>1915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>
        <v>4</v>
      </c>
      <c r="K116" s="2" t="s">
        <v>19</v>
      </c>
      <c r="L116">
        <f>_xlfn.XLOOKUP("LOADINGSPEEDDEF_"&amp;PROPERTIES[[#This Row],[LOADINGSPEED]],LOADINGSPEEDDEF[TYPE],LOADINGSPEEDDEF[SPEED])</f>
        <v>0</v>
      </c>
      <c r="M116">
        <v>45</v>
      </c>
      <c r="N116">
        <v>1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>
        <v>40</v>
      </c>
      <c r="W116" s="9">
        <v>0</v>
      </c>
      <c r="X116" s="9">
        <v>0</v>
      </c>
      <c r="Y116" s="10">
        <v>0</v>
      </c>
      <c r="Z116" t="s">
        <v>904</v>
      </c>
      <c r="AA116" t="s">
        <v>903</v>
      </c>
      <c r="AB116" s="2" t="s">
        <v>921</v>
      </c>
      <c r="AC116" s="9" t="s">
        <v>985</v>
      </c>
      <c r="AD116" s="9" t="s">
        <v>986</v>
      </c>
      <c r="AE116" s="10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6" s="2" t="b">
        <v>0</v>
      </c>
      <c r="AY116"/>
      <c r="AZ116"/>
      <c r="BA116"/>
    </row>
    <row r="117" spans="1:53">
      <c r="A117" s="2" t="s">
        <v>140</v>
      </c>
      <c r="B117">
        <v>1910</v>
      </c>
      <c r="C117">
        <v>0</v>
      </c>
      <c r="D117" t="s">
        <v>1995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>
        <v>13</v>
      </c>
      <c r="K117" s="2" t="s">
        <v>19</v>
      </c>
      <c r="L117">
        <f>_xlfn.XLOOKUP("LOADINGSPEEDDEF_"&amp;PROPERTIES[[#This Row],[LOADINGSPEED]],LOADINGSPEEDDEF[TYPE],LOADINGSPEEDDEF[SPEED])</f>
        <v>0</v>
      </c>
      <c r="M117">
        <v>45</v>
      </c>
      <c r="N117">
        <v>1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>
        <v>40</v>
      </c>
      <c r="W117" s="9">
        <v>0</v>
      </c>
      <c r="X117" s="9">
        <v>5</v>
      </c>
      <c r="Y117" s="10">
        <v>0</v>
      </c>
      <c r="Z117" t="s">
        <v>907</v>
      </c>
      <c r="AA117" t="s">
        <v>903</v>
      </c>
      <c r="AB117" s="2" t="s">
        <v>921</v>
      </c>
      <c r="AC117" s="9" t="s">
        <v>985</v>
      </c>
      <c r="AD117" s="9" t="s">
        <v>986</v>
      </c>
      <c r="AE117" s="10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17" s="2" t="b">
        <v>0</v>
      </c>
      <c r="AY117"/>
      <c r="AZ117"/>
      <c r="BA117"/>
    </row>
    <row r="118" spans="1:53">
      <c r="A118" s="2" t="s">
        <v>141</v>
      </c>
      <c r="B118">
        <v>1911</v>
      </c>
      <c r="C118">
        <v>0</v>
      </c>
      <c r="D118" t="s">
        <v>1909</v>
      </c>
      <c r="E118" t="str">
        <f>_xlfn.XLOOKUP(PROPERTIES[[#This Row],[COUNTRY]],COUNTRIES[COUNTRY_DESCRIPTION],COUNTRIES[COUNTRY_LABEL],"")</f>
        <v>NA</v>
      </c>
      <c r="F118" t="s">
        <v>22</v>
      </c>
      <c r="G118" t="s">
        <v>17</v>
      </c>
      <c r="H118">
        <v>0</v>
      </c>
      <c r="I118">
        <v>6</v>
      </c>
      <c r="J118">
        <v>10</v>
      </c>
      <c r="K118" s="2" t="s">
        <v>19</v>
      </c>
      <c r="L118">
        <f>_xlfn.XLOOKUP("LOADINGSPEEDDEF_"&amp;PROPERTIES[[#This Row],[LOADINGSPEED]],LOADINGSPEEDDEF[TYPE],LOADINGSPEEDDEF[SPEED])</f>
        <v>0</v>
      </c>
      <c r="M118">
        <v>45</v>
      </c>
      <c r="N118">
        <v>1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>
        <v>40</v>
      </c>
      <c r="W118" s="9">
        <v>0</v>
      </c>
      <c r="X118" s="9">
        <v>4</v>
      </c>
      <c r="Y118" s="10">
        <v>0</v>
      </c>
      <c r="Z118" t="s">
        <v>907</v>
      </c>
      <c r="AA118" t="s">
        <v>903</v>
      </c>
      <c r="AB118" s="2" t="s">
        <v>921</v>
      </c>
      <c r="AC118" s="9" t="s">
        <v>985</v>
      </c>
      <c r="AD118" s="9" t="s">
        <v>986</v>
      </c>
      <c r="AE118" s="10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8" s="2" t="b">
        <v>0</v>
      </c>
      <c r="AY118"/>
      <c r="AZ118"/>
      <c r="BA118"/>
    </row>
    <row r="119" spans="1:53">
      <c r="A119" s="2" t="s">
        <v>142</v>
      </c>
      <c r="B119">
        <v>1915</v>
      </c>
      <c r="C119">
        <v>0</v>
      </c>
      <c r="D119" t="s">
        <v>1826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>
        <v>6</v>
      </c>
      <c r="K119" s="2" t="s">
        <v>19</v>
      </c>
      <c r="L119">
        <f>_xlfn.XLOOKUP("LOADINGSPEEDDEF_"&amp;PROPERTIES[[#This Row],[LOADINGSPEED]],LOADINGSPEEDDEF[TYPE],LOADINGSPEEDDEF[SPEED])</f>
        <v>0</v>
      </c>
      <c r="M119">
        <v>45</v>
      </c>
      <c r="N119">
        <v>1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>
        <v>40</v>
      </c>
      <c r="W119" s="9">
        <v>0</v>
      </c>
      <c r="X119" s="9">
        <v>0</v>
      </c>
      <c r="Y119" s="10">
        <v>0</v>
      </c>
      <c r="Z119" t="s">
        <v>908</v>
      </c>
      <c r="AA119" t="s">
        <v>903</v>
      </c>
      <c r="AB119" s="2" t="s">
        <v>921</v>
      </c>
      <c r="AC119" s="9" t="s">
        <v>985</v>
      </c>
      <c r="AD119" s="9" t="s">
        <v>986</v>
      </c>
      <c r="AE119" s="10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19" s="2" t="b">
        <v>0</v>
      </c>
      <c r="AY119"/>
      <c r="AZ119"/>
      <c r="BA119"/>
    </row>
    <row r="120" spans="1:53">
      <c r="A120" s="2" t="s">
        <v>143</v>
      </c>
      <c r="B120">
        <v>1918</v>
      </c>
      <c r="C120">
        <v>0</v>
      </c>
      <c r="D120" t="s">
        <v>1807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>
        <v>14</v>
      </c>
      <c r="K120" s="2" t="s">
        <v>19</v>
      </c>
      <c r="L120">
        <f>_xlfn.XLOOKUP("LOADINGSPEEDDEF_"&amp;PROPERTIES[[#This Row],[LOADINGSPEED]],LOADINGSPEEDDEF[TYPE],LOADINGSPEEDDEF[SPEED])</f>
        <v>0</v>
      </c>
      <c r="M120">
        <v>45</v>
      </c>
      <c r="N120">
        <v>1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>
        <v>40</v>
      </c>
      <c r="W120" s="9">
        <v>0</v>
      </c>
      <c r="X120" s="9">
        <v>6</v>
      </c>
      <c r="Y120" s="10">
        <v>0</v>
      </c>
      <c r="Z120" t="s">
        <v>904</v>
      </c>
      <c r="AA120" t="s">
        <v>903</v>
      </c>
      <c r="AB120" s="2" t="s">
        <v>921</v>
      </c>
      <c r="AC120" s="9" t="s">
        <v>985</v>
      </c>
      <c r="AD120" s="9" t="s">
        <v>986</v>
      </c>
      <c r="AE120" s="10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0" s="2" t="b">
        <v>0</v>
      </c>
      <c r="AY120"/>
      <c r="AZ120"/>
      <c r="BA120"/>
    </row>
    <row r="121" spans="1:53">
      <c r="A121" s="2" t="s">
        <v>144</v>
      </c>
      <c r="B121">
        <v>1921</v>
      </c>
      <c r="C121">
        <v>0</v>
      </c>
      <c r="D121" t="s">
        <v>1770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>
        <v>12</v>
      </c>
      <c r="K121" s="2" t="s">
        <v>19</v>
      </c>
      <c r="L121">
        <f>_xlfn.XLOOKUP("LOADINGSPEEDDEF_"&amp;PROPERTIES[[#This Row],[LOADINGSPEED]],LOADINGSPEEDDEF[TYPE],LOADINGSPEEDDEF[SPEED])</f>
        <v>0</v>
      </c>
      <c r="M121">
        <v>45</v>
      </c>
      <c r="N121">
        <v>1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>
        <v>40</v>
      </c>
      <c r="W121" s="9">
        <v>0</v>
      </c>
      <c r="X121" s="9">
        <v>4</v>
      </c>
      <c r="Y121" s="10">
        <v>0</v>
      </c>
      <c r="Z121" t="s">
        <v>904</v>
      </c>
      <c r="AA121" t="s">
        <v>903</v>
      </c>
      <c r="AB121" s="2" t="s">
        <v>921</v>
      </c>
      <c r="AC121" s="9" t="s">
        <v>985</v>
      </c>
      <c r="AD121" s="9" t="s">
        <v>986</v>
      </c>
      <c r="AE121" s="10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1" s="2" t="b">
        <v>0</v>
      </c>
      <c r="AY121"/>
      <c r="AZ121"/>
      <c r="BA121"/>
    </row>
    <row r="122" spans="1:53">
      <c r="A122" s="2" t="s">
        <v>145</v>
      </c>
      <c r="B122">
        <v>1922</v>
      </c>
      <c r="C122">
        <v>0</v>
      </c>
      <c r="D122" t="s">
        <v>1851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>
        <v>11</v>
      </c>
      <c r="K122" s="2" t="s">
        <v>19</v>
      </c>
      <c r="L122">
        <f>_xlfn.XLOOKUP("LOADINGSPEEDDEF_"&amp;PROPERTIES[[#This Row],[LOADINGSPEED]],LOADINGSPEEDDEF[TYPE],LOADINGSPEEDDEF[SPEED])</f>
        <v>0</v>
      </c>
      <c r="M122">
        <v>45</v>
      </c>
      <c r="N122"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>
        <v>40</v>
      </c>
      <c r="W122" s="9">
        <v>0</v>
      </c>
      <c r="X122" s="9">
        <v>4</v>
      </c>
      <c r="Y122" s="10">
        <v>0</v>
      </c>
      <c r="Z122" t="s">
        <v>908</v>
      </c>
      <c r="AA122" t="s">
        <v>903</v>
      </c>
      <c r="AB122" s="2" t="s">
        <v>921</v>
      </c>
      <c r="AC122" s="9" t="s">
        <v>985</v>
      </c>
      <c r="AD122" s="9" t="s">
        <v>986</v>
      </c>
      <c r="AE122" s="10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2" s="2" t="b">
        <v>0</v>
      </c>
      <c r="AY122"/>
      <c r="AZ122"/>
      <c r="BA122"/>
    </row>
    <row r="123" spans="1:53">
      <c r="A123" s="2" t="s">
        <v>146</v>
      </c>
      <c r="B123">
        <v>1922</v>
      </c>
      <c r="C123">
        <v>0</v>
      </c>
      <c r="D123" t="s">
        <v>1981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>
        <v>10</v>
      </c>
      <c r="K123" s="2" t="s">
        <v>19</v>
      </c>
      <c r="L123">
        <f>_xlfn.XLOOKUP("LOADINGSPEEDDEF_"&amp;PROPERTIES[[#This Row],[LOADINGSPEED]],LOADINGSPEEDDEF[TYPE],LOADINGSPEEDDEF[SPEED])</f>
        <v>0</v>
      </c>
      <c r="M123">
        <v>45</v>
      </c>
      <c r="N123">
        <v>1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>
        <v>40</v>
      </c>
      <c r="W123" s="9">
        <v>0</v>
      </c>
      <c r="X123" s="9">
        <v>4</v>
      </c>
      <c r="Y123" s="10">
        <v>0</v>
      </c>
      <c r="Z123" t="s">
        <v>909</v>
      </c>
      <c r="AA123" t="s">
        <v>903</v>
      </c>
      <c r="AB123" s="2" t="s">
        <v>921</v>
      </c>
      <c r="AC123" s="9" t="s">
        <v>985</v>
      </c>
      <c r="AD123" s="9" t="s">
        <v>986</v>
      </c>
      <c r="AE123" s="10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3" s="2" t="b">
        <v>0</v>
      </c>
      <c r="AY123"/>
      <c r="AZ123"/>
      <c r="BA123"/>
    </row>
    <row r="124" spans="1:53">
      <c r="A124" s="2" t="s">
        <v>147</v>
      </c>
      <c r="B124">
        <v>1923</v>
      </c>
      <c r="C124">
        <v>0</v>
      </c>
      <c r="D124" t="s">
        <v>1788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>
        <v>14</v>
      </c>
      <c r="K124" s="2" t="s">
        <v>19</v>
      </c>
      <c r="L124">
        <f>_xlfn.XLOOKUP("LOADINGSPEEDDEF_"&amp;PROPERTIES[[#This Row],[LOADINGSPEED]],LOADINGSPEEDDEF[TYPE],LOADINGSPEEDDEF[SPEED])</f>
        <v>0</v>
      </c>
      <c r="M124">
        <v>45</v>
      </c>
      <c r="N124">
        <v>1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>
        <v>40</v>
      </c>
      <c r="W124" s="9">
        <v>0</v>
      </c>
      <c r="X124" s="9">
        <v>6</v>
      </c>
      <c r="Y124" s="10">
        <v>0</v>
      </c>
      <c r="Z124" t="s">
        <v>909</v>
      </c>
      <c r="AA124" t="s">
        <v>903</v>
      </c>
      <c r="AB124" s="2" t="s">
        <v>921</v>
      </c>
      <c r="AC124" s="9" t="s">
        <v>985</v>
      </c>
      <c r="AD124" s="9" t="s">
        <v>986</v>
      </c>
      <c r="AE124" s="10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4" s="2" t="b">
        <v>0</v>
      </c>
      <c r="AY124"/>
      <c r="AZ124"/>
      <c r="BA124"/>
    </row>
    <row r="125" spans="1:53">
      <c r="A125" s="2" t="s">
        <v>148</v>
      </c>
      <c r="B125">
        <v>1927</v>
      </c>
      <c r="C125">
        <v>0</v>
      </c>
      <c r="D125" t="s">
        <v>1854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>
        <v>15</v>
      </c>
      <c r="K125" s="2" t="s">
        <v>19</v>
      </c>
      <c r="L125">
        <f>_xlfn.XLOOKUP("LOADINGSPEEDDEF_"&amp;PROPERTIES[[#This Row],[LOADINGSPEED]],LOADINGSPEEDDEF[TYPE],LOADINGSPEEDDEF[SPEED])</f>
        <v>0</v>
      </c>
      <c r="M125">
        <v>45</v>
      </c>
      <c r="N125">
        <v>1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>
        <v>40</v>
      </c>
      <c r="W125" s="9">
        <v>0</v>
      </c>
      <c r="X125" s="9">
        <v>7</v>
      </c>
      <c r="Y125" s="10">
        <v>0</v>
      </c>
      <c r="Z125" t="s">
        <v>912</v>
      </c>
      <c r="AA125" t="s">
        <v>903</v>
      </c>
      <c r="AB125" s="2" t="s">
        <v>921</v>
      </c>
      <c r="AC125" s="9" t="s">
        <v>985</v>
      </c>
      <c r="AD125" s="9" t="s">
        <v>986</v>
      </c>
      <c r="AE125" s="10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5" s="2" t="b">
        <v>0</v>
      </c>
      <c r="AY125"/>
      <c r="AZ125"/>
      <c r="BA125"/>
    </row>
    <row r="126" spans="1:53">
      <c r="A126" s="2" t="s">
        <v>149</v>
      </c>
      <c r="B126">
        <v>1940</v>
      </c>
      <c r="C126">
        <v>0</v>
      </c>
      <c r="D126" t="s">
        <v>1856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>
        <v>14</v>
      </c>
      <c r="K126" s="2" t="s">
        <v>19</v>
      </c>
      <c r="L126">
        <f>_xlfn.XLOOKUP("LOADINGSPEEDDEF_"&amp;PROPERTIES[[#This Row],[LOADINGSPEED]],LOADINGSPEEDDEF[TYPE],LOADINGSPEEDDEF[SPEED])</f>
        <v>0</v>
      </c>
      <c r="M126">
        <v>45</v>
      </c>
      <c r="N126">
        <v>1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>
        <v>40</v>
      </c>
      <c r="W126" s="9">
        <v>0</v>
      </c>
      <c r="X126" s="9">
        <v>6</v>
      </c>
      <c r="Y126" s="10">
        <v>0</v>
      </c>
      <c r="Z126" t="s">
        <v>912</v>
      </c>
      <c r="AA126" t="s">
        <v>903</v>
      </c>
      <c r="AB126" s="2" t="s">
        <v>921</v>
      </c>
      <c r="AC126" s="9" t="s">
        <v>985</v>
      </c>
      <c r="AD126" s="9" t="s">
        <v>986</v>
      </c>
      <c r="AE126" s="10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6" s="2" t="b">
        <v>0</v>
      </c>
      <c r="AY126"/>
      <c r="AZ126"/>
      <c r="BA126"/>
    </row>
    <row r="127" spans="1:53">
      <c r="A127" s="2" t="s">
        <v>150</v>
      </c>
      <c r="B127">
        <v>1942</v>
      </c>
      <c r="C127">
        <v>0</v>
      </c>
      <c r="D127" t="s">
        <v>1815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>
        <v>6</v>
      </c>
      <c r="K127" s="2" t="s">
        <v>19</v>
      </c>
      <c r="L127">
        <f>_xlfn.XLOOKUP("LOADINGSPEEDDEF_"&amp;PROPERTIES[[#This Row],[LOADINGSPEED]],LOADINGSPEEDDEF[TYPE],LOADINGSPEEDDEF[SPEED])</f>
        <v>0</v>
      </c>
      <c r="M127">
        <v>45</v>
      </c>
      <c r="N127">
        <v>1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>
        <v>40</v>
      </c>
      <c r="W127" s="9">
        <v>0</v>
      </c>
      <c r="X127" s="9">
        <v>0</v>
      </c>
      <c r="Y127" s="10">
        <v>0</v>
      </c>
      <c r="Z127" t="s">
        <v>907</v>
      </c>
      <c r="AA127" t="s">
        <v>903</v>
      </c>
      <c r="AB127" s="2" t="s">
        <v>921</v>
      </c>
      <c r="AC127" s="9" t="s">
        <v>985</v>
      </c>
      <c r="AD127" s="9" t="s">
        <v>986</v>
      </c>
      <c r="AE127" s="10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7" s="2" t="b">
        <v>0</v>
      </c>
      <c r="AY127"/>
      <c r="AZ127"/>
      <c r="BA127"/>
    </row>
    <row r="128" spans="1:53">
      <c r="A128" s="2" t="s">
        <v>151</v>
      </c>
      <c r="B128">
        <v>1949</v>
      </c>
      <c r="C128">
        <v>0</v>
      </c>
      <c r="D128" t="s">
        <v>1826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>
        <v>6</v>
      </c>
      <c r="K128" s="2" t="s">
        <v>19</v>
      </c>
      <c r="L128">
        <f>_xlfn.XLOOKUP("LOADINGSPEEDDEF_"&amp;PROPERTIES[[#This Row],[LOADINGSPEED]],LOADINGSPEEDDEF[TYPE],LOADINGSPEEDDEF[SPEED])</f>
        <v>0</v>
      </c>
      <c r="M128">
        <v>45</v>
      </c>
      <c r="N128"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>
        <v>40</v>
      </c>
      <c r="W128" s="9">
        <v>0</v>
      </c>
      <c r="X128" s="9">
        <v>0</v>
      </c>
      <c r="Y128" s="10">
        <v>0</v>
      </c>
      <c r="Z128" t="s">
        <v>908</v>
      </c>
      <c r="AA128" t="s">
        <v>903</v>
      </c>
      <c r="AB128" s="2" t="s">
        <v>921</v>
      </c>
      <c r="AC128" s="9" t="s">
        <v>985</v>
      </c>
      <c r="AD128" s="9" t="s">
        <v>986</v>
      </c>
      <c r="AE128" s="10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8" s="2" t="b">
        <v>0</v>
      </c>
      <c r="AY128"/>
      <c r="AZ128"/>
      <c r="BA128"/>
    </row>
    <row r="129" spans="1:53">
      <c r="A129" s="2" t="s">
        <v>152</v>
      </c>
      <c r="B129">
        <v>1951</v>
      </c>
      <c r="C129">
        <v>0</v>
      </c>
      <c r="D129" t="s">
        <v>1763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>
        <v>13</v>
      </c>
      <c r="K129" s="2" t="s">
        <v>19</v>
      </c>
      <c r="L129">
        <f>_xlfn.XLOOKUP("LOADINGSPEEDDEF_"&amp;PROPERTIES[[#This Row],[LOADINGSPEED]],LOADINGSPEEDDEF[TYPE],LOADINGSPEEDDEF[SPEED])</f>
        <v>0</v>
      </c>
      <c r="M129">
        <v>45</v>
      </c>
      <c r="N129">
        <v>1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>
        <v>40</v>
      </c>
      <c r="W129" s="9">
        <v>0</v>
      </c>
      <c r="X129" s="9">
        <v>5</v>
      </c>
      <c r="Y129" s="10">
        <v>0</v>
      </c>
      <c r="Z129" t="s">
        <v>906</v>
      </c>
      <c r="AA129" t="s">
        <v>903</v>
      </c>
      <c r="AB129" s="2" t="s">
        <v>921</v>
      </c>
      <c r="AC129" s="9" t="s">
        <v>985</v>
      </c>
      <c r="AD129" s="9" t="s">
        <v>986</v>
      </c>
      <c r="AE129" s="10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9" s="2" t="b">
        <v>0</v>
      </c>
      <c r="AY129"/>
      <c r="AZ129"/>
      <c r="BA129"/>
    </row>
    <row r="130" spans="1:53">
      <c r="A130" s="2" t="s">
        <v>153</v>
      </c>
      <c r="B130">
        <v>1952</v>
      </c>
      <c r="C130">
        <v>0</v>
      </c>
      <c r="D130" t="s">
        <v>1807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>
        <v>7</v>
      </c>
      <c r="K130" s="2" t="s">
        <v>19</v>
      </c>
      <c r="L130">
        <f>_xlfn.XLOOKUP("LOADINGSPEEDDEF_"&amp;PROPERTIES[[#This Row],[LOADINGSPEED]],LOADINGSPEEDDEF[TYPE],LOADINGSPEEDDEF[SPEED])</f>
        <v>0</v>
      </c>
      <c r="M130">
        <v>45</v>
      </c>
      <c r="N130">
        <v>1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>
        <v>40</v>
      </c>
      <c r="W130" s="9">
        <v>0</v>
      </c>
      <c r="X130" s="9">
        <v>0</v>
      </c>
      <c r="Y130" s="10">
        <v>0</v>
      </c>
      <c r="Z130" t="s">
        <v>904</v>
      </c>
      <c r="AA130" t="s">
        <v>903</v>
      </c>
      <c r="AB130" s="2" t="s">
        <v>921</v>
      </c>
      <c r="AC130" s="9" t="s">
        <v>985</v>
      </c>
      <c r="AD130" s="9" t="s">
        <v>986</v>
      </c>
      <c r="AE130" s="10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0" s="2" t="b">
        <v>0</v>
      </c>
      <c r="AY130"/>
      <c r="AZ130"/>
      <c r="BA130"/>
    </row>
    <row r="131" spans="1:53">
      <c r="A131" s="2" t="s">
        <v>154</v>
      </c>
      <c r="B131">
        <v>1961</v>
      </c>
      <c r="C131">
        <v>0</v>
      </c>
      <c r="D131" t="s">
        <v>1807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>
        <v>14</v>
      </c>
      <c r="K131" s="2" t="s">
        <v>19</v>
      </c>
      <c r="L131">
        <f>_xlfn.XLOOKUP("LOADINGSPEEDDEF_"&amp;PROPERTIES[[#This Row],[LOADINGSPEED]],LOADINGSPEEDDEF[TYPE],LOADINGSPEEDDEF[SPEED])</f>
        <v>0</v>
      </c>
      <c r="M131">
        <v>45</v>
      </c>
      <c r="N131">
        <v>1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>
        <v>40</v>
      </c>
      <c r="W131" s="9">
        <v>0</v>
      </c>
      <c r="X131" s="9">
        <v>6</v>
      </c>
      <c r="Y131" s="10">
        <v>0</v>
      </c>
      <c r="Z131" t="s">
        <v>904</v>
      </c>
      <c r="AA131" t="s">
        <v>903</v>
      </c>
      <c r="AB131" s="2" t="s">
        <v>921</v>
      </c>
      <c r="AC131" s="9" t="s">
        <v>985</v>
      </c>
      <c r="AD131" s="9" t="s">
        <v>986</v>
      </c>
      <c r="AE131" s="10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31" s="2" t="b">
        <v>0</v>
      </c>
      <c r="AY131"/>
      <c r="AZ131"/>
      <c r="BA131"/>
    </row>
    <row r="132" spans="1:53">
      <c r="A132" s="2" t="s">
        <v>155</v>
      </c>
      <c r="B132">
        <v>1923</v>
      </c>
      <c r="C132">
        <v>0</v>
      </c>
      <c r="D132" t="s">
        <v>1920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>
        <v>6</v>
      </c>
      <c r="K132" s="2" t="s">
        <v>23</v>
      </c>
      <c r="L132">
        <f>_xlfn.XLOOKUP("LOADINGSPEEDDEF_"&amp;PROPERTIES[[#This Row],[LOADINGSPEED]],LOADINGSPEEDDEF[TYPE],LOADINGSPEEDDEF[SPEED])</f>
        <v>40</v>
      </c>
      <c r="M132">
        <v>45</v>
      </c>
      <c r="N132">
        <v>1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>
        <v>40</v>
      </c>
      <c r="W132" s="9">
        <v>0</v>
      </c>
      <c r="X132" s="9">
        <v>0</v>
      </c>
      <c r="Y132" s="10">
        <v>0</v>
      </c>
      <c r="Z132" t="s">
        <v>906</v>
      </c>
      <c r="AA132" t="s">
        <v>903</v>
      </c>
      <c r="AB132" s="2" t="s">
        <v>921</v>
      </c>
      <c r="AC132" s="9" t="s">
        <v>985</v>
      </c>
      <c r="AD132" s="9" t="s">
        <v>986</v>
      </c>
      <c r="AE132" s="10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32" s="2" t="b">
        <v>0</v>
      </c>
      <c r="AY132"/>
      <c r="AZ132"/>
      <c r="BA132"/>
    </row>
    <row r="133" spans="1:53">
      <c r="A133" s="2" t="s">
        <v>156</v>
      </c>
      <c r="B133">
        <v>1929</v>
      </c>
      <c r="C133">
        <v>0</v>
      </c>
      <c r="D133" t="s">
        <v>1763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>
        <v>13</v>
      </c>
      <c r="K133" s="2" t="s">
        <v>23</v>
      </c>
      <c r="L133">
        <f>_xlfn.XLOOKUP("LOADINGSPEEDDEF_"&amp;PROPERTIES[[#This Row],[LOADINGSPEED]],LOADINGSPEEDDEF[TYPE],LOADINGSPEEDDEF[SPEED])</f>
        <v>40</v>
      </c>
      <c r="M133">
        <v>45</v>
      </c>
      <c r="N133">
        <v>1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>
        <v>40</v>
      </c>
      <c r="W133" s="9">
        <v>0</v>
      </c>
      <c r="X133" s="9">
        <v>5</v>
      </c>
      <c r="Y133" s="10">
        <v>0</v>
      </c>
      <c r="Z133" t="s">
        <v>906</v>
      </c>
      <c r="AA133" t="s">
        <v>903</v>
      </c>
      <c r="AB133" s="2" t="s">
        <v>921</v>
      </c>
      <c r="AC133" s="9" t="s">
        <v>985</v>
      </c>
      <c r="AD133" s="9" t="s">
        <v>986</v>
      </c>
      <c r="AE133" s="10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3" s="2" t="b">
        <v>0</v>
      </c>
      <c r="AY133"/>
      <c r="AZ133"/>
      <c r="BA133"/>
    </row>
    <row r="134" spans="1:53">
      <c r="A134" s="2" t="s">
        <v>157</v>
      </c>
      <c r="B134">
        <v>1943</v>
      </c>
      <c r="C134">
        <v>0</v>
      </c>
      <c r="D134" t="s">
        <v>1763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>
        <v>13</v>
      </c>
      <c r="K134" s="2" t="s">
        <v>23</v>
      </c>
      <c r="L134">
        <f>_xlfn.XLOOKUP("LOADINGSPEEDDEF_"&amp;PROPERTIES[[#This Row],[LOADINGSPEED]],LOADINGSPEEDDEF[TYPE],LOADINGSPEEDDEF[SPEED])</f>
        <v>40</v>
      </c>
      <c r="M134">
        <v>45</v>
      </c>
      <c r="N134">
        <v>1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>
        <v>40</v>
      </c>
      <c r="W134" s="9">
        <v>0</v>
      </c>
      <c r="X134" s="9">
        <v>5</v>
      </c>
      <c r="Y134" s="10">
        <v>0</v>
      </c>
      <c r="Z134" t="s">
        <v>906</v>
      </c>
      <c r="AA134" t="s">
        <v>903</v>
      </c>
      <c r="AB134" s="2" t="s">
        <v>921</v>
      </c>
      <c r="AC134" s="9" t="s">
        <v>985</v>
      </c>
      <c r="AD134" s="9" t="s">
        <v>986</v>
      </c>
      <c r="AE134" s="10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4" s="2" t="b">
        <v>0</v>
      </c>
      <c r="AY134"/>
      <c r="AZ134"/>
      <c r="BA134"/>
    </row>
    <row r="135" spans="1:53">
      <c r="A135" s="2" t="s">
        <v>158</v>
      </c>
      <c r="B135">
        <v>1952</v>
      </c>
      <c r="C135">
        <v>0</v>
      </c>
      <c r="D135" t="s">
        <v>1763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>
        <v>12</v>
      </c>
      <c r="K135" s="2" t="s">
        <v>23</v>
      </c>
      <c r="L135">
        <f>_xlfn.XLOOKUP("LOADINGSPEEDDEF_"&amp;PROPERTIES[[#This Row],[LOADINGSPEED]],LOADINGSPEEDDEF[TYPE],LOADINGSPEEDDEF[SPEED])</f>
        <v>40</v>
      </c>
      <c r="M135">
        <v>45</v>
      </c>
      <c r="N135">
        <v>1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>
        <v>40</v>
      </c>
      <c r="W135" s="9">
        <v>0</v>
      </c>
      <c r="X135" s="9">
        <v>0</v>
      </c>
      <c r="Y135" s="10">
        <v>0</v>
      </c>
      <c r="Z135" t="s">
        <v>906</v>
      </c>
      <c r="AA135" t="s">
        <v>903</v>
      </c>
      <c r="AB135" s="2" t="s">
        <v>921</v>
      </c>
      <c r="AC135" s="9" t="s">
        <v>985</v>
      </c>
      <c r="AD135" s="9" t="s">
        <v>986</v>
      </c>
      <c r="AE135" s="10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5" s="2" t="b">
        <v>0</v>
      </c>
      <c r="AY135"/>
      <c r="AZ135"/>
      <c r="BA135"/>
    </row>
    <row r="136" spans="1:53">
      <c r="A136" s="2" t="s">
        <v>159</v>
      </c>
      <c r="B136">
        <v>1910</v>
      </c>
      <c r="C136">
        <v>0</v>
      </c>
      <c r="D136" t="s">
        <v>1982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>
        <v>8</v>
      </c>
      <c r="K136" s="2" t="s">
        <v>23</v>
      </c>
      <c r="L136">
        <f>_xlfn.XLOOKUP("LOADINGSPEEDDEF_"&amp;PROPERTIES[[#This Row],[LOADINGSPEED]],LOADINGSPEEDDEF[TYPE],LOADINGSPEEDDEF[SPEED])</f>
        <v>40</v>
      </c>
      <c r="M136">
        <v>45</v>
      </c>
      <c r="N136">
        <v>1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>
        <v>40</v>
      </c>
      <c r="W136" s="9">
        <v>0</v>
      </c>
      <c r="X136" s="9">
        <v>3</v>
      </c>
      <c r="Y136" s="10">
        <v>0</v>
      </c>
      <c r="Z136" t="s">
        <v>911</v>
      </c>
      <c r="AA136" t="s">
        <v>903</v>
      </c>
      <c r="AB136" s="2" t="s">
        <v>921</v>
      </c>
      <c r="AC136" s="9" t="s">
        <v>985</v>
      </c>
      <c r="AD136" s="9" t="s">
        <v>986</v>
      </c>
      <c r="AE136" s="10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36" s="2" t="b">
        <v>0</v>
      </c>
      <c r="AY136"/>
      <c r="AZ136"/>
      <c r="BA136"/>
    </row>
    <row r="137" spans="1:53">
      <c r="A137" s="2" t="s">
        <v>160</v>
      </c>
      <c r="B137">
        <v>1930</v>
      </c>
      <c r="C137">
        <v>0</v>
      </c>
      <c r="D137" t="s">
        <v>1760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>
        <v>13</v>
      </c>
      <c r="K137" s="2" t="s">
        <v>23</v>
      </c>
      <c r="L137">
        <f>_xlfn.XLOOKUP("LOADINGSPEEDDEF_"&amp;PROPERTIES[[#This Row],[LOADINGSPEED]],LOADINGSPEEDDEF[TYPE],LOADINGSPEEDDEF[SPEED])</f>
        <v>40</v>
      </c>
      <c r="M137">
        <v>45</v>
      </c>
      <c r="N137">
        <v>1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>
        <v>40</v>
      </c>
      <c r="W137" s="9">
        <v>0</v>
      </c>
      <c r="X137" s="9">
        <v>5</v>
      </c>
      <c r="Y137" s="10">
        <v>0</v>
      </c>
      <c r="Z137" t="s">
        <v>911</v>
      </c>
      <c r="AA137" t="s">
        <v>903</v>
      </c>
      <c r="AB137" s="2" t="s">
        <v>921</v>
      </c>
      <c r="AC137" s="9" t="s">
        <v>985</v>
      </c>
      <c r="AD137" s="9" t="s">
        <v>986</v>
      </c>
      <c r="AE137" s="10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37" s="2" t="b">
        <v>0</v>
      </c>
      <c r="AY137"/>
      <c r="AZ137"/>
      <c r="BA137"/>
    </row>
    <row r="138" spans="1:53">
      <c r="A138" s="2" t="s">
        <v>161</v>
      </c>
      <c r="B138">
        <v>1873</v>
      </c>
      <c r="C138">
        <v>0</v>
      </c>
      <c r="D138" t="s">
        <v>1995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>
        <v>3</v>
      </c>
      <c r="K138" s="2" t="s">
        <v>23</v>
      </c>
      <c r="L138">
        <f>_xlfn.XLOOKUP("LOADINGSPEEDDEF_"&amp;PROPERTIES[[#This Row],[LOADINGSPEED]],LOADINGSPEEDDEF[TYPE],LOADINGSPEEDDEF[SPEED])</f>
        <v>40</v>
      </c>
      <c r="M138">
        <v>45</v>
      </c>
      <c r="N138">
        <v>1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>
        <v>40</v>
      </c>
      <c r="W138" s="9">
        <v>0</v>
      </c>
      <c r="X138" s="9">
        <v>0</v>
      </c>
      <c r="Y138" s="10">
        <v>0</v>
      </c>
      <c r="Z138" t="s">
        <v>907</v>
      </c>
      <c r="AA138" t="s">
        <v>903</v>
      </c>
      <c r="AB138" s="2" t="s">
        <v>921</v>
      </c>
      <c r="AC138" s="9" t="s">
        <v>985</v>
      </c>
      <c r="AD138" s="9" t="s">
        <v>986</v>
      </c>
      <c r="AE138" s="10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8" s="2" t="b">
        <v>0</v>
      </c>
      <c r="AY138"/>
      <c r="AZ138"/>
      <c r="BA138"/>
    </row>
    <row r="139" spans="1:53">
      <c r="A139" s="2" t="s">
        <v>162</v>
      </c>
      <c r="B139">
        <v>1895</v>
      </c>
      <c r="C139">
        <v>0</v>
      </c>
      <c r="D139" t="s">
        <v>1908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>
        <v>7</v>
      </c>
      <c r="K139" s="2" t="s">
        <v>23</v>
      </c>
      <c r="L139">
        <f>_xlfn.XLOOKUP("LOADINGSPEEDDEF_"&amp;PROPERTIES[[#This Row],[LOADINGSPEED]],LOADINGSPEEDDEF[TYPE],LOADINGSPEEDDEF[SPEED])</f>
        <v>40</v>
      </c>
      <c r="M139">
        <v>45</v>
      </c>
      <c r="N139">
        <v>1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>
        <v>40</v>
      </c>
      <c r="W139" s="9">
        <v>0</v>
      </c>
      <c r="X139" s="9">
        <v>3</v>
      </c>
      <c r="Y139" s="10">
        <v>0</v>
      </c>
      <c r="Z139" t="s">
        <v>907</v>
      </c>
      <c r="AA139" t="s">
        <v>903</v>
      </c>
      <c r="AB139" s="2" t="s">
        <v>921</v>
      </c>
      <c r="AC139" s="9" t="s">
        <v>985</v>
      </c>
      <c r="AD139" s="9" t="s">
        <v>986</v>
      </c>
      <c r="AE139" s="10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9" s="2" t="b">
        <v>0</v>
      </c>
      <c r="AY139"/>
      <c r="AZ139"/>
      <c r="BA139"/>
    </row>
    <row r="140" spans="1:53">
      <c r="A140" s="2" t="s">
        <v>163</v>
      </c>
      <c r="B140">
        <v>1911</v>
      </c>
      <c r="C140">
        <v>0</v>
      </c>
      <c r="D140" t="s">
        <v>1817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>
        <v>5</v>
      </c>
      <c r="K140" s="2" t="s">
        <v>23</v>
      </c>
      <c r="L140">
        <f>_xlfn.XLOOKUP("LOADINGSPEEDDEF_"&amp;PROPERTIES[[#This Row],[LOADINGSPEED]],LOADINGSPEEDDEF[TYPE],LOADINGSPEEDDEF[SPEED])</f>
        <v>40</v>
      </c>
      <c r="M140">
        <v>45</v>
      </c>
      <c r="N140">
        <v>1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>
        <v>40</v>
      </c>
      <c r="W140" s="9">
        <v>0</v>
      </c>
      <c r="X140" s="9">
        <v>0</v>
      </c>
      <c r="Y140" s="10">
        <v>0</v>
      </c>
      <c r="Z140" t="s">
        <v>907</v>
      </c>
      <c r="AA140" t="s">
        <v>903</v>
      </c>
      <c r="AB140" s="2" t="s">
        <v>921</v>
      </c>
      <c r="AC140" s="9" t="s">
        <v>985</v>
      </c>
      <c r="AD140" s="9" t="s">
        <v>986</v>
      </c>
      <c r="AE140" s="10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0" s="2" t="b">
        <v>0</v>
      </c>
      <c r="AY140"/>
      <c r="AZ140"/>
      <c r="BA140"/>
    </row>
    <row r="141" spans="1:53">
      <c r="A141" s="2" t="s">
        <v>164</v>
      </c>
      <c r="B141">
        <v>1923</v>
      </c>
      <c r="C141">
        <v>0</v>
      </c>
      <c r="D141" t="s">
        <v>1864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>
        <v>8</v>
      </c>
      <c r="K141" s="2" t="s">
        <v>23</v>
      </c>
      <c r="L141">
        <f>_xlfn.XLOOKUP("LOADINGSPEEDDEF_"&amp;PROPERTIES[[#This Row],[LOADINGSPEED]],LOADINGSPEEDDEF[TYPE],LOADINGSPEEDDEF[SPEED])</f>
        <v>40</v>
      </c>
      <c r="M141">
        <v>45</v>
      </c>
      <c r="N141">
        <v>1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>
        <v>40</v>
      </c>
      <c r="W141" s="9">
        <v>0</v>
      </c>
      <c r="X141" s="9">
        <v>3</v>
      </c>
      <c r="Y141" s="10">
        <v>0</v>
      </c>
      <c r="Z141" t="s">
        <v>907</v>
      </c>
      <c r="AA141" t="s">
        <v>903</v>
      </c>
      <c r="AB141" s="2" t="s">
        <v>921</v>
      </c>
      <c r="AC141" s="9" t="s">
        <v>985</v>
      </c>
      <c r="AD141" s="9" t="s">
        <v>986</v>
      </c>
      <c r="AE141" s="10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1" s="2" t="b">
        <v>0</v>
      </c>
      <c r="AY141"/>
      <c r="AZ141"/>
      <c r="BA141"/>
    </row>
    <row r="142" spans="1:53">
      <c r="A142" s="2" t="s">
        <v>165</v>
      </c>
      <c r="B142">
        <v>1928</v>
      </c>
      <c r="C142">
        <v>0</v>
      </c>
      <c r="D142" t="s">
        <v>1864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>
        <v>9</v>
      </c>
      <c r="K142" s="2" t="s">
        <v>23</v>
      </c>
      <c r="L142">
        <f>_xlfn.XLOOKUP("LOADINGSPEEDDEF_"&amp;PROPERTIES[[#This Row],[LOADINGSPEED]],LOADINGSPEEDDEF[TYPE],LOADINGSPEEDDEF[SPEED])</f>
        <v>40</v>
      </c>
      <c r="M142">
        <v>45</v>
      </c>
      <c r="N142">
        <v>1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>
        <v>40</v>
      </c>
      <c r="W142" s="9">
        <v>0</v>
      </c>
      <c r="X142" s="9">
        <v>3</v>
      </c>
      <c r="Y142" s="10">
        <v>0</v>
      </c>
      <c r="Z142" t="s">
        <v>907</v>
      </c>
      <c r="AA142" t="s">
        <v>903</v>
      </c>
      <c r="AB142" s="2" t="s">
        <v>921</v>
      </c>
      <c r="AC142" s="9" t="s">
        <v>985</v>
      </c>
      <c r="AD142" s="9" t="s">
        <v>986</v>
      </c>
      <c r="AE142" s="10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2" s="2" t="b">
        <v>0</v>
      </c>
      <c r="AY142"/>
      <c r="AZ142"/>
      <c r="BA142"/>
    </row>
    <row r="143" spans="1:53">
      <c r="A143" s="2" t="s">
        <v>166</v>
      </c>
      <c r="B143">
        <v>1940</v>
      </c>
      <c r="C143">
        <v>0</v>
      </c>
      <c r="D143" t="s">
        <v>1997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>
        <v>12</v>
      </c>
      <c r="K143" s="2" t="s">
        <v>23</v>
      </c>
      <c r="L143">
        <f>_xlfn.XLOOKUP("LOADINGSPEEDDEF_"&amp;PROPERTIES[[#This Row],[LOADINGSPEED]],LOADINGSPEEDDEF[TYPE],LOADINGSPEEDDEF[SPEED])</f>
        <v>40</v>
      </c>
      <c r="M143">
        <v>45</v>
      </c>
      <c r="N143">
        <v>1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>
        <v>40</v>
      </c>
      <c r="W143" s="9">
        <v>0</v>
      </c>
      <c r="X143" s="9">
        <v>0</v>
      </c>
      <c r="Y143" s="10">
        <v>0</v>
      </c>
      <c r="Z143" t="s">
        <v>907</v>
      </c>
      <c r="AA143" t="s">
        <v>903</v>
      </c>
      <c r="AB143" s="2" t="s">
        <v>921</v>
      </c>
      <c r="AC143" s="9" t="s">
        <v>985</v>
      </c>
      <c r="AD143" s="9" t="s">
        <v>986</v>
      </c>
      <c r="AE143" s="10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43" s="2" t="b">
        <v>0</v>
      </c>
      <c r="AY143"/>
      <c r="AZ143"/>
      <c r="BA143"/>
    </row>
    <row r="144" spans="1:53">
      <c r="A144" s="2" t="s">
        <v>167</v>
      </c>
      <c r="B144">
        <v>1953</v>
      </c>
      <c r="C144">
        <v>0</v>
      </c>
      <c r="D144" t="s">
        <v>1995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>
        <v>12</v>
      </c>
      <c r="K144" s="2" t="s">
        <v>23</v>
      </c>
      <c r="L144">
        <f>_xlfn.XLOOKUP("LOADINGSPEEDDEF_"&amp;PROPERTIES[[#This Row],[LOADINGSPEED]],LOADINGSPEEDDEF[TYPE],LOADINGSPEEDDEF[SPEED])</f>
        <v>40</v>
      </c>
      <c r="M144">
        <v>45</v>
      </c>
      <c r="N144">
        <v>1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>
        <v>40</v>
      </c>
      <c r="W144" s="9">
        <v>0</v>
      </c>
      <c r="X144" s="9">
        <v>0</v>
      </c>
      <c r="Y144" s="10">
        <v>0</v>
      </c>
      <c r="Z144" t="s">
        <v>907</v>
      </c>
      <c r="AA144" t="s">
        <v>903</v>
      </c>
      <c r="AB144" s="2" t="s">
        <v>921</v>
      </c>
      <c r="AC144" s="9" t="s">
        <v>985</v>
      </c>
      <c r="AD144" s="9" t="s">
        <v>986</v>
      </c>
      <c r="AE144" s="10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44" s="2" t="b">
        <v>0</v>
      </c>
      <c r="AY144"/>
      <c r="AZ144"/>
      <c r="BA144"/>
    </row>
    <row r="145" spans="1:53">
      <c r="A145" s="2" t="s">
        <v>168</v>
      </c>
      <c r="B145">
        <v>1955</v>
      </c>
      <c r="C145">
        <v>0</v>
      </c>
      <c r="D145" t="s">
        <v>1864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>
        <v>11</v>
      </c>
      <c r="K145" s="2" t="s">
        <v>23</v>
      </c>
      <c r="L145">
        <f>_xlfn.XLOOKUP("LOADINGSPEEDDEF_"&amp;PROPERTIES[[#This Row],[LOADINGSPEED]],LOADINGSPEEDDEF[TYPE],LOADINGSPEEDDEF[SPEED])</f>
        <v>40</v>
      </c>
      <c r="M145">
        <v>45</v>
      </c>
      <c r="N145">
        <v>1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>
        <v>40</v>
      </c>
      <c r="W145" s="9">
        <v>0</v>
      </c>
      <c r="X145" s="9">
        <v>4</v>
      </c>
      <c r="Y145" s="10">
        <v>0</v>
      </c>
      <c r="Z145" t="s">
        <v>907</v>
      </c>
      <c r="AA145" t="s">
        <v>903</v>
      </c>
      <c r="AB145" s="2" t="s">
        <v>921</v>
      </c>
      <c r="AC145" s="9" t="s">
        <v>985</v>
      </c>
      <c r="AD145" s="9" t="s">
        <v>986</v>
      </c>
      <c r="AE145" s="10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5" s="2" t="b">
        <v>0</v>
      </c>
      <c r="AY145"/>
      <c r="AZ145"/>
      <c r="BA145"/>
    </row>
    <row r="146" spans="1:53">
      <c r="A146" s="2" t="s">
        <v>169</v>
      </c>
      <c r="B146">
        <v>1855</v>
      </c>
      <c r="C146">
        <v>0</v>
      </c>
      <c r="D146" t="s">
        <v>1854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>
        <v>5</v>
      </c>
      <c r="K146" s="2" t="s">
        <v>23</v>
      </c>
      <c r="L146">
        <f>_xlfn.XLOOKUP("LOADINGSPEEDDEF_"&amp;PROPERTIES[[#This Row],[LOADINGSPEED]],LOADINGSPEEDDEF[TYPE],LOADINGSPEEDDEF[SPEED])</f>
        <v>40</v>
      </c>
      <c r="M146">
        <v>45</v>
      </c>
      <c r="N146">
        <v>1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>
        <v>40</v>
      </c>
      <c r="W146" s="9">
        <v>0</v>
      </c>
      <c r="X146" s="9">
        <v>0</v>
      </c>
      <c r="Y146" s="10">
        <v>0</v>
      </c>
      <c r="Z146" t="s">
        <v>912</v>
      </c>
      <c r="AA146" t="s">
        <v>903</v>
      </c>
      <c r="AB146" s="2" t="s">
        <v>921</v>
      </c>
      <c r="AC146" s="9" t="s">
        <v>985</v>
      </c>
      <c r="AD146" s="9" t="s">
        <v>986</v>
      </c>
      <c r="AE146" s="10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6" s="2" t="b">
        <v>0</v>
      </c>
      <c r="AY146"/>
      <c r="AZ146"/>
      <c r="BA146"/>
    </row>
    <row r="147" spans="1:53">
      <c r="A147" s="2" t="s">
        <v>170</v>
      </c>
      <c r="B147">
        <v>1889</v>
      </c>
      <c r="C147">
        <v>0</v>
      </c>
      <c r="D147" t="s">
        <v>1854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>
        <v>7</v>
      </c>
      <c r="K147" s="2" t="s">
        <v>23</v>
      </c>
      <c r="L147">
        <f>_xlfn.XLOOKUP("LOADINGSPEEDDEF_"&amp;PROPERTIES[[#This Row],[LOADINGSPEED]],LOADINGSPEEDDEF[TYPE],LOADINGSPEEDDEF[SPEED])</f>
        <v>40</v>
      </c>
      <c r="M147" t="s">
        <v>20</v>
      </c>
      <c r="N147">
        <v>1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>
        <v>40</v>
      </c>
      <c r="W147" s="9">
        <v>0</v>
      </c>
      <c r="X147" s="9">
        <v>2</v>
      </c>
      <c r="Y147" s="10">
        <v>0</v>
      </c>
      <c r="Z147" t="s">
        <v>912</v>
      </c>
      <c r="AA147" t="s">
        <v>903</v>
      </c>
      <c r="AB147" s="2" t="s">
        <v>921</v>
      </c>
      <c r="AC147" s="9" t="s">
        <v>985</v>
      </c>
      <c r="AD147" s="9" t="s">
        <v>986</v>
      </c>
      <c r="AE147" s="10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7" s="2" t="b">
        <v>0</v>
      </c>
      <c r="AY147"/>
      <c r="AZ147"/>
      <c r="BA147"/>
    </row>
    <row r="148" spans="1:53">
      <c r="A148" s="2" t="s">
        <v>171</v>
      </c>
      <c r="B148">
        <v>1895</v>
      </c>
      <c r="C148">
        <v>0</v>
      </c>
      <c r="D148" t="s">
        <v>1798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>
        <v>8</v>
      </c>
      <c r="K148" s="2" t="s">
        <v>23</v>
      </c>
      <c r="L148">
        <f>_xlfn.XLOOKUP("LOADINGSPEEDDEF_"&amp;PROPERTIES[[#This Row],[LOADINGSPEED]],LOADINGSPEEDDEF[TYPE],LOADINGSPEEDDEF[SPEED])</f>
        <v>40</v>
      </c>
      <c r="M148">
        <v>45</v>
      </c>
      <c r="N148">
        <v>1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>
        <v>40</v>
      </c>
      <c r="W148" s="9">
        <v>0</v>
      </c>
      <c r="X148" s="9">
        <v>3</v>
      </c>
      <c r="Y148" s="10">
        <v>0</v>
      </c>
      <c r="Z148" t="s">
        <v>912</v>
      </c>
      <c r="AA148" t="s">
        <v>903</v>
      </c>
      <c r="AB148" s="2" t="s">
        <v>921</v>
      </c>
      <c r="AC148" s="9" t="s">
        <v>985</v>
      </c>
      <c r="AD148" s="9" t="s">
        <v>986</v>
      </c>
      <c r="AE148" s="10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8" s="2" t="b">
        <v>0</v>
      </c>
      <c r="AY148"/>
      <c r="AZ148"/>
      <c r="BA148"/>
    </row>
    <row r="149" spans="1:53">
      <c r="A149" s="2" t="s">
        <v>172</v>
      </c>
      <c r="B149">
        <v>1906</v>
      </c>
      <c r="C149">
        <v>0</v>
      </c>
      <c r="D149" t="s">
        <v>1940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>
        <v>8</v>
      </c>
      <c r="K149" s="2" t="s">
        <v>23</v>
      </c>
      <c r="L149">
        <f>_xlfn.XLOOKUP("LOADINGSPEEDDEF_"&amp;PROPERTIES[[#This Row],[LOADINGSPEED]],LOADINGSPEEDDEF[TYPE],LOADINGSPEEDDEF[SPEED])</f>
        <v>40</v>
      </c>
      <c r="M149">
        <v>45</v>
      </c>
      <c r="N149">
        <v>1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>
        <v>40</v>
      </c>
      <c r="W149" s="9">
        <v>0</v>
      </c>
      <c r="X149" s="9">
        <v>3</v>
      </c>
      <c r="Y149" s="10">
        <v>0</v>
      </c>
      <c r="Z149" t="s">
        <v>912</v>
      </c>
      <c r="AA149" t="s">
        <v>903</v>
      </c>
      <c r="AB149" s="2" t="s">
        <v>921</v>
      </c>
      <c r="AC149" s="9" t="s">
        <v>985</v>
      </c>
      <c r="AD149" s="9" t="s">
        <v>986</v>
      </c>
      <c r="AE149" s="10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9" s="2" t="b">
        <v>0</v>
      </c>
      <c r="AY149"/>
      <c r="AZ149"/>
      <c r="BA149"/>
    </row>
    <row r="150" spans="1:53">
      <c r="A150" s="2" t="s">
        <v>173</v>
      </c>
      <c r="B150">
        <v>1915</v>
      </c>
      <c r="C150">
        <v>0</v>
      </c>
      <c r="D150" t="s">
        <v>1940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>
        <v>8</v>
      </c>
      <c r="K150" s="2" t="s">
        <v>23</v>
      </c>
      <c r="L150">
        <f>_xlfn.XLOOKUP("LOADINGSPEEDDEF_"&amp;PROPERTIES[[#This Row],[LOADINGSPEED]],LOADINGSPEEDDEF[TYPE],LOADINGSPEEDDEF[SPEED])</f>
        <v>40</v>
      </c>
      <c r="M150">
        <v>45</v>
      </c>
      <c r="N150">
        <v>1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>
        <v>40</v>
      </c>
      <c r="W150" s="9">
        <v>0</v>
      </c>
      <c r="X150" s="9">
        <v>3</v>
      </c>
      <c r="Y150" s="10">
        <v>0</v>
      </c>
      <c r="Z150" t="s">
        <v>912</v>
      </c>
      <c r="AA150" t="s">
        <v>903</v>
      </c>
      <c r="AB150" s="2" t="s">
        <v>921</v>
      </c>
      <c r="AC150" s="9" t="s">
        <v>985</v>
      </c>
      <c r="AD150" s="9" t="s">
        <v>986</v>
      </c>
      <c r="AE150" s="10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50" s="2" t="b">
        <v>0</v>
      </c>
      <c r="AY150"/>
      <c r="AZ150"/>
      <c r="BA150"/>
    </row>
    <row r="151" spans="1:53">
      <c r="A151" s="2" t="s">
        <v>174</v>
      </c>
      <c r="B151">
        <v>1918</v>
      </c>
      <c r="C151">
        <v>0</v>
      </c>
      <c r="D151" t="s">
        <v>1852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>
        <v>8</v>
      </c>
      <c r="K151" s="2" t="s">
        <v>23</v>
      </c>
      <c r="L151">
        <f>_xlfn.XLOOKUP("LOADINGSPEEDDEF_"&amp;PROPERTIES[[#This Row],[LOADINGSPEED]],LOADINGSPEEDDEF[TYPE],LOADINGSPEEDDEF[SPEED])</f>
        <v>40</v>
      </c>
      <c r="M151">
        <v>45</v>
      </c>
      <c r="N151">
        <v>1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>
        <v>40</v>
      </c>
      <c r="W151" s="9">
        <v>0</v>
      </c>
      <c r="X151" s="9">
        <v>3</v>
      </c>
      <c r="Y151" s="10">
        <v>0</v>
      </c>
      <c r="Z151" t="s">
        <v>912</v>
      </c>
      <c r="AA151" t="s">
        <v>903</v>
      </c>
      <c r="AB151" s="2" t="s">
        <v>921</v>
      </c>
      <c r="AC151" s="9" t="s">
        <v>985</v>
      </c>
      <c r="AD151" s="9" t="s">
        <v>986</v>
      </c>
      <c r="AE151" s="10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1" s="2" t="b">
        <v>0</v>
      </c>
      <c r="AY151"/>
      <c r="AZ151"/>
      <c r="BA151"/>
    </row>
    <row r="152" spans="1:53">
      <c r="A152" s="2" t="s">
        <v>175</v>
      </c>
      <c r="B152">
        <v>1923</v>
      </c>
      <c r="C152">
        <v>0</v>
      </c>
      <c r="D152" t="s">
        <v>1859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>
        <v>10</v>
      </c>
      <c r="K152" s="2" t="s">
        <v>23</v>
      </c>
      <c r="L152">
        <f>_xlfn.XLOOKUP("LOADINGSPEEDDEF_"&amp;PROPERTIES[[#This Row],[LOADINGSPEED]],LOADINGSPEEDDEF[TYPE],LOADINGSPEEDDEF[SPEED])</f>
        <v>40</v>
      </c>
      <c r="M152">
        <v>45</v>
      </c>
      <c r="N152">
        <v>1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>
        <v>40</v>
      </c>
      <c r="W152" s="9">
        <v>0</v>
      </c>
      <c r="X152" s="9">
        <v>4</v>
      </c>
      <c r="Y152" s="10">
        <v>0</v>
      </c>
      <c r="Z152" t="s">
        <v>905</v>
      </c>
      <c r="AA152" t="s">
        <v>903</v>
      </c>
      <c r="AB152" s="2" t="s">
        <v>921</v>
      </c>
      <c r="AC152" s="9" t="s">
        <v>985</v>
      </c>
      <c r="AD152" s="9" t="s">
        <v>986</v>
      </c>
      <c r="AE152" s="10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2" s="2" t="b">
        <v>0</v>
      </c>
      <c r="AY152"/>
      <c r="AZ152"/>
      <c r="BA152"/>
    </row>
    <row r="153" spans="1:53">
      <c r="A153" s="2" t="s">
        <v>176</v>
      </c>
      <c r="B153">
        <v>1928</v>
      </c>
      <c r="C153">
        <v>0</v>
      </c>
      <c r="D153" t="s">
        <v>1859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>
        <v>10</v>
      </c>
      <c r="K153" s="2" t="s">
        <v>23</v>
      </c>
      <c r="L153">
        <f>_xlfn.XLOOKUP("LOADINGSPEEDDEF_"&amp;PROPERTIES[[#This Row],[LOADINGSPEED]],LOADINGSPEEDDEF[TYPE],LOADINGSPEEDDEF[SPEED])</f>
        <v>40</v>
      </c>
      <c r="M153">
        <v>45</v>
      </c>
      <c r="N153">
        <v>1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>
        <v>40</v>
      </c>
      <c r="W153" s="9">
        <v>0</v>
      </c>
      <c r="X153" s="9">
        <v>4</v>
      </c>
      <c r="Y153" s="10">
        <v>0</v>
      </c>
      <c r="Z153" t="s">
        <v>905</v>
      </c>
      <c r="AA153" t="s">
        <v>903</v>
      </c>
      <c r="AB153" s="2" t="s">
        <v>921</v>
      </c>
      <c r="AC153" s="9" t="s">
        <v>985</v>
      </c>
      <c r="AD153" s="9" t="s">
        <v>986</v>
      </c>
      <c r="AE153" s="10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53" s="2" t="b">
        <v>0</v>
      </c>
      <c r="AY153"/>
      <c r="AZ153"/>
      <c r="BA153"/>
    </row>
    <row r="154" spans="1:53">
      <c r="A154" s="2" t="s">
        <v>177</v>
      </c>
      <c r="B154">
        <v>1943</v>
      </c>
      <c r="C154">
        <v>0</v>
      </c>
      <c r="D154" t="s">
        <v>1838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>
        <v>11</v>
      </c>
      <c r="K154" s="2" t="s">
        <v>23</v>
      </c>
      <c r="L154">
        <f>_xlfn.XLOOKUP("LOADINGSPEEDDEF_"&amp;PROPERTIES[[#This Row],[LOADINGSPEED]],LOADINGSPEEDDEF[TYPE],LOADINGSPEEDDEF[SPEED])</f>
        <v>40</v>
      </c>
      <c r="M154">
        <v>45</v>
      </c>
      <c r="N154">
        <v>1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>
        <v>40</v>
      </c>
      <c r="W154" s="9">
        <v>0</v>
      </c>
      <c r="X154" s="9">
        <v>4</v>
      </c>
      <c r="Y154" s="10">
        <v>0</v>
      </c>
      <c r="Z154" t="s">
        <v>905</v>
      </c>
      <c r="AA154" t="s">
        <v>903</v>
      </c>
      <c r="AB154" s="2" t="s">
        <v>921</v>
      </c>
      <c r="AC154" s="9" t="s">
        <v>985</v>
      </c>
      <c r="AD154" s="9" t="s">
        <v>986</v>
      </c>
      <c r="AE154" s="10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4" s="2" t="b">
        <v>0</v>
      </c>
      <c r="AY154"/>
      <c r="AZ154"/>
      <c r="BA154"/>
    </row>
    <row r="155" spans="1:53">
      <c r="A155" s="2" t="s">
        <v>178</v>
      </c>
      <c r="B155">
        <v>1951</v>
      </c>
      <c r="C155">
        <v>0</v>
      </c>
      <c r="D155" t="s">
        <v>1756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>
        <v>5</v>
      </c>
      <c r="K155" s="2" t="s">
        <v>23</v>
      </c>
      <c r="L155">
        <f>_xlfn.XLOOKUP("LOADINGSPEEDDEF_"&amp;PROPERTIES[[#This Row],[LOADINGSPEED]],LOADINGSPEEDDEF[TYPE],LOADINGSPEEDDEF[SPEED])</f>
        <v>40</v>
      </c>
      <c r="M155">
        <v>45</v>
      </c>
      <c r="N155">
        <v>1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>
        <v>40</v>
      </c>
      <c r="W155" s="9">
        <v>0</v>
      </c>
      <c r="X155" s="9">
        <v>0</v>
      </c>
      <c r="Y155" s="10">
        <v>0</v>
      </c>
      <c r="Z155" t="s">
        <v>905</v>
      </c>
      <c r="AA155" t="s">
        <v>903</v>
      </c>
      <c r="AB155" s="2" t="s">
        <v>921</v>
      </c>
      <c r="AC155" s="9" t="s">
        <v>985</v>
      </c>
      <c r="AD155" s="9" t="s">
        <v>986</v>
      </c>
      <c r="AE155" s="10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5" s="2" t="b">
        <v>0</v>
      </c>
      <c r="AY155"/>
      <c r="AZ155"/>
      <c r="BA155"/>
    </row>
    <row r="156" spans="1:53">
      <c r="A156" s="2" t="s">
        <v>179</v>
      </c>
      <c r="B156">
        <v>1955</v>
      </c>
      <c r="C156">
        <v>0</v>
      </c>
      <c r="D156" t="s">
        <v>1818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>
        <v>13</v>
      </c>
      <c r="K156" s="2" t="s">
        <v>23</v>
      </c>
      <c r="L156">
        <f>_xlfn.XLOOKUP("LOADINGSPEEDDEF_"&amp;PROPERTIES[[#This Row],[LOADINGSPEED]],LOADINGSPEEDDEF[TYPE],LOADINGSPEEDDEF[SPEED])</f>
        <v>40</v>
      </c>
      <c r="M156">
        <v>45</v>
      </c>
      <c r="N156">
        <v>1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>
        <v>40</v>
      </c>
      <c r="W156" s="9">
        <v>0</v>
      </c>
      <c r="X156" s="9">
        <v>5</v>
      </c>
      <c r="Y156" s="10">
        <v>0</v>
      </c>
      <c r="Z156" t="s">
        <v>905</v>
      </c>
      <c r="AA156" t="s">
        <v>903</v>
      </c>
      <c r="AB156" s="2" t="s">
        <v>921</v>
      </c>
      <c r="AC156" s="9" t="s">
        <v>985</v>
      </c>
      <c r="AD156" s="9" t="s">
        <v>986</v>
      </c>
      <c r="AE156" s="10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56" s="2" t="b">
        <v>0</v>
      </c>
      <c r="AY156"/>
      <c r="AZ156"/>
      <c r="BA156"/>
    </row>
    <row r="157" spans="1:53">
      <c r="A157" s="2" t="s">
        <v>180</v>
      </c>
      <c r="B157">
        <v>1910</v>
      </c>
      <c r="C157">
        <v>0</v>
      </c>
      <c r="D157" t="s">
        <v>1806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>
        <v>10</v>
      </c>
      <c r="K157" s="2" t="s">
        <v>23</v>
      </c>
      <c r="L157">
        <f>_xlfn.XLOOKUP("LOADINGSPEEDDEF_"&amp;PROPERTIES[[#This Row],[LOADINGSPEED]],LOADINGSPEEDDEF[TYPE],LOADINGSPEEDDEF[SPEED])</f>
        <v>40</v>
      </c>
      <c r="M157">
        <v>45</v>
      </c>
      <c r="N157"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>
        <v>40</v>
      </c>
      <c r="W157" s="9">
        <v>0</v>
      </c>
      <c r="X157" s="9">
        <v>3</v>
      </c>
      <c r="Y157" s="10">
        <v>0</v>
      </c>
      <c r="Z157" t="s">
        <v>910</v>
      </c>
      <c r="AA157" t="s">
        <v>903</v>
      </c>
      <c r="AB157" s="2" t="s">
        <v>921</v>
      </c>
      <c r="AC157" s="9" t="s">
        <v>985</v>
      </c>
      <c r="AD157" s="9" t="s">
        <v>986</v>
      </c>
      <c r="AE157" s="10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7" s="2" t="b">
        <v>0</v>
      </c>
      <c r="AY157"/>
      <c r="AZ157"/>
      <c r="BA157"/>
    </row>
    <row r="158" spans="1:53">
      <c r="A158" s="2" t="s">
        <v>181</v>
      </c>
      <c r="B158">
        <v>1923</v>
      </c>
      <c r="C158">
        <v>0</v>
      </c>
      <c r="D158" t="s">
        <v>1928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>
        <v>9</v>
      </c>
      <c r="K158" s="2" t="s">
        <v>23</v>
      </c>
      <c r="L158">
        <f>_xlfn.XLOOKUP("LOADINGSPEEDDEF_"&amp;PROPERTIES[[#This Row],[LOADINGSPEED]],LOADINGSPEEDDEF[TYPE],LOADINGSPEEDDEF[SPEED])</f>
        <v>40</v>
      </c>
      <c r="M158">
        <v>45</v>
      </c>
      <c r="N158">
        <v>1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>
        <v>40</v>
      </c>
      <c r="W158" s="9">
        <v>0</v>
      </c>
      <c r="X158" s="9">
        <v>3</v>
      </c>
      <c r="Y158" s="10">
        <v>0</v>
      </c>
      <c r="Z158" t="s">
        <v>910</v>
      </c>
      <c r="AA158" t="s">
        <v>903</v>
      </c>
      <c r="AB158" s="2" t="s">
        <v>921</v>
      </c>
      <c r="AC158" s="9" t="s">
        <v>985</v>
      </c>
      <c r="AD158" s="9" t="s">
        <v>986</v>
      </c>
      <c r="AE158" s="10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8" s="2" t="b">
        <v>0</v>
      </c>
      <c r="AY158"/>
      <c r="AZ158"/>
      <c r="BA158"/>
    </row>
    <row r="159" spans="1:53">
      <c r="A159" s="2" t="s">
        <v>182</v>
      </c>
      <c r="B159">
        <v>1924</v>
      </c>
      <c r="C159">
        <v>0</v>
      </c>
      <c r="D159" t="s">
        <v>1847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>
        <v>11</v>
      </c>
      <c r="K159" s="2" t="s">
        <v>23</v>
      </c>
      <c r="L159">
        <f>_xlfn.XLOOKUP("LOADINGSPEEDDEF_"&amp;PROPERTIES[[#This Row],[LOADINGSPEED]],LOADINGSPEEDDEF[TYPE],LOADINGSPEEDDEF[SPEED])</f>
        <v>40</v>
      </c>
      <c r="M159">
        <v>45</v>
      </c>
      <c r="N159">
        <v>1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>
        <v>40</v>
      </c>
      <c r="W159" s="9">
        <v>0</v>
      </c>
      <c r="X159" s="9">
        <v>4</v>
      </c>
      <c r="Y159" s="10">
        <v>0</v>
      </c>
      <c r="Z159" t="s">
        <v>910</v>
      </c>
      <c r="AA159" t="s">
        <v>903</v>
      </c>
      <c r="AB159" s="2" t="s">
        <v>921</v>
      </c>
      <c r="AC159" s="9" t="s">
        <v>985</v>
      </c>
      <c r="AD159" s="9" t="s">
        <v>986</v>
      </c>
      <c r="AE159" s="10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59" s="2" t="b">
        <v>0</v>
      </c>
      <c r="AY159"/>
      <c r="AZ159"/>
      <c r="BA159"/>
    </row>
    <row r="160" spans="1:53">
      <c r="A160" s="2" t="s">
        <v>183</v>
      </c>
      <c r="B160">
        <v>1936</v>
      </c>
      <c r="C160">
        <v>0</v>
      </c>
      <c r="D160" t="s">
        <v>1849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>
        <v>7</v>
      </c>
      <c r="K160" s="2" t="s">
        <v>23</v>
      </c>
      <c r="L160">
        <f>_xlfn.XLOOKUP("LOADINGSPEEDDEF_"&amp;PROPERTIES[[#This Row],[LOADINGSPEED]],LOADINGSPEEDDEF[TYPE],LOADINGSPEEDDEF[SPEED])</f>
        <v>40</v>
      </c>
      <c r="M160">
        <v>45</v>
      </c>
      <c r="N160">
        <v>1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>
        <v>40</v>
      </c>
      <c r="W160" s="9">
        <v>0</v>
      </c>
      <c r="X160" s="9">
        <v>0</v>
      </c>
      <c r="Y160" s="10">
        <v>0</v>
      </c>
      <c r="Z160" t="s">
        <v>910</v>
      </c>
      <c r="AA160" t="s">
        <v>903</v>
      </c>
      <c r="AB160" s="2" t="s">
        <v>921</v>
      </c>
      <c r="AC160" s="9" t="s">
        <v>985</v>
      </c>
      <c r="AD160" s="9" t="s">
        <v>986</v>
      </c>
      <c r="AE160" s="10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60" s="2" t="b">
        <v>0</v>
      </c>
      <c r="AY160"/>
      <c r="AZ160"/>
      <c r="BA160"/>
    </row>
    <row r="161" spans="1:53">
      <c r="A161" s="2" t="s">
        <v>184</v>
      </c>
      <c r="B161">
        <v>1946</v>
      </c>
      <c r="C161">
        <v>0</v>
      </c>
      <c r="D161" t="s">
        <v>1806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>
        <v>9</v>
      </c>
      <c r="K161" s="2" t="s">
        <v>23</v>
      </c>
      <c r="L161">
        <f>_xlfn.XLOOKUP("LOADINGSPEEDDEF_"&amp;PROPERTIES[[#This Row],[LOADINGSPEED]],LOADINGSPEEDDEF[TYPE],LOADINGSPEEDDEF[SPEED])</f>
        <v>40</v>
      </c>
      <c r="M161">
        <v>45</v>
      </c>
      <c r="N161"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>
        <v>40</v>
      </c>
      <c r="W161" s="9">
        <v>0</v>
      </c>
      <c r="X161" s="9">
        <v>3</v>
      </c>
      <c r="Y161" s="10">
        <v>0</v>
      </c>
      <c r="Z161" t="s">
        <v>910</v>
      </c>
      <c r="AA161" t="s">
        <v>903</v>
      </c>
      <c r="AB161" s="2" t="s">
        <v>921</v>
      </c>
      <c r="AC161" s="9" t="s">
        <v>985</v>
      </c>
      <c r="AD161" s="9" t="s">
        <v>986</v>
      </c>
      <c r="AE161" s="10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1" s="2" t="b">
        <v>0</v>
      </c>
      <c r="AY161"/>
      <c r="AZ161"/>
      <c r="BA161"/>
    </row>
    <row r="162" spans="1:53">
      <c r="A162" s="2" t="s">
        <v>185</v>
      </c>
      <c r="B162">
        <v>1951</v>
      </c>
      <c r="C162">
        <v>0</v>
      </c>
      <c r="D162" t="s">
        <v>1928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>
        <v>11</v>
      </c>
      <c r="K162" s="2" t="s">
        <v>23</v>
      </c>
      <c r="L162">
        <f>_xlfn.XLOOKUP("LOADINGSPEEDDEF_"&amp;PROPERTIES[[#This Row],[LOADINGSPEED]],LOADINGSPEEDDEF[TYPE],LOADINGSPEEDDEF[SPEED])</f>
        <v>40</v>
      </c>
      <c r="M162">
        <v>45</v>
      </c>
      <c r="N162">
        <v>1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>
        <v>40</v>
      </c>
      <c r="W162" s="9">
        <v>0</v>
      </c>
      <c r="X162" s="9">
        <v>4</v>
      </c>
      <c r="Y162" s="10">
        <v>0</v>
      </c>
      <c r="Z162" t="s">
        <v>910</v>
      </c>
      <c r="AA162" t="s">
        <v>903</v>
      </c>
      <c r="AB162" s="2" t="s">
        <v>921</v>
      </c>
      <c r="AC162" s="9" t="s">
        <v>985</v>
      </c>
      <c r="AD162" s="9" t="s">
        <v>986</v>
      </c>
      <c r="AE162" s="10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2" s="2" t="b">
        <v>0</v>
      </c>
      <c r="AY162"/>
      <c r="AZ162"/>
      <c r="BA162"/>
    </row>
    <row r="163" spans="1:53">
      <c r="A163" s="2" t="s">
        <v>186</v>
      </c>
      <c r="B163">
        <v>1911</v>
      </c>
      <c r="C163">
        <v>0</v>
      </c>
      <c r="D163" t="s">
        <v>1762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>
        <v>11</v>
      </c>
      <c r="K163" s="2" t="s">
        <v>23</v>
      </c>
      <c r="L163">
        <f>_xlfn.XLOOKUP("LOADINGSPEEDDEF_"&amp;PROPERTIES[[#This Row],[LOADINGSPEED]],LOADINGSPEEDDEF[TYPE],LOADINGSPEEDDEF[SPEED])</f>
        <v>40</v>
      </c>
      <c r="M163">
        <v>45</v>
      </c>
      <c r="N163">
        <v>1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>
        <v>40</v>
      </c>
      <c r="W163" s="9">
        <v>0</v>
      </c>
      <c r="X163" s="9">
        <v>4</v>
      </c>
      <c r="Y163" s="10">
        <v>0</v>
      </c>
      <c r="Z163" t="s">
        <v>904</v>
      </c>
      <c r="AA163" t="s">
        <v>903</v>
      </c>
      <c r="AB163" s="2" t="s">
        <v>921</v>
      </c>
      <c r="AC163" s="9" t="s">
        <v>985</v>
      </c>
      <c r="AD163" s="9" t="s">
        <v>986</v>
      </c>
      <c r="AE163" s="10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63" s="2" t="b">
        <v>0</v>
      </c>
      <c r="AY163"/>
      <c r="AZ163"/>
      <c r="BA163"/>
    </row>
    <row r="164" spans="1:53">
      <c r="A164" s="2" t="s">
        <v>187</v>
      </c>
      <c r="B164">
        <v>1941</v>
      </c>
      <c r="C164">
        <v>0</v>
      </c>
      <c r="D164" t="s">
        <v>1981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>
        <v>14</v>
      </c>
      <c r="K164" s="2" t="s">
        <v>23</v>
      </c>
      <c r="L164">
        <f>_xlfn.XLOOKUP("LOADINGSPEEDDEF_"&amp;PROPERTIES[[#This Row],[LOADINGSPEED]],LOADINGSPEEDDEF[TYPE],LOADINGSPEEDDEF[SPEED])</f>
        <v>40</v>
      </c>
      <c r="M164">
        <v>45</v>
      </c>
      <c r="N164">
        <v>1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>
        <v>40</v>
      </c>
      <c r="W164" s="9">
        <v>0</v>
      </c>
      <c r="X164" s="9">
        <v>6</v>
      </c>
      <c r="Y164" s="10">
        <v>0</v>
      </c>
      <c r="Z164" t="s">
        <v>909</v>
      </c>
      <c r="AA164" t="s">
        <v>903</v>
      </c>
      <c r="AB164" s="2" t="s">
        <v>921</v>
      </c>
      <c r="AC164" s="9" t="s">
        <v>985</v>
      </c>
      <c r="AD164" s="9" t="s">
        <v>986</v>
      </c>
      <c r="AE164" s="10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64" s="2" t="b">
        <v>0</v>
      </c>
      <c r="AY164"/>
      <c r="AZ164"/>
      <c r="BA164"/>
    </row>
    <row r="165" spans="1:53">
      <c r="A165" s="2" t="s">
        <v>188</v>
      </c>
      <c r="B165">
        <v>1866</v>
      </c>
      <c r="C165">
        <v>0</v>
      </c>
      <c r="D165" t="s">
        <v>1851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>
        <v>8</v>
      </c>
      <c r="K165" s="2" t="s">
        <v>19</v>
      </c>
      <c r="L165">
        <f>_xlfn.XLOOKUP("LOADINGSPEEDDEF_"&amp;PROPERTIES[[#This Row],[LOADINGSPEED]],LOADINGSPEEDDEF[TYPE],LOADINGSPEEDDEF[SPEED])</f>
        <v>0</v>
      </c>
      <c r="M165">
        <v>45</v>
      </c>
      <c r="N165"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>
        <v>40</v>
      </c>
      <c r="W165" s="9">
        <v>0</v>
      </c>
      <c r="X165" s="9">
        <v>3</v>
      </c>
      <c r="Y165" s="10">
        <v>0</v>
      </c>
      <c r="Z165" t="s">
        <v>908</v>
      </c>
      <c r="AA165" t="s">
        <v>903</v>
      </c>
      <c r="AB165" s="2" t="s">
        <v>921</v>
      </c>
      <c r="AC165" s="9" t="s">
        <v>985</v>
      </c>
      <c r="AD165" s="9" t="s">
        <v>986</v>
      </c>
      <c r="AE165" s="10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65" s="2" t="b">
        <v>0</v>
      </c>
      <c r="AY165"/>
      <c r="AZ165"/>
      <c r="BA165"/>
    </row>
    <row r="166" spans="1:53">
      <c r="A166" s="2" t="s">
        <v>189</v>
      </c>
      <c r="B166">
        <v>1914</v>
      </c>
      <c r="C166">
        <v>0</v>
      </c>
      <c r="D166" t="s">
        <v>1981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>
        <v>10</v>
      </c>
      <c r="K166" s="2" t="s">
        <v>19</v>
      </c>
      <c r="L166">
        <f>_xlfn.XLOOKUP("LOADINGSPEEDDEF_"&amp;PROPERTIES[[#This Row],[LOADINGSPEED]],LOADINGSPEEDDEF[TYPE],LOADINGSPEEDDEF[SPEED])</f>
        <v>0</v>
      </c>
      <c r="M166">
        <v>45</v>
      </c>
      <c r="N166">
        <v>1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>
        <v>40</v>
      </c>
      <c r="W166" s="9">
        <v>0</v>
      </c>
      <c r="X166" s="9">
        <v>4</v>
      </c>
      <c r="Y166" s="10">
        <v>0</v>
      </c>
      <c r="Z166" t="s">
        <v>909</v>
      </c>
      <c r="AA166" t="s">
        <v>903</v>
      </c>
      <c r="AB166" s="2" t="s">
        <v>921</v>
      </c>
      <c r="AC166" s="9" t="s">
        <v>985</v>
      </c>
      <c r="AD166" s="9" t="s">
        <v>986</v>
      </c>
      <c r="AE166" s="10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6" s="2" t="b">
        <v>0</v>
      </c>
      <c r="AY166"/>
      <c r="AZ166"/>
      <c r="BA166"/>
    </row>
    <row r="167" spans="1:53">
      <c r="A167" s="2" t="s">
        <v>190</v>
      </c>
      <c r="B167">
        <v>1871</v>
      </c>
      <c r="C167">
        <v>0</v>
      </c>
      <c r="D167" t="s">
        <v>1760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>
        <v>4</v>
      </c>
      <c r="K167" s="2" t="s">
        <v>19</v>
      </c>
      <c r="L167">
        <f>_xlfn.XLOOKUP("LOADINGSPEEDDEF_"&amp;PROPERTIES[[#This Row],[LOADINGSPEED]],LOADINGSPEEDDEF[TYPE],LOADINGSPEEDDEF[SPEED])</f>
        <v>0</v>
      </c>
      <c r="M167">
        <v>45</v>
      </c>
      <c r="N167">
        <v>1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>
        <v>40</v>
      </c>
      <c r="W167" s="9">
        <v>0</v>
      </c>
      <c r="X167" s="9">
        <v>0</v>
      </c>
      <c r="Y167" s="10">
        <v>0</v>
      </c>
      <c r="Z167" t="s">
        <v>911</v>
      </c>
      <c r="AA167" t="s">
        <v>903</v>
      </c>
      <c r="AB167" s="2" t="s">
        <v>921</v>
      </c>
      <c r="AC167" s="9" t="s">
        <v>985</v>
      </c>
      <c r="AD167" s="9" t="s">
        <v>986</v>
      </c>
      <c r="AE167" s="10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67" s="2" t="b">
        <v>0</v>
      </c>
      <c r="AY167"/>
      <c r="AZ167"/>
      <c r="BA167"/>
    </row>
    <row r="168" spans="1:53">
      <c r="A168" s="2" t="s">
        <v>191</v>
      </c>
      <c r="B168">
        <v>1914</v>
      </c>
      <c r="C168">
        <v>0</v>
      </c>
      <c r="D168" t="s">
        <v>1763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>
        <v>10</v>
      </c>
      <c r="K168" s="2" t="s">
        <v>19</v>
      </c>
      <c r="L168">
        <f>_xlfn.XLOOKUP("LOADINGSPEEDDEF_"&amp;PROPERTIES[[#This Row],[LOADINGSPEED]],LOADINGSPEEDDEF[TYPE],LOADINGSPEEDDEF[SPEED])</f>
        <v>0</v>
      </c>
      <c r="M168">
        <v>45</v>
      </c>
      <c r="N168">
        <v>1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>
        <v>40</v>
      </c>
      <c r="W168" s="9">
        <v>0</v>
      </c>
      <c r="X168" s="9">
        <v>4</v>
      </c>
      <c r="Y168" s="10">
        <v>0</v>
      </c>
      <c r="Z168" t="s">
        <v>906</v>
      </c>
      <c r="AA168" t="s">
        <v>903</v>
      </c>
      <c r="AB168" s="2" t="s">
        <v>921</v>
      </c>
      <c r="AC168" s="9" t="s">
        <v>985</v>
      </c>
      <c r="AD168" s="9" t="s">
        <v>986</v>
      </c>
      <c r="AE168" s="10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68" s="2" t="b">
        <v>0</v>
      </c>
      <c r="AY168"/>
      <c r="AZ168"/>
      <c r="BA168"/>
    </row>
    <row r="169" spans="1:53">
      <c r="A169" s="2" t="s">
        <v>192</v>
      </c>
      <c r="B169">
        <v>1945</v>
      </c>
      <c r="C169">
        <v>0</v>
      </c>
      <c r="D169" t="s">
        <v>1770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>
        <v>11</v>
      </c>
      <c r="K169" s="2" t="s">
        <v>19</v>
      </c>
      <c r="L169">
        <f>_xlfn.XLOOKUP("LOADINGSPEEDDEF_"&amp;PROPERTIES[[#This Row],[LOADINGSPEED]],LOADINGSPEEDDEF[TYPE],LOADINGSPEEDDEF[SPEED])</f>
        <v>0</v>
      </c>
      <c r="M169">
        <v>45</v>
      </c>
      <c r="N169">
        <v>1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>
        <v>40</v>
      </c>
      <c r="W169" s="9">
        <v>0</v>
      </c>
      <c r="X169" s="9">
        <v>4</v>
      </c>
      <c r="Y169" s="10">
        <v>0</v>
      </c>
      <c r="Z169" t="s">
        <v>904</v>
      </c>
      <c r="AA169" t="s">
        <v>903</v>
      </c>
      <c r="AB169" s="2" t="s">
        <v>921</v>
      </c>
      <c r="AC169" s="9" t="s">
        <v>985</v>
      </c>
      <c r="AD169" s="9" t="s">
        <v>986</v>
      </c>
      <c r="AE169" s="10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69" s="2" t="b">
        <v>0</v>
      </c>
      <c r="AY169"/>
      <c r="AZ169"/>
      <c r="BA169"/>
    </row>
    <row r="170" spans="1:53">
      <c r="A170" s="2" t="s">
        <v>193</v>
      </c>
      <c r="B170">
        <v>1954</v>
      </c>
      <c r="C170">
        <v>0</v>
      </c>
      <c r="D170" t="s">
        <v>1796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>
        <v>11</v>
      </c>
      <c r="K170" s="2" t="s">
        <v>19</v>
      </c>
      <c r="L170">
        <f>_xlfn.XLOOKUP("LOADINGSPEEDDEF_"&amp;PROPERTIES[[#This Row],[LOADINGSPEED]],LOADINGSPEEDDEF[TYPE],LOADINGSPEEDDEF[SPEED])</f>
        <v>0</v>
      </c>
      <c r="M170">
        <v>45</v>
      </c>
      <c r="N170">
        <v>1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>
        <v>40</v>
      </c>
      <c r="W170" s="9">
        <v>0</v>
      </c>
      <c r="X170" s="9">
        <v>4</v>
      </c>
      <c r="Y170" s="10">
        <v>0</v>
      </c>
      <c r="Z170" t="s">
        <v>911</v>
      </c>
      <c r="AA170" t="s">
        <v>903</v>
      </c>
      <c r="AB170" s="2" t="s">
        <v>921</v>
      </c>
      <c r="AC170" s="9" t="s">
        <v>985</v>
      </c>
      <c r="AD170" s="9" t="s">
        <v>986</v>
      </c>
      <c r="AE170" s="10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70" s="2" t="b">
        <v>0</v>
      </c>
      <c r="AY170"/>
      <c r="AZ170"/>
      <c r="BA170"/>
    </row>
    <row r="171" spans="1:53">
      <c r="A171" s="2" t="s">
        <v>194</v>
      </c>
      <c r="B171">
        <v>1956</v>
      </c>
      <c r="C171">
        <v>0</v>
      </c>
      <c r="D171" t="s">
        <v>1798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>
        <v>14</v>
      </c>
      <c r="K171" s="2" t="s">
        <v>23</v>
      </c>
      <c r="L171">
        <f>_xlfn.XLOOKUP("LOADINGSPEEDDEF_"&amp;PROPERTIES[[#This Row],[LOADINGSPEED]],LOADINGSPEEDDEF[TYPE],LOADINGSPEEDDEF[SPEED])</f>
        <v>40</v>
      </c>
      <c r="M171">
        <v>45</v>
      </c>
      <c r="N171">
        <v>1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>
        <v>40</v>
      </c>
      <c r="W171" s="9">
        <v>0</v>
      </c>
      <c r="X171" s="9">
        <v>6</v>
      </c>
      <c r="Y171" s="10">
        <v>0</v>
      </c>
      <c r="Z171" t="s">
        <v>912</v>
      </c>
      <c r="AA171" t="s">
        <v>903</v>
      </c>
      <c r="AB171" s="2" t="s">
        <v>921</v>
      </c>
      <c r="AC171" s="9" t="s">
        <v>985</v>
      </c>
      <c r="AD171" s="9" t="s">
        <v>986</v>
      </c>
      <c r="AE171" s="10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71" s="2" t="b">
        <v>0</v>
      </c>
      <c r="AY171"/>
      <c r="AZ171"/>
      <c r="BA171"/>
    </row>
    <row r="172" spans="1:53">
      <c r="A172" s="2" t="s">
        <v>195</v>
      </c>
      <c r="B172">
        <v>1930</v>
      </c>
      <c r="C172">
        <v>0</v>
      </c>
      <c r="D172" t="s">
        <v>1807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>
        <v>4</v>
      </c>
      <c r="K172" s="2" t="s">
        <v>19</v>
      </c>
      <c r="L172">
        <f>_xlfn.XLOOKUP("LOADINGSPEEDDEF_"&amp;PROPERTIES[[#This Row],[LOADINGSPEED]],LOADINGSPEEDDEF[TYPE],LOADINGSPEEDDEF[SPEED])</f>
        <v>0</v>
      </c>
      <c r="M172">
        <v>45</v>
      </c>
      <c r="N172">
        <v>1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>
        <v>40</v>
      </c>
      <c r="W172" s="9">
        <v>0</v>
      </c>
      <c r="X172" s="9">
        <v>0</v>
      </c>
      <c r="Y172" s="10">
        <v>0</v>
      </c>
      <c r="Z172" t="s">
        <v>904</v>
      </c>
      <c r="AA172" t="s">
        <v>903</v>
      </c>
      <c r="AB172" s="2" t="s">
        <v>921</v>
      </c>
      <c r="AC172" s="9" t="s">
        <v>987</v>
      </c>
      <c r="AD172" s="9" t="s">
        <v>988</v>
      </c>
      <c r="AE172" s="10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2" s="2" t="b">
        <v>0</v>
      </c>
      <c r="AY172"/>
      <c r="AZ172"/>
      <c r="BA172"/>
    </row>
    <row r="173" spans="1:53">
      <c r="A173" s="2" t="s">
        <v>196</v>
      </c>
      <c r="B173">
        <v>1931</v>
      </c>
      <c r="C173">
        <v>0</v>
      </c>
      <c r="D173" t="s">
        <v>1981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>
        <v>4</v>
      </c>
      <c r="K173" s="2" t="s">
        <v>19</v>
      </c>
      <c r="L173">
        <f>_xlfn.XLOOKUP("LOADINGSPEEDDEF_"&amp;PROPERTIES[[#This Row],[LOADINGSPEED]],LOADINGSPEEDDEF[TYPE],LOADINGSPEEDDEF[SPEED])</f>
        <v>0</v>
      </c>
      <c r="M173">
        <v>45</v>
      </c>
      <c r="N173">
        <v>1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>
        <v>40</v>
      </c>
      <c r="W173" s="9">
        <v>0</v>
      </c>
      <c r="X173" s="9">
        <v>0</v>
      </c>
      <c r="Y173" s="10">
        <v>0</v>
      </c>
      <c r="Z173" t="s">
        <v>909</v>
      </c>
      <c r="AA173" t="s">
        <v>903</v>
      </c>
      <c r="AB173" s="2" t="s">
        <v>921</v>
      </c>
      <c r="AC173" s="9" t="s">
        <v>987</v>
      </c>
      <c r="AD173" s="9" t="s">
        <v>988</v>
      </c>
      <c r="AE173" s="10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3" s="2" t="b">
        <v>0</v>
      </c>
      <c r="AY173"/>
      <c r="AZ173"/>
      <c r="BA173"/>
    </row>
    <row r="174" spans="1:53">
      <c r="A174" s="2" t="s">
        <v>197</v>
      </c>
      <c r="B174">
        <v>1934</v>
      </c>
      <c r="C174">
        <v>0</v>
      </c>
      <c r="D174" t="s">
        <v>1915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>
        <v>4</v>
      </c>
      <c r="K174" s="2" t="s">
        <v>19</v>
      </c>
      <c r="L174">
        <f>_xlfn.XLOOKUP("LOADINGSPEEDDEF_"&amp;PROPERTIES[[#This Row],[LOADINGSPEED]],LOADINGSPEEDDEF[TYPE],LOADINGSPEEDDEF[SPEED])</f>
        <v>0</v>
      </c>
      <c r="M174">
        <v>45</v>
      </c>
      <c r="N174">
        <v>1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>
        <v>40</v>
      </c>
      <c r="W174" s="9">
        <v>0</v>
      </c>
      <c r="X174" s="9">
        <v>0</v>
      </c>
      <c r="Y174" s="10">
        <v>0</v>
      </c>
      <c r="Z174" t="s">
        <v>904</v>
      </c>
      <c r="AA174" t="s">
        <v>903</v>
      </c>
      <c r="AB174" s="2" t="s">
        <v>921</v>
      </c>
      <c r="AC174" s="9" t="s">
        <v>987</v>
      </c>
      <c r="AD174" s="9" t="s">
        <v>988</v>
      </c>
      <c r="AE174" s="10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4" s="2" t="b">
        <v>0</v>
      </c>
      <c r="AY174"/>
      <c r="AZ174"/>
      <c r="BA174"/>
    </row>
    <row r="175" spans="1:53">
      <c r="A175" s="2" t="s">
        <v>198</v>
      </c>
      <c r="B175">
        <v>1936</v>
      </c>
      <c r="C175">
        <v>0</v>
      </c>
      <c r="D175" t="s">
        <v>1807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>
        <v>5</v>
      </c>
      <c r="K175" s="2" t="s">
        <v>19</v>
      </c>
      <c r="L175">
        <f>_xlfn.XLOOKUP("LOADINGSPEEDDEF_"&amp;PROPERTIES[[#This Row],[LOADINGSPEED]],LOADINGSPEEDDEF[TYPE],LOADINGSPEEDDEF[SPEED])</f>
        <v>0</v>
      </c>
      <c r="M175">
        <v>45</v>
      </c>
      <c r="N175">
        <v>1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>
        <v>40</v>
      </c>
      <c r="W175" s="9">
        <v>0</v>
      </c>
      <c r="X175" s="9">
        <v>0</v>
      </c>
      <c r="Y175" s="10">
        <v>0</v>
      </c>
      <c r="Z175" t="s">
        <v>904</v>
      </c>
      <c r="AA175" t="s">
        <v>903</v>
      </c>
      <c r="AB175" s="2" t="s">
        <v>921</v>
      </c>
      <c r="AC175" s="9" t="s">
        <v>987</v>
      </c>
      <c r="AD175" s="9" t="s">
        <v>988</v>
      </c>
      <c r="AE175" s="10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5" s="2" t="b">
        <v>0</v>
      </c>
      <c r="AY175"/>
      <c r="AZ175"/>
      <c r="BA175"/>
    </row>
    <row r="176" spans="1:53">
      <c r="A176" s="2" t="s">
        <v>199</v>
      </c>
      <c r="B176">
        <v>1941</v>
      </c>
      <c r="C176">
        <v>0</v>
      </c>
      <c r="D176" t="s">
        <v>1793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>
        <v>8</v>
      </c>
      <c r="K176" s="2" t="s">
        <v>19</v>
      </c>
      <c r="L176">
        <f>_xlfn.XLOOKUP("LOADINGSPEEDDEF_"&amp;PROPERTIES[[#This Row],[LOADINGSPEED]],LOADINGSPEEDDEF[TYPE],LOADINGSPEEDDEF[SPEED])</f>
        <v>0</v>
      </c>
      <c r="M176">
        <v>45</v>
      </c>
      <c r="N176">
        <v>1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>
        <v>40</v>
      </c>
      <c r="W176" s="9">
        <v>0</v>
      </c>
      <c r="X176" s="9">
        <v>0</v>
      </c>
      <c r="Y176" s="10">
        <v>0</v>
      </c>
      <c r="Z176" t="s">
        <v>904</v>
      </c>
      <c r="AA176" t="s">
        <v>903</v>
      </c>
      <c r="AB176" s="2" t="s">
        <v>921</v>
      </c>
      <c r="AC176" s="9" t="s">
        <v>987</v>
      </c>
      <c r="AD176" s="9" t="s">
        <v>988</v>
      </c>
      <c r="AE176" s="10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76" s="2" t="b">
        <v>0</v>
      </c>
      <c r="AY176"/>
      <c r="AZ176"/>
      <c r="BA176"/>
    </row>
    <row r="177" spans="1:53">
      <c r="A177" s="2" t="s">
        <v>200</v>
      </c>
      <c r="B177">
        <v>1943</v>
      </c>
      <c r="C177">
        <v>0</v>
      </c>
      <c r="D177" t="s">
        <v>1763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>
        <v>5</v>
      </c>
      <c r="K177" s="2" t="s">
        <v>19</v>
      </c>
      <c r="L177">
        <f>_xlfn.XLOOKUP("LOADINGSPEEDDEF_"&amp;PROPERTIES[[#This Row],[LOADINGSPEED]],LOADINGSPEEDDEF[TYPE],LOADINGSPEEDDEF[SPEED])</f>
        <v>0</v>
      </c>
      <c r="M177">
        <v>45</v>
      </c>
      <c r="N177">
        <v>1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>
        <v>40</v>
      </c>
      <c r="W177" s="9">
        <v>0</v>
      </c>
      <c r="X177" s="9">
        <v>0</v>
      </c>
      <c r="Y177" s="10">
        <v>0</v>
      </c>
      <c r="Z177" t="s">
        <v>906</v>
      </c>
      <c r="AA177" t="s">
        <v>903</v>
      </c>
      <c r="AB177" s="2" t="s">
        <v>921</v>
      </c>
      <c r="AC177" s="9" t="s">
        <v>987</v>
      </c>
      <c r="AD177" s="9" t="s">
        <v>988</v>
      </c>
      <c r="AE177" s="10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7" s="2" t="b">
        <v>0</v>
      </c>
      <c r="AY177"/>
      <c r="AZ177"/>
      <c r="BA177"/>
    </row>
    <row r="178" spans="1:53">
      <c r="A178" s="2" t="s">
        <v>201</v>
      </c>
      <c r="B178">
        <v>1940</v>
      </c>
      <c r="C178">
        <v>0</v>
      </c>
      <c r="D178" t="s">
        <v>1981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>
        <v>6</v>
      </c>
      <c r="K178" s="2" t="s">
        <v>19</v>
      </c>
      <c r="L178">
        <f>_xlfn.XLOOKUP("LOADINGSPEEDDEF_"&amp;PROPERTIES[[#This Row],[LOADINGSPEED]],LOADINGSPEEDDEF[TYPE],LOADINGSPEEDDEF[SPEED])</f>
        <v>0</v>
      </c>
      <c r="M178">
        <v>45</v>
      </c>
      <c r="N178">
        <v>1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>
        <v>40</v>
      </c>
      <c r="W178" s="9">
        <v>0</v>
      </c>
      <c r="X178" s="9">
        <v>0</v>
      </c>
      <c r="Y178" s="10">
        <v>0</v>
      </c>
      <c r="Z178" t="s">
        <v>909</v>
      </c>
      <c r="AA178" t="s">
        <v>903</v>
      </c>
      <c r="AB178" s="2" t="s">
        <v>921</v>
      </c>
      <c r="AC178" s="9" t="s">
        <v>987</v>
      </c>
      <c r="AD178" s="9" t="s">
        <v>988</v>
      </c>
      <c r="AE178" s="10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78" s="2" t="b">
        <v>0</v>
      </c>
      <c r="AY178"/>
      <c r="AZ178"/>
      <c r="BA178"/>
    </row>
    <row r="179" spans="1:53">
      <c r="A179" s="2" t="s">
        <v>202</v>
      </c>
      <c r="B179">
        <v>1946</v>
      </c>
      <c r="C179">
        <v>0</v>
      </c>
      <c r="D179" t="s">
        <v>1981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>
        <v>7</v>
      </c>
      <c r="K179" s="2" t="s">
        <v>19</v>
      </c>
      <c r="L179">
        <f>_xlfn.XLOOKUP("LOADINGSPEEDDEF_"&amp;PROPERTIES[[#This Row],[LOADINGSPEED]],LOADINGSPEEDDEF[TYPE],LOADINGSPEEDDEF[SPEED])</f>
        <v>0</v>
      </c>
      <c r="M179">
        <v>45</v>
      </c>
      <c r="N179">
        <v>1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>
        <v>40</v>
      </c>
      <c r="W179" s="9">
        <v>0</v>
      </c>
      <c r="X179" s="9">
        <v>0</v>
      </c>
      <c r="Y179" s="10">
        <v>0</v>
      </c>
      <c r="Z179" t="s">
        <v>909</v>
      </c>
      <c r="AA179" t="s">
        <v>903</v>
      </c>
      <c r="AB179" s="2" t="s">
        <v>921</v>
      </c>
      <c r="AC179" s="9" t="s">
        <v>987</v>
      </c>
      <c r="AD179" s="9" t="s">
        <v>988</v>
      </c>
      <c r="AE179" s="10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79" s="2" t="b">
        <v>0</v>
      </c>
      <c r="AY179"/>
      <c r="AZ179"/>
      <c r="BA179"/>
    </row>
    <row r="180" spans="1:53">
      <c r="A180" s="2" t="s">
        <v>203</v>
      </c>
      <c r="B180">
        <v>1949</v>
      </c>
      <c r="C180">
        <v>0</v>
      </c>
      <c r="D180" t="s">
        <v>1981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>
        <v>8</v>
      </c>
      <c r="K180" s="2" t="s">
        <v>19</v>
      </c>
      <c r="L180">
        <f>_xlfn.XLOOKUP("LOADINGSPEEDDEF_"&amp;PROPERTIES[[#This Row],[LOADINGSPEED]],LOADINGSPEEDDEF[TYPE],LOADINGSPEEDDEF[SPEED])</f>
        <v>0</v>
      </c>
      <c r="M180">
        <v>45</v>
      </c>
      <c r="N180">
        <v>1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>
        <v>40</v>
      </c>
      <c r="W180" s="9">
        <v>0</v>
      </c>
      <c r="X180" s="9">
        <v>0</v>
      </c>
      <c r="Y180" s="10">
        <v>0</v>
      </c>
      <c r="Z180" t="s">
        <v>909</v>
      </c>
      <c r="AA180" t="s">
        <v>903</v>
      </c>
      <c r="AB180" s="2" t="s">
        <v>921</v>
      </c>
      <c r="AC180" s="9" t="s">
        <v>987</v>
      </c>
      <c r="AD180" s="9" t="s">
        <v>988</v>
      </c>
      <c r="AE180" s="10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80" s="2" t="b">
        <v>0</v>
      </c>
      <c r="AY180"/>
      <c r="AZ180"/>
      <c r="BA180"/>
    </row>
    <row r="181" spans="1:53">
      <c r="A181" s="2" t="s">
        <v>204</v>
      </c>
      <c r="B181">
        <v>1950</v>
      </c>
      <c r="C181">
        <v>0</v>
      </c>
      <c r="D181" t="s">
        <v>1781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>
        <v>7</v>
      </c>
      <c r="K181" s="2" t="s">
        <v>19</v>
      </c>
      <c r="L181">
        <f>_xlfn.XLOOKUP("LOADINGSPEEDDEF_"&amp;PROPERTIES[[#This Row],[LOADINGSPEED]],LOADINGSPEEDDEF[TYPE],LOADINGSPEEDDEF[SPEED])</f>
        <v>0</v>
      </c>
      <c r="M181">
        <v>45</v>
      </c>
      <c r="N181">
        <v>1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>
        <v>40</v>
      </c>
      <c r="W181" s="9">
        <v>0</v>
      </c>
      <c r="X181" s="9">
        <v>0</v>
      </c>
      <c r="Y181" s="10">
        <v>0</v>
      </c>
      <c r="Z181" t="s">
        <v>911</v>
      </c>
      <c r="AA181" t="s">
        <v>903</v>
      </c>
      <c r="AB181" s="2" t="s">
        <v>921</v>
      </c>
      <c r="AC181" s="9" t="s">
        <v>987</v>
      </c>
      <c r="AD181" s="9" t="s">
        <v>988</v>
      </c>
      <c r="AE181" s="10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1" s="2" t="b">
        <v>0</v>
      </c>
      <c r="AY181"/>
      <c r="AZ181"/>
      <c r="BA181"/>
    </row>
    <row r="182" spans="1:53">
      <c r="A182" s="2" t="s">
        <v>205</v>
      </c>
      <c r="B182">
        <v>1950</v>
      </c>
      <c r="C182">
        <v>0</v>
      </c>
      <c r="D182" t="s">
        <v>1915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>
        <v>5</v>
      </c>
      <c r="K182" s="2" t="s">
        <v>19</v>
      </c>
      <c r="L182">
        <f>_xlfn.XLOOKUP("LOADINGSPEEDDEF_"&amp;PROPERTIES[[#This Row],[LOADINGSPEED]],LOADINGSPEEDDEF[TYPE],LOADINGSPEEDDEF[SPEED])</f>
        <v>0</v>
      </c>
      <c r="M182">
        <v>45</v>
      </c>
      <c r="N182">
        <v>1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>
        <v>40</v>
      </c>
      <c r="W182" s="9">
        <v>0</v>
      </c>
      <c r="X182" s="9">
        <v>0</v>
      </c>
      <c r="Y182" s="10">
        <v>0</v>
      </c>
      <c r="Z182" t="s">
        <v>904</v>
      </c>
      <c r="AA182" t="s">
        <v>903</v>
      </c>
      <c r="AB182" s="2" t="s">
        <v>921</v>
      </c>
      <c r="AC182" s="9" t="s">
        <v>987</v>
      </c>
      <c r="AD182" s="9" t="s">
        <v>988</v>
      </c>
      <c r="AE182" s="10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2" s="2" t="b">
        <v>0</v>
      </c>
      <c r="AY182"/>
      <c r="AZ182"/>
      <c r="BA182"/>
    </row>
    <row r="183" spans="1:53">
      <c r="A183" s="2" t="s">
        <v>206</v>
      </c>
      <c r="B183">
        <v>1950</v>
      </c>
      <c r="C183">
        <v>0</v>
      </c>
      <c r="D183" t="s">
        <v>1981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>
        <v>7</v>
      </c>
      <c r="K183" s="2" t="s">
        <v>19</v>
      </c>
      <c r="L183">
        <f>_xlfn.XLOOKUP("LOADINGSPEEDDEF_"&amp;PROPERTIES[[#This Row],[LOADINGSPEED]],LOADINGSPEEDDEF[TYPE],LOADINGSPEEDDEF[SPEED])</f>
        <v>0</v>
      </c>
      <c r="M183">
        <v>45</v>
      </c>
      <c r="N183">
        <v>1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>
        <v>40</v>
      </c>
      <c r="W183" s="9">
        <v>0</v>
      </c>
      <c r="X183" s="9">
        <v>0</v>
      </c>
      <c r="Y183" s="10">
        <v>0</v>
      </c>
      <c r="Z183" t="s">
        <v>909</v>
      </c>
      <c r="AA183" t="s">
        <v>903</v>
      </c>
      <c r="AB183" s="2" t="s">
        <v>921</v>
      </c>
      <c r="AC183" s="9" t="s">
        <v>987</v>
      </c>
      <c r="AD183" s="9" t="s">
        <v>988</v>
      </c>
      <c r="AE183" s="10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3" s="2" t="b">
        <v>0</v>
      </c>
      <c r="AY183"/>
      <c r="AZ183"/>
      <c r="BA183"/>
    </row>
    <row r="184" spans="1:53">
      <c r="A184" s="2" t="s">
        <v>207</v>
      </c>
      <c r="B184">
        <v>1952</v>
      </c>
      <c r="C184">
        <v>0</v>
      </c>
      <c r="D184" t="s">
        <v>1982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>
        <v>8</v>
      </c>
      <c r="K184" s="2" t="s">
        <v>19</v>
      </c>
      <c r="L184">
        <f>_xlfn.XLOOKUP("LOADINGSPEEDDEF_"&amp;PROPERTIES[[#This Row],[LOADINGSPEED]],LOADINGSPEEDDEF[TYPE],LOADINGSPEEDDEF[SPEED])</f>
        <v>0</v>
      </c>
      <c r="M184">
        <v>45</v>
      </c>
      <c r="N184">
        <v>1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>
        <v>40</v>
      </c>
      <c r="W184" s="9">
        <v>0</v>
      </c>
      <c r="X184" s="9">
        <v>0</v>
      </c>
      <c r="Y184" s="10">
        <v>0</v>
      </c>
      <c r="Z184" t="s">
        <v>911</v>
      </c>
      <c r="AA184" t="s">
        <v>903</v>
      </c>
      <c r="AB184" s="2" t="s">
        <v>921</v>
      </c>
      <c r="AC184" s="9" t="s">
        <v>987</v>
      </c>
      <c r="AD184" s="9" t="s">
        <v>988</v>
      </c>
      <c r="AE184" s="10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4" s="2" t="b">
        <v>0</v>
      </c>
      <c r="AY184"/>
      <c r="AZ184"/>
      <c r="BA184"/>
    </row>
    <row r="185" spans="1:53">
      <c r="A185" s="2" t="s">
        <v>208</v>
      </c>
      <c r="B185">
        <v>1953</v>
      </c>
      <c r="C185">
        <v>0</v>
      </c>
      <c r="D185" t="s">
        <v>1788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>
        <v>8</v>
      </c>
      <c r="K185" s="2" t="s">
        <v>19</v>
      </c>
      <c r="L185">
        <f>_xlfn.XLOOKUP("LOADINGSPEEDDEF_"&amp;PROPERTIES[[#This Row],[LOADINGSPEED]],LOADINGSPEEDDEF[TYPE],LOADINGSPEEDDEF[SPEED])</f>
        <v>0</v>
      </c>
      <c r="M185">
        <v>45</v>
      </c>
      <c r="N185">
        <v>1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>
        <v>40</v>
      </c>
      <c r="W185" s="9">
        <v>0</v>
      </c>
      <c r="X185" s="9">
        <v>0</v>
      </c>
      <c r="Y185" s="10">
        <v>0</v>
      </c>
      <c r="Z185" t="s">
        <v>909</v>
      </c>
      <c r="AA185" t="s">
        <v>903</v>
      </c>
      <c r="AB185" s="2" t="s">
        <v>921</v>
      </c>
      <c r="AC185" s="9" t="s">
        <v>987</v>
      </c>
      <c r="AD185" s="9" t="s">
        <v>988</v>
      </c>
      <c r="AE185" s="10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85" s="2" t="b">
        <v>0</v>
      </c>
      <c r="AY185"/>
      <c r="AZ185"/>
      <c r="BA185"/>
    </row>
    <row r="186" spans="1:53">
      <c r="A186" s="2" t="s">
        <v>209</v>
      </c>
      <c r="B186">
        <v>1953</v>
      </c>
      <c r="C186">
        <v>0</v>
      </c>
      <c r="D186" t="s">
        <v>1880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>
        <v>5</v>
      </c>
      <c r="K186" s="2" t="s">
        <v>19</v>
      </c>
      <c r="L186">
        <f>_xlfn.XLOOKUP("LOADINGSPEEDDEF_"&amp;PROPERTIES[[#This Row],[LOADINGSPEED]],LOADINGSPEEDDEF[TYPE],LOADINGSPEEDDEF[SPEED])</f>
        <v>0</v>
      </c>
      <c r="M186">
        <v>45</v>
      </c>
      <c r="N186">
        <v>1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>
        <v>40</v>
      </c>
      <c r="W186" s="9">
        <v>0</v>
      </c>
      <c r="X186" s="9">
        <v>0</v>
      </c>
      <c r="Y186" s="10">
        <v>0</v>
      </c>
      <c r="Z186" t="s">
        <v>907</v>
      </c>
      <c r="AA186" t="s">
        <v>903</v>
      </c>
      <c r="AB186" s="2" t="s">
        <v>921</v>
      </c>
      <c r="AC186" s="9" t="s">
        <v>987</v>
      </c>
      <c r="AD186" s="9" t="s">
        <v>988</v>
      </c>
      <c r="AE186" s="10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6" s="2" t="b">
        <v>0</v>
      </c>
      <c r="AY186"/>
      <c r="AZ186"/>
      <c r="BA186"/>
    </row>
    <row r="187" spans="1:53">
      <c r="A187" s="2" t="s">
        <v>210</v>
      </c>
      <c r="B187">
        <v>1954</v>
      </c>
      <c r="C187">
        <v>0</v>
      </c>
      <c r="D187" t="s">
        <v>1762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>
        <v>5</v>
      </c>
      <c r="K187" s="2" t="s">
        <v>19</v>
      </c>
      <c r="L187">
        <f>_xlfn.XLOOKUP("LOADINGSPEEDDEF_"&amp;PROPERTIES[[#This Row],[LOADINGSPEED]],LOADINGSPEEDDEF[TYPE],LOADINGSPEEDDEF[SPEED])</f>
        <v>0</v>
      </c>
      <c r="M187">
        <v>45</v>
      </c>
      <c r="N187">
        <v>1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>
        <v>40</v>
      </c>
      <c r="W187" s="9">
        <v>0</v>
      </c>
      <c r="X187" s="9">
        <v>0</v>
      </c>
      <c r="Y187" s="10">
        <v>0</v>
      </c>
      <c r="Z187" t="s">
        <v>904</v>
      </c>
      <c r="AA187" t="s">
        <v>903</v>
      </c>
      <c r="AB187" s="2" t="s">
        <v>921</v>
      </c>
      <c r="AC187" s="9" t="s">
        <v>987</v>
      </c>
      <c r="AD187" s="9" t="s">
        <v>988</v>
      </c>
      <c r="AE187" s="10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7" s="2" t="b">
        <v>0</v>
      </c>
      <c r="AY187"/>
      <c r="AZ187"/>
      <c r="BA187"/>
    </row>
    <row r="188" spans="1:53">
      <c r="A188" s="2" t="s">
        <v>211</v>
      </c>
      <c r="B188">
        <v>1954</v>
      </c>
      <c r="C188">
        <v>0</v>
      </c>
      <c r="D188" t="s">
        <v>1788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>
        <v>6</v>
      </c>
      <c r="K188" s="2" t="s">
        <v>19</v>
      </c>
      <c r="L188">
        <f>_xlfn.XLOOKUP("LOADINGSPEEDDEF_"&amp;PROPERTIES[[#This Row],[LOADINGSPEED]],LOADINGSPEEDDEF[TYPE],LOADINGSPEEDDEF[SPEED])</f>
        <v>0</v>
      </c>
      <c r="M188">
        <v>45</v>
      </c>
      <c r="N188">
        <v>1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>
        <v>40</v>
      </c>
      <c r="W188" s="9">
        <v>0</v>
      </c>
      <c r="X188" s="9">
        <v>0</v>
      </c>
      <c r="Y188" s="10">
        <v>0</v>
      </c>
      <c r="Z188" t="s">
        <v>909</v>
      </c>
      <c r="AA188" t="s">
        <v>903</v>
      </c>
      <c r="AB188" s="2" t="s">
        <v>921</v>
      </c>
      <c r="AC188" s="9" t="s">
        <v>987</v>
      </c>
      <c r="AD188" s="9" t="s">
        <v>988</v>
      </c>
      <c r="AE188" s="10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8" s="2" t="b">
        <v>0</v>
      </c>
      <c r="AY188"/>
      <c r="AZ188"/>
      <c r="BA188"/>
    </row>
    <row r="189" spans="1:53">
      <c r="A189" s="2" t="s">
        <v>212</v>
      </c>
      <c r="B189">
        <v>1954</v>
      </c>
      <c r="C189">
        <v>0</v>
      </c>
      <c r="D189" t="s">
        <v>1788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>
        <v>8</v>
      </c>
      <c r="K189" s="2" t="s">
        <v>19</v>
      </c>
      <c r="L189">
        <f>_xlfn.XLOOKUP("LOADINGSPEEDDEF_"&amp;PROPERTIES[[#This Row],[LOADINGSPEED]],LOADINGSPEEDDEF[TYPE],LOADINGSPEEDDEF[SPEED])</f>
        <v>0</v>
      </c>
      <c r="M189">
        <v>45</v>
      </c>
      <c r="N189">
        <v>1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>
        <v>40</v>
      </c>
      <c r="W189" s="9">
        <v>0</v>
      </c>
      <c r="X189" s="9">
        <v>0</v>
      </c>
      <c r="Y189" s="10">
        <v>55</v>
      </c>
      <c r="Z189" t="s">
        <v>909</v>
      </c>
      <c r="AA189" t="s">
        <v>903</v>
      </c>
      <c r="AB189" s="2" t="s">
        <v>921</v>
      </c>
      <c r="AC189" s="9" t="s">
        <v>987</v>
      </c>
      <c r="AD189" s="9" t="s">
        <v>988</v>
      </c>
      <c r="AE189" s="10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9" s="2" t="b">
        <v>0</v>
      </c>
      <c r="AY189"/>
      <c r="AZ189"/>
      <c r="BA189"/>
    </row>
    <row r="190" spans="1:53">
      <c r="A190" s="2" t="s">
        <v>213</v>
      </c>
      <c r="B190">
        <v>1954</v>
      </c>
      <c r="C190">
        <v>0</v>
      </c>
      <c r="D190" t="s">
        <v>1849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>
        <v>6</v>
      </c>
      <c r="K190" s="2" t="s">
        <v>19</v>
      </c>
      <c r="L190">
        <f>_xlfn.XLOOKUP("LOADINGSPEEDDEF_"&amp;PROPERTIES[[#This Row],[LOADINGSPEED]],LOADINGSPEEDDEF[TYPE],LOADINGSPEEDDEF[SPEED])</f>
        <v>0</v>
      </c>
      <c r="M190">
        <v>45</v>
      </c>
      <c r="N190"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>
        <v>40</v>
      </c>
      <c r="W190" s="9">
        <v>0</v>
      </c>
      <c r="X190" s="9">
        <v>0</v>
      </c>
      <c r="Y190" s="10">
        <v>0</v>
      </c>
      <c r="Z190" t="s">
        <v>910</v>
      </c>
      <c r="AA190" t="s">
        <v>903</v>
      </c>
      <c r="AB190" s="2" t="s">
        <v>921</v>
      </c>
      <c r="AC190" s="9" t="s">
        <v>987</v>
      </c>
      <c r="AD190" s="9" t="s">
        <v>988</v>
      </c>
      <c r="AE190" s="10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0" s="2" t="b">
        <v>0</v>
      </c>
      <c r="AY190"/>
      <c r="AZ190"/>
      <c r="BA190"/>
    </row>
    <row r="191" spans="1:53">
      <c r="A191" s="2" t="s">
        <v>214</v>
      </c>
      <c r="B191">
        <v>1955</v>
      </c>
      <c r="C191">
        <v>0</v>
      </c>
      <c r="D191" t="s">
        <v>1849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>
        <v>4</v>
      </c>
      <c r="K191" s="2" t="s">
        <v>19</v>
      </c>
      <c r="L191">
        <f>_xlfn.XLOOKUP("LOADINGSPEEDDEF_"&amp;PROPERTIES[[#This Row],[LOADINGSPEED]],LOADINGSPEEDDEF[TYPE],LOADINGSPEEDDEF[SPEED])</f>
        <v>0</v>
      </c>
      <c r="M191">
        <v>45</v>
      </c>
      <c r="N191"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>
        <v>40</v>
      </c>
      <c r="W191" s="9">
        <v>0</v>
      </c>
      <c r="X191" s="9">
        <v>0</v>
      </c>
      <c r="Y191" s="10">
        <v>0</v>
      </c>
      <c r="Z191" t="s">
        <v>910</v>
      </c>
      <c r="AA191" t="s">
        <v>903</v>
      </c>
      <c r="AB191" s="2" t="s">
        <v>921</v>
      </c>
      <c r="AC191" s="9" t="s">
        <v>987</v>
      </c>
      <c r="AD191" s="9" t="s">
        <v>988</v>
      </c>
      <c r="AE191" s="10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91" s="2" t="b">
        <v>0</v>
      </c>
      <c r="AY191"/>
      <c r="AZ191"/>
      <c r="BA191"/>
    </row>
    <row r="192" spans="1:53">
      <c r="A192" s="2" t="s">
        <v>215</v>
      </c>
      <c r="B192">
        <v>1956</v>
      </c>
      <c r="C192">
        <v>0</v>
      </c>
      <c r="D192" t="s">
        <v>1770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>
        <v>5</v>
      </c>
      <c r="K192" s="2" t="s">
        <v>19</v>
      </c>
      <c r="L192">
        <f>_xlfn.XLOOKUP("LOADINGSPEEDDEF_"&amp;PROPERTIES[[#This Row],[LOADINGSPEED]],LOADINGSPEEDDEF[TYPE],LOADINGSPEEDDEF[SPEED])</f>
        <v>0</v>
      </c>
      <c r="M192">
        <v>45</v>
      </c>
      <c r="N192">
        <v>1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>
        <v>40</v>
      </c>
      <c r="W192" s="9">
        <v>0</v>
      </c>
      <c r="X192" s="9">
        <v>0</v>
      </c>
      <c r="Y192" s="10">
        <v>0</v>
      </c>
      <c r="Z192" t="s">
        <v>904</v>
      </c>
      <c r="AA192" t="s">
        <v>903</v>
      </c>
      <c r="AB192" s="2" t="s">
        <v>921</v>
      </c>
      <c r="AC192" s="9" t="s">
        <v>987</v>
      </c>
      <c r="AD192" s="9" t="s">
        <v>988</v>
      </c>
      <c r="AE192" s="10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92" s="2" t="b">
        <v>0</v>
      </c>
      <c r="AY192"/>
      <c r="AZ192"/>
      <c r="BA192"/>
    </row>
    <row r="193" spans="1:53">
      <c r="A193" s="2" t="s">
        <v>216</v>
      </c>
      <c r="B193">
        <v>1956</v>
      </c>
      <c r="C193">
        <v>0</v>
      </c>
      <c r="D193" t="s">
        <v>1807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>
        <v>8</v>
      </c>
      <c r="K193" s="2" t="s">
        <v>19</v>
      </c>
      <c r="L193">
        <f>_xlfn.XLOOKUP("LOADINGSPEEDDEF_"&amp;PROPERTIES[[#This Row],[LOADINGSPEED]],LOADINGSPEEDDEF[TYPE],LOADINGSPEEDDEF[SPEED])</f>
        <v>0</v>
      </c>
      <c r="M193">
        <v>45</v>
      </c>
      <c r="N193">
        <v>1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>
        <v>40</v>
      </c>
      <c r="W193" s="9">
        <v>0</v>
      </c>
      <c r="X193" s="9">
        <v>0</v>
      </c>
      <c r="Y193" s="10">
        <v>0</v>
      </c>
      <c r="Z193" t="s">
        <v>904</v>
      </c>
      <c r="AA193" t="s">
        <v>903</v>
      </c>
      <c r="AB193" s="2" t="s">
        <v>921</v>
      </c>
      <c r="AC193" s="9" t="s">
        <v>987</v>
      </c>
      <c r="AD193" s="9" t="s">
        <v>988</v>
      </c>
      <c r="AE193" s="10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3" s="2" t="b">
        <v>0</v>
      </c>
      <c r="AY193"/>
      <c r="AZ193"/>
      <c r="BA193"/>
    </row>
    <row r="194" spans="1:53">
      <c r="A194" s="2" t="s">
        <v>217</v>
      </c>
      <c r="B194">
        <v>1956</v>
      </c>
      <c r="C194">
        <v>0</v>
      </c>
      <c r="D194" t="s">
        <v>1981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>
        <v>8</v>
      </c>
      <c r="K194" s="2" t="s">
        <v>19</v>
      </c>
      <c r="L194">
        <f>_xlfn.XLOOKUP("LOADINGSPEEDDEF_"&amp;PROPERTIES[[#This Row],[LOADINGSPEED]],LOADINGSPEEDDEF[TYPE],LOADINGSPEEDDEF[SPEED])</f>
        <v>0</v>
      </c>
      <c r="M194">
        <v>45</v>
      </c>
      <c r="N194">
        <v>1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>
        <v>40</v>
      </c>
      <c r="W194" s="9">
        <v>0</v>
      </c>
      <c r="X194" s="9">
        <v>0</v>
      </c>
      <c r="Y194" s="10">
        <v>0</v>
      </c>
      <c r="Z194" t="s">
        <v>909</v>
      </c>
      <c r="AA194" t="s">
        <v>903</v>
      </c>
      <c r="AB194" s="2" t="s">
        <v>921</v>
      </c>
      <c r="AC194" s="9" t="s">
        <v>987</v>
      </c>
      <c r="AD194" s="9" t="s">
        <v>988</v>
      </c>
      <c r="AE194" s="10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4" s="2" t="b">
        <v>0</v>
      </c>
      <c r="AY194"/>
      <c r="AZ194"/>
      <c r="BA194"/>
    </row>
    <row r="195" spans="1:53">
      <c r="A195" s="2" t="s">
        <v>218</v>
      </c>
      <c r="B195">
        <v>1958</v>
      </c>
      <c r="C195">
        <v>0</v>
      </c>
      <c r="D195" t="s">
        <v>1806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>
        <v>6</v>
      </c>
      <c r="K195" s="2" t="s">
        <v>19</v>
      </c>
      <c r="L195">
        <f>_xlfn.XLOOKUP("LOADINGSPEEDDEF_"&amp;PROPERTIES[[#This Row],[LOADINGSPEED]],LOADINGSPEEDDEF[TYPE],LOADINGSPEEDDEF[SPEED])</f>
        <v>0</v>
      </c>
      <c r="M195">
        <v>45</v>
      </c>
      <c r="N195"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>
        <v>40</v>
      </c>
      <c r="W195" s="9">
        <v>0</v>
      </c>
      <c r="X195" s="9">
        <v>0</v>
      </c>
      <c r="Y195" s="10">
        <v>0</v>
      </c>
      <c r="Z195" t="s">
        <v>910</v>
      </c>
      <c r="AA195" t="s">
        <v>903</v>
      </c>
      <c r="AB195" s="2" t="s">
        <v>921</v>
      </c>
      <c r="AC195" s="9" t="s">
        <v>987</v>
      </c>
      <c r="AD195" s="9" t="s">
        <v>988</v>
      </c>
      <c r="AE195" s="10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5" s="2" t="b">
        <v>0</v>
      </c>
      <c r="AY195"/>
      <c r="AZ195"/>
      <c r="BA195"/>
    </row>
    <row r="196" spans="1:53">
      <c r="A196" s="2" t="s">
        <v>219</v>
      </c>
      <c r="B196">
        <v>1959</v>
      </c>
      <c r="C196">
        <v>0</v>
      </c>
      <c r="D196" t="s">
        <v>1820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>
        <v>8</v>
      </c>
      <c r="K196" s="2" t="s">
        <v>19</v>
      </c>
      <c r="L196">
        <f>_xlfn.XLOOKUP("LOADINGSPEEDDEF_"&amp;PROPERTIES[[#This Row],[LOADINGSPEED]],LOADINGSPEEDDEF[TYPE],LOADINGSPEEDDEF[SPEED])</f>
        <v>0</v>
      </c>
      <c r="M196">
        <v>45</v>
      </c>
      <c r="N196">
        <v>1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>
        <v>40</v>
      </c>
      <c r="W196" s="9">
        <v>0</v>
      </c>
      <c r="X196" s="9">
        <v>0</v>
      </c>
      <c r="Y196" s="10">
        <v>0</v>
      </c>
      <c r="Z196" t="s">
        <v>908</v>
      </c>
      <c r="AA196" t="s">
        <v>903</v>
      </c>
      <c r="AB196" s="2" t="s">
        <v>921</v>
      </c>
      <c r="AC196" s="9" t="s">
        <v>987</v>
      </c>
      <c r="AD196" s="9" t="s">
        <v>988</v>
      </c>
      <c r="AE196" s="10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6" s="2" t="b">
        <v>0</v>
      </c>
      <c r="AY196"/>
      <c r="AZ196"/>
      <c r="BA196"/>
    </row>
    <row r="197" spans="1:53">
      <c r="A197" s="2" t="s">
        <v>220</v>
      </c>
      <c r="B197">
        <v>1959</v>
      </c>
      <c r="C197">
        <v>0</v>
      </c>
      <c r="D197" t="s">
        <v>1938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>
        <v>8</v>
      </c>
      <c r="K197" s="2" t="s">
        <v>19</v>
      </c>
      <c r="L197">
        <f>_xlfn.XLOOKUP("LOADINGSPEEDDEF_"&amp;PROPERTIES[[#This Row],[LOADINGSPEED]],LOADINGSPEEDDEF[TYPE],LOADINGSPEEDDEF[SPEED])</f>
        <v>0</v>
      </c>
      <c r="M197">
        <v>45</v>
      </c>
      <c r="N197"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>
        <v>40</v>
      </c>
      <c r="W197" s="9">
        <v>0</v>
      </c>
      <c r="X197" s="9">
        <v>0</v>
      </c>
      <c r="Y197" s="10">
        <v>0</v>
      </c>
      <c r="Z197" t="s">
        <v>910</v>
      </c>
      <c r="AA197" t="s">
        <v>903</v>
      </c>
      <c r="AB197" s="2" t="s">
        <v>921</v>
      </c>
      <c r="AC197" s="9" t="s">
        <v>987</v>
      </c>
      <c r="AD197" s="9" t="s">
        <v>988</v>
      </c>
      <c r="AE197" s="10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7" s="2" t="b">
        <v>0</v>
      </c>
      <c r="AY197"/>
      <c r="AZ197"/>
      <c r="BA197"/>
    </row>
    <row r="198" spans="1:53">
      <c r="A198" s="2" t="s">
        <v>221</v>
      </c>
      <c r="B198">
        <v>1960</v>
      </c>
      <c r="C198">
        <v>0</v>
      </c>
      <c r="D198" t="s">
        <v>1781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>
        <v>5</v>
      </c>
      <c r="K198" s="2" t="s">
        <v>19</v>
      </c>
      <c r="L198">
        <f>_xlfn.XLOOKUP("LOADINGSPEEDDEF_"&amp;PROPERTIES[[#This Row],[LOADINGSPEED]],LOADINGSPEEDDEF[TYPE],LOADINGSPEEDDEF[SPEED])</f>
        <v>0</v>
      </c>
      <c r="M198">
        <v>45</v>
      </c>
      <c r="N198">
        <v>1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>
        <v>40</v>
      </c>
      <c r="W198" s="9">
        <v>0</v>
      </c>
      <c r="X198" s="9">
        <v>0</v>
      </c>
      <c r="Y198" s="10">
        <v>0</v>
      </c>
      <c r="Z198" t="s">
        <v>911</v>
      </c>
      <c r="AA198" t="s">
        <v>903</v>
      </c>
      <c r="AB198" s="2" t="s">
        <v>921</v>
      </c>
      <c r="AC198" s="9" t="s">
        <v>987</v>
      </c>
      <c r="AD198" s="9" t="s">
        <v>988</v>
      </c>
      <c r="AE198" s="10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8" s="2" t="b">
        <v>0</v>
      </c>
      <c r="AY198"/>
      <c r="AZ198"/>
      <c r="BA198"/>
    </row>
    <row r="199" spans="1:53">
      <c r="A199" s="2" t="s">
        <v>222</v>
      </c>
      <c r="B199">
        <v>1960</v>
      </c>
      <c r="C199">
        <v>0</v>
      </c>
      <c r="D199" t="s">
        <v>1781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>
        <v>8</v>
      </c>
      <c r="K199" s="2" t="s">
        <v>19</v>
      </c>
      <c r="L199">
        <f>_xlfn.XLOOKUP("LOADINGSPEEDDEF_"&amp;PROPERTIES[[#This Row],[LOADINGSPEED]],LOADINGSPEEDDEF[TYPE],LOADINGSPEEDDEF[SPEED])</f>
        <v>0</v>
      </c>
      <c r="M199">
        <v>45</v>
      </c>
      <c r="N199">
        <v>1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>
        <v>40</v>
      </c>
      <c r="W199" s="9">
        <v>0</v>
      </c>
      <c r="X199" s="9">
        <v>0</v>
      </c>
      <c r="Y199" s="10">
        <v>0</v>
      </c>
      <c r="Z199" t="s">
        <v>911</v>
      </c>
      <c r="AA199" t="s">
        <v>903</v>
      </c>
      <c r="AB199" s="2" t="s">
        <v>921</v>
      </c>
      <c r="AC199" s="9" t="s">
        <v>987</v>
      </c>
      <c r="AD199" s="9" t="s">
        <v>988</v>
      </c>
      <c r="AE199" s="10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99" s="2" t="b">
        <v>0</v>
      </c>
      <c r="AY199"/>
      <c r="AZ199"/>
      <c r="BA199"/>
    </row>
    <row r="200" spans="1:53">
      <c r="A200" s="2" t="s">
        <v>223</v>
      </c>
      <c r="B200">
        <v>1960</v>
      </c>
      <c r="C200">
        <v>0</v>
      </c>
      <c r="D200" t="s">
        <v>1940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>
        <v>8</v>
      </c>
      <c r="K200" s="2" t="s">
        <v>19</v>
      </c>
      <c r="L200">
        <f>_xlfn.XLOOKUP("LOADINGSPEEDDEF_"&amp;PROPERTIES[[#This Row],[LOADINGSPEED]],LOADINGSPEEDDEF[TYPE],LOADINGSPEEDDEF[SPEED])</f>
        <v>0</v>
      </c>
      <c r="M200">
        <v>45</v>
      </c>
      <c r="N200">
        <v>1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>
        <v>40</v>
      </c>
      <c r="W200" s="9">
        <v>0</v>
      </c>
      <c r="X200" s="9">
        <v>0</v>
      </c>
      <c r="Y200" s="10">
        <v>0</v>
      </c>
      <c r="Z200" t="s">
        <v>912</v>
      </c>
      <c r="AA200" t="s">
        <v>903</v>
      </c>
      <c r="AB200" s="2" t="s">
        <v>921</v>
      </c>
      <c r="AC200" s="9" t="s">
        <v>987</v>
      </c>
      <c r="AD200" s="9" t="s">
        <v>988</v>
      </c>
      <c r="AE200" s="10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00" s="2" t="b">
        <v>0</v>
      </c>
      <c r="AY200"/>
      <c r="AZ200"/>
      <c r="BA200"/>
    </row>
    <row r="201" spans="1:53">
      <c r="A201" s="2" t="s">
        <v>224</v>
      </c>
      <c r="B201">
        <v>1961</v>
      </c>
      <c r="C201">
        <v>0</v>
      </c>
      <c r="D201" t="s">
        <v>1770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>
        <v>8</v>
      </c>
      <c r="K201" s="2" t="s">
        <v>19</v>
      </c>
      <c r="L201">
        <f>_xlfn.XLOOKUP("LOADINGSPEEDDEF_"&amp;PROPERTIES[[#This Row],[LOADINGSPEED]],LOADINGSPEEDDEF[TYPE],LOADINGSPEEDDEF[SPEED])</f>
        <v>0</v>
      </c>
      <c r="M201">
        <v>45</v>
      </c>
      <c r="N201">
        <v>1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>
        <v>40</v>
      </c>
      <c r="W201" s="9">
        <v>0</v>
      </c>
      <c r="X201" s="9">
        <v>0</v>
      </c>
      <c r="Y201" s="10">
        <v>0</v>
      </c>
      <c r="Z201" t="s">
        <v>904</v>
      </c>
      <c r="AA201" t="s">
        <v>903</v>
      </c>
      <c r="AB201" s="2" t="s">
        <v>921</v>
      </c>
      <c r="AC201" s="9" t="s">
        <v>987</v>
      </c>
      <c r="AD201" s="9" t="s">
        <v>988</v>
      </c>
      <c r="AE201" s="10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1" s="2" t="b">
        <v>0</v>
      </c>
      <c r="AY201"/>
      <c r="AZ201"/>
      <c r="BA201"/>
    </row>
    <row r="202" spans="1:53">
      <c r="A202" s="2" t="s">
        <v>225</v>
      </c>
      <c r="B202">
        <v>1960</v>
      </c>
      <c r="C202">
        <v>0</v>
      </c>
      <c r="D202" t="s">
        <v>1809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>
        <v>7</v>
      </c>
      <c r="K202" s="2" t="s">
        <v>19</v>
      </c>
      <c r="L202">
        <f>_xlfn.XLOOKUP("LOADINGSPEEDDEF_"&amp;PROPERTIES[[#This Row],[LOADINGSPEED]],LOADINGSPEEDDEF[TYPE],LOADINGSPEEDDEF[SPEED])</f>
        <v>0</v>
      </c>
      <c r="M202">
        <v>45</v>
      </c>
      <c r="N202"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>
        <v>40</v>
      </c>
      <c r="W202" s="9">
        <v>0</v>
      </c>
      <c r="X202" s="9">
        <v>0</v>
      </c>
      <c r="Y202" s="10">
        <v>0</v>
      </c>
      <c r="Z202" t="s">
        <v>908</v>
      </c>
      <c r="AA202" t="s">
        <v>903</v>
      </c>
      <c r="AB202" s="2" t="s">
        <v>921</v>
      </c>
      <c r="AC202" s="9" t="s">
        <v>987</v>
      </c>
      <c r="AD202" s="9" t="s">
        <v>988</v>
      </c>
      <c r="AE202" s="10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02" s="2" t="b">
        <v>0</v>
      </c>
      <c r="AY202"/>
      <c r="AZ202"/>
      <c r="BA202"/>
    </row>
    <row r="203" spans="1:53">
      <c r="A203" s="2" t="s">
        <v>226</v>
      </c>
      <c r="B203">
        <v>1963</v>
      </c>
      <c r="C203">
        <v>0</v>
      </c>
      <c r="D203" t="s">
        <v>1854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>
        <v>7</v>
      </c>
      <c r="K203" s="2" t="s">
        <v>19</v>
      </c>
      <c r="L203">
        <f>_xlfn.XLOOKUP("LOADINGSPEEDDEF_"&amp;PROPERTIES[[#This Row],[LOADINGSPEED]],LOADINGSPEEDDEF[TYPE],LOADINGSPEEDDEF[SPEED])</f>
        <v>0</v>
      </c>
      <c r="M203">
        <v>45</v>
      </c>
      <c r="N203">
        <v>1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>
        <v>40</v>
      </c>
      <c r="W203" s="9">
        <v>0</v>
      </c>
      <c r="X203" s="9">
        <v>0</v>
      </c>
      <c r="Y203" s="10">
        <v>0</v>
      </c>
      <c r="Z203" t="s">
        <v>912</v>
      </c>
      <c r="AA203" t="s">
        <v>903</v>
      </c>
      <c r="AB203" s="2" t="s">
        <v>921</v>
      </c>
      <c r="AC203" s="9" t="s">
        <v>987</v>
      </c>
      <c r="AD203" s="9" t="s">
        <v>988</v>
      </c>
      <c r="AE203" s="10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3" s="2" t="b">
        <v>0</v>
      </c>
      <c r="AY203"/>
      <c r="AZ203"/>
      <c r="BA203"/>
    </row>
    <row r="204" spans="1:53">
      <c r="A204" s="2" t="s">
        <v>227</v>
      </c>
      <c r="B204">
        <v>1964</v>
      </c>
      <c r="C204">
        <v>0</v>
      </c>
      <c r="D204" t="s">
        <v>1826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>
        <v>6</v>
      </c>
      <c r="K204" s="2" t="s">
        <v>19</v>
      </c>
      <c r="L204">
        <f>_xlfn.XLOOKUP("LOADINGSPEEDDEF_"&amp;PROPERTIES[[#This Row],[LOADINGSPEED]],LOADINGSPEEDDEF[TYPE],LOADINGSPEEDDEF[SPEED])</f>
        <v>0</v>
      </c>
      <c r="M204">
        <v>45</v>
      </c>
      <c r="N204"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>
        <v>40</v>
      </c>
      <c r="W204" s="9">
        <v>0</v>
      </c>
      <c r="X204" s="9">
        <v>0</v>
      </c>
      <c r="Y204" s="10">
        <v>0</v>
      </c>
      <c r="Z204" t="s">
        <v>908</v>
      </c>
      <c r="AA204" t="s">
        <v>903</v>
      </c>
      <c r="AB204" s="2" t="s">
        <v>921</v>
      </c>
      <c r="AC204" s="9" t="s">
        <v>987</v>
      </c>
      <c r="AD204" s="9" t="s">
        <v>988</v>
      </c>
      <c r="AE204" s="10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4" s="2" t="b">
        <v>0</v>
      </c>
      <c r="AY204"/>
      <c r="AZ204"/>
      <c r="BA204"/>
    </row>
    <row r="205" spans="1:53">
      <c r="A205" s="2" t="s">
        <v>228</v>
      </c>
      <c r="B205">
        <v>1964</v>
      </c>
      <c r="C205">
        <v>0</v>
      </c>
      <c r="D205" t="s">
        <v>1940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>
        <v>8</v>
      </c>
      <c r="K205" s="2" t="s">
        <v>19</v>
      </c>
      <c r="L205">
        <f>_xlfn.XLOOKUP("LOADINGSPEEDDEF_"&amp;PROPERTIES[[#This Row],[LOADINGSPEED]],LOADINGSPEEDDEF[TYPE],LOADINGSPEEDDEF[SPEED])</f>
        <v>0</v>
      </c>
      <c r="M205">
        <v>45</v>
      </c>
      <c r="N205">
        <v>1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>
        <v>40</v>
      </c>
      <c r="W205" s="9">
        <v>0</v>
      </c>
      <c r="X205" s="9">
        <v>0</v>
      </c>
      <c r="Y205" s="10">
        <v>0</v>
      </c>
      <c r="Z205" t="s">
        <v>912</v>
      </c>
      <c r="AA205" t="s">
        <v>903</v>
      </c>
      <c r="AB205" s="2" t="s">
        <v>921</v>
      </c>
      <c r="AC205" s="9" t="s">
        <v>987</v>
      </c>
      <c r="AD205" s="9" t="s">
        <v>988</v>
      </c>
      <c r="AE205" s="10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5" s="2" t="b">
        <v>0</v>
      </c>
      <c r="AY205"/>
      <c r="AZ205"/>
      <c r="BA205"/>
    </row>
    <row r="206" spans="1:53">
      <c r="A206" s="2" t="s">
        <v>229</v>
      </c>
      <c r="B206">
        <v>1984</v>
      </c>
      <c r="C206">
        <v>0</v>
      </c>
      <c r="D206" t="s">
        <v>1760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>
        <v>8</v>
      </c>
      <c r="K206" s="2" t="s">
        <v>19</v>
      </c>
      <c r="L206">
        <f>_xlfn.XLOOKUP("LOADINGSPEEDDEF_"&amp;PROPERTIES[[#This Row],[LOADINGSPEED]],LOADINGSPEEDDEF[TYPE],LOADINGSPEEDDEF[SPEED])</f>
        <v>0</v>
      </c>
      <c r="M206">
        <v>45</v>
      </c>
      <c r="N206">
        <v>1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>
        <v>40</v>
      </c>
      <c r="W206" s="9">
        <v>0</v>
      </c>
      <c r="X206" s="9">
        <v>0</v>
      </c>
      <c r="Y206" s="10">
        <v>0</v>
      </c>
      <c r="Z206" t="s">
        <v>911</v>
      </c>
      <c r="AA206" t="s">
        <v>903</v>
      </c>
      <c r="AB206" s="2" t="s">
        <v>921</v>
      </c>
      <c r="AC206" s="9" t="s">
        <v>987</v>
      </c>
      <c r="AD206" s="9" t="s">
        <v>988</v>
      </c>
      <c r="AE206" s="10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6" s="2" t="b">
        <v>0</v>
      </c>
      <c r="AY206"/>
      <c r="AZ206"/>
      <c r="BA206"/>
    </row>
    <row r="207" spans="1:53">
      <c r="A207" s="2" t="s">
        <v>230</v>
      </c>
      <c r="B207">
        <v>1965</v>
      </c>
      <c r="C207">
        <v>0</v>
      </c>
      <c r="D207" t="s">
        <v>1940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>
        <v>8</v>
      </c>
      <c r="K207" s="2" t="s">
        <v>19</v>
      </c>
      <c r="L207">
        <f>_xlfn.XLOOKUP("LOADINGSPEEDDEF_"&amp;PROPERTIES[[#This Row],[LOADINGSPEED]],LOADINGSPEEDDEF[TYPE],LOADINGSPEEDDEF[SPEED])</f>
        <v>0</v>
      </c>
      <c r="M207">
        <v>45</v>
      </c>
      <c r="N207">
        <v>1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>
        <v>40</v>
      </c>
      <c r="W207" s="9">
        <v>0</v>
      </c>
      <c r="X207" s="9">
        <v>0</v>
      </c>
      <c r="Y207" s="10">
        <v>0</v>
      </c>
      <c r="Z207" t="s">
        <v>912</v>
      </c>
      <c r="AA207" t="s">
        <v>903</v>
      </c>
      <c r="AB207" s="2" t="s">
        <v>921</v>
      </c>
      <c r="AC207" s="9" t="s">
        <v>987</v>
      </c>
      <c r="AD207" s="9" t="s">
        <v>988</v>
      </c>
      <c r="AE207" s="10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7" s="2" t="b">
        <v>0</v>
      </c>
      <c r="AY207"/>
      <c r="AZ207"/>
      <c r="BA207"/>
    </row>
    <row r="208" spans="1:53">
      <c r="A208" s="2" t="s">
        <v>231</v>
      </c>
      <c r="B208">
        <v>1969</v>
      </c>
      <c r="C208">
        <v>0</v>
      </c>
      <c r="D208" t="s">
        <v>1763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>
        <v>8</v>
      </c>
      <c r="K208" s="2" t="s">
        <v>19</v>
      </c>
      <c r="L208">
        <f>_xlfn.XLOOKUP("LOADINGSPEEDDEF_"&amp;PROPERTIES[[#This Row],[LOADINGSPEED]],LOADINGSPEEDDEF[TYPE],LOADINGSPEEDDEF[SPEED])</f>
        <v>0</v>
      </c>
      <c r="M208">
        <v>45</v>
      </c>
      <c r="N208">
        <v>1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>
        <v>40</v>
      </c>
      <c r="W208" s="9">
        <v>0</v>
      </c>
      <c r="X208" s="9">
        <v>0</v>
      </c>
      <c r="Y208" s="10">
        <v>0</v>
      </c>
      <c r="Z208" t="s">
        <v>906</v>
      </c>
      <c r="AA208" t="s">
        <v>903</v>
      </c>
      <c r="AB208" s="2" t="s">
        <v>921</v>
      </c>
      <c r="AC208" s="9" t="s">
        <v>987</v>
      </c>
      <c r="AD208" s="9" t="s">
        <v>988</v>
      </c>
      <c r="AE208" s="10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8" s="2" t="b">
        <v>0</v>
      </c>
      <c r="AY208"/>
      <c r="AZ208"/>
      <c r="BA208"/>
    </row>
    <row r="209" spans="1:53">
      <c r="A209" s="2" t="s">
        <v>232</v>
      </c>
      <c r="B209">
        <v>1969</v>
      </c>
      <c r="C209">
        <v>0</v>
      </c>
      <c r="D209" t="s">
        <v>1815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>
        <v>8</v>
      </c>
      <c r="K209" s="2" t="s">
        <v>19</v>
      </c>
      <c r="L209">
        <f>_xlfn.XLOOKUP("LOADINGSPEEDDEF_"&amp;PROPERTIES[[#This Row],[LOADINGSPEED]],LOADINGSPEEDDEF[TYPE],LOADINGSPEEDDEF[SPEED])</f>
        <v>0</v>
      </c>
      <c r="M209">
        <v>45</v>
      </c>
      <c r="N209">
        <v>1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>
        <v>40</v>
      </c>
      <c r="W209" s="9">
        <v>0</v>
      </c>
      <c r="X209" s="9">
        <v>0</v>
      </c>
      <c r="Y209" s="10">
        <v>0</v>
      </c>
      <c r="Z209" t="s">
        <v>907</v>
      </c>
      <c r="AA209" t="s">
        <v>903</v>
      </c>
      <c r="AB209" s="2" t="s">
        <v>921</v>
      </c>
      <c r="AC209" s="9" t="s">
        <v>987</v>
      </c>
      <c r="AD209" s="9" t="s">
        <v>988</v>
      </c>
      <c r="AE209" s="10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9" s="2" t="b">
        <v>0</v>
      </c>
      <c r="AY209"/>
      <c r="AZ209"/>
      <c r="BA209"/>
    </row>
    <row r="210" spans="1:53">
      <c r="A210" s="2" t="s">
        <v>233</v>
      </c>
      <c r="B210">
        <v>1969</v>
      </c>
      <c r="C210">
        <v>0</v>
      </c>
      <c r="D210" t="s">
        <v>1981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>
        <v>4</v>
      </c>
      <c r="K210" s="2" t="s">
        <v>19</v>
      </c>
      <c r="L210">
        <f>_xlfn.XLOOKUP("LOADINGSPEEDDEF_"&amp;PROPERTIES[[#This Row],[LOADINGSPEED]],LOADINGSPEEDDEF[TYPE],LOADINGSPEEDDEF[SPEED])</f>
        <v>0</v>
      </c>
      <c r="M210">
        <v>45</v>
      </c>
      <c r="N210">
        <v>1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>
        <v>40</v>
      </c>
      <c r="W210" s="9">
        <v>0</v>
      </c>
      <c r="X210" s="9">
        <v>2</v>
      </c>
      <c r="Y210" s="10">
        <v>0</v>
      </c>
      <c r="Z210" t="s">
        <v>909</v>
      </c>
      <c r="AA210" t="s">
        <v>903</v>
      </c>
      <c r="AB210" s="2" t="s">
        <v>921</v>
      </c>
      <c r="AC210" s="9" t="s">
        <v>987</v>
      </c>
      <c r="AD210" s="9" t="s">
        <v>988</v>
      </c>
      <c r="AE210" s="10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0" s="2" t="b">
        <v>0</v>
      </c>
      <c r="AY210"/>
      <c r="AZ210"/>
      <c r="BA210"/>
    </row>
    <row r="211" spans="1:53">
      <c r="A211" s="2" t="s">
        <v>234</v>
      </c>
      <c r="B211">
        <v>1970</v>
      </c>
      <c r="C211">
        <v>0</v>
      </c>
      <c r="D211" t="s">
        <v>1763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>
        <v>8</v>
      </c>
      <c r="K211" s="2" t="s">
        <v>19</v>
      </c>
      <c r="L211">
        <f>_xlfn.XLOOKUP("LOADINGSPEEDDEF_"&amp;PROPERTIES[[#This Row],[LOADINGSPEED]],LOADINGSPEEDDEF[TYPE],LOADINGSPEEDDEF[SPEED])</f>
        <v>0</v>
      </c>
      <c r="M211">
        <v>45</v>
      </c>
      <c r="N211">
        <v>1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>
        <v>40</v>
      </c>
      <c r="W211" s="9">
        <v>0</v>
      </c>
      <c r="X211" s="9">
        <v>0</v>
      </c>
      <c r="Y211" s="10">
        <v>0</v>
      </c>
      <c r="Z211" t="s">
        <v>906</v>
      </c>
      <c r="AA211" t="s">
        <v>903</v>
      </c>
      <c r="AB211" s="2" t="s">
        <v>921</v>
      </c>
      <c r="AC211" s="9" t="s">
        <v>987</v>
      </c>
      <c r="AD211" s="9" t="s">
        <v>988</v>
      </c>
      <c r="AE211" s="10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1" s="2" t="b">
        <v>0</v>
      </c>
      <c r="AY211"/>
      <c r="AZ211"/>
      <c r="BA211"/>
    </row>
    <row r="212" spans="1:53">
      <c r="A212" s="2" t="s">
        <v>235</v>
      </c>
      <c r="B212">
        <v>1972</v>
      </c>
      <c r="C212">
        <v>0</v>
      </c>
      <c r="D212" t="s">
        <v>1847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>
        <v>8</v>
      </c>
      <c r="K212" s="2" t="s">
        <v>19</v>
      </c>
      <c r="L212">
        <f>_xlfn.XLOOKUP("LOADINGSPEEDDEF_"&amp;PROPERTIES[[#This Row],[LOADINGSPEED]],LOADINGSPEEDDEF[TYPE],LOADINGSPEEDDEF[SPEED])</f>
        <v>0</v>
      </c>
      <c r="M212">
        <v>45</v>
      </c>
      <c r="N212">
        <v>1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>
        <v>40</v>
      </c>
      <c r="W212" s="9">
        <v>0</v>
      </c>
      <c r="X212" s="9">
        <v>0</v>
      </c>
      <c r="Y212" s="10">
        <v>0</v>
      </c>
      <c r="Z212" t="s">
        <v>910</v>
      </c>
      <c r="AA212" t="s">
        <v>903</v>
      </c>
      <c r="AB212" s="2" t="s">
        <v>921</v>
      </c>
      <c r="AC212" s="9" t="s">
        <v>987</v>
      </c>
      <c r="AD212" s="9" t="s">
        <v>988</v>
      </c>
      <c r="AE212" s="10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2" s="2" t="b">
        <v>0</v>
      </c>
      <c r="AY212"/>
      <c r="AZ212"/>
      <c r="BA212"/>
    </row>
    <row r="213" spans="1:53">
      <c r="A213" s="2" t="s">
        <v>236</v>
      </c>
      <c r="B213">
        <v>1972</v>
      </c>
      <c r="C213">
        <v>0</v>
      </c>
      <c r="D213" t="s">
        <v>1946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>
        <v>6</v>
      </c>
      <c r="K213" s="2" t="s">
        <v>19</v>
      </c>
      <c r="L213">
        <f>_xlfn.XLOOKUP("LOADINGSPEEDDEF_"&amp;PROPERTIES[[#This Row],[LOADINGSPEED]],LOADINGSPEEDDEF[TYPE],LOADINGSPEEDDEF[SPEED])</f>
        <v>0</v>
      </c>
      <c r="M213">
        <v>45</v>
      </c>
      <c r="N213"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>
        <v>40</v>
      </c>
      <c r="W213" s="9">
        <v>0</v>
      </c>
      <c r="X213" s="9">
        <v>0</v>
      </c>
      <c r="Y213" s="10">
        <v>0</v>
      </c>
      <c r="Z213" t="s">
        <v>908</v>
      </c>
      <c r="AA213" t="s">
        <v>903</v>
      </c>
      <c r="AB213" s="2" t="s">
        <v>921</v>
      </c>
      <c r="AC213" s="9" t="s">
        <v>987</v>
      </c>
      <c r="AD213" s="9" t="s">
        <v>988</v>
      </c>
      <c r="AE213" s="10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3" s="2" t="b">
        <v>0</v>
      </c>
      <c r="AY213"/>
      <c r="AZ213"/>
      <c r="BA213"/>
    </row>
    <row r="214" spans="1:53">
      <c r="A214" s="2" t="s">
        <v>237</v>
      </c>
      <c r="B214">
        <v>1973</v>
      </c>
      <c r="C214">
        <v>0</v>
      </c>
      <c r="D214" t="s">
        <v>1788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>
        <v>8</v>
      </c>
      <c r="K214" s="2" t="s">
        <v>19</v>
      </c>
      <c r="L214">
        <f>_xlfn.XLOOKUP("LOADINGSPEEDDEF_"&amp;PROPERTIES[[#This Row],[LOADINGSPEED]],LOADINGSPEEDDEF[TYPE],LOADINGSPEEDDEF[SPEED])</f>
        <v>0</v>
      </c>
      <c r="M214">
        <v>45</v>
      </c>
      <c r="N214">
        <v>1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>
        <v>40</v>
      </c>
      <c r="W214" s="9">
        <v>0</v>
      </c>
      <c r="X214" s="9">
        <v>0</v>
      </c>
      <c r="Y214" s="10">
        <v>0</v>
      </c>
      <c r="Z214" t="s">
        <v>909</v>
      </c>
      <c r="AA214" t="s">
        <v>903</v>
      </c>
      <c r="AB214" s="2" t="s">
        <v>921</v>
      </c>
      <c r="AC214" s="9" t="s">
        <v>987</v>
      </c>
      <c r="AD214" s="9" t="s">
        <v>988</v>
      </c>
      <c r="AE214" s="10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4" s="2" t="b">
        <v>0</v>
      </c>
      <c r="AY214"/>
      <c r="AZ214"/>
      <c r="BA214"/>
    </row>
    <row r="215" spans="1:53">
      <c r="A215" s="2" t="s">
        <v>927</v>
      </c>
      <c r="B215">
        <v>1973</v>
      </c>
      <c r="C215">
        <v>0</v>
      </c>
      <c r="D215" t="s">
        <v>1981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>
        <v>8</v>
      </c>
      <c r="K215" s="2" t="s">
        <v>19</v>
      </c>
      <c r="L215">
        <f>_xlfn.XLOOKUP("LOADINGSPEEDDEF_"&amp;PROPERTIES[[#This Row],[LOADINGSPEED]],LOADINGSPEEDDEF[TYPE],LOADINGSPEEDDEF[SPEED])</f>
        <v>0</v>
      </c>
      <c r="M215">
        <v>45</v>
      </c>
      <c r="N215">
        <v>1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>
        <v>40</v>
      </c>
      <c r="W215" s="9">
        <v>0</v>
      </c>
      <c r="X215" s="9">
        <v>0</v>
      </c>
      <c r="Y215" s="10">
        <v>0</v>
      </c>
      <c r="Z215" t="s">
        <v>909</v>
      </c>
      <c r="AA215" t="s">
        <v>903</v>
      </c>
      <c r="AB215" s="2" t="s">
        <v>921</v>
      </c>
      <c r="AC215" s="9" t="s">
        <v>987</v>
      </c>
      <c r="AD215" s="9" t="s">
        <v>988</v>
      </c>
      <c r="AE215" s="10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5" s="2" t="b">
        <v>0</v>
      </c>
      <c r="AY215"/>
      <c r="AZ215"/>
      <c r="BA215"/>
    </row>
    <row r="216" spans="1:53">
      <c r="A216" s="2" t="s">
        <v>238</v>
      </c>
      <c r="B216">
        <v>1976</v>
      </c>
      <c r="C216">
        <v>0</v>
      </c>
      <c r="D216" t="s">
        <v>1798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>
        <v>8</v>
      </c>
      <c r="K216" s="2" t="s">
        <v>19</v>
      </c>
      <c r="L216">
        <f>_xlfn.XLOOKUP("LOADINGSPEEDDEF_"&amp;PROPERTIES[[#This Row],[LOADINGSPEED]],LOADINGSPEEDDEF[TYPE],LOADINGSPEEDDEF[SPEED])</f>
        <v>0</v>
      </c>
      <c r="M216">
        <v>45</v>
      </c>
      <c r="N216">
        <v>1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>
        <v>40</v>
      </c>
      <c r="W216" s="9">
        <v>0</v>
      </c>
      <c r="X216" s="9">
        <v>0</v>
      </c>
      <c r="Y216" s="10">
        <v>0</v>
      </c>
      <c r="Z216" t="s">
        <v>912</v>
      </c>
      <c r="AA216" t="s">
        <v>903</v>
      </c>
      <c r="AB216" s="2" t="s">
        <v>921</v>
      </c>
      <c r="AC216" s="9" t="s">
        <v>987</v>
      </c>
      <c r="AD216" s="9" t="s">
        <v>988</v>
      </c>
      <c r="AE216" s="10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6" s="2" t="b">
        <v>0</v>
      </c>
      <c r="AY216"/>
      <c r="AZ216"/>
      <c r="BA216"/>
    </row>
    <row r="217" spans="1:53">
      <c r="A217" s="2" t="s">
        <v>239</v>
      </c>
      <c r="B217">
        <v>2001</v>
      </c>
      <c r="C217">
        <v>0</v>
      </c>
      <c r="D217" t="s">
        <v>1922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>
        <v>7</v>
      </c>
      <c r="K217" s="2" t="s">
        <v>19</v>
      </c>
      <c r="L217">
        <f>_xlfn.XLOOKUP("LOADINGSPEEDDEF_"&amp;PROPERTIES[[#This Row],[LOADINGSPEED]],LOADINGSPEEDDEF[TYPE],LOADINGSPEEDDEF[SPEED])</f>
        <v>0</v>
      </c>
      <c r="M217">
        <v>45</v>
      </c>
      <c r="N217">
        <v>1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>
        <v>40</v>
      </c>
      <c r="W217" s="9">
        <v>0</v>
      </c>
      <c r="X217" s="9">
        <v>0</v>
      </c>
      <c r="Y217" s="10">
        <v>0</v>
      </c>
      <c r="Z217" t="s">
        <v>909</v>
      </c>
      <c r="AA217" t="s">
        <v>903</v>
      </c>
      <c r="AB217" s="2" t="s">
        <v>921</v>
      </c>
      <c r="AC217" s="9" t="s">
        <v>987</v>
      </c>
      <c r="AD217" s="9" t="s">
        <v>988</v>
      </c>
      <c r="AE217" s="10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17" s="2" t="b">
        <v>0</v>
      </c>
      <c r="AY217"/>
      <c r="AZ217"/>
      <c r="BA217"/>
    </row>
    <row r="218" spans="1:53">
      <c r="A218" s="2" t="s">
        <v>240</v>
      </c>
      <c r="B218">
        <v>1981</v>
      </c>
      <c r="C218">
        <v>0</v>
      </c>
      <c r="D218" t="s">
        <v>1933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>
        <v>8</v>
      </c>
      <c r="K218" s="2" t="s">
        <v>19</v>
      </c>
      <c r="L218">
        <f>_xlfn.XLOOKUP("LOADINGSPEEDDEF_"&amp;PROPERTIES[[#This Row],[LOADINGSPEED]],LOADINGSPEEDDEF[TYPE],LOADINGSPEEDDEF[SPEED])</f>
        <v>0</v>
      </c>
      <c r="M218">
        <v>45</v>
      </c>
      <c r="N218">
        <v>1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>
        <v>40</v>
      </c>
      <c r="W218" s="9">
        <v>0</v>
      </c>
      <c r="X218" s="9">
        <v>0</v>
      </c>
      <c r="Y218" s="10">
        <v>0</v>
      </c>
      <c r="Z218" t="s">
        <v>905</v>
      </c>
      <c r="AA218" t="s">
        <v>903</v>
      </c>
      <c r="AB218" s="2" t="s">
        <v>921</v>
      </c>
      <c r="AC218" s="9" t="s">
        <v>987</v>
      </c>
      <c r="AD218" s="9" t="s">
        <v>988</v>
      </c>
      <c r="AE218" s="10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8" s="2" t="b">
        <v>0</v>
      </c>
      <c r="AY218"/>
      <c r="AZ218"/>
      <c r="BA218"/>
    </row>
    <row r="219" spans="1:53">
      <c r="A219" s="2" t="s">
        <v>241</v>
      </c>
      <c r="B219">
        <v>1985</v>
      </c>
      <c r="C219">
        <v>0</v>
      </c>
      <c r="D219" t="s">
        <v>1820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>
        <v>8</v>
      </c>
      <c r="K219" s="2" t="s">
        <v>19</v>
      </c>
      <c r="L219">
        <f>_xlfn.XLOOKUP("LOADINGSPEEDDEF_"&amp;PROPERTIES[[#This Row],[LOADINGSPEED]],LOADINGSPEEDDEF[TYPE],LOADINGSPEEDDEF[SPEED])</f>
        <v>0</v>
      </c>
      <c r="M219">
        <v>45</v>
      </c>
      <c r="N219"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>
        <v>40</v>
      </c>
      <c r="W219" s="9">
        <v>0</v>
      </c>
      <c r="X219" s="9">
        <v>0</v>
      </c>
      <c r="Y219" s="10">
        <v>0</v>
      </c>
      <c r="Z219" t="s">
        <v>908</v>
      </c>
      <c r="AA219" t="s">
        <v>903</v>
      </c>
      <c r="AB219" s="2" t="s">
        <v>921</v>
      </c>
      <c r="AC219" s="9" t="s">
        <v>987</v>
      </c>
      <c r="AD219" s="9" t="s">
        <v>988</v>
      </c>
      <c r="AE219" s="10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9" s="2" t="b">
        <v>0</v>
      </c>
      <c r="AY219"/>
      <c r="AZ219"/>
      <c r="BA219"/>
    </row>
    <row r="220" spans="1:53">
      <c r="A220" s="2" t="s">
        <v>242</v>
      </c>
      <c r="B220">
        <v>1988</v>
      </c>
      <c r="C220">
        <v>0</v>
      </c>
      <c r="D220" t="s">
        <v>1940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>
        <v>8</v>
      </c>
      <c r="K220" s="2" t="s">
        <v>19</v>
      </c>
      <c r="L220">
        <f>_xlfn.XLOOKUP("LOADINGSPEEDDEF_"&amp;PROPERTIES[[#This Row],[LOADINGSPEED]],LOADINGSPEEDDEF[TYPE],LOADINGSPEEDDEF[SPEED])</f>
        <v>0</v>
      </c>
      <c r="M220" t="s">
        <v>20</v>
      </c>
      <c r="N220">
        <v>1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>
        <v>40</v>
      </c>
      <c r="W220" s="9">
        <v>0</v>
      </c>
      <c r="X220" s="9">
        <v>0</v>
      </c>
      <c r="Y220" s="10">
        <v>0</v>
      </c>
      <c r="Z220" t="s">
        <v>912</v>
      </c>
      <c r="AA220" t="s">
        <v>903</v>
      </c>
      <c r="AB220" s="2" t="s">
        <v>921</v>
      </c>
      <c r="AC220" s="9" t="s">
        <v>987</v>
      </c>
      <c r="AD220" s="9" t="s">
        <v>988</v>
      </c>
      <c r="AE220" s="10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0" s="2" t="b">
        <v>0</v>
      </c>
      <c r="AY220"/>
      <c r="AZ220"/>
      <c r="BA220"/>
    </row>
    <row r="221" spans="1:53">
      <c r="A221" s="2" t="s">
        <v>243</v>
      </c>
      <c r="B221">
        <v>1992</v>
      </c>
      <c r="C221">
        <v>0</v>
      </c>
      <c r="D221" t="s">
        <v>1763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>
        <v>8</v>
      </c>
      <c r="K221" s="2" t="s">
        <v>19</v>
      </c>
      <c r="L221">
        <f>_xlfn.XLOOKUP("LOADINGSPEEDDEF_"&amp;PROPERTIES[[#This Row],[LOADINGSPEED]],LOADINGSPEEDDEF[TYPE],LOADINGSPEEDDEF[SPEED])</f>
        <v>0</v>
      </c>
      <c r="M221">
        <v>45</v>
      </c>
      <c r="N221">
        <v>1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>
        <v>40</v>
      </c>
      <c r="W221" s="9">
        <v>0</v>
      </c>
      <c r="X221" s="9">
        <v>0</v>
      </c>
      <c r="Y221" s="10">
        <v>0</v>
      </c>
      <c r="Z221" t="s">
        <v>906</v>
      </c>
      <c r="AA221" t="s">
        <v>903</v>
      </c>
      <c r="AB221" s="2" t="s">
        <v>921</v>
      </c>
      <c r="AC221" s="9" t="s">
        <v>987</v>
      </c>
      <c r="AD221" s="9" t="s">
        <v>988</v>
      </c>
      <c r="AE221" s="10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1" s="2" t="b">
        <v>0</v>
      </c>
      <c r="AY221"/>
      <c r="AZ221"/>
      <c r="BA221"/>
    </row>
    <row r="222" spans="1:53">
      <c r="A222" s="2" t="s">
        <v>244</v>
      </c>
      <c r="B222">
        <v>1992</v>
      </c>
      <c r="C222">
        <v>0</v>
      </c>
      <c r="D222" t="s">
        <v>1981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>
        <v>8</v>
      </c>
      <c r="K222" s="2" t="s">
        <v>19</v>
      </c>
      <c r="L222">
        <f>_xlfn.XLOOKUP("LOADINGSPEEDDEF_"&amp;PROPERTIES[[#This Row],[LOADINGSPEED]],LOADINGSPEEDDEF[TYPE],LOADINGSPEEDDEF[SPEED])</f>
        <v>0</v>
      </c>
      <c r="M222" t="s">
        <v>20</v>
      </c>
      <c r="N222">
        <v>1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>
        <v>40</v>
      </c>
      <c r="W222" s="9">
        <v>0</v>
      </c>
      <c r="X222" s="9">
        <v>0</v>
      </c>
      <c r="Y222" s="10">
        <v>0</v>
      </c>
      <c r="Z222" t="s">
        <v>909</v>
      </c>
      <c r="AA222" t="s">
        <v>903</v>
      </c>
      <c r="AB222" s="2" t="s">
        <v>921</v>
      </c>
      <c r="AC222" s="9" t="s">
        <v>987</v>
      </c>
      <c r="AD222" s="9" t="s">
        <v>988</v>
      </c>
      <c r="AE222" s="10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2" s="2" t="b">
        <v>0</v>
      </c>
      <c r="AY222"/>
      <c r="AZ222"/>
      <c r="BA222"/>
    </row>
    <row r="223" spans="1:53">
      <c r="A223" s="2" t="s">
        <v>245</v>
      </c>
      <c r="B223">
        <v>1994</v>
      </c>
      <c r="C223">
        <v>0</v>
      </c>
      <c r="D223" t="s">
        <v>2252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>
        <v>6</v>
      </c>
      <c r="K223" s="2" t="s">
        <v>19</v>
      </c>
      <c r="L223">
        <f>_xlfn.XLOOKUP("LOADINGSPEEDDEF_"&amp;PROPERTIES[[#This Row],[LOADINGSPEED]],LOADINGSPEEDDEF[TYPE],LOADINGSPEEDDEF[SPEED])</f>
        <v>0</v>
      </c>
      <c r="M223">
        <v>45</v>
      </c>
      <c r="N223">
        <v>1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>
        <v>40</v>
      </c>
      <c r="W223" s="9">
        <v>0</v>
      </c>
      <c r="X223" s="9">
        <v>0</v>
      </c>
      <c r="Y223" s="10">
        <v>0</v>
      </c>
      <c r="Z223" t="s">
        <v>912</v>
      </c>
      <c r="AA223" t="s">
        <v>903</v>
      </c>
      <c r="AB223" s="2" t="s">
        <v>921</v>
      </c>
      <c r="AC223" s="9" t="s">
        <v>987</v>
      </c>
      <c r="AD223" s="9" t="s">
        <v>988</v>
      </c>
      <c r="AE223" s="10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23" s="2" t="b">
        <v>0</v>
      </c>
      <c r="AY223"/>
      <c r="AZ223"/>
      <c r="BA223"/>
    </row>
    <row r="224" spans="1:53">
      <c r="A224" s="2" t="s">
        <v>246</v>
      </c>
      <c r="B224">
        <v>1995</v>
      </c>
      <c r="C224">
        <v>0</v>
      </c>
      <c r="D224" t="s">
        <v>1760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>
        <v>8</v>
      </c>
      <c r="K224" s="2" t="s">
        <v>19</v>
      </c>
      <c r="L224">
        <f>_xlfn.XLOOKUP("LOADINGSPEEDDEF_"&amp;PROPERTIES[[#This Row],[LOADINGSPEED]],LOADINGSPEEDDEF[TYPE],LOADINGSPEEDDEF[SPEED])</f>
        <v>0</v>
      </c>
      <c r="M224" t="s">
        <v>20</v>
      </c>
      <c r="N224">
        <v>1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>
        <v>40</v>
      </c>
      <c r="W224" s="9">
        <v>0</v>
      </c>
      <c r="X224" s="9">
        <v>0</v>
      </c>
      <c r="Y224" s="10">
        <v>0</v>
      </c>
      <c r="Z224" t="s">
        <v>911</v>
      </c>
      <c r="AA224" t="s">
        <v>903</v>
      </c>
      <c r="AB224" s="2" t="s">
        <v>921</v>
      </c>
      <c r="AC224" s="9" t="s">
        <v>987</v>
      </c>
      <c r="AD224" s="9" t="s">
        <v>988</v>
      </c>
      <c r="AE224" s="10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4" s="2" t="b">
        <v>0</v>
      </c>
      <c r="AY224"/>
      <c r="AZ224"/>
      <c r="BA224"/>
    </row>
    <row r="225" spans="1:53">
      <c r="A225" s="2" t="s">
        <v>247</v>
      </c>
      <c r="B225">
        <v>1999</v>
      </c>
      <c r="C225">
        <v>0</v>
      </c>
      <c r="D225" t="s">
        <v>1770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>
        <v>7</v>
      </c>
      <c r="K225" s="2" t="s">
        <v>19</v>
      </c>
      <c r="L225">
        <f>_xlfn.XLOOKUP("LOADINGSPEEDDEF_"&amp;PROPERTIES[[#This Row],[LOADINGSPEED]],LOADINGSPEEDDEF[TYPE],LOADINGSPEEDDEF[SPEED])</f>
        <v>0</v>
      </c>
      <c r="M225">
        <v>45</v>
      </c>
      <c r="N225">
        <v>1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>
        <v>40</v>
      </c>
      <c r="W225" s="9">
        <v>0</v>
      </c>
      <c r="X225" s="9">
        <v>0</v>
      </c>
      <c r="Y225" s="10">
        <v>0</v>
      </c>
      <c r="Z225" t="s">
        <v>904</v>
      </c>
      <c r="AA225" t="s">
        <v>903</v>
      </c>
      <c r="AB225" s="2" t="s">
        <v>921</v>
      </c>
      <c r="AC225" s="9" t="s">
        <v>987</v>
      </c>
      <c r="AD225" s="9" t="s">
        <v>988</v>
      </c>
      <c r="AE225" s="10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5" s="2" t="b">
        <v>0</v>
      </c>
      <c r="AY225"/>
      <c r="AZ225"/>
      <c r="BA225"/>
    </row>
    <row r="226" spans="1:53">
      <c r="A226" s="2" t="s">
        <v>248</v>
      </c>
      <c r="B226">
        <v>1998</v>
      </c>
      <c r="C226">
        <v>0</v>
      </c>
      <c r="D226" t="s">
        <v>1826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>
        <v>8</v>
      </c>
      <c r="K226" s="2" t="s">
        <v>19</v>
      </c>
      <c r="L226">
        <f>_xlfn.XLOOKUP("LOADINGSPEEDDEF_"&amp;PROPERTIES[[#This Row],[LOADINGSPEED]],LOADINGSPEEDDEF[TYPE],LOADINGSPEEDDEF[SPEED])</f>
        <v>0</v>
      </c>
      <c r="M226" t="s">
        <v>20</v>
      </c>
      <c r="N226"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>
        <v>40</v>
      </c>
      <c r="W226" s="9">
        <v>0</v>
      </c>
      <c r="X226" s="9">
        <v>0</v>
      </c>
      <c r="Y226" s="10">
        <v>0</v>
      </c>
      <c r="Z226" t="s">
        <v>908</v>
      </c>
      <c r="AA226" t="s">
        <v>903</v>
      </c>
      <c r="AB226" s="2" t="s">
        <v>921</v>
      </c>
      <c r="AC226" s="9" t="s">
        <v>987</v>
      </c>
      <c r="AD226" s="9" t="s">
        <v>988</v>
      </c>
      <c r="AE226" s="10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6" s="2" t="b">
        <v>0</v>
      </c>
      <c r="AY226"/>
      <c r="AZ226"/>
      <c r="BA226"/>
    </row>
    <row r="227" spans="1:53">
      <c r="A227" s="2" t="s">
        <v>249</v>
      </c>
      <c r="B227">
        <v>1999</v>
      </c>
      <c r="C227">
        <v>0</v>
      </c>
      <c r="D227" t="s">
        <v>1826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>
        <v>8</v>
      </c>
      <c r="K227" s="2" t="s">
        <v>19</v>
      </c>
      <c r="L227">
        <f>_xlfn.XLOOKUP("LOADINGSPEEDDEF_"&amp;PROPERTIES[[#This Row],[LOADINGSPEED]],LOADINGSPEEDDEF[TYPE],LOADINGSPEEDDEF[SPEED])</f>
        <v>0</v>
      </c>
      <c r="M227" t="s">
        <v>20</v>
      </c>
      <c r="N227">
        <v>1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>
        <v>40</v>
      </c>
      <c r="W227" s="9">
        <v>0</v>
      </c>
      <c r="X227" s="9">
        <v>0</v>
      </c>
      <c r="Y227" s="10">
        <v>0</v>
      </c>
      <c r="Z227" t="s">
        <v>908</v>
      </c>
      <c r="AA227" t="s">
        <v>903</v>
      </c>
      <c r="AB227" s="2" t="s">
        <v>921</v>
      </c>
      <c r="AC227" s="9" t="s">
        <v>987</v>
      </c>
      <c r="AD227" s="9" t="s">
        <v>988</v>
      </c>
      <c r="AE227" s="10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7" s="2" t="b">
        <v>0</v>
      </c>
      <c r="AY227"/>
      <c r="AZ227"/>
      <c r="BA227"/>
    </row>
    <row r="228" spans="1:53">
      <c r="A228" s="2" t="s">
        <v>250</v>
      </c>
      <c r="B228">
        <v>2002</v>
      </c>
      <c r="C228">
        <v>0</v>
      </c>
      <c r="D228" t="s">
        <v>1857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>
        <v>8</v>
      </c>
      <c r="K228" s="2" t="s">
        <v>19</v>
      </c>
      <c r="L228">
        <f>_xlfn.XLOOKUP("LOADINGSPEEDDEF_"&amp;PROPERTIES[[#This Row],[LOADINGSPEED]],LOADINGSPEEDDEF[TYPE],LOADINGSPEEDDEF[SPEED])</f>
        <v>0</v>
      </c>
      <c r="M228" t="s">
        <v>20</v>
      </c>
      <c r="N228">
        <v>1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>
        <v>40</v>
      </c>
      <c r="W228" s="9">
        <v>0</v>
      </c>
      <c r="X228" s="9">
        <v>0</v>
      </c>
      <c r="Y228" s="10">
        <v>0</v>
      </c>
      <c r="Z228" t="s">
        <v>912</v>
      </c>
      <c r="AA228" t="s">
        <v>903</v>
      </c>
      <c r="AB228" s="2" t="s">
        <v>921</v>
      </c>
      <c r="AC228" s="9" t="s">
        <v>987</v>
      </c>
      <c r="AD228" s="9" t="s">
        <v>988</v>
      </c>
      <c r="AE228" s="10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8" s="2" t="b">
        <v>0</v>
      </c>
      <c r="AY228"/>
      <c r="AZ228"/>
      <c r="BA228"/>
    </row>
    <row r="229" spans="1:53">
      <c r="A229" s="2" t="s">
        <v>251</v>
      </c>
      <c r="B229">
        <v>2006</v>
      </c>
      <c r="C229">
        <v>0</v>
      </c>
      <c r="D229" t="s">
        <v>1978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>
        <v>8</v>
      </c>
      <c r="K229" s="2" t="s">
        <v>19</v>
      </c>
      <c r="L229">
        <f>_xlfn.XLOOKUP("LOADINGSPEEDDEF_"&amp;PROPERTIES[[#This Row],[LOADINGSPEED]],LOADINGSPEEDDEF[TYPE],LOADINGSPEEDDEF[SPEED])</f>
        <v>0</v>
      </c>
      <c r="M229" t="s">
        <v>20</v>
      </c>
      <c r="N229">
        <v>1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>
        <v>40</v>
      </c>
      <c r="W229" s="9">
        <v>0</v>
      </c>
      <c r="X229" s="9">
        <v>0</v>
      </c>
      <c r="Y229" s="10">
        <v>0</v>
      </c>
      <c r="Z229" t="s">
        <v>910</v>
      </c>
      <c r="AA229" t="s">
        <v>903</v>
      </c>
      <c r="AB229" s="2" t="s">
        <v>921</v>
      </c>
      <c r="AC229" s="9" t="s">
        <v>987</v>
      </c>
      <c r="AD229" s="9" t="s">
        <v>988</v>
      </c>
      <c r="AE229" s="10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9" s="2" t="b">
        <v>0</v>
      </c>
      <c r="AY229"/>
      <c r="AZ229"/>
      <c r="BA229"/>
    </row>
    <row r="230" spans="1:53">
      <c r="A230" s="2" t="s">
        <v>252</v>
      </c>
      <c r="B230">
        <v>2008</v>
      </c>
      <c r="C230">
        <v>0</v>
      </c>
      <c r="D230" t="s">
        <v>1798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>
        <v>8</v>
      </c>
      <c r="K230" s="2" t="s">
        <v>19</v>
      </c>
      <c r="L230">
        <f>_xlfn.XLOOKUP("LOADINGSPEEDDEF_"&amp;PROPERTIES[[#This Row],[LOADINGSPEED]],LOADINGSPEEDDEF[TYPE],LOADINGSPEEDDEF[SPEED])</f>
        <v>0</v>
      </c>
      <c r="M230" t="s">
        <v>20</v>
      </c>
      <c r="N230">
        <v>1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>
        <v>40</v>
      </c>
      <c r="W230" s="9">
        <v>0</v>
      </c>
      <c r="X230" s="9">
        <v>0</v>
      </c>
      <c r="Y230" s="10">
        <v>0</v>
      </c>
      <c r="Z230" t="s">
        <v>912</v>
      </c>
      <c r="AA230" t="s">
        <v>903</v>
      </c>
      <c r="AB230" s="2" t="s">
        <v>921</v>
      </c>
      <c r="AC230" s="9" t="s">
        <v>987</v>
      </c>
      <c r="AD230" s="9" t="s">
        <v>988</v>
      </c>
      <c r="AE230" s="10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0" s="2" t="b">
        <v>0</v>
      </c>
      <c r="AY230"/>
      <c r="AZ230"/>
      <c r="BA230"/>
    </row>
    <row r="231" spans="1:53">
      <c r="A231" s="2" t="s">
        <v>253</v>
      </c>
      <c r="B231">
        <v>2010</v>
      </c>
      <c r="C231">
        <v>0</v>
      </c>
      <c r="D231" t="s">
        <v>1807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>
        <v>8</v>
      </c>
      <c r="K231" s="2" t="s">
        <v>19</v>
      </c>
      <c r="L231">
        <f>_xlfn.XLOOKUP("LOADINGSPEEDDEF_"&amp;PROPERTIES[[#This Row],[LOADINGSPEED]],LOADINGSPEEDDEF[TYPE],LOADINGSPEEDDEF[SPEED])</f>
        <v>0</v>
      </c>
      <c r="M231" t="s">
        <v>20</v>
      </c>
      <c r="N231">
        <v>1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>
        <v>40</v>
      </c>
      <c r="W231" s="9">
        <v>0</v>
      </c>
      <c r="X231" s="9">
        <v>0</v>
      </c>
      <c r="Y231" s="10">
        <v>0</v>
      </c>
      <c r="Z231" t="s">
        <v>904</v>
      </c>
      <c r="AA231" t="s">
        <v>903</v>
      </c>
      <c r="AB231" s="2" t="s">
        <v>921</v>
      </c>
      <c r="AC231" s="9" t="s">
        <v>987</v>
      </c>
      <c r="AD231" s="9" t="s">
        <v>988</v>
      </c>
      <c r="AE231" s="10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1" s="2" t="b">
        <v>0</v>
      </c>
      <c r="AY231"/>
      <c r="AZ231"/>
      <c r="BA231"/>
    </row>
    <row r="232" spans="1:53">
      <c r="A232" s="2" t="s">
        <v>254</v>
      </c>
      <c r="B232">
        <v>2011</v>
      </c>
      <c r="C232">
        <v>0</v>
      </c>
      <c r="D232" t="s">
        <v>1940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>
        <v>16</v>
      </c>
      <c r="K232" s="2" t="s">
        <v>19</v>
      </c>
      <c r="L232">
        <f>_xlfn.XLOOKUP("LOADINGSPEEDDEF_"&amp;PROPERTIES[[#This Row],[LOADINGSPEED]],LOADINGSPEEDDEF[TYPE],LOADINGSPEEDDEF[SPEED])</f>
        <v>0</v>
      </c>
      <c r="M232" t="s">
        <v>20</v>
      </c>
      <c r="N232">
        <v>1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>
        <v>40</v>
      </c>
      <c r="W232" s="9">
        <v>0</v>
      </c>
      <c r="X232" s="9">
        <v>8</v>
      </c>
      <c r="Y232" s="10">
        <v>0</v>
      </c>
      <c r="Z232" t="s">
        <v>912</v>
      </c>
      <c r="AA232" t="s">
        <v>903</v>
      </c>
      <c r="AB232" s="2" t="s">
        <v>921</v>
      </c>
      <c r="AC232" s="9" t="s">
        <v>987</v>
      </c>
      <c r="AD232" s="9" t="s">
        <v>988</v>
      </c>
      <c r="AE232" s="10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2" s="2" t="b">
        <v>1</v>
      </c>
      <c r="AY232"/>
      <c r="AZ232"/>
      <c r="BA232"/>
    </row>
    <row r="233" spans="1:53">
      <c r="A233" s="2" t="s">
        <v>255</v>
      </c>
      <c r="B233">
        <v>2003</v>
      </c>
      <c r="C233">
        <v>0</v>
      </c>
      <c r="D233" t="s">
        <v>1798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>
        <v>8</v>
      </c>
      <c r="K233" s="2" t="s">
        <v>19</v>
      </c>
      <c r="L233">
        <f>_xlfn.XLOOKUP("LOADINGSPEEDDEF_"&amp;PROPERTIES[[#This Row],[LOADINGSPEED]],LOADINGSPEEDDEF[TYPE],LOADINGSPEEDDEF[SPEED])</f>
        <v>0</v>
      </c>
      <c r="M233" t="s">
        <v>20</v>
      </c>
      <c r="N233">
        <v>1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>
        <v>40</v>
      </c>
      <c r="W233" s="9">
        <v>0</v>
      </c>
      <c r="X233" s="9">
        <v>0</v>
      </c>
      <c r="Y233" s="10">
        <v>0</v>
      </c>
      <c r="Z233" t="s">
        <v>912</v>
      </c>
      <c r="AA233" t="s">
        <v>903</v>
      </c>
      <c r="AB233" s="2" t="s">
        <v>921</v>
      </c>
      <c r="AC233" s="9" t="s">
        <v>987</v>
      </c>
      <c r="AD233" s="9" t="s">
        <v>988</v>
      </c>
      <c r="AE233" s="10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3" s="2" t="b">
        <v>0</v>
      </c>
      <c r="AY233"/>
      <c r="AZ233"/>
      <c r="BA233"/>
    </row>
    <row r="234" spans="1:53">
      <c r="A234" s="2" t="s">
        <v>256</v>
      </c>
      <c r="B234">
        <v>2010</v>
      </c>
      <c r="C234">
        <v>0</v>
      </c>
      <c r="D234" t="s">
        <v>1807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>
        <v>8</v>
      </c>
      <c r="K234" s="2" t="s">
        <v>19</v>
      </c>
      <c r="L234">
        <f>_xlfn.XLOOKUP("LOADINGSPEEDDEF_"&amp;PROPERTIES[[#This Row],[LOADINGSPEED]],LOADINGSPEEDDEF[TYPE],LOADINGSPEEDDEF[SPEED])</f>
        <v>0</v>
      </c>
      <c r="M234" t="s">
        <v>20</v>
      </c>
      <c r="N234">
        <v>1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>
        <v>40</v>
      </c>
      <c r="W234" s="9">
        <v>0</v>
      </c>
      <c r="X234" s="9">
        <v>0</v>
      </c>
      <c r="Y234" s="10">
        <v>0</v>
      </c>
      <c r="Z234" t="s">
        <v>904</v>
      </c>
      <c r="AA234" t="s">
        <v>903</v>
      </c>
      <c r="AB234" s="2" t="s">
        <v>921</v>
      </c>
      <c r="AC234" s="9" t="s">
        <v>987</v>
      </c>
      <c r="AD234" s="9" t="s">
        <v>988</v>
      </c>
      <c r="AE234" s="10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4" s="2" t="b">
        <v>0</v>
      </c>
      <c r="AY234"/>
      <c r="AZ234"/>
      <c r="BA234"/>
    </row>
    <row r="235" spans="1:53">
      <c r="A235" s="2" t="s">
        <v>257</v>
      </c>
      <c r="B235">
        <v>1963</v>
      </c>
      <c r="C235">
        <v>0</v>
      </c>
      <c r="D235" t="s">
        <v>1940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>
        <v>7</v>
      </c>
      <c r="K235" s="2" t="s">
        <v>19</v>
      </c>
      <c r="L235">
        <f>_xlfn.XLOOKUP("LOADINGSPEEDDEF_"&amp;PROPERTIES[[#This Row],[LOADINGSPEED]],LOADINGSPEEDDEF[TYPE],LOADINGSPEEDDEF[SPEED])</f>
        <v>0</v>
      </c>
      <c r="M235">
        <v>45</v>
      </c>
      <c r="N235">
        <v>1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>
        <v>40</v>
      </c>
      <c r="W235" s="9">
        <v>0</v>
      </c>
      <c r="X235" s="9">
        <v>0</v>
      </c>
      <c r="Y235" s="10">
        <v>0</v>
      </c>
      <c r="Z235" t="s">
        <v>912</v>
      </c>
      <c r="AA235" t="s">
        <v>903</v>
      </c>
      <c r="AB235" s="2" t="s">
        <v>921</v>
      </c>
      <c r="AC235" s="9" t="s">
        <v>987</v>
      </c>
      <c r="AD235" s="9" t="s">
        <v>988</v>
      </c>
      <c r="AE235" s="10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5" s="2" t="b">
        <v>0</v>
      </c>
      <c r="AY235"/>
      <c r="AZ235"/>
      <c r="BA235"/>
    </row>
    <row r="236" spans="1:53">
      <c r="A236" s="2" t="s">
        <v>258</v>
      </c>
      <c r="B236">
        <v>1928</v>
      </c>
      <c r="C236">
        <v>0</v>
      </c>
      <c r="D236" t="s">
        <v>1788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>
        <v>14</v>
      </c>
      <c r="K236" s="2" t="s">
        <v>19</v>
      </c>
      <c r="L236">
        <f>_xlfn.XLOOKUP("LOADINGSPEEDDEF_"&amp;PROPERTIES[[#This Row],[LOADINGSPEED]],LOADINGSPEEDDEF[TYPE],LOADINGSPEEDDEF[SPEED])</f>
        <v>0</v>
      </c>
      <c r="M236">
        <v>45</v>
      </c>
      <c r="N236">
        <v>1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>
        <v>40</v>
      </c>
      <c r="W236" s="9">
        <v>0</v>
      </c>
      <c r="X236" s="9">
        <v>7</v>
      </c>
      <c r="Y236" s="10">
        <v>0</v>
      </c>
      <c r="Z236" t="s">
        <v>909</v>
      </c>
      <c r="AA236" t="s">
        <v>903</v>
      </c>
      <c r="AB236" s="2" t="s">
        <v>921</v>
      </c>
      <c r="AC236" s="9" t="s">
        <v>987</v>
      </c>
      <c r="AD236" s="9" t="s">
        <v>988</v>
      </c>
      <c r="AE236" s="10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6" s="2" t="b">
        <v>0</v>
      </c>
      <c r="AY236"/>
      <c r="AZ236"/>
      <c r="BA236"/>
    </row>
    <row r="237" spans="1:53">
      <c r="A237" s="2" t="s">
        <v>259</v>
      </c>
      <c r="B237">
        <v>1932</v>
      </c>
      <c r="C237">
        <v>0</v>
      </c>
      <c r="D237" t="s">
        <v>1826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>
        <v>4</v>
      </c>
      <c r="K237" s="2" t="s">
        <v>19</v>
      </c>
      <c r="L237">
        <f>_xlfn.XLOOKUP("LOADINGSPEEDDEF_"&amp;PROPERTIES[[#This Row],[LOADINGSPEED]],LOADINGSPEEDDEF[TYPE],LOADINGSPEEDDEF[SPEED])</f>
        <v>0</v>
      </c>
      <c r="M237">
        <v>45</v>
      </c>
      <c r="N237"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>
        <v>40</v>
      </c>
      <c r="W237" s="9">
        <v>0</v>
      </c>
      <c r="X237" s="9">
        <v>0</v>
      </c>
      <c r="Y237" s="10">
        <v>0</v>
      </c>
      <c r="Z237" t="s">
        <v>908</v>
      </c>
      <c r="AA237" t="s">
        <v>903</v>
      </c>
      <c r="AB237" s="2" t="s">
        <v>921</v>
      </c>
      <c r="AC237" s="9" t="s">
        <v>987</v>
      </c>
      <c r="AD237" s="9" t="s">
        <v>988</v>
      </c>
      <c r="AE237" s="10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37" s="2" t="b">
        <v>0</v>
      </c>
      <c r="AY237"/>
      <c r="AZ237"/>
      <c r="BA237"/>
    </row>
    <row r="238" spans="1:53">
      <c r="A238" s="2" t="s">
        <v>260</v>
      </c>
      <c r="B238">
        <v>1937</v>
      </c>
      <c r="C238">
        <v>0</v>
      </c>
      <c r="D238" t="s">
        <v>1981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>
        <v>8</v>
      </c>
      <c r="K238" s="2" t="s">
        <v>19</v>
      </c>
      <c r="L238">
        <f>_xlfn.XLOOKUP("LOADINGSPEEDDEF_"&amp;PROPERTIES[[#This Row],[LOADINGSPEED]],LOADINGSPEEDDEF[TYPE],LOADINGSPEEDDEF[SPEED])</f>
        <v>0</v>
      </c>
      <c r="M238">
        <v>45</v>
      </c>
      <c r="N238">
        <v>1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>
        <v>40</v>
      </c>
      <c r="W238" s="9">
        <v>0</v>
      </c>
      <c r="X238" s="9">
        <v>0</v>
      </c>
      <c r="Y238" s="10">
        <v>0</v>
      </c>
      <c r="Z238" t="s">
        <v>909</v>
      </c>
      <c r="AA238" t="s">
        <v>903</v>
      </c>
      <c r="AB238" s="2" t="s">
        <v>921</v>
      </c>
      <c r="AC238" s="9" t="s">
        <v>987</v>
      </c>
      <c r="AD238" s="9" t="s">
        <v>988</v>
      </c>
      <c r="AE238" s="10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38" s="2" t="b">
        <v>0</v>
      </c>
      <c r="AY238"/>
      <c r="AZ238"/>
      <c r="BA238"/>
    </row>
    <row r="239" spans="1:53">
      <c r="A239" s="2" t="s">
        <v>261</v>
      </c>
      <c r="B239">
        <v>1939</v>
      </c>
      <c r="C239">
        <v>0</v>
      </c>
      <c r="D239" t="s">
        <v>1981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>
        <v>6</v>
      </c>
      <c r="K239" s="2" t="s">
        <v>19</v>
      </c>
      <c r="L239">
        <f>_xlfn.XLOOKUP("LOADINGSPEEDDEF_"&amp;PROPERTIES[[#This Row],[LOADINGSPEED]],LOADINGSPEEDDEF[TYPE],LOADINGSPEEDDEF[SPEED])</f>
        <v>0</v>
      </c>
      <c r="M239">
        <v>45</v>
      </c>
      <c r="N239">
        <v>1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>
        <v>40</v>
      </c>
      <c r="W239" s="9">
        <v>0</v>
      </c>
      <c r="X239" s="9">
        <v>0</v>
      </c>
      <c r="Y239" s="10">
        <v>0</v>
      </c>
      <c r="Z239" t="s">
        <v>909</v>
      </c>
      <c r="AA239" t="s">
        <v>903</v>
      </c>
      <c r="AB239" s="2" t="s">
        <v>921</v>
      </c>
      <c r="AC239" s="9" t="s">
        <v>987</v>
      </c>
      <c r="AD239" s="9" t="s">
        <v>988</v>
      </c>
      <c r="AE239" s="10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9" s="2" t="b">
        <v>0</v>
      </c>
      <c r="AY239"/>
      <c r="AZ239"/>
      <c r="BA239"/>
    </row>
    <row r="240" spans="1:53">
      <c r="A240" s="2" t="s">
        <v>262</v>
      </c>
      <c r="B240">
        <v>1939</v>
      </c>
      <c r="C240">
        <v>0</v>
      </c>
      <c r="D240" t="s">
        <v>1826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>
        <v>5</v>
      </c>
      <c r="K240" s="2" t="s">
        <v>19</v>
      </c>
      <c r="L240">
        <f>_xlfn.XLOOKUP("LOADINGSPEEDDEF_"&amp;PROPERTIES[[#This Row],[LOADINGSPEED]],LOADINGSPEEDDEF[TYPE],LOADINGSPEEDDEF[SPEED])</f>
        <v>0</v>
      </c>
      <c r="M240">
        <v>45</v>
      </c>
      <c r="N240"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>
        <v>40</v>
      </c>
      <c r="W240" s="9">
        <v>0</v>
      </c>
      <c r="X240" s="9">
        <v>0</v>
      </c>
      <c r="Y240" s="10">
        <v>0</v>
      </c>
      <c r="Z240" t="s">
        <v>908</v>
      </c>
      <c r="AA240" t="s">
        <v>903</v>
      </c>
      <c r="AB240" s="2" t="s">
        <v>921</v>
      </c>
      <c r="AC240" s="9" t="s">
        <v>987</v>
      </c>
      <c r="AD240" s="9" t="s">
        <v>988</v>
      </c>
      <c r="AE240" s="10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40" s="2" t="b">
        <v>0</v>
      </c>
      <c r="AY240"/>
      <c r="AZ240"/>
      <c r="BA240"/>
    </row>
    <row r="241" spans="1:53">
      <c r="A241" s="2" t="s">
        <v>263</v>
      </c>
      <c r="B241">
        <v>1939</v>
      </c>
      <c r="C241">
        <v>0</v>
      </c>
      <c r="D241" t="s">
        <v>1763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>
        <v>5</v>
      </c>
      <c r="K241" s="2" t="s">
        <v>19</v>
      </c>
      <c r="L241">
        <f>_xlfn.XLOOKUP("LOADINGSPEEDDEF_"&amp;PROPERTIES[[#This Row],[LOADINGSPEED]],LOADINGSPEEDDEF[TYPE],LOADINGSPEEDDEF[SPEED])</f>
        <v>0</v>
      </c>
      <c r="M241">
        <v>45</v>
      </c>
      <c r="N241">
        <v>1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>
        <v>40</v>
      </c>
      <c r="W241" s="9">
        <v>0</v>
      </c>
      <c r="X241" s="9">
        <v>0</v>
      </c>
      <c r="Y241" s="10">
        <v>0</v>
      </c>
      <c r="Z241" t="s">
        <v>906</v>
      </c>
      <c r="AA241" t="s">
        <v>903</v>
      </c>
      <c r="AB241" s="2" t="s">
        <v>921</v>
      </c>
      <c r="AC241" s="9" t="s">
        <v>987</v>
      </c>
      <c r="AD241" s="9" t="s">
        <v>988</v>
      </c>
      <c r="AE241" s="10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41" s="2" t="b">
        <v>0</v>
      </c>
      <c r="AY241"/>
      <c r="AZ241"/>
      <c r="BA241"/>
    </row>
    <row r="242" spans="1:53">
      <c r="A242" s="2" t="s">
        <v>264</v>
      </c>
      <c r="B242">
        <v>1944</v>
      </c>
      <c r="C242">
        <v>0</v>
      </c>
      <c r="D242" t="s">
        <v>1981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>
        <v>6</v>
      </c>
      <c r="K242" s="2" t="s">
        <v>19</v>
      </c>
      <c r="L242">
        <f>_xlfn.XLOOKUP("LOADINGSPEEDDEF_"&amp;PROPERTIES[[#This Row],[LOADINGSPEED]],LOADINGSPEEDDEF[TYPE],LOADINGSPEEDDEF[SPEED])</f>
        <v>0</v>
      </c>
      <c r="M242">
        <v>45</v>
      </c>
      <c r="N242">
        <v>1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>
        <v>40</v>
      </c>
      <c r="W242" s="9">
        <v>0</v>
      </c>
      <c r="X242" s="9">
        <v>0</v>
      </c>
      <c r="Y242" s="10">
        <v>0</v>
      </c>
      <c r="Z242" t="s">
        <v>909</v>
      </c>
      <c r="AA242" t="s">
        <v>903</v>
      </c>
      <c r="AB242" s="2" t="s">
        <v>921</v>
      </c>
      <c r="AC242" s="9" t="s">
        <v>987</v>
      </c>
      <c r="AD242" s="9" t="s">
        <v>988</v>
      </c>
      <c r="AE242" s="10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2" s="2" t="b">
        <v>0</v>
      </c>
      <c r="AY242"/>
      <c r="AZ242"/>
      <c r="BA242"/>
    </row>
    <row r="243" spans="1:53">
      <c r="A243" s="2" t="s">
        <v>265</v>
      </c>
      <c r="B243">
        <v>1948</v>
      </c>
      <c r="C243">
        <v>0</v>
      </c>
      <c r="D243" t="s">
        <v>1812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>
        <v>7</v>
      </c>
      <c r="K243" s="2" t="s">
        <v>19</v>
      </c>
      <c r="L243">
        <f>_xlfn.XLOOKUP("LOADINGSPEEDDEF_"&amp;PROPERTIES[[#This Row],[LOADINGSPEED]],LOADINGSPEEDDEF[TYPE],LOADINGSPEEDDEF[SPEED])</f>
        <v>0</v>
      </c>
      <c r="M243">
        <v>45</v>
      </c>
      <c r="N243">
        <v>1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>
        <v>40</v>
      </c>
      <c r="W243" s="9">
        <v>0</v>
      </c>
      <c r="X243" s="9">
        <v>0</v>
      </c>
      <c r="Y243" s="10">
        <v>0</v>
      </c>
      <c r="Z243" t="s">
        <v>907</v>
      </c>
      <c r="AA243" t="s">
        <v>903</v>
      </c>
      <c r="AB243" s="2" t="s">
        <v>921</v>
      </c>
      <c r="AC243" s="9" t="s">
        <v>987</v>
      </c>
      <c r="AD243" s="9" t="s">
        <v>988</v>
      </c>
      <c r="AE243" s="10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3" s="2" t="b">
        <v>0</v>
      </c>
      <c r="AY243"/>
      <c r="AZ243"/>
      <c r="BA243"/>
    </row>
    <row r="244" spans="1:53">
      <c r="A244" s="2" t="s">
        <v>266</v>
      </c>
      <c r="B244">
        <v>1950</v>
      </c>
      <c r="C244">
        <v>0</v>
      </c>
      <c r="D244" t="s">
        <v>1851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>
        <v>8</v>
      </c>
      <c r="K244" s="2" t="s">
        <v>19</v>
      </c>
      <c r="L244">
        <f>_xlfn.XLOOKUP("LOADINGSPEEDDEF_"&amp;PROPERTIES[[#This Row],[LOADINGSPEED]],LOADINGSPEEDDEF[TYPE],LOADINGSPEEDDEF[SPEED])</f>
        <v>0</v>
      </c>
      <c r="M244">
        <v>45</v>
      </c>
      <c r="N244"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>
        <v>40</v>
      </c>
      <c r="W244" s="9">
        <v>0</v>
      </c>
      <c r="X244" s="9">
        <v>0</v>
      </c>
      <c r="Y244" s="10">
        <v>0</v>
      </c>
      <c r="Z244" t="s">
        <v>908</v>
      </c>
      <c r="AA244" t="s">
        <v>903</v>
      </c>
      <c r="AB244" s="2" t="s">
        <v>921</v>
      </c>
      <c r="AC244" s="9" t="s">
        <v>987</v>
      </c>
      <c r="AD244" s="9" t="s">
        <v>988</v>
      </c>
      <c r="AE244" s="10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4" s="2" t="b">
        <v>0</v>
      </c>
      <c r="AY244"/>
      <c r="AZ244"/>
      <c r="BA244"/>
    </row>
    <row r="245" spans="1:53">
      <c r="A245" s="2" t="s">
        <v>267</v>
      </c>
      <c r="B245">
        <v>1950</v>
      </c>
      <c r="C245">
        <v>0</v>
      </c>
      <c r="D245" t="s">
        <v>1781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>
        <v>8</v>
      </c>
      <c r="K245" s="2" t="s">
        <v>19</v>
      </c>
      <c r="L245">
        <f>_xlfn.XLOOKUP("LOADINGSPEEDDEF_"&amp;PROPERTIES[[#This Row],[LOADINGSPEED]],LOADINGSPEEDDEF[TYPE],LOADINGSPEEDDEF[SPEED])</f>
        <v>0</v>
      </c>
      <c r="M245">
        <v>45</v>
      </c>
      <c r="N245">
        <v>1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>
        <v>40</v>
      </c>
      <c r="W245" s="9">
        <v>0</v>
      </c>
      <c r="X245" s="9">
        <v>0</v>
      </c>
      <c r="Y245" s="10">
        <v>0</v>
      </c>
      <c r="Z245" t="s">
        <v>911</v>
      </c>
      <c r="AA245" t="s">
        <v>903</v>
      </c>
      <c r="AB245" s="2" t="s">
        <v>921</v>
      </c>
      <c r="AC245" s="9" t="s">
        <v>987</v>
      </c>
      <c r="AD245" s="9" t="s">
        <v>988</v>
      </c>
      <c r="AE245" s="10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45" s="2" t="b">
        <v>0</v>
      </c>
      <c r="AY245"/>
      <c r="AZ245"/>
      <c r="BA245"/>
    </row>
    <row r="246" spans="1:53">
      <c r="A246" s="2" t="s">
        <v>268</v>
      </c>
      <c r="B246">
        <v>1950</v>
      </c>
      <c r="C246">
        <v>0</v>
      </c>
      <c r="D246" t="s">
        <v>1906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>
        <v>8</v>
      </c>
      <c r="K246" s="2" t="s">
        <v>19</v>
      </c>
      <c r="L246">
        <f>_xlfn.XLOOKUP("LOADINGSPEEDDEF_"&amp;PROPERTIES[[#This Row],[LOADINGSPEED]],LOADINGSPEEDDEF[TYPE],LOADINGSPEEDDEF[SPEED])</f>
        <v>0</v>
      </c>
      <c r="M246">
        <v>45</v>
      </c>
      <c r="N246">
        <v>1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>
        <v>40</v>
      </c>
      <c r="W246" s="9">
        <v>0</v>
      </c>
      <c r="X246" s="9">
        <v>0</v>
      </c>
      <c r="Y246" s="10">
        <v>0</v>
      </c>
      <c r="Z246" t="s">
        <v>909</v>
      </c>
      <c r="AA246" t="s">
        <v>903</v>
      </c>
      <c r="AB246" s="2" t="s">
        <v>921</v>
      </c>
      <c r="AC246" s="9" t="s">
        <v>987</v>
      </c>
      <c r="AD246" s="9" t="s">
        <v>988</v>
      </c>
      <c r="AE246" s="10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6" s="2" t="b">
        <v>0</v>
      </c>
      <c r="AY246"/>
      <c r="AZ246"/>
      <c r="BA246"/>
    </row>
    <row r="247" spans="1:53">
      <c r="A247" s="2" t="s">
        <v>269</v>
      </c>
      <c r="B247">
        <v>1951</v>
      </c>
      <c r="C247">
        <v>0</v>
      </c>
      <c r="D247" t="s">
        <v>1763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>
        <v>8</v>
      </c>
      <c r="K247" s="2" t="s">
        <v>19</v>
      </c>
      <c r="L247">
        <f>_xlfn.XLOOKUP("LOADINGSPEEDDEF_"&amp;PROPERTIES[[#This Row],[LOADINGSPEED]],LOADINGSPEEDDEF[TYPE],LOADINGSPEEDDEF[SPEED])</f>
        <v>0</v>
      </c>
      <c r="M247">
        <v>45</v>
      </c>
      <c r="N247">
        <v>1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>
        <v>40</v>
      </c>
      <c r="W247" s="9">
        <v>0</v>
      </c>
      <c r="X247" s="9">
        <v>0</v>
      </c>
      <c r="Y247" s="10">
        <v>0</v>
      </c>
      <c r="Z247" t="s">
        <v>906</v>
      </c>
      <c r="AA247" t="s">
        <v>903</v>
      </c>
      <c r="AB247" s="2" t="s">
        <v>921</v>
      </c>
      <c r="AC247" s="9" t="s">
        <v>987</v>
      </c>
      <c r="AD247" s="9" t="s">
        <v>988</v>
      </c>
      <c r="AE247" s="10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7" s="2" t="b">
        <v>0</v>
      </c>
      <c r="AY247"/>
      <c r="AZ247"/>
      <c r="BA247"/>
    </row>
    <row r="248" spans="1:53">
      <c r="A248" s="2" t="s">
        <v>270</v>
      </c>
      <c r="B248">
        <v>1954</v>
      </c>
      <c r="C248">
        <v>0</v>
      </c>
      <c r="D248" t="s">
        <v>1879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>
        <v>6</v>
      </c>
      <c r="K248" s="2" t="s">
        <v>19</v>
      </c>
      <c r="L248">
        <f>_xlfn.XLOOKUP("LOADINGSPEEDDEF_"&amp;PROPERTIES[[#This Row],[LOADINGSPEED]],LOADINGSPEEDDEF[TYPE],LOADINGSPEEDDEF[SPEED])</f>
        <v>0</v>
      </c>
      <c r="M248">
        <v>45</v>
      </c>
      <c r="N248">
        <v>1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>
        <v>40</v>
      </c>
      <c r="W248" s="9">
        <v>0</v>
      </c>
      <c r="X248" s="9">
        <v>0</v>
      </c>
      <c r="Y248" s="10">
        <v>0</v>
      </c>
      <c r="Z248" t="s">
        <v>912</v>
      </c>
      <c r="AA248" t="s">
        <v>903</v>
      </c>
      <c r="AB248" s="2" t="s">
        <v>921</v>
      </c>
      <c r="AC248" s="9" t="s">
        <v>987</v>
      </c>
      <c r="AD248" s="9" t="s">
        <v>988</v>
      </c>
      <c r="AE248" s="10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8" s="2" t="b">
        <v>0</v>
      </c>
      <c r="AY248"/>
      <c r="AZ248"/>
      <c r="BA248"/>
    </row>
    <row r="249" spans="1:53">
      <c r="A249" s="2" t="s">
        <v>271</v>
      </c>
      <c r="B249">
        <v>1955</v>
      </c>
      <c r="C249">
        <v>0</v>
      </c>
      <c r="D249" t="s">
        <v>1851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>
        <v>7</v>
      </c>
      <c r="K249" s="2" t="s">
        <v>19</v>
      </c>
      <c r="L249">
        <f>_xlfn.XLOOKUP("LOADINGSPEEDDEF_"&amp;PROPERTIES[[#This Row],[LOADINGSPEED]],LOADINGSPEEDDEF[TYPE],LOADINGSPEEDDEF[SPEED])</f>
        <v>0</v>
      </c>
      <c r="M249">
        <v>45</v>
      </c>
      <c r="N249"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>
        <v>40</v>
      </c>
      <c r="W249" s="9">
        <v>0</v>
      </c>
      <c r="X249" s="9">
        <v>0</v>
      </c>
      <c r="Y249" s="10">
        <v>0</v>
      </c>
      <c r="Z249" t="s">
        <v>908</v>
      </c>
      <c r="AA249" t="s">
        <v>903</v>
      </c>
      <c r="AB249" s="2" t="s">
        <v>921</v>
      </c>
      <c r="AC249" s="9" t="s">
        <v>987</v>
      </c>
      <c r="AD249" s="9" t="s">
        <v>988</v>
      </c>
      <c r="AE249" s="10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9" s="2" t="b">
        <v>0</v>
      </c>
      <c r="AY249"/>
      <c r="AZ249"/>
      <c r="BA249"/>
    </row>
    <row r="250" spans="1:53">
      <c r="A250" s="2" t="s">
        <v>272</v>
      </c>
      <c r="B250">
        <v>1957</v>
      </c>
      <c r="C250">
        <v>0</v>
      </c>
      <c r="D250" t="s">
        <v>1859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>
        <v>8</v>
      </c>
      <c r="K250" s="2" t="s">
        <v>19</v>
      </c>
      <c r="L250">
        <f>_xlfn.XLOOKUP("LOADINGSPEEDDEF_"&amp;PROPERTIES[[#This Row],[LOADINGSPEED]],LOADINGSPEEDDEF[TYPE],LOADINGSPEEDDEF[SPEED])</f>
        <v>0</v>
      </c>
      <c r="M250">
        <v>45</v>
      </c>
      <c r="N250">
        <v>1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>
        <v>40</v>
      </c>
      <c r="W250" s="9">
        <v>0</v>
      </c>
      <c r="X250" s="9">
        <v>0</v>
      </c>
      <c r="Y250" s="10">
        <v>0</v>
      </c>
      <c r="Z250" t="s">
        <v>905</v>
      </c>
      <c r="AA250" t="s">
        <v>903</v>
      </c>
      <c r="AB250" s="2" t="s">
        <v>921</v>
      </c>
      <c r="AC250" s="9" t="s">
        <v>987</v>
      </c>
      <c r="AD250" s="9" t="s">
        <v>988</v>
      </c>
      <c r="AE250" s="10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0" s="2" t="b">
        <v>0</v>
      </c>
      <c r="AY250"/>
      <c r="AZ250"/>
      <c r="BA250"/>
    </row>
    <row r="251" spans="1:53">
      <c r="A251" s="2" t="s">
        <v>273</v>
      </c>
      <c r="B251">
        <v>1957</v>
      </c>
      <c r="C251">
        <v>0</v>
      </c>
      <c r="D251" t="s">
        <v>1763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>
        <v>8</v>
      </c>
      <c r="K251" s="2" t="s">
        <v>19</v>
      </c>
      <c r="L251">
        <f>_xlfn.XLOOKUP("LOADINGSPEEDDEF_"&amp;PROPERTIES[[#This Row],[LOADINGSPEED]],LOADINGSPEEDDEF[TYPE],LOADINGSPEEDDEF[SPEED])</f>
        <v>0</v>
      </c>
      <c r="M251">
        <v>45</v>
      </c>
      <c r="N251">
        <v>1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>
        <v>40</v>
      </c>
      <c r="W251" s="9">
        <v>0</v>
      </c>
      <c r="X251" s="9">
        <v>0</v>
      </c>
      <c r="Y251" s="10">
        <v>0</v>
      </c>
      <c r="Z251" t="s">
        <v>906</v>
      </c>
      <c r="AA251" t="s">
        <v>903</v>
      </c>
      <c r="AB251" s="2" t="s">
        <v>921</v>
      </c>
      <c r="AC251" s="9" t="s">
        <v>987</v>
      </c>
      <c r="AD251" s="9" t="s">
        <v>988</v>
      </c>
      <c r="AE251" s="10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1" s="2" t="b">
        <v>0</v>
      </c>
      <c r="AY251"/>
      <c r="AZ251"/>
      <c r="BA251"/>
    </row>
    <row r="252" spans="1:53">
      <c r="A252" s="2" t="s">
        <v>274</v>
      </c>
      <c r="B252">
        <v>1959</v>
      </c>
      <c r="C252">
        <v>0</v>
      </c>
      <c r="D252" t="s">
        <v>1997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>
        <v>8</v>
      </c>
      <c r="K252" s="2" t="s">
        <v>19</v>
      </c>
      <c r="L252">
        <f>_xlfn.XLOOKUP("LOADINGSPEEDDEF_"&amp;PROPERTIES[[#This Row],[LOADINGSPEED]],LOADINGSPEEDDEF[TYPE],LOADINGSPEEDDEF[SPEED])</f>
        <v>0</v>
      </c>
      <c r="M252">
        <v>45</v>
      </c>
      <c r="N252">
        <v>1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>
        <v>40</v>
      </c>
      <c r="W252" s="9">
        <v>0</v>
      </c>
      <c r="X252" s="9">
        <v>0</v>
      </c>
      <c r="Y252" s="10">
        <v>0</v>
      </c>
      <c r="Z252" t="s">
        <v>907</v>
      </c>
      <c r="AA252" t="s">
        <v>903</v>
      </c>
      <c r="AB252" s="2" t="s">
        <v>921</v>
      </c>
      <c r="AC252" s="9" t="s">
        <v>987</v>
      </c>
      <c r="AD252" s="9" t="s">
        <v>988</v>
      </c>
      <c r="AE252" s="10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2" s="2" t="b">
        <v>0</v>
      </c>
      <c r="AY252"/>
      <c r="AZ252"/>
      <c r="BA252"/>
    </row>
    <row r="253" spans="1:53">
      <c r="A253" s="2" t="s">
        <v>275</v>
      </c>
      <c r="B253">
        <v>1960</v>
      </c>
      <c r="C253">
        <v>0</v>
      </c>
      <c r="D253" t="s">
        <v>1871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>
        <v>8</v>
      </c>
      <c r="K253" s="2" t="s">
        <v>19</v>
      </c>
      <c r="L253">
        <f>_xlfn.XLOOKUP("LOADINGSPEEDDEF_"&amp;PROPERTIES[[#This Row],[LOADINGSPEED]],LOADINGSPEEDDEF[TYPE],LOADINGSPEEDDEF[SPEED])</f>
        <v>0</v>
      </c>
      <c r="M253">
        <v>45</v>
      </c>
      <c r="N253">
        <v>1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>
        <v>40</v>
      </c>
      <c r="W253" s="9">
        <v>0</v>
      </c>
      <c r="X253" s="9">
        <v>0</v>
      </c>
      <c r="Y253" s="10">
        <v>0</v>
      </c>
      <c r="Z253" t="s">
        <v>912</v>
      </c>
      <c r="AA253" t="s">
        <v>903</v>
      </c>
      <c r="AB253" s="2" t="s">
        <v>921</v>
      </c>
      <c r="AC253" s="9" t="s">
        <v>987</v>
      </c>
      <c r="AD253" s="9" t="s">
        <v>988</v>
      </c>
      <c r="AE253" s="10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53" s="2" t="b">
        <v>0</v>
      </c>
      <c r="AY253"/>
      <c r="AZ253"/>
      <c r="BA253"/>
    </row>
    <row r="254" spans="1:53">
      <c r="A254" s="2" t="s">
        <v>276</v>
      </c>
      <c r="B254">
        <v>1971</v>
      </c>
      <c r="C254">
        <v>0</v>
      </c>
      <c r="D254" t="s">
        <v>1859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>
        <v>8</v>
      </c>
      <c r="K254" s="2" t="s">
        <v>19</v>
      </c>
      <c r="L254">
        <f>_xlfn.XLOOKUP("LOADINGSPEEDDEF_"&amp;PROPERTIES[[#This Row],[LOADINGSPEED]],LOADINGSPEEDDEF[TYPE],LOADINGSPEEDDEF[SPEED])</f>
        <v>0</v>
      </c>
      <c r="M254">
        <v>45</v>
      </c>
      <c r="N254">
        <v>1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>
        <v>40</v>
      </c>
      <c r="W254" s="9">
        <v>0</v>
      </c>
      <c r="X254" s="9">
        <v>0</v>
      </c>
      <c r="Y254" s="10">
        <v>0</v>
      </c>
      <c r="Z254" t="s">
        <v>905</v>
      </c>
      <c r="AA254" t="s">
        <v>903</v>
      </c>
      <c r="AB254" s="2" t="s">
        <v>921</v>
      </c>
      <c r="AC254" s="9" t="s">
        <v>987</v>
      </c>
      <c r="AD254" s="9" t="s">
        <v>988</v>
      </c>
      <c r="AE254" s="10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4" s="2" t="b">
        <v>0</v>
      </c>
      <c r="AY254"/>
      <c r="AZ254"/>
      <c r="BA254"/>
    </row>
    <row r="255" spans="1:53">
      <c r="A255" s="2" t="s">
        <v>277</v>
      </c>
      <c r="B255">
        <v>1980</v>
      </c>
      <c r="C255">
        <v>0</v>
      </c>
      <c r="D255" t="s">
        <v>1916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>
        <v>8</v>
      </c>
      <c r="K255" s="2" t="s">
        <v>19</v>
      </c>
      <c r="L255">
        <f>_xlfn.XLOOKUP("LOADINGSPEEDDEF_"&amp;PROPERTIES[[#This Row],[LOADINGSPEED]],LOADINGSPEEDDEF[TYPE],LOADINGSPEEDDEF[SPEED])</f>
        <v>0</v>
      </c>
      <c r="M255">
        <v>45</v>
      </c>
      <c r="N255">
        <v>1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>
        <v>40</v>
      </c>
      <c r="W255" s="9">
        <v>0</v>
      </c>
      <c r="X255" s="9">
        <v>0</v>
      </c>
      <c r="Y255" s="10">
        <v>0</v>
      </c>
      <c r="Z255" t="s">
        <v>908</v>
      </c>
      <c r="AA255" t="s">
        <v>903</v>
      </c>
      <c r="AB255" s="2" t="s">
        <v>921</v>
      </c>
      <c r="AC255" s="9" t="s">
        <v>987</v>
      </c>
      <c r="AD255" s="9" t="s">
        <v>988</v>
      </c>
      <c r="AE255" s="10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5" s="2" t="b">
        <v>0</v>
      </c>
      <c r="AY255"/>
      <c r="AZ255"/>
      <c r="BA255"/>
    </row>
    <row r="256" spans="1:53">
      <c r="A256" s="2" t="s">
        <v>278</v>
      </c>
      <c r="B256">
        <v>1984</v>
      </c>
      <c r="C256">
        <v>0</v>
      </c>
      <c r="D256" t="s">
        <v>1798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>
        <v>8</v>
      </c>
      <c r="K256" s="2" t="s">
        <v>19</v>
      </c>
      <c r="L256">
        <f>_xlfn.XLOOKUP("LOADINGSPEEDDEF_"&amp;PROPERTIES[[#This Row],[LOADINGSPEED]],LOADINGSPEEDDEF[TYPE],LOADINGSPEEDDEF[SPEED])</f>
        <v>0</v>
      </c>
      <c r="M256">
        <v>45</v>
      </c>
      <c r="N256">
        <v>1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>
        <v>40</v>
      </c>
      <c r="W256" s="9">
        <v>0</v>
      </c>
      <c r="X256" s="9">
        <v>0</v>
      </c>
      <c r="Y256" s="10">
        <v>0</v>
      </c>
      <c r="Z256" t="s">
        <v>912</v>
      </c>
      <c r="AA256" t="s">
        <v>903</v>
      </c>
      <c r="AB256" s="2" t="s">
        <v>921</v>
      </c>
      <c r="AC256" s="9" t="s">
        <v>987</v>
      </c>
      <c r="AD256" s="9" t="s">
        <v>988</v>
      </c>
      <c r="AE256" s="10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56" s="2" t="b">
        <v>0</v>
      </c>
      <c r="AY256"/>
      <c r="AZ256"/>
      <c r="BA256"/>
    </row>
    <row r="257" spans="1:53">
      <c r="A257" s="2" t="s">
        <v>279</v>
      </c>
      <c r="B257">
        <v>1984</v>
      </c>
      <c r="C257">
        <v>0</v>
      </c>
      <c r="D257" t="s">
        <v>1763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>
        <v>8</v>
      </c>
      <c r="K257" s="2" t="s">
        <v>19</v>
      </c>
      <c r="L257">
        <f>_xlfn.XLOOKUP("LOADINGSPEEDDEF_"&amp;PROPERTIES[[#This Row],[LOADINGSPEED]],LOADINGSPEEDDEF[TYPE],LOADINGSPEEDDEF[SPEED])</f>
        <v>0</v>
      </c>
      <c r="M257">
        <v>45</v>
      </c>
      <c r="N257">
        <v>1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>
        <v>40</v>
      </c>
      <c r="W257" s="9">
        <v>0</v>
      </c>
      <c r="X257" s="9">
        <v>0</v>
      </c>
      <c r="Y257" s="10">
        <v>0</v>
      </c>
      <c r="Z257" t="s">
        <v>906</v>
      </c>
      <c r="AA257" t="s">
        <v>903</v>
      </c>
      <c r="AB257" s="2" t="s">
        <v>921</v>
      </c>
      <c r="AC257" s="9" t="s">
        <v>987</v>
      </c>
      <c r="AD257" s="9" t="s">
        <v>988</v>
      </c>
      <c r="AE257" s="10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7" s="2" t="b">
        <v>0</v>
      </c>
      <c r="AY257"/>
      <c r="AZ257"/>
      <c r="BA257"/>
    </row>
    <row r="258" spans="1:53">
      <c r="A258" s="2" t="s">
        <v>280</v>
      </c>
      <c r="B258">
        <v>1989</v>
      </c>
      <c r="C258">
        <v>0</v>
      </c>
      <c r="D258" t="s">
        <v>1826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>
        <v>8</v>
      </c>
      <c r="K258" s="2" t="s">
        <v>19</v>
      </c>
      <c r="L258">
        <f>_xlfn.XLOOKUP("LOADINGSPEEDDEF_"&amp;PROPERTIES[[#This Row],[LOADINGSPEED]],LOADINGSPEEDDEF[TYPE],LOADINGSPEEDDEF[SPEED])</f>
        <v>0</v>
      </c>
      <c r="M258">
        <v>45</v>
      </c>
      <c r="N258"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>
        <v>40</v>
      </c>
      <c r="W258" s="9">
        <v>0</v>
      </c>
      <c r="X258" s="9">
        <v>0</v>
      </c>
      <c r="Y258" s="10">
        <v>0</v>
      </c>
      <c r="Z258" t="s">
        <v>908</v>
      </c>
      <c r="AA258" t="s">
        <v>903</v>
      </c>
      <c r="AB258" s="2" t="s">
        <v>921</v>
      </c>
      <c r="AC258" s="9" t="s">
        <v>987</v>
      </c>
      <c r="AD258" s="9" t="s">
        <v>988</v>
      </c>
      <c r="AE258" s="10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8" s="2" t="b">
        <v>0</v>
      </c>
      <c r="AY258"/>
      <c r="AZ258"/>
      <c r="BA258"/>
    </row>
    <row r="259" spans="1:53">
      <c r="A259" s="2" t="s">
        <v>281</v>
      </c>
      <c r="B259">
        <v>1989</v>
      </c>
      <c r="C259">
        <v>0</v>
      </c>
      <c r="D259" t="s">
        <v>1763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>
        <v>7</v>
      </c>
      <c r="K259" s="2" t="s">
        <v>19</v>
      </c>
      <c r="L259">
        <f>_xlfn.XLOOKUP("LOADINGSPEEDDEF_"&amp;PROPERTIES[[#This Row],[LOADINGSPEED]],LOADINGSPEEDDEF[TYPE],LOADINGSPEEDDEF[SPEED])</f>
        <v>0</v>
      </c>
      <c r="M259">
        <v>45</v>
      </c>
      <c r="N259">
        <v>1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>
        <v>40</v>
      </c>
      <c r="W259" s="9">
        <v>0</v>
      </c>
      <c r="X259" s="9">
        <v>0</v>
      </c>
      <c r="Y259" s="10">
        <v>0</v>
      </c>
      <c r="Z259" t="s">
        <v>906</v>
      </c>
      <c r="AA259" t="s">
        <v>903</v>
      </c>
      <c r="AB259" s="2" t="s">
        <v>921</v>
      </c>
      <c r="AC259" s="9" t="s">
        <v>987</v>
      </c>
      <c r="AD259" s="9" t="s">
        <v>988</v>
      </c>
      <c r="AE259" s="10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9" s="2" t="b">
        <v>0</v>
      </c>
      <c r="AY259"/>
      <c r="AZ259"/>
      <c r="BA259"/>
    </row>
    <row r="260" spans="1:53">
      <c r="A260" s="2" t="s">
        <v>282</v>
      </c>
      <c r="B260">
        <v>1992</v>
      </c>
      <c r="C260">
        <v>0</v>
      </c>
      <c r="D260" t="s">
        <v>1942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>
        <v>8</v>
      </c>
      <c r="K260" s="2" t="s">
        <v>19</v>
      </c>
      <c r="L260">
        <f>_xlfn.XLOOKUP("LOADINGSPEEDDEF_"&amp;PROPERTIES[[#This Row],[LOADINGSPEED]],LOADINGSPEEDDEF[TYPE],LOADINGSPEEDDEF[SPEED])</f>
        <v>0</v>
      </c>
      <c r="M260">
        <v>45</v>
      </c>
      <c r="N260">
        <v>1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>
        <v>40</v>
      </c>
      <c r="W260" s="9">
        <v>0</v>
      </c>
      <c r="X260" s="9">
        <v>0</v>
      </c>
      <c r="Y260" s="10">
        <v>0</v>
      </c>
      <c r="Z260" t="s">
        <v>912</v>
      </c>
      <c r="AA260" t="s">
        <v>903</v>
      </c>
      <c r="AB260" s="2" t="s">
        <v>921</v>
      </c>
      <c r="AC260" s="9" t="s">
        <v>987</v>
      </c>
      <c r="AD260" s="9" t="s">
        <v>988</v>
      </c>
      <c r="AE260" s="10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60" s="2" t="b">
        <v>0</v>
      </c>
      <c r="AY260"/>
      <c r="AZ260"/>
      <c r="BA260"/>
    </row>
    <row r="261" spans="1:53">
      <c r="A261" s="2" t="s">
        <v>283</v>
      </c>
      <c r="B261">
        <v>1994</v>
      </c>
      <c r="C261">
        <v>0</v>
      </c>
      <c r="D261" t="s">
        <v>1851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>
        <v>8</v>
      </c>
      <c r="K261" s="2" t="s">
        <v>19</v>
      </c>
      <c r="L261">
        <f>_xlfn.XLOOKUP("LOADINGSPEEDDEF_"&amp;PROPERTIES[[#This Row],[LOADINGSPEED]],LOADINGSPEEDDEF[TYPE],LOADINGSPEEDDEF[SPEED])</f>
        <v>0</v>
      </c>
      <c r="M261">
        <v>45</v>
      </c>
      <c r="N261">
        <v>1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>
        <v>40</v>
      </c>
      <c r="W261" s="9">
        <v>0</v>
      </c>
      <c r="X261" s="9">
        <v>0</v>
      </c>
      <c r="Y261" s="10">
        <v>0</v>
      </c>
      <c r="Z261" t="s">
        <v>908</v>
      </c>
      <c r="AA261" t="s">
        <v>903</v>
      </c>
      <c r="AB261" s="2" t="s">
        <v>921</v>
      </c>
      <c r="AC261" s="9" t="s">
        <v>987</v>
      </c>
      <c r="AD261" s="9" t="s">
        <v>988</v>
      </c>
      <c r="AE261" s="10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1" s="2" t="b">
        <v>0</v>
      </c>
      <c r="AY261"/>
      <c r="AZ261"/>
      <c r="BA261"/>
    </row>
    <row r="262" spans="1:53">
      <c r="A262" s="2" t="s">
        <v>284</v>
      </c>
      <c r="B262">
        <v>1988</v>
      </c>
      <c r="C262">
        <v>0</v>
      </c>
      <c r="D262" t="s">
        <v>1981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>
        <v>8</v>
      </c>
      <c r="K262" s="2" t="s">
        <v>19</v>
      </c>
      <c r="L262">
        <f>_xlfn.XLOOKUP("LOADINGSPEEDDEF_"&amp;PROPERTIES[[#This Row],[LOADINGSPEED]],LOADINGSPEEDDEF[TYPE],LOADINGSPEEDDEF[SPEED])</f>
        <v>0</v>
      </c>
      <c r="M262">
        <v>45</v>
      </c>
      <c r="N262">
        <v>1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>
        <v>40</v>
      </c>
      <c r="W262" s="9">
        <v>0</v>
      </c>
      <c r="X262" s="9">
        <v>0</v>
      </c>
      <c r="Y262" s="10">
        <v>0</v>
      </c>
      <c r="Z262" t="s">
        <v>909</v>
      </c>
      <c r="AA262" t="s">
        <v>903</v>
      </c>
      <c r="AB262" s="2" t="s">
        <v>921</v>
      </c>
      <c r="AC262" s="9" t="s">
        <v>987</v>
      </c>
      <c r="AD262" s="9" t="s">
        <v>988</v>
      </c>
      <c r="AE262" s="10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2" s="2" t="b">
        <v>0</v>
      </c>
      <c r="AY262"/>
      <c r="AZ262"/>
      <c r="BA262"/>
    </row>
    <row r="263" spans="1:53">
      <c r="A263" s="2" t="s">
        <v>285</v>
      </c>
      <c r="B263">
        <v>2002</v>
      </c>
      <c r="C263">
        <v>0</v>
      </c>
      <c r="D263" t="s">
        <v>1825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>
        <v>7</v>
      </c>
      <c r="K263" s="2" t="s">
        <v>19</v>
      </c>
      <c r="L263">
        <f>_xlfn.XLOOKUP("LOADINGSPEEDDEF_"&amp;PROPERTIES[[#This Row],[LOADINGSPEED]],LOADINGSPEEDDEF[TYPE],LOADINGSPEEDDEF[SPEED])</f>
        <v>0</v>
      </c>
      <c r="M263" t="s">
        <v>20</v>
      </c>
      <c r="N263">
        <v>1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>
        <v>40</v>
      </c>
      <c r="W263" s="9">
        <v>0</v>
      </c>
      <c r="X263" s="9">
        <v>0</v>
      </c>
      <c r="Y263" s="10">
        <v>0</v>
      </c>
      <c r="Z263" t="s">
        <v>904</v>
      </c>
      <c r="AA263" t="s">
        <v>903</v>
      </c>
      <c r="AB263" s="2" t="s">
        <v>921</v>
      </c>
      <c r="AC263" s="9" t="s">
        <v>987</v>
      </c>
      <c r="AD263" s="9" t="s">
        <v>988</v>
      </c>
      <c r="AE263" s="10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3" s="2" t="b">
        <v>0</v>
      </c>
      <c r="AY263"/>
      <c r="AZ263"/>
      <c r="BA263"/>
    </row>
    <row r="264" spans="1:53">
      <c r="A264" s="2" t="s">
        <v>286</v>
      </c>
      <c r="B264">
        <v>2003</v>
      </c>
      <c r="C264">
        <v>0</v>
      </c>
      <c r="D264" t="s">
        <v>1859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>
        <v>7</v>
      </c>
      <c r="K264" s="2" t="s">
        <v>19</v>
      </c>
      <c r="L264">
        <f>_xlfn.XLOOKUP("LOADINGSPEEDDEF_"&amp;PROPERTIES[[#This Row],[LOADINGSPEED]],LOADINGSPEEDDEF[TYPE],LOADINGSPEEDDEF[SPEED])</f>
        <v>0</v>
      </c>
      <c r="M264" t="s">
        <v>20</v>
      </c>
      <c r="N264">
        <v>1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>
        <v>40</v>
      </c>
      <c r="W264" s="9">
        <v>0</v>
      </c>
      <c r="X264" s="9">
        <v>0</v>
      </c>
      <c r="Y264" s="10">
        <v>0</v>
      </c>
      <c r="Z264" t="s">
        <v>905</v>
      </c>
      <c r="AA264" t="s">
        <v>903</v>
      </c>
      <c r="AB264" s="2" t="s">
        <v>921</v>
      </c>
      <c r="AC264" s="9" t="s">
        <v>987</v>
      </c>
      <c r="AD264" s="9" t="s">
        <v>988</v>
      </c>
      <c r="AE264" s="10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4" s="2" t="b">
        <v>0</v>
      </c>
      <c r="AY264"/>
      <c r="AZ264"/>
      <c r="BA264"/>
    </row>
    <row r="265" spans="1:53">
      <c r="A265" s="2" t="s">
        <v>287</v>
      </c>
      <c r="B265">
        <v>2003</v>
      </c>
      <c r="C265">
        <v>0</v>
      </c>
      <c r="D265" t="s">
        <v>1788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>
        <v>8</v>
      </c>
      <c r="K265" s="2" t="s">
        <v>19</v>
      </c>
      <c r="L265">
        <f>_xlfn.XLOOKUP("LOADINGSPEEDDEF_"&amp;PROPERTIES[[#This Row],[LOADINGSPEED]],LOADINGSPEEDDEF[TYPE],LOADINGSPEEDDEF[SPEED])</f>
        <v>0</v>
      </c>
      <c r="M265" t="s">
        <v>20</v>
      </c>
      <c r="N265">
        <v>1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>
        <v>40</v>
      </c>
      <c r="W265" s="9">
        <v>0</v>
      </c>
      <c r="X265" s="9">
        <v>0</v>
      </c>
      <c r="Y265" s="10">
        <v>0</v>
      </c>
      <c r="Z265" t="s">
        <v>909</v>
      </c>
      <c r="AA265" t="s">
        <v>903</v>
      </c>
      <c r="AB265" s="2" t="s">
        <v>921</v>
      </c>
      <c r="AC265" s="9" t="s">
        <v>987</v>
      </c>
      <c r="AD265" s="9" t="s">
        <v>988</v>
      </c>
      <c r="AE265" s="10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5" s="2" t="b">
        <v>0</v>
      </c>
      <c r="AY265"/>
      <c r="AZ265"/>
      <c r="BA265"/>
    </row>
    <row r="266" spans="1:53">
      <c r="A266" s="2" t="s">
        <v>288</v>
      </c>
      <c r="B266">
        <v>2006</v>
      </c>
      <c r="C266">
        <v>0</v>
      </c>
      <c r="D266" t="s">
        <v>1818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>
        <v>8</v>
      </c>
      <c r="K266" s="2" t="s">
        <v>19</v>
      </c>
      <c r="L266">
        <f>_xlfn.XLOOKUP("LOADINGSPEEDDEF_"&amp;PROPERTIES[[#This Row],[LOADINGSPEED]],LOADINGSPEEDDEF[TYPE],LOADINGSPEEDDEF[SPEED])</f>
        <v>0</v>
      </c>
      <c r="M266" t="s">
        <v>20</v>
      </c>
      <c r="N266">
        <v>1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>
        <v>40</v>
      </c>
      <c r="W266" s="9">
        <v>0</v>
      </c>
      <c r="X266" s="9">
        <v>0</v>
      </c>
      <c r="Y266" s="10">
        <v>0</v>
      </c>
      <c r="Z266" t="s">
        <v>905</v>
      </c>
      <c r="AA266" t="s">
        <v>903</v>
      </c>
      <c r="AB266" s="2" t="s">
        <v>921</v>
      </c>
      <c r="AC266" s="9" t="s">
        <v>987</v>
      </c>
      <c r="AD266" s="9" t="s">
        <v>988</v>
      </c>
      <c r="AE266" s="10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6" s="2" t="b">
        <v>0</v>
      </c>
      <c r="AY266"/>
      <c r="AZ266"/>
      <c r="BA266"/>
    </row>
    <row r="267" spans="1:53">
      <c r="A267" s="2" t="s">
        <v>289</v>
      </c>
      <c r="B267">
        <v>2011</v>
      </c>
      <c r="C267">
        <v>0</v>
      </c>
      <c r="D267" t="s">
        <v>1850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>
        <v>8</v>
      </c>
      <c r="K267" s="2" t="s">
        <v>19</v>
      </c>
      <c r="L267">
        <f>_xlfn.XLOOKUP("LOADINGSPEEDDEF_"&amp;PROPERTIES[[#This Row],[LOADINGSPEED]],LOADINGSPEEDDEF[TYPE],LOADINGSPEEDDEF[SPEED])</f>
        <v>0</v>
      </c>
      <c r="M267" t="s">
        <v>20</v>
      </c>
      <c r="N267">
        <v>1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>
        <v>40</v>
      </c>
      <c r="W267" s="9">
        <v>0</v>
      </c>
      <c r="X267" s="9">
        <v>0</v>
      </c>
      <c r="Y267" s="10">
        <v>0</v>
      </c>
      <c r="Z267" t="s">
        <v>906</v>
      </c>
      <c r="AA267" t="s">
        <v>903</v>
      </c>
      <c r="AB267" s="2" t="s">
        <v>921</v>
      </c>
      <c r="AC267" s="9" t="s">
        <v>987</v>
      </c>
      <c r="AD267" s="9" t="s">
        <v>988</v>
      </c>
      <c r="AE267" s="10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7" s="2" t="b">
        <v>0</v>
      </c>
      <c r="AY267"/>
      <c r="AZ267"/>
      <c r="BA267"/>
    </row>
    <row r="268" spans="1:53">
      <c r="A268" s="2" t="s">
        <v>290</v>
      </c>
      <c r="B268">
        <v>1930</v>
      </c>
      <c r="C268">
        <v>0</v>
      </c>
      <c r="D268" t="s">
        <v>1760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>
        <v>6</v>
      </c>
      <c r="K268" s="2" t="s">
        <v>19</v>
      </c>
      <c r="L268">
        <f>_xlfn.XLOOKUP("LOADINGSPEEDDEF_"&amp;PROPERTIES[[#This Row],[LOADINGSPEED]],LOADINGSPEEDDEF[TYPE],LOADINGSPEEDDEF[SPEED])</f>
        <v>0</v>
      </c>
      <c r="M268">
        <v>45</v>
      </c>
      <c r="N268">
        <v>1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>
        <v>40</v>
      </c>
      <c r="W268" s="9">
        <v>0</v>
      </c>
      <c r="X268" s="9">
        <v>0</v>
      </c>
      <c r="Y268" s="10">
        <v>0</v>
      </c>
      <c r="Z268" t="s">
        <v>911</v>
      </c>
      <c r="AA268" t="s">
        <v>903</v>
      </c>
      <c r="AB268" s="2" t="s">
        <v>921</v>
      </c>
      <c r="AC268" s="9" t="s">
        <v>987</v>
      </c>
      <c r="AD268" s="9" t="s">
        <v>988</v>
      </c>
      <c r="AE268" s="10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68" s="2" t="b">
        <v>0</v>
      </c>
      <c r="AY268"/>
      <c r="AZ268"/>
      <c r="BA268"/>
    </row>
    <row r="269" spans="1:53">
      <c r="A269" s="2" t="s">
        <v>291</v>
      </c>
      <c r="B269">
        <v>1938</v>
      </c>
      <c r="C269">
        <v>0</v>
      </c>
      <c r="D269" t="s">
        <v>1781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>
        <v>4</v>
      </c>
      <c r="K269" s="2" t="s">
        <v>19</v>
      </c>
      <c r="L269">
        <f>_xlfn.XLOOKUP("LOADINGSPEEDDEF_"&amp;PROPERTIES[[#This Row],[LOADINGSPEED]],LOADINGSPEEDDEF[TYPE],LOADINGSPEEDDEF[SPEED])</f>
        <v>0</v>
      </c>
      <c r="M269">
        <v>45</v>
      </c>
      <c r="N269">
        <v>1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>
        <v>40</v>
      </c>
      <c r="W269" s="9">
        <v>0</v>
      </c>
      <c r="X269" s="9">
        <v>0</v>
      </c>
      <c r="Y269" s="10">
        <v>0</v>
      </c>
      <c r="Z269" t="s">
        <v>911</v>
      </c>
      <c r="AA269" t="s">
        <v>903</v>
      </c>
      <c r="AB269" s="2" t="s">
        <v>921</v>
      </c>
      <c r="AC269" s="9" t="s">
        <v>987</v>
      </c>
      <c r="AD269" s="9" t="s">
        <v>988</v>
      </c>
      <c r="AE269" s="10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9" s="2" t="b">
        <v>0</v>
      </c>
      <c r="AY269"/>
      <c r="AZ269"/>
      <c r="BA269"/>
    </row>
    <row r="270" spans="1:53">
      <c r="A270" s="2" t="s">
        <v>292</v>
      </c>
      <c r="B270">
        <v>1961</v>
      </c>
      <c r="C270">
        <v>0</v>
      </c>
      <c r="D270" t="s">
        <v>1796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>
        <v>5</v>
      </c>
      <c r="K270" s="2" t="s">
        <v>19</v>
      </c>
      <c r="L270">
        <f>_xlfn.XLOOKUP("LOADINGSPEEDDEF_"&amp;PROPERTIES[[#This Row],[LOADINGSPEED]],LOADINGSPEEDDEF[TYPE],LOADINGSPEEDDEF[SPEED])</f>
        <v>0</v>
      </c>
      <c r="M270">
        <v>45</v>
      </c>
      <c r="N270">
        <v>1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>
        <v>40</v>
      </c>
      <c r="W270" s="9">
        <v>0</v>
      </c>
      <c r="X270" s="9">
        <v>0</v>
      </c>
      <c r="Y270" s="10">
        <v>0</v>
      </c>
      <c r="Z270" t="s">
        <v>911</v>
      </c>
      <c r="AA270" t="s">
        <v>903</v>
      </c>
      <c r="AB270" s="2" t="s">
        <v>921</v>
      </c>
      <c r="AC270" s="9" t="s">
        <v>987</v>
      </c>
      <c r="AD270" s="9" t="s">
        <v>988</v>
      </c>
      <c r="AE270" s="10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0" s="2" t="b">
        <v>0</v>
      </c>
      <c r="AY270"/>
      <c r="AZ270"/>
      <c r="BA270"/>
    </row>
    <row r="271" spans="1:53">
      <c r="A271" s="2" t="s">
        <v>293</v>
      </c>
      <c r="B271">
        <v>1965</v>
      </c>
      <c r="C271">
        <v>0</v>
      </c>
      <c r="D271" t="s">
        <v>1923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>
        <v>6</v>
      </c>
      <c r="K271" s="2" t="s">
        <v>19</v>
      </c>
      <c r="L271">
        <f>_xlfn.XLOOKUP("LOADINGSPEEDDEF_"&amp;PROPERTIES[[#This Row],[LOADINGSPEED]],LOADINGSPEEDDEF[TYPE],LOADINGSPEEDDEF[SPEED])</f>
        <v>0</v>
      </c>
      <c r="M271">
        <v>45</v>
      </c>
      <c r="N271">
        <v>1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>
        <v>40</v>
      </c>
      <c r="W271" s="9">
        <v>0</v>
      </c>
      <c r="X271" s="9">
        <v>0</v>
      </c>
      <c r="Y271" s="10">
        <v>0</v>
      </c>
      <c r="Z271" t="s">
        <v>911</v>
      </c>
      <c r="AA271" t="s">
        <v>903</v>
      </c>
      <c r="AB271" s="2" t="s">
        <v>921</v>
      </c>
      <c r="AC271" s="9" t="s">
        <v>987</v>
      </c>
      <c r="AD271" s="9" t="s">
        <v>988</v>
      </c>
      <c r="AE271" s="10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1" s="2" t="b">
        <v>0</v>
      </c>
      <c r="AY271"/>
      <c r="AZ271"/>
      <c r="BA271"/>
    </row>
    <row r="272" spans="1:53">
      <c r="A272" s="2" t="s">
        <v>294</v>
      </c>
      <c r="B272">
        <v>1970</v>
      </c>
      <c r="C272">
        <v>0</v>
      </c>
      <c r="D272" t="s">
        <v>1781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>
        <v>8</v>
      </c>
      <c r="K272" s="2" t="s">
        <v>19</v>
      </c>
      <c r="L272">
        <f>_xlfn.XLOOKUP("LOADINGSPEEDDEF_"&amp;PROPERTIES[[#This Row],[LOADINGSPEED]],LOADINGSPEEDDEF[TYPE],LOADINGSPEEDDEF[SPEED])</f>
        <v>0</v>
      </c>
      <c r="M272">
        <v>45</v>
      </c>
      <c r="N272">
        <v>1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>
        <v>40</v>
      </c>
      <c r="W272" s="9">
        <v>0</v>
      </c>
      <c r="X272" s="9">
        <v>0</v>
      </c>
      <c r="Y272" s="10">
        <v>0</v>
      </c>
      <c r="Z272" t="s">
        <v>911</v>
      </c>
      <c r="AA272" t="s">
        <v>903</v>
      </c>
      <c r="AB272" s="2" t="s">
        <v>921</v>
      </c>
      <c r="AC272" s="9" t="s">
        <v>987</v>
      </c>
      <c r="AD272" s="9" t="s">
        <v>988</v>
      </c>
      <c r="AE272" s="10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72" s="2" t="b">
        <v>0</v>
      </c>
      <c r="AY272"/>
      <c r="AZ272"/>
      <c r="BA272"/>
    </row>
    <row r="273" spans="1:53">
      <c r="A273" s="2" t="s">
        <v>295</v>
      </c>
      <c r="B273">
        <v>1984</v>
      </c>
      <c r="C273">
        <v>0</v>
      </c>
      <c r="D273" t="s">
        <v>1923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>
        <v>8</v>
      </c>
      <c r="K273" s="2" t="s">
        <v>19</v>
      </c>
      <c r="L273">
        <f>_xlfn.XLOOKUP("LOADINGSPEEDDEF_"&amp;PROPERTIES[[#This Row],[LOADINGSPEED]],LOADINGSPEEDDEF[TYPE],LOADINGSPEEDDEF[SPEED])</f>
        <v>0</v>
      </c>
      <c r="M273">
        <v>45</v>
      </c>
      <c r="N273">
        <v>1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>
        <v>40</v>
      </c>
      <c r="W273" s="9">
        <v>0</v>
      </c>
      <c r="X273" s="9">
        <v>0</v>
      </c>
      <c r="Y273" s="10">
        <v>0</v>
      </c>
      <c r="Z273" t="s">
        <v>911</v>
      </c>
      <c r="AA273" t="s">
        <v>903</v>
      </c>
      <c r="AB273" s="2" t="s">
        <v>921</v>
      </c>
      <c r="AC273" s="9" t="s">
        <v>987</v>
      </c>
      <c r="AD273" s="9" t="s">
        <v>988</v>
      </c>
      <c r="AE273" s="10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73" s="2" t="b">
        <v>0</v>
      </c>
      <c r="AY273"/>
      <c r="AZ273"/>
      <c r="BA273"/>
    </row>
    <row r="274" spans="1:53">
      <c r="A274" s="2" t="s">
        <v>296</v>
      </c>
      <c r="B274">
        <v>1991</v>
      </c>
      <c r="C274">
        <v>0</v>
      </c>
      <c r="D274" t="s">
        <v>1760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>
        <v>7</v>
      </c>
      <c r="K274" s="2" t="s">
        <v>19</v>
      </c>
      <c r="L274">
        <f>_xlfn.XLOOKUP("LOADINGSPEEDDEF_"&amp;PROPERTIES[[#This Row],[LOADINGSPEED]],LOADINGSPEEDDEF[TYPE],LOADINGSPEEDDEF[SPEED])</f>
        <v>0</v>
      </c>
      <c r="M274">
        <v>45</v>
      </c>
      <c r="N274">
        <v>1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>
        <v>40</v>
      </c>
      <c r="W274" s="9">
        <v>0</v>
      </c>
      <c r="X274" s="9">
        <v>0</v>
      </c>
      <c r="Y274" s="10">
        <v>0</v>
      </c>
      <c r="Z274" t="s">
        <v>911</v>
      </c>
      <c r="AA274" t="s">
        <v>903</v>
      </c>
      <c r="AB274" s="2" t="s">
        <v>921</v>
      </c>
      <c r="AC274" s="9" t="s">
        <v>987</v>
      </c>
      <c r="AD274" s="9" t="s">
        <v>988</v>
      </c>
      <c r="AE274" s="10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4" s="2" t="b">
        <v>0</v>
      </c>
      <c r="AY274"/>
      <c r="AZ274"/>
      <c r="BA274"/>
    </row>
    <row r="275" spans="1:53">
      <c r="A275" s="2" t="s">
        <v>297</v>
      </c>
      <c r="B275">
        <v>2013</v>
      </c>
      <c r="C275">
        <v>0</v>
      </c>
      <c r="D275" t="s">
        <v>1760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>
        <v>8</v>
      </c>
      <c r="K275" s="2" t="s">
        <v>19</v>
      </c>
      <c r="L275">
        <f>_xlfn.XLOOKUP("LOADINGSPEEDDEF_"&amp;PROPERTIES[[#This Row],[LOADINGSPEED]],LOADINGSPEEDDEF[TYPE],LOADINGSPEEDDEF[SPEED])</f>
        <v>0</v>
      </c>
      <c r="M275" t="s">
        <v>20</v>
      </c>
      <c r="N275">
        <v>1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>
        <v>40</v>
      </c>
      <c r="W275" s="9">
        <v>0</v>
      </c>
      <c r="X275" s="9">
        <v>0</v>
      </c>
      <c r="Y275" s="10">
        <v>0</v>
      </c>
      <c r="Z275" t="s">
        <v>911</v>
      </c>
      <c r="AA275" t="s">
        <v>903</v>
      </c>
      <c r="AB275" s="2" t="s">
        <v>921</v>
      </c>
      <c r="AC275" s="9" t="s">
        <v>987</v>
      </c>
      <c r="AD275" s="9" t="s">
        <v>988</v>
      </c>
      <c r="AE275" s="10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5" s="2" t="b">
        <v>0</v>
      </c>
      <c r="AY275"/>
      <c r="AZ275"/>
      <c r="BA275"/>
    </row>
    <row r="276" spans="1:53">
      <c r="A276" s="2" t="s">
        <v>298</v>
      </c>
      <c r="B276">
        <v>1939</v>
      </c>
      <c r="C276">
        <v>0</v>
      </c>
      <c r="D276" t="s">
        <v>1995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>
        <v>5</v>
      </c>
      <c r="K276" s="2" t="s">
        <v>19</v>
      </c>
      <c r="L276">
        <f>_xlfn.XLOOKUP("LOADINGSPEEDDEF_"&amp;PROPERTIES[[#This Row],[LOADINGSPEED]],LOADINGSPEEDDEF[TYPE],LOADINGSPEEDDEF[SPEED])</f>
        <v>0</v>
      </c>
      <c r="M276">
        <v>45</v>
      </c>
      <c r="N276">
        <v>1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>
        <v>40</v>
      </c>
      <c r="W276" s="9">
        <v>0</v>
      </c>
      <c r="X276" s="9">
        <v>0</v>
      </c>
      <c r="Y276" s="10">
        <v>0</v>
      </c>
      <c r="Z276" t="s">
        <v>907</v>
      </c>
      <c r="AA276" t="s">
        <v>903</v>
      </c>
      <c r="AB276" s="2" t="s">
        <v>921</v>
      </c>
      <c r="AC276" s="9" t="s">
        <v>987</v>
      </c>
      <c r="AD276" s="9" t="s">
        <v>988</v>
      </c>
      <c r="AE276" s="10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76" s="2" t="b">
        <v>0</v>
      </c>
      <c r="AY276"/>
      <c r="AZ276"/>
      <c r="BA276"/>
    </row>
    <row r="277" spans="1:53">
      <c r="A277" s="2" t="s">
        <v>299</v>
      </c>
      <c r="B277">
        <v>1950</v>
      </c>
      <c r="C277">
        <v>0</v>
      </c>
      <c r="D277" t="s">
        <v>1812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>
        <v>6</v>
      </c>
      <c r="K277" s="2" t="s">
        <v>19</v>
      </c>
      <c r="L277">
        <f>_xlfn.XLOOKUP("LOADINGSPEEDDEF_"&amp;PROPERTIES[[#This Row],[LOADINGSPEED]],LOADINGSPEEDDEF[TYPE],LOADINGSPEEDDEF[SPEED])</f>
        <v>0</v>
      </c>
      <c r="M277">
        <v>45</v>
      </c>
      <c r="N277">
        <v>1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>
        <v>40</v>
      </c>
      <c r="W277" s="9">
        <v>0</v>
      </c>
      <c r="X277" s="9">
        <v>0</v>
      </c>
      <c r="Y277" s="10">
        <v>0</v>
      </c>
      <c r="Z277" t="s">
        <v>907</v>
      </c>
      <c r="AA277" t="s">
        <v>903</v>
      </c>
      <c r="AB277" s="2" t="s">
        <v>921</v>
      </c>
      <c r="AC277" s="9" t="s">
        <v>987</v>
      </c>
      <c r="AD277" s="9" t="s">
        <v>988</v>
      </c>
      <c r="AE277" s="10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7" s="2" t="b">
        <v>0</v>
      </c>
      <c r="AY277"/>
      <c r="AZ277"/>
      <c r="BA277"/>
    </row>
    <row r="278" spans="1:53">
      <c r="A278" s="2" t="s">
        <v>300</v>
      </c>
      <c r="B278">
        <v>1960</v>
      </c>
      <c r="C278">
        <v>0</v>
      </c>
      <c r="D278" t="s">
        <v>1972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>
        <v>5</v>
      </c>
      <c r="K278" s="2" t="s">
        <v>19</v>
      </c>
      <c r="L278">
        <f>_xlfn.XLOOKUP("LOADINGSPEEDDEF_"&amp;PROPERTIES[[#This Row],[LOADINGSPEED]],LOADINGSPEEDDEF[TYPE],LOADINGSPEEDDEF[SPEED])</f>
        <v>0</v>
      </c>
      <c r="M278">
        <v>45</v>
      </c>
      <c r="N278">
        <v>1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>
        <v>40</v>
      </c>
      <c r="W278" s="9">
        <v>0</v>
      </c>
      <c r="X278" s="9">
        <v>0</v>
      </c>
      <c r="Y278" s="10">
        <v>0</v>
      </c>
      <c r="Z278" t="s">
        <v>907</v>
      </c>
      <c r="AA278" t="s">
        <v>903</v>
      </c>
      <c r="AB278" s="2" t="s">
        <v>921</v>
      </c>
      <c r="AC278" s="9" t="s">
        <v>987</v>
      </c>
      <c r="AD278" s="9" t="s">
        <v>988</v>
      </c>
      <c r="AE278" s="10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8" s="2" t="b">
        <v>0</v>
      </c>
      <c r="AY278"/>
      <c r="AZ278"/>
      <c r="BA278"/>
    </row>
    <row r="279" spans="1:53">
      <c r="A279" s="2" t="s">
        <v>301</v>
      </c>
      <c r="B279">
        <v>1974</v>
      </c>
      <c r="C279">
        <v>0</v>
      </c>
      <c r="D279" t="s">
        <v>1815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>
        <v>7</v>
      </c>
      <c r="K279" s="2" t="s">
        <v>19</v>
      </c>
      <c r="L279">
        <f>_xlfn.XLOOKUP("LOADINGSPEEDDEF_"&amp;PROPERTIES[[#This Row],[LOADINGSPEED]],LOADINGSPEEDDEF[TYPE],LOADINGSPEEDDEF[SPEED])</f>
        <v>0</v>
      </c>
      <c r="M279">
        <v>45</v>
      </c>
      <c r="N279">
        <v>1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>
        <v>40</v>
      </c>
      <c r="W279" s="9">
        <v>0</v>
      </c>
      <c r="X279" s="9">
        <v>0</v>
      </c>
      <c r="Y279" s="10">
        <v>0</v>
      </c>
      <c r="Z279" t="s">
        <v>907</v>
      </c>
      <c r="AA279" t="s">
        <v>903</v>
      </c>
      <c r="AB279" s="2" t="s">
        <v>921</v>
      </c>
      <c r="AC279" s="9" t="s">
        <v>987</v>
      </c>
      <c r="AD279" s="9" t="s">
        <v>988</v>
      </c>
      <c r="AE279" s="10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9" s="2" t="b">
        <v>0</v>
      </c>
      <c r="AY279"/>
      <c r="AZ279"/>
      <c r="BA279"/>
    </row>
    <row r="280" spans="1:53">
      <c r="A280" s="2" t="s">
        <v>302</v>
      </c>
      <c r="B280">
        <v>1977</v>
      </c>
      <c r="C280">
        <v>0</v>
      </c>
      <c r="D280" t="s">
        <v>1972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>
        <v>5</v>
      </c>
      <c r="K280" s="2" t="s">
        <v>19</v>
      </c>
      <c r="L280">
        <f>_xlfn.XLOOKUP("LOADINGSPEEDDEF_"&amp;PROPERTIES[[#This Row],[LOADINGSPEED]],LOADINGSPEEDDEF[TYPE],LOADINGSPEEDDEF[SPEED])</f>
        <v>0</v>
      </c>
      <c r="M280">
        <v>45</v>
      </c>
      <c r="N280">
        <v>1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>
        <v>40</v>
      </c>
      <c r="W280" s="9">
        <v>0</v>
      </c>
      <c r="X280" s="9">
        <v>0</v>
      </c>
      <c r="Y280" s="10">
        <v>0</v>
      </c>
      <c r="Z280" t="s">
        <v>907</v>
      </c>
      <c r="AA280" t="s">
        <v>903</v>
      </c>
      <c r="AB280" s="2" t="s">
        <v>921</v>
      </c>
      <c r="AC280" s="9" t="s">
        <v>987</v>
      </c>
      <c r="AD280" s="9" t="s">
        <v>988</v>
      </c>
      <c r="AE280" s="10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0" s="2" t="b">
        <v>0</v>
      </c>
      <c r="AY280"/>
      <c r="AZ280"/>
      <c r="BA280"/>
    </row>
    <row r="281" spans="1:53">
      <c r="A281" s="2" t="s">
        <v>303</v>
      </c>
      <c r="B281">
        <v>1989</v>
      </c>
      <c r="C281">
        <v>0</v>
      </c>
      <c r="D281" t="s">
        <v>1886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>
        <v>8</v>
      </c>
      <c r="K281" s="2" t="s">
        <v>19</v>
      </c>
      <c r="L281">
        <f>_xlfn.XLOOKUP("LOADINGSPEEDDEF_"&amp;PROPERTIES[[#This Row],[LOADINGSPEED]],LOADINGSPEEDDEF[TYPE],LOADINGSPEEDDEF[SPEED])</f>
        <v>0</v>
      </c>
      <c r="M281">
        <v>45</v>
      </c>
      <c r="N281">
        <v>1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>
        <v>40</v>
      </c>
      <c r="W281" s="9">
        <v>0</v>
      </c>
      <c r="X281" s="9">
        <v>0</v>
      </c>
      <c r="Y281" s="10">
        <v>0</v>
      </c>
      <c r="Z281" t="s">
        <v>907</v>
      </c>
      <c r="AA281" t="s">
        <v>903</v>
      </c>
      <c r="AB281" s="2" t="s">
        <v>921</v>
      </c>
      <c r="AC281" s="9" t="s">
        <v>987</v>
      </c>
      <c r="AD281" s="9" t="s">
        <v>988</v>
      </c>
      <c r="AE281" s="10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1" s="2" t="b">
        <v>0</v>
      </c>
      <c r="AY281"/>
      <c r="AZ281"/>
      <c r="BA281"/>
    </row>
    <row r="282" spans="1:53">
      <c r="A282" s="2" t="s">
        <v>304</v>
      </c>
      <c r="B282">
        <v>1964</v>
      </c>
      <c r="C282">
        <v>0</v>
      </c>
      <c r="D282" t="s">
        <v>1978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>
        <v>8</v>
      </c>
      <c r="K282" s="2" t="s">
        <v>19</v>
      </c>
      <c r="L282">
        <f>_xlfn.XLOOKUP("LOADINGSPEEDDEF_"&amp;PROPERTIES[[#This Row],[LOADINGSPEED]],LOADINGSPEEDDEF[TYPE],LOADINGSPEEDDEF[SPEED])</f>
        <v>0</v>
      </c>
      <c r="M282">
        <v>45</v>
      </c>
      <c r="N282">
        <v>1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>
        <v>40</v>
      </c>
      <c r="W282" s="9">
        <v>0</v>
      </c>
      <c r="X282" s="9">
        <v>0</v>
      </c>
      <c r="Y282" s="10">
        <v>0</v>
      </c>
      <c r="Z282" t="s">
        <v>910</v>
      </c>
      <c r="AA282" t="s">
        <v>903</v>
      </c>
      <c r="AB282" s="2" t="s">
        <v>921</v>
      </c>
      <c r="AC282" s="9" t="s">
        <v>987</v>
      </c>
      <c r="AD282" s="9" t="s">
        <v>988</v>
      </c>
      <c r="AE282" s="10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2" s="2" t="b">
        <v>0</v>
      </c>
      <c r="AY282"/>
      <c r="AZ282"/>
      <c r="BA282"/>
    </row>
    <row r="283" spans="1:53">
      <c r="A283" s="2" t="s">
        <v>305</v>
      </c>
      <c r="B283">
        <v>1981</v>
      </c>
      <c r="C283">
        <v>0</v>
      </c>
      <c r="D283" t="s">
        <v>1940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>
        <v>16</v>
      </c>
      <c r="K283" s="2" t="s">
        <v>19</v>
      </c>
      <c r="L283">
        <f>_xlfn.XLOOKUP("LOADINGSPEEDDEF_"&amp;PROPERTIES[[#This Row],[LOADINGSPEED]],LOADINGSPEEDDEF[TYPE],LOADINGSPEEDDEF[SPEED])</f>
        <v>0</v>
      </c>
      <c r="M283">
        <v>45</v>
      </c>
      <c r="N283"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>
        <v>40</v>
      </c>
      <c r="W283" s="9">
        <v>0</v>
      </c>
      <c r="X283" s="9">
        <v>0</v>
      </c>
      <c r="Y283" s="10">
        <v>0</v>
      </c>
      <c r="Z283" t="s">
        <v>910</v>
      </c>
      <c r="AA283" t="s">
        <v>903</v>
      </c>
      <c r="AB283" s="2" t="s">
        <v>921</v>
      </c>
      <c r="AC283" s="9" t="s">
        <v>987</v>
      </c>
      <c r="AD283" s="9" t="s">
        <v>988</v>
      </c>
      <c r="AE283" s="10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3" s="2" t="b">
        <v>0</v>
      </c>
      <c r="AY283"/>
      <c r="AZ283"/>
      <c r="BA283"/>
    </row>
    <row r="284" spans="1:53">
      <c r="A284" s="2" t="s">
        <v>306</v>
      </c>
      <c r="B284">
        <v>1985</v>
      </c>
      <c r="C284">
        <v>0</v>
      </c>
      <c r="D284" t="s">
        <v>1928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>
        <v>6</v>
      </c>
      <c r="K284" s="2" t="s">
        <v>19</v>
      </c>
      <c r="L284">
        <f>_xlfn.XLOOKUP("LOADINGSPEEDDEF_"&amp;PROPERTIES[[#This Row],[LOADINGSPEED]],LOADINGSPEEDDEF[TYPE],LOADINGSPEEDDEF[SPEED])</f>
        <v>0</v>
      </c>
      <c r="M284">
        <v>45</v>
      </c>
      <c r="N284">
        <v>1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>
        <v>40</v>
      </c>
      <c r="W284" s="9">
        <v>0</v>
      </c>
      <c r="X284" s="9">
        <v>0</v>
      </c>
      <c r="Y284" s="10">
        <v>0</v>
      </c>
      <c r="Z284" t="s">
        <v>910</v>
      </c>
      <c r="AA284" t="s">
        <v>903</v>
      </c>
      <c r="AB284" s="2" t="s">
        <v>921</v>
      </c>
      <c r="AC284" s="9" t="s">
        <v>987</v>
      </c>
      <c r="AD284" s="9" t="s">
        <v>988</v>
      </c>
      <c r="AE284" s="10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4" s="2" t="b">
        <v>0</v>
      </c>
      <c r="AY284"/>
      <c r="AZ284"/>
      <c r="BA284"/>
    </row>
    <row r="285" spans="1:53">
      <c r="A285" s="2" t="s">
        <v>307</v>
      </c>
      <c r="B285">
        <v>1987</v>
      </c>
      <c r="C285">
        <v>0</v>
      </c>
      <c r="D285" t="s">
        <v>1978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>
        <v>8</v>
      </c>
      <c r="K285" s="2" t="s">
        <v>19</v>
      </c>
      <c r="L285">
        <f>_xlfn.XLOOKUP("LOADINGSPEEDDEF_"&amp;PROPERTIES[[#This Row],[LOADINGSPEED]],LOADINGSPEEDDEF[TYPE],LOADINGSPEEDDEF[SPEED])</f>
        <v>0</v>
      </c>
      <c r="M285">
        <v>45</v>
      </c>
      <c r="N285"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>
        <v>40</v>
      </c>
      <c r="W285" s="9">
        <v>0</v>
      </c>
      <c r="X285" s="9">
        <v>0</v>
      </c>
      <c r="Y285" s="10">
        <v>0</v>
      </c>
      <c r="Z285" t="s">
        <v>910</v>
      </c>
      <c r="AA285" t="s">
        <v>903</v>
      </c>
      <c r="AB285" s="2" t="s">
        <v>921</v>
      </c>
      <c r="AC285" s="9" t="s">
        <v>987</v>
      </c>
      <c r="AD285" s="9" t="s">
        <v>988</v>
      </c>
      <c r="AE285" s="10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5" s="2" t="b">
        <v>0</v>
      </c>
      <c r="AY285"/>
      <c r="AZ285"/>
      <c r="BA285"/>
    </row>
    <row r="286" spans="1:53">
      <c r="A286" s="2" t="s">
        <v>308</v>
      </c>
      <c r="B286">
        <v>1989</v>
      </c>
      <c r="C286">
        <v>0</v>
      </c>
      <c r="D286" t="s">
        <v>1978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>
        <v>16</v>
      </c>
      <c r="K286" s="2" t="s">
        <v>19</v>
      </c>
      <c r="L286">
        <f>_xlfn.XLOOKUP("LOADINGSPEEDDEF_"&amp;PROPERTIES[[#This Row],[LOADINGSPEED]],LOADINGSPEEDDEF[TYPE],LOADINGSPEEDDEF[SPEED])</f>
        <v>0</v>
      </c>
      <c r="M286">
        <v>45</v>
      </c>
      <c r="N286"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>
        <v>40</v>
      </c>
      <c r="W286" s="9">
        <v>0</v>
      </c>
      <c r="X286" s="9">
        <v>0</v>
      </c>
      <c r="Y286" s="10">
        <v>0</v>
      </c>
      <c r="Z286" t="s">
        <v>910</v>
      </c>
      <c r="AA286" t="s">
        <v>903</v>
      </c>
      <c r="AB286" s="2" t="s">
        <v>921</v>
      </c>
      <c r="AC286" s="9" t="s">
        <v>987</v>
      </c>
      <c r="AD286" s="9" t="s">
        <v>988</v>
      </c>
      <c r="AE286" s="10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6" s="2" t="b">
        <v>0</v>
      </c>
      <c r="AY286"/>
      <c r="AZ286"/>
      <c r="BA286"/>
    </row>
    <row r="287" spans="1:53">
      <c r="A287" s="2" t="s">
        <v>309</v>
      </c>
      <c r="B287">
        <v>1992</v>
      </c>
      <c r="C287">
        <v>0</v>
      </c>
      <c r="D287" t="s">
        <v>1939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>
        <v>4</v>
      </c>
      <c r="K287" s="2" t="s">
        <v>19</v>
      </c>
      <c r="L287">
        <f>_xlfn.XLOOKUP("LOADINGSPEEDDEF_"&amp;PROPERTIES[[#This Row],[LOADINGSPEED]],LOADINGSPEEDDEF[TYPE],LOADINGSPEEDDEF[SPEED])</f>
        <v>0</v>
      </c>
      <c r="M287">
        <v>45</v>
      </c>
      <c r="N287"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>
        <v>40</v>
      </c>
      <c r="W287" s="9">
        <v>0</v>
      </c>
      <c r="X287" s="9">
        <v>0</v>
      </c>
      <c r="Y287" s="10">
        <v>0</v>
      </c>
      <c r="Z287" t="s">
        <v>910</v>
      </c>
      <c r="AA287" t="s">
        <v>903</v>
      </c>
      <c r="AB287" s="2" t="s">
        <v>921</v>
      </c>
      <c r="AC287" s="9" t="s">
        <v>987</v>
      </c>
      <c r="AD287" s="9" t="s">
        <v>988</v>
      </c>
      <c r="AE287" s="10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7" s="2" t="b">
        <v>0</v>
      </c>
      <c r="AY287"/>
      <c r="AZ287"/>
      <c r="BA287"/>
    </row>
    <row r="288" spans="1:53">
      <c r="A288" s="2" t="s">
        <v>310</v>
      </c>
      <c r="B288">
        <v>1931</v>
      </c>
      <c r="C288">
        <v>0</v>
      </c>
      <c r="D288" t="s">
        <v>1859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>
        <v>2</v>
      </c>
      <c r="K288" s="2" t="s">
        <v>19</v>
      </c>
      <c r="L288">
        <f>_xlfn.XLOOKUP("LOADINGSPEEDDEF_"&amp;PROPERTIES[[#This Row],[LOADINGSPEED]],LOADINGSPEEDDEF[TYPE],LOADINGSPEEDDEF[SPEED])</f>
        <v>0</v>
      </c>
      <c r="M288">
        <v>45</v>
      </c>
      <c r="N288">
        <v>1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>
        <v>40</v>
      </c>
      <c r="W288" s="9">
        <v>0</v>
      </c>
      <c r="X288" s="9">
        <v>0</v>
      </c>
      <c r="Y288" s="10">
        <v>0</v>
      </c>
      <c r="Z288" t="s">
        <v>905</v>
      </c>
      <c r="AA288" t="s">
        <v>903</v>
      </c>
      <c r="AB288" s="2" t="s">
        <v>921</v>
      </c>
      <c r="AC288" s="9" t="s">
        <v>987</v>
      </c>
      <c r="AD288" s="9" t="s">
        <v>988</v>
      </c>
      <c r="AE288" s="10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88" s="2" t="b">
        <v>0</v>
      </c>
      <c r="AY288"/>
      <c r="AZ288"/>
      <c r="BA288"/>
    </row>
    <row r="289" spans="1:53">
      <c r="A289" s="2" t="s">
        <v>311</v>
      </c>
      <c r="B289">
        <v>1945</v>
      </c>
      <c r="C289">
        <v>0</v>
      </c>
      <c r="D289" t="s">
        <v>1940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>
        <v>8</v>
      </c>
      <c r="K289" s="2" t="s">
        <v>19</v>
      </c>
      <c r="L289">
        <f>_xlfn.XLOOKUP("LOADINGSPEEDDEF_"&amp;PROPERTIES[[#This Row],[LOADINGSPEED]],LOADINGSPEEDDEF[TYPE],LOADINGSPEEDDEF[SPEED])</f>
        <v>0</v>
      </c>
      <c r="M289">
        <v>45</v>
      </c>
      <c r="N289">
        <v>1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>
        <v>40</v>
      </c>
      <c r="W289" s="9">
        <v>0</v>
      </c>
      <c r="X289" s="9">
        <v>0</v>
      </c>
      <c r="Y289" s="10">
        <v>0</v>
      </c>
      <c r="Z289" t="s">
        <v>912</v>
      </c>
      <c r="AA289" t="s">
        <v>903</v>
      </c>
      <c r="AB289" s="2" t="s">
        <v>921</v>
      </c>
      <c r="AC289" s="9" t="s">
        <v>987</v>
      </c>
      <c r="AD289" s="9" t="s">
        <v>988</v>
      </c>
      <c r="AE289" s="10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9" s="2" t="b">
        <v>0</v>
      </c>
      <c r="AY289"/>
      <c r="AZ289"/>
      <c r="BA289"/>
    </row>
    <row r="290" spans="1:53">
      <c r="A290" s="2" t="s">
        <v>312</v>
      </c>
      <c r="B290">
        <v>1948</v>
      </c>
      <c r="C290">
        <v>0</v>
      </c>
      <c r="D290" t="s">
        <v>1933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>
        <v>6</v>
      </c>
      <c r="K290" s="2" t="s">
        <v>19</v>
      </c>
      <c r="L290">
        <f>_xlfn.XLOOKUP("LOADINGSPEEDDEF_"&amp;PROPERTIES[[#This Row],[LOADINGSPEED]],LOADINGSPEEDDEF[TYPE],LOADINGSPEEDDEF[SPEED])</f>
        <v>0</v>
      </c>
      <c r="M290">
        <v>45</v>
      </c>
      <c r="N290">
        <v>1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>
        <v>40</v>
      </c>
      <c r="W290" s="9">
        <v>0</v>
      </c>
      <c r="X290" s="9">
        <v>0</v>
      </c>
      <c r="Y290" s="10">
        <v>0</v>
      </c>
      <c r="Z290" t="s">
        <v>905</v>
      </c>
      <c r="AA290" t="s">
        <v>903</v>
      </c>
      <c r="AB290" s="2" t="s">
        <v>921</v>
      </c>
      <c r="AC290" s="9" t="s">
        <v>987</v>
      </c>
      <c r="AD290" s="9" t="s">
        <v>988</v>
      </c>
      <c r="AE290" s="10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0" s="2" t="b">
        <v>0</v>
      </c>
      <c r="AY290"/>
      <c r="AZ290"/>
      <c r="BA290"/>
    </row>
    <row r="291" spans="1:53">
      <c r="A291" s="2" t="s">
        <v>313</v>
      </c>
      <c r="B291">
        <v>1969</v>
      </c>
      <c r="C291">
        <v>0</v>
      </c>
      <c r="D291" t="s">
        <v>1825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>
        <v>8</v>
      </c>
      <c r="K291" s="2" t="s">
        <v>19</v>
      </c>
      <c r="L291">
        <f>_xlfn.XLOOKUP("LOADINGSPEEDDEF_"&amp;PROPERTIES[[#This Row],[LOADINGSPEED]],LOADINGSPEEDDEF[TYPE],LOADINGSPEEDDEF[SPEED])</f>
        <v>0</v>
      </c>
      <c r="M291">
        <v>45</v>
      </c>
      <c r="N291">
        <v>1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>
        <v>40</v>
      </c>
      <c r="W291" s="9">
        <v>0</v>
      </c>
      <c r="X291" s="9">
        <v>0</v>
      </c>
      <c r="Y291" s="10">
        <v>0</v>
      </c>
      <c r="Z291" t="s">
        <v>904</v>
      </c>
      <c r="AA291" t="s">
        <v>903</v>
      </c>
      <c r="AB291" s="2" t="s">
        <v>921</v>
      </c>
      <c r="AC291" s="9" t="s">
        <v>987</v>
      </c>
      <c r="AD291" s="9" t="s">
        <v>988</v>
      </c>
      <c r="AE291" s="10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1" s="2" t="b">
        <v>0</v>
      </c>
      <c r="AY291"/>
      <c r="AZ291"/>
      <c r="BA291"/>
    </row>
    <row r="292" spans="1:53">
      <c r="A292" s="2" t="s">
        <v>314</v>
      </c>
      <c r="B292">
        <v>1988</v>
      </c>
      <c r="C292">
        <v>0</v>
      </c>
      <c r="D292" t="s">
        <v>1915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>
        <v>6</v>
      </c>
      <c r="K292" s="2" t="s">
        <v>19</v>
      </c>
      <c r="L292">
        <f>_xlfn.XLOOKUP("LOADINGSPEEDDEF_"&amp;PROPERTIES[[#This Row],[LOADINGSPEED]],LOADINGSPEEDDEF[TYPE],LOADINGSPEEDDEF[SPEED])</f>
        <v>0</v>
      </c>
      <c r="M292">
        <v>45</v>
      </c>
      <c r="N292">
        <v>1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>
        <v>40</v>
      </c>
      <c r="W292" s="9">
        <v>0</v>
      </c>
      <c r="X292" s="9">
        <v>0</v>
      </c>
      <c r="Y292" s="10">
        <v>0</v>
      </c>
      <c r="Z292" t="s">
        <v>904</v>
      </c>
      <c r="AA292" t="s">
        <v>903</v>
      </c>
      <c r="AB292" s="2" t="s">
        <v>921</v>
      </c>
      <c r="AC292" s="9" t="s">
        <v>987</v>
      </c>
      <c r="AD292" s="9" t="s">
        <v>988</v>
      </c>
      <c r="AE292" s="10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2" s="2" t="b">
        <v>0</v>
      </c>
      <c r="AY292"/>
      <c r="AZ292"/>
      <c r="BA292"/>
    </row>
    <row r="293" spans="1:53">
      <c r="A293" s="2" t="s">
        <v>315</v>
      </c>
      <c r="B293">
        <v>2009</v>
      </c>
      <c r="C293">
        <v>0</v>
      </c>
      <c r="D293" t="s">
        <v>1815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>
        <v>8</v>
      </c>
      <c r="K293" s="2" t="s">
        <v>19</v>
      </c>
      <c r="L293">
        <f>_xlfn.XLOOKUP("LOADINGSPEEDDEF_"&amp;PROPERTIES[[#This Row],[LOADINGSPEED]],LOADINGSPEEDDEF[TYPE],LOADINGSPEEDDEF[SPEED])</f>
        <v>0</v>
      </c>
      <c r="M293">
        <v>45</v>
      </c>
      <c r="N293">
        <v>1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>
        <v>40</v>
      </c>
      <c r="W293" s="9">
        <v>0</v>
      </c>
      <c r="X293" s="9">
        <v>0</v>
      </c>
      <c r="Y293" s="10">
        <v>0</v>
      </c>
      <c r="Z293" t="s">
        <v>907</v>
      </c>
      <c r="AA293" t="s">
        <v>903</v>
      </c>
      <c r="AB293" s="2" t="s">
        <v>921</v>
      </c>
      <c r="AC293" s="9" t="s">
        <v>987</v>
      </c>
      <c r="AD293" s="9" t="s">
        <v>988</v>
      </c>
      <c r="AE293" s="10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3" s="2" t="b">
        <v>0</v>
      </c>
      <c r="AY293"/>
      <c r="AZ293"/>
      <c r="BA293"/>
    </row>
    <row r="294" spans="1:53">
      <c r="A294" s="2" t="s">
        <v>316</v>
      </c>
      <c r="B294">
        <v>2014</v>
      </c>
      <c r="C294">
        <v>0</v>
      </c>
      <c r="D294" t="s">
        <v>1995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>
        <v>8</v>
      </c>
      <c r="K294" s="2" t="s">
        <v>19</v>
      </c>
      <c r="L294">
        <f>_xlfn.XLOOKUP("LOADINGSPEEDDEF_"&amp;PROPERTIES[[#This Row],[LOADINGSPEED]],LOADINGSPEEDDEF[TYPE],LOADINGSPEEDDEF[SPEED])</f>
        <v>0</v>
      </c>
      <c r="M294" t="s">
        <v>20</v>
      </c>
      <c r="N294">
        <v>1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>
        <v>40</v>
      </c>
      <c r="W294" s="9">
        <v>0</v>
      </c>
      <c r="X294" s="9">
        <v>0</v>
      </c>
      <c r="Y294" s="10">
        <v>0</v>
      </c>
      <c r="Z294" t="s">
        <v>907</v>
      </c>
      <c r="AA294" t="s">
        <v>903</v>
      </c>
      <c r="AB294" s="2" t="s">
        <v>921</v>
      </c>
      <c r="AC294" s="9" t="s">
        <v>987</v>
      </c>
      <c r="AD294" s="9" t="s">
        <v>988</v>
      </c>
      <c r="AE294" s="10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4" s="2" t="b">
        <v>0</v>
      </c>
      <c r="AY294"/>
      <c r="AZ294"/>
      <c r="BA294"/>
    </row>
    <row r="295" spans="1:53">
      <c r="A295" s="2" t="s">
        <v>317</v>
      </c>
      <c r="B295">
        <v>1966</v>
      </c>
      <c r="C295">
        <v>0</v>
      </c>
      <c r="D295" t="s">
        <v>1818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>
        <v>5</v>
      </c>
      <c r="K295" s="2" t="s">
        <v>19</v>
      </c>
      <c r="L295">
        <f>_xlfn.XLOOKUP("LOADINGSPEEDDEF_"&amp;PROPERTIES[[#This Row],[LOADINGSPEED]],LOADINGSPEEDDEF[TYPE],LOADINGSPEEDDEF[SPEED])</f>
        <v>0</v>
      </c>
      <c r="M295">
        <v>45</v>
      </c>
      <c r="N295">
        <v>1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>
        <v>40</v>
      </c>
      <c r="W295" s="9">
        <v>0</v>
      </c>
      <c r="X295" s="9">
        <v>0</v>
      </c>
      <c r="Y295" s="10">
        <v>0</v>
      </c>
      <c r="Z295" t="s">
        <v>905</v>
      </c>
      <c r="AA295" t="s">
        <v>903</v>
      </c>
      <c r="AB295" s="2" t="s">
        <v>921</v>
      </c>
      <c r="AC295" s="9" t="s">
        <v>987</v>
      </c>
      <c r="AD295" s="9" t="s">
        <v>988</v>
      </c>
      <c r="AE295" s="10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5" s="2" t="b">
        <v>0</v>
      </c>
      <c r="AY295"/>
      <c r="AZ295"/>
      <c r="BA295"/>
    </row>
    <row r="296" spans="1:53">
      <c r="A296" s="2" t="s">
        <v>318</v>
      </c>
      <c r="B296">
        <v>2002</v>
      </c>
      <c r="C296">
        <v>0</v>
      </c>
      <c r="D296" t="s">
        <v>1763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>
        <v>7</v>
      </c>
      <c r="K296" s="2" t="s">
        <v>23</v>
      </c>
      <c r="L296">
        <f>_xlfn.XLOOKUP("LOADINGSPEEDDEF_"&amp;PROPERTIES[[#This Row],[LOADINGSPEED]],LOADINGSPEEDDEF[TYPE],LOADINGSPEEDDEF[SPEED])</f>
        <v>40</v>
      </c>
      <c r="M296">
        <v>45</v>
      </c>
      <c r="N296">
        <v>1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>
        <v>40</v>
      </c>
      <c r="W296" s="9">
        <v>0</v>
      </c>
      <c r="X296" s="9">
        <v>0</v>
      </c>
      <c r="Y296" s="10">
        <v>0</v>
      </c>
      <c r="Z296" t="s">
        <v>906</v>
      </c>
      <c r="AA296" t="s">
        <v>903</v>
      </c>
      <c r="AB296" s="2" t="s">
        <v>921</v>
      </c>
      <c r="AC296" s="9" t="s">
        <v>987</v>
      </c>
      <c r="AD296" s="9" t="s">
        <v>988</v>
      </c>
      <c r="AE296" s="10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296" s="2" t="b">
        <v>0</v>
      </c>
      <c r="AY296"/>
      <c r="AZ296"/>
      <c r="BA296"/>
    </row>
    <row r="297" spans="1:53">
      <c r="A297" s="2" t="s">
        <v>319</v>
      </c>
      <c r="B297">
        <v>2006</v>
      </c>
      <c r="C297">
        <v>0</v>
      </c>
      <c r="D297" t="s">
        <v>1916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>
        <v>8</v>
      </c>
      <c r="K297" s="2" t="s">
        <v>19</v>
      </c>
      <c r="L297">
        <f>_xlfn.XLOOKUP("LOADINGSPEEDDEF_"&amp;PROPERTIES[[#This Row],[LOADINGSPEED]],LOADINGSPEEDDEF[TYPE],LOADINGSPEEDDEF[SPEED])</f>
        <v>0</v>
      </c>
      <c r="M297">
        <v>45</v>
      </c>
      <c r="N297"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>
        <v>40</v>
      </c>
      <c r="W297" s="9">
        <v>0</v>
      </c>
      <c r="X297" s="9">
        <v>0</v>
      </c>
      <c r="Y297" s="10">
        <v>0</v>
      </c>
      <c r="Z297" t="s">
        <v>908</v>
      </c>
      <c r="AA297" t="s">
        <v>903</v>
      </c>
      <c r="AB297" s="2" t="s">
        <v>921</v>
      </c>
      <c r="AC297" s="9" t="s">
        <v>987</v>
      </c>
      <c r="AD297" s="9" t="s">
        <v>988</v>
      </c>
      <c r="AE297" s="10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7" s="2" t="b">
        <v>0</v>
      </c>
      <c r="AY297"/>
      <c r="AZ297"/>
      <c r="BA297"/>
    </row>
    <row r="298" spans="1:53">
      <c r="A298" s="2" t="s">
        <v>320</v>
      </c>
      <c r="B298">
        <v>2008</v>
      </c>
      <c r="C298">
        <v>0</v>
      </c>
      <c r="D298" t="s">
        <v>1763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>
        <v>8</v>
      </c>
      <c r="K298" s="2" t="s">
        <v>23</v>
      </c>
      <c r="L298">
        <f>_xlfn.XLOOKUP("LOADINGSPEEDDEF_"&amp;PROPERTIES[[#This Row],[LOADINGSPEED]],LOADINGSPEEDDEF[TYPE],LOADINGSPEEDDEF[SPEED])</f>
        <v>40</v>
      </c>
      <c r="M298" t="s">
        <v>20</v>
      </c>
      <c r="N298">
        <v>1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>
        <v>40</v>
      </c>
      <c r="W298" s="9">
        <v>0</v>
      </c>
      <c r="X298" s="9">
        <v>0</v>
      </c>
      <c r="Y298" s="10">
        <v>0</v>
      </c>
      <c r="Z298" t="s">
        <v>906</v>
      </c>
      <c r="AA298" t="s">
        <v>903</v>
      </c>
      <c r="AB298" s="2" t="s">
        <v>921</v>
      </c>
      <c r="AC298" s="9" t="s">
        <v>987</v>
      </c>
      <c r="AD298" s="9" t="s">
        <v>988</v>
      </c>
      <c r="AE298" s="10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298" s="2" t="b">
        <v>0</v>
      </c>
      <c r="AY298"/>
      <c r="AZ298"/>
      <c r="BA298"/>
    </row>
    <row r="299" spans="1:53">
      <c r="A299" s="2" t="s">
        <v>321</v>
      </c>
      <c r="B299">
        <v>2014</v>
      </c>
      <c r="C299">
        <v>0</v>
      </c>
      <c r="D299" t="s">
        <v>1826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>
        <v>8</v>
      </c>
      <c r="K299" s="2" t="s">
        <v>19</v>
      </c>
      <c r="L299">
        <f>_xlfn.XLOOKUP("LOADINGSPEEDDEF_"&amp;PROPERTIES[[#This Row],[LOADINGSPEED]],LOADINGSPEEDDEF[TYPE],LOADINGSPEEDDEF[SPEED])</f>
        <v>0</v>
      </c>
      <c r="M299" t="s">
        <v>20</v>
      </c>
      <c r="N299">
        <v>1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>
        <v>40</v>
      </c>
      <c r="W299" s="9">
        <v>0</v>
      </c>
      <c r="X299" s="9">
        <v>0</v>
      </c>
      <c r="Y299" s="10">
        <v>0</v>
      </c>
      <c r="Z299" t="s">
        <v>908</v>
      </c>
      <c r="AA299" t="s">
        <v>903</v>
      </c>
      <c r="AB299" s="2" t="s">
        <v>921</v>
      </c>
      <c r="AC299" s="9" t="s">
        <v>987</v>
      </c>
      <c r="AD299" s="9" t="s">
        <v>988</v>
      </c>
      <c r="AE299" s="10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99" s="2" t="b">
        <v>0</v>
      </c>
      <c r="AY299"/>
      <c r="AZ299"/>
      <c r="BA299"/>
    </row>
    <row r="300" spans="1:53">
      <c r="A300" s="2" t="s">
        <v>322</v>
      </c>
      <c r="B300">
        <v>2015</v>
      </c>
      <c r="C300">
        <v>0</v>
      </c>
      <c r="D300" t="s">
        <v>1981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>
        <v>8</v>
      </c>
      <c r="K300" s="2" t="s">
        <v>19</v>
      </c>
      <c r="L300">
        <f>_xlfn.XLOOKUP("LOADINGSPEEDDEF_"&amp;PROPERTIES[[#This Row],[LOADINGSPEED]],LOADINGSPEEDDEF[TYPE],LOADINGSPEEDDEF[SPEED])</f>
        <v>0</v>
      </c>
      <c r="M300" t="s">
        <v>20</v>
      </c>
      <c r="N300">
        <v>1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>
        <v>40</v>
      </c>
      <c r="W300" s="9">
        <v>0</v>
      </c>
      <c r="X300" s="9">
        <v>0</v>
      </c>
      <c r="Y300" s="10">
        <v>0</v>
      </c>
      <c r="Z300" t="s">
        <v>909</v>
      </c>
      <c r="AA300" t="s">
        <v>903</v>
      </c>
      <c r="AB300" s="2" t="s">
        <v>921</v>
      </c>
      <c r="AC300" s="9" t="s">
        <v>987</v>
      </c>
      <c r="AD300" s="9" t="s">
        <v>988</v>
      </c>
      <c r="AE300" s="10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00" s="2" t="b">
        <v>0</v>
      </c>
      <c r="AY300"/>
      <c r="AZ300"/>
      <c r="BA300"/>
    </row>
    <row r="301" spans="1:53">
      <c r="A301" s="2" t="s">
        <v>323</v>
      </c>
      <c r="B301">
        <v>1911</v>
      </c>
      <c r="C301">
        <v>1</v>
      </c>
      <c r="D301" t="s">
        <v>1760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324</v>
      </c>
      <c r="H301">
        <v>84</v>
      </c>
      <c r="I301">
        <v>7</v>
      </c>
      <c r="J301">
        <v>7</v>
      </c>
      <c r="K301" s="2" t="s">
        <v>325</v>
      </c>
      <c r="L301">
        <f>_xlfn.XLOOKUP("LOADINGSPEEDDEF_"&amp;PROPERTIES[[#This Row],[LOADINGSPEED]],LOADINGSPEEDDEF[TYPE],LOADINGSPEEDDEF[SPEED])</f>
        <v>120</v>
      </c>
      <c r="M301">
        <v>75</v>
      </c>
      <c r="N301"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>
        <v>60</v>
      </c>
      <c r="W301" s="9">
        <v>142</v>
      </c>
      <c r="X301" s="9">
        <v>7</v>
      </c>
      <c r="Y301" s="10">
        <v>0</v>
      </c>
      <c r="Z301" t="s">
        <v>911</v>
      </c>
      <c r="AA301" t="s">
        <v>903</v>
      </c>
      <c r="AB301" s="2" t="s">
        <v>921</v>
      </c>
      <c r="AC301" s="9" t="s">
        <v>989</v>
      </c>
      <c r="AD301" s="9" t="s">
        <v>990</v>
      </c>
      <c r="AE301" s="10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1" s="2" t="b">
        <v>0</v>
      </c>
      <c r="AY301"/>
      <c r="AZ301"/>
      <c r="BA301"/>
    </row>
    <row r="302" spans="1:53">
      <c r="A302" s="2" t="s">
        <v>326</v>
      </c>
      <c r="B302">
        <v>1930</v>
      </c>
      <c r="C302">
        <v>1</v>
      </c>
      <c r="D302" t="s">
        <v>1981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324</v>
      </c>
      <c r="H302">
        <v>105</v>
      </c>
      <c r="I302">
        <v>8</v>
      </c>
      <c r="J302">
        <v>8</v>
      </c>
      <c r="K302" s="2" t="s">
        <v>325</v>
      </c>
      <c r="L302">
        <f>_xlfn.XLOOKUP("LOADINGSPEEDDEF_"&amp;PROPERTIES[[#This Row],[LOADINGSPEED]],LOADINGSPEEDDEF[TYPE],LOADINGSPEEDDEF[SPEED])</f>
        <v>120</v>
      </c>
      <c r="M302">
        <v>45</v>
      </c>
      <c r="N302"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>
        <v>60</v>
      </c>
      <c r="W302" s="9">
        <v>156</v>
      </c>
      <c r="X302" s="9">
        <v>8</v>
      </c>
      <c r="Y302" s="10">
        <v>0</v>
      </c>
      <c r="Z302" t="s">
        <v>909</v>
      </c>
      <c r="AA302" t="s">
        <v>903</v>
      </c>
      <c r="AB302" s="2" t="s">
        <v>921</v>
      </c>
      <c r="AC302" s="9" t="s">
        <v>989</v>
      </c>
      <c r="AD302" s="9" t="s">
        <v>990</v>
      </c>
      <c r="AE302" s="10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2" s="2" t="b">
        <v>0</v>
      </c>
      <c r="AY302"/>
      <c r="AZ302"/>
      <c r="BA302"/>
    </row>
    <row r="303" spans="1:53">
      <c r="A303" s="2" t="s">
        <v>327</v>
      </c>
      <c r="B303">
        <v>1942</v>
      </c>
      <c r="C303">
        <v>1</v>
      </c>
      <c r="D303" t="s">
        <v>1807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324</v>
      </c>
      <c r="H303">
        <v>95</v>
      </c>
      <c r="I303">
        <v>8</v>
      </c>
      <c r="J303">
        <v>8</v>
      </c>
      <c r="K303" s="2" t="s">
        <v>325</v>
      </c>
      <c r="L303">
        <f>_xlfn.XLOOKUP("LOADINGSPEEDDEF_"&amp;PROPERTIES[[#This Row],[LOADINGSPEED]],LOADINGSPEEDDEF[TYPE],LOADINGSPEEDDEF[SPEED])</f>
        <v>120</v>
      </c>
      <c r="M303">
        <v>45</v>
      </c>
      <c r="N303"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>
        <v>60</v>
      </c>
      <c r="W303" s="9">
        <v>160</v>
      </c>
      <c r="X303" s="9">
        <v>8</v>
      </c>
      <c r="Y303" s="10">
        <v>0</v>
      </c>
      <c r="Z303" t="s">
        <v>904</v>
      </c>
      <c r="AA303" t="s">
        <v>903</v>
      </c>
      <c r="AB303" s="2" t="s">
        <v>921</v>
      </c>
      <c r="AC303" s="9" t="s">
        <v>989</v>
      </c>
      <c r="AD303" s="9" t="s">
        <v>990</v>
      </c>
      <c r="AE303" s="10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3" s="2" t="b">
        <v>0</v>
      </c>
      <c r="AY303"/>
      <c r="AZ303"/>
      <c r="BA303"/>
    </row>
    <row r="304" spans="1:53">
      <c r="A304" s="2" t="s">
        <v>328</v>
      </c>
      <c r="B304">
        <v>1957</v>
      </c>
      <c r="C304">
        <v>1</v>
      </c>
      <c r="D304" t="s">
        <v>1825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324</v>
      </c>
      <c r="H304">
        <v>65</v>
      </c>
      <c r="I304">
        <v>7</v>
      </c>
      <c r="J304">
        <v>7</v>
      </c>
      <c r="K304" s="2" t="s">
        <v>325</v>
      </c>
      <c r="L304">
        <f>_xlfn.XLOOKUP("LOADINGSPEEDDEF_"&amp;PROPERTIES[[#This Row],[LOADINGSPEED]],LOADINGSPEEDDEF[TYPE],LOADINGSPEEDDEF[SPEED])</f>
        <v>120</v>
      </c>
      <c r="M304">
        <v>45</v>
      </c>
      <c r="N304"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>
        <v>60</v>
      </c>
      <c r="W304" s="9">
        <v>140</v>
      </c>
      <c r="X304" s="9">
        <v>7</v>
      </c>
      <c r="Y304" s="10">
        <v>0</v>
      </c>
      <c r="Z304" t="s">
        <v>904</v>
      </c>
      <c r="AA304" t="s">
        <v>903</v>
      </c>
      <c r="AB304" s="2" t="s">
        <v>921</v>
      </c>
      <c r="AC304" s="9" t="s">
        <v>989</v>
      </c>
      <c r="AD304" s="9" t="s">
        <v>990</v>
      </c>
      <c r="AE304" s="10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4" s="2" t="b">
        <v>0</v>
      </c>
      <c r="AY304"/>
      <c r="AZ304"/>
      <c r="BA304"/>
    </row>
    <row r="305" spans="1:53">
      <c r="A305" s="2" t="s">
        <v>329</v>
      </c>
      <c r="B305">
        <v>1959</v>
      </c>
      <c r="C305">
        <v>1</v>
      </c>
      <c r="D305" t="s">
        <v>1933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324</v>
      </c>
      <c r="H305">
        <v>85</v>
      </c>
      <c r="I305">
        <v>8</v>
      </c>
      <c r="J305">
        <v>8</v>
      </c>
      <c r="K305" s="2" t="s">
        <v>325</v>
      </c>
      <c r="L305">
        <f>_xlfn.XLOOKUP("LOADINGSPEEDDEF_"&amp;PROPERTIES[[#This Row],[LOADINGSPEED]],LOADINGSPEEDDEF[TYPE],LOADINGSPEEDDEF[SPEED])</f>
        <v>120</v>
      </c>
      <c r="M305">
        <v>45</v>
      </c>
      <c r="N305"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>
        <v>60</v>
      </c>
      <c r="W305" s="9">
        <v>160</v>
      </c>
      <c r="X305" s="9">
        <v>8</v>
      </c>
      <c r="Y305" s="10">
        <v>0</v>
      </c>
      <c r="Z305" t="s">
        <v>905</v>
      </c>
      <c r="AA305" t="s">
        <v>903</v>
      </c>
      <c r="AB305" s="2" t="s">
        <v>921</v>
      </c>
      <c r="AC305" s="9" t="s">
        <v>989</v>
      </c>
      <c r="AD305" s="9" t="s">
        <v>990</v>
      </c>
      <c r="AE305" s="10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5" s="2" t="b">
        <v>0</v>
      </c>
      <c r="AY305"/>
      <c r="AZ305"/>
      <c r="BA305"/>
    </row>
    <row r="306" spans="1:53">
      <c r="A306" s="2" t="s">
        <v>330</v>
      </c>
      <c r="B306">
        <v>1975</v>
      </c>
      <c r="C306">
        <v>1</v>
      </c>
      <c r="D306" t="s">
        <v>1849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324</v>
      </c>
      <c r="H306">
        <v>132</v>
      </c>
      <c r="I306">
        <v>8</v>
      </c>
      <c r="J306">
        <v>8</v>
      </c>
      <c r="K306" s="2" t="s">
        <v>325</v>
      </c>
      <c r="L306">
        <f>_xlfn.XLOOKUP("LOADINGSPEEDDEF_"&amp;PROPERTIES[[#This Row],[LOADINGSPEED]],LOADINGSPEEDDEF[TYPE],LOADINGSPEEDDEF[SPEED])</f>
        <v>120</v>
      </c>
      <c r="M306">
        <v>45</v>
      </c>
      <c r="N306"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>
        <v>60</v>
      </c>
      <c r="W306" s="9">
        <v>150</v>
      </c>
      <c r="X306" s="9">
        <v>8</v>
      </c>
      <c r="Y306" s="10">
        <v>0</v>
      </c>
      <c r="Z306" t="s">
        <v>910</v>
      </c>
      <c r="AA306" t="s">
        <v>903</v>
      </c>
      <c r="AB306" s="2" t="s">
        <v>921</v>
      </c>
      <c r="AC306" s="9" t="s">
        <v>989</v>
      </c>
      <c r="AD306" s="9" t="s">
        <v>990</v>
      </c>
      <c r="AE306" s="10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6" s="2" t="b">
        <v>0</v>
      </c>
      <c r="AY306"/>
      <c r="AZ306"/>
      <c r="BA306"/>
    </row>
    <row r="307" spans="1:53">
      <c r="A307" s="2" t="s">
        <v>331</v>
      </c>
      <c r="B307">
        <v>1964</v>
      </c>
      <c r="C307">
        <v>1</v>
      </c>
      <c r="D307" t="s">
        <v>1916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324</v>
      </c>
      <c r="H307">
        <v>135</v>
      </c>
      <c r="I307">
        <v>7</v>
      </c>
      <c r="J307">
        <v>7</v>
      </c>
      <c r="K307" s="2" t="s">
        <v>325</v>
      </c>
      <c r="L307">
        <f>_xlfn.XLOOKUP("LOADINGSPEEDDEF_"&amp;PROPERTIES[[#This Row],[LOADINGSPEED]],LOADINGSPEEDDEF[TYPE],LOADINGSPEEDDEF[SPEED])</f>
        <v>120</v>
      </c>
      <c r="M307">
        <v>45</v>
      </c>
      <c r="N307"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>
        <v>60</v>
      </c>
      <c r="W307" s="9">
        <v>180</v>
      </c>
      <c r="X307" s="9">
        <v>7</v>
      </c>
      <c r="Y307" s="10">
        <v>0</v>
      </c>
      <c r="Z307" t="s">
        <v>908</v>
      </c>
      <c r="AA307" t="s">
        <v>903</v>
      </c>
      <c r="AB307" s="2" t="s">
        <v>921</v>
      </c>
      <c r="AC307" s="9" t="s">
        <v>989</v>
      </c>
      <c r="AD307" s="9" t="s">
        <v>990</v>
      </c>
      <c r="AE307" s="10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7" s="2" t="b">
        <v>0</v>
      </c>
      <c r="AY307"/>
      <c r="AZ307"/>
      <c r="BA307"/>
    </row>
    <row r="308" spans="1:53">
      <c r="A308" s="2" t="s">
        <v>332</v>
      </c>
      <c r="B308">
        <v>1965</v>
      </c>
      <c r="C308">
        <v>1</v>
      </c>
      <c r="D308" t="s">
        <v>1788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324</v>
      </c>
      <c r="H308">
        <v>150</v>
      </c>
      <c r="I308">
        <v>8</v>
      </c>
      <c r="J308">
        <v>8</v>
      </c>
      <c r="K308" s="2" t="s">
        <v>325</v>
      </c>
      <c r="L308">
        <f>_xlfn.XLOOKUP("LOADINGSPEEDDEF_"&amp;PROPERTIES[[#This Row],[LOADINGSPEED]],LOADINGSPEEDDEF[TYPE],LOADINGSPEEDDEF[SPEED])</f>
        <v>120</v>
      </c>
      <c r="M308">
        <v>45</v>
      </c>
      <c r="N308"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>
        <v>60</v>
      </c>
      <c r="W308" s="9">
        <v>210</v>
      </c>
      <c r="X308" s="9">
        <v>8</v>
      </c>
      <c r="Y308" s="10">
        <v>0</v>
      </c>
      <c r="Z308" t="s">
        <v>909</v>
      </c>
      <c r="AA308" t="s">
        <v>903</v>
      </c>
      <c r="AB308" s="2" t="s">
        <v>921</v>
      </c>
      <c r="AC308" s="9" t="s">
        <v>989</v>
      </c>
      <c r="AD308" s="9" t="s">
        <v>990</v>
      </c>
      <c r="AE308" s="10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8" s="2" t="b">
        <v>0</v>
      </c>
      <c r="AY308"/>
      <c r="AZ308"/>
      <c r="BA308"/>
    </row>
    <row r="309" spans="1:53">
      <c r="A309" s="2" t="s">
        <v>333</v>
      </c>
      <c r="B309">
        <v>1971</v>
      </c>
      <c r="C309">
        <v>1</v>
      </c>
      <c r="D309" t="s">
        <v>1807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324</v>
      </c>
      <c r="H309">
        <v>145</v>
      </c>
      <c r="I309">
        <v>8</v>
      </c>
      <c r="J309">
        <v>8</v>
      </c>
      <c r="K309" s="2" t="s">
        <v>325</v>
      </c>
      <c r="L309">
        <f>_xlfn.XLOOKUP("LOADINGSPEEDDEF_"&amp;PROPERTIES[[#This Row],[LOADINGSPEED]],LOADINGSPEEDDEF[TYPE],LOADINGSPEEDDEF[SPEED])</f>
        <v>120</v>
      </c>
      <c r="M309">
        <v>45</v>
      </c>
      <c r="N309"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>
        <v>60</v>
      </c>
      <c r="W309" s="9">
        <v>195</v>
      </c>
      <c r="X309" s="9">
        <v>8</v>
      </c>
      <c r="Y309" s="10">
        <v>0</v>
      </c>
      <c r="Z309" t="s">
        <v>904</v>
      </c>
      <c r="AA309" t="s">
        <v>903</v>
      </c>
      <c r="AB309" s="2" t="s">
        <v>921</v>
      </c>
      <c r="AC309" s="9" t="s">
        <v>989</v>
      </c>
      <c r="AD309" s="9" t="s">
        <v>990</v>
      </c>
      <c r="AE309" s="10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9" s="2" t="b">
        <v>0</v>
      </c>
      <c r="AY309"/>
      <c r="AZ309"/>
      <c r="BA309"/>
    </row>
    <row r="310" spans="1:53">
      <c r="A310" s="2" t="s">
        <v>334</v>
      </c>
      <c r="B310">
        <v>1971</v>
      </c>
      <c r="C310">
        <v>1</v>
      </c>
      <c r="D310" t="s">
        <v>1981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324</v>
      </c>
      <c r="H310">
        <v>150</v>
      </c>
      <c r="I310">
        <v>8</v>
      </c>
      <c r="J310">
        <v>8</v>
      </c>
      <c r="K310" s="2" t="s">
        <v>325</v>
      </c>
      <c r="L310">
        <f>_xlfn.XLOOKUP("LOADINGSPEEDDEF_"&amp;PROPERTIES[[#This Row],[LOADINGSPEED]],LOADINGSPEEDDEF[TYPE],LOADINGSPEEDDEF[SPEED])</f>
        <v>120</v>
      </c>
      <c r="M310">
        <v>45</v>
      </c>
      <c r="N310"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>
        <v>60</v>
      </c>
      <c r="W310" s="9">
        <v>162</v>
      </c>
      <c r="X310" s="9">
        <v>8</v>
      </c>
      <c r="Y310" s="10">
        <v>0</v>
      </c>
      <c r="Z310" t="s">
        <v>909</v>
      </c>
      <c r="AA310" t="s">
        <v>903</v>
      </c>
      <c r="AB310" s="2" t="s">
        <v>921</v>
      </c>
      <c r="AC310" s="9" t="s">
        <v>989</v>
      </c>
      <c r="AD310" s="9" t="s">
        <v>990</v>
      </c>
      <c r="AE310" s="10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0" s="2" t="b">
        <v>0</v>
      </c>
      <c r="AY310"/>
      <c r="AZ310"/>
      <c r="BA310"/>
    </row>
    <row r="311" spans="1:53">
      <c r="A311" s="2" t="s">
        <v>335</v>
      </c>
      <c r="B311">
        <v>1973</v>
      </c>
      <c r="C311">
        <v>1</v>
      </c>
      <c r="D311" t="s">
        <v>1915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324</v>
      </c>
      <c r="H311">
        <v>150</v>
      </c>
      <c r="I311">
        <v>8</v>
      </c>
      <c r="J311">
        <v>8</v>
      </c>
      <c r="K311" s="2" t="s">
        <v>325</v>
      </c>
      <c r="L311">
        <f>_xlfn.XLOOKUP("LOADINGSPEEDDEF_"&amp;PROPERTIES[[#This Row],[LOADINGSPEED]],LOADINGSPEEDDEF[TYPE],LOADINGSPEEDDEF[SPEED])</f>
        <v>120</v>
      </c>
      <c r="M311">
        <v>45</v>
      </c>
      <c r="N311"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>
        <v>60</v>
      </c>
      <c r="W311" s="9">
        <v>174</v>
      </c>
      <c r="X311" s="9">
        <v>7</v>
      </c>
      <c r="Y311" s="10">
        <v>0</v>
      </c>
      <c r="Z311" t="s">
        <v>904</v>
      </c>
      <c r="AA311" t="s">
        <v>903</v>
      </c>
      <c r="AB311" s="2" t="s">
        <v>921</v>
      </c>
      <c r="AC311" s="9" t="s">
        <v>989</v>
      </c>
      <c r="AD311" s="9" t="s">
        <v>990</v>
      </c>
      <c r="AE311" s="10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1" s="2" t="b">
        <v>0</v>
      </c>
      <c r="AY311"/>
      <c r="AZ311"/>
      <c r="BA311"/>
    </row>
    <row r="312" spans="1:53">
      <c r="A312" s="2" t="s">
        <v>336</v>
      </c>
      <c r="B312">
        <v>1974</v>
      </c>
      <c r="C312">
        <v>1</v>
      </c>
      <c r="D312" t="s">
        <v>1946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324</v>
      </c>
      <c r="H312">
        <v>150</v>
      </c>
      <c r="I312">
        <v>8</v>
      </c>
      <c r="J312">
        <v>8</v>
      </c>
      <c r="K312" s="2" t="s">
        <v>325</v>
      </c>
      <c r="L312">
        <f>_xlfn.XLOOKUP("LOADINGSPEEDDEF_"&amp;PROPERTIES[[#This Row],[LOADINGSPEED]],LOADINGSPEEDDEF[TYPE],LOADINGSPEEDDEF[SPEED])</f>
        <v>120</v>
      </c>
      <c r="M312">
        <v>45</v>
      </c>
      <c r="N312"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>
        <v>60</v>
      </c>
      <c r="W312" s="9">
        <v>158</v>
      </c>
      <c r="X312" s="9">
        <v>8</v>
      </c>
      <c r="Y312" s="10">
        <v>0</v>
      </c>
      <c r="Z312" t="s">
        <v>908</v>
      </c>
      <c r="AA312" t="s">
        <v>903</v>
      </c>
      <c r="AB312" s="2" t="s">
        <v>921</v>
      </c>
      <c r="AC312" s="9" t="s">
        <v>989</v>
      </c>
      <c r="AD312" s="9" t="s">
        <v>990</v>
      </c>
      <c r="AE312" s="10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2" s="2" t="b">
        <v>0</v>
      </c>
      <c r="AY312"/>
      <c r="AZ312"/>
      <c r="BA312"/>
    </row>
    <row r="313" spans="1:53">
      <c r="A313" s="2" t="s">
        <v>337</v>
      </c>
      <c r="B313">
        <v>1999</v>
      </c>
      <c r="C313">
        <v>1</v>
      </c>
      <c r="D313" t="s">
        <v>1870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324</v>
      </c>
      <c r="H313">
        <v>160</v>
      </c>
      <c r="I313">
        <v>8</v>
      </c>
      <c r="J313">
        <v>8</v>
      </c>
      <c r="K313" s="2" t="s">
        <v>325</v>
      </c>
      <c r="L313">
        <f>_xlfn.XLOOKUP("LOADINGSPEEDDEF_"&amp;PROPERTIES[[#This Row],[LOADINGSPEED]],LOADINGSPEEDDEF[TYPE],LOADINGSPEEDDEF[SPEED])</f>
        <v>120</v>
      </c>
      <c r="M313">
        <v>45</v>
      </c>
      <c r="N313"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>
        <v>60</v>
      </c>
      <c r="W313" s="9">
        <v>180</v>
      </c>
      <c r="X313" s="9">
        <v>8</v>
      </c>
      <c r="Y313" s="10">
        <v>0</v>
      </c>
      <c r="Z313" t="s">
        <v>912</v>
      </c>
      <c r="AA313" t="s">
        <v>903</v>
      </c>
      <c r="AB313" s="2" t="s">
        <v>921</v>
      </c>
      <c r="AC313" s="9" t="s">
        <v>989</v>
      </c>
      <c r="AD313" s="9" t="s">
        <v>990</v>
      </c>
      <c r="AE313" s="10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3" s="2" t="b">
        <v>0</v>
      </c>
      <c r="AY313"/>
      <c r="AZ313"/>
      <c r="BA313"/>
    </row>
    <row r="314" spans="1:53">
      <c r="A314" s="2" t="s">
        <v>338</v>
      </c>
      <c r="B314">
        <v>1977</v>
      </c>
      <c r="C314">
        <v>1</v>
      </c>
      <c r="D314" t="s">
        <v>1820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324</v>
      </c>
      <c r="H314">
        <v>144</v>
      </c>
      <c r="I314">
        <v>8</v>
      </c>
      <c r="J314">
        <v>8</v>
      </c>
      <c r="K314" s="2" t="s">
        <v>325</v>
      </c>
      <c r="L314">
        <f>_xlfn.XLOOKUP("LOADINGSPEEDDEF_"&amp;PROPERTIES[[#This Row],[LOADINGSPEED]],LOADINGSPEEDDEF[TYPE],LOADINGSPEEDDEF[SPEED])</f>
        <v>120</v>
      </c>
      <c r="M314">
        <v>45</v>
      </c>
      <c r="N314"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>
        <v>60</v>
      </c>
      <c r="W314" s="9">
        <v>165</v>
      </c>
      <c r="X314" s="9">
        <v>8</v>
      </c>
      <c r="Y314" s="10">
        <v>0</v>
      </c>
      <c r="Z314" t="s">
        <v>908</v>
      </c>
      <c r="AA314" t="s">
        <v>903</v>
      </c>
      <c r="AB314" s="2" t="s">
        <v>921</v>
      </c>
      <c r="AC314" s="9" t="s">
        <v>989</v>
      </c>
      <c r="AD314" s="9" t="s">
        <v>990</v>
      </c>
      <c r="AE314" s="10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4" s="2" t="b">
        <v>0</v>
      </c>
      <c r="AY314"/>
      <c r="AZ314"/>
      <c r="BA314"/>
    </row>
    <row r="315" spans="1:53">
      <c r="A315" s="2" t="s">
        <v>339</v>
      </c>
      <c r="B315">
        <v>1979</v>
      </c>
      <c r="C315">
        <v>1</v>
      </c>
      <c r="D315" t="s">
        <v>1781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324</v>
      </c>
      <c r="H315">
        <v>160</v>
      </c>
      <c r="I315">
        <v>8</v>
      </c>
      <c r="J315">
        <v>8</v>
      </c>
      <c r="K315" s="2" t="s">
        <v>325</v>
      </c>
      <c r="L315">
        <f>_xlfn.XLOOKUP("LOADINGSPEEDDEF_"&amp;PROPERTIES[[#This Row],[LOADINGSPEED]],LOADINGSPEEDDEF[TYPE],LOADINGSPEEDDEF[SPEED])</f>
        <v>120</v>
      </c>
      <c r="M315">
        <v>45</v>
      </c>
      <c r="N315"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>
        <v>60</v>
      </c>
      <c r="W315" s="9">
        <v>230</v>
      </c>
      <c r="X315" s="9">
        <v>8</v>
      </c>
      <c r="Y315" s="10">
        <v>0</v>
      </c>
      <c r="Z315" t="s">
        <v>911</v>
      </c>
      <c r="AA315" t="s">
        <v>903</v>
      </c>
      <c r="AB315" s="2" t="s">
        <v>921</v>
      </c>
      <c r="AC315" s="9" t="s">
        <v>989</v>
      </c>
      <c r="AD315" s="9" t="s">
        <v>990</v>
      </c>
      <c r="AE315" s="10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5" s="2" t="b">
        <v>0</v>
      </c>
      <c r="AY315"/>
      <c r="AZ315"/>
      <c r="BA315"/>
    </row>
    <row r="316" spans="1:53">
      <c r="A316" s="2" t="s">
        <v>340</v>
      </c>
      <c r="B316">
        <v>1981</v>
      </c>
      <c r="C316">
        <v>1</v>
      </c>
      <c r="D316" t="s">
        <v>1940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324</v>
      </c>
      <c r="H316">
        <v>144</v>
      </c>
      <c r="I316">
        <v>8</v>
      </c>
      <c r="J316">
        <v>8</v>
      </c>
      <c r="K316" s="2" t="s">
        <v>325</v>
      </c>
      <c r="L316">
        <f>_xlfn.XLOOKUP("LOADINGSPEEDDEF_"&amp;PROPERTIES[[#This Row],[LOADINGSPEED]],LOADINGSPEEDDEF[TYPE],LOADINGSPEEDDEF[SPEED])</f>
        <v>120</v>
      </c>
      <c r="M316">
        <v>45</v>
      </c>
      <c r="N316"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>
        <v>60</v>
      </c>
      <c r="W316" s="9">
        <v>144</v>
      </c>
      <c r="X316" s="9">
        <v>8</v>
      </c>
      <c r="Y316" s="10">
        <v>0</v>
      </c>
      <c r="Z316" t="s">
        <v>912</v>
      </c>
      <c r="AA316" t="s">
        <v>903</v>
      </c>
      <c r="AB316" s="2" t="s">
        <v>921</v>
      </c>
      <c r="AC316" s="9" t="s">
        <v>989</v>
      </c>
      <c r="AD316" s="9" t="s">
        <v>990</v>
      </c>
      <c r="AE316" s="10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6" s="2" t="b">
        <v>0</v>
      </c>
      <c r="AY316"/>
      <c r="AZ316"/>
      <c r="BA316"/>
    </row>
    <row r="317" spans="1:53">
      <c r="A317" s="2" t="s">
        <v>341</v>
      </c>
      <c r="B317">
        <v>1985</v>
      </c>
      <c r="C317">
        <v>1</v>
      </c>
      <c r="D317" t="s">
        <v>1863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324</v>
      </c>
      <c r="H317">
        <v>100</v>
      </c>
      <c r="I317">
        <v>8</v>
      </c>
      <c r="J317">
        <v>8</v>
      </c>
      <c r="K317" s="2" t="s">
        <v>325</v>
      </c>
      <c r="L317">
        <f>_xlfn.XLOOKUP("LOADINGSPEEDDEF_"&amp;PROPERTIES[[#This Row],[LOADINGSPEED]],LOADINGSPEEDDEF[TYPE],LOADINGSPEEDDEF[SPEED])</f>
        <v>120</v>
      </c>
      <c r="M317">
        <v>45</v>
      </c>
      <c r="N317"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>
        <v>60</v>
      </c>
      <c r="W317" s="9">
        <v>120</v>
      </c>
      <c r="X317" s="9">
        <v>8</v>
      </c>
      <c r="Y317" s="10">
        <v>0</v>
      </c>
      <c r="Z317" t="s">
        <v>912</v>
      </c>
      <c r="AA317" t="s">
        <v>903</v>
      </c>
      <c r="AB317" s="2" t="s">
        <v>921</v>
      </c>
      <c r="AC317" s="9" t="s">
        <v>989</v>
      </c>
      <c r="AD317" s="9" t="s">
        <v>990</v>
      </c>
      <c r="AE317" s="10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7" s="2" t="b">
        <v>0</v>
      </c>
      <c r="AY317"/>
      <c r="AZ317"/>
      <c r="BA317"/>
    </row>
    <row r="318" spans="1:53">
      <c r="A318" s="2" t="s">
        <v>342</v>
      </c>
      <c r="B318">
        <v>1987</v>
      </c>
      <c r="C318">
        <v>1</v>
      </c>
      <c r="D318" t="s">
        <v>1815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324</v>
      </c>
      <c r="H318">
        <v>165</v>
      </c>
      <c r="I318">
        <v>8</v>
      </c>
      <c r="J318">
        <v>8</v>
      </c>
      <c r="K318" s="2" t="s">
        <v>325</v>
      </c>
      <c r="L318">
        <f>_xlfn.XLOOKUP("LOADINGSPEEDDEF_"&amp;PROPERTIES[[#This Row],[LOADINGSPEED]],LOADINGSPEEDDEF[TYPE],LOADINGSPEEDDEF[SPEED])</f>
        <v>120</v>
      </c>
      <c r="M318">
        <v>45</v>
      </c>
      <c r="N318"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>
        <v>60</v>
      </c>
      <c r="W318" s="9">
        <v>250</v>
      </c>
      <c r="X318" s="9">
        <v>8</v>
      </c>
      <c r="Y318" s="10">
        <v>0</v>
      </c>
      <c r="Z318" t="s">
        <v>907</v>
      </c>
      <c r="AA318" t="s">
        <v>903</v>
      </c>
      <c r="AB318" s="2" t="s">
        <v>921</v>
      </c>
      <c r="AC318" s="9" t="s">
        <v>989</v>
      </c>
      <c r="AD318" s="9" t="s">
        <v>990</v>
      </c>
      <c r="AE318" s="10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8" s="2" t="b">
        <v>0</v>
      </c>
      <c r="AY318"/>
      <c r="AZ318"/>
      <c r="BA318"/>
    </row>
    <row r="319" spans="1:53">
      <c r="A319" s="2" t="s">
        <v>343</v>
      </c>
      <c r="B319">
        <v>1986</v>
      </c>
      <c r="C319">
        <v>1</v>
      </c>
      <c r="D319" t="s">
        <v>1826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324</v>
      </c>
      <c r="H319">
        <v>142</v>
      </c>
      <c r="I319">
        <v>6</v>
      </c>
      <c r="J319">
        <v>6</v>
      </c>
      <c r="K319" s="2" t="s">
        <v>325</v>
      </c>
      <c r="L319">
        <f>_xlfn.XLOOKUP("LOADINGSPEEDDEF_"&amp;PROPERTIES[[#This Row],[LOADINGSPEED]],LOADINGSPEEDDEF[TYPE],LOADINGSPEEDDEF[SPEED])</f>
        <v>120</v>
      </c>
      <c r="M319">
        <v>45</v>
      </c>
      <c r="N319"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>
        <v>60</v>
      </c>
      <c r="W319" s="9">
        <v>200</v>
      </c>
      <c r="X319" s="9">
        <v>6</v>
      </c>
      <c r="Y319" s="10">
        <v>0</v>
      </c>
      <c r="Z319" t="s">
        <v>908</v>
      </c>
      <c r="AA319" t="s">
        <v>903</v>
      </c>
      <c r="AB319" s="2" t="s">
        <v>921</v>
      </c>
      <c r="AC319" s="9" t="s">
        <v>989</v>
      </c>
      <c r="AD319" s="9" t="s">
        <v>990</v>
      </c>
      <c r="AE319" s="10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9" s="2" t="b">
        <v>0</v>
      </c>
      <c r="AY319"/>
      <c r="AZ319"/>
      <c r="BA319"/>
    </row>
    <row r="320" spans="1:53">
      <c r="A320" s="2" t="s">
        <v>344</v>
      </c>
      <c r="B320">
        <v>1993</v>
      </c>
      <c r="C320">
        <v>1</v>
      </c>
      <c r="D320" t="s">
        <v>1940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324</v>
      </c>
      <c r="H320">
        <v>144</v>
      </c>
      <c r="I320">
        <v>8</v>
      </c>
      <c r="J320">
        <v>8</v>
      </c>
      <c r="K320" s="2" t="s">
        <v>325</v>
      </c>
      <c r="L320">
        <f>_xlfn.XLOOKUP("LOADINGSPEEDDEF_"&amp;PROPERTIES[[#This Row],[LOADINGSPEED]],LOADINGSPEEDDEF[TYPE],LOADINGSPEEDDEF[SPEED])</f>
        <v>120</v>
      </c>
      <c r="M320">
        <v>45</v>
      </c>
      <c r="N320"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>
        <v>60</v>
      </c>
      <c r="W320" s="9">
        <v>147</v>
      </c>
      <c r="X320" s="9">
        <v>8</v>
      </c>
      <c r="Y320" s="10">
        <v>0</v>
      </c>
      <c r="Z320" t="s">
        <v>912</v>
      </c>
      <c r="AA320" t="s">
        <v>903</v>
      </c>
      <c r="AB320" s="2" t="s">
        <v>921</v>
      </c>
      <c r="AC320" s="9" t="s">
        <v>989</v>
      </c>
      <c r="AD320" s="9" t="s">
        <v>990</v>
      </c>
      <c r="AE320" s="10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0" s="2" t="b">
        <v>0</v>
      </c>
      <c r="AY320"/>
      <c r="AZ320"/>
      <c r="BA320"/>
    </row>
    <row r="321" spans="1:53">
      <c r="A321" s="2" t="s">
        <v>345</v>
      </c>
      <c r="B321">
        <v>1993</v>
      </c>
      <c r="C321">
        <v>1</v>
      </c>
      <c r="D321" t="s">
        <v>1981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324</v>
      </c>
      <c r="H321">
        <v>155</v>
      </c>
      <c r="I321">
        <v>8</v>
      </c>
      <c r="J321">
        <v>8</v>
      </c>
      <c r="K321" s="2" t="s">
        <v>325</v>
      </c>
      <c r="L321">
        <f>_xlfn.XLOOKUP("LOADINGSPEEDDEF_"&amp;PROPERTIES[[#This Row],[LOADINGSPEED]],LOADINGSPEEDDEF[TYPE],LOADINGSPEEDDEF[SPEED])</f>
        <v>120</v>
      </c>
      <c r="M321">
        <v>45</v>
      </c>
      <c r="N321"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>
        <v>60</v>
      </c>
      <c r="W321" s="9">
        <v>150</v>
      </c>
      <c r="X321" s="9">
        <v>8</v>
      </c>
      <c r="Y321" s="10">
        <v>0</v>
      </c>
      <c r="Z321" t="s">
        <v>909</v>
      </c>
      <c r="AA321" t="s">
        <v>903</v>
      </c>
      <c r="AB321" s="2" t="s">
        <v>921</v>
      </c>
      <c r="AC321" s="9" t="s">
        <v>989</v>
      </c>
      <c r="AD321" s="9" t="s">
        <v>990</v>
      </c>
      <c r="AE321" s="10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1" s="2" t="b">
        <v>0</v>
      </c>
      <c r="AY321"/>
      <c r="AZ321"/>
      <c r="BA321"/>
    </row>
    <row r="322" spans="1:53">
      <c r="A322" s="2" t="s">
        <v>346</v>
      </c>
      <c r="B322">
        <v>1993</v>
      </c>
      <c r="C322">
        <v>1</v>
      </c>
      <c r="D322" t="s">
        <v>1981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324</v>
      </c>
      <c r="H322">
        <v>150</v>
      </c>
      <c r="I322">
        <v>8</v>
      </c>
      <c r="J322">
        <v>8</v>
      </c>
      <c r="K322" s="2" t="s">
        <v>325</v>
      </c>
      <c r="L322">
        <f>_xlfn.XLOOKUP("LOADINGSPEEDDEF_"&amp;PROPERTIES[[#This Row],[LOADINGSPEED]],LOADINGSPEEDDEF[TYPE],LOADINGSPEEDDEF[SPEED])</f>
        <v>120</v>
      </c>
      <c r="M322" t="s">
        <v>20</v>
      </c>
      <c r="N322"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>
        <v>60</v>
      </c>
      <c r="W322" s="9">
        <v>170</v>
      </c>
      <c r="X322" s="9">
        <v>8</v>
      </c>
      <c r="Y322" s="10">
        <v>0</v>
      </c>
      <c r="Z322" t="s">
        <v>909</v>
      </c>
      <c r="AA322" t="s">
        <v>903</v>
      </c>
      <c r="AB322" s="2" t="s">
        <v>921</v>
      </c>
      <c r="AC322" s="9" t="s">
        <v>989</v>
      </c>
      <c r="AD322" s="9" t="s">
        <v>990</v>
      </c>
      <c r="AE322" s="10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2" s="2" t="b">
        <v>0</v>
      </c>
      <c r="AY322"/>
      <c r="AZ322"/>
      <c r="BA322"/>
    </row>
    <row r="323" spans="1:53">
      <c r="A323" s="2" t="s">
        <v>347</v>
      </c>
      <c r="B323">
        <v>1992</v>
      </c>
      <c r="C323">
        <v>1</v>
      </c>
      <c r="D323" t="s">
        <v>1976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324</v>
      </c>
      <c r="H323">
        <v>155</v>
      </c>
      <c r="I323">
        <v>8</v>
      </c>
      <c r="J323">
        <v>8</v>
      </c>
      <c r="K323" s="2" t="s">
        <v>325</v>
      </c>
      <c r="L323">
        <f>_xlfn.XLOOKUP("LOADINGSPEEDDEF_"&amp;PROPERTIES[[#This Row],[LOADINGSPEED]],LOADINGSPEEDDEF[TYPE],LOADINGSPEEDDEF[SPEED])</f>
        <v>120</v>
      </c>
      <c r="M323" t="s">
        <v>20</v>
      </c>
      <c r="N323"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>
        <v>60</v>
      </c>
      <c r="W323" s="9">
        <v>250</v>
      </c>
      <c r="X323" s="9">
        <v>8</v>
      </c>
      <c r="Y323" s="10">
        <v>0</v>
      </c>
      <c r="Z323" t="s">
        <v>912</v>
      </c>
      <c r="AA323" t="s">
        <v>903</v>
      </c>
      <c r="AB323" s="2" t="s">
        <v>921</v>
      </c>
      <c r="AC323" s="9" t="s">
        <v>989</v>
      </c>
      <c r="AD323" s="9" t="s">
        <v>990</v>
      </c>
      <c r="AE323" s="10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3" s="2" t="b">
        <v>0</v>
      </c>
      <c r="AY323"/>
      <c r="AZ323"/>
      <c r="BA323"/>
    </row>
    <row r="324" spans="1:53">
      <c r="A324" s="2" t="s">
        <v>348</v>
      </c>
      <c r="B324">
        <v>1997</v>
      </c>
      <c r="C324">
        <v>1</v>
      </c>
      <c r="D324" t="s">
        <v>1915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324</v>
      </c>
      <c r="H324">
        <v>125</v>
      </c>
      <c r="I324">
        <v>8</v>
      </c>
      <c r="J324">
        <v>8</v>
      </c>
      <c r="K324" s="2" t="s">
        <v>325</v>
      </c>
      <c r="L324">
        <f>_xlfn.XLOOKUP("LOADINGSPEEDDEF_"&amp;PROPERTIES[[#This Row],[LOADINGSPEED]],LOADINGSPEEDDEF[TYPE],LOADINGSPEEDDEF[SPEED])</f>
        <v>120</v>
      </c>
      <c r="M324" t="s">
        <v>20</v>
      </c>
      <c r="N324"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>
        <v>60</v>
      </c>
      <c r="W324" s="9">
        <v>250</v>
      </c>
      <c r="X324" s="9">
        <v>8</v>
      </c>
      <c r="Y324" s="10">
        <v>0</v>
      </c>
      <c r="Z324" t="s">
        <v>904</v>
      </c>
      <c r="AA324" t="s">
        <v>903</v>
      </c>
      <c r="AB324" s="2" t="s">
        <v>921</v>
      </c>
      <c r="AC324" s="9" t="s">
        <v>989</v>
      </c>
      <c r="AD324" s="9" t="s">
        <v>990</v>
      </c>
      <c r="AE324" s="10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4" s="2" t="b">
        <v>0</v>
      </c>
      <c r="AY324"/>
      <c r="AZ324"/>
      <c r="BA324"/>
    </row>
    <row r="325" spans="1:53">
      <c r="A325" s="2" t="s">
        <v>349</v>
      </c>
      <c r="B325">
        <v>1997</v>
      </c>
      <c r="C325">
        <v>1</v>
      </c>
      <c r="D325" t="s">
        <v>1825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324</v>
      </c>
      <c r="H325">
        <v>120</v>
      </c>
      <c r="I325">
        <v>7</v>
      </c>
      <c r="J325">
        <v>7</v>
      </c>
      <c r="K325" s="2" t="s">
        <v>325</v>
      </c>
      <c r="L325">
        <f>_xlfn.XLOOKUP("LOADINGSPEEDDEF_"&amp;PROPERTIES[[#This Row],[LOADINGSPEED]],LOADINGSPEEDDEF[TYPE],LOADINGSPEEDDEF[SPEED])</f>
        <v>120</v>
      </c>
      <c r="M325" t="s">
        <v>20</v>
      </c>
      <c r="N325"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>
        <v>60</v>
      </c>
      <c r="W325" s="9">
        <v>120</v>
      </c>
      <c r="X325" s="9">
        <v>7</v>
      </c>
      <c r="Y325" s="10">
        <v>0</v>
      </c>
      <c r="Z325" t="s">
        <v>904</v>
      </c>
      <c r="AA325" t="s">
        <v>903</v>
      </c>
      <c r="AB325" s="2" t="s">
        <v>921</v>
      </c>
      <c r="AC325" s="9" t="s">
        <v>989</v>
      </c>
      <c r="AD325" s="9" t="s">
        <v>990</v>
      </c>
      <c r="AE325" s="10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5" s="2" t="b">
        <v>0</v>
      </c>
      <c r="AY325"/>
      <c r="AZ325"/>
      <c r="BA325"/>
    </row>
    <row r="326" spans="1:53">
      <c r="A326" s="2" t="s">
        <v>350</v>
      </c>
      <c r="B326">
        <v>2003</v>
      </c>
      <c r="C326">
        <v>1</v>
      </c>
      <c r="D326" t="s">
        <v>1940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324</v>
      </c>
      <c r="H326">
        <v>172</v>
      </c>
      <c r="I326">
        <v>7</v>
      </c>
      <c r="J326">
        <v>7</v>
      </c>
      <c r="K326" s="2" t="s">
        <v>325</v>
      </c>
      <c r="L326">
        <f>_xlfn.XLOOKUP("LOADINGSPEEDDEF_"&amp;PROPERTIES[[#This Row],[LOADINGSPEED]],LOADINGSPEEDDEF[TYPE],LOADINGSPEEDDEF[SPEED])</f>
        <v>120</v>
      </c>
      <c r="M326" t="s">
        <v>20</v>
      </c>
      <c r="N326"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>
        <v>60</v>
      </c>
      <c r="W326" s="9">
        <v>120</v>
      </c>
      <c r="X326" s="9">
        <v>6</v>
      </c>
      <c r="Y326" s="10">
        <v>0</v>
      </c>
      <c r="Z326" t="s">
        <v>912</v>
      </c>
      <c r="AA326" t="s">
        <v>903</v>
      </c>
      <c r="AB326" s="2" t="s">
        <v>921</v>
      </c>
      <c r="AC326" s="9" t="s">
        <v>989</v>
      </c>
      <c r="AD326" s="9" t="s">
        <v>990</v>
      </c>
      <c r="AE326" s="10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6" s="2" t="b">
        <v>0</v>
      </c>
      <c r="AY326"/>
      <c r="AZ326"/>
      <c r="BA326"/>
    </row>
    <row r="327" spans="1:53">
      <c r="A327" s="2" t="s">
        <v>351</v>
      </c>
      <c r="B327">
        <v>2003</v>
      </c>
      <c r="C327">
        <v>1</v>
      </c>
      <c r="D327" t="s">
        <v>1947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324</v>
      </c>
      <c r="H327">
        <v>150</v>
      </c>
      <c r="I327">
        <v>8</v>
      </c>
      <c r="J327">
        <v>8</v>
      </c>
      <c r="K327" s="2" t="s">
        <v>325</v>
      </c>
      <c r="L327">
        <f>_xlfn.XLOOKUP("LOADINGSPEEDDEF_"&amp;PROPERTIES[[#This Row],[LOADINGSPEED]],LOADINGSPEEDDEF[TYPE],LOADINGSPEEDDEF[SPEED])</f>
        <v>120</v>
      </c>
      <c r="M327" t="s">
        <v>20</v>
      </c>
      <c r="N327"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>
        <v>60</v>
      </c>
      <c r="W327" s="9">
        <v>250</v>
      </c>
      <c r="X327" s="9">
        <v>8</v>
      </c>
      <c r="Y327" s="10">
        <v>0</v>
      </c>
      <c r="Z327" t="s">
        <v>912</v>
      </c>
      <c r="AA327" t="s">
        <v>903</v>
      </c>
      <c r="AB327" s="2" t="s">
        <v>921</v>
      </c>
      <c r="AC327" s="9" t="s">
        <v>989</v>
      </c>
      <c r="AD327" s="9" t="s">
        <v>990</v>
      </c>
      <c r="AE327" s="10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7" s="2" t="b">
        <v>0</v>
      </c>
      <c r="AY327"/>
      <c r="AZ327"/>
      <c r="BA327"/>
    </row>
    <row r="328" spans="1:53">
      <c r="A328" s="2" t="s">
        <v>352</v>
      </c>
      <c r="B328">
        <v>2007</v>
      </c>
      <c r="C328">
        <v>1</v>
      </c>
      <c r="D328" t="s">
        <v>1916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324</v>
      </c>
      <c r="H328">
        <v>164</v>
      </c>
      <c r="I328">
        <v>7</v>
      </c>
      <c r="J328">
        <v>7</v>
      </c>
      <c r="K328" s="2" t="s">
        <v>325</v>
      </c>
      <c r="L328">
        <f>_xlfn.XLOOKUP("LOADINGSPEEDDEF_"&amp;PROPERTIES[[#This Row],[LOADINGSPEED]],LOADINGSPEEDDEF[TYPE],LOADINGSPEEDDEF[SPEED])</f>
        <v>120</v>
      </c>
      <c r="M328" t="s">
        <v>20</v>
      </c>
      <c r="N328"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>
        <v>60</v>
      </c>
      <c r="W328" s="9">
        <v>164</v>
      </c>
      <c r="X328" s="9">
        <v>7</v>
      </c>
      <c r="Y328" s="10">
        <v>0</v>
      </c>
      <c r="Z328" t="s">
        <v>908</v>
      </c>
      <c r="AA328" t="s">
        <v>903</v>
      </c>
      <c r="AB328" s="2" t="s">
        <v>921</v>
      </c>
      <c r="AC328" s="9" t="s">
        <v>989</v>
      </c>
      <c r="AD328" s="9" t="s">
        <v>990</v>
      </c>
      <c r="AE328" s="10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8" s="2" t="b">
        <v>0</v>
      </c>
      <c r="AY328"/>
      <c r="AZ328"/>
      <c r="BA328"/>
    </row>
    <row r="329" spans="1:53">
      <c r="A329" s="2" t="s">
        <v>353</v>
      </c>
      <c r="B329">
        <v>2009</v>
      </c>
      <c r="C329">
        <v>1</v>
      </c>
      <c r="D329" t="s">
        <v>1863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324</v>
      </c>
      <c r="H329">
        <v>140</v>
      </c>
      <c r="I329">
        <v>8</v>
      </c>
      <c r="J329">
        <v>8</v>
      </c>
      <c r="K329" s="2" t="s">
        <v>325</v>
      </c>
      <c r="L329">
        <f>_xlfn.XLOOKUP("LOADINGSPEEDDEF_"&amp;PROPERTIES[[#This Row],[LOADINGSPEED]],LOADINGSPEEDDEF[TYPE],LOADINGSPEEDDEF[SPEED])</f>
        <v>120</v>
      </c>
      <c r="M329" t="s">
        <v>20</v>
      </c>
      <c r="N329"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>
        <v>60</v>
      </c>
      <c r="W329" s="9">
        <v>140</v>
      </c>
      <c r="X329" s="9">
        <v>8</v>
      </c>
      <c r="Y329" s="10">
        <v>0</v>
      </c>
      <c r="Z329" t="s">
        <v>912</v>
      </c>
      <c r="AA329" t="s">
        <v>903</v>
      </c>
      <c r="AB329" s="2" t="s">
        <v>921</v>
      </c>
      <c r="AC329" s="9" t="s">
        <v>989</v>
      </c>
      <c r="AD329" s="9" t="s">
        <v>990</v>
      </c>
      <c r="AE329" s="10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9" s="2" t="b">
        <v>0</v>
      </c>
      <c r="AY329"/>
      <c r="AZ329"/>
      <c r="BA329"/>
    </row>
    <row r="330" spans="1:53">
      <c r="A330" s="2" t="s">
        <v>354</v>
      </c>
      <c r="B330">
        <v>2012</v>
      </c>
      <c r="C330">
        <v>1</v>
      </c>
      <c r="D330" t="s">
        <v>1947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324</v>
      </c>
      <c r="H330">
        <v>162</v>
      </c>
      <c r="I330">
        <v>8</v>
      </c>
      <c r="J330">
        <v>8</v>
      </c>
      <c r="K330" s="2" t="s">
        <v>325</v>
      </c>
      <c r="L330">
        <f>_xlfn.XLOOKUP("LOADINGSPEEDDEF_"&amp;PROPERTIES[[#This Row],[LOADINGSPEED]],LOADINGSPEEDDEF[TYPE],LOADINGSPEEDDEF[SPEED])</f>
        <v>120</v>
      </c>
      <c r="M330" t="s">
        <v>20</v>
      </c>
      <c r="N330"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>
        <v>60</v>
      </c>
      <c r="W330" s="9">
        <v>250</v>
      </c>
      <c r="X330" s="9">
        <v>8</v>
      </c>
      <c r="Y330" s="10">
        <v>0</v>
      </c>
      <c r="Z330" t="s">
        <v>912</v>
      </c>
      <c r="AA330" t="s">
        <v>903</v>
      </c>
      <c r="AB330" s="2" t="s">
        <v>921</v>
      </c>
      <c r="AC330" s="9" t="s">
        <v>989</v>
      </c>
      <c r="AD330" s="9" t="s">
        <v>990</v>
      </c>
      <c r="AE330" s="10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0" s="2" t="b">
        <v>0</v>
      </c>
      <c r="AY330"/>
      <c r="AZ330"/>
      <c r="BA330"/>
    </row>
    <row r="331" spans="1:53">
      <c r="A331" s="2" t="s">
        <v>355</v>
      </c>
      <c r="B331">
        <v>2013</v>
      </c>
      <c r="C331">
        <v>1</v>
      </c>
      <c r="D331" t="s">
        <v>1981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324</v>
      </c>
      <c r="H331">
        <v>175</v>
      </c>
      <c r="I331">
        <v>8</v>
      </c>
      <c r="J331">
        <v>8</v>
      </c>
      <c r="K331" s="2" t="s">
        <v>325</v>
      </c>
      <c r="L331">
        <f>_xlfn.XLOOKUP("LOADINGSPEEDDEF_"&amp;PROPERTIES[[#This Row],[LOADINGSPEED]],LOADINGSPEEDDEF[TYPE],LOADINGSPEEDDEF[SPEED])</f>
        <v>120</v>
      </c>
      <c r="M331" t="s">
        <v>20</v>
      </c>
      <c r="N331"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>
        <v>60</v>
      </c>
      <c r="W331" s="9">
        <v>184</v>
      </c>
      <c r="X331" s="9">
        <v>8</v>
      </c>
      <c r="Y331" s="10">
        <v>0</v>
      </c>
      <c r="Z331" t="s">
        <v>909</v>
      </c>
      <c r="AA331" t="s">
        <v>903</v>
      </c>
      <c r="AB331" s="2" t="s">
        <v>921</v>
      </c>
      <c r="AC331" s="9" t="s">
        <v>989</v>
      </c>
      <c r="AD331" s="9" t="s">
        <v>990</v>
      </c>
      <c r="AE331" s="10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1" s="2" t="b">
        <v>0</v>
      </c>
      <c r="AY331"/>
      <c r="AZ331"/>
      <c r="BA331"/>
    </row>
    <row r="332" spans="1:53">
      <c r="A332" s="2" t="s">
        <v>356</v>
      </c>
      <c r="B332">
        <v>2024</v>
      </c>
      <c r="C332">
        <v>1</v>
      </c>
      <c r="D332" t="s">
        <v>1838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324</v>
      </c>
      <c r="H332">
        <v>115</v>
      </c>
      <c r="I332">
        <v>6</v>
      </c>
      <c r="J332">
        <v>6</v>
      </c>
      <c r="K332" s="2" t="s">
        <v>325</v>
      </c>
      <c r="L332">
        <f>_xlfn.XLOOKUP("LOADINGSPEEDDEF_"&amp;PROPERTIES[[#This Row],[LOADINGSPEED]],LOADINGSPEEDDEF[TYPE],LOADINGSPEEDDEF[SPEED])</f>
        <v>120</v>
      </c>
      <c r="M332" t="s">
        <v>20</v>
      </c>
      <c r="N332"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>
        <v>60</v>
      </c>
      <c r="W332" s="9">
        <v>110</v>
      </c>
      <c r="X332" s="9">
        <v>6</v>
      </c>
      <c r="Y332" s="10">
        <v>0</v>
      </c>
      <c r="Z332" t="s">
        <v>905</v>
      </c>
      <c r="AA332" t="s">
        <v>903</v>
      </c>
      <c r="AB332" s="2" t="s">
        <v>921</v>
      </c>
      <c r="AC332" s="9" t="s">
        <v>989</v>
      </c>
      <c r="AD332" s="9" t="s">
        <v>990</v>
      </c>
      <c r="AE332" s="10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2" s="2" t="b">
        <v>0</v>
      </c>
      <c r="AY332"/>
      <c r="AZ332"/>
      <c r="BA332"/>
    </row>
    <row r="333" spans="1:53">
      <c r="A333" s="2" t="s">
        <v>357</v>
      </c>
      <c r="B333">
        <v>1901</v>
      </c>
      <c r="C333">
        <v>1</v>
      </c>
      <c r="D333" t="s">
        <v>1807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324</v>
      </c>
      <c r="H333">
        <v>85</v>
      </c>
      <c r="I333">
        <v>5</v>
      </c>
      <c r="J333">
        <v>5</v>
      </c>
      <c r="K333" s="2" t="s">
        <v>325</v>
      </c>
      <c r="L333">
        <f>_xlfn.XLOOKUP("LOADINGSPEEDDEF_"&amp;PROPERTIES[[#This Row],[LOADINGSPEED]],LOADINGSPEEDDEF[TYPE],LOADINGSPEEDDEF[SPEED])</f>
        <v>120</v>
      </c>
      <c r="M333">
        <v>45</v>
      </c>
      <c r="N333"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>
        <v>60</v>
      </c>
      <c r="W333" s="9">
        <v>88</v>
      </c>
      <c r="X333" s="9">
        <v>5</v>
      </c>
      <c r="Y333" s="10">
        <v>0</v>
      </c>
      <c r="Z333" t="s">
        <v>904</v>
      </c>
      <c r="AA333" t="s">
        <v>903</v>
      </c>
      <c r="AB333" s="2" t="s">
        <v>921</v>
      </c>
      <c r="AC333" s="9" t="s">
        <v>989</v>
      </c>
      <c r="AD333" s="9" t="s">
        <v>990</v>
      </c>
      <c r="AE333" s="10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3" s="2" t="b">
        <v>0</v>
      </c>
      <c r="AY333"/>
      <c r="AZ333"/>
      <c r="BA333"/>
    </row>
    <row r="334" spans="1:53">
      <c r="A334" s="2" t="s">
        <v>358</v>
      </c>
      <c r="B334">
        <v>1910</v>
      </c>
      <c r="C334">
        <v>1</v>
      </c>
      <c r="D334" t="s">
        <v>1981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324</v>
      </c>
      <c r="H334">
        <v>100</v>
      </c>
      <c r="I334">
        <v>8</v>
      </c>
      <c r="J334">
        <v>8</v>
      </c>
      <c r="K334" s="2" t="s">
        <v>325</v>
      </c>
      <c r="L334">
        <f>_xlfn.XLOOKUP("LOADINGSPEEDDEF_"&amp;PROPERTIES[[#This Row],[LOADINGSPEED]],LOADINGSPEEDDEF[TYPE],LOADINGSPEEDDEF[SPEED])</f>
        <v>120</v>
      </c>
      <c r="M334">
        <v>45</v>
      </c>
      <c r="N334"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>
        <v>60</v>
      </c>
      <c r="W334" s="9">
        <v>128</v>
      </c>
      <c r="X334" s="9">
        <v>8</v>
      </c>
      <c r="Y334" s="10">
        <v>0</v>
      </c>
      <c r="Z334" t="s">
        <v>909</v>
      </c>
      <c r="AA334" t="s">
        <v>903</v>
      </c>
      <c r="AB334" s="2" t="s">
        <v>921</v>
      </c>
      <c r="AC334" s="9" t="s">
        <v>989</v>
      </c>
      <c r="AD334" s="9" t="s">
        <v>990</v>
      </c>
      <c r="AE334" s="10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4" s="2" t="b">
        <v>0</v>
      </c>
      <c r="AY334"/>
      <c r="AZ334"/>
      <c r="BA334"/>
    </row>
    <row r="335" spans="1:53">
      <c r="A335" s="2" t="s">
        <v>359</v>
      </c>
      <c r="B335">
        <v>1933</v>
      </c>
      <c r="C335">
        <v>1</v>
      </c>
      <c r="D335" t="s">
        <v>1863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324</v>
      </c>
      <c r="H335">
        <v>120</v>
      </c>
      <c r="I335">
        <v>7</v>
      </c>
      <c r="J335">
        <v>7</v>
      </c>
      <c r="K335" s="2" t="s">
        <v>325</v>
      </c>
      <c r="L335">
        <f>_xlfn.XLOOKUP("LOADINGSPEEDDEF_"&amp;PROPERTIES[[#This Row],[LOADINGSPEED]],LOADINGSPEEDDEF[TYPE],LOADINGSPEEDDEF[SPEED])</f>
        <v>120</v>
      </c>
      <c r="M335">
        <v>45</v>
      </c>
      <c r="N335"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>
        <v>60</v>
      </c>
      <c r="W335" s="9">
        <v>145</v>
      </c>
      <c r="X335" s="9">
        <v>7</v>
      </c>
      <c r="Y335" s="10">
        <v>0</v>
      </c>
      <c r="Z335" t="s">
        <v>912</v>
      </c>
      <c r="AA335" t="s">
        <v>903</v>
      </c>
      <c r="AB335" s="2" t="s">
        <v>921</v>
      </c>
      <c r="AC335" s="9" t="s">
        <v>989</v>
      </c>
      <c r="AD335" s="9" t="s">
        <v>990</v>
      </c>
      <c r="AE335" s="10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5" s="2" t="b">
        <v>0</v>
      </c>
      <c r="AY335"/>
      <c r="AZ335"/>
      <c r="BA335"/>
    </row>
    <row r="336" spans="1:53">
      <c r="A336" s="2" t="s">
        <v>360</v>
      </c>
      <c r="B336">
        <v>1934</v>
      </c>
      <c r="C336">
        <v>1</v>
      </c>
      <c r="D336" t="s">
        <v>1940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324</v>
      </c>
      <c r="H336">
        <v>135</v>
      </c>
      <c r="I336">
        <v>7</v>
      </c>
      <c r="J336">
        <v>7</v>
      </c>
      <c r="K336" s="2" t="s">
        <v>325</v>
      </c>
      <c r="L336">
        <f>_xlfn.XLOOKUP("LOADINGSPEEDDEF_"&amp;PROPERTIES[[#This Row],[LOADINGSPEED]],LOADINGSPEEDDEF[TYPE],LOADINGSPEEDDEF[SPEED])</f>
        <v>120</v>
      </c>
      <c r="M336">
        <v>45</v>
      </c>
      <c r="N336"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>
        <v>60</v>
      </c>
      <c r="W336" s="9">
        <v>131</v>
      </c>
      <c r="X336" s="9">
        <v>7</v>
      </c>
      <c r="Y336" s="10">
        <v>0</v>
      </c>
      <c r="Z336" t="s">
        <v>912</v>
      </c>
      <c r="AA336" t="s">
        <v>903</v>
      </c>
      <c r="AB336" s="2" t="s">
        <v>921</v>
      </c>
      <c r="AC336" s="9" t="s">
        <v>989</v>
      </c>
      <c r="AD336" s="9" t="s">
        <v>990</v>
      </c>
      <c r="AE336" s="10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6" s="2" t="b">
        <v>0</v>
      </c>
      <c r="AY336"/>
      <c r="AZ336"/>
      <c r="BA336"/>
    </row>
    <row r="337" spans="1:53">
      <c r="A337" s="2" t="s">
        <v>361</v>
      </c>
      <c r="B337">
        <v>1948</v>
      </c>
      <c r="C337">
        <v>1</v>
      </c>
      <c r="D337" t="s">
        <v>1981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324</v>
      </c>
      <c r="H337">
        <v>145</v>
      </c>
      <c r="I337">
        <v>8</v>
      </c>
      <c r="J337">
        <v>8</v>
      </c>
      <c r="K337" s="2" t="s">
        <v>325</v>
      </c>
      <c r="L337">
        <f>_xlfn.XLOOKUP("LOADINGSPEEDDEF_"&amp;PROPERTIES[[#This Row],[LOADINGSPEED]],LOADINGSPEEDDEF[TYPE],LOADINGSPEEDDEF[SPEED])</f>
        <v>120</v>
      </c>
      <c r="M337">
        <v>45</v>
      </c>
      <c r="N337"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>
        <v>60</v>
      </c>
      <c r="W337" s="9">
        <v>160</v>
      </c>
      <c r="X337" s="9">
        <v>8</v>
      </c>
      <c r="Y337" s="10">
        <v>0</v>
      </c>
      <c r="Z337" t="s">
        <v>909</v>
      </c>
      <c r="AA337" t="s">
        <v>903</v>
      </c>
      <c r="AB337" s="2" t="s">
        <v>921</v>
      </c>
      <c r="AC337" s="9" t="s">
        <v>989</v>
      </c>
      <c r="AD337" s="9" t="s">
        <v>990</v>
      </c>
      <c r="AE337" s="10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7" s="2" t="b">
        <v>0</v>
      </c>
      <c r="AY337"/>
      <c r="AZ337"/>
      <c r="BA337"/>
    </row>
    <row r="338" spans="1:53">
      <c r="A338" s="2" t="s">
        <v>362</v>
      </c>
      <c r="B338">
        <v>1954</v>
      </c>
      <c r="C338">
        <v>1</v>
      </c>
      <c r="D338" t="s">
        <v>1859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324</v>
      </c>
      <c r="H338">
        <v>140</v>
      </c>
      <c r="I338">
        <v>7</v>
      </c>
      <c r="J338">
        <v>7</v>
      </c>
      <c r="K338" s="2" t="s">
        <v>325</v>
      </c>
      <c r="L338">
        <f>_xlfn.XLOOKUP("LOADINGSPEEDDEF_"&amp;PROPERTIES[[#This Row],[LOADINGSPEED]],LOADINGSPEEDDEF[TYPE],LOADINGSPEEDDEF[SPEED])</f>
        <v>120</v>
      </c>
      <c r="M338">
        <v>45</v>
      </c>
      <c r="N338"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>
        <v>60</v>
      </c>
      <c r="W338" s="9">
        <v>156</v>
      </c>
      <c r="X338" s="9">
        <v>7</v>
      </c>
      <c r="Y338" s="10">
        <v>0</v>
      </c>
      <c r="Z338" t="s">
        <v>905</v>
      </c>
      <c r="AA338" t="s">
        <v>903</v>
      </c>
      <c r="AB338" s="2" t="s">
        <v>921</v>
      </c>
      <c r="AC338" s="9" t="s">
        <v>989</v>
      </c>
      <c r="AD338" s="9" t="s">
        <v>990</v>
      </c>
      <c r="AE338" s="10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8" s="2" t="b">
        <v>0</v>
      </c>
      <c r="AY338"/>
      <c r="AZ338"/>
      <c r="BA338"/>
    </row>
    <row r="339" spans="1:53">
      <c r="A339" s="2" t="s">
        <v>363</v>
      </c>
      <c r="B339">
        <v>1955</v>
      </c>
      <c r="C339">
        <v>1</v>
      </c>
      <c r="D339" t="s">
        <v>1940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324</v>
      </c>
      <c r="H339">
        <v>140</v>
      </c>
      <c r="I339">
        <v>8</v>
      </c>
      <c r="J339">
        <v>8</v>
      </c>
      <c r="K339" s="2" t="s">
        <v>325</v>
      </c>
      <c r="L339">
        <f>_xlfn.XLOOKUP("LOADINGSPEEDDEF_"&amp;PROPERTIES[[#This Row],[LOADINGSPEED]],LOADINGSPEEDDEF[TYPE],LOADINGSPEEDDEF[SPEED])</f>
        <v>120</v>
      </c>
      <c r="M339">
        <v>45</v>
      </c>
      <c r="N339"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>
        <v>60</v>
      </c>
      <c r="W339" s="9">
        <v>132</v>
      </c>
      <c r="X339" s="9">
        <v>8</v>
      </c>
      <c r="Y339" s="10">
        <v>0</v>
      </c>
      <c r="Z339" t="s">
        <v>912</v>
      </c>
      <c r="AA339" t="s">
        <v>903</v>
      </c>
      <c r="AB339" s="2" t="s">
        <v>921</v>
      </c>
      <c r="AC339" s="9" t="s">
        <v>989</v>
      </c>
      <c r="AD339" s="9" t="s">
        <v>990</v>
      </c>
      <c r="AE339" s="10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9" s="2" t="b">
        <v>0</v>
      </c>
      <c r="AY339"/>
      <c r="AZ339"/>
      <c r="BA339"/>
    </row>
    <row r="340" spans="1:53">
      <c r="A340" s="2" t="s">
        <v>364</v>
      </c>
      <c r="B340">
        <v>1968</v>
      </c>
      <c r="C340">
        <v>1</v>
      </c>
      <c r="D340" t="s">
        <v>1915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324</v>
      </c>
      <c r="H340">
        <v>140</v>
      </c>
      <c r="I340">
        <v>7</v>
      </c>
      <c r="J340">
        <v>7</v>
      </c>
      <c r="K340" s="2" t="s">
        <v>325</v>
      </c>
      <c r="L340">
        <f>_xlfn.XLOOKUP("LOADINGSPEEDDEF_"&amp;PROPERTIES[[#This Row],[LOADINGSPEED]],LOADINGSPEEDDEF[TYPE],LOADINGSPEEDDEF[SPEED])</f>
        <v>120</v>
      </c>
      <c r="M340">
        <v>45</v>
      </c>
      <c r="N340"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>
        <v>60</v>
      </c>
      <c r="W340" s="9">
        <v>235</v>
      </c>
      <c r="X340" s="9">
        <v>7</v>
      </c>
      <c r="Y340" s="10">
        <v>0</v>
      </c>
      <c r="Z340" t="s">
        <v>904</v>
      </c>
      <c r="AA340" t="s">
        <v>903</v>
      </c>
      <c r="AB340" s="2" t="s">
        <v>921</v>
      </c>
      <c r="AC340" s="9" t="s">
        <v>989</v>
      </c>
      <c r="AD340" s="9" t="s">
        <v>990</v>
      </c>
      <c r="AE340" s="10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0" s="2" t="b">
        <v>0</v>
      </c>
      <c r="AY340"/>
      <c r="AZ340"/>
      <c r="BA340"/>
    </row>
    <row r="341" spans="1:53">
      <c r="A341" s="2" t="s">
        <v>365</v>
      </c>
      <c r="B341">
        <v>1972</v>
      </c>
      <c r="C341">
        <v>1</v>
      </c>
      <c r="D341" t="s">
        <v>1806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324</v>
      </c>
      <c r="H341">
        <v>131</v>
      </c>
      <c r="I341">
        <v>8</v>
      </c>
      <c r="J341">
        <v>8</v>
      </c>
      <c r="K341" s="2" t="s">
        <v>325</v>
      </c>
      <c r="L341">
        <f>_xlfn.XLOOKUP("LOADINGSPEEDDEF_"&amp;PROPERTIES[[#This Row],[LOADINGSPEED]],LOADINGSPEEDDEF[TYPE],LOADINGSPEEDDEF[SPEED])</f>
        <v>120</v>
      </c>
      <c r="M341">
        <v>45</v>
      </c>
      <c r="N341"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>
        <v>60</v>
      </c>
      <c r="W341" s="9">
        <v>150</v>
      </c>
      <c r="X341" s="9">
        <v>8</v>
      </c>
      <c r="Y341" s="10">
        <v>0</v>
      </c>
      <c r="Z341" t="s">
        <v>910</v>
      </c>
      <c r="AA341" t="s">
        <v>903</v>
      </c>
      <c r="AB341" s="2" t="s">
        <v>921</v>
      </c>
      <c r="AC341" s="9" t="s">
        <v>989</v>
      </c>
      <c r="AD341" s="9" t="s">
        <v>990</v>
      </c>
      <c r="AE341" s="10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1" s="2" t="b">
        <v>0</v>
      </c>
      <c r="AY341"/>
      <c r="AZ341"/>
      <c r="BA341"/>
    </row>
    <row r="342" spans="1:53">
      <c r="A342" s="2" t="s">
        <v>366</v>
      </c>
      <c r="B342">
        <v>1999</v>
      </c>
      <c r="C342">
        <v>1</v>
      </c>
      <c r="D342" t="s">
        <v>1760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324</v>
      </c>
      <c r="H342">
        <v>115</v>
      </c>
      <c r="I342">
        <v>7</v>
      </c>
      <c r="J342">
        <v>7</v>
      </c>
      <c r="K342" s="2" t="s">
        <v>325</v>
      </c>
      <c r="L342">
        <f>_xlfn.XLOOKUP("LOADINGSPEEDDEF_"&amp;PROPERTIES[[#This Row],[LOADINGSPEED]],LOADINGSPEEDDEF[TYPE],LOADINGSPEEDDEF[SPEED])</f>
        <v>120</v>
      </c>
      <c r="M342">
        <v>45</v>
      </c>
      <c r="N342"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>
        <v>40</v>
      </c>
      <c r="W342" s="9">
        <v>162</v>
      </c>
      <c r="X342" s="9">
        <v>7</v>
      </c>
      <c r="Y342" s="10">
        <v>0</v>
      </c>
      <c r="Z342" t="s">
        <v>911</v>
      </c>
      <c r="AA342" t="s">
        <v>903</v>
      </c>
      <c r="AB342" s="2" t="s">
        <v>921</v>
      </c>
      <c r="AC342" s="9" t="s">
        <v>989</v>
      </c>
      <c r="AD342" s="9" t="s">
        <v>990</v>
      </c>
      <c r="AE342" s="10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2" s="2" t="b">
        <v>0</v>
      </c>
      <c r="AY342"/>
      <c r="AZ342"/>
      <c r="BA342"/>
    </row>
    <row r="343" spans="1:53">
      <c r="A343" s="2" t="s">
        <v>367</v>
      </c>
      <c r="B343">
        <v>1996</v>
      </c>
      <c r="C343">
        <v>1</v>
      </c>
      <c r="D343" t="s">
        <v>1796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324</v>
      </c>
      <c r="H343">
        <v>160</v>
      </c>
      <c r="I343">
        <v>7</v>
      </c>
      <c r="J343">
        <v>7</v>
      </c>
      <c r="K343" s="2" t="s">
        <v>325</v>
      </c>
      <c r="L343">
        <f>_xlfn.XLOOKUP("LOADINGSPEEDDEF_"&amp;PROPERTIES[[#This Row],[LOADINGSPEED]],LOADINGSPEEDDEF[TYPE],LOADINGSPEEDDEF[SPEED])</f>
        <v>120</v>
      </c>
      <c r="M343">
        <v>45</v>
      </c>
      <c r="N343"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>
        <v>40</v>
      </c>
      <c r="W343" s="9">
        <v>116</v>
      </c>
      <c r="X343" s="9">
        <v>7</v>
      </c>
      <c r="Y343" s="10">
        <v>0</v>
      </c>
      <c r="Z343" t="s">
        <v>911</v>
      </c>
      <c r="AA343" t="s">
        <v>903</v>
      </c>
      <c r="AB343" s="2" t="s">
        <v>921</v>
      </c>
      <c r="AC343" s="9" t="s">
        <v>989</v>
      </c>
      <c r="AD343" s="9" t="s">
        <v>990</v>
      </c>
      <c r="AE343" s="10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3" s="2" t="b">
        <v>0</v>
      </c>
      <c r="AY343"/>
      <c r="AZ343"/>
      <c r="BA343"/>
    </row>
    <row r="344" spans="1:53">
      <c r="A344" s="2" t="s">
        <v>368</v>
      </c>
      <c r="B344">
        <v>2004</v>
      </c>
      <c r="C344">
        <v>1</v>
      </c>
      <c r="D344" t="s">
        <v>1796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324</v>
      </c>
      <c r="H344">
        <v>175</v>
      </c>
      <c r="I344">
        <v>8</v>
      </c>
      <c r="J344">
        <v>8</v>
      </c>
      <c r="K344" s="2" t="s">
        <v>325</v>
      </c>
      <c r="L344">
        <f>_xlfn.XLOOKUP("LOADINGSPEEDDEF_"&amp;PROPERTIES[[#This Row],[LOADINGSPEED]],LOADINGSPEEDDEF[TYPE],LOADINGSPEEDDEF[SPEED])</f>
        <v>120</v>
      </c>
      <c r="M344" t="s">
        <v>20</v>
      </c>
      <c r="N344"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>
        <v>40</v>
      </c>
      <c r="W344" s="9">
        <v>196</v>
      </c>
      <c r="X344" s="9">
        <v>8</v>
      </c>
      <c r="Y344" s="10">
        <v>0</v>
      </c>
      <c r="Z344" t="s">
        <v>911</v>
      </c>
      <c r="AA344" t="s">
        <v>903</v>
      </c>
      <c r="AB344" s="2" t="s">
        <v>921</v>
      </c>
      <c r="AC344" s="9" t="s">
        <v>989</v>
      </c>
      <c r="AD344" s="9" t="s">
        <v>990</v>
      </c>
      <c r="AE344" s="10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4" s="2" t="b">
        <v>0</v>
      </c>
      <c r="AY344"/>
      <c r="AZ344"/>
      <c r="BA344"/>
    </row>
    <row r="345" spans="1:53">
      <c r="A345" s="2" t="s">
        <v>369</v>
      </c>
      <c r="B345">
        <v>2008</v>
      </c>
      <c r="C345">
        <v>1</v>
      </c>
      <c r="D345" t="s">
        <v>1781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324</v>
      </c>
      <c r="H345">
        <v>150</v>
      </c>
      <c r="I345">
        <v>8</v>
      </c>
      <c r="J345">
        <v>8</v>
      </c>
      <c r="K345" s="2" t="s">
        <v>325</v>
      </c>
      <c r="L345">
        <f>_xlfn.XLOOKUP("LOADINGSPEEDDEF_"&amp;PROPERTIES[[#This Row],[LOADINGSPEED]],LOADINGSPEEDDEF[TYPE],LOADINGSPEEDDEF[SPEED])</f>
        <v>120</v>
      </c>
      <c r="M345" t="s">
        <v>20</v>
      </c>
      <c r="N345"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>
        <v>40</v>
      </c>
      <c r="W345" s="9">
        <v>182</v>
      </c>
      <c r="X345" s="9">
        <v>8</v>
      </c>
      <c r="Y345" s="10">
        <v>0</v>
      </c>
      <c r="Z345" t="s">
        <v>911</v>
      </c>
      <c r="AA345" t="s">
        <v>903</v>
      </c>
      <c r="AB345" s="2" t="s">
        <v>921</v>
      </c>
      <c r="AC345" s="9" t="s">
        <v>989</v>
      </c>
      <c r="AD345" s="9" t="s">
        <v>990</v>
      </c>
      <c r="AE345" s="10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5" s="2" t="b">
        <v>0</v>
      </c>
      <c r="AY345"/>
      <c r="AZ345"/>
      <c r="BA345"/>
    </row>
    <row r="346" spans="1:53">
      <c r="A346" s="2" t="s">
        <v>370</v>
      </c>
      <c r="B346">
        <v>1974</v>
      </c>
      <c r="C346">
        <v>1</v>
      </c>
      <c r="D346" t="s">
        <v>1818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324</v>
      </c>
      <c r="H346">
        <v>160</v>
      </c>
      <c r="I346">
        <v>8</v>
      </c>
      <c r="J346">
        <v>8</v>
      </c>
      <c r="K346" s="2" t="s">
        <v>23</v>
      </c>
      <c r="L346">
        <f>_xlfn.XLOOKUP("LOADINGSPEEDDEF_"&amp;PROPERTIES[[#This Row],[LOADINGSPEED]],LOADINGSPEEDDEF[TYPE],LOADINGSPEEDDEF[SPEED])</f>
        <v>40</v>
      </c>
      <c r="M346">
        <v>45</v>
      </c>
      <c r="N346"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>
        <v>40</v>
      </c>
      <c r="W346" s="9">
        <v>192</v>
      </c>
      <c r="X346" s="9">
        <v>8</v>
      </c>
      <c r="Y346" s="10">
        <v>0</v>
      </c>
      <c r="Z346" t="s">
        <v>905</v>
      </c>
      <c r="AA346" t="s">
        <v>903</v>
      </c>
      <c r="AB346" s="2" t="s">
        <v>921</v>
      </c>
      <c r="AC346" s="9" t="s">
        <v>989</v>
      </c>
      <c r="AD346" s="9" t="s">
        <v>990</v>
      </c>
      <c r="AE346" s="10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6" s="2" t="b">
        <v>0</v>
      </c>
      <c r="AY346"/>
      <c r="AZ346"/>
      <c r="BA346"/>
    </row>
    <row r="347" spans="1:53">
      <c r="A347" s="2" t="s">
        <v>371</v>
      </c>
      <c r="B347">
        <v>1999</v>
      </c>
      <c r="C347">
        <v>1</v>
      </c>
      <c r="D347" t="s">
        <v>1859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324</v>
      </c>
      <c r="H347">
        <v>210</v>
      </c>
      <c r="I347">
        <v>8</v>
      </c>
      <c r="J347">
        <v>8</v>
      </c>
      <c r="K347" s="2" t="s">
        <v>23</v>
      </c>
      <c r="L347">
        <f>_xlfn.XLOOKUP("LOADINGSPEEDDEF_"&amp;PROPERTIES[[#This Row],[LOADINGSPEED]],LOADINGSPEEDDEF[TYPE],LOADINGSPEEDDEF[SPEED])</f>
        <v>40</v>
      </c>
      <c r="M347">
        <v>45</v>
      </c>
      <c r="N347"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>
        <v>40</v>
      </c>
      <c r="W347" s="9">
        <v>194</v>
      </c>
      <c r="X347" s="9">
        <v>8</v>
      </c>
      <c r="Y347" s="10">
        <v>0</v>
      </c>
      <c r="Z347" t="s">
        <v>905</v>
      </c>
      <c r="AA347" t="s">
        <v>903</v>
      </c>
      <c r="AB347" s="2" t="s">
        <v>921</v>
      </c>
      <c r="AC347" s="9" t="s">
        <v>989</v>
      </c>
      <c r="AD347" s="9" t="s">
        <v>990</v>
      </c>
      <c r="AE347" s="10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7" s="2" t="b">
        <v>0</v>
      </c>
      <c r="AY347"/>
      <c r="AZ347"/>
      <c r="BA347"/>
    </row>
    <row r="348" spans="1:53">
      <c r="A348" s="2" t="s">
        <v>372</v>
      </c>
      <c r="B348">
        <v>2011</v>
      </c>
      <c r="C348">
        <v>1</v>
      </c>
      <c r="D348" t="s">
        <v>1812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324</v>
      </c>
      <c r="H348">
        <v>165</v>
      </c>
      <c r="I348">
        <v>7</v>
      </c>
      <c r="J348">
        <v>7</v>
      </c>
      <c r="K348" s="2" t="s">
        <v>23</v>
      </c>
      <c r="L348">
        <f>_xlfn.XLOOKUP("LOADINGSPEEDDEF_"&amp;PROPERTIES[[#This Row],[LOADINGSPEED]],LOADINGSPEEDDEF[TYPE],LOADINGSPEEDDEF[SPEED])</f>
        <v>40</v>
      </c>
      <c r="M348" t="s">
        <v>20</v>
      </c>
      <c r="N348"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>
        <v>40</v>
      </c>
      <c r="W348" s="9">
        <v>215</v>
      </c>
      <c r="X348" s="9">
        <v>7</v>
      </c>
      <c r="Y348" s="10">
        <v>0</v>
      </c>
      <c r="Z348" t="s">
        <v>907</v>
      </c>
      <c r="AA348" t="s">
        <v>903</v>
      </c>
      <c r="AB348" s="2" t="s">
        <v>921</v>
      </c>
      <c r="AC348" s="9" t="s">
        <v>989</v>
      </c>
      <c r="AD348" s="9" t="s">
        <v>990</v>
      </c>
      <c r="AE348" s="10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8" s="2" t="b">
        <v>0</v>
      </c>
      <c r="AY348"/>
      <c r="AZ348"/>
      <c r="BA348"/>
    </row>
    <row r="349" spans="1:53">
      <c r="A349" s="2" t="s">
        <v>373</v>
      </c>
      <c r="B349">
        <v>2015</v>
      </c>
      <c r="C349">
        <v>1</v>
      </c>
      <c r="D349" t="s">
        <v>1807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324</v>
      </c>
      <c r="H349">
        <v>125</v>
      </c>
      <c r="I349">
        <v>8</v>
      </c>
      <c r="J349">
        <v>8</v>
      </c>
      <c r="K349" s="2" t="s">
        <v>23</v>
      </c>
      <c r="L349">
        <f>_xlfn.XLOOKUP("LOADINGSPEEDDEF_"&amp;PROPERTIES[[#This Row],[LOADINGSPEED]],LOADINGSPEEDDEF[TYPE],LOADINGSPEEDDEF[SPEED])</f>
        <v>40</v>
      </c>
      <c r="M349" t="s">
        <v>20</v>
      </c>
      <c r="N349"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>
        <v>40</v>
      </c>
      <c r="W349" s="9">
        <v>145</v>
      </c>
      <c r="X349" s="9">
        <v>8</v>
      </c>
      <c r="Y349" s="10">
        <v>0</v>
      </c>
      <c r="Z349" t="s">
        <v>904</v>
      </c>
      <c r="AA349" t="s">
        <v>903</v>
      </c>
      <c r="AB349" s="2" t="s">
        <v>921</v>
      </c>
      <c r="AC349" s="9" t="s">
        <v>989</v>
      </c>
      <c r="AD349" s="9" t="s">
        <v>990</v>
      </c>
      <c r="AE349" s="10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9" s="2" t="b">
        <v>0</v>
      </c>
      <c r="AY349"/>
      <c r="AZ349"/>
      <c r="BA349"/>
    </row>
    <row r="350" spans="1:53">
      <c r="A350" s="2" t="s">
        <v>374</v>
      </c>
      <c r="B350">
        <v>1950</v>
      </c>
      <c r="C350">
        <v>1</v>
      </c>
      <c r="D350" t="s">
        <v>1981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324</v>
      </c>
      <c r="H350">
        <v>125</v>
      </c>
      <c r="I350">
        <v>7</v>
      </c>
      <c r="J350">
        <v>7</v>
      </c>
      <c r="K350" s="2" t="s">
        <v>325</v>
      </c>
      <c r="L350">
        <f>_xlfn.XLOOKUP("LOADINGSPEEDDEF_"&amp;PROPERTIES[[#This Row],[LOADINGSPEED]],LOADINGSPEEDDEF[TYPE],LOADINGSPEEDDEF[SPEED])</f>
        <v>120</v>
      </c>
      <c r="M350">
        <v>45</v>
      </c>
      <c r="N350"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>
        <v>60</v>
      </c>
      <c r="W350" s="9">
        <v>130</v>
      </c>
      <c r="X350" s="9">
        <v>7</v>
      </c>
      <c r="Y350" s="10">
        <v>0</v>
      </c>
      <c r="Z350" t="s">
        <v>909</v>
      </c>
      <c r="AA350" t="s">
        <v>903</v>
      </c>
      <c r="AB350" s="2" t="s">
        <v>921</v>
      </c>
      <c r="AC350" s="9" t="s">
        <v>989</v>
      </c>
      <c r="AD350" s="9" t="s">
        <v>990</v>
      </c>
      <c r="AE350" s="10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0" s="2" t="b">
        <v>0</v>
      </c>
      <c r="AY350"/>
      <c r="AZ350"/>
      <c r="BA350"/>
    </row>
    <row r="351" spans="1:53">
      <c r="A351" s="2" t="s">
        <v>375</v>
      </c>
      <c r="B351">
        <v>1903</v>
      </c>
      <c r="C351">
        <v>1</v>
      </c>
      <c r="D351" t="s">
        <v>1826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324</v>
      </c>
      <c r="H351">
        <v>90</v>
      </c>
      <c r="I351">
        <v>8</v>
      </c>
      <c r="J351">
        <v>8</v>
      </c>
      <c r="K351" s="2" t="s">
        <v>325</v>
      </c>
      <c r="L351">
        <f>_xlfn.XLOOKUP("LOADINGSPEEDDEF_"&amp;PROPERTIES[[#This Row],[LOADINGSPEED]],LOADINGSPEEDDEF[TYPE],LOADINGSPEEDDEF[SPEED])</f>
        <v>120</v>
      </c>
      <c r="M351">
        <v>45</v>
      </c>
      <c r="N351"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>
        <v>60</v>
      </c>
      <c r="W351" s="9">
        <v>125</v>
      </c>
      <c r="X351" s="9">
        <v>8</v>
      </c>
      <c r="Y351" s="10">
        <v>0</v>
      </c>
      <c r="Z351" t="s">
        <v>908</v>
      </c>
      <c r="AA351" t="s">
        <v>903</v>
      </c>
      <c r="AB351" s="2" t="s">
        <v>921</v>
      </c>
      <c r="AC351" s="9" t="s">
        <v>989</v>
      </c>
      <c r="AD351" s="9" t="s">
        <v>990</v>
      </c>
      <c r="AE351" s="10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1" s="2" t="b">
        <v>0</v>
      </c>
      <c r="AY351"/>
      <c r="AZ351"/>
      <c r="BA351"/>
    </row>
    <row r="352" spans="1:53">
      <c r="A352" s="2" t="s">
        <v>376</v>
      </c>
      <c r="B352">
        <v>1938</v>
      </c>
      <c r="C352">
        <v>1</v>
      </c>
      <c r="D352" t="s">
        <v>1826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324</v>
      </c>
      <c r="H352">
        <v>105</v>
      </c>
      <c r="I352">
        <v>7</v>
      </c>
      <c r="J352">
        <v>7</v>
      </c>
      <c r="K352" s="2" t="s">
        <v>325</v>
      </c>
      <c r="L352">
        <f>_xlfn.XLOOKUP("LOADINGSPEEDDEF_"&amp;PROPERTIES[[#This Row],[LOADINGSPEED]],LOADINGSPEEDDEF[TYPE],LOADINGSPEEDDEF[SPEED])</f>
        <v>120</v>
      </c>
      <c r="M352">
        <v>45</v>
      </c>
      <c r="N352"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>
        <v>60</v>
      </c>
      <c r="W352" s="9">
        <v>120</v>
      </c>
      <c r="X352" s="9">
        <v>7</v>
      </c>
      <c r="Y352" s="10">
        <v>0</v>
      </c>
      <c r="Z352" t="s">
        <v>908</v>
      </c>
      <c r="AA352" t="s">
        <v>903</v>
      </c>
      <c r="AB352" s="2" t="s">
        <v>921</v>
      </c>
      <c r="AC352" s="9" t="s">
        <v>989</v>
      </c>
      <c r="AD352" s="9" t="s">
        <v>990</v>
      </c>
      <c r="AE352" s="10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2" s="2" t="b">
        <v>0</v>
      </c>
      <c r="AY352"/>
      <c r="AZ352"/>
      <c r="BA352"/>
    </row>
    <row r="353" spans="1:53">
      <c r="A353" s="2" t="s">
        <v>377</v>
      </c>
      <c r="B353">
        <v>1914</v>
      </c>
      <c r="C353">
        <v>0</v>
      </c>
      <c r="D353" t="s">
        <v>1826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>
        <v>7</v>
      </c>
      <c r="K353" s="2" t="s">
        <v>19</v>
      </c>
      <c r="L353">
        <f>_xlfn.XLOOKUP("LOADINGSPEEDDEF_"&amp;PROPERTIES[[#This Row],[LOADINGSPEED]],LOADINGSPEEDDEF[TYPE],LOADINGSPEEDDEF[SPEED])</f>
        <v>0</v>
      </c>
      <c r="M353">
        <v>45</v>
      </c>
      <c r="N353"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>
        <v>40</v>
      </c>
      <c r="W353" s="9">
        <v>0</v>
      </c>
      <c r="X353" s="9">
        <v>0</v>
      </c>
      <c r="Y353" s="10">
        <v>0</v>
      </c>
      <c r="Z353" t="s">
        <v>908</v>
      </c>
      <c r="AA353" t="s">
        <v>903</v>
      </c>
      <c r="AB353" s="2" t="s">
        <v>921</v>
      </c>
      <c r="AC353" s="9" t="s">
        <v>991</v>
      </c>
      <c r="AD353" s="9" t="s">
        <v>992</v>
      </c>
      <c r="AE353" s="10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3" s="2" t="b">
        <v>0</v>
      </c>
      <c r="AY353"/>
      <c r="AZ353"/>
      <c r="BA353"/>
    </row>
    <row r="354" spans="1:53">
      <c r="A354" s="2" t="s">
        <v>378</v>
      </c>
      <c r="B354">
        <v>1931</v>
      </c>
      <c r="C354">
        <v>0</v>
      </c>
      <c r="D354" t="s">
        <v>1863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>
        <v>5</v>
      </c>
      <c r="K354" s="2" t="s">
        <v>19</v>
      </c>
      <c r="L354">
        <f>_xlfn.XLOOKUP("LOADINGSPEEDDEF_"&amp;PROPERTIES[[#This Row],[LOADINGSPEED]],LOADINGSPEEDDEF[TYPE],LOADINGSPEEDDEF[SPEED])</f>
        <v>0</v>
      </c>
      <c r="M354">
        <v>45</v>
      </c>
      <c r="N354">
        <v>1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>
        <v>40</v>
      </c>
      <c r="W354" s="9">
        <v>0</v>
      </c>
      <c r="X354" s="9">
        <v>0</v>
      </c>
      <c r="Y354" s="10">
        <v>0</v>
      </c>
      <c r="Z354" t="s">
        <v>912</v>
      </c>
      <c r="AA354" t="s">
        <v>903</v>
      </c>
      <c r="AB354" s="2" t="s">
        <v>921</v>
      </c>
      <c r="AC354" s="9" t="s">
        <v>991</v>
      </c>
      <c r="AD354" s="9" t="s">
        <v>992</v>
      </c>
      <c r="AE354" s="10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4" s="2" t="b">
        <v>0</v>
      </c>
      <c r="AY354"/>
      <c r="AZ354"/>
      <c r="BA354"/>
    </row>
    <row r="355" spans="1:53">
      <c r="A355" s="2" t="s">
        <v>379</v>
      </c>
      <c r="B355">
        <v>1936</v>
      </c>
      <c r="C355">
        <v>0</v>
      </c>
      <c r="D355" t="s">
        <v>1863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>
        <v>8</v>
      </c>
      <c r="K355" s="2" t="s">
        <v>19</v>
      </c>
      <c r="L355">
        <f>_xlfn.XLOOKUP("LOADINGSPEEDDEF_"&amp;PROPERTIES[[#This Row],[LOADINGSPEED]],LOADINGSPEEDDEF[TYPE],LOADINGSPEEDDEF[SPEED])</f>
        <v>0</v>
      </c>
      <c r="M355">
        <v>45</v>
      </c>
      <c r="N355">
        <v>1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>
        <v>40</v>
      </c>
      <c r="W355" s="9">
        <v>0</v>
      </c>
      <c r="X355" s="9">
        <v>0</v>
      </c>
      <c r="Y355" s="10">
        <v>0</v>
      </c>
      <c r="Z355" t="s">
        <v>912</v>
      </c>
      <c r="AA355" t="s">
        <v>903</v>
      </c>
      <c r="AB355" s="2" t="s">
        <v>921</v>
      </c>
      <c r="AC355" s="9" t="s">
        <v>991</v>
      </c>
      <c r="AD355" s="9" t="s">
        <v>992</v>
      </c>
      <c r="AE355" s="10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5" s="2" t="b">
        <v>0</v>
      </c>
      <c r="AY355"/>
      <c r="AZ355"/>
      <c r="BA355"/>
    </row>
    <row r="356" spans="1:53">
      <c r="A356" s="2" t="s">
        <v>380</v>
      </c>
      <c r="B356">
        <v>1948</v>
      </c>
      <c r="C356">
        <v>0</v>
      </c>
      <c r="D356" t="s">
        <v>1915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>
        <v>8</v>
      </c>
      <c r="K356" s="2" t="s">
        <v>19</v>
      </c>
      <c r="L356">
        <f>_xlfn.XLOOKUP("LOADINGSPEEDDEF_"&amp;PROPERTIES[[#This Row],[LOADINGSPEED]],LOADINGSPEEDDEF[TYPE],LOADINGSPEEDDEF[SPEED])</f>
        <v>0</v>
      </c>
      <c r="M356">
        <v>45</v>
      </c>
      <c r="N356">
        <v>1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>
        <v>40</v>
      </c>
      <c r="W356" s="9">
        <v>0</v>
      </c>
      <c r="X356" s="9">
        <v>0</v>
      </c>
      <c r="Y356" s="10">
        <v>0</v>
      </c>
      <c r="Z356" t="s">
        <v>904</v>
      </c>
      <c r="AA356" t="s">
        <v>903</v>
      </c>
      <c r="AB356" s="2" t="s">
        <v>921</v>
      </c>
      <c r="AC356" s="9" t="s">
        <v>991</v>
      </c>
      <c r="AD356" s="9" t="s">
        <v>992</v>
      </c>
      <c r="AE356" s="10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6" s="2" t="b">
        <v>0</v>
      </c>
      <c r="AY356"/>
      <c r="AZ356"/>
      <c r="BA356"/>
    </row>
    <row r="357" spans="1:53">
      <c r="A357" s="2" t="s">
        <v>381</v>
      </c>
      <c r="B357">
        <v>1980</v>
      </c>
      <c r="C357">
        <v>0</v>
      </c>
      <c r="D357" t="s">
        <v>1915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>
        <v>8</v>
      </c>
      <c r="K357" s="2" t="s">
        <v>19</v>
      </c>
      <c r="L357">
        <f>_xlfn.XLOOKUP("LOADINGSPEEDDEF_"&amp;PROPERTIES[[#This Row],[LOADINGSPEED]],LOADINGSPEEDDEF[TYPE],LOADINGSPEEDDEF[SPEED])</f>
        <v>0</v>
      </c>
      <c r="M357">
        <v>45</v>
      </c>
      <c r="N357">
        <v>1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>
        <v>40</v>
      </c>
      <c r="W357" s="9">
        <v>0</v>
      </c>
      <c r="X357" s="9">
        <v>0</v>
      </c>
      <c r="Y357" s="10">
        <v>0</v>
      </c>
      <c r="Z357" t="s">
        <v>904</v>
      </c>
      <c r="AA357" t="s">
        <v>903</v>
      </c>
      <c r="AB357" s="2" t="s">
        <v>921</v>
      </c>
      <c r="AC357" s="9" t="s">
        <v>991</v>
      </c>
      <c r="AD357" s="9" t="s">
        <v>992</v>
      </c>
      <c r="AE357" s="10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57" s="2" t="b">
        <v>0</v>
      </c>
      <c r="AY357"/>
      <c r="AZ357"/>
      <c r="BA357"/>
    </row>
    <row r="358" spans="1:53">
      <c r="A358" s="2" t="s">
        <v>382</v>
      </c>
      <c r="B358">
        <v>1923</v>
      </c>
      <c r="C358">
        <v>0</v>
      </c>
      <c r="D358" t="s">
        <v>1763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>
        <v>7</v>
      </c>
      <c r="K358" s="2" t="s">
        <v>19</v>
      </c>
      <c r="L358">
        <f>_xlfn.XLOOKUP("LOADINGSPEEDDEF_"&amp;PROPERTIES[[#This Row],[LOADINGSPEED]],LOADINGSPEEDDEF[TYPE],LOADINGSPEEDDEF[SPEED])</f>
        <v>0</v>
      </c>
      <c r="M358">
        <v>45</v>
      </c>
      <c r="N358">
        <v>1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>
        <v>40</v>
      </c>
      <c r="W358" s="9">
        <v>0</v>
      </c>
      <c r="X358" s="9">
        <v>0</v>
      </c>
      <c r="Y358" s="10">
        <v>0</v>
      </c>
      <c r="Z358" t="s">
        <v>906</v>
      </c>
      <c r="AA358" t="s">
        <v>903</v>
      </c>
      <c r="AB358" s="2" t="s">
        <v>921</v>
      </c>
      <c r="AC358" s="9" t="s">
        <v>991</v>
      </c>
      <c r="AD358" s="9" t="s">
        <v>992</v>
      </c>
      <c r="AE358" s="10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8" s="2" t="b">
        <v>0</v>
      </c>
      <c r="AY358"/>
      <c r="AZ358"/>
      <c r="BA358"/>
    </row>
    <row r="359" spans="1:53">
      <c r="A359" s="2" t="s">
        <v>383</v>
      </c>
      <c r="B359">
        <v>1903</v>
      </c>
      <c r="C359">
        <v>0</v>
      </c>
      <c r="D359" t="s">
        <v>1826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>
        <v>6</v>
      </c>
      <c r="K359" s="2" t="s">
        <v>19</v>
      </c>
      <c r="L359">
        <f>_xlfn.XLOOKUP("LOADINGSPEEDDEF_"&amp;PROPERTIES[[#This Row],[LOADINGSPEED]],LOADINGSPEEDDEF[TYPE],LOADINGSPEEDDEF[SPEED])</f>
        <v>0</v>
      </c>
      <c r="M359">
        <v>45</v>
      </c>
      <c r="N359"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>
        <v>40</v>
      </c>
      <c r="W359" s="9">
        <v>0</v>
      </c>
      <c r="X359" s="9">
        <v>0</v>
      </c>
      <c r="Y359" s="10">
        <v>0</v>
      </c>
      <c r="Z359" t="s">
        <v>908</v>
      </c>
      <c r="AA359" t="s">
        <v>903</v>
      </c>
      <c r="AB359" s="2" t="s">
        <v>921</v>
      </c>
      <c r="AC359" s="9" t="s">
        <v>991</v>
      </c>
      <c r="AD359" s="9" t="s">
        <v>992</v>
      </c>
      <c r="AE359" s="10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9" s="2" t="b">
        <v>0</v>
      </c>
      <c r="AY359"/>
      <c r="AZ359"/>
      <c r="BA359"/>
    </row>
    <row r="360" spans="1:53">
      <c r="A360" s="2" t="s">
        <v>384</v>
      </c>
      <c r="B360">
        <v>1903</v>
      </c>
      <c r="C360">
        <v>0</v>
      </c>
      <c r="D360" t="s">
        <v>1981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>
        <v>7</v>
      </c>
      <c r="K360" s="2" t="s">
        <v>19</v>
      </c>
      <c r="L360">
        <f>_xlfn.XLOOKUP("LOADINGSPEEDDEF_"&amp;PROPERTIES[[#This Row],[LOADINGSPEED]],LOADINGSPEEDDEF[TYPE],LOADINGSPEEDDEF[SPEED])</f>
        <v>0</v>
      </c>
      <c r="M360">
        <v>45</v>
      </c>
      <c r="N360">
        <v>1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>
        <v>40</v>
      </c>
      <c r="W360" s="9">
        <v>0</v>
      </c>
      <c r="X360" s="9">
        <v>0</v>
      </c>
      <c r="Y360" s="10">
        <v>0</v>
      </c>
      <c r="Z360" t="s">
        <v>909</v>
      </c>
      <c r="AA360" t="s">
        <v>903</v>
      </c>
      <c r="AB360" s="2" t="s">
        <v>921</v>
      </c>
      <c r="AC360" s="9" t="s">
        <v>991</v>
      </c>
      <c r="AD360" s="9" t="s">
        <v>992</v>
      </c>
      <c r="AE360" s="10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0" s="2" t="b">
        <v>0</v>
      </c>
      <c r="AY360"/>
      <c r="AZ360"/>
      <c r="BA360"/>
    </row>
    <row r="361" spans="1:53">
      <c r="A361" s="2" t="s">
        <v>385</v>
      </c>
      <c r="B361">
        <v>1930</v>
      </c>
      <c r="C361">
        <v>0</v>
      </c>
      <c r="D361" t="s">
        <v>1863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>
        <v>6</v>
      </c>
      <c r="K361" s="2" t="s">
        <v>19</v>
      </c>
      <c r="L361">
        <f>_xlfn.XLOOKUP("LOADINGSPEEDDEF_"&amp;PROPERTIES[[#This Row],[LOADINGSPEED]],LOADINGSPEEDDEF[TYPE],LOADINGSPEEDDEF[SPEED])</f>
        <v>0</v>
      </c>
      <c r="M361">
        <v>45</v>
      </c>
      <c r="N361">
        <v>1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>
        <v>40</v>
      </c>
      <c r="W361" s="9">
        <v>0</v>
      </c>
      <c r="X361" s="9">
        <v>0</v>
      </c>
      <c r="Y361" s="10">
        <v>0</v>
      </c>
      <c r="Z361" t="s">
        <v>912</v>
      </c>
      <c r="AA361" t="s">
        <v>903</v>
      </c>
      <c r="AB361" s="2" t="s">
        <v>921</v>
      </c>
      <c r="AC361" s="9" t="s">
        <v>991</v>
      </c>
      <c r="AD361" s="9" t="s">
        <v>992</v>
      </c>
      <c r="AE361" s="10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61" s="2" t="b">
        <v>0</v>
      </c>
      <c r="AY361"/>
      <c r="AZ361"/>
      <c r="BA361"/>
    </row>
    <row r="362" spans="1:53">
      <c r="A362" s="2" t="s">
        <v>386</v>
      </c>
      <c r="B362">
        <v>1928</v>
      </c>
      <c r="C362">
        <v>0</v>
      </c>
      <c r="D362" t="s">
        <v>1854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>
        <v>8</v>
      </c>
      <c r="K362" s="2" t="s">
        <v>19</v>
      </c>
      <c r="L362">
        <f>_xlfn.XLOOKUP("LOADINGSPEEDDEF_"&amp;PROPERTIES[[#This Row],[LOADINGSPEED]],LOADINGSPEEDDEF[TYPE],LOADINGSPEEDDEF[SPEED])</f>
        <v>0</v>
      </c>
      <c r="M362">
        <v>45</v>
      </c>
      <c r="N362">
        <v>1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>
        <v>40</v>
      </c>
      <c r="W362" s="9">
        <v>0</v>
      </c>
      <c r="X362" s="9">
        <v>0</v>
      </c>
      <c r="Y362" s="10">
        <v>0</v>
      </c>
      <c r="Z362" t="s">
        <v>912</v>
      </c>
      <c r="AA362" t="s">
        <v>903</v>
      </c>
      <c r="AB362" s="2" t="s">
        <v>921</v>
      </c>
      <c r="AC362" s="9" t="s">
        <v>991</v>
      </c>
      <c r="AD362" s="9" t="s">
        <v>992</v>
      </c>
      <c r="AE362" s="10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2" s="2" t="b">
        <v>0</v>
      </c>
      <c r="AY362"/>
      <c r="AZ362"/>
      <c r="BA362"/>
    </row>
    <row r="363" spans="1:53">
      <c r="A363" s="2" t="s">
        <v>387</v>
      </c>
      <c r="B363">
        <v>1954</v>
      </c>
      <c r="C363">
        <v>0</v>
      </c>
      <c r="D363" t="s">
        <v>1825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>
        <v>8</v>
      </c>
      <c r="K363" s="2" t="s">
        <v>19</v>
      </c>
      <c r="L363">
        <f>_xlfn.XLOOKUP("LOADINGSPEEDDEF_"&amp;PROPERTIES[[#This Row],[LOADINGSPEED]],LOADINGSPEEDDEF[TYPE],LOADINGSPEEDDEF[SPEED])</f>
        <v>0</v>
      </c>
      <c r="M363">
        <v>45</v>
      </c>
      <c r="N363">
        <v>1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>
        <v>40</v>
      </c>
      <c r="W363" s="9">
        <v>0</v>
      </c>
      <c r="X363" s="9">
        <v>0</v>
      </c>
      <c r="Y363" s="10">
        <v>0</v>
      </c>
      <c r="Z363" t="s">
        <v>904</v>
      </c>
      <c r="AA363" t="s">
        <v>903</v>
      </c>
      <c r="AB363" s="2" t="s">
        <v>921</v>
      </c>
      <c r="AC363" s="9" t="s">
        <v>991</v>
      </c>
      <c r="AD363" s="9" t="s">
        <v>992</v>
      </c>
      <c r="AE363" s="10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3" s="2" t="b">
        <v>0</v>
      </c>
      <c r="AY363"/>
      <c r="AZ363"/>
      <c r="BA363"/>
    </row>
    <row r="364" spans="1:53">
      <c r="A364" s="2" t="s">
        <v>388</v>
      </c>
      <c r="B364">
        <v>1925</v>
      </c>
      <c r="C364">
        <v>0</v>
      </c>
      <c r="D364" t="s">
        <v>1850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>
        <v>6</v>
      </c>
      <c r="K364" s="2" t="s">
        <v>19</v>
      </c>
      <c r="L364">
        <f>_xlfn.XLOOKUP("LOADINGSPEEDDEF_"&amp;PROPERTIES[[#This Row],[LOADINGSPEED]],LOADINGSPEEDDEF[TYPE],LOADINGSPEEDDEF[SPEED])</f>
        <v>0</v>
      </c>
      <c r="M364">
        <v>45</v>
      </c>
      <c r="N364">
        <v>1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>
        <v>40</v>
      </c>
      <c r="W364" s="9">
        <v>0</v>
      </c>
      <c r="X364" s="9">
        <v>0</v>
      </c>
      <c r="Y364" s="10">
        <v>0</v>
      </c>
      <c r="Z364" t="s">
        <v>906</v>
      </c>
      <c r="AA364" t="s">
        <v>903</v>
      </c>
      <c r="AB364" s="2" t="s">
        <v>921</v>
      </c>
      <c r="AC364" s="9" t="s">
        <v>991</v>
      </c>
      <c r="AD364" s="9" t="s">
        <v>992</v>
      </c>
      <c r="AE364" s="10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4" s="2" t="b">
        <v>0</v>
      </c>
      <c r="AY364"/>
      <c r="AZ364"/>
      <c r="BA364"/>
    </row>
    <row r="365" spans="1:53">
      <c r="A365" s="2" t="s">
        <v>389</v>
      </c>
      <c r="B365">
        <v>1953</v>
      </c>
      <c r="C365">
        <v>0</v>
      </c>
      <c r="D365" t="s">
        <v>1826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>
        <v>8</v>
      </c>
      <c r="K365" s="2" t="s">
        <v>19</v>
      </c>
      <c r="L365">
        <f>_xlfn.XLOOKUP("LOADINGSPEEDDEF_"&amp;PROPERTIES[[#This Row],[LOADINGSPEED]],LOADINGSPEEDDEF[TYPE],LOADINGSPEEDDEF[SPEED])</f>
        <v>0</v>
      </c>
      <c r="M365">
        <v>45</v>
      </c>
      <c r="N365">
        <v>1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>
        <v>40</v>
      </c>
      <c r="W365" s="9">
        <v>0</v>
      </c>
      <c r="X365" s="9">
        <v>0</v>
      </c>
      <c r="Y365" s="10">
        <v>0</v>
      </c>
      <c r="Z365" t="s">
        <v>908</v>
      </c>
      <c r="AA365" t="s">
        <v>903</v>
      </c>
      <c r="AB365" s="2" t="s">
        <v>921</v>
      </c>
      <c r="AC365" s="9" t="s">
        <v>991</v>
      </c>
      <c r="AD365" s="9" t="s">
        <v>992</v>
      </c>
      <c r="AE365" s="10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5" s="2" t="b">
        <v>0</v>
      </c>
      <c r="AY365"/>
      <c r="AZ365"/>
      <c r="BA365"/>
    </row>
    <row r="366" spans="1:53">
      <c r="A366" s="2" t="s">
        <v>390</v>
      </c>
      <c r="B366">
        <v>1922</v>
      </c>
      <c r="C366">
        <v>0</v>
      </c>
      <c r="D366" t="s">
        <v>1826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>
        <v>8</v>
      </c>
      <c r="K366" s="2" t="s">
        <v>19</v>
      </c>
      <c r="L366">
        <f>_xlfn.XLOOKUP("LOADINGSPEEDDEF_"&amp;PROPERTIES[[#This Row],[LOADINGSPEED]],LOADINGSPEEDDEF[TYPE],LOADINGSPEEDDEF[SPEED])</f>
        <v>0</v>
      </c>
      <c r="M366">
        <v>45</v>
      </c>
      <c r="N366">
        <v>1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>
        <v>40</v>
      </c>
      <c r="W366" s="9">
        <v>0</v>
      </c>
      <c r="X366" s="9">
        <v>0</v>
      </c>
      <c r="Y366" s="10">
        <v>0</v>
      </c>
      <c r="Z366" t="s">
        <v>908</v>
      </c>
      <c r="AA366" t="s">
        <v>903</v>
      </c>
      <c r="AB366" s="2" t="s">
        <v>921</v>
      </c>
      <c r="AC366" s="9" t="s">
        <v>991</v>
      </c>
      <c r="AD366" s="9" t="s">
        <v>992</v>
      </c>
      <c r="AE366" s="10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6" s="2" t="b">
        <v>0</v>
      </c>
      <c r="AY366"/>
      <c r="AZ366"/>
      <c r="BA366"/>
    </row>
    <row r="367" spans="1:53">
      <c r="A367" s="2" t="s">
        <v>391</v>
      </c>
      <c r="B367">
        <v>1916</v>
      </c>
      <c r="C367">
        <v>0</v>
      </c>
      <c r="D367" t="s">
        <v>1981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>
        <v>6</v>
      </c>
      <c r="K367" s="2" t="s">
        <v>19</v>
      </c>
      <c r="L367">
        <f>_xlfn.XLOOKUP("LOADINGSPEEDDEF_"&amp;PROPERTIES[[#This Row],[LOADINGSPEED]],LOADINGSPEEDDEF[TYPE],LOADINGSPEEDDEF[SPEED])</f>
        <v>0</v>
      </c>
      <c r="M367">
        <v>45</v>
      </c>
      <c r="N367">
        <v>1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>
        <v>40</v>
      </c>
      <c r="W367" s="9">
        <v>0</v>
      </c>
      <c r="X367" s="9">
        <v>0</v>
      </c>
      <c r="Y367" s="10">
        <v>0</v>
      </c>
      <c r="Z367" t="s">
        <v>909</v>
      </c>
      <c r="AA367" t="s">
        <v>903</v>
      </c>
      <c r="AB367" s="2" t="s">
        <v>921</v>
      </c>
      <c r="AC367" s="9" t="s">
        <v>991</v>
      </c>
      <c r="AD367" s="9" t="s">
        <v>992</v>
      </c>
      <c r="AE367" s="10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7" s="2" t="b">
        <v>0</v>
      </c>
      <c r="AY367"/>
      <c r="AZ367"/>
      <c r="BA367"/>
    </row>
    <row r="368" spans="1:53">
      <c r="A368" s="2" t="s">
        <v>392</v>
      </c>
      <c r="B368">
        <v>1919</v>
      </c>
      <c r="C368">
        <v>0</v>
      </c>
      <c r="D368" t="s">
        <v>1981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>
        <v>4</v>
      </c>
      <c r="K368" s="2" t="s">
        <v>19</v>
      </c>
      <c r="L368">
        <f>_xlfn.XLOOKUP("LOADINGSPEEDDEF_"&amp;PROPERTIES[[#This Row],[LOADINGSPEED]],LOADINGSPEEDDEF[TYPE],LOADINGSPEEDDEF[SPEED])</f>
        <v>0</v>
      </c>
      <c r="M368">
        <v>45</v>
      </c>
      <c r="N368">
        <v>1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>
        <v>40</v>
      </c>
      <c r="W368" s="9">
        <v>0</v>
      </c>
      <c r="X368" s="9">
        <v>2</v>
      </c>
      <c r="Y368" s="10">
        <v>0</v>
      </c>
      <c r="Z368" t="s">
        <v>909</v>
      </c>
      <c r="AA368" t="s">
        <v>903</v>
      </c>
      <c r="AB368" s="2" t="s">
        <v>921</v>
      </c>
      <c r="AC368" s="9" t="s">
        <v>991</v>
      </c>
      <c r="AD368" s="9" t="s">
        <v>992</v>
      </c>
      <c r="AE368" s="10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68" s="2" t="b">
        <v>0</v>
      </c>
      <c r="AY368"/>
      <c r="AZ368"/>
      <c r="BA368"/>
    </row>
    <row r="369" spans="1:53">
      <c r="A369" s="2" t="s">
        <v>393</v>
      </c>
      <c r="B369">
        <v>1922</v>
      </c>
      <c r="C369">
        <v>0</v>
      </c>
      <c r="D369" t="s">
        <v>1796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>
        <v>8</v>
      </c>
      <c r="K369" s="2" t="s">
        <v>19</v>
      </c>
      <c r="L369">
        <f>_xlfn.XLOOKUP("LOADINGSPEEDDEF_"&amp;PROPERTIES[[#This Row],[LOADINGSPEED]],LOADINGSPEEDDEF[TYPE],LOADINGSPEEDDEF[SPEED])</f>
        <v>0</v>
      </c>
      <c r="M369">
        <v>45</v>
      </c>
      <c r="N369">
        <v>1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>
        <v>40</v>
      </c>
      <c r="W369" s="9">
        <v>0</v>
      </c>
      <c r="X369" s="9">
        <v>0</v>
      </c>
      <c r="Y369" s="10">
        <v>0</v>
      </c>
      <c r="Z369" t="s">
        <v>911</v>
      </c>
      <c r="AA369" t="s">
        <v>903</v>
      </c>
      <c r="AB369" s="2" t="s">
        <v>921</v>
      </c>
      <c r="AC369" s="9" t="s">
        <v>991</v>
      </c>
      <c r="AD369" s="9" t="s">
        <v>992</v>
      </c>
      <c r="AE369" s="10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9" s="2" t="b">
        <v>0</v>
      </c>
      <c r="AY369"/>
      <c r="AZ369"/>
      <c r="BA369"/>
    </row>
    <row r="370" spans="1:53">
      <c r="A370" s="2" t="s">
        <v>394</v>
      </c>
      <c r="B370">
        <v>1934</v>
      </c>
      <c r="C370">
        <v>0</v>
      </c>
      <c r="D370" t="s">
        <v>1859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>
        <v>8</v>
      </c>
      <c r="K370" s="2" t="s">
        <v>19</v>
      </c>
      <c r="L370">
        <f>_xlfn.XLOOKUP("LOADINGSPEEDDEF_"&amp;PROPERTIES[[#This Row],[LOADINGSPEED]],LOADINGSPEEDDEF[TYPE],LOADINGSPEEDDEF[SPEED])</f>
        <v>0</v>
      </c>
      <c r="M370">
        <v>45</v>
      </c>
      <c r="N370">
        <v>1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>
        <v>40</v>
      </c>
      <c r="W370" s="9">
        <v>0</v>
      </c>
      <c r="X370" s="9">
        <v>0</v>
      </c>
      <c r="Y370" s="10">
        <v>0</v>
      </c>
      <c r="Z370" t="s">
        <v>905</v>
      </c>
      <c r="AA370" t="s">
        <v>903</v>
      </c>
      <c r="AB370" s="2" t="s">
        <v>921</v>
      </c>
      <c r="AC370" s="9" t="s">
        <v>991</v>
      </c>
      <c r="AD370" s="9" t="s">
        <v>992</v>
      </c>
      <c r="AE370" s="10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0" s="2" t="b">
        <v>0</v>
      </c>
      <c r="AY370"/>
      <c r="AZ370"/>
      <c r="BA370"/>
    </row>
    <row r="371" spans="1:53">
      <c r="A371" s="2" t="s">
        <v>395</v>
      </c>
      <c r="B371">
        <v>1936</v>
      </c>
      <c r="C371">
        <v>0</v>
      </c>
      <c r="D371" t="s">
        <v>1995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>
        <v>8</v>
      </c>
      <c r="K371" s="2" t="s">
        <v>19</v>
      </c>
      <c r="L371">
        <f>_xlfn.XLOOKUP("LOADINGSPEEDDEF_"&amp;PROPERTIES[[#This Row],[LOADINGSPEED]],LOADINGSPEEDDEF[TYPE],LOADINGSPEEDDEF[SPEED])</f>
        <v>0</v>
      </c>
      <c r="M371">
        <v>45</v>
      </c>
      <c r="N371">
        <v>1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>
        <v>40</v>
      </c>
      <c r="W371" s="9">
        <v>0</v>
      </c>
      <c r="X371" s="9">
        <v>0</v>
      </c>
      <c r="Y371" s="10">
        <v>0</v>
      </c>
      <c r="Z371" t="s">
        <v>907</v>
      </c>
      <c r="AA371" t="s">
        <v>903</v>
      </c>
      <c r="AB371" s="2" t="s">
        <v>921</v>
      </c>
      <c r="AC371" s="9" t="s">
        <v>991</v>
      </c>
      <c r="AD371" s="9" t="s">
        <v>992</v>
      </c>
      <c r="AE371" s="10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1" s="2" t="b">
        <v>0</v>
      </c>
      <c r="AY371"/>
      <c r="AZ371"/>
      <c r="BA371"/>
    </row>
    <row r="372" spans="1:53">
      <c r="A372" s="2" t="s">
        <v>396</v>
      </c>
      <c r="B372">
        <v>1962</v>
      </c>
      <c r="C372">
        <v>0</v>
      </c>
      <c r="D372" t="s">
        <v>1928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>
        <v>7</v>
      </c>
      <c r="K372" s="2" t="s">
        <v>19</v>
      </c>
      <c r="L372">
        <f>_xlfn.XLOOKUP("LOADINGSPEEDDEF_"&amp;PROPERTIES[[#This Row],[LOADINGSPEED]],LOADINGSPEEDDEF[TYPE],LOADINGSPEEDDEF[SPEED])</f>
        <v>0</v>
      </c>
      <c r="M372">
        <v>45</v>
      </c>
      <c r="N372">
        <v>1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>
        <v>40</v>
      </c>
      <c r="W372" s="9">
        <v>0</v>
      </c>
      <c r="X372" s="9">
        <v>0</v>
      </c>
      <c r="Y372" s="10">
        <v>0</v>
      </c>
      <c r="Z372" t="s">
        <v>910</v>
      </c>
      <c r="AA372" t="s">
        <v>903</v>
      </c>
      <c r="AB372" s="2" t="s">
        <v>921</v>
      </c>
      <c r="AC372" s="9" t="s">
        <v>991</v>
      </c>
      <c r="AD372" s="9" t="s">
        <v>992</v>
      </c>
      <c r="AE372" s="10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2" s="2" t="b">
        <v>0</v>
      </c>
      <c r="AY372"/>
      <c r="AZ372"/>
      <c r="BA372"/>
    </row>
    <row r="373" spans="1:53">
      <c r="A373" s="2" t="s">
        <v>397</v>
      </c>
      <c r="B373">
        <v>1977</v>
      </c>
      <c r="C373">
        <v>0</v>
      </c>
      <c r="D373" t="s">
        <v>1928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>
        <v>14</v>
      </c>
      <c r="K373" s="2" t="s">
        <v>19</v>
      </c>
      <c r="L373">
        <f>_xlfn.XLOOKUP("LOADINGSPEEDDEF_"&amp;PROPERTIES[[#This Row],[LOADINGSPEED]],LOADINGSPEEDDEF[TYPE],LOADINGSPEEDDEF[SPEED])</f>
        <v>0</v>
      </c>
      <c r="M373">
        <v>45</v>
      </c>
      <c r="N373"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>
        <v>40</v>
      </c>
      <c r="W373" s="9">
        <v>0</v>
      </c>
      <c r="X373" s="9">
        <v>7</v>
      </c>
      <c r="Y373" s="10">
        <v>0</v>
      </c>
      <c r="Z373" t="s">
        <v>910</v>
      </c>
      <c r="AA373" t="s">
        <v>903</v>
      </c>
      <c r="AB373" s="2" t="s">
        <v>921</v>
      </c>
      <c r="AC373" s="9" t="s">
        <v>991</v>
      </c>
      <c r="AD373" s="9" t="s">
        <v>992</v>
      </c>
      <c r="AE373" s="10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73" s="2" t="b">
        <v>0</v>
      </c>
      <c r="AY373"/>
      <c r="AZ373"/>
      <c r="BA373"/>
    </row>
    <row r="374" spans="1:53">
      <c r="A374" s="2" t="s">
        <v>398</v>
      </c>
      <c r="B374">
        <v>1986</v>
      </c>
      <c r="C374">
        <v>0</v>
      </c>
      <c r="D374" t="s">
        <v>1928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>
        <v>7</v>
      </c>
      <c r="K374" s="2" t="s">
        <v>19</v>
      </c>
      <c r="L374">
        <f>_xlfn.XLOOKUP("LOADINGSPEEDDEF_"&amp;PROPERTIES[[#This Row],[LOADINGSPEED]],LOADINGSPEEDDEF[TYPE],LOADINGSPEEDDEF[SPEED])</f>
        <v>0</v>
      </c>
      <c r="M374">
        <v>45</v>
      </c>
      <c r="N374">
        <v>1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>
        <v>40</v>
      </c>
      <c r="W374" s="9">
        <v>0</v>
      </c>
      <c r="X374" s="9">
        <v>0</v>
      </c>
      <c r="Y374" s="10">
        <v>0</v>
      </c>
      <c r="Z374" t="s">
        <v>910</v>
      </c>
      <c r="AA374" t="s">
        <v>903</v>
      </c>
      <c r="AB374" s="2" t="s">
        <v>921</v>
      </c>
      <c r="AC374" s="9" t="s">
        <v>991</v>
      </c>
      <c r="AD374" s="9" t="s">
        <v>992</v>
      </c>
      <c r="AE374" s="10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74" s="2" t="b">
        <v>0</v>
      </c>
      <c r="AY374"/>
      <c r="AZ374"/>
      <c r="BA374"/>
    </row>
    <row r="375" spans="1:53">
      <c r="A375" s="2" t="s">
        <v>399</v>
      </c>
      <c r="B375">
        <v>1991</v>
      </c>
      <c r="C375">
        <v>0</v>
      </c>
      <c r="D375" t="s">
        <v>1951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>
        <v>7</v>
      </c>
      <c r="K375" s="2" t="s">
        <v>19</v>
      </c>
      <c r="L375">
        <f>_xlfn.XLOOKUP("LOADINGSPEEDDEF_"&amp;PROPERTIES[[#This Row],[LOADINGSPEED]],LOADINGSPEEDDEF[TYPE],LOADINGSPEEDDEF[SPEED])</f>
        <v>0</v>
      </c>
      <c r="M375">
        <v>45</v>
      </c>
      <c r="N375">
        <v>1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>
        <v>40</v>
      </c>
      <c r="W375" s="9">
        <v>0</v>
      </c>
      <c r="X375" s="9">
        <v>0</v>
      </c>
      <c r="Y375" s="10">
        <v>0</v>
      </c>
      <c r="Z375" t="s">
        <v>910</v>
      </c>
      <c r="AA375" t="s">
        <v>903</v>
      </c>
      <c r="AB375" s="2" t="s">
        <v>921</v>
      </c>
      <c r="AC375" s="9" t="s">
        <v>991</v>
      </c>
      <c r="AD375" s="9" t="s">
        <v>992</v>
      </c>
      <c r="AE375" s="10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5" s="2" t="b">
        <v>0</v>
      </c>
      <c r="AY375"/>
      <c r="AZ375"/>
      <c r="BA375"/>
    </row>
    <row r="376" spans="1:53">
      <c r="A376" s="2" t="s">
        <v>400</v>
      </c>
      <c r="B376">
        <v>1961</v>
      </c>
      <c r="C376">
        <v>0</v>
      </c>
      <c r="D376" t="s">
        <v>1859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>
        <v>10</v>
      </c>
      <c r="K376" s="2" t="s">
        <v>19</v>
      </c>
      <c r="L376">
        <f>_xlfn.XLOOKUP("LOADINGSPEEDDEF_"&amp;PROPERTIES[[#This Row],[LOADINGSPEED]],LOADINGSPEEDDEF[TYPE],LOADINGSPEEDDEF[SPEED])</f>
        <v>0</v>
      </c>
      <c r="M376">
        <v>45</v>
      </c>
      <c r="N376">
        <v>1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>
        <v>40</v>
      </c>
      <c r="W376" s="9">
        <v>0</v>
      </c>
      <c r="X376" s="9">
        <v>5</v>
      </c>
      <c r="Y376" s="10">
        <v>0</v>
      </c>
      <c r="Z376" t="s">
        <v>905</v>
      </c>
      <c r="AA376" t="s">
        <v>903</v>
      </c>
      <c r="AB376" s="2" t="s">
        <v>921</v>
      </c>
      <c r="AC376" s="9" t="s">
        <v>991</v>
      </c>
      <c r="AD376" s="9" t="s">
        <v>992</v>
      </c>
      <c r="AE376" s="10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6" s="2" t="b">
        <v>0</v>
      </c>
      <c r="AY376"/>
      <c r="AZ376"/>
      <c r="BA376"/>
    </row>
    <row r="377" spans="1:53">
      <c r="A377" s="2" t="s">
        <v>401</v>
      </c>
      <c r="B377">
        <v>1943</v>
      </c>
      <c r="C377">
        <v>0</v>
      </c>
      <c r="D377" t="s">
        <v>1859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>
        <v>8</v>
      </c>
      <c r="K377" s="2" t="s">
        <v>19</v>
      </c>
      <c r="L377">
        <f>_xlfn.XLOOKUP("LOADINGSPEEDDEF_"&amp;PROPERTIES[[#This Row],[LOADINGSPEED]],LOADINGSPEEDDEF[TYPE],LOADINGSPEEDDEF[SPEED])</f>
        <v>0</v>
      </c>
      <c r="M377">
        <v>45</v>
      </c>
      <c r="N377">
        <v>1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>
        <v>40</v>
      </c>
      <c r="W377" s="9">
        <v>0</v>
      </c>
      <c r="X377" s="9">
        <v>0</v>
      </c>
      <c r="Y377" s="10">
        <v>0</v>
      </c>
      <c r="Z377" t="s">
        <v>905</v>
      </c>
      <c r="AA377" t="s">
        <v>903</v>
      </c>
      <c r="AB377" s="2" t="s">
        <v>921</v>
      </c>
      <c r="AC377" s="9" t="s">
        <v>991</v>
      </c>
      <c r="AD377" s="9" t="s">
        <v>992</v>
      </c>
      <c r="AE377" s="10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7" s="2" t="b">
        <v>0</v>
      </c>
      <c r="AY377"/>
      <c r="AZ377"/>
      <c r="BA377"/>
    </row>
    <row r="378" spans="1:53">
      <c r="A378" s="2" t="s">
        <v>402</v>
      </c>
      <c r="B378">
        <v>1967</v>
      </c>
      <c r="C378">
        <v>0</v>
      </c>
      <c r="D378" t="s">
        <v>1859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>
        <v>8</v>
      </c>
      <c r="K378" s="2" t="s">
        <v>19</v>
      </c>
      <c r="L378">
        <f>_xlfn.XLOOKUP("LOADINGSPEEDDEF_"&amp;PROPERTIES[[#This Row],[LOADINGSPEED]],LOADINGSPEEDDEF[TYPE],LOADINGSPEEDDEF[SPEED])</f>
        <v>0</v>
      </c>
      <c r="M378">
        <v>45</v>
      </c>
      <c r="N378">
        <v>1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>
        <v>40</v>
      </c>
      <c r="W378" s="9">
        <v>0</v>
      </c>
      <c r="X378" s="9">
        <v>0</v>
      </c>
      <c r="Y378" s="10">
        <v>0</v>
      </c>
      <c r="Z378" t="s">
        <v>905</v>
      </c>
      <c r="AA378" t="s">
        <v>903</v>
      </c>
      <c r="AB378" s="2" t="s">
        <v>921</v>
      </c>
      <c r="AC378" s="9" t="s">
        <v>991</v>
      </c>
      <c r="AD378" s="9" t="s">
        <v>992</v>
      </c>
      <c r="AE378" s="10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78" s="2" t="b">
        <v>0</v>
      </c>
      <c r="AY378"/>
      <c r="AZ378"/>
      <c r="BA378"/>
    </row>
    <row r="379" spans="1:53">
      <c r="A379" s="2" t="s">
        <v>403</v>
      </c>
      <c r="B379">
        <v>1979</v>
      </c>
      <c r="C379">
        <v>0</v>
      </c>
      <c r="D379" t="s">
        <v>1859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>
        <v>8</v>
      </c>
      <c r="K379" s="2" t="s">
        <v>19</v>
      </c>
      <c r="L379">
        <f>_xlfn.XLOOKUP("LOADINGSPEEDDEF_"&amp;PROPERTIES[[#This Row],[LOADINGSPEED]],LOADINGSPEEDDEF[TYPE],LOADINGSPEEDDEF[SPEED])</f>
        <v>0</v>
      </c>
      <c r="M379">
        <v>45</v>
      </c>
      <c r="N379">
        <v>1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>
        <v>40</v>
      </c>
      <c r="W379" s="9">
        <v>0</v>
      </c>
      <c r="X379" s="9">
        <v>0</v>
      </c>
      <c r="Y379" s="10">
        <v>0</v>
      </c>
      <c r="Z379" t="s">
        <v>905</v>
      </c>
      <c r="AA379" t="s">
        <v>903</v>
      </c>
      <c r="AB379" s="2" t="s">
        <v>921</v>
      </c>
      <c r="AC379" s="9" t="s">
        <v>991</v>
      </c>
      <c r="AD379" s="9" t="s">
        <v>992</v>
      </c>
      <c r="AE379" s="10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9" s="2" t="b">
        <v>0</v>
      </c>
      <c r="AY379"/>
      <c r="AZ379"/>
      <c r="BA379"/>
    </row>
    <row r="380" spans="1:53">
      <c r="A380" s="2" t="s">
        <v>404</v>
      </c>
      <c r="B380">
        <v>1960</v>
      </c>
      <c r="C380">
        <v>0</v>
      </c>
      <c r="D380" t="s">
        <v>1770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>
        <v>8</v>
      </c>
      <c r="K380" s="2" t="s">
        <v>19</v>
      </c>
      <c r="L380">
        <f>_xlfn.XLOOKUP("LOADINGSPEEDDEF_"&amp;PROPERTIES[[#This Row],[LOADINGSPEED]],LOADINGSPEEDDEF[TYPE],LOADINGSPEEDDEF[SPEED])</f>
        <v>0</v>
      </c>
      <c r="M380">
        <v>45</v>
      </c>
      <c r="N380">
        <v>1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>
        <v>40</v>
      </c>
      <c r="W380" s="9">
        <v>0</v>
      </c>
      <c r="X380" s="9">
        <v>0</v>
      </c>
      <c r="Y380" s="10">
        <v>0</v>
      </c>
      <c r="Z380" t="s">
        <v>904</v>
      </c>
      <c r="AA380" t="s">
        <v>903</v>
      </c>
      <c r="AB380" s="2" t="s">
        <v>921</v>
      </c>
      <c r="AC380" s="9" t="s">
        <v>991</v>
      </c>
      <c r="AD380" s="9" t="s">
        <v>992</v>
      </c>
      <c r="AE380" s="10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0" s="2" t="b">
        <v>0</v>
      </c>
      <c r="AY380"/>
      <c r="AZ380"/>
      <c r="BA380"/>
    </row>
    <row r="381" spans="1:53">
      <c r="A381" s="2" t="s">
        <v>405</v>
      </c>
      <c r="B381">
        <v>1982</v>
      </c>
      <c r="C381">
        <v>0</v>
      </c>
      <c r="D381" t="s">
        <v>1818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>
        <v>8</v>
      </c>
      <c r="K381" s="2" t="s">
        <v>19</v>
      </c>
      <c r="L381">
        <f>_xlfn.XLOOKUP("LOADINGSPEEDDEF_"&amp;PROPERTIES[[#This Row],[LOADINGSPEED]],LOADINGSPEEDDEF[TYPE],LOADINGSPEEDDEF[SPEED])</f>
        <v>0</v>
      </c>
      <c r="M381">
        <v>45</v>
      </c>
      <c r="N381">
        <v>1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>
        <v>40</v>
      </c>
      <c r="W381" s="9">
        <v>0</v>
      </c>
      <c r="X381" s="9">
        <v>0</v>
      </c>
      <c r="Y381" s="10">
        <v>0</v>
      </c>
      <c r="Z381" t="s">
        <v>905</v>
      </c>
      <c r="AA381" t="s">
        <v>903</v>
      </c>
      <c r="AB381" s="2" t="s">
        <v>921</v>
      </c>
      <c r="AC381" s="9" t="s">
        <v>991</v>
      </c>
      <c r="AD381" s="9" t="s">
        <v>992</v>
      </c>
      <c r="AE381" s="10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81" s="2" t="b">
        <v>0</v>
      </c>
      <c r="AY381"/>
      <c r="AZ381"/>
      <c r="BA381"/>
    </row>
    <row r="382" spans="1:53">
      <c r="A382" s="2" t="s">
        <v>406</v>
      </c>
      <c r="B382">
        <v>1949</v>
      </c>
      <c r="C382">
        <v>0</v>
      </c>
      <c r="D382" t="s">
        <v>1796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>
        <v>9</v>
      </c>
      <c r="K382" s="2" t="s">
        <v>19</v>
      </c>
      <c r="L382">
        <f>_xlfn.XLOOKUP("LOADINGSPEEDDEF_"&amp;PROPERTIES[[#This Row],[LOADINGSPEED]],LOADINGSPEEDDEF[TYPE],LOADINGSPEEDDEF[SPEED])</f>
        <v>0</v>
      </c>
      <c r="M382">
        <v>45</v>
      </c>
      <c r="N382">
        <v>1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>
        <v>40</v>
      </c>
      <c r="W382" s="9">
        <v>0</v>
      </c>
      <c r="X382" s="9">
        <v>1</v>
      </c>
      <c r="Y382" s="10">
        <v>0</v>
      </c>
      <c r="Z382" t="s">
        <v>911</v>
      </c>
      <c r="AA382" t="s">
        <v>903</v>
      </c>
      <c r="AB382" s="2" t="s">
        <v>921</v>
      </c>
      <c r="AC382" s="9" t="s">
        <v>991</v>
      </c>
      <c r="AD382" s="9" t="s">
        <v>992</v>
      </c>
      <c r="AE382" s="10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2" s="2" t="b">
        <v>0</v>
      </c>
      <c r="AY382"/>
      <c r="AZ382"/>
      <c r="BA382"/>
    </row>
    <row r="383" spans="1:53">
      <c r="A383" s="2" t="s">
        <v>407</v>
      </c>
      <c r="B383">
        <v>1974</v>
      </c>
      <c r="C383">
        <v>0</v>
      </c>
      <c r="D383" t="s">
        <v>1796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>
        <v>6</v>
      </c>
      <c r="K383" s="2" t="s">
        <v>23</v>
      </c>
      <c r="L383">
        <f>_xlfn.XLOOKUP("LOADINGSPEEDDEF_"&amp;PROPERTIES[[#This Row],[LOADINGSPEED]],LOADINGSPEEDDEF[TYPE],LOADINGSPEEDDEF[SPEED])</f>
        <v>40</v>
      </c>
      <c r="M383">
        <v>45</v>
      </c>
      <c r="N383">
        <v>1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>
        <v>40</v>
      </c>
      <c r="W383" s="9">
        <v>0</v>
      </c>
      <c r="X383" s="9">
        <v>0</v>
      </c>
      <c r="Y383" s="10">
        <v>0</v>
      </c>
      <c r="Z383" t="s">
        <v>911</v>
      </c>
      <c r="AA383" t="s">
        <v>903</v>
      </c>
      <c r="AB383" s="2" t="s">
        <v>921</v>
      </c>
      <c r="AC383" s="9" t="s">
        <v>991</v>
      </c>
      <c r="AD383" s="9" t="s">
        <v>992</v>
      </c>
      <c r="AE383" s="10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383" s="2" t="b">
        <v>0</v>
      </c>
      <c r="AY383"/>
      <c r="AZ383"/>
      <c r="BA383"/>
    </row>
    <row r="384" spans="1:53">
      <c r="A384" s="2" t="s">
        <v>408</v>
      </c>
      <c r="B384">
        <v>1948</v>
      </c>
      <c r="C384">
        <v>0</v>
      </c>
      <c r="D384" t="s">
        <v>1886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>
        <v>6</v>
      </c>
      <c r="K384" s="2" t="s">
        <v>19</v>
      </c>
      <c r="L384">
        <f>_xlfn.XLOOKUP("LOADINGSPEEDDEF_"&amp;PROPERTIES[[#This Row],[LOADINGSPEED]],LOADINGSPEEDDEF[TYPE],LOADINGSPEEDDEF[SPEED])</f>
        <v>0</v>
      </c>
      <c r="M384">
        <v>45</v>
      </c>
      <c r="N384">
        <v>1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>
        <v>40</v>
      </c>
      <c r="W384" s="9">
        <v>0</v>
      </c>
      <c r="X384" s="9">
        <v>0</v>
      </c>
      <c r="Y384" s="10">
        <v>0</v>
      </c>
      <c r="Z384" t="s">
        <v>907</v>
      </c>
      <c r="AA384" t="s">
        <v>903</v>
      </c>
      <c r="AB384" s="2" t="s">
        <v>921</v>
      </c>
      <c r="AC384" s="9" t="s">
        <v>991</v>
      </c>
      <c r="AD384" s="9" t="s">
        <v>992</v>
      </c>
      <c r="AE384" s="10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4" s="2" t="b">
        <v>0</v>
      </c>
      <c r="AY384"/>
      <c r="AZ384"/>
      <c r="BA384"/>
    </row>
    <row r="385" spans="1:53">
      <c r="A385" s="2" t="s">
        <v>409</v>
      </c>
      <c r="B385">
        <v>1958</v>
      </c>
      <c r="C385">
        <v>0</v>
      </c>
      <c r="D385" t="s">
        <v>1854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>
        <v>8</v>
      </c>
      <c r="K385" s="2" t="s">
        <v>19</v>
      </c>
      <c r="L385">
        <f>_xlfn.XLOOKUP("LOADINGSPEEDDEF_"&amp;PROPERTIES[[#This Row],[LOADINGSPEED]],LOADINGSPEEDDEF[TYPE],LOADINGSPEEDDEF[SPEED])</f>
        <v>0</v>
      </c>
      <c r="M385">
        <v>45</v>
      </c>
      <c r="N385">
        <v>1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>
        <v>40</v>
      </c>
      <c r="W385" s="9">
        <v>0</v>
      </c>
      <c r="X385" s="9">
        <v>0</v>
      </c>
      <c r="Y385" s="10">
        <v>0</v>
      </c>
      <c r="Z385" t="s">
        <v>912</v>
      </c>
      <c r="AA385" t="s">
        <v>903</v>
      </c>
      <c r="AB385" s="2" t="s">
        <v>921</v>
      </c>
      <c r="AC385" s="9" t="s">
        <v>991</v>
      </c>
      <c r="AD385" s="9" t="s">
        <v>992</v>
      </c>
      <c r="AE385" s="10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5" s="2" t="b">
        <v>0</v>
      </c>
      <c r="AY385"/>
      <c r="AZ385"/>
      <c r="BA385"/>
    </row>
    <row r="386" spans="1:53">
      <c r="A386" s="2" t="s">
        <v>410</v>
      </c>
      <c r="B386">
        <v>1992</v>
      </c>
      <c r="C386">
        <v>0</v>
      </c>
      <c r="D386" t="s">
        <v>1995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>
        <v>6</v>
      </c>
      <c r="K386" s="2" t="s">
        <v>23</v>
      </c>
      <c r="L386">
        <f>_xlfn.XLOOKUP("LOADINGSPEEDDEF_"&amp;PROPERTIES[[#This Row],[LOADINGSPEED]],LOADINGSPEEDDEF[TYPE],LOADINGSPEEDDEF[SPEED])</f>
        <v>40</v>
      </c>
      <c r="M386">
        <v>45</v>
      </c>
      <c r="N386">
        <v>1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>
        <v>40</v>
      </c>
      <c r="W386" s="9">
        <v>0</v>
      </c>
      <c r="X386" s="9">
        <v>0</v>
      </c>
      <c r="Y386" s="10">
        <v>0</v>
      </c>
      <c r="Z386" t="s">
        <v>907</v>
      </c>
      <c r="AA386" t="s">
        <v>903</v>
      </c>
      <c r="AB386" s="2" t="s">
        <v>921</v>
      </c>
      <c r="AC386" s="9" t="s">
        <v>991</v>
      </c>
      <c r="AD386" s="9" t="s">
        <v>992</v>
      </c>
      <c r="AE386" s="10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386" s="2" t="b">
        <v>0</v>
      </c>
      <c r="AY386"/>
      <c r="AZ386"/>
      <c r="BA386"/>
    </row>
    <row r="387" spans="1:53">
      <c r="A387" s="2" t="s">
        <v>411</v>
      </c>
      <c r="B387">
        <v>1980</v>
      </c>
      <c r="C387">
        <v>0</v>
      </c>
      <c r="D387" t="s">
        <v>1796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>
        <v>7</v>
      </c>
      <c r="K387" s="2" t="s">
        <v>19</v>
      </c>
      <c r="L387">
        <f>_xlfn.XLOOKUP("LOADINGSPEEDDEF_"&amp;PROPERTIES[[#This Row],[LOADINGSPEED]],LOADINGSPEEDDEF[TYPE],LOADINGSPEEDDEF[SPEED])</f>
        <v>0</v>
      </c>
      <c r="M387">
        <v>45</v>
      </c>
      <c r="N387">
        <v>1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>
        <v>40</v>
      </c>
      <c r="W387" s="9">
        <v>0</v>
      </c>
      <c r="X387" s="9">
        <v>0</v>
      </c>
      <c r="Y387" s="10">
        <v>0</v>
      </c>
      <c r="Z387" t="s">
        <v>911</v>
      </c>
      <c r="AA387" t="s">
        <v>903</v>
      </c>
      <c r="AB387" s="2" t="s">
        <v>921</v>
      </c>
      <c r="AC387" s="9" t="s">
        <v>991</v>
      </c>
      <c r="AD387" s="9" t="s">
        <v>992</v>
      </c>
      <c r="AE387" s="10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87" s="2" t="b">
        <v>0</v>
      </c>
      <c r="AY387"/>
      <c r="AZ387"/>
      <c r="BA387"/>
    </row>
    <row r="388" spans="1:53">
      <c r="A388" s="2" t="s">
        <v>412</v>
      </c>
      <c r="B388">
        <v>1980</v>
      </c>
      <c r="C388">
        <v>0</v>
      </c>
      <c r="D388" t="s">
        <v>1806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>
        <v>7</v>
      </c>
      <c r="K388" s="2" t="s">
        <v>19</v>
      </c>
      <c r="L388">
        <f>_xlfn.XLOOKUP("LOADINGSPEEDDEF_"&amp;PROPERTIES[[#This Row],[LOADINGSPEED]],LOADINGSPEEDDEF[TYPE],LOADINGSPEEDDEF[SPEED])</f>
        <v>0</v>
      </c>
      <c r="M388">
        <v>45</v>
      </c>
      <c r="N388">
        <v>1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>
        <v>40</v>
      </c>
      <c r="W388" s="9">
        <v>0</v>
      </c>
      <c r="X388" s="9">
        <v>0</v>
      </c>
      <c r="Y388" s="10">
        <v>0</v>
      </c>
      <c r="Z388" t="s">
        <v>910</v>
      </c>
      <c r="AA388" t="s">
        <v>903</v>
      </c>
      <c r="AB388" s="2" t="s">
        <v>921</v>
      </c>
      <c r="AC388" s="9" t="s">
        <v>991</v>
      </c>
      <c r="AD388" s="9" t="s">
        <v>992</v>
      </c>
      <c r="AE388" s="10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8" s="2" t="b">
        <v>0</v>
      </c>
      <c r="AY388"/>
      <c r="AZ388"/>
      <c r="BA388"/>
    </row>
    <row r="389" spans="1:53">
      <c r="A389" s="2" t="s">
        <v>413</v>
      </c>
      <c r="B389">
        <v>1911</v>
      </c>
      <c r="C389">
        <v>0</v>
      </c>
      <c r="D389" t="s">
        <v>1916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>
        <v>6</v>
      </c>
      <c r="K389" s="2" t="s">
        <v>19</v>
      </c>
      <c r="L389">
        <f>_xlfn.XLOOKUP("LOADINGSPEEDDEF_"&amp;PROPERTIES[[#This Row],[LOADINGSPEED]],LOADINGSPEEDDEF[TYPE],LOADINGSPEEDDEF[SPEED])</f>
        <v>0</v>
      </c>
      <c r="M389">
        <v>45</v>
      </c>
      <c r="N389"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>
        <v>40</v>
      </c>
      <c r="W389" s="9">
        <v>0</v>
      </c>
      <c r="X389" s="9">
        <v>0</v>
      </c>
      <c r="Y389" s="10">
        <v>0</v>
      </c>
      <c r="Z389" t="s">
        <v>908</v>
      </c>
      <c r="AA389" t="s">
        <v>903</v>
      </c>
      <c r="AB389" s="2" t="s">
        <v>921</v>
      </c>
      <c r="AC389" s="9" t="s">
        <v>991</v>
      </c>
      <c r="AD389" s="9" t="s">
        <v>992</v>
      </c>
      <c r="AE389" s="10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89" s="2" t="b">
        <v>0</v>
      </c>
      <c r="AY389"/>
      <c r="AZ389"/>
      <c r="BA389"/>
    </row>
    <row r="390" spans="1:53">
      <c r="A390" s="2" t="s">
        <v>414</v>
      </c>
      <c r="B390">
        <v>1916</v>
      </c>
      <c r="C390">
        <v>0</v>
      </c>
      <c r="D390" t="s">
        <v>1981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>
        <v>10</v>
      </c>
      <c r="K390" s="2" t="s">
        <v>19</v>
      </c>
      <c r="L390">
        <f>_xlfn.XLOOKUP("LOADINGSPEEDDEF_"&amp;PROPERTIES[[#This Row],[LOADINGSPEED]],LOADINGSPEEDDEF[TYPE],LOADINGSPEEDDEF[SPEED])</f>
        <v>0</v>
      </c>
      <c r="M390">
        <v>45</v>
      </c>
      <c r="N390">
        <v>1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>
        <v>40</v>
      </c>
      <c r="W390" s="9">
        <v>0</v>
      </c>
      <c r="X390" s="9">
        <v>2</v>
      </c>
      <c r="Y390" s="10">
        <v>0</v>
      </c>
      <c r="Z390" t="s">
        <v>909</v>
      </c>
      <c r="AA390" t="s">
        <v>903</v>
      </c>
      <c r="AB390" s="2" t="s">
        <v>921</v>
      </c>
      <c r="AC390" s="9" t="s">
        <v>991</v>
      </c>
      <c r="AD390" s="9" t="s">
        <v>992</v>
      </c>
      <c r="AE390" s="10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90" s="2" t="b">
        <v>0</v>
      </c>
      <c r="AY390"/>
      <c r="AZ390"/>
      <c r="BA390"/>
    </row>
    <row r="391" spans="1:53">
      <c r="A391" s="2" t="s">
        <v>415</v>
      </c>
      <c r="B391">
        <v>1928</v>
      </c>
      <c r="C391">
        <v>0</v>
      </c>
      <c r="D391" t="s">
        <v>1762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>
        <v>5</v>
      </c>
      <c r="K391" s="2" t="s">
        <v>19</v>
      </c>
      <c r="L391">
        <f>_xlfn.XLOOKUP("LOADINGSPEEDDEF_"&amp;PROPERTIES[[#This Row],[LOADINGSPEED]],LOADINGSPEEDDEF[TYPE],LOADINGSPEEDDEF[SPEED])</f>
        <v>0</v>
      </c>
      <c r="M391">
        <v>45</v>
      </c>
      <c r="N391">
        <v>1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>
        <v>40</v>
      </c>
      <c r="W391" s="9">
        <v>0</v>
      </c>
      <c r="X391" s="9">
        <v>0</v>
      </c>
      <c r="Y391" s="10">
        <v>0</v>
      </c>
      <c r="Z391" t="s">
        <v>904</v>
      </c>
      <c r="AA391" t="s">
        <v>903</v>
      </c>
      <c r="AB391" s="2" t="s">
        <v>921</v>
      </c>
      <c r="AC391" s="9" t="s">
        <v>991</v>
      </c>
      <c r="AD391" s="9" t="s">
        <v>992</v>
      </c>
      <c r="AE391" s="10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1" s="2" t="b">
        <v>0</v>
      </c>
      <c r="AY391"/>
      <c r="AZ391"/>
      <c r="BA391"/>
    </row>
    <row r="392" spans="1:53">
      <c r="A392" s="2" t="s">
        <v>416</v>
      </c>
      <c r="B392">
        <v>1930</v>
      </c>
      <c r="C392">
        <v>0</v>
      </c>
      <c r="D392" t="s">
        <v>1807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>
        <v>6</v>
      </c>
      <c r="K392" s="2" t="s">
        <v>19</v>
      </c>
      <c r="L392">
        <f>_xlfn.XLOOKUP("LOADINGSPEEDDEF_"&amp;PROPERTIES[[#This Row],[LOADINGSPEED]],LOADINGSPEEDDEF[TYPE],LOADINGSPEEDDEF[SPEED])</f>
        <v>0</v>
      </c>
      <c r="M392">
        <v>45</v>
      </c>
      <c r="N392">
        <v>1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>
        <v>40</v>
      </c>
      <c r="W392" s="9">
        <v>0</v>
      </c>
      <c r="X392" s="9">
        <v>0</v>
      </c>
      <c r="Y392" s="10">
        <v>0</v>
      </c>
      <c r="Z392" t="s">
        <v>904</v>
      </c>
      <c r="AA392" t="s">
        <v>903</v>
      </c>
      <c r="AB392" s="2" t="s">
        <v>921</v>
      </c>
      <c r="AC392" s="9" t="s">
        <v>991</v>
      </c>
      <c r="AD392" s="9" t="s">
        <v>992</v>
      </c>
      <c r="AE392" s="10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2" s="2" t="b">
        <v>0</v>
      </c>
      <c r="AY392"/>
      <c r="AZ392"/>
      <c r="BA392"/>
    </row>
    <row r="393" spans="1:53">
      <c r="A393" s="2" t="s">
        <v>417</v>
      </c>
      <c r="B393">
        <v>1931</v>
      </c>
      <c r="C393">
        <v>0</v>
      </c>
      <c r="D393" t="s">
        <v>1916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>
        <v>6</v>
      </c>
      <c r="K393" s="2" t="s">
        <v>19</v>
      </c>
      <c r="L393">
        <f>_xlfn.XLOOKUP("LOADINGSPEEDDEF_"&amp;PROPERTIES[[#This Row],[LOADINGSPEED]],LOADINGSPEEDDEF[TYPE],LOADINGSPEEDDEF[SPEED])</f>
        <v>0</v>
      </c>
      <c r="M393">
        <v>45</v>
      </c>
      <c r="N393"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>
        <v>40</v>
      </c>
      <c r="W393" s="9">
        <v>0</v>
      </c>
      <c r="X393" s="9">
        <v>0</v>
      </c>
      <c r="Y393" s="10">
        <v>0</v>
      </c>
      <c r="Z393" t="s">
        <v>908</v>
      </c>
      <c r="AA393" t="s">
        <v>903</v>
      </c>
      <c r="AB393" s="2" t="s">
        <v>921</v>
      </c>
      <c r="AC393" s="9" t="s">
        <v>991</v>
      </c>
      <c r="AD393" s="9" t="s">
        <v>992</v>
      </c>
      <c r="AE393" s="10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3" s="2" t="b">
        <v>0</v>
      </c>
      <c r="AY393"/>
      <c r="AZ393"/>
      <c r="BA393"/>
    </row>
    <row r="394" spans="1:53">
      <c r="A394" s="2" t="s">
        <v>418</v>
      </c>
      <c r="B394">
        <v>1933</v>
      </c>
      <c r="C394">
        <v>0</v>
      </c>
      <c r="D394" t="s">
        <v>1807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>
        <v>8</v>
      </c>
      <c r="K394" s="2" t="s">
        <v>19</v>
      </c>
      <c r="L394">
        <f>_xlfn.XLOOKUP("LOADINGSPEEDDEF_"&amp;PROPERTIES[[#This Row],[LOADINGSPEED]],LOADINGSPEEDDEF[TYPE],LOADINGSPEEDDEF[SPEED])</f>
        <v>0</v>
      </c>
      <c r="M394">
        <v>45</v>
      </c>
      <c r="N394">
        <v>1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>
        <v>40</v>
      </c>
      <c r="W394" s="9">
        <v>0</v>
      </c>
      <c r="X394" s="9">
        <v>0</v>
      </c>
      <c r="Y394" s="10">
        <v>0</v>
      </c>
      <c r="Z394" t="s">
        <v>904</v>
      </c>
      <c r="AA394" t="s">
        <v>903</v>
      </c>
      <c r="AB394" s="2" t="s">
        <v>921</v>
      </c>
      <c r="AC394" s="9" t="s">
        <v>991</v>
      </c>
      <c r="AD394" s="9" t="s">
        <v>992</v>
      </c>
      <c r="AE394" s="10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4" s="2" t="b">
        <v>0</v>
      </c>
      <c r="AY394"/>
      <c r="AZ394"/>
      <c r="BA394"/>
    </row>
    <row r="395" spans="1:53">
      <c r="A395" s="2" t="s">
        <v>419</v>
      </c>
      <c r="B395">
        <v>1935</v>
      </c>
      <c r="C395">
        <v>0</v>
      </c>
      <c r="D395" t="s">
        <v>1981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>
        <v>10</v>
      </c>
      <c r="K395" s="2" t="s">
        <v>19</v>
      </c>
      <c r="L395">
        <f>_xlfn.XLOOKUP("LOADINGSPEEDDEF_"&amp;PROPERTIES[[#This Row],[LOADINGSPEED]],LOADINGSPEEDDEF[TYPE],LOADINGSPEEDDEF[SPEED])</f>
        <v>0</v>
      </c>
      <c r="M395">
        <v>45</v>
      </c>
      <c r="N395">
        <v>1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>
        <v>40</v>
      </c>
      <c r="W395" s="9">
        <v>0</v>
      </c>
      <c r="X395" s="9">
        <v>2</v>
      </c>
      <c r="Y395" s="10">
        <v>0</v>
      </c>
      <c r="Z395" t="s">
        <v>909</v>
      </c>
      <c r="AA395" t="s">
        <v>903</v>
      </c>
      <c r="AB395" s="2" t="s">
        <v>921</v>
      </c>
      <c r="AC395" s="9" t="s">
        <v>991</v>
      </c>
      <c r="AD395" s="9" t="s">
        <v>992</v>
      </c>
      <c r="AE395" s="10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95" s="2" t="b">
        <v>0</v>
      </c>
      <c r="AY395"/>
      <c r="AZ395"/>
      <c r="BA395"/>
    </row>
    <row r="396" spans="1:53">
      <c r="A396" s="2" t="s">
        <v>420</v>
      </c>
      <c r="B396">
        <v>1940</v>
      </c>
      <c r="C396">
        <v>0</v>
      </c>
      <c r="D396" t="s">
        <v>1762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>
        <v>8</v>
      </c>
      <c r="K396" s="2" t="s">
        <v>19</v>
      </c>
      <c r="L396">
        <f>_xlfn.XLOOKUP("LOADINGSPEEDDEF_"&amp;PROPERTIES[[#This Row],[LOADINGSPEED]],LOADINGSPEEDDEF[TYPE],LOADINGSPEEDDEF[SPEED])</f>
        <v>0</v>
      </c>
      <c r="M396">
        <v>45</v>
      </c>
      <c r="N396">
        <v>1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>
        <v>40</v>
      </c>
      <c r="W396" s="9">
        <v>0</v>
      </c>
      <c r="X396" s="9">
        <v>0</v>
      </c>
      <c r="Y396" s="10">
        <v>0</v>
      </c>
      <c r="Z396" t="s">
        <v>904</v>
      </c>
      <c r="AA396" t="s">
        <v>903</v>
      </c>
      <c r="AB396" s="2" t="s">
        <v>921</v>
      </c>
      <c r="AC396" s="9" t="s">
        <v>991</v>
      </c>
      <c r="AD396" s="9" t="s">
        <v>992</v>
      </c>
      <c r="AE396" s="10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6" s="2" t="b">
        <v>0</v>
      </c>
      <c r="AY396"/>
      <c r="AZ396"/>
      <c r="BA396"/>
    </row>
    <row r="397" spans="1:53">
      <c r="A397" s="2" t="s">
        <v>421</v>
      </c>
      <c r="B397">
        <v>1970</v>
      </c>
      <c r="C397">
        <v>0</v>
      </c>
      <c r="D397" t="s">
        <v>1807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>
        <v>8</v>
      </c>
      <c r="K397" s="2" t="s">
        <v>19</v>
      </c>
      <c r="L397">
        <f>_xlfn.XLOOKUP("LOADINGSPEEDDEF_"&amp;PROPERTIES[[#This Row],[LOADINGSPEED]],LOADINGSPEEDDEF[TYPE],LOADINGSPEEDDEF[SPEED])</f>
        <v>0</v>
      </c>
      <c r="M397">
        <v>45</v>
      </c>
      <c r="N397">
        <v>1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>
        <v>40</v>
      </c>
      <c r="W397" s="9">
        <v>0</v>
      </c>
      <c r="X397" s="9">
        <v>0</v>
      </c>
      <c r="Y397" s="10">
        <v>0</v>
      </c>
      <c r="Z397" t="s">
        <v>904</v>
      </c>
      <c r="AA397" t="s">
        <v>903</v>
      </c>
      <c r="AB397" s="2" t="s">
        <v>921</v>
      </c>
      <c r="AC397" s="9" t="s">
        <v>991</v>
      </c>
      <c r="AD397" s="9" t="s">
        <v>992</v>
      </c>
      <c r="AE397" s="10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97" s="2" t="b">
        <v>0</v>
      </c>
      <c r="AY397"/>
      <c r="AZ397"/>
      <c r="BA397"/>
    </row>
    <row r="398" spans="1:53">
      <c r="A398" s="2" t="s">
        <v>422</v>
      </c>
      <c r="B398">
        <v>1925</v>
      </c>
      <c r="C398">
        <v>0</v>
      </c>
      <c r="D398" t="s">
        <v>1807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>
        <v>8</v>
      </c>
      <c r="K398" s="2" t="s">
        <v>19</v>
      </c>
      <c r="L398">
        <f>_xlfn.XLOOKUP("LOADINGSPEEDDEF_"&amp;PROPERTIES[[#This Row],[LOADINGSPEED]],LOADINGSPEEDDEF[TYPE],LOADINGSPEEDDEF[SPEED])</f>
        <v>0</v>
      </c>
      <c r="M398">
        <v>45</v>
      </c>
      <c r="N398">
        <v>1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>
        <v>40</v>
      </c>
      <c r="W398" s="9">
        <v>0</v>
      </c>
      <c r="X398" s="9">
        <v>0</v>
      </c>
      <c r="Y398" s="10">
        <v>0</v>
      </c>
      <c r="Z398" t="s">
        <v>904</v>
      </c>
      <c r="AA398" t="s">
        <v>903</v>
      </c>
      <c r="AB398" s="2" t="s">
        <v>921</v>
      </c>
      <c r="AC398" s="9" t="s">
        <v>991</v>
      </c>
      <c r="AD398" s="9" t="s">
        <v>992</v>
      </c>
      <c r="AE398" s="10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8" s="2" t="b">
        <v>0</v>
      </c>
      <c r="AY398"/>
      <c r="AZ398"/>
      <c r="BA398"/>
    </row>
    <row r="399" spans="1:53">
      <c r="A399" s="2" t="s">
        <v>423</v>
      </c>
      <c r="B399">
        <v>1954</v>
      </c>
      <c r="C399">
        <v>0</v>
      </c>
      <c r="D399" t="s">
        <v>1793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>
        <v>5</v>
      </c>
      <c r="K399" s="2" t="s">
        <v>19</v>
      </c>
      <c r="L399">
        <f>_xlfn.XLOOKUP("LOADINGSPEEDDEF_"&amp;PROPERTIES[[#This Row],[LOADINGSPEED]],LOADINGSPEEDDEF[TYPE],LOADINGSPEEDDEF[SPEED])</f>
        <v>0</v>
      </c>
      <c r="M399">
        <v>45</v>
      </c>
      <c r="N399">
        <v>1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>
        <v>40</v>
      </c>
      <c r="W399" s="9">
        <v>0</v>
      </c>
      <c r="X399" s="9">
        <v>0</v>
      </c>
      <c r="Y399" s="10">
        <v>0</v>
      </c>
      <c r="Z399" t="s">
        <v>904</v>
      </c>
      <c r="AA399" t="s">
        <v>903</v>
      </c>
      <c r="AB399" s="2" t="s">
        <v>921</v>
      </c>
      <c r="AC399" s="9" t="s">
        <v>991</v>
      </c>
      <c r="AD399" s="9" t="s">
        <v>992</v>
      </c>
      <c r="AE399" s="10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9" s="2" t="b">
        <v>0</v>
      </c>
      <c r="AY399"/>
      <c r="AZ399"/>
      <c r="BA399"/>
    </row>
    <row r="400" spans="1:53">
      <c r="A400" s="2" t="s">
        <v>424</v>
      </c>
      <c r="B400">
        <v>1955</v>
      </c>
      <c r="C400">
        <v>0</v>
      </c>
      <c r="D400" t="s">
        <v>1793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>
        <v>8</v>
      </c>
      <c r="K400" s="2" t="s">
        <v>19</v>
      </c>
      <c r="L400">
        <f>_xlfn.XLOOKUP("LOADINGSPEEDDEF_"&amp;PROPERTIES[[#This Row],[LOADINGSPEED]],LOADINGSPEEDDEF[TYPE],LOADINGSPEEDDEF[SPEED])</f>
        <v>0</v>
      </c>
      <c r="M400">
        <v>45</v>
      </c>
      <c r="N400">
        <v>1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>
        <v>40</v>
      </c>
      <c r="W400" s="9">
        <v>0</v>
      </c>
      <c r="X400" s="9">
        <v>0</v>
      </c>
      <c r="Y400" s="10">
        <v>0</v>
      </c>
      <c r="Z400" t="s">
        <v>904</v>
      </c>
      <c r="AA400" t="s">
        <v>903</v>
      </c>
      <c r="AB400" s="2" t="s">
        <v>921</v>
      </c>
      <c r="AC400" s="9" t="s">
        <v>991</v>
      </c>
      <c r="AD400" s="9" t="s">
        <v>992</v>
      </c>
      <c r="AE400" s="10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0" s="2" t="b">
        <v>0</v>
      </c>
      <c r="AY400"/>
      <c r="AZ400"/>
      <c r="BA400"/>
    </row>
    <row r="401" spans="1:53">
      <c r="A401" s="2" t="s">
        <v>425</v>
      </c>
      <c r="B401">
        <v>1991</v>
      </c>
      <c r="C401">
        <v>0</v>
      </c>
      <c r="D401" t="s">
        <v>1793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>
        <v>8</v>
      </c>
      <c r="K401" s="2" t="s">
        <v>19</v>
      </c>
      <c r="L401">
        <f>_xlfn.XLOOKUP("LOADINGSPEEDDEF_"&amp;PROPERTIES[[#This Row],[LOADINGSPEED]],LOADINGSPEEDDEF[TYPE],LOADINGSPEEDDEF[SPEED])</f>
        <v>0</v>
      </c>
      <c r="M401" t="s">
        <v>20</v>
      </c>
      <c r="N401">
        <v>1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>
        <v>40</v>
      </c>
      <c r="W401" s="9">
        <v>0</v>
      </c>
      <c r="X401" s="9">
        <v>0</v>
      </c>
      <c r="Y401" s="10">
        <v>0</v>
      </c>
      <c r="Z401" t="s">
        <v>904</v>
      </c>
      <c r="AA401" t="s">
        <v>903</v>
      </c>
      <c r="AB401" s="2" t="s">
        <v>921</v>
      </c>
      <c r="AC401" s="9" t="s">
        <v>991</v>
      </c>
      <c r="AD401" s="9" t="s">
        <v>992</v>
      </c>
      <c r="AE401" s="10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01" s="2" t="b">
        <v>0</v>
      </c>
      <c r="AY401"/>
      <c r="AZ401"/>
      <c r="BA401"/>
    </row>
    <row r="402" spans="1:53">
      <c r="A402" s="2" t="s">
        <v>426</v>
      </c>
      <c r="B402">
        <v>2012</v>
      </c>
      <c r="C402">
        <v>0</v>
      </c>
      <c r="D402" t="s">
        <v>1793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>
        <v>5</v>
      </c>
      <c r="K402" s="2" t="s">
        <v>19</v>
      </c>
      <c r="L402">
        <f>_xlfn.XLOOKUP("LOADINGSPEEDDEF_"&amp;PROPERTIES[[#This Row],[LOADINGSPEED]],LOADINGSPEEDDEF[TYPE],LOADINGSPEEDDEF[SPEED])</f>
        <v>0</v>
      </c>
      <c r="M402" t="s">
        <v>20</v>
      </c>
      <c r="N402">
        <v>1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>
        <v>40</v>
      </c>
      <c r="W402" s="9">
        <v>0</v>
      </c>
      <c r="X402" s="9">
        <v>0</v>
      </c>
      <c r="Y402" s="10">
        <v>0</v>
      </c>
      <c r="Z402" t="s">
        <v>904</v>
      </c>
      <c r="AA402" t="s">
        <v>903</v>
      </c>
      <c r="AB402" s="2" t="s">
        <v>921</v>
      </c>
      <c r="AC402" s="9" t="s">
        <v>991</v>
      </c>
      <c r="AD402" s="9" t="s">
        <v>992</v>
      </c>
      <c r="AE402" s="10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2" s="2" t="b">
        <v>0</v>
      </c>
      <c r="AY402"/>
      <c r="AZ402"/>
      <c r="BA402"/>
    </row>
    <row r="403" spans="1:53">
      <c r="A403" s="2" t="s">
        <v>427</v>
      </c>
      <c r="B403">
        <v>1974</v>
      </c>
      <c r="C403">
        <v>0</v>
      </c>
      <c r="D403" t="s">
        <v>1762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>
        <v>8</v>
      </c>
      <c r="K403" s="2" t="s">
        <v>19</v>
      </c>
      <c r="L403">
        <f>_xlfn.XLOOKUP("LOADINGSPEEDDEF_"&amp;PROPERTIES[[#This Row],[LOADINGSPEED]],LOADINGSPEEDDEF[TYPE],LOADINGSPEEDDEF[SPEED])</f>
        <v>0</v>
      </c>
      <c r="M403">
        <v>45</v>
      </c>
      <c r="N403">
        <v>1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>
        <v>40</v>
      </c>
      <c r="W403" s="9">
        <v>0</v>
      </c>
      <c r="X403" s="9">
        <v>0</v>
      </c>
      <c r="Y403" s="10">
        <v>0</v>
      </c>
      <c r="Z403" t="s">
        <v>904</v>
      </c>
      <c r="AA403" t="s">
        <v>903</v>
      </c>
      <c r="AB403" s="2" t="s">
        <v>921</v>
      </c>
      <c r="AC403" s="9" t="s">
        <v>991</v>
      </c>
      <c r="AD403" s="9" t="s">
        <v>992</v>
      </c>
      <c r="AE403" s="10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03" s="2" t="b">
        <v>0</v>
      </c>
      <c r="AY403"/>
      <c r="AZ403"/>
      <c r="BA403"/>
    </row>
    <row r="404" spans="1:53">
      <c r="A404" s="2" t="s">
        <v>428</v>
      </c>
      <c r="B404">
        <v>1982</v>
      </c>
      <c r="C404">
        <v>0</v>
      </c>
      <c r="D404" t="s">
        <v>1762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>
        <v>8</v>
      </c>
      <c r="K404" s="2" t="s">
        <v>19</v>
      </c>
      <c r="L404">
        <f>_xlfn.XLOOKUP("LOADINGSPEEDDEF_"&amp;PROPERTIES[[#This Row],[LOADINGSPEED]],LOADINGSPEEDDEF[TYPE],LOADINGSPEEDDEF[SPEED])</f>
        <v>0</v>
      </c>
      <c r="M404">
        <v>45</v>
      </c>
      <c r="N404">
        <v>1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>
        <v>40</v>
      </c>
      <c r="W404" s="9">
        <v>0</v>
      </c>
      <c r="X404" s="9">
        <v>0</v>
      </c>
      <c r="Y404" s="10">
        <v>0</v>
      </c>
      <c r="Z404" t="s">
        <v>904</v>
      </c>
      <c r="AA404" t="s">
        <v>903</v>
      </c>
      <c r="AB404" s="2" t="s">
        <v>921</v>
      </c>
      <c r="AC404" s="9" t="s">
        <v>991</v>
      </c>
      <c r="AD404" s="9" t="s">
        <v>992</v>
      </c>
      <c r="AE404" s="10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4" s="2" t="b">
        <v>0</v>
      </c>
      <c r="AY404"/>
      <c r="AZ404"/>
      <c r="BA404"/>
    </row>
    <row r="405" spans="1:53">
      <c r="A405" s="2" t="s">
        <v>429</v>
      </c>
      <c r="B405">
        <v>1953</v>
      </c>
      <c r="C405">
        <v>0</v>
      </c>
      <c r="D405" t="s">
        <v>1946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>
        <v>21</v>
      </c>
      <c r="K405" s="2" t="s">
        <v>19</v>
      </c>
      <c r="L405">
        <f>_xlfn.XLOOKUP("LOADINGSPEEDDEF_"&amp;PROPERTIES[[#This Row],[LOADINGSPEED]],LOADINGSPEEDDEF[TYPE],LOADINGSPEEDDEF[SPEED])</f>
        <v>0</v>
      </c>
      <c r="M405">
        <v>45</v>
      </c>
      <c r="N405"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>
        <v>40</v>
      </c>
      <c r="W405" s="9">
        <v>0</v>
      </c>
      <c r="X405" s="9">
        <v>0</v>
      </c>
      <c r="Y405" s="10">
        <v>0</v>
      </c>
      <c r="Z405" t="s">
        <v>908</v>
      </c>
      <c r="AA405" t="s">
        <v>903</v>
      </c>
      <c r="AB405" s="2" t="s">
        <v>921</v>
      </c>
      <c r="AC405" s="9" t="s">
        <v>991</v>
      </c>
      <c r="AD405" s="9" t="s">
        <v>992</v>
      </c>
      <c r="AE405" s="10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05" s="2" t="b">
        <v>0</v>
      </c>
      <c r="AY405"/>
      <c r="AZ405"/>
      <c r="BA405"/>
    </row>
    <row r="406" spans="1:53">
      <c r="A406" s="2" t="s">
        <v>430</v>
      </c>
      <c r="B406">
        <v>2000</v>
      </c>
      <c r="C406">
        <v>0</v>
      </c>
      <c r="D406" t="s">
        <v>1946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>
        <v>16</v>
      </c>
      <c r="K406" s="2" t="s">
        <v>19</v>
      </c>
      <c r="L406">
        <f>_xlfn.XLOOKUP("LOADINGSPEEDDEF_"&amp;PROPERTIES[[#This Row],[LOADINGSPEED]],LOADINGSPEEDDEF[TYPE],LOADINGSPEEDDEF[SPEED])</f>
        <v>0</v>
      </c>
      <c r="M406" t="s">
        <v>20</v>
      </c>
      <c r="N406"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>
        <v>40</v>
      </c>
      <c r="W406" s="9">
        <v>0</v>
      </c>
      <c r="X406" s="9">
        <v>8</v>
      </c>
      <c r="Y406" s="10">
        <v>0</v>
      </c>
      <c r="Z406" t="s">
        <v>908</v>
      </c>
      <c r="AA406" t="s">
        <v>903</v>
      </c>
      <c r="AB406" s="2" t="s">
        <v>921</v>
      </c>
      <c r="AC406" s="9" t="s">
        <v>991</v>
      </c>
      <c r="AD406" s="9" t="s">
        <v>992</v>
      </c>
      <c r="AE406" s="10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06" s="2" t="b">
        <v>0</v>
      </c>
      <c r="AY406"/>
      <c r="AZ406"/>
      <c r="BA406"/>
    </row>
    <row r="407" spans="1:53">
      <c r="A407" s="2" t="s">
        <v>431</v>
      </c>
      <c r="B407">
        <v>1914</v>
      </c>
      <c r="C407">
        <v>0</v>
      </c>
      <c r="D407" t="s">
        <v>1946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>
        <v>12</v>
      </c>
      <c r="K407" s="2" t="s">
        <v>19</v>
      </c>
      <c r="L407">
        <f>_xlfn.XLOOKUP("LOADINGSPEEDDEF_"&amp;PROPERTIES[[#This Row],[LOADINGSPEED]],LOADINGSPEEDDEF[TYPE],LOADINGSPEEDDEF[SPEED])</f>
        <v>0</v>
      </c>
      <c r="M407">
        <v>45</v>
      </c>
      <c r="N407"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>
        <v>40</v>
      </c>
      <c r="W407" s="9">
        <v>0</v>
      </c>
      <c r="X407" s="9">
        <v>6</v>
      </c>
      <c r="Y407" s="10">
        <v>0</v>
      </c>
      <c r="Z407" t="s">
        <v>908</v>
      </c>
      <c r="AA407" t="s">
        <v>903</v>
      </c>
      <c r="AB407" s="2" t="s">
        <v>921</v>
      </c>
      <c r="AC407" s="9" t="s">
        <v>991</v>
      </c>
      <c r="AD407" s="9" t="s">
        <v>992</v>
      </c>
      <c r="AE407" s="10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7" s="2" t="b">
        <v>0</v>
      </c>
      <c r="AY407"/>
      <c r="AZ407"/>
      <c r="BA407"/>
    </row>
    <row r="408" spans="1:53">
      <c r="A408" s="2" t="s">
        <v>432</v>
      </c>
      <c r="B408">
        <v>1942</v>
      </c>
      <c r="C408">
        <v>0</v>
      </c>
      <c r="D408" t="s">
        <v>1946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>
        <v>8</v>
      </c>
      <c r="K408" s="2" t="s">
        <v>19</v>
      </c>
      <c r="L408">
        <f>_xlfn.XLOOKUP("LOADINGSPEEDDEF_"&amp;PROPERTIES[[#This Row],[LOADINGSPEED]],LOADINGSPEEDDEF[TYPE],LOADINGSPEEDDEF[SPEED])</f>
        <v>0</v>
      </c>
      <c r="M408">
        <v>45</v>
      </c>
      <c r="N408">
        <v>1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>
        <v>40</v>
      </c>
      <c r="W408" s="9">
        <v>0</v>
      </c>
      <c r="X408" s="9">
        <v>0</v>
      </c>
      <c r="Y408" s="10">
        <v>0</v>
      </c>
      <c r="Z408" t="s">
        <v>908</v>
      </c>
      <c r="AA408" t="s">
        <v>903</v>
      </c>
      <c r="AB408" s="2" t="s">
        <v>921</v>
      </c>
      <c r="AC408" s="9" t="s">
        <v>991</v>
      </c>
      <c r="AD408" s="9" t="s">
        <v>992</v>
      </c>
      <c r="AE408" s="10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8" s="2" t="b">
        <v>0</v>
      </c>
      <c r="AY408"/>
      <c r="AZ408"/>
      <c r="BA408"/>
    </row>
    <row r="409" spans="1:53">
      <c r="A409" s="2" t="s">
        <v>433</v>
      </c>
      <c r="B409">
        <v>1982</v>
      </c>
      <c r="C409">
        <v>0</v>
      </c>
      <c r="D409" t="s">
        <v>1916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>
        <v>7</v>
      </c>
      <c r="K409" s="2" t="s">
        <v>23</v>
      </c>
      <c r="L409">
        <f>_xlfn.XLOOKUP("LOADINGSPEEDDEF_"&amp;PROPERTIES[[#This Row],[LOADINGSPEED]],LOADINGSPEEDDEF[TYPE],LOADINGSPEEDDEF[SPEED])</f>
        <v>40</v>
      </c>
      <c r="M409">
        <v>45</v>
      </c>
      <c r="N409">
        <v>1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>
        <v>40</v>
      </c>
      <c r="W409" s="9">
        <v>0</v>
      </c>
      <c r="X409" s="9">
        <v>0</v>
      </c>
      <c r="Y409" s="10">
        <v>0</v>
      </c>
      <c r="Z409" t="s">
        <v>908</v>
      </c>
      <c r="AA409" t="s">
        <v>903</v>
      </c>
      <c r="AB409" s="2" t="s">
        <v>921</v>
      </c>
      <c r="AC409" s="9" t="s">
        <v>991</v>
      </c>
      <c r="AD409" s="9" t="s">
        <v>992</v>
      </c>
      <c r="AE409" s="10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09" s="2" t="b">
        <v>0</v>
      </c>
      <c r="AY409"/>
      <c r="AZ409"/>
      <c r="BA409"/>
    </row>
    <row r="410" spans="1:53">
      <c r="A410" s="2" t="s">
        <v>434</v>
      </c>
      <c r="B410">
        <v>1914</v>
      </c>
      <c r="C410">
        <v>0</v>
      </c>
      <c r="D410" t="s">
        <v>1807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>
        <v>6</v>
      </c>
      <c r="K410" s="2" t="s">
        <v>19</v>
      </c>
      <c r="L410">
        <f>_xlfn.XLOOKUP("LOADINGSPEEDDEF_"&amp;PROPERTIES[[#This Row],[LOADINGSPEED]],LOADINGSPEEDDEF[TYPE],LOADINGSPEEDDEF[SPEED])</f>
        <v>0</v>
      </c>
      <c r="M410">
        <v>45</v>
      </c>
      <c r="N410">
        <v>1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>
        <v>40</v>
      </c>
      <c r="W410" s="9">
        <v>0</v>
      </c>
      <c r="X410" s="9">
        <v>0</v>
      </c>
      <c r="Y410" s="10">
        <v>0</v>
      </c>
      <c r="Z410" t="s">
        <v>904</v>
      </c>
      <c r="AA410" t="s">
        <v>903</v>
      </c>
      <c r="AB410" s="2" t="s">
        <v>921</v>
      </c>
      <c r="AC410" s="9" t="s">
        <v>991</v>
      </c>
      <c r="AD410" s="9" t="s">
        <v>992</v>
      </c>
      <c r="AE410" s="10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0" s="2" t="b">
        <v>0</v>
      </c>
      <c r="AY410"/>
      <c r="AZ410"/>
      <c r="BA410"/>
    </row>
    <row r="411" spans="1:53">
      <c r="A411" s="2" t="s">
        <v>435</v>
      </c>
      <c r="B411">
        <v>1948</v>
      </c>
      <c r="C411">
        <v>0</v>
      </c>
      <c r="D411" t="s">
        <v>1981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>
        <v>16</v>
      </c>
      <c r="K411" s="2" t="s">
        <v>19</v>
      </c>
      <c r="L411">
        <f>_xlfn.XLOOKUP("LOADINGSPEEDDEF_"&amp;PROPERTIES[[#This Row],[LOADINGSPEED]],LOADINGSPEEDDEF[TYPE],LOADINGSPEEDDEF[SPEED])</f>
        <v>0</v>
      </c>
      <c r="M411">
        <v>45</v>
      </c>
      <c r="N411">
        <v>1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>
        <v>40</v>
      </c>
      <c r="W411" s="9">
        <v>0</v>
      </c>
      <c r="X411" s="9">
        <v>0</v>
      </c>
      <c r="Y411" s="10">
        <v>0</v>
      </c>
      <c r="Z411" t="s">
        <v>909</v>
      </c>
      <c r="AA411" t="s">
        <v>903</v>
      </c>
      <c r="AB411" s="2" t="s">
        <v>921</v>
      </c>
      <c r="AC411" s="9" t="s">
        <v>991</v>
      </c>
      <c r="AD411" s="9" t="s">
        <v>992</v>
      </c>
      <c r="AE411" s="10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1" s="2" t="b">
        <v>0</v>
      </c>
      <c r="AY411"/>
      <c r="AZ411"/>
      <c r="BA411"/>
    </row>
    <row r="412" spans="1:53">
      <c r="A412" s="2" t="s">
        <v>436</v>
      </c>
      <c r="B412">
        <v>1947</v>
      </c>
      <c r="C412">
        <v>0</v>
      </c>
      <c r="D412" t="s">
        <v>1981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>
        <v>8</v>
      </c>
      <c r="K412" s="2" t="s">
        <v>19</v>
      </c>
      <c r="L412">
        <f>_xlfn.XLOOKUP("LOADINGSPEEDDEF_"&amp;PROPERTIES[[#This Row],[LOADINGSPEED]],LOADINGSPEEDDEF[TYPE],LOADINGSPEEDDEF[SPEED])</f>
        <v>0</v>
      </c>
      <c r="M412">
        <v>45</v>
      </c>
      <c r="N412">
        <v>1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>
        <v>40</v>
      </c>
      <c r="W412" s="9">
        <v>0</v>
      </c>
      <c r="X412" s="9">
        <v>4</v>
      </c>
      <c r="Y412" s="10">
        <v>0</v>
      </c>
      <c r="Z412" t="s">
        <v>909</v>
      </c>
      <c r="AA412" t="s">
        <v>903</v>
      </c>
      <c r="AB412" s="2" t="s">
        <v>921</v>
      </c>
      <c r="AC412" s="9" t="s">
        <v>991</v>
      </c>
      <c r="AD412" s="9" t="s">
        <v>992</v>
      </c>
      <c r="AE412" s="10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2" s="2" t="b">
        <v>0</v>
      </c>
      <c r="AY412"/>
      <c r="AZ412"/>
      <c r="BA412"/>
    </row>
    <row r="413" spans="1:53">
      <c r="A413" s="2" t="s">
        <v>437</v>
      </c>
      <c r="B413">
        <v>1926</v>
      </c>
      <c r="C413">
        <v>0</v>
      </c>
      <c r="D413" t="s">
        <v>1981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>
        <v>4</v>
      </c>
      <c r="K413" s="2" t="s">
        <v>23</v>
      </c>
      <c r="L413">
        <f>_xlfn.XLOOKUP("LOADINGSPEEDDEF_"&amp;PROPERTIES[[#This Row],[LOADINGSPEED]],LOADINGSPEEDDEF[TYPE],LOADINGSPEEDDEF[SPEED])</f>
        <v>40</v>
      </c>
      <c r="M413">
        <v>45</v>
      </c>
      <c r="N413">
        <v>1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>
        <v>40</v>
      </c>
      <c r="W413" s="9">
        <v>0</v>
      </c>
      <c r="X413" s="9">
        <v>0</v>
      </c>
      <c r="Y413" s="10">
        <v>0</v>
      </c>
      <c r="Z413" t="s">
        <v>909</v>
      </c>
      <c r="AA413" t="s">
        <v>903</v>
      </c>
      <c r="AB413" s="2" t="s">
        <v>921</v>
      </c>
      <c r="AC413" s="9" t="s">
        <v>991</v>
      </c>
      <c r="AD413" s="9" t="s">
        <v>992</v>
      </c>
      <c r="AE413" s="10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413" s="2" t="b">
        <v>0</v>
      </c>
      <c r="AY413"/>
      <c r="AZ413"/>
      <c r="BA413"/>
    </row>
    <row r="414" spans="1:53">
      <c r="A414" s="2" t="s">
        <v>438</v>
      </c>
      <c r="B414">
        <v>2008</v>
      </c>
      <c r="C414">
        <v>0</v>
      </c>
      <c r="D414" t="s">
        <v>1763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>
        <v>8</v>
      </c>
      <c r="K414" s="2" t="s">
        <v>19</v>
      </c>
      <c r="L414">
        <f>_xlfn.XLOOKUP("LOADINGSPEEDDEF_"&amp;PROPERTIES[[#This Row],[LOADINGSPEED]],LOADINGSPEEDDEF[TYPE],LOADINGSPEEDDEF[SPEED])</f>
        <v>0</v>
      </c>
      <c r="M414" t="s">
        <v>20</v>
      </c>
      <c r="N414">
        <v>1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>
        <v>40</v>
      </c>
      <c r="W414" s="9">
        <v>0</v>
      </c>
      <c r="X414" s="9">
        <v>0</v>
      </c>
      <c r="Y414" s="10">
        <v>0</v>
      </c>
      <c r="Z414" t="s">
        <v>906</v>
      </c>
      <c r="AA414" t="s">
        <v>903</v>
      </c>
      <c r="AB414" s="2" t="s">
        <v>921</v>
      </c>
      <c r="AC414" s="9" t="s">
        <v>991</v>
      </c>
      <c r="AD414" s="9" t="s">
        <v>992</v>
      </c>
      <c r="AE414" s="10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4" s="2" t="b">
        <v>0</v>
      </c>
      <c r="AY414"/>
      <c r="AZ414"/>
      <c r="BA414"/>
    </row>
    <row r="415" spans="1:53">
      <c r="A415" s="2" t="s">
        <v>439</v>
      </c>
      <c r="B415">
        <v>1991</v>
      </c>
      <c r="C415">
        <v>0</v>
      </c>
      <c r="D415" t="s">
        <v>1798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>
        <v>8</v>
      </c>
      <c r="K415" s="2" t="s">
        <v>19</v>
      </c>
      <c r="L415">
        <f>_xlfn.XLOOKUP("LOADINGSPEEDDEF_"&amp;PROPERTIES[[#This Row],[LOADINGSPEED]],LOADINGSPEEDDEF[TYPE],LOADINGSPEEDDEF[SPEED])</f>
        <v>0</v>
      </c>
      <c r="M415" t="s">
        <v>20</v>
      </c>
      <c r="N415">
        <v>1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>
        <v>40</v>
      </c>
      <c r="W415" s="9">
        <v>0</v>
      </c>
      <c r="X415" s="9">
        <v>0</v>
      </c>
      <c r="Y415" s="10">
        <v>0</v>
      </c>
      <c r="Z415" t="s">
        <v>912</v>
      </c>
      <c r="AA415" t="s">
        <v>903</v>
      </c>
      <c r="AB415" s="2" t="s">
        <v>921</v>
      </c>
      <c r="AC415" s="9" t="s">
        <v>991</v>
      </c>
      <c r="AD415" s="9" t="s">
        <v>992</v>
      </c>
      <c r="AE415" s="10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5" s="2" t="b">
        <v>0</v>
      </c>
      <c r="AY415"/>
      <c r="AZ415"/>
      <c r="BA415"/>
    </row>
    <row r="416" spans="1:53">
      <c r="A416" s="2" t="s">
        <v>440</v>
      </c>
      <c r="B416">
        <v>1978</v>
      </c>
      <c r="C416">
        <v>0</v>
      </c>
      <c r="D416" t="s">
        <v>1798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>
        <v>8</v>
      </c>
      <c r="K416" s="2" t="s">
        <v>23</v>
      </c>
      <c r="L416">
        <f>_xlfn.XLOOKUP("LOADINGSPEEDDEF_"&amp;PROPERTIES[[#This Row],[LOADINGSPEED]],LOADINGSPEEDDEF[TYPE],LOADINGSPEEDDEF[SPEED])</f>
        <v>40</v>
      </c>
      <c r="M416">
        <v>45</v>
      </c>
      <c r="N416">
        <v>1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>
        <v>40</v>
      </c>
      <c r="W416" s="9">
        <v>0</v>
      </c>
      <c r="X416" s="9">
        <v>0</v>
      </c>
      <c r="Y416" s="10">
        <v>0</v>
      </c>
      <c r="Z416" t="s">
        <v>912</v>
      </c>
      <c r="AA416" t="s">
        <v>903</v>
      </c>
      <c r="AB416" s="2" t="s">
        <v>921</v>
      </c>
      <c r="AC416" s="9" t="s">
        <v>991</v>
      </c>
      <c r="AD416" s="9" t="s">
        <v>992</v>
      </c>
      <c r="AE416" s="10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16" s="2" t="b">
        <v>0</v>
      </c>
      <c r="AY416"/>
      <c r="AZ416"/>
      <c r="BA416"/>
    </row>
    <row r="417" spans="1:53">
      <c r="A417" s="2" t="s">
        <v>441</v>
      </c>
      <c r="B417">
        <v>2006</v>
      </c>
      <c r="C417">
        <v>0</v>
      </c>
      <c r="D417" t="s">
        <v>1798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>
        <v>8</v>
      </c>
      <c r="K417" s="2" t="s">
        <v>19</v>
      </c>
      <c r="L417">
        <f>_xlfn.XLOOKUP("LOADINGSPEEDDEF_"&amp;PROPERTIES[[#This Row],[LOADINGSPEED]],LOADINGSPEEDDEF[TYPE],LOADINGSPEEDDEF[SPEED])</f>
        <v>0</v>
      </c>
      <c r="M417" t="s">
        <v>20</v>
      </c>
      <c r="N417">
        <v>1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>
        <v>40</v>
      </c>
      <c r="W417" s="9">
        <v>0</v>
      </c>
      <c r="X417" s="9">
        <v>0</v>
      </c>
      <c r="Y417" s="10">
        <v>0</v>
      </c>
      <c r="Z417" t="s">
        <v>912</v>
      </c>
      <c r="AA417" t="s">
        <v>903</v>
      </c>
      <c r="AB417" s="2" t="s">
        <v>921</v>
      </c>
      <c r="AC417" s="9" t="s">
        <v>991</v>
      </c>
      <c r="AD417" s="9" t="s">
        <v>992</v>
      </c>
      <c r="AE417" s="10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7" s="2" t="b">
        <v>0</v>
      </c>
      <c r="AY417"/>
      <c r="AZ417"/>
      <c r="BA417"/>
    </row>
    <row r="418" spans="1:53">
      <c r="A418" s="2" t="s">
        <v>442</v>
      </c>
      <c r="B418">
        <v>2012</v>
      </c>
      <c r="C418">
        <v>0</v>
      </c>
      <c r="D418" t="s">
        <v>1798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>
        <v>8</v>
      </c>
      <c r="K418" s="2" t="s">
        <v>19</v>
      </c>
      <c r="L418">
        <f>_xlfn.XLOOKUP("LOADINGSPEEDDEF_"&amp;PROPERTIES[[#This Row],[LOADINGSPEED]],LOADINGSPEEDDEF[TYPE],LOADINGSPEEDDEF[SPEED])</f>
        <v>0</v>
      </c>
      <c r="M418" t="s">
        <v>20</v>
      </c>
      <c r="N418">
        <v>1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>
        <v>40</v>
      </c>
      <c r="W418" s="9">
        <v>0</v>
      </c>
      <c r="X418" s="9">
        <v>0</v>
      </c>
      <c r="Y418" s="10">
        <v>0</v>
      </c>
      <c r="Z418" t="s">
        <v>912</v>
      </c>
      <c r="AA418" t="s">
        <v>903</v>
      </c>
      <c r="AB418" s="2" t="s">
        <v>921</v>
      </c>
      <c r="AC418" s="9" t="s">
        <v>991</v>
      </c>
      <c r="AD418" s="9" t="s">
        <v>992</v>
      </c>
      <c r="AE418" s="10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18" s="2" t="b">
        <v>0</v>
      </c>
      <c r="AY418"/>
      <c r="AZ418"/>
      <c r="BA418"/>
    </row>
    <row r="419" spans="1:53">
      <c r="A419" s="2" t="s">
        <v>443</v>
      </c>
      <c r="B419">
        <v>1986</v>
      </c>
      <c r="C419">
        <v>0</v>
      </c>
      <c r="D419" t="s">
        <v>1798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>
        <v>8</v>
      </c>
      <c r="K419" s="2" t="s">
        <v>19</v>
      </c>
      <c r="L419">
        <f>_xlfn.XLOOKUP("LOADINGSPEEDDEF_"&amp;PROPERTIES[[#This Row],[LOADINGSPEED]],LOADINGSPEEDDEF[TYPE],LOADINGSPEEDDEF[SPEED])</f>
        <v>0</v>
      </c>
      <c r="M419">
        <v>45</v>
      </c>
      <c r="N419">
        <v>1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>
        <v>40</v>
      </c>
      <c r="W419" s="9">
        <v>0</v>
      </c>
      <c r="X419" s="9">
        <v>0</v>
      </c>
      <c r="Y419" s="10">
        <v>0</v>
      </c>
      <c r="Z419" t="s">
        <v>912</v>
      </c>
      <c r="AA419" t="s">
        <v>903</v>
      </c>
      <c r="AB419" s="2" t="s">
        <v>921</v>
      </c>
      <c r="AC419" s="9" t="s">
        <v>991</v>
      </c>
      <c r="AD419" s="9" t="s">
        <v>992</v>
      </c>
      <c r="AE419" s="10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9" s="2" t="b">
        <v>0</v>
      </c>
      <c r="AY419"/>
      <c r="AZ419"/>
      <c r="BA419"/>
    </row>
    <row r="420" spans="1:53">
      <c r="A420" s="2" t="s">
        <v>444</v>
      </c>
      <c r="B420">
        <v>1960</v>
      </c>
      <c r="C420">
        <v>0</v>
      </c>
      <c r="D420" t="s">
        <v>1981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>
        <v>8</v>
      </c>
      <c r="K420" s="2" t="s">
        <v>19</v>
      </c>
      <c r="L420">
        <f>_xlfn.XLOOKUP("LOADINGSPEEDDEF_"&amp;PROPERTIES[[#This Row],[LOADINGSPEED]],LOADINGSPEEDDEF[TYPE],LOADINGSPEEDDEF[SPEED])</f>
        <v>0</v>
      </c>
      <c r="M420">
        <v>45</v>
      </c>
      <c r="N420">
        <v>1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>
        <v>40</v>
      </c>
      <c r="W420" s="9">
        <v>0</v>
      </c>
      <c r="X420" s="9">
        <v>0</v>
      </c>
      <c r="Y420" s="10">
        <v>0</v>
      </c>
      <c r="Z420" t="s">
        <v>909</v>
      </c>
      <c r="AA420" t="s">
        <v>903</v>
      </c>
      <c r="AB420" s="2" t="s">
        <v>921</v>
      </c>
      <c r="AC420" s="9" t="s">
        <v>991</v>
      </c>
      <c r="AD420" s="9" t="s">
        <v>992</v>
      </c>
      <c r="AE420" s="10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20" s="2" t="b">
        <v>0</v>
      </c>
      <c r="AY420"/>
      <c r="AZ420"/>
      <c r="BA420"/>
    </row>
    <row r="421" spans="1:53">
      <c r="A421" s="2" t="s">
        <v>445</v>
      </c>
      <c r="B421">
        <v>1967</v>
      </c>
      <c r="C421">
        <v>0</v>
      </c>
      <c r="D421" t="s">
        <v>1847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>
        <v>8</v>
      </c>
      <c r="K421" s="2" t="s">
        <v>19</v>
      </c>
      <c r="L421">
        <f>_xlfn.XLOOKUP("LOADINGSPEEDDEF_"&amp;PROPERTIES[[#This Row],[LOADINGSPEED]],LOADINGSPEEDDEF[TYPE],LOADINGSPEEDDEF[SPEED])</f>
        <v>0</v>
      </c>
      <c r="M421">
        <v>45</v>
      </c>
      <c r="N421">
        <v>1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>
        <v>40</v>
      </c>
      <c r="W421" s="9">
        <v>0</v>
      </c>
      <c r="X421" s="9">
        <v>0</v>
      </c>
      <c r="Y421" s="10">
        <v>0</v>
      </c>
      <c r="Z421" t="s">
        <v>910</v>
      </c>
      <c r="AA421" t="s">
        <v>903</v>
      </c>
      <c r="AB421" s="2" t="s">
        <v>921</v>
      </c>
      <c r="AC421" s="9" t="s">
        <v>991</v>
      </c>
      <c r="AD421" s="9" t="s">
        <v>992</v>
      </c>
      <c r="AE421" s="10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1" s="2" t="b">
        <v>0</v>
      </c>
      <c r="AY421"/>
      <c r="AZ421"/>
      <c r="BA421"/>
    </row>
    <row r="422" spans="1:53">
      <c r="A422" s="2" t="s">
        <v>446</v>
      </c>
      <c r="B422">
        <v>1963</v>
      </c>
      <c r="C422">
        <v>0</v>
      </c>
      <c r="D422" t="s">
        <v>1849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>
        <v>8</v>
      </c>
      <c r="K422" s="2" t="s">
        <v>19</v>
      </c>
      <c r="L422">
        <f>_xlfn.XLOOKUP("LOADINGSPEEDDEF_"&amp;PROPERTIES[[#This Row],[LOADINGSPEED]],LOADINGSPEEDDEF[TYPE],LOADINGSPEEDDEF[SPEED])</f>
        <v>0</v>
      </c>
      <c r="M422">
        <v>45</v>
      </c>
      <c r="N422"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>
        <v>40</v>
      </c>
      <c r="W422" s="9">
        <v>0</v>
      </c>
      <c r="X422" s="9">
        <v>0</v>
      </c>
      <c r="Y422" s="10">
        <v>0</v>
      </c>
      <c r="Z422" t="s">
        <v>910</v>
      </c>
      <c r="AA422" t="s">
        <v>903</v>
      </c>
      <c r="AB422" s="2" t="s">
        <v>921</v>
      </c>
      <c r="AC422" s="9" t="s">
        <v>991</v>
      </c>
      <c r="AD422" s="9" t="s">
        <v>992</v>
      </c>
      <c r="AE422" s="10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2" s="2" t="b">
        <v>0</v>
      </c>
      <c r="AY422"/>
      <c r="AZ422"/>
      <c r="BA422"/>
    </row>
    <row r="423" spans="1:53">
      <c r="A423" s="2" t="s">
        <v>447</v>
      </c>
      <c r="B423">
        <v>1956</v>
      </c>
      <c r="C423">
        <v>0</v>
      </c>
      <c r="D423" t="s">
        <v>1933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>
        <v>6</v>
      </c>
      <c r="K423" s="2" t="s">
        <v>19</v>
      </c>
      <c r="L423">
        <f>_xlfn.XLOOKUP("LOADINGSPEEDDEF_"&amp;PROPERTIES[[#This Row],[LOADINGSPEED]],LOADINGSPEEDDEF[TYPE],LOADINGSPEEDDEF[SPEED])</f>
        <v>0</v>
      </c>
      <c r="M423">
        <v>45</v>
      </c>
      <c r="N423">
        <v>1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>
        <v>40</v>
      </c>
      <c r="W423" s="9">
        <v>0</v>
      </c>
      <c r="X423" s="9">
        <v>0</v>
      </c>
      <c r="Y423" s="10">
        <v>0</v>
      </c>
      <c r="Z423" t="s">
        <v>905</v>
      </c>
      <c r="AA423" t="s">
        <v>903</v>
      </c>
      <c r="AB423" s="2" t="s">
        <v>921</v>
      </c>
      <c r="AC423" s="9" t="s">
        <v>991</v>
      </c>
      <c r="AD423" s="9" t="s">
        <v>992</v>
      </c>
      <c r="AE423" s="10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3" s="2" t="b">
        <v>0</v>
      </c>
      <c r="AY423"/>
      <c r="AZ423"/>
      <c r="BA423"/>
    </row>
    <row r="424" spans="1:53">
      <c r="A424" s="2" t="s">
        <v>448</v>
      </c>
      <c r="B424">
        <v>1974</v>
      </c>
      <c r="C424">
        <v>0</v>
      </c>
      <c r="D424" t="s">
        <v>1933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>
        <v>8</v>
      </c>
      <c r="K424" s="2" t="s">
        <v>19</v>
      </c>
      <c r="L424">
        <f>_xlfn.XLOOKUP("LOADINGSPEEDDEF_"&amp;PROPERTIES[[#This Row],[LOADINGSPEED]],LOADINGSPEEDDEF[TYPE],LOADINGSPEEDDEF[SPEED])</f>
        <v>0</v>
      </c>
      <c r="M424">
        <v>45</v>
      </c>
      <c r="N424">
        <v>1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>
        <v>40</v>
      </c>
      <c r="W424" s="9">
        <v>0</v>
      </c>
      <c r="X424" s="9">
        <v>0</v>
      </c>
      <c r="Y424" s="10">
        <v>0</v>
      </c>
      <c r="Z424" t="s">
        <v>905</v>
      </c>
      <c r="AA424" t="s">
        <v>903</v>
      </c>
      <c r="AB424" s="2" t="s">
        <v>921</v>
      </c>
      <c r="AC424" s="9" t="s">
        <v>991</v>
      </c>
      <c r="AD424" s="9" t="s">
        <v>992</v>
      </c>
      <c r="AE424" s="10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4" s="2" t="b">
        <v>0</v>
      </c>
      <c r="AY424"/>
      <c r="AZ424"/>
      <c r="BA424"/>
    </row>
    <row r="425" spans="1:53">
      <c r="A425" s="2" t="s">
        <v>449</v>
      </c>
      <c r="B425">
        <v>2013</v>
      </c>
      <c r="C425">
        <v>0</v>
      </c>
      <c r="D425" t="s">
        <v>1995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>
        <v>7</v>
      </c>
      <c r="K425" s="2" t="s">
        <v>19</v>
      </c>
      <c r="L425">
        <f>_xlfn.XLOOKUP("LOADINGSPEEDDEF_"&amp;PROPERTIES[[#This Row],[LOADINGSPEED]],LOADINGSPEEDDEF[TYPE],LOADINGSPEEDDEF[SPEED])</f>
        <v>0</v>
      </c>
      <c r="M425" t="s">
        <v>20</v>
      </c>
      <c r="N425">
        <v>1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>
        <v>40</v>
      </c>
      <c r="W425" s="9">
        <v>0</v>
      </c>
      <c r="X425" s="9">
        <v>0</v>
      </c>
      <c r="Y425" s="10">
        <v>0</v>
      </c>
      <c r="Z425" t="s">
        <v>907</v>
      </c>
      <c r="AA425" t="s">
        <v>903</v>
      </c>
      <c r="AB425" s="2" t="s">
        <v>921</v>
      </c>
      <c r="AC425" s="9" t="s">
        <v>991</v>
      </c>
      <c r="AD425" s="9" t="s">
        <v>992</v>
      </c>
      <c r="AE425" s="10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5" s="2" t="b">
        <v>0</v>
      </c>
      <c r="AY425"/>
      <c r="AZ425"/>
      <c r="BA425"/>
    </row>
    <row r="426" spans="1:53">
      <c r="A426" s="2" t="s">
        <v>450</v>
      </c>
      <c r="B426">
        <v>2003</v>
      </c>
      <c r="C426">
        <v>0</v>
      </c>
      <c r="D426" t="s">
        <v>1871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>
        <v>8</v>
      </c>
      <c r="K426" s="2" t="s">
        <v>19</v>
      </c>
      <c r="L426">
        <f>_xlfn.XLOOKUP("LOADINGSPEEDDEF_"&amp;PROPERTIES[[#This Row],[LOADINGSPEED]],LOADINGSPEEDDEF[TYPE],LOADINGSPEEDDEF[SPEED])</f>
        <v>0</v>
      </c>
      <c r="M426" t="s">
        <v>20</v>
      </c>
      <c r="N426">
        <v>1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>
        <v>40</v>
      </c>
      <c r="W426" s="9">
        <v>0</v>
      </c>
      <c r="X426" s="9">
        <v>0</v>
      </c>
      <c r="Y426" s="10">
        <v>0</v>
      </c>
      <c r="Z426" t="s">
        <v>912</v>
      </c>
      <c r="AA426" t="s">
        <v>903</v>
      </c>
      <c r="AB426" s="2" t="s">
        <v>921</v>
      </c>
      <c r="AC426" s="9" t="s">
        <v>991</v>
      </c>
      <c r="AD426" s="9" t="s">
        <v>992</v>
      </c>
      <c r="AE426" s="10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6" s="2" t="b">
        <v>0</v>
      </c>
      <c r="AY426"/>
      <c r="AZ426"/>
      <c r="BA426"/>
    </row>
    <row r="427" spans="1:53">
      <c r="A427" s="2" t="s">
        <v>451</v>
      </c>
      <c r="B427">
        <v>2003</v>
      </c>
      <c r="C427">
        <v>0</v>
      </c>
      <c r="D427" t="s">
        <v>1978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>
        <v>8</v>
      </c>
      <c r="K427" s="2" t="s">
        <v>19</v>
      </c>
      <c r="L427">
        <f>_xlfn.XLOOKUP("LOADINGSPEEDDEF_"&amp;PROPERTIES[[#This Row],[LOADINGSPEED]],LOADINGSPEEDDEF[TYPE],LOADINGSPEEDDEF[SPEED])</f>
        <v>0</v>
      </c>
      <c r="M427" t="s">
        <v>20</v>
      </c>
      <c r="N427">
        <v>1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>
        <v>40</v>
      </c>
      <c r="W427" s="9">
        <v>0</v>
      </c>
      <c r="X427" s="9">
        <v>0</v>
      </c>
      <c r="Y427" s="10">
        <v>0</v>
      </c>
      <c r="Z427" t="s">
        <v>910</v>
      </c>
      <c r="AA427" t="s">
        <v>903</v>
      </c>
      <c r="AB427" s="2" t="s">
        <v>921</v>
      </c>
      <c r="AC427" s="9" t="s">
        <v>991</v>
      </c>
      <c r="AD427" s="9" t="s">
        <v>992</v>
      </c>
      <c r="AE427" s="10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27" s="2" t="b">
        <v>0</v>
      </c>
      <c r="AY427"/>
      <c r="AZ427"/>
      <c r="BA427"/>
    </row>
    <row r="428" spans="1:53">
      <c r="A428" s="2" t="s">
        <v>452</v>
      </c>
      <c r="B428">
        <v>1966</v>
      </c>
      <c r="C428">
        <v>0</v>
      </c>
      <c r="D428" t="s">
        <v>1806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>
        <v>8</v>
      </c>
      <c r="K428" s="2" t="s">
        <v>19</v>
      </c>
      <c r="L428">
        <f>_xlfn.XLOOKUP("LOADINGSPEEDDEF_"&amp;PROPERTIES[[#This Row],[LOADINGSPEED]],LOADINGSPEEDDEF[TYPE],LOADINGSPEEDDEF[SPEED])</f>
        <v>0</v>
      </c>
      <c r="M428">
        <v>45</v>
      </c>
      <c r="N428">
        <v>1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>
        <v>40</v>
      </c>
      <c r="W428" s="9">
        <v>0</v>
      </c>
      <c r="X428" s="9">
        <v>0</v>
      </c>
      <c r="Y428" s="10">
        <v>0</v>
      </c>
      <c r="Z428" t="s">
        <v>910</v>
      </c>
      <c r="AA428" t="s">
        <v>903</v>
      </c>
      <c r="AB428" s="2" t="s">
        <v>921</v>
      </c>
      <c r="AC428" s="9" t="s">
        <v>991</v>
      </c>
      <c r="AD428" s="9" t="s">
        <v>992</v>
      </c>
      <c r="AE428" s="10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8" s="2" t="b">
        <v>0</v>
      </c>
      <c r="AY428"/>
      <c r="AZ428"/>
      <c r="BA428"/>
    </row>
    <row r="429" spans="1:53">
      <c r="A429" s="2" t="s">
        <v>453</v>
      </c>
      <c r="B429">
        <v>1988</v>
      </c>
      <c r="C429">
        <v>0</v>
      </c>
      <c r="D429" t="s">
        <v>1859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>
        <v>8</v>
      </c>
      <c r="K429" s="2" t="s">
        <v>19</v>
      </c>
      <c r="L429">
        <f>_xlfn.XLOOKUP("LOADINGSPEEDDEF_"&amp;PROPERTIES[[#This Row],[LOADINGSPEED]],LOADINGSPEEDDEF[TYPE],LOADINGSPEEDDEF[SPEED])</f>
        <v>0</v>
      </c>
      <c r="M429">
        <v>45</v>
      </c>
      <c r="N429">
        <v>1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>
        <v>40</v>
      </c>
      <c r="W429" s="9">
        <v>0</v>
      </c>
      <c r="X429" s="9">
        <v>0</v>
      </c>
      <c r="Y429" s="10">
        <v>0</v>
      </c>
      <c r="Z429" t="s">
        <v>905</v>
      </c>
      <c r="AA429" t="s">
        <v>903</v>
      </c>
      <c r="AB429" s="2" t="s">
        <v>921</v>
      </c>
      <c r="AC429" s="9" t="s">
        <v>991</v>
      </c>
      <c r="AD429" s="9" t="s">
        <v>992</v>
      </c>
      <c r="AE429" s="10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9" s="2" t="b">
        <v>0</v>
      </c>
      <c r="AY429"/>
      <c r="AZ429"/>
      <c r="BA429"/>
    </row>
    <row r="430" spans="1:53">
      <c r="A430" s="2" t="s">
        <v>454</v>
      </c>
      <c r="B430">
        <v>1978</v>
      </c>
      <c r="C430">
        <v>0</v>
      </c>
      <c r="D430" t="s">
        <v>1893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>
        <v>8</v>
      </c>
      <c r="K430" s="2" t="s">
        <v>19</v>
      </c>
      <c r="L430">
        <f>_xlfn.XLOOKUP("LOADINGSPEEDDEF_"&amp;PROPERTIES[[#This Row],[LOADINGSPEED]],LOADINGSPEEDDEF[TYPE],LOADINGSPEEDDEF[SPEED])</f>
        <v>0</v>
      </c>
      <c r="M430">
        <v>45</v>
      </c>
      <c r="N430">
        <v>1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>
        <v>40</v>
      </c>
      <c r="W430" s="9">
        <v>0</v>
      </c>
      <c r="X430" s="9">
        <v>0</v>
      </c>
      <c r="Y430" s="10">
        <v>0</v>
      </c>
      <c r="Z430" t="s">
        <v>905</v>
      </c>
      <c r="AA430" t="s">
        <v>903</v>
      </c>
      <c r="AB430" s="2" t="s">
        <v>921</v>
      </c>
      <c r="AC430" s="9" t="s">
        <v>991</v>
      </c>
      <c r="AD430" s="9" t="s">
        <v>992</v>
      </c>
      <c r="AE430" s="10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0" s="2" t="b">
        <v>0</v>
      </c>
      <c r="AY430"/>
      <c r="AZ430"/>
      <c r="BA430"/>
    </row>
    <row r="431" spans="1:53">
      <c r="A431" s="2" t="s">
        <v>455</v>
      </c>
      <c r="B431">
        <v>1926</v>
      </c>
      <c r="C431">
        <v>0</v>
      </c>
      <c r="D431" t="s">
        <v>1886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>
        <v>5</v>
      </c>
      <c r="K431" s="2" t="s">
        <v>23</v>
      </c>
      <c r="L431">
        <f>_xlfn.XLOOKUP("LOADINGSPEEDDEF_"&amp;PROPERTIES[[#This Row],[LOADINGSPEED]],LOADINGSPEEDDEF[TYPE],LOADINGSPEEDDEF[SPEED])</f>
        <v>40</v>
      </c>
      <c r="M431">
        <v>45</v>
      </c>
      <c r="N431">
        <v>1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>
        <v>40</v>
      </c>
      <c r="W431" s="9">
        <v>0</v>
      </c>
      <c r="X431" s="9">
        <v>0</v>
      </c>
      <c r="Y431" s="10">
        <v>0</v>
      </c>
      <c r="Z431" t="s">
        <v>907</v>
      </c>
      <c r="AA431" t="s">
        <v>903</v>
      </c>
      <c r="AB431" s="2" t="s">
        <v>921</v>
      </c>
      <c r="AC431" s="9" t="s">
        <v>991</v>
      </c>
      <c r="AD431" s="9" t="s">
        <v>992</v>
      </c>
      <c r="AE431" s="10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31" s="2" t="b">
        <v>0</v>
      </c>
      <c r="AY431"/>
      <c r="AZ431"/>
      <c r="BA431"/>
    </row>
    <row r="432" spans="1:53">
      <c r="A432" s="2" t="s">
        <v>456</v>
      </c>
      <c r="B432">
        <v>1961</v>
      </c>
      <c r="C432">
        <v>0</v>
      </c>
      <c r="D432" t="s">
        <v>1826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>
        <v>7</v>
      </c>
      <c r="K432" s="2" t="s">
        <v>23</v>
      </c>
      <c r="L432">
        <f>_xlfn.XLOOKUP("LOADINGSPEEDDEF_"&amp;PROPERTIES[[#This Row],[LOADINGSPEED]],LOADINGSPEEDDEF[TYPE],LOADINGSPEEDDEF[SPEED])</f>
        <v>40</v>
      </c>
      <c r="M432">
        <v>45</v>
      </c>
      <c r="N432">
        <v>1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>
        <v>40</v>
      </c>
      <c r="W432" s="9">
        <v>0</v>
      </c>
      <c r="X432" s="9">
        <v>0</v>
      </c>
      <c r="Y432" s="10">
        <v>0</v>
      </c>
      <c r="Z432" t="s">
        <v>908</v>
      </c>
      <c r="AA432" t="s">
        <v>903</v>
      </c>
      <c r="AB432" s="2" t="s">
        <v>921</v>
      </c>
      <c r="AC432" s="9" t="s">
        <v>991</v>
      </c>
      <c r="AD432" s="9" t="s">
        <v>992</v>
      </c>
      <c r="AE432" s="10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2" s="2" t="b">
        <v>0</v>
      </c>
      <c r="AY432"/>
      <c r="AZ432"/>
      <c r="BA432"/>
    </row>
    <row r="433" spans="1:53">
      <c r="A433" s="2" t="s">
        <v>457</v>
      </c>
      <c r="B433">
        <v>1982</v>
      </c>
      <c r="C433">
        <v>0</v>
      </c>
      <c r="D433" t="s">
        <v>1906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>
        <v>8</v>
      </c>
      <c r="K433" s="2" t="s">
        <v>19</v>
      </c>
      <c r="L433">
        <f>_xlfn.XLOOKUP("LOADINGSPEEDDEF_"&amp;PROPERTIES[[#This Row],[LOADINGSPEED]],LOADINGSPEEDDEF[TYPE],LOADINGSPEEDDEF[SPEED])</f>
        <v>0</v>
      </c>
      <c r="M433">
        <v>45</v>
      </c>
      <c r="N433">
        <v>1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>
        <v>40</v>
      </c>
      <c r="W433" s="9">
        <v>0</v>
      </c>
      <c r="X433" s="9">
        <v>0</v>
      </c>
      <c r="Y433" s="10">
        <v>0</v>
      </c>
      <c r="Z433" t="s">
        <v>909</v>
      </c>
      <c r="AA433" t="s">
        <v>903</v>
      </c>
      <c r="AB433" s="2" t="s">
        <v>921</v>
      </c>
      <c r="AC433" s="9" t="s">
        <v>991</v>
      </c>
      <c r="AD433" s="9" t="s">
        <v>992</v>
      </c>
      <c r="AE433" s="10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33" s="2" t="b">
        <v>0</v>
      </c>
      <c r="AY433"/>
      <c r="AZ433"/>
      <c r="BA433"/>
    </row>
    <row r="434" spans="1:53">
      <c r="A434" s="2" t="s">
        <v>458</v>
      </c>
      <c r="B434">
        <v>2010</v>
      </c>
      <c r="C434">
        <v>0</v>
      </c>
      <c r="D434" t="s">
        <v>1886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>
        <v>8</v>
      </c>
      <c r="K434" s="2" t="s">
        <v>19</v>
      </c>
      <c r="L434">
        <f>_xlfn.XLOOKUP("LOADINGSPEEDDEF_"&amp;PROPERTIES[[#This Row],[LOADINGSPEED]],LOADINGSPEEDDEF[TYPE],LOADINGSPEEDDEF[SPEED])</f>
        <v>0</v>
      </c>
      <c r="M434" t="s">
        <v>20</v>
      </c>
      <c r="N434">
        <v>1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>
        <v>40</v>
      </c>
      <c r="W434" s="9">
        <v>0</v>
      </c>
      <c r="X434" s="9">
        <v>0</v>
      </c>
      <c r="Y434" s="10">
        <v>0</v>
      </c>
      <c r="Z434" t="s">
        <v>907</v>
      </c>
      <c r="AA434" t="s">
        <v>903</v>
      </c>
      <c r="AB434" s="2" t="s">
        <v>921</v>
      </c>
      <c r="AC434" s="9" t="s">
        <v>991</v>
      </c>
      <c r="AD434" s="9" t="s">
        <v>992</v>
      </c>
      <c r="AE434" s="10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4" s="2" t="b">
        <v>0</v>
      </c>
      <c r="AY434"/>
      <c r="AZ434"/>
      <c r="BA434"/>
    </row>
    <row r="435" spans="1:53">
      <c r="A435" s="2" t="s">
        <v>459</v>
      </c>
      <c r="B435">
        <v>1968</v>
      </c>
      <c r="C435">
        <v>0</v>
      </c>
      <c r="D435" t="s">
        <v>1920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>
        <v>6</v>
      </c>
      <c r="K435" s="2" t="s">
        <v>19</v>
      </c>
      <c r="L435">
        <f>_xlfn.XLOOKUP("LOADINGSPEEDDEF_"&amp;PROPERTIES[[#This Row],[LOADINGSPEED]],LOADINGSPEEDDEF[TYPE],LOADINGSPEEDDEF[SPEED])</f>
        <v>0</v>
      </c>
      <c r="M435">
        <v>45</v>
      </c>
      <c r="N435">
        <v>1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>
        <v>40</v>
      </c>
      <c r="W435" s="9">
        <v>0</v>
      </c>
      <c r="X435" s="9">
        <v>0</v>
      </c>
      <c r="Y435" s="10">
        <v>0</v>
      </c>
      <c r="Z435" t="s">
        <v>906</v>
      </c>
      <c r="AA435" t="s">
        <v>903</v>
      </c>
      <c r="AB435" s="2" t="s">
        <v>921</v>
      </c>
      <c r="AC435" s="9" t="s">
        <v>991</v>
      </c>
      <c r="AD435" s="9" t="s">
        <v>992</v>
      </c>
      <c r="AE435" s="10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5" s="2" t="b">
        <v>0</v>
      </c>
      <c r="AY435"/>
      <c r="AZ435"/>
      <c r="BA435"/>
    </row>
    <row r="436" spans="1:53">
      <c r="A436" s="2" t="s">
        <v>460</v>
      </c>
      <c r="B436">
        <v>1983</v>
      </c>
      <c r="C436">
        <v>0</v>
      </c>
      <c r="D436" t="s">
        <v>1788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>
        <v>8</v>
      </c>
      <c r="K436" s="2" t="s">
        <v>19</v>
      </c>
      <c r="L436">
        <f>_xlfn.XLOOKUP("LOADINGSPEEDDEF_"&amp;PROPERTIES[[#This Row],[LOADINGSPEED]],LOADINGSPEEDDEF[TYPE],LOADINGSPEEDDEF[SPEED])</f>
        <v>0</v>
      </c>
      <c r="M436">
        <v>45</v>
      </c>
      <c r="N436">
        <v>1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>
        <v>40</v>
      </c>
      <c r="W436" s="9">
        <v>0</v>
      </c>
      <c r="X436" s="9">
        <v>0</v>
      </c>
      <c r="Y436" s="10">
        <v>0</v>
      </c>
      <c r="Z436" t="s">
        <v>909</v>
      </c>
      <c r="AA436" t="s">
        <v>903</v>
      </c>
      <c r="AB436" s="2" t="s">
        <v>921</v>
      </c>
      <c r="AC436" s="9" t="s">
        <v>991</v>
      </c>
      <c r="AD436" s="9" t="s">
        <v>992</v>
      </c>
      <c r="AE436" s="10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36" s="2" t="b">
        <v>0</v>
      </c>
      <c r="AY436"/>
      <c r="AZ436"/>
      <c r="BA436"/>
    </row>
    <row r="437" spans="1:53">
      <c r="A437" s="2" t="s">
        <v>461</v>
      </c>
      <c r="B437">
        <v>1976</v>
      </c>
      <c r="C437">
        <v>0</v>
      </c>
      <c r="D437" t="s">
        <v>1825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>
        <v>8</v>
      </c>
      <c r="K437" s="2" t="s">
        <v>19</v>
      </c>
      <c r="L437">
        <f>_xlfn.XLOOKUP("LOADINGSPEEDDEF_"&amp;PROPERTIES[[#This Row],[LOADINGSPEED]],LOADINGSPEEDDEF[TYPE],LOADINGSPEEDDEF[SPEED])</f>
        <v>0</v>
      </c>
      <c r="M437">
        <v>45</v>
      </c>
      <c r="N437">
        <v>1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>
        <v>40</v>
      </c>
      <c r="W437" s="9">
        <v>0</v>
      </c>
      <c r="X437" s="9">
        <v>0</v>
      </c>
      <c r="Y437" s="10">
        <v>0</v>
      </c>
      <c r="Z437" t="s">
        <v>904</v>
      </c>
      <c r="AA437" t="s">
        <v>903</v>
      </c>
      <c r="AB437" s="2" t="s">
        <v>921</v>
      </c>
      <c r="AC437" s="9" t="s">
        <v>991</v>
      </c>
      <c r="AD437" s="9" t="s">
        <v>992</v>
      </c>
      <c r="AE437" s="10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7" s="2" t="b">
        <v>0</v>
      </c>
      <c r="AY437"/>
      <c r="AZ437"/>
      <c r="BA437"/>
    </row>
    <row r="438" spans="1:53">
      <c r="A438" s="2" t="s">
        <v>462</v>
      </c>
      <c r="B438">
        <v>1989</v>
      </c>
      <c r="C438">
        <v>0</v>
      </c>
      <c r="D438" t="s">
        <v>1825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>
        <v>8</v>
      </c>
      <c r="K438" s="2" t="s">
        <v>19</v>
      </c>
      <c r="L438">
        <f>_xlfn.XLOOKUP("LOADINGSPEEDDEF_"&amp;PROPERTIES[[#This Row],[LOADINGSPEED]],LOADINGSPEEDDEF[TYPE],LOADINGSPEEDDEF[SPEED])</f>
        <v>0</v>
      </c>
      <c r="M438" t="s">
        <v>20</v>
      </c>
      <c r="N438">
        <v>1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>
        <v>40</v>
      </c>
      <c r="W438" s="9">
        <v>0</v>
      </c>
      <c r="X438" s="9">
        <v>0</v>
      </c>
      <c r="Y438" s="10">
        <v>0</v>
      </c>
      <c r="Z438" t="s">
        <v>904</v>
      </c>
      <c r="AA438" t="s">
        <v>903</v>
      </c>
      <c r="AB438" s="2" t="s">
        <v>921</v>
      </c>
      <c r="AC438" s="9" t="s">
        <v>991</v>
      </c>
      <c r="AD438" s="9" t="s">
        <v>992</v>
      </c>
      <c r="AE438" s="10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8" s="2" t="b">
        <v>0</v>
      </c>
      <c r="AY438"/>
      <c r="AZ438"/>
      <c r="BA438"/>
    </row>
    <row r="439" spans="1:53">
      <c r="A439" s="2" t="s">
        <v>463</v>
      </c>
      <c r="B439">
        <v>1964</v>
      </c>
      <c r="C439">
        <v>0</v>
      </c>
      <c r="D439" t="s">
        <v>1825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>
        <v>8</v>
      </c>
      <c r="K439" s="2" t="s">
        <v>19</v>
      </c>
      <c r="L439">
        <f>_xlfn.XLOOKUP("LOADINGSPEEDDEF_"&amp;PROPERTIES[[#This Row],[LOADINGSPEED]],LOADINGSPEEDDEF[TYPE],LOADINGSPEEDDEF[SPEED])</f>
        <v>0</v>
      </c>
      <c r="M439">
        <v>45</v>
      </c>
      <c r="N439">
        <v>1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>
        <v>40</v>
      </c>
      <c r="W439" s="9">
        <v>0</v>
      </c>
      <c r="X439" s="9">
        <v>0</v>
      </c>
      <c r="Y439" s="10">
        <v>0</v>
      </c>
      <c r="Z439" t="s">
        <v>904</v>
      </c>
      <c r="AA439" t="s">
        <v>903</v>
      </c>
      <c r="AB439" s="2" t="s">
        <v>921</v>
      </c>
      <c r="AC439" s="9" t="s">
        <v>991</v>
      </c>
      <c r="AD439" s="9" t="s">
        <v>992</v>
      </c>
      <c r="AE439" s="10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9" s="2" t="b">
        <v>0</v>
      </c>
      <c r="AY439"/>
      <c r="AZ439"/>
      <c r="BA439"/>
    </row>
    <row r="440" spans="1:53">
      <c r="A440" s="2" t="s">
        <v>464</v>
      </c>
      <c r="B440">
        <v>2000</v>
      </c>
      <c r="C440">
        <v>0</v>
      </c>
      <c r="D440" t="s">
        <v>1807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>
        <v>8</v>
      </c>
      <c r="K440" s="2" t="s">
        <v>19</v>
      </c>
      <c r="L440">
        <f>_xlfn.XLOOKUP("LOADINGSPEEDDEF_"&amp;PROPERTIES[[#This Row],[LOADINGSPEED]],LOADINGSPEEDDEF[TYPE],LOADINGSPEEDDEF[SPEED])</f>
        <v>0</v>
      </c>
      <c r="M440" t="s">
        <v>20</v>
      </c>
      <c r="N440">
        <v>1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>
        <v>40</v>
      </c>
      <c r="W440" s="9">
        <v>0</v>
      </c>
      <c r="X440" s="9">
        <v>0</v>
      </c>
      <c r="Y440" s="10">
        <v>0</v>
      </c>
      <c r="Z440" t="s">
        <v>904</v>
      </c>
      <c r="AA440" t="s">
        <v>903</v>
      </c>
      <c r="AB440" s="2" t="s">
        <v>921</v>
      </c>
      <c r="AC440" s="9" t="s">
        <v>991</v>
      </c>
      <c r="AD440" s="9" t="s">
        <v>992</v>
      </c>
      <c r="AE440" s="10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40" s="2" t="b">
        <v>0</v>
      </c>
      <c r="AY440"/>
      <c r="AZ440"/>
      <c r="BA440"/>
    </row>
    <row r="441" spans="1:53">
      <c r="A441" s="2" t="s">
        <v>465</v>
      </c>
      <c r="B441">
        <v>1997</v>
      </c>
      <c r="C441">
        <v>0</v>
      </c>
      <c r="D441" t="s">
        <v>1863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>
        <v>16</v>
      </c>
      <c r="K441" s="2" t="s">
        <v>19</v>
      </c>
      <c r="L441">
        <f>_xlfn.XLOOKUP("LOADINGSPEEDDEF_"&amp;PROPERTIES[[#This Row],[LOADINGSPEED]],LOADINGSPEEDDEF[TYPE],LOADINGSPEEDDEF[SPEED])</f>
        <v>0</v>
      </c>
      <c r="M441" t="s">
        <v>20</v>
      </c>
      <c r="N441">
        <v>1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>
        <v>40</v>
      </c>
      <c r="W441" s="9">
        <v>0</v>
      </c>
      <c r="X441" s="9">
        <v>8</v>
      </c>
      <c r="Y441" s="10">
        <v>0</v>
      </c>
      <c r="Z441" t="s">
        <v>912</v>
      </c>
      <c r="AA441" t="s">
        <v>903</v>
      </c>
      <c r="AB441" s="2" t="s">
        <v>921</v>
      </c>
      <c r="AC441" s="9" t="s">
        <v>991</v>
      </c>
      <c r="AD441" s="9" t="s">
        <v>992</v>
      </c>
      <c r="AE441" s="10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1" s="2" t="b">
        <v>0</v>
      </c>
      <c r="AY441"/>
      <c r="AZ441"/>
      <c r="BA441"/>
    </row>
    <row r="442" spans="1:53">
      <c r="A442" s="2" t="s">
        <v>466</v>
      </c>
      <c r="B442">
        <v>1978</v>
      </c>
      <c r="C442">
        <v>0</v>
      </c>
      <c r="D442" t="s">
        <v>1981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>
        <v>7</v>
      </c>
      <c r="K442" s="2" t="s">
        <v>19</v>
      </c>
      <c r="L442">
        <f>_xlfn.XLOOKUP("LOADINGSPEEDDEF_"&amp;PROPERTIES[[#This Row],[LOADINGSPEED]],LOADINGSPEEDDEF[TYPE],LOADINGSPEEDDEF[SPEED])</f>
        <v>0</v>
      </c>
      <c r="M442">
        <v>45</v>
      </c>
      <c r="N442">
        <v>1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>
        <v>40</v>
      </c>
      <c r="W442" s="9">
        <v>0</v>
      </c>
      <c r="X442" s="9">
        <v>0</v>
      </c>
      <c r="Y442" s="10">
        <v>0</v>
      </c>
      <c r="Z442" t="s">
        <v>909</v>
      </c>
      <c r="AA442" t="s">
        <v>903</v>
      </c>
      <c r="AB442" s="2" t="s">
        <v>921</v>
      </c>
      <c r="AC442" s="9" t="s">
        <v>991</v>
      </c>
      <c r="AD442" s="9" t="s">
        <v>992</v>
      </c>
      <c r="AE442" s="10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2" s="2" t="b">
        <v>0</v>
      </c>
      <c r="AY442"/>
      <c r="AZ442"/>
      <c r="BA442"/>
    </row>
    <row r="443" spans="1:53">
      <c r="A443" s="2" t="s">
        <v>467</v>
      </c>
      <c r="B443">
        <v>1999</v>
      </c>
      <c r="C443">
        <v>0</v>
      </c>
      <c r="D443" t="s">
        <v>1981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>
        <v>8</v>
      </c>
      <c r="K443" s="2" t="s">
        <v>23</v>
      </c>
      <c r="L443">
        <f>_xlfn.XLOOKUP("LOADINGSPEEDDEF_"&amp;PROPERTIES[[#This Row],[LOADINGSPEED]],LOADINGSPEEDDEF[TYPE],LOADINGSPEEDDEF[SPEED])</f>
        <v>40</v>
      </c>
      <c r="M443">
        <v>45</v>
      </c>
      <c r="N443">
        <v>1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>
        <v>40</v>
      </c>
      <c r="W443" s="9">
        <v>0</v>
      </c>
      <c r="X443" s="9">
        <v>0</v>
      </c>
      <c r="Y443" s="10">
        <v>0</v>
      </c>
      <c r="Z443" t="s">
        <v>909</v>
      </c>
      <c r="AA443" t="s">
        <v>903</v>
      </c>
      <c r="AB443" s="2" t="s">
        <v>921</v>
      </c>
      <c r="AC443" s="9" t="s">
        <v>991</v>
      </c>
      <c r="AD443" s="9" t="s">
        <v>992</v>
      </c>
      <c r="AE443" s="10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3" s="2" t="b">
        <v>0</v>
      </c>
      <c r="AY443"/>
      <c r="AZ443"/>
      <c r="BA443"/>
    </row>
    <row r="444" spans="1:53">
      <c r="A444" s="2" t="s">
        <v>468</v>
      </c>
      <c r="B444">
        <v>2008</v>
      </c>
      <c r="C444">
        <v>0</v>
      </c>
      <c r="D444" t="s">
        <v>1806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>
        <v>8</v>
      </c>
      <c r="K444" s="2" t="s">
        <v>19</v>
      </c>
      <c r="L444">
        <f>_xlfn.XLOOKUP("LOADINGSPEEDDEF_"&amp;PROPERTIES[[#This Row],[LOADINGSPEED]],LOADINGSPEEDDEF[TYPE],LOADINGSPEEDDEF[SPEED])</f>
        <v>0</v>
      </c>
      <c r="M444" t="s">
        <v>20</v>
      </c>
      <c r="N444">
        <v>1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>
        <v>40</v>
      </c>
      <c r="W444" s="9">
        <v>0</v>
      </c>
      <c r="X444" s="9">
        <v>0</v>
      </c>
      <c r="Y444" s="10">
        <v>0</v>
      </c>
      <c r="Z444" t="s">
        <v>910</v>
      </c>
      <c r="AA444" t="s">
        <v>903</v>
      </c>
      <c r="AB444" s="2" t="s">
        <v>921</v>
      </c>
      <c r="AC444" s="9" t="s">
        <v>991</v>
      </c>
      <c r="AD444" s="9" t="s">
        <v>992</v>
      </c>
      <c r="AE444" s="10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4" s="2" t="b">
        <v>0</v>
      </c>
      <c r="AY444"/>
      <c r="AZ444"/>
      <c r="BA444"/>
    </row>
    <row r="445" spans="1:53">
      <c r="A445" s="2" t="s">
        <v>469</v>
      </c>
      <c r="B445">
        <v>1992</v>
      </c>
      <c r="C445">
        <v>0</v>
      </c>
      <c r="D445" t="s">
        <v>1818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>
        <v>8</v>
      </c>
      <c r="K445" s="2" t="s">
        <v>19</v>
      </c>
      <c r="L445">
        <f>_xlfn.XLOOKUP("LOADINGSPEEDDEF_"&amp;PROPERTIES[[#This Row],[LOADINGSPEED]],LOADINGSPEEDDEF[TYPE],LOADINGSPEEDDEF[SPEED])</f>
        <v>0</v>
      </c>
      <c r="M445">
        <v>45</v>
      </c>
      <c r="N445">
        <v>1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>
        <v>40</v>
      </c>
      <c r="W445" s="9">
        <v>0</v>
      </c>
      <c r="X445" s="9">
        <v>0</v>
      </c>
      <c r="Y445" s="10">
        <v>0</v>
      </c>
      <c r="Z445" t="s">
        <v>905</v>
      </c>
      <c r="AA445" t="s">
        <v>903</v>
      </c>
      <c r="AB445" s="2" t="s">
        <v>921</v>
      </c>
      <c r="AC445" s="9" t="s">
        <v>991</v>
      </c>
      <c r="AD445" s="9" t="s">
        <v>992</v>
      </c>
      <c r="AE445" s="10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5" s="2" t="b">
        <v>0</v>
      </c>
      <c r="AY445"/>
      <c r="AZ445"/>
      <c r="BA445"/>
    </row>
    <row r="446" spans="1:53">
      <c r="A446" s="2" t="s">
        <v>470</v>
      </c>
      <c r="B446">
        <v>2000</v>
      </c>
      <c r="C446">
        <v>0</v>
      </c>
      <c r="D446" t="s">
        <v>1807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>
        <v>8</v>
      </c>
      <c r="K446" s="2" t="s">
        <v>19</v>
      </c>
      <c r="L446">
        <f>_xlfn.XLOOKUP("LOADINGSPEEDDEF_"&amp;PROPERTIES[[#This Row],[LOADINGSPEED]],LOADINGSPEEDDEF[TYPE],LOADINGSPEEDDEF[SPEED])</f>
        <v>0</v>
      </c>
      <c r="M446" t="s">
        <v>20</v>
      </c>
      <c r="N446">
        <v>1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>
        <v>40</v>
      </c>
      <c r="W446" s="9">
        <v>0</v>
      </c>
      <c r="X446" s="9">
        <v>0</v>
      </c>
      <c r="Y446" s="10">
        <v>0</v>
      </c>
      <c r="Z446" t="s">
        <v>904</v>
      </c>
      <c r="AA446" t="s">
        <v>903</v>
      </c>
      <c r="AB446" s="2" t="s">
        <v>921</v>
      </c>
      <c r="AC446" s="9" t="s">
        <v>991</v>
      </c>
      <c r="AD446" s="9" t="s">
        <v>992</v>
      </c>
      <c r="AE446" s="10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6" s="2" t="b">
        <v>0</v>
      </c>
      <c r="AY446"/>
      <c r="AZ446"/>
      <c r="BA446"/>
    </row>
    <row r="447" spans="1:53">
      <c r="A447" s="2" t="s">
        <v>471</v>
      </c>
      <c r="B447">
        <v>1908</v>
      </c>
      <c r="C447">
        <v>0</v>
      </c>
      <c r="D447" t="s">
        <v>1859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>
        <v>6</v>
      </c>
      <c r="K447" s="2" t="s">
        <v>19</v>
      </c>
      <c r="L447">
        <f>_xlfn.XLOOKUP("LOADINGSPEEDDEF_"&amp;PROPERTIES[[#This Row],[LOADINGSPEED]],LOADINGSPEEDDEF[TYPE],LOADINGSPEEDDEF[SPEED])</f>
        <v>0</v>
      </c>
      <c r="M447">
        <v>45</v>
      </c>
      <c r="N447">
        <v>1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>
        <v>40</v>
      </c>
      <c r="W447" s="9">
        <v>0</v>
      </c>
      <c r="X447" s="9">
        <v>0</v>
      </c>
      <c r="Y447" s="10">
        <v>0</v>
      </c>
      <c r="Z447" t="s">
        <v>905</v>
      </c>
      <c r="AA447" t="s">
        <v>903</v>
      </c>
      <c r="AB447" s="2" t="s">
        <v>921</v>
      </c>
      <c r="AC447" s="9" t="s">
        <v>991</v>
      </c>
      <c r="AD447" s="9" t="s">
        <v>992</v>
      </c>
      <c r="AE447" s="10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7" s="2" t="b">
        <v>0</v>
      </c>
      <c r="AY447"/>
      <c r="AZ447"/>
      <c r="BA447"/>
    </row>
    <row r="448" spans="1:53">
      <c r="A448" s="2" t="s">
        <v>472</v>
      </c>
      <c r="B448">
        <v>1967</v>
      </c>
      <c r="C448">
        <v>0</v>
      </c>
      <c r="D448" t="s">
        <v>1863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>
        <v>7</v>
      </c>
      <c r="K448" s="2" t="s">
        <v>23</v>
      </c>
      <c r="L448">
        <f>_xlfn.XLOOKUP("LOADINGSPEEDDEF_"&amp;PROPERTIES[[#This Row],[LOADINGSPEED]],LOADINGSPEEDDEF[TYPE],LOADINGSPEEDDEF[SPEED])</f>
        <v>40</v>
      </c>
      <c r="M448">
        <v>45</v>
      </c>
      <c r="N448">
        <v>1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>
        <v>40</v>
      </c>
      <c r="W448" s="9">
        <v>0</v>
      </c>
      <c r="X448" s="9">
        <v>0</v>
      </c>
      <c r="Y448" s="10">
        <v>0</v>
      </c>
      <c r="Z448" t="s">
        <v>912</v>
      </c>
      <c r="AA448" t="s">
        <v>903</v>
      </c>
      <c r="AB448" s="2" t="s">
        <v>921</v>
      </c>
      <c r="AC448" s="9" t="s">
        <v>991</v>
      </c>
      <c r="AD448" s="9" t="s">
        <v>992</v>
      </c>
      <c r="AE448" s="10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48" s="2" t="b">
        <v>0</v>
      </c>
      <c r="AY448"/>
      <c r="AZ448"/>
      <c r="BA448"/>
    </row>
    <row r="449" spans="1:53">
      <c r="A449" s="2" t="s">
        <v>473</v>
      </c>
      <c r="B449">
        <v>1993</v>
      </c>
      <c r="C449">
        <v>0</v>
      </c>
      <c r="D449" t="s">
        <v>1826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>
        <v>8</v>
      </c>
      <c r="K449" s="2" t="s">
        <v>19</v>
      </c>
      <c r="L449">
        <f>_xlfn.XLOOKUP("LOADINGSPEEDDEF_"&amp;PROPERTIES[[#This Row],[LOADINGSPEED]],LOADINGSPEEDDEF[TYPE],LOADINGSPEEDDEF[SPEED])</f>
        <v>0</v>
      </c>
      <c r="M449">
        <v>45</v>
      </c>
      <c r="N449"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>
        <v>40</v>
      </c>
      <c r="W449" s="9">
        <v>0</v>
      </c>
      <c r="X449" s="9">
        <v>0</v>
      </c>
      <c r="Y449" s="10">
        <v>0</v>
      </c>
      <c r="Z449" t="s">
        <v>908</v>
      </c>
      <c r="AA449" t="s">
        <v>903</v>
      </c>
      <c r="AB449" s="2" t="s">
        <v>921</v>
      </c>
      <c r="AC449" s="9" t="s">
        <v>991</v>
      </c>
      <c r="AD449" s="9" t="s">
        <v>992</v>
      </c>
      <c r="AE449" s="10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9" s="2" t="b">
        <v>0</v>
      </c>
      <c r="AY449"/>
      <c r="AZ449"/>
      <c r="BA449"/>
    </row>
    <row r="450" spans="1:53">
      <c r="A450" s="2" t="s">
        <v>474</v>
      </c>
      <c r="B450">
        <v>2012</v>
      </c>
      <c r="C450">
        <v>0</v>
      </c>
      <c r="D450" t="s">
        <v>1981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>
        <v>8</v>
      </c>
      <c r="K450" s="2" t="s">
        <v>19</v>
      </c>
      <c r="L450">
        <f>_xlfn.XLOOKUP("LOADINGSPEEDDEF_"&amp;PROPERTIES[[#This Row],[LOADINGSPEED]],LOADINGSPEEDDEF[TYPE],LOADINGSPEEDDEF[SPEED])</f>
        <v>0</v>
      </c>
      <c r="M450" t="s">
        <v>20</v>
      </c>
      <c r="N450">
        <v>1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>
        <v>40</v>
      </c>
      <c r="W450" s="9">
        <v>0</v>
      </c>
      <c r="X450" s="9">
        <v>0</v>
      </c>
      <c r="Y450" s="10">
        <v>0</v>
      </c>
      <c r="Z450" t="s">
        <v>909</v>
      </c>
      <c r="AA450" t="s">
        <v>903</v>
      </c>
      <c r="AB450" s="2" t="s">
        <v>921</v>
      </c>
      <c r="AC450" s="9" t="s">
        <v>991</v>
      </c>
      <c r="AD450" s="9" t="s">
        <v>992</v>
      </c>
      <c r="AE450" s="10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0" s="2" t="b">
        <v>0</v>
      </c>
      <c r="AY450"/>
      <c r="AZ450"/>
      <c r="BA450"/>
    </row>
    <row r="451" spans="1:53">
      <c r="A451" s="2" t="s">
        <v>475</v>
      </c>
      <c r="B451">
        <v>1964</v>
      </c>
      <c r="C451">
        <v>0</v>
      </c>
      <c r="D451" t="s">
        <v>1825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>
        <v>8</v>
      </c>
      <c r="K451" s="2" t="s">
        <v>19</v>
      </c>
      <c r="L451">
        <f>_xlfn.XLOOKUP("LOADINGSPEEDDEF_"&amp;PROPERTIES[[#This Row],[LOADINGSPEED]],LOADINGSPEEDDEF[TYPE],LOADINGSPEEDDEF[SPEED])</f>
        <v>0</v>
      </c>
      <c r="M451">
        <v>45</v>
      </c>
      <c r="N451">
        <v>1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>
        <v>40</v>
      </c>
      <c r="W451" s="9">
        <v>0</v>
      </c>
      <c r="X451" s="9">
        <v>0</v>
      </c>
      <c r="Y451" s="10">
        <v>0</v>
      </c>
      <c r="Z451" t="s">
        <v>904</v>
      </c>
      <c r="AA451" t="s">
        <v>903</v>
      </c>
      <c r="AB451" s="2" t="s">
        <v>921</v>
      </c>
      <c r="AC451" s="9" t="s">
        <v>991</v>
      </c>
      <c r="AD451" s="9" t="s">
        <v>992</v>
      </c>
      <c r="AE451" s="10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51" s="2" t="b">
        <v>0</v>
      </c>
      <c r="AY451"/>
      <c r="AZ451"/>
      <c r="BA451"/>
    </row>
    <row r="452" spans="1:53">
      <c r="A452" s="2" t="s">
        <v>476</v>
      </c>
      <c r="B452">
        <v>1997</v>
      </c>
      <c r="C452">
        <v>0</v>
      </c>
      <c r="D452" t="s">
        <v>1770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>
        <v>8</v>
      </c>
      <c r="K452" s="2" t="s">
        <v>19</v>
      </c>
      <c r="L452">
        <f>_xlfn.XLOOKUP("LOADINGSPEEDDEF_"&amp;PROPERTIES[[#This Row],[LOADINGSPEED]],LOADINGSPEEDDEF[TYPE],LOADINGSPEEDDEF[SPEED])</f>
        <v>0</v>
      </c>
      <c r="M452" t="s">
        <v>20</v>
      </c>
      <c r="N452">
        <v>1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>
        <v>40</v>
      </c>
      <c r="W452" s="9">
        <v>0</v>
      </c>
      <c r="X452" s="9">
        <v>0</v>
      </c>
      <c r="Y452" s="10">
        <v>0</v>
      </c>
      <c r="Z452" t="s">
        <v>904</v>
      </c>
      <c r="AA452" t="s">
        <v>903</v>
      </c>
      <c r="AB452" s="2" t="s">
        <v>921</v>
      </c>
      <c r="AC452" s="9" t="s">
        <v>991</v>
      </c>
      <c r="AD452" s="9" t="s">
        <v>992</v>
      </c>
      <c r="AE452" s="10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2" s="2" t="b">
        <v>0</v>
      </c>
      <c r="AY452"/>
      <c r="AZ452"/>
      <c r="BA452"/>
    </row>
    <row r="453" spans="1:53">
      <c r="A453" s="2" t="s">
        <v>477</v>
      </c>
      <c r="B453">
        <v>1932</v>
      </c>
      <c r="C453">
        <v>1</v>
      </c>
      <c r="D453" t="s">
        <v>1807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>
        <v>8</v>
      </c>
      <c r="K453" s="2" t="s">
        <v>478</v>
      </c>
      <c r="L453">
        <f>_xlfn.XLOOKUP("LOADINGSPEEDDEF_"&amp;PROPERTIES[[#This Row],[LOADINGSPEED]],LOADINGSPEEDDEF[TYPE],LOADINGSPEEDDEF[SPEED])</f>
        <v>16</v>
      </c>
      <c r="M453">
        <v>45</v>
      </c>
      <c r="N453"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>
        <v>25</v>
      </c>
      <c r="W453" s="9">
        <f>INT(139/2)</f>
        <v>69</v>
      </c>
      <c r="X453" s="9">
        <v>8</v>
      </c>
      <c r="Y453" s="10">
        <v>0</v>
      </c>
      <c r="Z453" t="s">
        <v>904</v>
      </c>
      <c r="AA453" t="s">
        <v>903</v>
      </c>
      <c r="AB453" s="2" t="s">
        <v>921</v>
      </c>
      <c r="AC453" s="9" t="s">
        <v>993</v>
      </c>
      <c r="AD453" s="9" t="s">
        <v>994</v>
      </c>
      <c r="AE453" s="10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53" s="2" t="b">
        <v>0</v>
      </c>
      <c r="AY453"/>
      <c r="AZ453"/>
      <c r="BA453"/>
    </row>
    <row r="454" spans="1:53">
      <c r="A454" s="2" t="s">
        <v>479</v>
      </c>
      <c r="B454">
        <v>1937</v>
      </c>
      <c r="C454">
        <v>1</v>
      </c>
      <c r="D454" t="s">
        <v>1763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>
        <v>7</v>
      </c>
      <c r="K454" s="2" t="s">
        <v>478</v>
      </c>
      <c r="L454">
        <f>_xlfn.XLOOKUP("LOADINGSPEEDDEF_"&amp;PROPERTIES[[#This Row],[LOADINGSPEED]],LOADINGSPEEDDEF[TYPE],LOADINGSPEEDDEF[SPEED])</f>
        <v>16</v>
      </c>
      <c r="M454">
        <v>45</v>
      </c>
      <c r="N454"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>
        <v>25</v>
      </c>
      <c r="W454" s="9">
        <v>60</v>
      </c>
      <c r="X454" s="9">
        <v>7</v>
      </c>
      <c r="Y454" s="10">
        <v>45</v>
      </c>
      <c r="Z454" t="s">
        <v>906</v>
      </c>
      <c r="AA454" t="s">
        <v>903</v>
      </c>
      <c r="AB454" s="2" t="s">
        <v>921</v>
      </c>
      <c r="AC454" s="9" t="s">
        <v>993</v>
      </c>
      <c r="AD454" s="9" t="s">
        <v>994</v>
      </c>
      <c r="AE454" s="10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4" s="2" t="b">
        <v>0</v>
      </c>
      <c r="AY454"/>
      <c r="AZ454"/>
      <c r="BA454"/>
    </row>
    <row r="455" spans="1:53">
      <c r="A455" s="2" t="s">
        <v>480</v>
      </c>
      <c r="B455">
        <v>1948</v>
      </c>
      <c r="C455">
        <v>1</v>
      </c>
      <c r="D455" t="s">
        <v>1806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>
        <v>6</v>
      </c>
      <c r="K455" s="2" t="s">
        <v>478</v>
      </c>
      <c r="L455">
        <f>_xlfn.XLOOKUP("LOADINGSPEEDDEF_"&amp;PROPERTIES[[#This Row],[LOADINGSPEED]],LOADINGSPEEDDEF[TYPE],LOADINGSPEEDDEF[SPEED])</f>
        <v>16</v>
      </c>
      <c r="M455">
        <v>45</v>
      </c>
      <c r="N455"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>
        <v>25</v>
      </c>
      <c r="W455" s="9">
        <v>69</v>
      </c>
      <c r="X455" s="9">
        <v>6</v>
      </c>
      <c r="Y455" s="10">
        <v>0</v>
      </c>
      <c r="Z455" t="s">
        <v>910</v>
      </c>
      <c r="AA455" t="s">
        <v>903</v>
      </c>
      <c r="AB455" s="2" t="s">
        <v>921</v>
      </c>
      <c r="AC455" s="9" t="s">
        <v>993</v>
      </c>
      <c r="AD455" s="9" t="s">
        <v>994</v>
      </c>
      <c r="AE455" s="10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5" s="2" t="b">
        <v>0</v>
      </c>
      <c r="AY455"/>
      <c r="AZ455"/>
      <c r="BA455"/>
    </row>
    <row r="456" spans="1:53">
      <c r="A456" s="2" t="s">
        <v>481</v>
      </c>
      <c r="B456">
        <v>1952</v>
      </c>
      <c r="C456">
        <v>1</v>
      </c>
      <c r="D456" t="s">
        <v>1807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>
        <v>8</v>
      </c>
      <c r="K456" s="2" t="s">
        <v>478</v>
      </c>
      <c r="L456">
        <f>_xlfn.XLOOKUP("LOADINGSPEEDDEF_"&amp;PROPERTIES[[#This Row],[LOADINGSPEED]],LOADINGSPEEDDEF[TYPE],LOADINGSPEEDDEF[SPEED])</f>
        <v>16</v>
      </c>
      <c r="M456">
        <v>45</v>
      </c>
      <c r="N456"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>
        <v>25</v>
      </c>
      <c r="W456" s="9">
        <f>INT(108/3)</f>
        <v>36</v>
      </c>
      <c r="X456" s="9">
        <v>8</v>
      </c>
      <c r="Y456" s="10">
        <v>0</v>
      </c>
      <c r="Z456" t="s">
        <v>904</v>
      </c>
      <c r="AA456" t="s">
        <v>903</v>
      </c>
      <c r="AB456" s="2" t="s">
        <v>921</v>
      </c>
      <c r="AC456" s="9" t="s">
        <v>993</v>
      </c>
      <c r="AD456" s="9" t="s">
        <v>994</v>
      </c>
      <c r="AE456" s="10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G456" s="2" t="b">
        <v>0</v>
      </c>
      <c r="AY456"/>
      <c r="AZ456"/>
      <c r="BA456"/>
    </row>
    <row r="457" spans="1:53">
      <c r="A457" s="2" t="s">
        <v>482</v>
      </c>
      <c r="B457">
        <v>1955</v>
      </c>
      <c r="C457">
        <v>1</v>
      </c>
      <c r="D457" t="s">
        <v>1763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>
        <v>8</v>
      </c>
      <c r="K457" s="2" t="s">
        <v>478</v>
      </c>
      <c r="L457">
        <f>_xlfn.XLOOKUP("LOADINGSPEEDDEF_"&amp;PROPERTIES[[#This Row],[LOADINGSPEED]],LOADINGSPEEDDEF[TYPE],LOADINGSPEEDDEF[SPEED])</f>
        <v>16</v>
      </c>
      <c r="M457">
        <v>45</v>
      </c>
      <c r="N457"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>
        <v>25</v>
      </c>
      <c r="W457" s="9">
        <v>80</v>
      </c>
      <c r="X457" s="9">
        <v>8</v>
      </c>
      <c r="Y457" s="10">
        <v>0</v>
      </c>
      <c r="Z457" t="s">
        <v>906</v>
      </c>
      <c r="AA457" t="s">
        <v>903</v>
      </c>
      <c r="AB457" s="2" t="s">
        <v>921</v>
      </c>
      <c r="AC457" s="9" t="s">
        <v>993</v>
      </c>
      <c r="AD457" s="9" t="s">
        <v>994</v>
      </c>
      <c r="AE457" s="10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7" s="2" t="b">
        <v>0</v>
      </c>
      <c r="AY457"/>
      <c r="AZ457"/>
      <c r="BA457"/>
    </row>
    <row r="458" spans="1:53">
      <c r="A458" s="2" t="s">
        <v>483</v>
      </c>
      <c r="B458">
        <v>1957</v>
      </c>
      <c r="C458">
        <v>1</v>
      </c>
      <c r="D458" t="s">
        <v>1807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>
        <v>8</v>
      </c>
      <c r="K458" s="2" t="s">
        <v>478</v>
      </c>
      <c r="L458">
        <f>_xlfn.XLOOKUP("LOADINGSPEEDDEF_"&amp;PROPERTIES[[#This Row],[LOADINGSPEED]],LOADINGSPEEDDEF[TYPE],LOADINGSPEEDDEF[SPEED])</f>
        <v>16</v>
      </c>
      <c r="M458">
        <v>45</v>
      </c>
      <c r="N458"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>
        <v>25</v>
      </c>
      <c r="W458" s="9">
        <v>34</v>
      </c>
      <c r="X458" s="9">
        <v>8</v>
      </c>
      <c r="Y458" s="10">
        <v>0</v>
      </c>
      <c r="Z458" t="s">
        <v>904</v>
      </c>
      <c r="AA458" t="s">
        <v>903</v>
      </c>
      <c r="AB458" s="2" t="s">
        <v>921</v>
      </c>
      <c r="AC458" s="9" t="s">
        <v>993</v>
      </c>
      <c r="AD458" s="9" t="s">
        <v>994</v>
      </c>
      <c r="AE458" s="10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58" s="2" t="b">
        <v>0</v>
      </c>
      <c r="AY458"/>
      <c r="AZ458"/>
      <c r="BA458"/>
    </row>
    <row r="459" spans="1:53">
      <c r="A459" s="2" t="s">
        <v>484</v>
      </c>
      <c r="B459">
        <v>1960</v>
      </c>
      <c r="C459">
        <v>1</v>
      </c>
      <c r="D459" t="s">
        <v>1915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>
        <v>8</v>
      </c>
      <c r="K459" s="2" t="s">
        <v>23</v>
      </c>
      <c r="L459">
        <f>_xlfn.XLOOKUP("LOADINGSPEEDDEF_"&amp;PROPERTIES[[#This Row],[LOADINGSPEED]],LOADINGSPEEDDEF[TYPE],LOADINGSPEEDDEF[SPEED])</f>
        <v>40</v>
      </c>
      <c r="M459">
        <v>45</v>
      </c>
      <c r="N459"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>
        <v>25</v>
      </c>
      <c r="W459" s="9">
        <f>INT((168+24)/2)</f>
        <v>96</v>
      </c>
      <c r="X459" s="9">
        <v>8</v>
      </c>
      <c r="Y459" s="10">
        <v>0</v>
      </c>
      <c r="Z459" t="s">
        <v>904</v>
      </c>
      <c r="AA459" t="s">
        <v>903</v>
      </c>
      <c r="AB459" s="2" t="s">
        <v>921</v>
      </c>
      <c r="AC459" s="9" t="s">
        <v>993</v>
      </c>
      <c r="AD459" s="9" t="s">
        <v>994</v>
      </c>
      <c r="AE459" s="10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9" s="2" t="b">
        <v>0</v>
      </c>
      <c r="AY459"/>
      <c r="AZ459"/>
      <c r="BA459"/>
    </row>
    <row r="460" spans="1:53">
      <c r="A460" s="2" t="s">
        <v>485</v>
      </c>
      <c r="B460">
        <v>1967</v>
      </c>
      <c r="C460">
        <v>1</v>
      </c>
      <c r="D460" t="s">
        <v>1788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>
        <v>8</v>
      </c>
      <c r="K460" s="2" t="s">
        <v>478</v>
      </c>
      <c r="L460">
        <f>_xlfn.XLOOKUP("LOADINGSPEEDDEF_"&amp;PROPERTIES[[#This Row],[LOADINGSPEED]],LOADINGSPEEDDEF[TYPE],LOADINGSPEEDDEF[SPEED])</f>
        <v>16</v>
      </c>
      <c r="M460">
        <v>45</v>
      </c>
      <c r="N460"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>
        <v>25</v>
      </c>
      <c r="W460" s="9">
        <f>INT((322-(PROPERTIES[[#This Row],[HEAD_CAPACITY]]*2))/5)</f>
        <v>46</v>
      </c>
      <c r="X460" s="9">
        <v>8</v>
      </c>
      <c r="Y460" s="10">
        <v>50</v>
      </c>
      <c r="Z460" t="s">
        <v>909</v>
      </c>
      <c r="AA460" t="s">
        <v>903</v>
      </c>
      <c r="AB460" s="2" t="s">
        <v>921</v>
      </c>
      <c r="AC460" s="9" t="s">
        <v>993</v>
      </c>
      <c r="AD460" s="9" t="s">
        <v>994</v>
      </c>
      <c r="AE460" s="10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0" s="2" t="b">
        <v>1</v>
      </c>
      <c r="AY460"/>
      <c r="AZ460"/>
      <c r="BA460"/>
    </row>
    <row r="461" spans="1:53">
      <c r="A461" s="2" t="s">
        <v>486</v>
      </c>
      <c r="B461">
        <v>1974</v>
      </c>
      <c r="C461">
        <v>1</v>
      </c>
      <c r="D461" t="s">
        <v>1939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>
        <v>8</v>
      </c>
      <c r="K461" s="2" t="s">
        <v>23</v>
      </c>
      <c r="L461">
        <f>_xlfn.XLOOKUP("LOADINGSPEEDDEF_"&amp;PROPERTIES[[#This Row],[LOADINGSPEED]],LOADINGSPEEDDEF[TYPE],LOADINGSPEEDDEF[SPEED])</f>
        <v>40</v>
      </c>
      <c r="M461">
        <v>45</v>
      </c>
      <c r="N461"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>
        <v>20</v>
      </c>
      <c r="W461" s="9">
        <v>38</v>
      </c>
      <c r="X461" s="9">
        <v>8</v>
      </c>
      <c r="Y461" s="10">
        <v>0</v>
      </c>
      <c r="Z461" t="s">
        <v>910</v>
      </c>
      <c r="AA461" t="s">
        <v>903</v>
      </c>
      <c r="AB461" s="2" t="s">
        <v>921</v>
      </c>
      <c r="AC461" s="9" t="s">
        <v>993</v>
      </c>
      <c r="AD461" s="9" t="s">
        <v>994</v>
      </c>
      <c r="AE461" s="10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1" s="2" t="b">
        <v>0</v>
      </c>
      <c r="AY461"/>
      <c r="AZ461"/>
      <c r="BA461"/>
    </row>
    <row r="462" spans="1:53">
      <c r="A462" s="2" t="s">
        <v>487</v>
      </c>
      <c r="B462">
        <v>1976</v>
      </c>
      <c r="C462">
        <v>1</v>
      </c>
      <c r="D462" t="s">
        <v>1826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>
        <v>8</v>
      </c>
      <c r="K462" s="2" t="s">
        <v>478</v>
      </c>
      <c r="L462">
        <f>_xlfn.XLOOKUP("LOADINGSPEEDDEF_"&amp;PROPERTIES[[#This Row],[LOADINGSPEED]],LOADINGSPEEDDEF[TYPE],LOADINGSPEEDDEF[SPEED])</f>
        <v>16</v>
      </c>
      <c r="M462">
        <v>45</v>
      </c>
      <c r="N462"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>
        <v>25</v>
      </c>
      <c r="W462" s="9">
        <v>74</v>
      </c>
      <c r="X462" s="9">
        <v>8</v>
      </c>
      <c r="Y462" s="10">
        <v>0</v>
      </c>
      <c r="Z462" t="s">
        <v>908</v>
      </c>
      <c r="AA462" t="s">
        <v>903</v>
      </c>
      <c r="AB462" s="2" t="s">
        <v>921</v>
      </c>
      <c r="AC462" s="9" t="s">
        <v>993</v>
      </c>
      <c r="AD462" s="9" t="s">
        <v>994</v>
      </c>
      <c r="AE462" s="10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62" s="2" t="b">
        <v>0</v>
      </c>
      <c r="AY462"/>
      <c r="AZ462"/>
      <c r="BA462"/>
    </row>
    <row r="463" spans="1:53">
      <c r="A463" s="2" t="s">
        <v>488</v>
      </c>
      <c r="B463">
        <v>1980</v>
      </c>
      <c r="C463">
        <v>1</v>
      </c>
      <c r="D463" t="s">
        <v>1788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>
        <v>8</v>
      </c>
      <c r="K463" s="2" t="s">
        <v>478</v>
      </c>
      <c r="L463">
        <f>_xlfn.XLOOKUP("LOADINGSPEEDDEF_"&amp;PROPERTIES[[#This Row],[LOADINGSPEED]],LOADINGSPEEDDEF[TYPE],LOADINGSPEEDDEF[SPEED])</f>
        <v>16</v>
      </c>
      <c r="M463">
        <v>45</v>
      </c>
      <c r="N463"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>
        <v>25</v>
      </c>
      <c r="W463" s="9">
        <v>68</v>
      </c>
      <c r="X463" s="9">
        <v>8</v>
      </c>
      <c r="Y463" s="10">
        <v>55</v>
      </c>
      <c r="Z463" t="s">
        <v>909</v>
      </c>
      <c r="AA463" t="s">
        <v>903</v>
      </c>
      <c r="AB463" s="2" t="s">
        <v>921</v>
      </c>
      <c r="AC463" s="9" t="s">
        <v>993</v>
      </c>
      <c r="AD463" s="9" t="s">
        <v>994</v>
      </c>
      <c r="AE463" s="10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63" s="2" t="b">
        <v>0</v>
      </c>
      <c r="AY463"/>
      <c r="AZ463"/>
      <c r="BA463"/>
    </row>
    <row r="464" spans="1:53">
      <c r="A464" s="2" t="s">
        <v>489</v>
      </c>
      <c r="B464">
        <v>1990</v>
      </c>
      <c r="C464">
        <v>1</v>
      </c>
      <c r="D464" t="s">
        <v>1946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>
        <v>8</v>
      </c>
      <c r="K464" s="2" t="s">
        <v>478</v>
      </c>
      <c r="L464">
        <f>_xlfn.XLOOKUP("LOADINGSPEEDDEF_"&amp;PROPERTIES[[#This Row],[LOADINGSPEED]],LOADINGSPEEDDEF[TYPE],LOADINGSPEEDDEF[SPEED])</f>
        <v>16</v>
      </c>
      <c r="M464" t="s">
        <v>20</v>
      </c>
      <c r="N464"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>
        <v>25</v>
      </c>
      <c r="W464" s="9">
        <v>48</v>
      </c>
      <c r="X464" s="9">
        <v>8</v>
      </c>
      <c r="Y464" s="10">
        <v>0</v>
      </c>
      <c r="Z464" t="s">
        <v>908</v>
      </c>
      <c r="AA464" t="s">
        <v>903</v>
      </c>
      <c r="AB464" s="2" t="s">
        <v>921</v>
      </c>
      <c r="AC464" s="9" t="s">
        <v>993</v>
      </c>
      <c r="AD464" s="9" t="s">
        <v>994</v>
      </c>
      <c r="AE464" s="10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4" s="2" t="b">
        <v>0</v>
      </c>
      <c r="AY464"/>
      <c r="AZ464"/>
      <c r="BA464"/>
    </row>
    <row r="465" spans="1:53">
      <c r="A465" s="2" t="s">
        <v>490</v>
      </c>
      <c r="B465">
        <v>1997</v>
      </c>
      <c r="C465">
        <v>1</v>
      </c>
      <c r="D465" t="s">
        <v>1818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>
        <v>8</v>
      </c>
      <c r="K465" s="2" t="s">
        <v>23</v>
      </c>
      <c r="L465">
        <f>_xlfn.XLOOKUP("LOADINGSPEEDDEF_"&amp;PROPERTIES[[#This Row],[LOADINGSPEED]],LOADINGSPEEDDEF[TYPE],LOADINGSPEEDDEF[SPEED])</f>
        <v>40</v>
      </c>
      <c r="M465">
        <v>45</v>
      </c>
      <c r="N465"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>
        <v>20</v>
      </c>
      <c r="W465" s="9">
        <f>126/3</f>
        <v>42</v>
      </c>
      <c r="X465" s="9">
        <v>8</v>
      </c>
      <c r="Y465" s="10">
        <v>0</v>
      </c>
      <c r="Z465" t="s">
        <v>905</v>
      </c>
      <c r="AA465" t="s">
        <v>903</v>
      </c>
      <c r="AB465" s="2" t="s">
        <v>921</v>
      </c>
      <c r="AC465" s="9" t="s">
        <v>993</v>
      </c>
      <c r="AD465" s="9" t="s">
        <v>994</v>
      </c>
      <c r="AE465" s="10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5" s="2" t="b">
        <v>0</v>
      </c>
      <c r="AY465"/>
      <c r="AZ465"/>
      <c r="BA465"/>
    </row>
    <row r="466" spans="1:53">
      <c r="A466" s="2" t="s">
        <v>491</v>
      </c>
      <c r="B466">
        <v>1997</v>
      </c>
      <c r="C466">
        <v>1</v>
      </c>
      <c r="D466" t="s">
        <v>1826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>
        <v>8</v>
      </c>
      <c r="K466" s="2" t="s">
        <v>23</v>
      </c>
      <c r="L466">
        <f>_xlfn.XLOOKUP("LOADINGSPEEDDEF_"&amp;PROPERTIES[[#This Row],[LOADINGSPEED]],LOADINGSPEEDDEF[TYPE],LOADINGSPEEDDEF[SPEED])</f>
        <v>40</v>
      </c>
      <c r="M466">
        <v>45</v>
      </c>
      <c r="N466"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>
        <v>20</v>
      </c>
      <c r="W466" s="9">
        <f>INT(204/3)</f>
        <v>68</v>
      </c>
      <c r="X466" s="9">
        <v>8</v>
      </c>
      <c r="Y466" s="10">
        <v>52</v>
      </c>
      <c r="Z466" t="s">
        <v>908</v>
      </c>
      <c r="AA466" t="s">
        <v>903</v>
      </c>
      <c r="AB466" s="2" t="s">
        <v>921</v>
      </c>
      <c r="AC466" s="9" t="s">
        <v>993</v>
      </c>
      <c r="AD466" s="9" t="s">
        <v>994</v>
      </c>
      <c r="AE466" s="10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6" s="2" t="b">
        <v>0</v>
      </c>
      <c r="AY466"/>
      <c r="AZ466"/>
      <c r="BA466"/>
    </row>
    <row r="467" spans="1:53">
      <c r="A467" s="2" t="s">
        <v>492</v>
      </c>
      <c r="B467">
        <v>1998</v>
      </c>
      <c r="C467">
        <v>1</v>
      </c>
      <c r="D467" t="s">
        <v>1807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>
        <v>8</v>
      </c>
      <c r="K467" s="2" t="s">
        <v>23</v>
      </c>
      <c r="L467">
        <f>_xlfn.XLOOKUP("LOADINGSPEEDDEF_"&amp;PROPERTIES[[#This Row],[LOADINGSPEED]],LOADINGSPEEDDEF[TYPE],LOADINGSPEEDDEF[SPEED])</f>
        <v>40</v>
      </c>
      <c r="M467">
        <v>45</v>
      </c>
      <c r="N467"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>
        <v>20</v>
      </c>
      <c r="W467" s="9">
        <v>73</v>
      </c>
      <c r="X467" s="9">
        <v>8</v>
      </c>
      <c r="Y467" s="10">
        <v>0</v>
      </c>
      <c r="Z467" t="s">
        <v>904</v>
      </c>
      <c r="AA467" t="s">
        <v>903</v>
      </c>
      <c r="AB467" s="2" t="s">
        <v>921</v>
      </c>
      <c r="AC467" s="9" t="s">
        <v>993</v>
      </c>
      <c r="AD467" s="9" t="s">
        <v>994</v>
      </c>
      <c r="AE467" s="10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7" s="2" t="b">
        <v>0</v>
      </c>
      <c r="AY467"/>
      <c r="AZ467"/>
      <c r="BA467"/>
    </row>
    <row r="468" spans="1:53">
      <c r="A468" s="2" t="s">
        <v>493</v>
      </c>
      <c r="B468">
        <v>2000</v>
      </c>
      <c r="C468">
        <v>1</v>
      </c>
      <c r="D468" t="s">
        <v>1807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>
        <v>8</v>
      </c>
      <c r="K468" s="2" t="s">
        <v>23</v>
      </c>
      <c r="L468">
        <f>_xlfn.XLOOKUP("LOADINGSPEEDDEF_"&amp;PROPERTIES[[#This Row],[LOADINGSPEED]],LOADINGSPEEDDEF[TYPE],LOADINGSPEEDDEF[SPEED])</f>
        <v>40</v>
      </c>
      <c r="M468" t="s">
        <v>20</v>
      </c>
      <c r="N468"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>
        <v>25</v>
      </c>
      <c r="W468" s="9">
        <f>PROPERTIES[[#This Row],[HEAD_CAPACITY]]</f>
        <v>104</v>
      </c>
      <c r="X468" s="9">
        <v>8</v>
      </c>
      <c r="Y468" s="10">
        <v>0</v>
      </c>
      <c r="Z468" t="s">
        <v>904</v>
      </c>
      <c r="AA468" t="s">
        <v>903</v>
      </c>
      <c r="AB468" s="2" t="s">
        <v>921</v>
      </c>
      <c r="AC468" s="9" t="s">
        <v>993</v>
      </c>
      <c r="AD468" s="9" t="s">
        <v>994</v>
      </c>
      <c r="AE468" s="10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8" s="2" t="b">
        <v>0</v>
      </c>
      <c r="AY468"/>
      <c r="AZ468"/>
      <c r="BA468"/>
    </row>
    <row r="469" spans="1:53">
      <c r="A469" s="2" t="s">
        <v>494</v>
      </c>
      <c r="B469">
        <v>2001</v>
      </c>
      <c r="C469">
        <v>1</v>
      </c>
      <c r="D469" t="s">
        <v>1809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>
        <v>8</v>
      </c>
      <c r="K469" s="2" t="s">
        <v>23</v>
      </c>
      <c r="L469">
        <f>_xlfn.XLOOKUP("LOADINGSPEEDDEF_"&amp;PROPERTIES[[#This Row],[LOADINGSPEED]],LOADINGSPEEDDEF[TYPE],LOADINGSPEEDDEF[SPEED])</f>
        <v>40</v>
      </c>
      <c r="M469" t="s">
        <v>20</v>
      </c>
      <c r="N469"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>
        <v>20</v>
      </c>
      <c r="W469" s="9">
        <f>PROPERTIES[[#This Row],[HEAD_CAPACITY]]</f>
        <v>137</v>
      </c>
      <c r="X469" s="9">
        <v>8</v>
      </c>
      <c r="Y469" s="10">
        <v>0</v>
      </c>
      <c r="Z469" t="s">
        <v>908</v>
      </c>
      <c r="AA469" t="s">
        <v>903</v>
      </c>
      <c r="AB469" s="2" t="s">
        <v>921</v>
      </c>
      <c r="AC469" s="9" t="s">
        <v>993</v>
      </c>
      <c r="AD469" s="9" t="s">
        <v>994</v>
      </c>
      <c r="AE469" s="10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9" s="2" t="b">
        <v>0</v>
      </c>
      <c r="AY469"/>
      <c r="AZ469"/>
      <c r="BA469"/>
    </row>
    <row r="470" spans="1:53">
      <c r="A470" s="2" t="s">
        <v>495</v>
      </c>
      <c r="B470">
        <v>2001</v>
      </c>
      <c r="C470">
        <v>1</v>
      </c>
      <c r="D470" t="s">
        <v>1916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>
        <v>8</v>
      </c>
      <c r="K470" s="2" t="s">
        <v>23</v>
      </c>
      <c r="L470">
        <f>_xlfn.XLOOKUP("LOADINGSPEEDDEF_"&amp;PROPERTIES[[#This Row],[LOADINGSPEED]],LOADINGSPEEDDEF[TYPE],LOADINGSPEEDDEF[SPEED])</f>
        <v>40</v>
      </c>
      <c r="M470">
        <v>45</v>
      </c>
      <c r="N470"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>
        <v>20</v>
      </c>
      <c r="W470" s="9">
        <f>76/2</f>
        <v>38</v>
      </c>
      <c r="X470" s="9">
        <v>8</v>
      </c>
      <c r="Y470" s="10">
        <v>0</v>
      </c>
      <c r="Z470" t="s">
        <v>908</v>
      </c>
      <c r="AA470" t="s">
        <v>903</v>
      </c>
      <c r="AB470" s="2" t="s">
        <v>921</v>
      </c>
      <c r="AC470" s="9" t="s">
        <v>993</v>
      </c>
      <c r="AD470" s="9" t="s">
        <v>994</v>
      </c>
      <c r="AE470" s="10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0" s="2" t="b">
        <v>0</v>
      </c>
      <c r="AY470"/>
      <c r="AZ470"/>
      <c r="BA470"/>
    </row>
    <row r="471" spans="1:53">
      <c r="A471" s="2" t="s">
        <v>496</v>
      </c>
      <c r="B471">
        <v>2004</v>
      </c>
      <c r="C471">
        <v>1</v>
      </c>
      <c r="D471" t="s">
        <v>1763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>
        <v>8</v>
      </c>
      <c r="K471" s="2" t="s">
        <v>478</v>
      </c>
      <c r="L471">
        <f>_xlfn.XLOOKUP("LOADINGSPEEDDEF_"&amp;PROPERTIES[[#This Row],[LOADINGSPEED]],LOADINGSPEEDDEF[TYPE],LOADINGSPEEDDEF[SPEED])</f>
        <v>16</v>
      </c>
      <c r="M471" t="s">
        <v>20</v>
      </c>
      <c r="N471"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>
        <v>25</v>
      </c>
      <c r="W471" s="9">
        <v>68</v>
      </c>
      <c r="X471" s="9">
        <v>8</v>
      </c>
      <c r="Y471" s="10">
        <v>0</v>
      </c>
      <c r="Z471" t="s">
        <v>906</v>
      </c>
      <c r="AA471" t="s">
        <v>903</v>
      </c>
      <c r="AB471" s="2" t="s">
        <v>921</v>
      </c>
      <c r="AC471" s="9" t="s">
        <v>993</v>
      </c>
      <c r="AD471" s="9" t="s">
        <v>994</v>
      </c>
      <c r="AE471" s="10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1" s="2" t="b">
        <v>0</v>
      </c>
      <c r="AY471"/>
      <c r="AZ471"/>
      <c r="BA471"/>
    </row>
    <row r="472" spans="1:53">
      <c r="A472" s="2" t="s">
        <v>497</v>
      </c>
      <c r="B472">
        <v>2006</v>
      </c>
      <c r="C472">
        <v>1</v>
      </c>
      <c r="D472" t="s">
        <v>1763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>
        <v>8</v>
      </c>
      <c r="K472" s="2" t="s">
        <v>23</v>
      </c>
      <c r="L472">
        <f>_xlfn.XLOOKUP("LOADINGSPEEDDEF_"&amp;PROPERTIES[[#This Row],[LOADINGSPEED]],LOADINGSPEEDDEF[TYPE],LOADINGSPEEDDEF[SPEED])</f>
        <v>40</v>
      </c>
      <c r="M472" t="s">
        <v>20</v>
      </c>
      <c r="N472"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>
        <v>25</v>
      </c>
      <c r="W472" s="9">
        <v>70</v>
      </c>
      <c r="X472" s="9">
        <v>8</v>
      </c>
      <c r="Y472" s="10">
        <v>0</v>
      </c>
      <c r="Z472" t="s">
        <v>906</v>
      </c>
      <c r="AA472" t="s">
        <v>903</v>
      </c>
      <c r="AB472" s="2" t="s">
        <v>921</v>
      </c>
      <c r="AC472" s="9" t="s">
        <v>993</v>
      </c>
      <c r="AD472" s="9" t="s">
        <v>994</v>
      </c>
      <c r="AE472" s="10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2" s="2" t="b">
        <v>0</v>
      </c>
      <c r="AY472"/>
      <c r="AZ472"/>
      <c r="BA472"/>
    </row>
    <row r="473" spans="1:53">
      <c r="A473" s="2" t="s">
        <v>498</v>
      </c>
      <c r="B473">
        <v>2006</v>
      </c>
      <c r="C473">
        <v>1</v>
      </c>
      <c r="D473" t="s">
        <v>1940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>
        <v>8</v>
      </c>
      <c r="K473" s="2" t="s">
        <v>23</v>
      </c>
      <c r="L473">
        <f>_xlfn.XLOOKUP("LOADINGSPEEDDEF_"&amp;PROPERTIES[[#This Row],[LOADINGSPEED]],LOADINGSPEEDDEF[TYPE],LOADINGSPEEDDEF[SPEED])</f>
        <v>40</v>
      </c>
      <c r="M473" t="s">
        <v>20</v>
      </c>
      <c r="N473"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>
        <v>25</v>
      </c>
      <c r="W473" s="9">
        <v>86</v>
      </c>
      <c r="X473" s="9">
        <v>8</v>
      </c>
      <c r="Y473" s="10">
        <v>0</v>
      </c>
      <c r="Z473" t="s">
        <v>912</v>
      </c>
      <c r="AA473" t="s">
        <v>903</v>
      </c>
      <c r="AB473" s="2" t="s">
        <v>921</v>
      </c>
      <c r="AC473" s="9" t="s">
        <v>993</v>
      </c>
      <c r="AD473" s="9" t="s">
        <v>994</v>
      </c>
      <c r="AE473" s="10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3" s="2" t="b">
        <v>0</v>
      </c>
      <c r="AY473"/>
      <c r="AZ473"/>
      <c r="BA473"/>
    </row>
    <row r="474" spans="1:53">
      <c r="A474" s="2" t="s">
        <v>499</v>
      </c>
      <c r="B474">
        <v>2007</v>
      </c>
      <c r="C474">
        <v>1</v>
      </c>
      <c r="D474" t="s">
        <v>1809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>
        <v>8</v>
      </c>
      <c r="K474" s="2" t="s">
        <v>478</v>
      </c>
      <c r="L474">
        <f>_xlfn.XLOOKUP("LOADINGSPEEDDEF_"&amp;PROPERTIES[[#This Row],[LOADINGSPEED]],LOADINGSPEEDDEF[TYPE],LOADINGSPEEDDEF[SPEED])</f>
        <v>16</v>
      </c>
      <c r="M474" t="s">
        <v>20</v>
      </c>
      <c r="N474"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>
        <v>25</v>
      </c>
      <c r="W474" s="9">
        <v>52</v>
      </c>
      <c r="X474" s="9">
        <v>8</v>
      </c>
      <c r="Y474" s="10">
        <v>0</v>
      </c>
      <c r="Z474" t="s">
        <v>908</v>
      </c>
      <c r="AA474" t="s">
        <v>903</v>
      </c>
      <c r="AB474" s="2" t="s">
        <v>921</v>
      </c>
      <c r="AC474" s="9" t="s">
        <v>993</v>
      </c>
      <c r="AD474" s="9" t="s">
        <v>994</v>
      </c>
      <c r="AE474" s="10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4" s="2" t="b">
        <v>0</v>
      </c>
      <c r="AY474"/>
      <c r="AZ474"/>
      <c r="BA474"/>
    </row>
    <row r="475" spans="1:53">
      <c r="A475" s="2" t="s">
        <v>500</v>
      </c>
      <c r="B475">
        <v>2011</v>
      </c>
      <c r="C475">
        <v>1</v>
      </c>
      <c r="D475" t="s">
        <v>1847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>
        <v>8</v>
      </c>
      <c r="K475" s="2" t="s">
        <v>478</v>
      </c>
      <c r="L475">
        <f>_xlfn.XLOOKUP("LOADINGSPEEDDEF_"&amp;PROPERTIES[[#This Row],[LOADINGSPEED]],LOADINGSPEEDDEF[TYPE],LOADINGSPEEDDEF[SPEED])</f>
        <v>16</v>
      </c>
      <c r="M475" t="s">
        <v>20</v>
      </c>
      <c r="N475"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>
        <v>25</v>
      </c>
      <c r="W475" s="9">
        <v>66</v>
      </c>
      <c r="X475" s="9">
        <v>8</v>
      </c>
      <c r="Y475" s="10">
        <v>0</v>
      </c>
      <c r="Z475" t="s">
        <v>910</v>
      </c>
      <c r="AA475" t="s">
        <v>903</v>
      </c>
      <c r="AB475" s="2" t="s">
        <v>921</v>
      </c>
      <c r="AC475" s="9" t="s">
        <v>993</v>
      </c>
      <c r="AD475" s="9" t="s">
        <v>994</v>
      </c>
      <c r="AE475" s="10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5" s="2" t="b">
        <v>0</v>
      </c>
      <c r="AY475"/>
      <c r="AZ475"/>
      <c r="BA475"/>
    </row>
    <row r="476" spans="1:53">
      <c r="A476" s="2" t="s">
        <v>501</v>
      </c>
      <c r="B476">
        <v>1961</v>
      </c>
      <c r="C476">
        <v>1</v>
      </c>
      <c r="D476" t="s">
        <v>2252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>
        <v>8</v>
      </c>
      <c r="K476" s="2" t="s">
        <v>23</v>
      </c>
      <c r="L476">
        <f>_xlfn.XLOOKUP("LOADINGSPEEDDEF_"&amp;PROPERTIES[[#This Row],[LOADINGSPEED]],LOADINGSPEEDDEF[TYPE],LOADINGSPEEDDEF[SPEED])</f>
        <v>40</v>
      </c>
      <c r="M476">
        <v>45</v>
      </c>
      <c r="N476"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>
        <v>20</v>
      </c>
      <c r="W476" s="9">
        <v>66</v>
      </c>
      <c r="X476" s="9">
        <v>8</v>
      </c>
      <c r="Y476" s="10">
        <v>0</v>
      </c>
      <c r="Z476" t="s">
        <v>912</v>
      </c>
      <c r="AA476" t="s">
        <v>903</v>
      </c>
      <c r="AB476" s="2" t="s">
        <v>921</v>
      </c>
      <c r="AC476" s="9" t="s">
        <v>993</v>
      </c>
      <c r="AD476" s="9" t="s">
        <v>994</v>
      </c>
      <c r="AE476" s="10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6" s="2" t="b">
        <v>0</v>
      </c>
      <c r="AY476"/>
      <c r="AZ476"/>
      <c r="BA476"/>
    </row>
    <row r="477" spans="1:53">
      <c r="A477" s="2" t="s">
        <v>502</v>
      </c>
      <c r="B477">
        <v>1968</v>
      </c>
      <c r="C477">
        <v>1</v>
      </c>
      <c r="D477" t="s">
        <v>1863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>
        <v>8</v>
      </c>
      <c r="K477" s="2" t="s">
        <v>23</v>
      </c>
      <c r="L477">
        <f>_xlfn.XLOOKUP("LOADINGSPEEDDEF_"&amp;PROPERTIES[[#This Row],[LOADINGSPEED]],LOADINGSPEEDDEF[TYPE],LOADINGSPEEDDEF[SPEED])</f>
        <v>40</v>
      </c>
      <c r="M477">
        <v>45</v>
      </c>
      <c r="N477"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>
        <v>20</v>
      </c>
      <c r="W477" s="9">
        <v>76</v>
      </c>
      <c r="X477" s="9">
        <v>8</v>
      </c>
      <c r="Y477" s="10">
        <v>0</v>
      </c>
      <c r="Z477" t="s">
        <v>912</v>
      </c>
      <c r="AA477" t="s">
        <v>903</v>
      </c>
      <c r="AB477" s="2" t="s">
        <v>921</v>
      </c>
      <c r="AC477" s="9" t="s">
        <v>993</v>
      </c>
      <c r="AD477" s="9" t="s">
        <v>994</v>
      </c>
      <c r="AE477" s="10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7" s="2" t="b">
        <v>0</v>
      </c>
      <c r="AY477"/>
      <c r="AZ477"/>
      <c r="BA477"/>
    </row>
    <row r="478" spans="1:53">
      <c r="A478" s="2" t="s">
        <v>503</v>
      </c>
      <c r="B478">
        <v>1973</v>
      </c>
      <c r="C478">
        <v>1</v>
      </c>
      <c r="D478" t="s">
        <v>1806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>
        <v>6</v>
      </c>
      <c r="K478" s="2" t="s">
        <v>23</v>
      </c>
      <c r="L478">
        <f>_xlfn.XLOOKUP("LOADINGSPEEDDEF_"&amp;PROPERTIES[[#This Row],[LOADINGSPEED]],LOADINGSPEEDDEF[TYPE],LOADINGSPEEDDEF[SPEED])</f>
        <v>40</v>
      </c>
      <c r="M478">
        <v>45</v>
      </c>
      <c r="N478"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>
        <v>20</v>
      </c>
      <c r="W478" s="9">
        <f>INT((135+151)/3)</f>
        <v>95</v>
      </c>
      <c r="X478" s="9">
        <v>6</v>
      </c>
      <c r="Y478" s="10">
        <v>0</v>
      </c>
      <c r="Z478" t="s">
        <v>910</v>
      </c>
      <c r="AA478" t="s">
        <v>903</v>
      </c>
      <c r="AB478" s="2" t="s">
        <v>921</v>
      </c>
      <c r="AC478" s="9" t="s">
        <v>993</v>
      </c>
      <c r="AD478" s="9" t="s">
        <v>994</v>
      </c>
      <c r="AE478" s="10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8" s="2" t="b">
        <v>0</v>
      </c>
      <c r="AY478"/>
      <c r="AZ478"/>
      <c r="BA478"/>
    </row>
    <row r="479" spans="1:53">
      <c r="A479" s="2" t="s">
        <v>504</v>
      </c>
      <c r="B479">
        <v>1984</v>
      </c>
      <c r="C479">
        <v>1</v>
      </c>
      <c r="D479" t="s">
        <v>1826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>
        <v>7</v>
      </c>
      <c r="K479" s="2" t="s">
        <v>23</v>
      </c>
      <c r="L479">
        <f>_xlfn.XLOOKUP("LOADINGSPEEDDEF_"&amp;PROPERTIES[[#This Row],[LOADINGSPEED]],LOADINGSPEEDDEF[TYPE],LOADINGSPEEDDEF[SPEED])</f>
        <v>40</v>
      </c>
      <c r="M479">
        <v>45</v>
      </c>
      <c r="N479"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>
        <v>20</v>
      </c>
      <c r="W479" s="9">
        <v>80</v>
      </c>
      <c r="X479" s="9">
        <v>7</v>
      </c>
      <c r="Y479" s="10">
        <v>0</v>
      </c>
      <c r="Z479" t="s">
        <v>908</v>
      </c>
      <c r="AA479" t="s">
        <v>903</v>
      </c>
      <c r="AB479" s="2" t="s">
        <v>921</v>
      </c>
      <c r="AC479" s="9" t="s">
        <v>993</v>
      </c>
      <c r="AD479" s="9" t="s">
        <v>994</v>
      </c>
      <c r="AE479" s="10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9" s="2" t="b">
        <v>0</v>
      </c>
      <c r="AY479"/>
      <c r="AZ479"/>
      <c r="BA479"/>
    </row>
    <row r="480" spans="1:53">
      <c r="A480" s="2" t="s">
        <v>505</v>
      </c>
      <c r="B480">
        <v>1984</v>
      </c>
      <c r="C480">
        <v>1</v>
      </c>
      <c r="D480" t="s">
        <v>1857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>
        <v>6</v>
      </c>
      <c r="K480" s="2" t="s">
        <v>23</v>
      </c>
      <c r="L480">
        <f>_xlfn.XLOOKUP("LOADINGSPEEDDEF_"&amp;PROPERTIES[[#This Row],[LOADINGSPEED]],LOADINGSPEEDDEF[TYPE],LOADINGSPEEDDEF[SPEED])</f>
        <v>40</v>
      </c>
      <c r="M480">
        <v>45</v>
      </c>
      <c r="N480"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>
        <v>20</v>
      </c>
      <c r="W480" s="9">
        <v>47</v>
      </c>
      <c r="X480" s="9">
        <v>6</v>
      </c>
      <c r="Y480" s="10">
        <v>0</v>
      </c>
      <c r="Z480" t="s">
        <v>912</v>
      </c>
      <c r="AA480" t="s">
        <v>903</v>
      </c>
      <c r="AB480" s="2" t="s">
        <v>921</v>
      </c>
      <c r="AC480" s="9" t="s">
        <v>993</v>
      </c>
      <c r="AD480" s="9" t="s">
        <v>994</v>
      </c>
      <c r="AE480" s="10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0" s="2" t="b">
        <v>0</v>
      </c>
      <c r="AY480"/>
      <c r="AZ480"/>
      <c r="BA480"/>
    </row>
    <row r="481" spans="1:53">
      <c r="A481" s="2" t="s">
        <v>506</v>
      </c>
      <c r="B481">
        <v>1986</v>
      </c>
      <c r="C481">
        <v>1</v>
      </c>
      <c r="D481" t="s">
        <v>1852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>
        <v>8</v>
      </c>
      <c r="K481" s="2" t="s">
        <v>478</v>
      </c>
      <c r="L481">
        <f>_xlfn.XLOOKUP("LOADINGSPEEDDEF_"&amp;PROPERTIES[[#This Row],[LOADINGSPEED]],LOADINGSPEEDDEF[TYPE],LOADINGSPEEDDEF[SPEED])</f>
        <v>16</v>
      </c>
      <c r="M481" t="s">
        <v>20</v>
      </c>
      <c r="N481"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>
        <v>25</v>
      </c>
      <c r="W481" s="9">
        <v>48</v>
      </c>
      <c r="X481" s="9">
        <v>8</v>
      </c>
      <c r="Y481" s="10">
        <v>0</v>
      </c>
      <c r="Z481" t="s">
        <v>912</v>
      </c>
      <c r="AA481" t="s">
        <v>903</v>
      </c>
      <c r="AB481" s="2" t="s">
        <v>921</v>
      </c>
      <c r="AC481" s="9" t="s">
        <v>993</v>
      </c>
      <c r="AD481" s="9" t="s">
        <v>994</v>
      </c>
      <c r="AE481" s="10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81" s="2" t="b">
        <v>0</v>
      </c>
      <c r="AY481"/>
      <c r="AZ481"/>
      <c r="BA481"/>
    </row>
    <row r="482" spans="1:53">
      <c r="A482" s="2" t="s">
        <v>507</v>
      </c>
      <c r="B482">
        <v>1987</v>
      </c>
      <c r="C482">
        <v>1</v>
      </c>
      <c r="D482" t="s">
        <v>1763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>
        <v>7</v>
      </c>
      <c r="K482" s="2" t="s">
        <v>23</v>
      </c>
      <c r="L482">
        <f>_xlfn.XLOOKUP("LOADINGSPEEDDEF_"&amp;PROPERTIES[[#This Row],[LOADINGSPEED]],LOADINGSPEEDDEF[TYPE],LOADINGSPEEDDEF[SPEED])</f>
        <v>40</v>
      </c>
      <c r="M482">
        <v>45</v>
      </c>
      <c r="N482"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>
        <v>20</v>
      </c>
      <c r="W482" s="9">
        <v>53</v>
      </c>
      <c r="X482" s="9">
        <v>7</v>
      </c>
      <c r="Y482" s="10">
        <v>0</v>
      </c>
      <c r="Z482" t="s">
        <v>906</v>
      </c>
      <c r="AA482" t="s">
        <v>903</v>
      </c>
      <c r="AB482" s="2" t="s">
        <v>921</v>
      </c>
      <c r="AC482" s="9" t="s">
        <v>993</v>
      </c>
      <c r="AD482" s="9" t="s">
        <v>994</v>
      </c>
      <c r="AE482" s="10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2" s="2" t="b">
        <v>0</v>
      </c>
      <c r="AY482"/>
      <c r="AZ482"/>
      <c r="BA482"/>
    </row>
    <row r="483" spans="1:53">
      <c r="A483" s="2" t="s">
        <v>508</v>
      </c>
      <c r="B483">
        <v>1993</v>
      </c>
      <c r="C483">
        <v>1</v>
      </c>
      <c r="D483" t="s">
        <v>1763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>
        <v>8</v>
      </c>
      <c r="K483" s="2" t="s">
        <v>23</v>
      </c>
      <c r="L483">
        <f>_xlfn.XLOOKUP("LOADINGSPEEDDEF_"&amp;PROPERTIES[[#This Row],[LOADINGSPEED]],LOADINGSPEEDDEF[TYPE],LOADINGSPEEDDEF[SPEED])</f>
        <v>40</v>
      </c>
      <c r="M483">
        <v>45</v>
      </c>
      <c r="N483"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>
        <v>20</v>
      </c>
      <c r="W483" s="9">
        <v>66</v>
      </c>
      <c r="X483" s="9">
        <v>8</v>
      </c>
      <c r="Y483" s="10">
        <v>0</v>
      </c>
      <c r="Z483" t="s">
        <v>906</v>
      </c>
      <c r="AA483" t="s">
        <v>903</v>
      </c>
      <c r="AB483" s="2" t="s">
        <v>921</v>
      </c>
      <c r="AC483" s="9" t="s">
        <v>993</v>
      </c>
      <c r="AD483" s="9" t="s">
        <v>994</v>
      </c>
      <c r="AE483" s="10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3" s="2" t="b">
        <v>0</v>
      </c>
      <c r="AY483"/>
      <c r="AZ483"/>
      <c r="BA483"/>
    </row>
    <row r="484" spans="1:53">
      <c r="A484" s="2" t="s">
        <v>509</v>
      </c>
      <c r="B484">
        <v>2010</v>
      </c>
      <c r="C484">
        <v>1</v>
      </c>
      <c r="D484" t="s">
        <v>1863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>
        <v>7</v>
      </c>
      <c r="K484" s="2" t="s">
        <v>23</v>
      </c>
      <c r="L484">
        <f>_xlfn.XLOOKUP("LOADINGSPEEDDEF_"&amp;PROPERTIES[[#This Row],[LOADINGSPEED]],LOADINGSPEEDDEF[TYPE],LOADINGSPEEDDEF[SPEED])</f>
        <v>40</v>
      </c>
      <c r="M484" t="s">
        <v>20</v>
      </c>
      <c r="N484"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>
        <v>20</v>
      </c>
      <c r="W484" s="9">
        <v>56</v>
      </c>
      <c r="X484" s="9">
        <v>7</v>
      </c>
      <c r="Y484" s="10">
        <v>0</v>
      </c>
      <c r="Z484" t="s">
        <v>912</v>
      </c>
      <c r="AA484" t="s">
        <v>903</v>
      </c>
      <c r="AB484" s="2" t="s">
        <v>921</v>
      </c>
      <c r="AC484" s="9" t="s">
        <v>993</v>
      </c>
      <c r="AD484" s="9" t="s">
        <v>994</v>
      </c>
      <c r="AE484" s="10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4" s="2" t="b">
        <v>0</v>
      </c>
      <c r="AY484"/>
      <c r="AZ484"/>
      <c r="BA484"/>
    </row>
    <row r="485" spans="1:53">
      <c r="A485" s="2" t="s">
        <v>510</v>
      </c>
      <c r="B485">
        <v>2011</v>
      </c>
      <c r="C485">
        <v>1</v>
      </c>
      <c r="D485" t="s">
        <v>1879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>
        <v>8</v>
      </c>
      <c r="K485" s="2" t="s">
        <v>23</v>
      </c>
      <c r="L485">
        <f>_xlfn.XLOOKUP("LOADINGSPEEDDEF_"&amp;PROPERTIES[[#This Row],[LOADINGSPEED]],LOADINGSPEEDDEF[TYPE],LOADINGSPEEDDEF[SPEED])</f>
        <v>40</v>
      </c>
      <c r="M485" t="s">
        <v>20</v>
      </c>
      <c r="N485"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>
        <v>20</v>
      </c>
      <c r="W485" s="9">
        <f>INT(429/6)</f>
        <v>71</v>
      </c>
      <c r="X485" s="9">
        <v>8</v>
      </c>
      <c r="Y485" s="10">
        <v>0</v>
      </c>
      <c r="Z485" t="s">
        <v>912</v>
      </c>
      <c r="AA485" t="s">
        <v>903</v>
      </c>
      <c r="AB485" s="2" t="s">
        <v>921</v>
      </c>
      <c r="AC485" s="9" t="s">
        <v>993</v>
      </c>
      <c r="AD485" s="9" t="s">
        <v>994</v>
      </c>
      <c r="AE485" s="10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5" s="2" t="b">
        <v>0</v>
      </c>
      <c r="AY485"/>
      <c r="AZ485"/>
      <c r="BA485"/>
    </row>
    <row r="486" spans="1:53">
      <c r="A486" s="2" t="s">
        <v>511</v>
      </c>
      <c r="B486">
        <v>2011</v>
      </c>
      <c r="C486">
        <v>1</v>
      </c>
      <c r="D486" t="s">
        <v>1951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>
        <v>8</v>
      </c>
      <c r="K486" s="2" t="s">
        <v>23</v>
      </c>
      <c r="L486">
        <f>_xlfn.XLOOKUP("LOADINGSPEEDDEF_"&amp;PROPERTIES[[#This Row],[LOADINGSPEED]],LOADINGSPEEDDEF[TYPE],LOADINGSPEEDDEF[SPEED])</f>
        <v>40</v>
      </c>
      <c r="M486" t="s">
        <v>20</v>
      </c>
      <c r="N486"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>
        <v>20</v>
      </c>
      <c r="W486" s="9">
        <f>INT(195/2)</f>
        <v>97</v>
      </c>
      <c r="X486" s="9">
        <v>7</v>
      </c>
      <c r="Y486" s="10">
        <v>0</v>
      </c>
      <c r="Z486" t="s">
        <v>910</v>
      </c>
      <c r="AA486" t="s">
        <v>903</v>
      </c>
      <c r="AB486" s="2" t="s">
        <v>921</v>
      </c>
      <c r="AC486" s="9" t="s">
        <v>993</v>
      </c>
      <c r="AD486" s="9" t="s">
        <v>994</v>
      </c>
      <c r="AE486" s="10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6" s="2" t="b">
        <v>0</v>
      </c>
      <c r="AY486"/>
      <c r="AZ486"/>
      <c r="BA486"/>
    </row>
    <row r="487" spans="1:53">
      <c r="A487" s="2" t="s">
        <v>512</v>
      </c>
      <c r="B487">
        <v>1982</v>
      </c>
      <c r="C487">
        <v>1</v>
      </c>
      <c r="D487" t="s">
        <v>1796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>
        <v>8</v>
      </c>
      <c r="K487" s="2" t="s">
        <v>23</v>
      </c>
      <c r="L487">
        <f>_xlfn.XLOOKUP("LOADINGSPEEDDEF_"&amp;PROPERTIES[[#This Row],[LOADINGSPEED]],LOADINGSPEEDDEF[TYPE],LOADINGSPEEDDEF[SPEED])</f>
        <v>40</v>
      </c>
      <c r="M487">
        <v>45</v>
      </c>
      <c r="N487"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>
        <v>40</v>
      </c>
      <c r="W487" s="9">
        <f>144/2</f>
        <v>72</v>
      </c>
      <c r="X487" s="9">
        <v>8</v>
      </c>
      <c r="Y487" s="10">
        <v>0</v>
      </c>
      <c r="Z487" t="s">
        <v>911</v>
      </c>
      <c r="AA487" t="s">
        <v>903</v>
      </c>
      <c r="AB487" s="2" t="s">
        <v>921</v>
      </c>
      <c r="AC487" s="9" t="s">
        <v>993</v>
      </c>
      <c r="AD487" s="9" t="s">
        <v>994</v>
      </c>
      <c r="AE487" s="10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7" s="2" t="b">
        <v>0</v>
      </c>
      <c r="AY487"/>
      <c r="AZ487"/>
      <c r="BA487"/>
    </row>
    <row r="488" spans="1:53">
      <c r="A488" s="2" t="s">
        <v>513</v>
      </c>
      <c r="B488">
        <v>1976</v>
      </c>
      <c r="C488">
        <v>1</v>
      </c>
      <c r="D488" t="s">
        <v>1797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>
        <v>8</v>
      </c>
      <c r="K488" s="2" t="s">
        <v>23</v>
      </c>
      <c r="L488">
        <f>_xlfn.XLOOKUP("LOADINGSPEEDDEF_"&amp;PROPERTIES[[#This Row],[LOADINGSPEED]],LOADINGSPEEDDEF[TYPE],LOADINGSPEEDDEF[SPEED])</f>
        <v>40</v>
      </c>
      <c r="M488">
        <v>45</v>
      </c>
      <c r="N488"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>
        <v>40</v>
      </c>
      <c r="W488" s="9">
        <v>62</v>
      </c>
      <c r="X488" s="9">
        <v>8</v>
      </c>
      <c r="Y488" s="10">
        <v>0</v>
      </c>
      <c r="Z488" t="s">
        <v>907</v>
      </c>
      <c r="AA488" t="s">
        <v>903</v>
      </c>
      <c r="AB488" s="2" t="s">
        <v>921</v>
      </c>
      <c r="AC488" s="9" t="s">
        <v>993</v>
      </c>
      <c r="AD488" s="9" t="s">
        <v>994</v>
      </c>
      <c r="AE488" s="10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8" s="2" t="b">
        <v>0</v>
      </c>
      <c r="AY488"/>
      <c r="AZ488"/>
      <c r="BA488"/>
    </row>
    <row r="489" spans="1:53">
      <c r="A489" s="2" t="s">
        <v>514</v>
      </c>
      <c r="B489">
        <v>1960</v>
      </c>
      <c r="C489">
        <v>1</v>
      </c>
      <c r="D489" t="s">
        <v>1826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>
        <v>7</v>
      </c>
      <c r="K489" s="2" t="s">
        <v>23</v>
      </c>
      <c r="L489">
        <f>_xlfn.XLOOKUP("LOADINGSPEEDDEF_"&amp;PROPERTIES[[#This Row],[LOADINGSPEED]],LOADINGSPEEDDEF[TYPE],LOADINGSPEEDDEF[SPEED])</f>
        <v>40</v>
      </c>
      <c r="M489">
        <v>45</v>
      </c>
      <c r="N489"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>
        <v>40</v>
      </c>
      <c r="W489" s="9">
        <v>42</v>
      </c>
      <c r="X489" s="9">
        <v>7</v>
      </c>
      <c r="Y489" s="10">
        <v>0</v>
      </c>
      <c r="Z489" t="s">
        <v>908</v>
      </c>
      <c r="AA489" t="s">
        <v>903</v>
      </c>
      <c r="AB489" s="2" t="s">
        <v>921</v>
      </c>
      <c r="AC489" s="9" t="s">
        <v>993</v>
      </c>
      <c r="AD489" s="9" t="s">
        <v>994</v>
      </c>
      <c r="AE489" s="10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9" s="2" t="b">
        <v>0</v>
      </c>
      <c r="AY489"/>
      <c r="AZ489"/>
      <c r="BA489"/>
    </row>
    <row r="490" spans="1:53">
      <c r="A490" s="2" t="s">
        <v>515</v>
      </c>
      <c r="B490">
        <v>1967</v>
      </c>
      <c r="C490">
        <v>1</v>
      </c>
      <c r="D490" t="s">
        <v>1763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>
        <v>8</v>
      </c>
      <c r="K490" s="2" t="s">
        <v>23</v>
      </c>
      <c r="L490">
        <f>_xlfn.XLOOKUP("LOADINGSPEEDDEF_"&amp;PROPERTIES[[#This Row],[LOADINGSPEED]],LOADINGSPEEDDEF[TYPE],LOADINGSPEEDDEF[SPEED])</f>
        <v>40</v>
      </c>
      <c r="M490">
        <v>45</v>
      </c>
      <c r="N490"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>
        <v>40</v>
      </c>
      <c r="W490" s="9">
        <v>74</v>
      </c>
      <c r="X490" s="9">
        <v>7</v>
      </c>
      <c r="Y490" s="10">
        <v>0</v>
      </c>
      <c r="Z490" t="s">
        <v>906</v>
      </c>
      <c r="AA490" t="s">
        <v>903</v>
      </c>
      <c r="AB490" s="2" t="s">
        <v>921</v>
      </c>
      <c r="AC490" s="9" t="s">
        <v>993</v>
      </c>
      <c r="AD490" s="9" t="s">
        <v>994</v>
      </c>
      <c r="AE490" s="10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0" s="2" t="b">
        <v>0</v>
      </c>
      <c r="AY490"/>
      <c r="AZ490"/>
      <c r="BA490"/>
    </row>
    <row r="491" spans="1:53">
      <c r="A491" s="2" t="s">
        <v>516</v>
      </c>
      <c r="B491">
        <v>1971</v>
      </c>
      <c r="C491">
        <v>1</v>
      </c>
      <c r="D491" t="s">
        <v>1825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>
        <v>8</v>
      </c>
      <c r="K491" s="2" t="s">
        <v>23</v>
      </c>
      <c r="L491">
        <f>_xlfn.XLOOKUP("LOADINGSPEEDDEF_"&amp;PROPERTIES[[#This Row],[LOADINGSPEED]],LOADINGSPEEDDEF[TYPE],LOADINGSPEEDDEF[SPEED])</f>
        <v>40</v>
      </c>
      <c r="M491">
        <v>45</v>
      </c>
      <c r="N491"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>
        <v>40</v>
      </c>
      <c r="W491" s="9">
        <v>133</v>
      </c>
      <c r="X491" s="9">
        <v>8</v>
      </c>
      <c r="Y491" s="10">
        <v>0</v>
      </c>
      <c r="Z491" t="s">
        <v>904</v>
      </c>
      <c r="AA491" t="s">
        <v>903</v>
      </c>
      <c r="AB491" s="2" t="s">
        <v>921</v>
      </c>
      <c r="AC491" s="9" t="s">
        <v>993</v>
      </c>
      <c r="AD491" s="9" t="s">
        <v>994</v>
      </c>
      <c r="AE491" s="10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1" s="2" t="b">
        <v>0</v>
      </c>
      <c r="AY491"/>
      <c r="AZ491"/>
      <c r="BA491"/>
    </row>
    <row r="492" spans="1:53">
      <c r="A492" s="2" t="s">
        <v>517</v>
      </c>
      <c r="B492">
        <v>1972</v>
      </c>
      <c r="C492">
        <v>1</v>
      </c>
      <c r="D492" t="s">
        <v>1825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>
        <v>8</v>
      </c>
      <c r="K492" s="2" t="s">
        <v>23</v>
      </c>
      <c r="L492">
        <f>_xlfn.XLOOKUP("LOADINGSPEEDDEF_"&amp;PROPERTIES[[#This Row],[LOADINGSPEED]],LOADINGSPEEDDEF[TYPE],LOADINGSPEEDDEF[SPEED])</f>
        <v>40</v>
      </c>
      <c r="M492">
        <v>45</v>
      </c>
      <c r="N492"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>
        <v>40</v>
      </c>
      <c r="W492" s="9">
        <f>400/5</f>
        <v>80</v>
      </c>
      <c r="X492" s="9">
        <v>8</v>
      </c>
      <c r="Y492" s="10">
        <v>0</v>
      </c>
      <c r="Z492" t="s">
        <v>904</v>
      </c>
      <c r="AA492" t="s">
        <v>903</v>
      </c>
      <c r="AB492" s="2" t="s">
        <v>921</v>
      </c>
      <c r="AC492" s="9" t="s">
        <v>993</v>
      </c>
      <c r="AD492" s="9" t="s">
        <v>994</v>
      </c>
      <c r="AE492" s="10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92" s="2" t="b">
        <v>1</v>
      </c>
      <c r="AY492"/>
      <c r="AZ492"/>
      <c r="BA492"/>
    </row>
    <row r="493" spans="1:53">
      <c r="A493" s="2" t="s">
        <v>518</v>
      </c>
      <c r="B493">
        <v>1981</v>
      </c>
      <c r="C493">
        <v>1</v>
      </c>
      <c r="D493" t="s">
        <v>1915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>
        <v>8</v>
      </c>
      <c r="K493" s="2" t="s">
        <v>23</v>
      </c>
      <c r="L493">
        <f>_xlfn.XLOOKUP("LOADINGSPEEDDEF_"&amp;PROPERTIES[[#This Row],[LOADINGSPEED]],LOADINGSPEEDDEF[TYPE],LOADINGSPEEDDEF[SPEED])</f>
        <v>40</v>
      </c>
      <c r="M493">
        <v>45</v>
      </c>
      <c r="N493"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>
        <v>40</v>
      </c>
      <c r="W493" s="9">
        <v>80</v>
      </c>
      <c r="X493" s="9">
        <v>8</v>
      </c>
      <c r="Y493" s="10">
        <v>0</v>
      </c>
      <c r="Z493" t="s">
        <v>904</v>
      </c>
      <c r="AA493" t="s">
        <v>903</v>
      </c>
      <c r="AB493" s="2" t="s">
        <v>921</v>
      </c>
      <c r="AC493" s="9" t="s">
        <v>993</v>
      </c>
      <c r="AD493" s="9" t="s">
        <v>994</v>
      </c>
      <c r="AE493" s="10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3" s="2" t="b">
        <v>0</v>
      </c>
      <c r="AY493"/>
      <c r="AZ493"/>
      <c r="BA493"/>
    </row>
    <row r="494" spans="1:53">
      <c r="A494" s="2" t="s">
        <v>519</v>
      </c>
      <c r="B494">
        <v>1986</v>
      </c>
      <c r="C494">
        <v>1</v>
      </c>
      <c r="D494" t="s">
        <v>1807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>
        <v>8</v>
      </c>
      <c r="K494" s="2" t="s">
        <v>23</v>
      </c>
      <c r="L494">
        <f>_xlfn.XLOOKUP("LOADINGSPEEDDEF_"&amp;PROPERTIES[[#This Row],[LOADINGSPEED]],LOADINGSPEEDDEF[TYPE],LOADINGSPEEDDEF[SPEED])</f>
        <v>40</v>
      </c>
      <c r="M494">
        <v>45</v>
      </c>
      <c r="N494"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>
        <v>40</v>
      </c>
      <c r="W494" s="9">
        <f>INT(136/2)</f>
        <v>68</v>
      </c>
      <c r="X494" s="9">
        <v>8</v>
      </c>
      <c r="Y494" s="10">
        <v>0</v>
      </c>
      <c r="Z494" t="s">
        <v>904</v>
      </c>
      <c r="AA494" t="s">
        <v>903</v>
      </c>
      <c r="AB494" s="2" t="s">
        <v>921</v>
      </c>
      <c r="AC494" s="9" t="s">
        <v>993</v>
      </c>
      <c r="AD494" s="9" t="s">
        <v>994</v>
      </c>
      <c r="AE494" s="10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4" s="2" t="b">
        <v>0</v>
      </c>
      <c r="AY494"/>
      <c r="AZ494"/>
      <c r="BA494"/>
    </row>
    <row r="495" spans="1:53">
      <c r="A495" s="2" t="s">
        <v>520</v>
      </c>
      <c r="B495">
        <v>2007</v>
      </c>
      <c r="C495">
        <v>1</v>
      </c>
      <c r="D495" t="s">
        <v>1812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>
        <v>8</v>
      </c>
      <c r="K495" s="2" t="s">
        <v>23</v>
      </c>
      <c r="L495">
        <f>_xlfn.XLOOKUP("LOADINGSPEEDDEF_"&amp;PROPERTIES[[#This Row],[LOADINGSPEED]],LOADINGSPEEDDEF[TYPE],LOADINGSPEEDDEF[SPEED])</f>
        <v>40</v>
      </c>
      <c r="M495" t="s">
        <v>20</v>
      </c>
      <c r="N495"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>
        <v>40</v>
      </c>
      <c r="W495" s="9">
        <f>INT(199/2)</f>
        <v>99</v>
      </c>
      <c r="X495" s="9">
        <v>8</v>
      </c>
      <c r="Y495" s="10">
        <v>0</v>
      </c>
      <c r="Z495" t="s">
        <v>907</v>
      </c>
      <c r="AA495" t="s">
        <v>903</v>
      </c>
      <c r="AB495" s="2" t="s">
        <v>921</v>
      </c>
      <c r="AC495" s="9" t="s">
        <v>993</v>
      </c>
      <c r="AD495" s="9" t="s">
        <v>994</v>
      </c>
      <c r="AE495" s="10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95" s="2" t="b">
        <v>0</v>
      </c>
      <c r="AY495"/>
      <c r="AZ495"/>
      <c r="BA495"/>
    </row>
    <row r="496" spans="1:53">
      <c r="A496" s="2" t="s">
        <v>521</v>
      </c>
      <c r="B496">
        <v>2008</v>
      </c>
      <c r="C496">
        <v>1</v>
      </c>
      <c r="D496" t="s">
        <v>1972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>
        <v>8</v>
      </c>
      <c r="K496" s="2" t="s">
        <v>23</v>
      </c>
      <c r="L496">
        <f>_xlfn.XLOOKUP("LOADINGSPEEDDEF_"&amp;PROPERTIES[[#This Row],[LOADINGSPEED]],LOADINGSPEEDDEF[TYPE],LOADINGSPEEDDEF[SPEED])</f>
        <v>40</v>
      </c>
      <c r="M496" t="s">
        <v>20</v>
      </c>
      <c r="N496"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>
        <v>40</v>
      </c>
      <c r="W496" s="9">
        <v>55</v>
      </c>
      <c r="X496" s="9">
        <v>8</v>
      </c>
      <c r="Y496" s="10">
        <v>0</v>
      </c>
      <c r="Z496" t="s">
        <v>907</v>
      </c>
      <c r="AA496" t="s">
        <v>903</v>
      </c>
      <c r="AB496" s="2" t="s">
        <v>921</v>
      </c>
      <c r="AC496" s="9" t="s">
        <v>993</v>
      </c>
      <c r="AD496" s="9" t="s">
        <v>994</v>
      </c>
      <c r="AE496" s="10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6" s="2" t="b">
        <v>0</v>
      </c>
      <c r="AY496"/>
      <c r="AZ496"/>
      <c r="BA496"/>
    </row>
    <row r="497" spans="1:53">
      <c r="A497" s="2" t="s">
        <v>522</v>
      </c>
      <c r="B497">
        <v>2009</v>
      </c>
      <c r="C497">
        <v>1</v>
      </c>
      <c r="D497" t="s">
        <v>1831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>
        <v>7</v>
      </c>
      <c r="K497" s="2" t="s">
        <v>23</v>
      </c>
      <c r="L497">
        <f>_xlfn.XLOOKUP("LOADINGSPEEDDEF_"&amp;PROPERTIES[[#This Row],[LOADINGSPEED]],LOADINGSPEEDDEF[TYPE],LOADINGSPEEDDEF[SPEED])</f>
        <v>40</v>
      </c>
      <c r="M497" t="s">
        <v>20</v>
      </c>
      <c r="N497"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>
        <v>40</v>
      </c>
      <c r="W497" s="9">
        <v>102</v>
      </c>
      <c r="X497" s="9">
        <v>7</v>
      </c>
      <c r="Y497" s="10">
        <v>0</v>
      </c>
      <c r="Z497" t="s">
        <v>907</v>
      </c>
      <c r="AA497" t="s">
        <v>903</v>
      </c>
      <c r="AB497" s="2" t="s">
        <v>921</v>
      </c>
      <c r="AC497" s="9" t="s">
        <v>993</v>
      </c>
      <c r="AD497" s="9" t="s">
        <v>994</v>
      </c>
      <c r="AE497" s="10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7" s="2" t="b">
        <v>0</v>
      </c>
      <c r="AY497"/>
      <c r="AZ497"/>
      <c r="BA497"/>
    </row>
    <row r="498" spans="1:53">
      <c r="A498" s="2" t="s">
        <v>523</v>
      </c>
      <c r="B498">
        <v>2003</v>
      </c>
      <c r="C498">
        <v>1</v>
      </c>
      <c r="D498" t="s">
        <v>1763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>
        <v>8</v>
      </c>
      <c r="K498" s="2" t="s">
        <v>23</v>
      </c>
      <c r="L498">
        <f>_xlfn.XLOOKUP("LOADINGSPEEDDEF_"&amp;PROPERTIES[[#This Row],[LOADINGSPEED]],LOADINGSPEEDDEF[TYPE],LOADINGSPEEDDEF[SPEED])</f>
        <v>40</v>
      </c>
      <c r="M498" t="s">
        <v>20</v>
      </c>
      <c r="N498"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>
        <v>40</v>
      </c>
      <c r="W498" s="9">
        <v>39</v>
      </c>
      <c r="X498" s="9">
        <v>8</v>
      </c>
      <c r="Y498" s="10">
        <v>0</v>
      </c>
      <c r="Z498" t="s">
        <v>906</v>
      </c>
      <c r="AA498" t="s">
        <v>903</v>
      </c>
      <c r="AB498" s="2" t="s">
        <v>921</v>
      </c>
      <c r="AC498" s="9" t="s">
        <v>993</v>
      </c>
      <c r="AD498" s="9" t="s">
        <v>994</v>
      </c>
      <c r="AE498" s="10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98" s="2" t="b">
        <v>0</v>
      </c>
      <c r="AY498"/>
      <c r="AZ498"/>
      <c r="BA498"/>
    </row>
    <row r="499" spans="1:53">
      <c r="A499" s="2" t="s">
        <v>524</v>
      </c>
      <c r="B499">
        <v>2013</v>
      </c>
      <c r="C499">
        <v>1</v>
      </c>
      <c r="D499" t="s">
        <v>1788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>
        <v>8</v>
      </c>
      <c r="K499" s="2" t="s">
        <v>23</v>
      </c>
      <c r="L499">
        <f>_xlfn.XLOOKUP("LOADINGSPEEDDEF_"&amp;PROPERTIES[[#This Row],[LOADINGSPEED]],LOADINGSPEEDDEF[TYPE],LOADINGSPEEDDEF[SPEED])</f>
        <v>40</v>
      </c>
      <c r="M499" t="s">
        <v>20</v>
      </c>
      <c r="N499"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>
        <v>40</v>
      </c>
      <c r="W499" s="9">
        <v>80</v>
      </c>
      <c r="X499" s="9">
        <v>8</v>
      </c>
      <c r="Y499" s="10">
        <v>0</v>
      </c>
      <c r="Z499" t="s">
        <v>909</v>
      </c>
      <c r="AA499" t="s">
        <v>903</v>
      </c>
      <c r="AB499" s="2" t="s">
        <v>921</v>
      </c>
      <c r="AC499" s="9" t="s">
        <v>993</v>
      </c>
      <c r="AD499" s="9" t="s">
        <v>994</v>
      </c>
      <c r="AE499" s="10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9" s="2" t="b">
        <v>0</v>
      </c>
      <c r="AY499"/>
      <c r="AZ499"/>
      <c r="BA499"/>
    </row>
    <row r="500" spans="1:53">
      <c r="A500" s="2" t="s">
        <v>525</v>
      </c>
      <c r="B500">
        <v>2015</v>
      </c>
      <c r="C500">
        <v>1</v>
      </c>
      <c r="D500" t="s">
        <v>1760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>
        <v>8</v>
      </c>
      <c r="K500" s="2" t="s">
        <v>23</v>
      </c>
      <c r="L500">
        <f>_xlfn.XLOOKUP("LOADINGSPEEDDEF_"&amp;PROPERTIES[[#This Row],[LOADINGSPEED]],LOADINGSPEEDDEF[TYPE],LOADINGSPEEDDEF[SPEED])</f>
        <v>40</v>
      </c>
      <c r="M500" t="s">
        <v>20</v>
      </c>
      <c r="N500"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>
        <v>40</v>
      </c>
      <c r="W500" s="9">
        <v>70</v>
      </c>
      <c r="X500" s="9">
        <v>8</v>
      </c>
      <c r="Y500" s="10">
        <v>0</v>
      </c>
      <c r="Z500" t="s">
        <v>911</v>
      </c>
      <c r="AA500" t="s">
        <v>903</v>
      </c>
      <c r="AB500" s="2" t="s">
        <v>921</v>
      </c>
      <c r="AC500" s="9" t="s">
        <v>993</v>
      </c>
      <c r="AD500" s="9" t="s">
        <v>994</v>
      </c>
      <c r="AE500" s="10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0" s="2" t="b">
        <v>0</v>
      </c>
      <c r="AY500"/>
      <c r="AZ500"/>
      <c r="BA500"/>
    </row>
    <row r="501" spans="1:53">
      <c r="A501" s="2" t="s">
        <v>526</v>
      </c>
      <c r="B501">
        <v>1955</v>
      </c>
      <c r="C501">
        <v>1</v>
      </c>
      <c r="D501" t="s">
        <v>1859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>
        <v>8</v>
      </c>
      <c r="K501" s="2" t="s">
        <v>23</v>
      </c>
      <c r="L501">
        <f>_xlfn.XLOOKUP("LOADINGSPEEDDEF_"&amp;PROPERTIES[[#This Row],[LOADINGSPEED]],LOADINGSPEEDDEF[TYPE],LOADINGSPEEDDEF[SPEED])</f>
        <v>40</v>
      </c>
      <c r="M501">
        <v>45</v>
      </c>
      <c r="N501"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>
        <v>40</v>
      </c>
      <c r="W501" s="9">
        <v>60</v>
      </c>
      <c r="X501" s="9">
        <v>8</v>
      </c>
      <c r="Y501" s="10">
        <v>0</v>
      </c>
      <c r="Z501" t="s">
        <v>905</v>
      </c>
      <c r="AA501" t="s">
        <v>903</v>
      </c>
      <c r="AB501" s="2" t="s">
        <v>921</v>
      </c>
      <c r="AC501" s="9" t="s">
        <v>993</v>
      </c>
      <c r="AD501" s="9" t="s">
        <v>994</v>
      </c>
      <c r="AE501" s="10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1" s="2" t="b">
        <v>0</v>
      </c>
      <c r="AY501"/>
      <c r="AZ501"/>
      <c r="BA501"/>
    </row>
    <row r="502" spans="1:53">
      <c r="A502" s="2" t="s">
        <v>527</v>
      </c>
      <c r="B502">
        <v>1965</v>
      </c>
      <c r="C502">
        <v>1</v>
      </c>
      <c r="D502" t="s">
        <v>1933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>
        <v>8</v>
      </c>
      <c r="K502" s="2" t="s">
        <v>23</v>
      </c>
      <c r="L502">
        <f>_xlfn.XLOOKUP("LOADINGSPEEDDEF_"&amp;PROPERTIES[[#This Row],[LOADINGSPEED]],LOADINGSPEEDDEF[TYPE],LOADINGSPEEDDEF[SPEED])</f>
        <v>40</v>
      </c>
      <c r="M502">
        <v>45</v>
      </c>
      <c r="N502"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>
        <v>40</v>
      </c>
      <c r="W502">
        <f>INT(185/2)</f>
        <v>92</v>
      </c>
      <c r="X502" s="9">
        <v>8</v>
      </c>
      <c r="Y502" s="10">
        <v>0</v>
      </c>
      <c r="Z502" t="s">
        <v>905</v>
      </c>
      <c r="AA502" t="s">
        <v>903</v>
      </c>
      <c r="AB502" s="2" t="s">
        <v>921</v>
      </c>
      <c r="AC502" s="9" t="s">
        <v>993</v>
      </c>
      <c r="AD502" s="9" t="s">
        <v>994</v>
      </c>
      <c r="AE502" s="10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2" s="2" t="b">
        <v>0</v>
      </c>
      <c r="AY502"/>
      <c r="AZ502"/>
      <c r="BA502"/>
    </row>
    <row r="503" spans="1:53">
      <c r="A503" s="2" t="s">
        <v>528</v>
      </c>
      <c r="B503">
        <v>1979</v>
      </c>
      <c r="C503">
        <v>1</v>
      </c>
      <c r="D503" t="s">
        <v>1933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>
        <v>8</v>
      </c>
      <c r="K503" s="2" t="s">
        <v>23</v>
      </c>
      <c r="L503">
        <f>_xlfn.XLOOKUP("LOADINGSPEEDDEF_"&amp;PROPERTIES[[#This Row],[LOADINGSPEED]],LOADINGSPEEDDEF[TYPE],LOADINGSPEEDDEF[SPEED])</f>
        <v>40</v>
      </c>
      <c r="M503">
        <v>45</v>
      </c>
      <c r="N503"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>
        <v>40</v>
      </c>
      <c r="W503" s="9">
        <f>INT(194/2)</f>
        <v>97</v>
      </c>
      <c r="X503" s="9">
        <v>8</v>
      </c>
      <c r="Y503" s="10">
        <v>0</v>
      </c>
      <c r="Z503" t="s">
        <v>905</v>
      </c>
      <c r="AA503" t="s">
        <v>903</v>
      </c>
      <c r="AB503" s="2" t="s">
        <v>921</v>
      </c>
      <c r="AC503" s="9" t="s">
        <v>993</v>
      </c>
      <c r="AD503" s="9" t="s">
        <v>994</v>
      </c>
      <c r="AE503" s="10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3" s="2" t="b">
        <v>0</v>
      </c>
      <c r="AY503"/>
      <c r="AZ503"/>
      <c r="BA503"/>
    </row>
    <row r="504" spans="1:53">
      <c r="A504" s="2" t="s">
        <v>529</v>
      </c>
      <c r="B504">
        <v>1983</v>
      </c>
      <c r="C504">
        <v>1</v>
      </c>
      <c r="D504" t="s">
        <v>1818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>
        <v>7</v>
      </c>
      <c r="K504" s="2" t="s">
        <v>23</v>
      </c>
      <c r="L504">
        <f>_xlfn.XLOOKUP("LOADINGSPEEDDEF_"&amp;PROPERTIES[[#This Row],[LOADINGSPEED]],LOADINGSPEEDDEF[TYPE],LOADINGSPEEDDEF[SPEED])</f>
        <v>40</v>
      </c>
      <c r="M504">
        <v>45</v>
      </c>
      <c r="N504"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>
        <v>40</v>
      </c>
      <c r="W504" s="9">
        <f>INT(350/3)</f>
        <v>116</v>
      </c>
      <c r="X504" s="9">
        <v>7</v>
      </c>
      <c r="Y504" s="10">
        <v>0</v>
      </c>
      <c r="Z504" t="s">
        <v>905</v>
      </c>
      <c r="AA504" t="s">
        <v>903</v>
      </c>
      <c r="AB504" s="2" t="s">
        <v>921</v>
      </c>
      <c r="AC504" s="9" t="s">
        <v>993</v>
      </c>
      <c r="AD504" s="9" t="s">
        <v>994</v>
      </c>
      <c r="AE504" s="10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4" s="2" t="b">
        <v>0</v>
      </c>
      <c r="AY504"/>
      <c r="AZ504"/>
      <c r="BA504"/>
    </row>
    <row r="505" spans="1:53">
      <c r="A505" s="2" t="s">
        <v>530</v>
      </c>
      <c r="B505">
        <v>1996</v>
      </c>
      <c r="C505">
        <v>1</v>
      </c>
      <c r="D505" t="s">
        <v>1807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531</v>
      </c>
      <c r="H505">
        <v>40</v>
      </c>
      <c r="I505">
        <v>8</v>
      </c>
      <c r="J505">
        <v>8</v>
      </c>
      <c r="K505" s="2" t="s">
        <v>32</v>
      </c>
      <c r="L505">
        <f>_xlfn.XLOOKUP("LOADINGSPEEDDEF_"&amp;PROPERTIES[[#This Row],[LOADINGSPEED]],LOADINGSPEEDDEF[TYPE],LOADINGSPEEDDEF[SPEED])</f>
        <v>20</v>
      </c>
      <c r="M505" t="s">
        <v>20</v>
      </c>
      <c r="N505"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>
        <v>25</v>
      </c>
      <c r="W505" s="9">
        <v>40</v>
      </c>
      <c r="X505" s="9">
        <v>7</v>
      </c>
      <c r="Y505" s="10">
        <v>0</v>
      </c>
      <c r="Z505" t="s">
        <v>904</v>
      </c>
      <c r="AA505" t="s">
        <v>903</v>
      </c>
      <c r="AB505" s="2" t="s">
        <v>921</v>
      </c>
      <c r="AC505" s="9" t="s">
        <v>993</v>
      </c>
      <c r="AD505" s="9" t="s">
        <v>994</v>
      </c>
      <c r="AE505" s="10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505" s="2" t="b">
        <v>0</v>
      </c>
      <c r="AY505"/>
      <c r="AZ505"/>
      <c r="BA505"/>
    </row>
    <row r="506" spans="1:53">
      <c r="A506" s="2" t="s">
        <v>532</v>
      </c>
      <c r="B506">
        <v>2011</v>
      </c>
      <c r="C506">
        <v>1</v>
      </c>
      <c r="D506" t="s">
        <v>1763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>
        <v>8</v>
      </c>
      <c r="K506" s="2" t="s">
        <v>23</v>
      </c>
      <c r="L506">
        <f>_xlfn.XLOOKUP("LOADINGSPEEDDEF_"&amp;PROPERTIES[[#This Row],[LOADINGSPEED]],LOADINGSPEEDDEF[TYPE],LOADINGSPEEDDEF[SPEED])</f>
        <v>40</v>
      </c>
      <c r="M506" t="s">
        <v>20</v>
      </c>
      <c r="N506"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>
        <v>25</v>
      </c>
      <c r="W506" s="9">
        <v>110</v>
      </c>
      <c r="X506" s="9">
        <v>8</v>
      </c>
      <c r="Y506" s="10">
        <v>0</v>
      </c>
      <c r="Z506" t="s">
        <v>906</v>
      </c>
      <c r="AA506" t="s">
        <v>903</v>
      </c>
      <c r="AB506" s="2" t="s">
        <v>921</v>
      </c>
      <c r="AC506" s="9" t="s">
        <v>995</v>
      </c>
      <c r="AD506" s="9" t="s">
        <v>996</v>
      </c>
      <c r="AE506" s="10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6" s="2" t="b">
        <v>0</v>
      </c>
      <c r="AY506"/>
      <c r="AZ506"/>
      <c r="BA506"/>
    </row>
    <row r="507" spans="1:53">
      <c r="A507" s="2" t="s">
        <v>533</v>
      </c>
      <c r="B507">
        <v>1966</v>
      </c>
      <c r="C507">
        <v>1</v>
      </c>
      <c r="D507" t="s">
        <v>1809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>
        <v>8</v>
      </c>
      <c r="K507" s="2" t="s">
        <v>23</v>
      </c>
      <c r="L507">
        <f>_xlfn.XLOOKUP("LOADINGSPEEDDEF_"&amp;PROPERTIES[[#This Row],[LOADINGSPEED]],LOADINGSPEEDDEF[TYPE],LOADINGSPEEDDEF[SPEED])</f>
        <v>40</v>
      </c>
      <c r="M507">
        <v>45</v>
      </c>
      <c r="N507"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>
        <v>25</v>
      </c>
      <c r="W507" s="9">
        <v>56</v>
      </c>
      <c r="X507" s="9">
        <v>8</v>
      </c>
      <c r="Y507" s="10">
        <v>0</v>
      </c>
      <c r="Z507" t="s">
        <v>908</v>
      </c>
      <c r="AA507" t="s">
        <v>903</v>
      </c>
      <c r="AB507" s="2" t="s">
        <v>921</v>
      </c>
      <c r="AC507" s="9" t="s">
        <v>995</v>
      </c>
      <c r="AD507" s="9" t="s">
        <v>996</v>
      </c>
      <c r="AE507" s="10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7" s="2" t="b">
        <v>0</v>
      </c>
      <c r="AY507"/>
      <c r="AZ507"/>
      <c r="BA507"/>
    </row>
    <row r="508" spans="1:53">
      <c r="A508" s="2" t="s">
        <v>534</v>
      </c>
      <c r="B508">
        <v>1996</v>
      </c>
      <c r="C508">
        <v>1</v>
      </c>
      <c r="D508" t="s">
        <v>1809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>
        <v>5</v>
      </c>
      <c r="K508" s="2" t="s">
        <v>23</v>
      </c>
      <c r="L508">
        <f>_xlfn.XLOOKUP("LOADINGSPEEDDEF_"&amp;PROPERTIES[[#This Row],[LOADINGSPEED]],LOADINGSPEEDDEF[TYPE],LOADINGSPEEDDEF[SPEED])</f>
        <v>40</v>
      </c>
      <c r="M508" t="s">
        <v>20</v>
      </c>
      <c r="N508"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>
        <v>25</v>
      </c>
      <c r="W508" s="9">
        <v>90</v>
      </c>
      <c r="X508" s="9">
        <v>5</v>
      </c>
      <c r="Y508" s="10">
        <v>0</v>
      </c>
      <c r="Z508" t="s">
        <v>908</v>
      </c>
      <c r="AA508" t="s">
        <v>903</v>
      </c>
      <c r="AB508" s="2" t="s">
        <v>921</v>
      </c>
      <c r="AC508" s="9" t="s">
        <v>995</v>
      </c>
      <c r="AD508" s="9" t="s">
        <v>996</v>
      </c>
      <c r="AE508" s="10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8" s="2" t="b">
        <v>0</v>
      </c>
      <c r="AY508"/>
      <c r="AZ508"/>
      <c r="BA508"/>
    </row>
    <row r="509" spans="1:53">
      <c r="A509" s="2" t="s">
        <v>535</v>
      </c>
      <c r="B509">
        <v>1932</v>
      </c>
      <c r="C509">
        <v>1</v>
      </c>
      <c r="D509" t="s">
        <v>1859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>
        <v>8</v>
      </c>
      <c r="K509" s="2" t="s">
        <v>23</v>
      </c>
      <c r="L509">
        <f>_xlfn.XLOOKUP("LOADINGSPEEDDEF_"&amp;PROPERTIES[[#This Row],[LOADINGSPEED]],LOADINGSPEEDDEF[TYPE],LOADINGSPEEDDEF[SPEED])</f>
        <v>40</v>
      </c>
      <c r="M509">
        <v>45</v>
      </c>
      <c r="N509"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>
        <v>25</v>
      </c>
      <c r="W509" s="9">
        <v>50</v>
      </c>
      <c r="X509" s="9">
        <v>8</v>
      </c>
      <c r="Y509" s="10">
        <v>0</v>
      </c>
      <c r="Z509" t="s">
        <v>905</v>
      </c>
      <c r="AA509" t="s">
        <v>903</v>
      </c>
      <c r="AB509" s="2" t="s">
        <v>921</v>
      </c>
      <c r="AC509" s="9" t="s">
        <v>995</v>
      </c>
      <c r="AD509" s="9" t="s">
        <v>996</v>
      </c>
      <c r="AE509" s="10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9" s="2" t="b">
        <v>0</v>
      </c>
      <c r="AY509"/>
      <c r="AZ509"/>
      <c r="BA509"/>
    </row>
    <row r="510" spans="1:53">
      <c r="A510" s="2" t="s">
        <v>536</v>
      </c>
      <c r="B510">
        <v>1924</v>
      </c>
      <c r="C510">
        <v>1</v>
      </c>
      <c r="D510" t="s">
        <v>1915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>
        <v>8</v>
      </c>
      <c r="K510" s="2" t="s">
        <v>23</v>
      </c>
      <c r="L510">
        <f>_xlfn.XLOOKUP("LOADINGSPEEDDEF_"&amp;PROPERTIES[[#This Row],[LOADINGSPEED]],LOADINGSPEEDDEF[TYPE],LOADINGSPEEDDEF[SPEED])</f>
        <v>40</v>
      </c>
      <c r="M510">
        <v>45</v>
      </c>
      <c r="N510"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>
        <v>25</v>
      </c>
      <c r="W510" s="9">
        <v>88</v>
      </c>
      <c r="X510" s="9">
        <v>8</v>
      </c>
      <c r="Y510" s="10">
        <v>0</v>
      </c>
      <c r="Z510" t="s">
        <v>904</v>
      </c>
      <c r="AA510" t="s">
        <v>903</v>
      </c>
      <c r="AB510" s="2" t="s">
        <v>921</v>
      </c>
      <c r="AC510" s="9" t="s">
        <v>995</v>
      </c>
      <c r="AD510" s="9" t="s">
        <v>996</v>
      </c>
      <c r="AE510" s="10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0" s="2" t="b">
        <v>0</v>
      </c>
      <c r="AY510"/>
      <c r="AZ510"/>
      <c r="BA510"/>
    </row>
    <row r="511" spans="1:53">
      <c r="A511" s="2" t="s">
        <v>537</v>
      </c>
      <c r="B511">
        <v>1936</v>
      </c>
      <c r="C511">
        <v>1</v>
      </c>
      <c r="D511" t="s">
        <v>1915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>
        <v>8</v>
      </c>
      <c r="K511" s="2" t="s">
        <v>23</v>
      </c>
      <c r="L511">
        <f>_xlfn.XLOOKUP("LOADINGSPEEDDEF_"&amp;PROPERTIES[[#This Row],[LOADINGSPEED]],LOADINGSPEEDDEF[TYPE],LOADINGSPEEDDEF[SPEED])</f>
        <v>40</v>
      </c>
      <c r="M511">
        <v>45</v>
      </c>
      <c r="N511"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>
        <v>25</v>
      </c>
      <c r="W511" s="9">
        <v>72</v>
      </c>
      <c r="X511" s="9">
        <v>8</v>
      </c>
      <c r="Y511" s="10">
        <v>0</v>
      </c>
      <c r="Z511" t="s">
        <v>904</v>
      </c>
      <c r="AA511" t="s">
        <v>903</v>
      </c>
      <c r="AB511" s="2" t="s">
        <v>921</v>
      </c>
      <c r="AC511" s="9" t="s">
        <v>995</v>
      </c>
      <c r="AD511" s="9" t="s">
        <v>996</v>
      </c>
      <c r="AE511" s="10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1" s="2" t="b">
        <v>0</v>
      </c>
      <c r="AY511"/>
      <c r="AZ511"/>
      <c r="BA511"/>
    </row>
    <row r="512" spans="1:53">
      <c r="A512" s="2" t="s">
        <v>538</v>
      </c>
      <c r="B512">
        <v>1954</v>
      </c>
      <c r="C512">
        <v>1</v>
      </c>
      <c r="D512" t="s">
        <v>1915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>
        <v>8</v>
      </c>
      <c r="K512" s="2" t="s">
        <v>23</v>
      </c>
      <c r="L512">
        <f>_xlfn.XLOOKUP("LOADINGSPEEDDEF_"&amp;PROPERTIES[[#This Row],[LOADINGSPEED]],LOADINGSPEEDDEF[TYPE],LOADINGSPEEDDEF[SPEED])</f>
        <v>40</v>
      </c>
      <c r="M512">
        <v>45</v>
      </c>
      <c r="N512"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>
        <v>25</v>
      </c>
      <c r="W512" s="9">
        <v>56</v>
      </c>
      <c r="X512" s="9">
        <v>8</v>
      </c>
      <c r="Y512" s="10">
        <v>0</v>
      </c>
      <c r="Z512" t="s">
        <v>904</v>
      </c>
      <c r="AA512" t="s">
        <v>903</v>
      </c>
      <c r="AB512" s="2" t="s">
        <v>921</v>
      </c>
      <c r="AC512" s="9" t="s">
        <v>995</v>
      </c>
      <c r="AD512" s="9" t="s">
        <v>996</v>
      </c>
      <c r="AE512" s="10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2" s="2" t="b">
        <v>0</v>
      </c>
      <c r="AY512"/>
      <c r="AZ512"/>
      <c r="BA512"/>
    </row>
    <row r="513" spans="1:53">
      <c r="A513" s="2" t="s">
        <v>539</v>
      </c>
      <c r="B513">
        <v>1975</v>
      </c>
      <c r="C513">
        <v>1</v>
      </c>
      <c r="D513" t="s">
        <v>1915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>
        <v>8</v>
      </c>
      <c r="K513" s="2" t="s">
        <v>23</v>
      </c>
      <c r="L513">
        <f>_xlfn.XLOOKUP("LOADINGSPEEDDEF_"&amp;PROPERTIES[[#This Row],[LOADINGSPEED]],LOADINGSPEEDDEF[TYPE],LOADINGSPEEDDEF[SPEED])</f>
        <v>40</v>
      </c>
      <c r="M513">
        <v>45</v>
      </c>
      <c r="N513"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>
        <v>25</v>
      </c>
      <c r="W513" s="9">
        <v>77</v>
      </c>
      <c r="X513" s="9">
        <v>8</v>
      </c>
      <c r="Y513" s="10">
        <v>0</v>
      </c>
      <c r="Z513" t="s">
        <v>904</v>
      </c>
      <c r="AA513" t="s">
        <v>903</v>
      </c>
      <c r="AB513" s="2" t="s">
        <v>921</v>
      </c>
      <c r="AC513" s="9" t="s">
        <v>995</v>
      </c>
      <c r="AD513" s="9" t="s">
        <v>996</v>
      </c>
      <c r="AE513" s="10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3" s="2" t="b">
        <v>0</v>
      </c>
      <c r="AY513"/>
      <c r="AZ513"/>
      <c r="BA513"/>
    </row>
    <row r="514" spans="1:53">
      <c r="A514" s="2" t="s">
        <v>540</v>
      </c>
      <c r="B514">
        <v>1979</v>
      </c>
      <c r="C514">
        <v>1</v>
      </c>
      <c r="D514" t="s">
        <v>1915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>
        <v>8</v>
      </c>
      <c r="K514" s="2" t="s">
        <v>23</v>
      </c>
      <c r="L514">
        <f>_xlfn.XLOOKUP("LOADINGSPEEDDEF_"&amp;PROPERTIES[[#This Row],[LOADINGSPEED]],LOADINGSPEEDDEF[TYPE],LOADINGSPEEDDEF[SPEED])</f>
        <v>40</v>
      </c>
      <c r="M514">
        <v>45</v>
      </c>
      <c r="N514"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>
        <v>25</v>
      </c>
      <c r="W514" s="9">
        <f>INT(205/2)</f>
        <v>102</v>
      </c>
      <c r="X514" s="9">
        <v>8</v>
      </c>
      <c r="Y514" s="10">
        <v>0</v>
      </c>
      <c r="Z514" t="s">
        <v>904</v>
      </c>
      <c r="AA514" t="s">
        <v>903</v>
      </c>
      <c r="AB514" s="2" t="s">
        <v>921</v>
      </c>
      <c r="AC514" s="9" t="s">
        <v>995</v>
      </c>
      <c r="AD514" s="9" t="s">
        <v>996</v>
      </c>
      <c r="AE514" s="10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4" s="2" t="b">
        <v>0</v>
      </c>
      <c r="AY514"/>
      <c r="AZ514"/>
      <c r="BA514"/>
    </row>
    <row r="515" spans="1:53">
      <c r="A515" s="2" t="s">
        <v>541</v>
      </c>
      <c r="B515">
        <v>1994</v>
      </c>
      <c r="C515">
        <v>1</v>
      </c>
      <c r="D515" t="s">
        <v>1915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>
        <v>8</v>
      </c>
      <c r="K515" s="2" t="s">
        <v>23</v>
      </c>
      <c r="L515">
        <f>_xlfn.XLOOKUP("LOADINGSPEEDDEF_"&amp;PROPERTIES[[#This Row],[LOADINGSPEED]],LOADINGSPEEDDEF[TYPE],LOADINGSPEEDDEF[SPEED])</f>
        <v>40</v>
      </c>
      <c r="M515" t="s">
        <v>20</v>
      </c>
      <c r="N515"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>
        <v>25</v>
      </c>
      <c r="W515">
        <f>INT((129+442)/6)</f>
        <v>95</v>
      </c>
      <c r="X515" s="9">
        <v>8</v>
      </c>
      <c r="Y515" s="10">
        <v>0</v>
      </c>
      <c r="Z515" t="s">
        <v>904</v>
      </c>
      <c r="AA515" t="s">
        <v>903</v>
      </c>
      <c r="AB515" s="2" t="s">
        <v>921</v>
      </c>
      <c r="AC515" s="9" t="s">
        <v>995</v>
      </c>
      <c r="AD515" s="9" t="s">
        <v>996</v>
      </c>
      <c r="AE515" s="10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5" s="2" t="b">
        <v>0</v>
      </c>
      <c r="AY515"/>
      <c r="AZ515"/>
      <c r="BA515"/>
    </row>
    <row r="516" spans="1:53">
      <c r="A516" s="2" t="s">
        <v>542</v>
      </c>
      <c r="B516">
        <v>1997</v>
      </c>
      <c r="C516">
        <v>1</v>
      </c>
      <c r="D516" t="s">
        <v>1915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>
        <v>8</v>
      </c>
      <c r="K516" s="2" t="s">
        <v>23</v>
      </c>
      <c r="L516">
        <f>_xlfn.XLOOKUP("LOADINGSPEEDDEF_"&amp;PROPERTIES[[#This Row],[LOADINGSPEED]],LOADINGSPEEDDEF[TYPE],LOADINGSPEEDDEF[SPEED])</f>
        <v>40</v>
      </c>
      <c r="M516" t="s">
        <v>20</v>
      </c>
      <c r="N516"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>
        <v>25</v>
      </c>
      <c r="W516" s="9">
        <v>140</v>
      </c>
      <c r="X516" s="9">
        <v>8</v>
      </c>
      <c r="Y516" s="10">
        <v>0</v>
      </c>
      <c r="Z516" t="s">
        <v>904</v>
      </c>
      <c r="AA516" t="s">
        <v>903</v>
      </c>
      <c r="AB516" s="2" t="s">
        <v>921</v>
      </c>
      <c r="AC516" s="9" t="s">
        <v>995</v>
      </c>
      <c r="AD516" s="9" t="s">
        <v>996</v>
      </c>
      <c r="AE516" s="10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6" s="2" t="b">
        <v>0</v>
      </c>
      <c r="AY516"/>
      <c r="AZ516"/>
      <c r="BA516"/>
    </row>
    <row r="517" spans="1:53">
      <c r="A517" s="2" t="s">
        <v>543</v>
      </c>
      <c r="B517">
        <v>1924</v>
      </c>
      <c r="C517">
        <v>1</v>
      </c>
      <c r="D517" t="s">
        <v>1928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>
        <v>8</v>
      </c>
      <c r="K517" s="2" t="s">
        <v>23</v>
      </c>
      <c r="L517">
        <f>_xlfn.XLOOKUP("LOADINGSPEEDDEF_"&amp;PROPERTIES[[#This Row],[LOADINGSPEED]],LOADINGSPEEDDEF[TYPE],LOADINGSPEEDDEF[SPEED])</f>
        <v>40</v>
      </c>
      <c r="M517">
        <v>45</v>
      </c>
      <c r="N517"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>
        <v>25</v>
      </c>
      <c r="W517" s="9">
        <f>INT(119/2)</f>
        <v>59</v>
      </c>
      <c r="X517" s="9">
        <v>8</v>
      </c>
      <c r="Y517" s="10">
        <v>0</v>
      </c>
      <c r="Z517" t="s">
        <v>910</v>
      </c>
      <c r="AA517" t="s">
        <v>903</v>
      </c>
      <c r="AB517" s="2" t="s">
        <v>921</v>
      </c>
      <c r="AC517" s="9" t="s">
        <v>995</v>
      </c>
      <c r="AD517" s="9" t="s">
        <v>996</v>
      </c>
      <c r="AE517" s="10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7" s="2" t="b">
        <v>0</v>
      </c>
      <c r="AY517"/>
      <c r="AZ517"/>
      <c r="BA517"/>
    </row>
    <row r="518" spans="1:53">
      <c r="A518" s="2" t="s">
        <v>544</v>
      </c>
      <c r="B518">
        <v>1937</v>
      </c>
      <c r="C518">
        <v>1</v>
      </c>
      <c r="D518" t="s">
        <v>1859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>
        <v>8</v>
      </c>
      <c r="K518" s="2" t="s">
        <v>478</v>
      </c>
      <c r="L518">
        <f>_xlfn.XLOOKUP("LOADINGSPEEDDEF_"&amp;PROPERTIES[[#This Row],[LOADINGSPEED]],LOADINGSPEEDDEF[TYPE],LOADINGSPEEDDEF[SPEED])</f>
        <v>16</v>
      </c>
      <c r="M518">
        <v>45</v>
      </c>
      <c r="N518"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>
        <v>25</v>
      </c>
      <c r="W518" s="9">
        <f>INT(104/2)</f>
        <v>52</v>
      </c>
      <c r="X518" s="9">
        <v>8</v>
      </c>
      <c r="Y518" s="10">
        <v>0</v>
      </c>
      <c r="Z518" t="s">
        <v>905</v>
      </c>
      <c r="AA518" t="s">
        <v>903</v>
      </c>
      <c r="AB518" s="2" t="s">
        <v>921</v>
      </c>
      <c r="AC518" s="9" t="s">
        <v>995</v>
      </c>
      <c r="AD518" s="9" t="s">
        <v>996</v>
      </c>
      <c r="AE518" s="10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8" s="2" t="b">
        <v>0</v>
      </c>
      <c r="AY518"/>
      <c r="AZ518"/>
      <c r="BA518"/>
    </row>
    <row r="519" spans="1:53">
      <c r="A519" s="2" t="s">
        <v>545</v>
      </c>
      <c r="B519">
        <v>1952</v>
      </c>
      <c r="C519">
        <v>1</v>
      </c>
      <c r="D519" t="s">
        <v>1859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>
        <v>8</v>
      </c>
      <c r="K519" s="2" t="s">
        <v>478</v>
      </c>
      <c r="L519">
        <f>_xlfn.XLOOKUP("LOADINGSPEEDDEF_"&amp;PROPERTIES[[#This Row],[LOADINGSPEED]],LOADINGSPEEDDEF[TYPE],LOADINGSPEEDDEF[SPEED])</f>
        <v>16</v>
      </c>
      <c r="M519">
        <v>45</v>
      </c>
      <c r="N519"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>
        <v>25</v>
      </c>
      <c r="W519" s="9">
        <f>INT(190/7)</f>
        <v>27</v>
      </c>
      <c r="X519" s="9">
        <v>8</v>
      </c>
      <c r="Y519" s="10">
        <v>0</v>
      </c>
      <c r="Z519" t="s">
        <v>905</v>
      </c>
      <c r="AA519" t="s">
        <v>903</v>
      </c>
      <c r="AB519" s="2" t="s">
        <v>921</v>
      </c>
      <c r="AC519" s="9" t="s">
        <v>995</v>
      </c>
      <c r="AD519" s="9" t="s">
        <v>996</v>
      </c>
      <c r="AE519" s="10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9" s="2" t="b">
        <v>0</v>
      </c>
      <c r="AY519"/>
      <c r="AZ519"/>
      <c r="BA519"/>
    </row>
    <row r="520" spans="1:53">
      <c r="A520" s="2" t="s">
        <v>546</v>
      </c>
      <c r="B520">
        <v>1993</v>
      </c>
      <c r="C520">
        <v>1</v>
      </c>
      <c r="D520" t="s">
        <v>1859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>
        <v>8</v>
      </c>
      <c r="K520" s="2" t="s">
        <v>478</v>
      </c>
      <c r="L520">
        <f>_xlfn.XLOOKUP("LOADINGSPEEDDEF_"&amp;PROPERTIES[[#This Row],[LOADINGSPEED]],LOADINGSPEEDDEF[TYPE],LOADINGSPEEDDEF[SPEED])</f>
        <v>16</v>
      </c>
      <c r="M520" t="s">
        <v>20</v>
      </c>
      <c r="N520"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>
        <v>25</v>
      </c>
      <c r="W520" s="9">
        <v>68</v>
      </c>
      <c r="X520" s="9">
        <v>8</v>
      </c>
      <c r="Y520" s="10">
        <v>0</v>
      </c>
      <c r="Z520" t="s">
        <v>905</v>
      </c>
      <c r="AA520" t="s">
        <v>903</v>
      </c>
      <c r="AB520" s="2" t="s">
        <v>921</v>
      </c>
      <c r="AC520" s="9" t="s">
        <v>995</v>
      </c>
      <c r="AD520" s="9" t="s">
        <v>996</v>
      </c>
      <c r="AE520" s="10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20" s="2" t="b">
        <v>0</v>
      </c>
      <c r="AY520"/>
      <c r="AZ520"/>
      <c r="BA520"/>
    </row>
    <row r="521" spans="1:53">
      <c r="A521" s="2" t="s">
        <v>547</v>
      </c>
      <c r="B521">
        <v>1996</v>
      </c>
      <c r="C521">
        <v>1</v>
      </c>
      <c r="D521" t="s">
        <v>1859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>
        <v>8</v>
      </c>
      <c r="K521" s="2" t="s">
        <v>23</v>
      </c>
      <c r="L521">
        <f>_xlfn.XLOOKUP("LOADINGSPEEDDEF_"&amp;PROPERTIES[[#This Row],[LOADINGSPEED]],LOADINGSPEEDDEF[TYPE],LOADINGSPEEDDEF[SPEED])</f>
        <v>40</v>
      </c>
      <c r="M521">
        <v>45</v>
      </c>
      <c r="N521"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>
        <v>25</v>
      </c>
      <c r="W521" s="9">
        <v>130</v>
      </c>
      <c r="X521" s="9">
        <v>8</v>
      </c>
      <c r="Y521" s="10">
        <v>0</v>
      </c>
      <c r="Z521" t="s">
        <v>905</v>
      </c>
      <c r="AA521" t="s">
        <v>903</v>
      </c>
      <c r="AB521" s="2" t="s">
        <v>921</v>
      </c>
      <c r="AC521" s="9" t="s">
        <v>995</v>
      </c>
      <c r="AD521" s="9" t="s">
        <v>996</v>
      </c>
      <c r="AE521" s="10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1" s="2" t="b">
        <v>0</v>
      </c>
      <c r="AY521"/>
      <c r="AZ521"/>
      <c r="BA521"/>
    </row>
    <row r="522" spans="1:53">
      <c r="A522" s="2" t="s">
        <v>548</v>
      </c>
      <c r="B522">
        <v>1984</v>
      </c>
      <c r="C522">
        <v>1</v>
      </c>
      <c r="D522" t="s">
        <v>1886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>
        <v>8</v>
      </c>
      <c r="K522" s="2" t="s">
        <v>23</v>
      </c>
      <c r="L522">
        <f>_xlfn.XLOOKUP("LOADINGSPEEDDEF_"&amp;PROPERTIES[[#This Row],[LOADINGSPEED]],LOADINGSPEEDDEF[TYPE],LOADINGSPEEDDEF[SPEED])</f>
        <v>40</v>
      </c>
      <c r="M522">
        <v>45</v>
      </c>
      <c r="N522"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>
        <v>40</v>
      </c>
      <c r="W522" s="9">
        <v>90</v>
      </c>
      <c r="X522" s="9">
        <v>8</v>
      </c>
      <c r="Y522" s="10">
        <v>0</v>
      </c>
      <c r="Z522" t="s">
        <v>907</v>
      </c>
      <c r="AA522" t="s">
        <v>903</v>
      </c>
      <c r="AB522" s="2" t="s">
        <v>921</v>
      </c>
      <c r="AC522" s="9" t="s">
        <v>995</v>
      </c>
      <c r="AD522" s="9" t="s">
        <v>996</v>
      </c>
      <c r="AE522" s="10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2" s="2" t="b">
        <v>0</v>
      </c>
      <c r="AY522"/>
      <c r="AZ522"/>
      <c r="BA522"/>
    </row>
    <row r="523" spans="1:53">
      <c r="A523" s="2" t="s">
        <v>549</v>
      </c>
      <c r="B523">
        <v>1950</v>
      </c>
      <c r="C523">
        <v>1</v>
      </c>
      <c r="D523" t="s">
        <v>1928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>
        <v>8</v>
      </c>
      <c r="K523" s="2" t="s">
        <v>23</v>
      </c>
      <c r="L523">
        <f>_xlfn.XLOOKUP("LOADINGSPEEDDEF_"&amp;PROPERTIES[[#This Row],[LOADINGSPEED]],LOADINGSPEEDDEF[TYPE],LOADINGSPEEDDEF[SPEED])</f>
        <v>40</v>
      </c>
      <c r="M523">
        <v>45</v>
      </c>
      <c r="N523"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>
        <v>40</v>
      </c>
      <c r="W523" s="9">
        <f>INT(530/3)</f>
        <v>176</v>
      </c>
      <c r="X523" s="9">
        <v>8</v>
      </c>
      <c r="Y523" s="10">
        <v>0</v>
      </c>
      <c r="Z523" t="s">
        <v>910</v>
      </c>
      <c r="AA523" t="s">
        <v>903</v>
      </c>
      <c r="AB523" s="2" t="s">
        <v>921</v>
      </c>
      <c r="AC523" s="9" t="s">
        <v>995</v>
      </c>
      <c r="AD523" s="9" t="s">
        <v>996</v>
      </c>
      <c r="AE523" s="10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3" s="2" t="b">
        <v>0</v>
      </c>
      <c r="AY523"/>
      <c r="AZ523"/>
      <c r="BA523"/>
    </row>
    <row r="524" spans="1:53">
      <c r="A524" s="2" t="s">
        <v>550</v>
      </c>
      <c r="B524">
        <v>1975</v>
      </c>
      <c r="C524">
        <v>1</v>
      </c>
      <c r="D524" t="s">
        <v>1859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>
        <v>7</v>
      </c>
      <c r="K524" s="2" t="s">
        <v>23</v>
      </c>
      <c r="L524">
        <f>_xlfn.XLOOKUP("LOADINGSPEEDDEF_"&amp;PROPERTIES[[#This Row],[LOADINGSPEED]],LOADINGSPEEDDEF[TYPE],LOADINGSPEEDDEF[SPEED])</f>
        <v>40</v>
      </c>
      <c r="M524">
        <v>45</v>
      </c>
      <c r="N524"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>
        <v>25</v>
      </c>
      <c r="W524" s="9">
        <v>108</v>
      </c>
      <c r="X524" s="9">
        <v>7</v>
      </c>
      <c r="Y524" s="10">
        <v>0</v>
      </c>
      <c r="Z524" t="s">
        <v>905</v>
      </c>
      <c r="AA524" t="s">
        <v>903</v>
      </c>
      <c r="AB524" s="2" t="s">
        <v>921</v>
      </c>
      <c r="AC524" s="9" t="s">
        <v>995</v>
      </c>
      <c r="AD524" s="9" t="s">
        <v>996</v>
      </c>
      <c r="AE524" s="10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4" s="2" t="b">
        <v>0</v>
      </c>
      <c r="AY524"/>
      <c r="AZ524"/>
      <c r="BA524"/>
    </row>
    <row r="525" spans="1:53">
      <c r="A525" s="2" t="s">
        <v>551</v>
      </c>
      <c r="B525">
        <v>1956</v>
      </c>
      <c r="C525">
        <v>1</v>
      </c>
      <c r="D525" t="s">
        <v>1762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>
        <v>7</v>
      </c>
      <c r="K525" s="2" t="s">
        <v>23</v>
      </c>
      <c r="L525">
        <f>_xlfn.XLOOKUP("LOADINGSPEEDDEF_"&amp;PROPERTIES[[#This Row],[LOADINGSPEED]],LOADINGSPEEDDEF[TYPE],LOADINGSPEEDDEF[SPEED])</f>
        <v>40</v>
      </c>
      <c r="M525">
        <v>45</v>
      </c>
      <c r="N525"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>
        <v>25</v>
      </c>
      <c r="W525" s="9">
        <v>72</v>
      </c>
      <c r="X525" s="9">
        <v>7</v>
      </c>
      <c r="Y525" s="10">
        <v>0</v>
      </c>
      <c r="Z525" t="s">
        <v>904</v>
      </c>
      <c r="AA525" t="s">
        <v>903</v>
      </c>
      <c r="AB525" s="2" t="s">
        <v>921</v>
      </c>
      <c r="AC525" s="9" t="s">
        <v>995</v>
      </c>
      <c r="AD525" s="9" t="s">
        <v>996</v>
      </c>
      <c r="AE525" s="10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5" s="2" t="b">
        <v>0</v>
      </c>
      <c r="AY525"/>
      <c r="AZ525"/>
      <c r="BA525"/>
    </row>
    <row r="526" spans="1:53">
      <c r="A526" s="2" t="s">
        <v>552</v>
      </c>
      <c r="B526">
        <v>1929</v>
      </c>
      <c r="C526">
        <v>1</v>
      </c>
      <c r="D526" t="s">
        <v>1762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>
        <v>8</v>
      </c>
      <c r="K526" s="2" t="s">
        <v>23</v>
      </c>
      <c r="L526">
        <f>_xlfn.XLOOKUP("LOADINGSPEEDDEF_"&amp;PROPERTIES[[#This Row],[LOADINGSPEED]],LOADINGSPEEDDEF[TYPE],LOADINGSPEEDDEF[SPEED])</f>
        <v>40</v>
      </c>
      <c r="M526">
        <v>45</v>
      </c>
      <c r="N526"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>
        <v>25</v>
      </c>
      <c r="W526" s="9">
        <v>62</v>
      </c>
      <c r="X526" s="9">
        <v>8</v>
      </c>
      <c r="Y526" s="10">
        <v>0</v>
      </c>
      <c r="Z526" t="s">
        <v>904</v>
      </c>
      <c r="AA526" t="s">
        <v>903</v>
      </c>
      <c r="AB526" s="2" t="s">
        <v>921</v>
      </c>
      <c r="AC526" s="9" t="s">
        <v>995</v>
      </c>
      <c r="AD526" s="9" t="s">
        <v>996</v>
      </c>
      <c r="AE526" s="10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6" s="2" t="b">
        <v>0</v>
      </c>
      <c r="AY526"/>
      <c r="AZ526"/>
      <c r="BA526"/>
    </row>
    <row r="527" spans="1:53">
      <c r="A527" s="2" t="s">
        <v>553</v>
      </c>
      <c r="B527">
        <v>2011</v>
      </c>
      <c r="C527">
        <v>1</v>
      </c>
      <c r="D527" t="s">
        <v>1762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>
        <v>8</v>
      </c>
      <c r="K527" s="2" t="s">
        <v>23</v>
      </c>
      <c r="L527">
        <f>_xlfn.XLOOKUP("LOADINGSPEEDDEF_"&amp;PROPERTIES[[#This Row],[LOADINGSPEED]],LOADINGSPEEDDEF[TYPE],LOADINGSPEEDDEF[SPEED])</f>
        <v>40</v>
      </c>
      <c r="M527" t="s">
        <v>20</v>
      </c>
      <c r="N527"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>
        <v>40</v>
      </c>
      <c r="W527" s="9">
        <v>140</v>
      </c>
      <c r="X527" s="9">
        <v>8</v>
      </c>
      <c r="Y527" s="10">
        <v>0</v>
      </c>
      <c r="Z527" t="s">
        <v>904</v>
      </c>
      <c r="AA527" t="s">
        <v>903</v>
      </c>
      <c r="AB527" s="2" t="s">
        <v>921</v>
      </c>
      <c r="AC527" s="9" t="s">
        <v>995</v>
      </c>
      <c r="AD527" s="9" t="s">
        <v>996</v>
      </c>
      <c r="AE527" s="10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7" s="2" t="b">
        <v>0</v>
      </c>
      <c r="AY527"/>
      <c r="AZ527"/>
      <c r="BA527"/>
    </row>
    <row r="528" spans="1:53">
      <c r="A528" s="2" t="s">
        <v>554</v>
      </c>
      <c r="B528">
        <v>1969</v>
      </c>
      <c r="C528">
        <v>1</v>
      </c>
      <c r="D528" t="s">
        <v>1807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>
        <v>8</v>
      </c>
      <c r="K528" s="2" t="s">
        <v>23</v>
      </c>
      <c r="L528">
        <f>_xlfn.XLOOKUP("LOADINGSPEEDDEF_"&amp;PROPERTIES[[#This Row],[LOADINGSPEED]],LOADINGSPEEDDEF[TYPE],LOADINGSPEEDDEF[SPEED])</f>
        <v>40</v>
      </c>
      <c r="M528">
        <v>45</v>
      </c>
      <c r="N528"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>
        <v>25</v>
      </c>
      <c r="W528">
        <f>INT((192+266)/3)</f>
        <v>152</v>
      </c>
      <c r="X528" s="9">
        <v>8</v>
      </c>
      <c r="Y528" s="10">
        <v>0</v>
      </c>
      <c r="Z528" t="s">
        <v>904</v>
      </c>
      <c r="AA528" t="s">
        <v>903</v>
      </c>
      <c r="AB528" s="2" t="s">
        <v>921</v>
      </c>
      <c r="AC528" s="9" t="s">
        <v>995</v>
      </c>
      <c r="AD528" s="9" t="s">
        <v>996</v>
      </c>
      <c r="AE528" s="10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8" s="2" t="b">
        <v>0</v>
      </c>
      <c r="AY528"/>
      <c r="AZ528"/>
      <c r="BA528"/>
    </row>
    <row r="529" spans="1:53">
      <c r="A529" s="2" t="s">
        <v>555</v>
      </c>
      <c r="B529">
        <v>1998</v>
      </c>
      <c r="C529">
        <v>1</v>
      </c>
      <c r="D529" t="s">
        <v>1916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>
        <v>8</v>
      </c>
      <c r="K529" s="2" t="s">
        <v>478</v>
      </c>
      <c r="L529">
        <f>_xlfn.XLOOKUP("LOADINGSPEEDDEF_"&amp;PROPERTIES[[#This Row],[LOADINGSPEED]],LOADINGSPEEDDEF[TYPE],LOADINGSPEEDDEF[SPEED])</f>
        <v>16</v>
      </c>
      <c r="M529" t="s">
        <v>20</v>
      </c>
      <c r="N529"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>
        <v>25</v>
      </c>
      <c r="W529" s="9">
        <v>54</v>
      </c>
      <c r="X529" s="9">
        <v>8</v>
      </c>
      <c r="Y529" s="10">
        <v>0</v>
      </c>
      <c r="Z529" t="s">
        <v>908</v>
      </c>
      <c r="AA529" t="s">
        <v>903</v>
      </c>
      <c r="AB529" s="2" t="s">
        <v>921</v>
      </c>
      <c r="AC529" s="9" t="s">
        <v>995</v>
      </c>
      <c r="AD529" s="9" t="s">
        <v>996</v>
      </c>
      <c r="AE529" s="10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9" s="2" t="b">
        <v>0</v>
      </c>
      <c r="AY529"/>
      <c r="AZ529"/>
      <c r="BA529"/>
    </row>
    <row r="530" spans="1:53">
      <c r="A530" s="2" t="s">
        <v>556</v>
      </c>
      <c r="B530">
        <v>1942</v>
      </c>
      <c r="C530">
        <v>1</v>
      </c>
      <c r="D530" t="s">
        <v>1916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>
        <v>8</v>
      </c>
      <c r="K530" s="2" t="s">
        <v>23</v>
      </c>
      <c r="L530">
        <f>_xlfn.XLOOKUP("LOADINGSPEEDDEF_"&amp;PROPERTIES[[#This Row],[LOADINGSPEED]],LOADINGSPEEDDEF[TYPE],LOADINGSPEEDDEF[SPEED])</f>
        <v>40</v>
      </c>
      <c r="M530">
        <v>45</v>
      </c>
      <c r="N530"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>
        <v>25</v>
      </c>
      <c r="W530" s="9">
        <v>50</v>
      </c>
      <c r="X530" s="9">
        <v>7</v>
      </c>
      <c r="Y530" s="10">
        <v>0</v>
      </c>
      <c r="Z530" t="s">
        <v>908</v>
      </c>
      <c r="AA530" t="s">
        <v>903</v>
      </c>
      <c r="AB530" s="2" t="s">
        <v>921</v>
      </c>
      <c r="AC530" s="9" t="s">
        <v>995</v>
      </c>
      <c r="AD530" s="9" t="s">
        <v>996</v>
      </c>
      <c r="AE530" s="10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0" s="2" t="b">
        <v>0</v>
      </c>
      <c r="AY530"/>
      <c r="AZ530"/>
      <c r="BA530"/>
    </row>
    <row r="531" spans="1:53">
      <c r="A531" s="2" t="s">
        <v>557</v>
      </c>
      <c r="B531">
        <v>1990</v>
      </c>
      <c r="C531">
        <v>1</v>
      </c>
      <c r="D531" t="s">
        <v>1946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>
        <v>8</v>
      </c>
      <c r="K531" s="2" t="s">
        <v>478</v>
      </c>
      <c r="L531">
        <f>_xlfn.XLOOKUP("LOADINGSPEEDDEF_"&amp;PROPERTIES[[#This Row],[LOADINGSPEED]],LOADINGSPEEDDEF[TYPE],LOADINGSPEEDDEF[SPEED])</f>
        <v>16</v>
      </c>
      <c r="M531">
        <v>45</v>
      </c>
      <c r="N531"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>
        <v>25</v>
      </c>
      <c r="W531" s="9">
        <v>72</v>
      </c>
      <c r="X531" s="9">
        <v>8</v>
      </c>
      <c r="Y531" s="10">
        <v>0</v>
      </c>
      <c r="Z531" t="s">
        <v>908</v>
      </c>
      <c r="AA531" t="s">
        <v>903</v>
      </c>
      <c r="AB531" s="2" t="s">
        <v>921</v>
      </c>
      <c r="AC531" s="9" t="s">
        <v>995</v>
      </c>
      <c r="AD531" s="9" t="s">
        <v>996</v>
      </c>
      <c r="AE531" s="10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531" s="2" t="b">
        <v>0</v>
      </c>
      <c r="AY531"/>
      <c r="AZ531"/>
      <c r="BA531"/>
    </row>
    <row r="532" spans="1:53">
      <c r="A532" s="2" t="s">
        <v>558</v>
      </c>
      <c r="B532">
        <v>1965</v>
      </c>
      <c r="C532">
        <v>1</v>
      </c>
      <c r="D532" t="s">
        <v>1793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>
        <v>8</v>
      </c>
      <c r="K532" s="2" t="s">
        <v>23</v>
      </c>
      <c r="L532">
        <f>_xlfn.XLOOKUP("LOADINGSPEEDDEF_"&amp;PROPERTIES[[#This Row],[LOADINGSPEED]],LOADINGSPEEDDEF[TYPE],LOADINGSPEEDDEF[SPEED])</f>
        <v>40</v>
      </c>
      <c r="M532">
        <v>45</v>
      </c>
      <c r="N532"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>
        <v>25</v>
      </c>
      <c r="W532" s="9">
        <f>INT(200/3)</f>
        <v>66</v>
      </c>
      <c r="X532" s="9">
        <v>8</v>
      </c>
      <c r="Y532" s="10">
        <v>0</v>
      </c>
      <c r="Z532" t="s">
        <v>904</v>
      </c>
      <c r="AA532" t="s">
        <v>903</v>
      </c>
      <c r="AB532" s="2" t="s">
        <v>921</v>
      </c>
      <c r="AC532" s="9" t="s">
        <v>995</v>
      </c>
      <c r="AD532" s="9" t="s">
        <v>996</v>
      </c>
      <c r="AE532" s="10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2" s="2" t="b">
        <v>0</v>
      </c>
      <c r="AY532"/>
      <c r="AZ532"/>
      <c r="BA532"/>
    </row>
    <row r="533" spans="1:53">
      <c r="A533" s="2" t="s">
        <v>559</v>
      </c>
      <c r="B533">
        <v>1984</v>
      </c>
      <c r="C533">
        <v>1</v>
      </c>
      <c r="D533" t="s">
        <v>1793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>
        <v>8</v>
      </c>
      <c r="K533" s="2" t="s">
        <v>23</v>
      </c>
      <c r="L533">
        <f>_xlfn.XLOOKUP("LOADINGSPEEDDEF_"&amp;PROPERTIES[[#This Row],[LOADINGSPEED]],LOADINGSPEEDDEF[TYPE],LOADINGSPEEDDEF[SPEED])</f>
        <v>40</v>
      </c>
      <c r="M533">
        <v>45</v>
      </c>
      <c r="N533"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>
        <v>25</v>
      </c>
      <c r="W533" s="9">
        <v>56</v>
      </c>
      <c r="X533" s="9">
        <v>8</v>
      </c>
      <c r="Y533" s="10">
        <v>0</v>
      </c>
      <c r="Z533" t="s">
        <v>904</v>
      </c>
      <c r="AA533" t="s">
        <v>903</v>
      </c>
      <c r="AB533" s="2" t="s">
        <v>921</v>
      </c>
      <c r="AC533" s="9" t="s">
        <v>995</v>
      </c>
      <c r="AD533" s="9" t="s">
        <v>996</v>
      </c>
      <c r="AE533" s="10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3" s="2" t="b">
        <v>0</v>
      </c>
      <c r="AY533"/>
      <c r="AZ533"/>
      <c r="BA533"/>
    </row>
    <row r="534" spans="1:53">
      <c r="A534" s="2" t="s">
        <v>560</v>
      </c>
      <c r="B534">
        <v>2004</v>
      </c>
      <c r="C534">
        <v>1</v>
      </c>
      <c r="D534" t="s">
        <v>1793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>
        <v>8</v>
      </c>
      <c r="K534" s="2" t="s">
        <v>23</v>
      </c>
      <c r="L534">
        <f>_xlfn.XLOOKUP("LOADINGSPEEDDEF_"&amp;PROPERTIES[[#This Row],[LOADINGSPEED]],LOADINGSPEEDDEF[TYPE],LOADINGSPEEDDEF[SPEED])</f>
        <v>40</v>
      </c>
      <c r="M534" t="s">
        <v>20</v>
      </c>
      <c r="N534"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>
        <v>25</v>
      </c>
      <c r="W534" s="9">
        <v>50</v>
      </c>
      <c r="X534" s="9">
        <v>7</v>
      </c>
      <c r="Y534" s="10">
        <v>0</v>
      </c>
      <c r="Z534" t="s">
        <v>904</v>
      </c>
      <c r="AA534" t="s">
        <v>903</v>
      </c>
      <c r="AB534" s="2" t="s">
        <v>921</v>
      </c>
      <c r="AC534" s="9" t="s">
        <v>995</v>
      </c>
      <c r="AD534" s="9" t="s">
        <v>996</v>
      </c>
      <c r="AE534" s="10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4" s="2" t="b">
        <v>0</v>
      </c>
      <c r="AY534"/>
      <c r="AZ534"/>
      <c r="BA534"/>
    </row>
    <row r="535" spans="1:53">
      <c r="A535" s="2" t="s">
        <v>561</v>
      </c>
      <c r="B535">
        <v>1969</v>
      </c>
      <c r="C535">
        <v>1</v>
      </c>
      <c r="D535" t="s">
        <v>1981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>
        <v>8</v>
      </c>
      <c r="K535" s="2" t="s">
        <v>23</v>
      </c>
      <c r="L535">
        <f>_xlfn.XLOOKUP("LOADINGSPEEDDEF_"&amp;PROPERTIES[[#This Row],[LOADINGSPEED]],LOADINGSPEEDDEF[TYPE],LOADINGSPEEDDEF[SPEED])</f>
        <v>40</v>
      </c>
      <c r="M535">
        <v>45</v>
      </c>
      <c r="N535"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>
        <v>40</v>
      </c>
      <c r="W535">
        <v>76</v>
      </c>
      <c r="X535" s="9">
        <v>8</v>
      </c>
      <c r="Y535" s="10">
        <v>0</v>
      </c>
      <c r="Z535" t="s">
        <v>909</v>
      </c>
      <c r="AA535" t="s">
        <v>903</v>
      </c>
      <c r="AB535" s="2" t="s">
        <v>921</v>
      </c>
      <c r="AC535" s="9" t="s">
        <v>995</v>
      </c>
      <c r="AD535" s="9" t="s">
        <v>996</v>
      </c>
      <c r="AE535" s="10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5" s="2" t="b">
        <v>0</v>
      </c>
      <c r="AY535"/>
      <c r="AZ535"/>
      <c r="BA535"/>
    </row>
    <row r="536" spans="1:53">
      <c r="A536" s="2" t="s">
        <v>562</v>
      </c>
      <c r="B536">
        <v>2000</v>
      </c>
      <c r="C536">
        <v>1</v>
      </c>
      <c r="D536" t="s">
        <v>1807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>
        <v>7</v>
      </c>
      <c r="K536" s="2" t="s">
        <v>478</v>
      </c>
      <c r="L536">
        <f>_xlfn.XLOOKUP("LOADINGSPEEDDEF_"&amp;PROPERTIES[[#This Row],[LOADINGSPEED]],LOADINGSPEEDDEF[TYPE],LOADINGSPEEDDEF[SPEED])</f>
        <v>16</v>
      </c>
      <c r="M536" t="s">
        <v>20</v>
      </c>
      <c r="N536"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>
        <v>25</v>
      </c>
      <c r="W536" s="9">
        <f>INT(441/8)</f>
        <v>55</v>
      </c>
      <c r="X536" s="9">
        <v>8</v>
      </c>
      <c r="Y536" s="10">
        <v>0</v>
      </c>
      <c r="Z536" t="s">
        <v>904</v>
      </c>
      <c r="AA536" t="s">
        <v>903</v>
      </c>
      <c r="AB536" s="2" t="s">
        <v>921</v>
      </c>
      <c r="AC536" s="9" t="s">
        <v>995</v>
      </c>
      <c r="AD536" s="9" t="s">
        <v>996</v>
      </c>
      <c r="AE536" s="10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36" s="2" t="b">
        <v>0</v>
      </c>
      <c r="AY536"/>
      <c r="AZ536"/>
      <c r="BA536"/>
    </row>
    <row r="537" spans="1:53">
      <c r="A537" s="2" t="s">
        <v>563</v>
      </c>
      <c r="B537">
        <v>2005</v>
      </c>
      <c r="C537">
        <v>1</v>
      </c>
      <c r="D537" t="s">
        <v>1772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>
        <v>8</v>
      </c>
      <c r="K537" s="2" t="s">
        <v>23</v>
      </c>
      <c r="L537">
        <f>_xlfn.XLOOKUP("LOADINGSPEEDDEF_"&amp;PROPERTIES[[#This Row],[LOADINGSPEED]],LOADINGSPEEDDEF[TYPE],LOADINGSPEEDDEF[SPEED])</f>
        <v>40</v>
      </c>
      <c r="M537" t="s">
        <v>20</v>
      </c>
      <c r="N537"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>
        <v>25</v>
      </c>
      <c r="W537" s="9">
        <f>INT(190/2)</f>
        <v>95</v>
      </c>
      <c r="X537" s="9">
        <v>8</v>
      </c>
      <c r="Y537" s="10">
        <v>0</v>
      </c>
      <c r="Z537" t="s">
        <v>910</v>
      </c>
      <c r="AA537" t="s">
        <v>903</v>
      </c>
      <c r="AB537" s="2" t="s">
        <v>921</v>
      </c>
      <c r="AC537" s="9" t="s">
        <v>995</v>
      </c>
      <c r="AD537" s="9" t="s">
        <v>996</v>
      </c>
      <c r="AE537" s="10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7" s="2" t="b">
        <v>0</v>
      </c>
      <c r="AY537"/>
      <c r="AZ537"/>
      <c r="BA537"/>
    </row>
    <row r="538" spans="1:53">
      <c r="A538" s="2" t="s">
        <v>564</v>
      </c>
      <c r="B538">
        <v>1975</v>
      </c>
      <c r="C538">
        <v>1</v>
      </c>
      <c r="D538" t="s">
        <v>1820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>
        <v>8</v>
      </c>
      <c r="K538" s="2" t="s">
        <v>23</v>
      </c>
      <c r="L538">
        <f>_xlfn.XLOOKUP("LOADINGSPEEDDEF_"&amp;PROPERTIES[[#This Row],[LOADINGSPEED]],LOADINGSPEEDDEF[TYPE],LOADINGSPEEDDEF[SPEED])</f>
        <v>40</v>
      </c>
      <c r="M538">
        <v>45</v>
      </c>
      <c r="N538"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>
        <v>25</v>
      </c>
      <c r="W538" s="9">
        <v>100</v>
      </c>
      <c r="X538" s="9">
        <v>8</v>
      </c>
      <c r="Y538" s="10">
        <v>0</v>
      </c>
      <c r="Z538" t="s">
        <v>908</v>
      </c>
      <c r="AA538" t="s">
        <v>903</v>
      </c>
      <c r="AB538" s="2" t="s">
        <v>921</v>
      </c>
      <c r="AC538" s="9" t="s">
        <v>995</v>
      </c>
      <c r="AD538" s="9" t="s">
        <v>996</v>
      </c>
      <c r="AE538" s="10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8" s="2" t="b">
        <v>0</v>
      </c>
      <c r="AY538"/>
      <c r="AZ538"/>
      <c r="BA538"/>
    </row>
    <row r="539" spans="1:53">
      <c r="A539" s="2" t="s">
        <v>565</v>
      </c>
      <c r="B539">
        <v>1999</v>
      </c>
      <c r="C539">
        <v>1</v>
      </c>
      <c r="D539" t="s">
        <v>1820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>
        <v>8</v>
      </c>
      <c r="K539" s="2" t="s">
        <v>23</v>
      </c>
      <c r="L539">
        <f>_xlfn.XLOOKUP("LOADINGSPEEDDEF_"&amp;PROPERTIES[[#This Row],[LOADINGSPEED]],LOADINGSPEEDDEF[TYPE],LOADINGSPEEDDEF[SPEED])</f>
        <v>40</v>
      </c>
      <c r="M539" t="s">
        <v>20</v>
      </c>
      <c r="N539"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>
        <v>25</v>
      </c>
      <c r="W539" s="9">
        <f>184/2</f>
        <v>92</v>
      </c>
      <c r="X539" s="9">
        <v>8</v>
      </c>
      <c r="Y539" s="10">
        <v>0</v>
      </c>
      <c r="Z539" t="s">
        <v>908</v>
      </c>
      <c r="AA539" t="s">
        <v>903</v>
      </c>
      <c r="AB539" s="2" t="s">
        <v>921</v>
      </c>
      <c r="AC539" s="9" t="s">
        <v>995</v>
      </c>
      <c r="AD539" s="9" t="s">
        <v>996</v>
      </c>
      <c r="AE539" s="10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9" s="2" t="b">
        <v>0</v>
      </c>
      <c r="AY539"/>
      <c r="AZ539"/>
      <c r="BA539"/>
    </row>
    <row r="540" spans="1:53">
      <c r="A540" s="2" t="s">
        <v>566</v>
      </c>
      <c r="B540">
        <v>1988</v>
      </c>
      <c r="C540">
        <v>1</v>
      </c>
      <c r="D540" t="s">
        <v>1849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>
        <v>8</v>
      </c>
      <c r="K540" s="2" t="s">
        <v>23</v>
      </c>
      <c r="L540">
        <f>_xlfn.XLOOKUP("LOADINGSPEEDDEF_"&amp;PROPERTIES[[#This Row],[LOADINGSPEED]],LOADINGSPEEDDEF[TYPE],LOADINGSPEEDDEF[SPEED])</f>
        <v>40</v>
      </c>
      <c r="M540" t="s">
        <v>20</v>
      </c>
      <c r="N540"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>
        <v>25</v>
      </c>
      <c r="W540" s="9">
        <f>INT(344/4)</f>
        <v>86</v>
      </c>
      <c r="X540" s="9">
        <v>8</v>
      </c>
      <c r="Y540" s="10">
        <v>0</v>
      </c>
      <c r="Z540" t="s">
        <v>910</v>
      </c>
      <c r="AA540" t="s">
        <v>903</v>
      </c>
      <c r="AB540" s="2" t="s">
        <v>921</v>
      </c>
      <c r="AC540" s="9" t="s">
        <v>995</v>
      </c>
      <c r="AD540" s="9" t="s">
        <v>996</v>
      </c>
      <c r="AE540" s="10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0" s="2" t="b">
        <v>0</v>
      </c>
      <c r="AY540"/>
      <c r="AZ540"/>
      <c r="BA540"/>
    </row>
    <row r="541" spans="1:53">
      <c r="A541" s="2" t="s">
        <v>567</v>
      </c>
      <c r="B541">
        <v>2030</v>
      </c>
      <c r="C541">
        <v>1</v>
      </c>
      <c r="D541" t="s">
        <v>1999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>
        <v>8</v>
      </c>
      <c r="K541" s="2" t="s">
        <v>478</v>
      </c>
      <c r="L541">
        <f>_xlfn.XLOOKUP("LOADINGSPEEDDEF_"&amp;PROPERTIES[[#This Row],[LOADINGSPEED]],LOADINGSPEEDDEF[TYPE],LOADINGSPEEDDEF[SPEED])</f>
        <v>16</v>
      </c>
      <c r="M541" t="s">
        <v>20</v>
      </c>
      <c r="N541"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>
        <v>25</v>
      </c>
      <c r="W541" s="9">
        <v>85</v>
      </c>
      <c r="X541" s="9">
        <v>8</v>
      </c>
      <c r="Y541" s="10">
        <v>0</v>
      </c>
      <c r="Z541" t="s">
        <v>913</v>
      </c>
      <c r="AA541" t="s">
        <v>903</v>
      </c>
      <c r="AB541" s="2" t="s">
        <v>922</v>
      </c>
      <c r="AC541" s="9" t="s">
        <v>995</v>
      </c>
      <c r="AD541" s="9" t="s">
        <v>996</v>
      </c>
      <c r="AE541" s="10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1" s="2" t="b">
        <v>0</v>
      </c>
      <c r="AY541"/>
      <c r="AZ541"/>
      <c r="BA541"/>
    </row>
    <row r="542" spans="1:53">
      <c r="A542" s="2" t="s">
        <v>568</v>
      </c>
      <c r="B542">
        <v>1964</v>
      </c>
      <c r="C542">
        <v>1</v>
      </c>
      <c r="D542" t="s">
        <v>1863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>
        <v>8</v>
      </c>
      <c r="K542" s="2" t="s">
        <v>478</v>
      </c>
      <c r="L542">
        <f>_xlfn.XLOOKUP("LOADINGSPEEDDEF_"&amp;PROPERTIES[[#This Row],[LOADINGSPEED]],LOADINGSPEEDDEF[TYPE],LOADINGSPEEDDEF[SPEED])</f>
        <v>16</v>
      </c>
      <c r="M542">
        <v>45</v>
      </c>
      <c r="N542"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>
        <v>44</v>
      </c>
      <c r="W542" s="9">
        <v>100</v>
      </c>
      <c r="X542" s="9">
        <v>8</v>
      </c>
      <c r="Y542" s="10">
        <v>0</v>
      </c>
      <c r="Z542" t="s">
        <v>912</v>
      </c>
      <c r="AA542" t="s">
        <v>903</v>
      </c>
      <c r="AB542" s="2" t="s">
        <v>921</v>
      </c>
      <c r="AC542" s="9" t="s">
        <v>995</v>
      </c>
      <c r="AD542" s="9" t="s">
        <v>996</v>
      </c>
      <c r="AE542" s="10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2" s="2" t="b">
        <v>0</v>
      </c>
      <c r="AY542"/>
      <c r="AZ542"/>
      <c r="BA542"/>
    </row>
    <row r="543" spans="1:53">
      <c r="A543" s="2" t="s">
        <v>569</v>
      </c>
      <c r="B543">
        <v>1997</v>
      </c>
      <c r="C543">
        <v>1</v>
      </c>
      <c r="D543" t="s">
        <v>1863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>
        <v>8</v>
      </c>
      <c r="K543" s="2" t="s">
        <v>478</v>
      </c>
      <c r="L543">
        <f>_xlfn.XLOOKUP("LOADINGSPEEDDEF_"&amp;PROPERTIES[[#This Row],[LOADINGSPEED]],LOADINGSPEEDDEF[TYPE],LOADINGSPEEDDEF[SPEED])</f>
        <v>16</v>
      </c>
      <c r="M543" t="s">
        <v>20</v>
      </c>
      <c r="N543"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>
        <v>25</v>
      </c>
      <c r="W543" s="9">
        <v>100</v>
      </c>
      <c r="X543" s="9">
        <v>8</v>
      </c>
      <c r="Y543" s="10">
        <v>0</v>
      </c>
      <c r="Z543" t="s">
        <v>912</v>
      </c>
      <c r="AA543" t="s">
        <v>903</v>
      </c>
      <c r="AB543" s="2" t="s">
        <v>921</v>
      </c>
      <c r="AC543" s="9" t="s">
        <v>995</v>
      </c>
      <c r="AD543" s="9" t="s">
        <v>996</v>
      </c>
      <c r="AE543" s="10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3" s="2" t="b">
        <v>0</v>
      </c>
      <c r="AY543"/>
      <c r="AZ543"/>
      <c r="BA543"/>
    </row>
    <row r="544" spans="1:53">
      <c r="A544" s="2" t="s">
        <v>570</v>
      </c>
      <c r="B544">
        <v>1994</v>
      </c>
      <c r="C544">
        <v>1</v>
      </c>
      <c r="D544" t="s">
        <v>1863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>
        <v>8</v>
      </c>
      <c r="K544" s="2" t="s">
        <v>23</v>
      </c>
      <c r="L544">
        <f>_xlfn.XLOOKUP("LOADINGSPEEDDEF_"&amp;PROPERTIES[[#This Row],[LOADINGSPEED]],LOADINGSPEEDDEF[TYPE],LOADINGSPEEDDEF[SPEED])</f>
        <v>40</v>
      </c>
      <c r="M544">
        <v>45</v>
      </c>
      <c r="N544"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>
        <v>40</v>
      </c>
      <c r="W544" s="9">
        <v>103</v>
      </c>
      <c r="X544" s="9">
        <v>8</v>
      </c>
      <c r="Y544" s="10">
        <v>0</v>
      </c>
      <c r="Z544" t="s">
        <v>912</v>
      </c>
      <c r="AA544" t="s">
        <v>903</v>
      </c>
      <c r="AB544" s="2" t="s">
        <v>921</v>
      </c>
      <c r="AC544" s="9" t="s">
        <v>995</v>
      </c>
      <c r="AD544" s="9" t="s">
        <v>996</v>
      </c>
      <c r="AE544" s="10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4" s="2" t="b">
        <v>0</v>
      </c>
      <c r="AY544"/>
      <c r="AZ544"/>
      <c r="BA544"/>
    </row>
    <row r="545" spans="1:53">
      <c r="A545" s="2" t="s">
        <v>571</v>
      </c>
      <c r="B545">
        <v>1999</v>
      </c>
      <c r="C545">
        <v>1</v>
      </c>
      <c r="D545" t="s">
        <v>1883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>
        <v>8</v>
      </c>
      <c r="K545" s="2" t="s">
        <v>23</v>
      </c>
      <c r="L545">
        <f>_xlfn.XLOOKUP("LOADINGSPEEDDEF_"&amp;PROPERTIES[[#This Row],[LOADINGSPEED]],LOADINGSPEEDDEF[TYPE],LOADINGSPEEDDEF[SPEED])</f>
        <v>40</v>
      </c>
      <c r="M545" t="s">
        <v>20</v>
      </c>
      <c r="N545"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>
        <v>25</v>
      </c>
      <c r="W545" s="9">
        <v>111</v>
      </c>
      <c r="X545" s="9">
        <v>8</v>
      </c>
      <c r="Y545" s="10">
        <v>0</v>
      </c>
      <c r="Z545" t="s">
        <v>904</v>
      </c>
      <c r="AA545" t="s">
        <v>903</v>
      </c>
      <c r="AB545" s="2" t="s">
        <v>921</v>
      </c>
      <c r="AC545" s="9" t="s">
        <v>995</v>
      </c>
      <c r="AD545" s="9" t="s">
        <v>996</v>
      </c>
      <c r="AE545" s="10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5" s="2" t="b">
        <v>0</v>
      </c>
      <c r="AY545"/>
      <c r="AZ545"/>
      <c r="BA545"/>
    </row>
    <row r="546" spans="1:53">
      <c r="A546" s="2" t="s">
        <v>572</v>
      </c>
      <c r="B546">
        <v>1980</v>
      </c>
      <c r="C546">
        <v>1</v>
      </c>
      <c r="D546" t="s">
        <v>1893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>
        <v>8</v>
      </c>
      <c r="K546" s="2" t="s">
        <v>23</v>
      </c>
      <c r="L546">
        <f>_xlfn.XLOOKUP("LOADINGSPEEDDEF_"&amp;PROPERTIES[[#This Row],[LOADINGSPEED]],LOADINGSPEEDDEF[TYPE],LOADINGSPEEDDEF[SPEED])</f>
        <v>40</v>
      </c>
      <c r="M546">
        <v>45</v>
      </c>
      <c r="N546"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>
        <v>25</v>
      </c>
      <c r="W546" s="9">
        <v>68</v>
      </c>
      <c r="X546" s="9">
        <v>8</v>
      </c>
      <c r="Y546" s="10">
        <v>0</v>
      </c>
      <c r="Z546" t="s">
        <v>905</v>
      </c>
      <c r="AA546" t="s">
        <v>903</v>
      </c>
      <c r="AB546" s="2" t="s">
        <v>921</v>
      </c>
      <c r="AC546" s="9" t="s">
        <v>995</v>
      </c>
      <c r="AD546" s="9" t="s">
        <v>996</v>
      </c>
      <c r="AE546" s="10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6" s="2" t="b">
        <v>0</v>
      </c>
      <c r="AY546"/>
      <c r="AZ546"/>
      <c r="BA546"/>
    </row>
    <row r="547" spans="1:53">
      <c r="A547" s="2" t="s">
        <v>573</v>
      </c>
      <c r="B547">
        <v>1965</v>
      </c>
      <c r="C547">
        <v>1</v>
      </c>
      <c r="D547" t="s">
        <v>1938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>
        <v>8</v>
      </c>
      <c r="K547" s="2" t="s">
        <v>23</v>
      </c>
      <c r="L547">
        <f>_xlfn.XLOOKUP("LOADINGSPEEDDEF_"&amp;PROPERTIES[[#This Row],[LOADINGSPEED]],LOADINGSPEEDDEF[TYPE],LOADINGSPEEDDEF[SPEED])</f>
        <v>40</v>
      </c>
      <c r="M547">
        <v>45</v>
      </c>
      <c r="N547"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>
        <v>40</v>
      </c>
      <c r="W547" s="9">
        <f>INT(273/4)</f>
        <v>68</v>
      </c>
      <c r="X547" s="9">
        <v>8</v>
      </c>
      <c r="Y547" s="10">
        <v>0</v>
      </c>
      <c r="Z547" t="s">
        <v>910</v>
      </c>
      <c r="AA547" t="s">
        <v>903</v>
      </c>
      <c r="AB547" s="2" t="s">
        <v>921</v>
      </c>
      <c r="AC547" s="9" t="s">
        <v>995</v>
      </c>
      <c r="AD547" s="9" t="s">
        <v>996</v>
      </c>
      <c r="AE547" s="10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7" s="2" t="b">
        <v>0</v>
      </c>
      <c r="AY547"/>
      <c r="AZ547"/>
      <c r="BA547"/>
    </row>
    <row r="548" spans="1:53">
      <c r="A548" s="2" t="s">
        <v>574</v>
      </c>
      <c r="B548">
        <v>2010</v>
      </c>
      <c r="C548">
        <v>1</v>
      </c>
      <c r="D548" t="s">
        <v>1995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>
        <v>8</v>
      </c>
      <c r="K548" s="2" t="s">
        <v>478</v>
      </c>
      <c r="L548">
        <f>_xlfn.XLOOKUP("LOADINGSPEEDDEF_"&amp;PROPERTIES[[#This Row],[LOADINGSPEED]],LOADINGSPEEDDEF[TYPE],LOADINGSPEEDDEF[SPEED])</f>
        <v>16</v>
      </c>
      <c r="M548" t="s">
        <v>20</v>
      </c>
      <c r="N548"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>
        <v>25</v>
      </c>
      <c r="W548" s="9">
        <v>64</v>
      </c>
      <c r="X548" s="9">
        <v>8</v>
      </c>
      <c r="Y548" s="10">
        <v>0</v>
      </c>
      <c r="Z548" t="s">
        <v>907</v>
      </c>
      <c r="AA548" t="s">
        <v>903</v>
      </c>
      <c r="AB548" s="2" t="s">
        <v>921</v>
      </c>
      <c r="AC548" s="9" t="s">
        <v>995</v>
      </c>
      <c r="AD548" s="9" t="s">
        <v>996</v>
      </c>
      <c r="AE548" s="10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8" s="2" t="b">
        <v>0</v>
      </c>
      <c r="AY548"/>
      <c r="AZ548"/>
      <c r="BA548"/>
    </row>
    <row r="549" spans="1:53">
      <c r="A549" s="2" t="s">
        <v>575</v>
      </c>
      <c r="B549">
        <v>1955</v>
      </c>
      <c r="C549">
        <v>1</v>
      </c>
      <c r="D549" t="s">
        <v>2252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>
        <v>8</v>
      </c>
      <c r="K549" s="2" t="s">
        <v>23</v>
      </c>
      <c r="L549">
        <f>_xlfn.XLOOKUP("LOADINGSPEEDDEF_"&amp;PROPERTIES[[#This Row],[LOADINGSPEED]],LOADINGSPEEDDEF[TYPE],LOADINGSPEEDDEF[SPEED])</f>
        <v>40</v>
      </c>
      <c r="M549">
        <v>45</v>
      </c>
      <c r="N549"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>
        <v>25</v>
      </c>
      <c r="W549" s="9">
        <v>81</v>
      </c>
      <c r="X549" s="9">
        <v>8</v>
      </c>
      <c r="Y549" s="10">
        <v>0</v>
      </c>
      <c r="Z549" t="s">
        <v>912</v>
      </c>
      <c r="AA549" t="s">
        <v>903</v>
      </c>
      <c r="AB549" s="2" t="s">
        <v>921</v>
      </c>
      <c r="AC549" s="9" t="s">
        <v>995</v>
      </c>
      <c r="AD549" s="9" t="s">
        <v>996</v>
      </c>
      <c r="AE549" s="10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9" s="2" t="b">
        <v>0</v>
      </c>
      <c r="AY549"/>
      <c r="AZ549"/>
      <c r="BA549"/>
    </row>
    <row r="550" spans="1:53">
      <c r="A550" s="2" t="s">
        <v>576</v>
      </c>
      <c r="B550">
        <v>2010</v>
      </c>
      <c r="C550">
        <v>1</v>
      </c>
      <c r="D550" t="s">
        <v>1798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>
        <v>8</v>
      </c>
      <c r="K550" s="2" t="s">
        <v>23</v>
      </c>
      <c r="L550">
        <f>_xlfn.XLOOKUP("LOADINGSPEEDDEF_"&amp;PROPERTIES[[#This Row],[LOADINGSPEED]],LOADINGSPEEDDEF[TYPE],LOADINGSPEEDDEF[SPEED])</f>
        <v>40</v>
      </c>
      <c r="M550" t="s">
        <v>20</v>
      </c>
      <c r="N550"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>
        <v>25</v>
      </c>
      <c r="W550" s="9">
        <v>70</v>
      </c>
      <c r="X550" s="9">
        <v>8</v>
      </c>
      <c r="Y550" s="10">
        <v>0</v>
      </c>
      <c r="Z550" t="s">
        <v>912</v>
      </c>
      <c r="AA550" t="s">
        <v>903</v>
      </c>
      <c r="AB550" s="2" t="s">
        <v>921</v>
      </c>
      <c r="AC550" s="9" t="s">
        <v>995</v>
      </c>
      <c r="AD550" s="9" t="s">
        <v>996</v>
      </c>
      <c r="AE550" s="10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0" s="2" t="b">
        <v>0</v>
      </c>
      <c r="AY550"/>
      <c r="AZ550"/>
      <c r="BA550"/>
    </row>
    <row r="551" spans="1:53">
      <c r="A551" s="2" t="s">
        <v>577</v>
      </c>
      <c r="B551">
        <v>1908</v>
      </c>
      <c r="C551">
        <v>1</v>
      </c>
      <c r="D551" t="s">
        <v>1981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>
        <v>8</v>
      </c>
      <c r="K551" s="2" t="s">
        <v>23</v>
      </c>
      <c r="L551">
        <f>_xlfn.XLOOKUP("LOADINGSPEEDDEF_"&amp;PROPERTIES[[#This Row],[LOADINGSPEED]],LOADINGSPEEDDEF[TYPE],LOADINGSPEEDDEF[SPEED])</f>
        <v>40</v>
      </c>
      <c r="M551">
        <v>45</v>
      </c>
      <c r="N551"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>
        <v>25</v>
      </c>
      <c r="W551" s="9">
        <v>72</v>
      </c>
      <c r="X551" s="9">
        <v>8</v>
      </c>
      <c r="Y551" s="10">
        <v>0</v>
      </c>
      <c r="Z551" t="s">
        <v>909</v>
      </c>
      <c r="AA551" t="s">
        <v>903</v>
      </c>
      <c r="AB551" s="2" t="s">
        <v>921</v>
      </c>
      <c r="AC551" s="9" t="s">
        <v>983</v>
      </c>
      <c r="AD551" s="9" t="s">
        <v>984</v>
      </c>
      <c r="AE551" s="10" t="str">
        <f>SUBSTITUTE(SUBSTITUTE(PROPERTIES[[#This Row],[PURCHASECOST_VALUE]], "PURCHASECOST_", ""), "_VALUE", "")</f>
        <v>ELECTRICRAILBUS</v>
      </c>
      <c r="AF551" s="9" t="str" cm="1">
        <f t="array" ref="AF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1" s="2" t="b">
        <v>0</v>
      </c>
      <c r="AY551"/>
      <c r="AZ551"/>
      <c r="BA551"/>
    </row>
    <row r="552" spans="1:53">
      <c r="A552" s="2" t="s">
        <v>578</v>
      </c>
      <c r="B552">
        <v>2011</v>
      </c>
      <c r="C552">
        <v>1</v>
      </c>
      <c r="D552" t="s">
        <v>1859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>
        <v>8</v>
      </c>
      <c r="K552" s="2" t="s">
        <v>478</v>
      </c>
      <c r="L552">
        <f>_xlfn.XLOOKUP("LOADINGSPEEDDEF_"&amp;PROPERTIES[[#This Row],[LOADINGSPEED]],LOADINGSPEEDDEF[TYPE],LOADINGSPEEDDEF[SPEED])</f>
        <v>16</v>
      </c>
      <c r="M552" t="s">
        <v>20</v>
      </c>
      <c r="N552"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>
        <v>25</v>
      </c>
      <c r="W552" s="9">
        <v>42</v>
      </c>
      <c r="X552" s="9">
        <v>7</v>
      </c>
      <c r="Y552" s="10">
        <v>0</v>
      </c>
      <c r="Z552" t="s">
        <v>905</v>
      </c>
      <c r="AA552" t="s">
        <v>903</v>
      </c>
      <c r="AB552" s="2" t="s">
        <v>921</v>
      </c>
      <c r="AC552" s="9" t="s">
        <v>995</v>
      </c>
      <c r="AD552" s="9" t="s">
        <v>996</v>
      </c>
      <c r="AE552" s="10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2" s="2" t="b">
        <v>0</v>
      </c>
      <c r="AY552"/>
      <c r="AZ552"/>
      <c r="BA552"/>
    </row>
    <row r="553" spans="1:53">
      <c r="A553" s="2" t="s">
        <v>579</v>
      </c>
      <c r="B553">
        <v>2015</v>
      </c>
      <c r="C553">
        <v>1</v>
      </c>
      <c r="D553" t="s">
        <v>1859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>
        <v>8</v>
      </c>
      <c r="K553" s="2" t="s">
        <v>478</v>
      </c>
      <c r="L553">
        <f>_xlfn.XLOOKUP("LOADINGSPEEDDEF_"&amp;PROPERTIES[[#This Row],[LOADINGSPEED]],LOADINGSPEEDDEF[TYPE],LOADINGSPEEDDEF[SPEED])</f>
        <v>16</v>
      </c>
      <c r="M553" t="s">
        <v>20</v>
      </c>
      <c r="N553"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>
        <v>25</v>
      </c>
      <c r="W553" s="9">
        <v>100</v>
      </c>
      <c r="X553" s="9">
        <v>7</v>
      </c>
      <c r="Y553" s="10">
        <v>0</v>
      </c>
      <c r="Z553" t="s">
        <v>905</v>
      </c>
      <c r="AA553" t="s">
        <v>903</v>
      </c>
      <c r="AB553" s="2" t="s">
        <v>921</v>
      </c>
      <c r="AC553" s="9" t="s">
        <v>995</v>
      </c>
      <c r="AD553" s="9" t="s">
        <v>996</v>
      </c>
      <c r="AE553" s="10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3" s="2" t="b">
        <v>0</v>
      </c>
      <c r="AY553"/>
      <c r="AZ553"/>
      <c r="BA553"/>
    </row>
    <row r="554" spans="1:53">
      <c r="A554" s="2" t="s">
        <v>580</v>
      </c>
      <c r="B554">
        <v>2012</v>
      </c>
      <c r="C554">
        <v>1</v>
      </c>
      <c r="D554" t="s">
        <v>1915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>
        <v>8</v>
      </c>
      <c r="K554" s="2" t="s">
        <v>23</v>
      </c>
      <c r="L554">
        <f>_xlfn.XLOOKUP("LOADINGSPEEDDEF_"&amp;PROPERTIES[[#This Row],[LOADINGSPEED]],LOADINGSPEEDDEF[TYPE],LOADINGSPEEDDEF[SPEED])</f>
        <v>40</v>
      </c>
      <c r="M554" t="s">
        <v>20</v>
      </c>
      <c r="N554"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>
        <v>25</v>
      </c>
      <c r="W554" s="9">
        <v>71</v>
      </c>
      <c r="X554" s="9">
        <v>8</v>
      </c>
      <c r="Y554" s="10">
        <v>0</v>
      </c>
      <c r="Z554" t="s">
        <v>904</v>
      </c>
      <c r="AA554" t="s">
        <v>903</v>
      </c>
      <c r="AB554" s="2" t="s">
        <v>921</v>
      </c>
      <c r="AC554" s="9" t="s">
        <v>995</v>
      </c>
      <c r="AD554" s="9" t="s">
        <v>996</v>
      </c>
      <c r="AE554" s="10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4" s="2" t="b">
        <v>0</v>
      </c>
      <c r="AY554"/>
      <c r="AZ554"/>
      <c r="BA554"/>
    </row>
    <row r="555" spans="1:53">
      <c r="A555" s="2" t="s">
        <v>581</v>
      </c>
      <c r="B555">
        <v>2012</v>
      </c>
      <c r="C555">
        <v>1</v>
      </c>
      <c r="D555" t="s">
        <v>1915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>
        <v>8</v>
      </c>
      <c r="K555" s="2" t="s">
        <v>478</v>
      </c>
      <c r="L555">
        <f>_xlfn.XLOOKUP("LOADINGSPEEDDEF_"&amp;PROPERTIES[[#This Row],[LOADINGSPEED]],LOADINGSPEEDDEF[TYPE],LOADINGSPEEDDEF[SPEED])</f>
        <v>16</v>
      </c>
      <c r="M555" t="s">
        <v>20</v>
      </c>
      <c r="N555"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>
        <v>25</v>
      </c>
      <c r="W555" s="9">
        <v>42</v>
      </c>
      <c r="X555" s="9">
        <v>8</v>
      </c>
      <c r="Y555" s="10">
        <v>0</v>
      </c>
      <c r="Z555" t="s">
        <v>904</v>
      </c>
      <c r="AA555" t="s">
        <v>903</v>
      </c>
      <c r="AB555" s="2" t="s">
        <v>922</v>
      </c>
      <c r="AC555" s="9" t="s">
        <v>995</v>
      </c>
      <c r="AD555" s="9" t="s">
        <v>996</v>
      </c>
      <c r="AE555" s="10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5" s="2" t="b">
        <v>0</v>
      </c>
      <c r="AY555"/>
      <c r="AZ555"/>
      <c r="BA555"/>
    </row>
    <row r="556" spans="1:53">
      <c r="A556" s="2" t="s">
        <v>582</v>
      </c>
      <c r="B556">
        <v>1961</v>
      </c>
      <c r="C556">
        <v>1</v>
      </c>
      <c r="D556" t="s">
        <v>1793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>
        <v>8</v>
      </c>
      <c r="K556" s="2" t="s">
        <v>478</v>
      </c>
      <c r="L556">
        <f>_xlfn.XLOOKUP("LOADINGSPEEDDEF_"&amp;PROPERTIES[[#This Row],[LOADINGSPEED]],LOADINGSPEEDDEF[TYPE],LOADINGSPEEDDEF[SPEED])</f>
        <v>16</v>
      </c>
      <c r="M556">
        <v>45</v>
      </c>
      <c r="N556"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>
        <v>25</v>
      </c>
      <c r="W556" s="9">
        <f>INT(168+126+54)/6</f>
        <v>58</v>
      </c>
      <c r="X556" s="9">
        <v>8</v>
      </c>
      <c r="Y556" s="10">
        <v>0</v>
      </c>
      <c r="Z556" t="s">
        <v>904</v>
      </c>
      <c r="AA556" t="s">
        <v>903</v>
      </c>
      <c r="AB556" s="2" t="s">
        <v>921</v>
      </c>
      <c r="AC556" s="9" t="s">
        <v>995</v>
      </c>
      <c r="AD556" s="9" t="s">
        <v>996</v>
      </c>
      <c r="AE556" s="10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56" s="2" t="b">
        <v>0</v>
      </c>
      <c r="AY556"/>
      <c r="AZ556"/>
      <c r="BA556"/>
    </row>
    <row r="557" spans="1:53">
      <c r="A557" s="2" t="s">
        <v>583</v>
      </c>
      <c r="B557">
        <v>1930</v>
      </c>
      <c r="C557">
        <v>1</v>
      </c>
      <c r="D557" t="s">
        <v>1981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>
        <v>8</v>
      </c>
      <c r="K557" s="2" t="s">
        <v>23</v>
      </c>
      <c r="L557">
        <f>_xlfn.XLOOKUP("LOADINGSPEEDDEF_"&amp;PROPERTIES[[#This Row],[LOADINGSPEED]],LOADINGSPEEDDEF[TYPE],LOADINGSPEEDDEF[SPEED])</f>
        <v>40</v>
      </c>
      <c r="M557">
        <v>45</v>
      </c>
      <c r="N557"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>
        <v>25</v>
      </c>
      <c r="W557" s="9">
        <v>84</v>
      </c>
      <c r="X557" s="9">
        <v>8</v>
      </c>
      <c r="Y557" s="10">
        <v>0</v>
      </c>
      <c r="Z557" t="s">
        <v>909</v>
      </c>
      <c r="AA557" t="s">
        <v>903</v>
      </c>
      <c r="AB557" s="2" t="s">
        <v>921</v>
      </c>
      <c r="AC557" s="9" t="s">
        <v>995</v>
      </c>
      <c r="AD557" s="9" t="s">
        <v>996</v>
      </c>
      <c r="AE557" s="10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7" s="2" t="b">
        <v>0</v>
      </c>
      <c r="AY557"/>
      <c r="AZ557"/>
      <c r="BA557"/>
    </row>
    <row r="558" spans="1:53">
      <c r="A558" s="2" t="s">
        <v>584</v>
      </c>
      <c r="B558">
        <v>1981</v>
      </c>
      <c r="C558">
        <v>1</v>
      </c>
      <c r="D558" t="s">
        <v>1825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>
        <v>8</v>
      </c>
      <c r="K558" s="2" t="s">
        <v>478</v>
      </c>
      <c r="L558">
        <f>_xlfn.XLOOKUP("LOADINGSPEEDDEF_"&amp;PROPERTIES[[#This Row],[LOADINGSPEED]],LOADINGSPEEDDEF[TYPE],LOADINGSPEEDDEF[SPEED])</f>
        <v>16</v>
      </c>
      <c r="M558">
        <v>45</v>
      </c>
      <c r="N558"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>
        <v>25</v>
      </c>
      <c r="W558" s="9">
        <v>43</v>
      </c>
      <c r="X558" s="9">
        <v>6</v>
      </c>
      <c r="Y558" s="10">
        <v>0</v>
      </c>
      <c r="Z558" t="s">
        <v>904</v>
      </c>
      <c r="AA558" t="s">
        <v>903</v>
      </c>
      <c r="AB558" s="2" t="s">
        <v>921</v>
      </c>
      <c r="AC558" s="9" t="s">
        <v>995</v>
      </c>
      <c r="AD558" s="9" t="s">
        <v>996</v>
      </c>
      <c r="AE558" s="10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58" s="2" t="b">
        <v>0</v>
      </c>
      <c r="AY558"/>
      <c r="AZ558"/>
      <c r="BA558"/>
    </row>
    <row r="559" spans="1:53">
      <c r="A559" s="2" t="s">
        <v>585</v>
      </c>
      <c r="B559">
        <v>1995</v>
      </c>
      <c r="C559">
        <v>1</v>
      </c>
      <c r="D559" t="s">
        <v>1825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>
        <v>8</v>
      </c>
      <c r="K559" s="2" t="s">
        <v>478</v>
      </c>
      <c r="L559">
        <f>_xlfn.XLOOKUP("LOADINGSPEEDDEF_"&amp;PROPERTIES[[#This Row],[LOADINGSPEED]],LOADINGSPEEDDEF[TYPE],LOADINGSPEEDDEF[SPEED])</f>
        <v>16</v>
      </c>
      <c r="M559" t="s">
        <v>20</v>
      </c>
      <c r="N559"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>
        <v>25</v>
      </c>
      <c r="W559" s="9">
        <v>72</v>
      </c>
      <c r="X559" s="9">
        <v>6</v>
      </c>
      <c r="Y559" s="10">
        <v>0</v>
      </c>
      <c r="Z559" t="s">
        <v>904</v>
      </c>
      <c r="AA559" t="s">
        <v>903</v>
      </c>
      <c r="AB559" s="2" t="s">
        <v>921</v>
      </c>
      <c r="AC559" s="9" t="s">
        <v>995</v>
      </c>
      <c r="AD559" s="9" t="s">
        <v>996</v>
      </c>
      <c r="AE559" s="10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59" s="2" t="b">
        <v>0</v>
      </c>
      <c r="AY559"/>
      <c r="AZ559"/>
      <c r="BA559"/>
    </row>
    <row r="560" spans="1:53">
      <c r="A560" s="2" t="s">
        <v>586</v>
      </c>
      <c r="B560">
        <v>1995</v>
      </c>
      <c r="C560">
        <v>1</v>
      </c>
      <c r="D560" t="s">
        <v>1825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>
        <v>8</v>
      </c>
      <c r="K560" s="2" t="s">
        <v>478</v>
      </c>
      <c r="L560">
        <f>_xlfn.XLOOKUP("LOADINGSPEEDDEF_"&amp;PROPERTIES[[#This Row],[LOADINGSPEED]],LOADINGSPEEDDEF[TYPE],LOADINGSPEEDDEF[SPEED])</f>
        <v>16</v>
      </c>
      <c r="M560" t="s">
        <v>20</v>
      </c>
      <c r="N560"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>
        <v>25</v>
      </c>
      <c r="W560" s="9">
        <v>47</v>
      </c>
      <c r="X560" s="9">
        <v>6</v>
      </c>
      <c r="Y560" s="10">
        <v>0</v>
      </c>
      <c r="Z560" t="s">
        <v>904</v>
      </c>
      <c r="AA560" t="s">
        <v>903</v>
      </c>
      <c r="AB560" s="2" t="s">
        <v>921</v>
      </c>
      <c r="AC560" s="9" t="s">
        <v>995</v>
      </c>
      <c r="AD560" s="9" t="s">
        <v>996</v>
      </c>
      <c r="AE560" s="10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0" s="2" t="b">
        <v>0</v>
      </c>
      <c r="AY560"/>
      <c r="AZ560"/>
      <c r="BA560"/>
    </row>
    <row r="561" spans="1:53">
      <c r="A561" s="2" t="s">
        <v>587</v>
      </c>
      <c r="B561">
        <v>1999</v>
      </c>
      <c r="C561">
        <v>1</v>
      </c>
      <c r="D561" t="s">
        <v>1806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>
        <v>8</v>
      </c>
      <c r="K561" s="2" t="s">
        <v>478</v>
      </c>
      <c r="L561">
        <f>_xlfn.XLOOKUP("LOADINGSPEEDDEF_"&amp;PROPERTIES[[#This Row],[LOADINGSPEED]],LOADINGSPEEDDEF[TYPE],LOADINGSPEEDDEF[SPEED])</f>
        <v>16</v>
      </c>
      <c r="M561" t="s">
        <v>20</v>
      </c>
      <c r="N561"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>
        <v>25</v>
      </c>
      <c r="W561" s="9">
        <v>47</v>
      </c>
      <c r="X561" s="9">
        <v>8</v>
      </c>
      <c r="Y561" s="10">
        <v>0</v>
      </c>
      <c r="Z561" t="s">
        <v>910</v>
      </c>
      <c r="AA561" t="s">
        <v>903</v>
      </c>
      <c r="AB561" s="2" t="s">
        <v>921</v>
      </c>
      <c r="AC561" s="9" t="s">
        <v>995</v>
      </c>
      <c r="AD561" s="9" t="s">
        <v>996</v>
      </c>
      <c r="AE561" s="10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61" s="2" t="b">
        <v>0</v>
      </c>
      <c r="AY561"/>
      <c r="AZ561"/>
      <c r="BA561"/>
    </row>
    <row r="562" spans="1:53">
      <c r="A562" s="2" t="s">
        <v>588</v>
      </c>
      <c r="B562">
        <v>2001</v>
      </c>
      <c r="C562">
        <v>1</v>
      </c>
      <c r="D562" t="s">
        <v>1818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>
        <v>8</v>
      </c>
      <c r="K562" s="2" t="s">
        <v>23</v>
      </c>
      <c r="L562">
        <f>_xlfn.XLOOKUP("LOADINGSPEEDDEF_"&amp;PROPERTIES[[#This Row],[LOADINGSPEED]],LOADINGSPEEDDEF[TYPE],LOADINGSPEEDDEF[SPEED])</f>
        <v>40</v>
      </c>
      <c r="M562" t="s">
        <v>20</v>
      </c>
      <c r="N562"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>
        <v>25</v>
      </c>
      <c r="W562" s="9">
        <v>60</v>
      </c>
      <c r="X562" s="9">
        <v>8</v>
      </c>
      <c r="Y562" s="10">
        <v>0</v>
      </c>
      <c r="Z562" t="s">
        <v>905</v>
      </c>
      <c r="AA562" t="s">
        <v>903</v>
      </c>
      <c r="AB562" s="2" t="s">
        <v>921</v>
      </c>
      <c r="AC562" s="9" t="s">
        <v>995</v>
      </c>
      <c r="AD562" s="9" t="s">
        <v>996</v>
      </c>
      <c r="AE562" s="10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62" s="2" t="b">
        <v>0</v>
      </c>
      <c r="AY562"/>
      <c r="AZ562"/>
      <c r="BA562"/>
    </row>
    <row r="563" spans="1:53">
      <c r="A563" s="2" t="s">
        <v>589</v>
      </c>
      <c r="B563">
        <v>1999</v>
      </c>
      <c r="C563">
        <v>1</v>
      </c>
      <c r="D563" t="s">
        <v>1981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>
        <v>8</v>
      </c>
      <c r="K563" s="2" t="s">
        <v>23</v>
      </c>
      <c r="L563">
        <f>_xlfn.XLOOKUP("LOADINGSPEEDDEF_"&amp;PROPERTIES[[#This Row],[LOADINGSPEED]],LOADINGSPEEDDEF[TYPE],LOADINGSPEEDDEF[SPEED])</f>
        <v>40</v>
      </c>
      <c r="M563">
        <v>45</v>
      </c>
      <c r="N563"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>
        <v>40</v>
      </c>
      <c r="W563" s="9">
        <v>50</v>
      </c>
      <c r="X563" s="9">
        <v>8</v>
      </c>
      <c r="Y563" s="10">
        <v>0</v>
      </c>
      <c r="Z563" t="s">
        <v>909</v>
      </c>
      <c r="AA563" t="s">
        <v>903</v>
      </c>
      <c r="AB563" s="2" t="s">
        <v>921</v>
      </c>
      <c r="AC563" s="9" t="s">
        <v>995</v>
      </c>
      <c r="AD563" s="9" t="s">
        <v>996</v>
      </c>
      <c r="AE563" s="10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3" s="2" t="b">
        <v>0</v>
      </c>
      <c r="AY563"/>
      <c r="AZ563"/>
      <c r="BA563"/>
    </row>
    <row r="564" spans="1:53">
      <c r="A564" s="2" t="s">
        <v>590</v>
      </c>
      <c r="B564">
        <v>1880</v>
      </c>
      <c r="C564">
        <v>0</v>
      </c>
      <c r="D564" t="s">
        <v>1981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324</v>
      </c>
      <c r="H564">
        <v>48</v>
      </c>
      <c r="I564">
        <v>7</v>
      </c>
      <c r="J564">
        <v>7</v>
      </c>
      <c r="K564" s="2" t="s">
        <v>325</v>
      </c>
      <c r="L564">
        <f>_xlfn.XLOOKUP("LOADINGSPEEDDEF_"&amp;PROPERTIES[[#This Row],[LOADINGSPEED]],LOADINGSPEEDDEF[TYPE],LOADINGSPEEDDEF[SPEED])</f>
        <v>120</v>
      </c>
      <c r="M564">
        <v>45</v>
      </c>
      <c r="N564"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>
        <v>60</v>
      </c>
      <c r="W564" s="9">
        <v>0</v>
      </c>
      <c r="X564" s="9">
        <v>0</v>
      </c>
      <c r="Y564" s="10">
        <v>0</v>
      </c>
      <c r="Z564" t="s">
        <v>909</v>
      </c>
      <c r="AA564" t="s">
        <v>903</v>
      </c>
      <c r="AB564" s="2" t="s">
        <v>921</v>
      </c>
      <c r="AC564" s="9" t="s">
        <v>997</v>
      </c>
      <c r="AD564" s="9" t="s">
        <v>998</v>
      </c>
      <c r="AE564" s="10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4" s="2" t="b">
        <v>0</v>
      </c>
      <c r="AY564"/>
      <c r="AZ564"/>
      <c r="BA564"/>
    </row>
    <row r="565" spans="1:53">
      <c r="A565" s="2" t="s">
        <v>591</v>
      </c>
      <c r="B565">
        <v>1903</v>
      </c>
      <c r="C565">
        <v>0</v>
      </c>
      <c r="D565" t="s">
        <v>1849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324</v>
      </c>
      <c r="H565">
        <v>46</v>
      </c>
      <c r="I565">
        <v>8</v>
      </c>
      <c r="J565">
        <v>8</v>
      </c>
      <c r="K565" s="2" t="s">
        <v>325</v>
      </c>
      <c r="L565">
        <f>_xlfn.XLOOKUP("LOADINGSPEEDDEF_"&amp;PROPERTIES[[#This Row],[LOADINGSPEED]],LOADINGSPEEDDEF[TYPE],LOADINGSPEEDDEF[SPEED])</f>
        <v>120</v>
      </c>
      <c r="M565">
        <v>45</v>
      </c>
      <c r="N565"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>
        <v>60</v>
      </c>
      <c r="W565" s="9">
        <v>0</v>
      </c>
      <c r="X565" s="9">
        <v>0</v>
      </c>
      <c r="Y565" s="10">
        <v>0</v>
      </c>
      <c r="Z565" t="s">
        <v>910</v>
      </c>
      <c r="AA565" t="s">
        <v>903</v>
      </c>
      <c r="AB565" s="2" t="s">
        <v>921</v>
      </c>
      <c r="AC565" s="9" t="s">
        <v>997</v>
      </c>
      <c r="AD565" s="9" t="s">
        <v>998</v>
      </c>
      <c r="AE565" s="10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5" s="2" t="b">
        <v>0</v>
      </c>
      <c r="AY565"/>
      <c r="AZ565"/>
      <c r="BA565"/>
    </row>
    <row r="566" spans="1:53">
      <c r="A566" s="2" t="s">
        <v>592</v>
      </c>
      <c r="B566">
        <v>1907</v>
      </c>
      <c r="C566">
        <v>0</v>
      </c>
      <c r="D566" t="s">
        <v>1981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324</v>
      </c>
      <c r="H566">
        <v>130</v>
      </c>
      <c r="I566">
        <v>8</v>
      </c>
      <c r="J566">
        <v>8</v>
      </c>
      <c r="K566" s="2" t="s">
        <v>325</v>
      </c>
      <c r="L566">
        <f>_xlfn.XLOOKUP("LOADINGSPEEDDEF_"&amp;PROPERTIES[[#This Row],[LOADINGSPEED]],LOADINGSPEEDDEF[TYPE],LOADINGSPEEDDEF[SPEED])</f>
        <v>120</v>
      </c>
      <c r="M566">
        <v>45</v>
      </c>
      <c r="N566"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>
        <v>60</v>
      </c>
      <c r="W566" s="9">
        <v>0</v>
      </c>
      <c r="X566" s="9">
        <v>0</v>
      </c>
      <c r="Y566" s="10">
        <v>0</v>
      </c>
      <c r="Z566" t="s">
        <v>909</v>
      </c>
      <c r="AA566" t="s">
        <v>903</v>
      </c>
      <c r="AB566" s="2" t="s">
        <v>921</v>
      </c>
      <c r="AC566" s="9" t="s">
        <v>997</v>
      </c>
      <c r="AD566" s="9" t="s">
        <v>998</v>
      </c>
      <c r="AE566" s="10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6" s="2" t="b">
        <v>0</v>
      </c>
      <c r="AY566"/>
      <c r="AZ566"/>
      <c r="BA566"/>
    </row>
    <row r="567" spans="1:53">
      <c r="A567" s="2" t="s">
        <v>593</v>
      </c>
      <c r="B567">
        <v>1929</v>
      </c>
      <c r="C567">
        <v>0</v>
      </c>
      <c r="D567" t="s">
        <v>1807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324</v>
      </c>
      <c r="H567">
        <v>157</v>
      </c>
      <c r="I567">
        <v>8</v>
      </c>
      <c r="J567">
        <v>8</v>
      </c>
      <c r="K567" s="2" t="s">
        <v>325</v>
      </c>
      <c r="L567">
        <f>_xlfn.XLOOKUP("LOADINGSPEEDDEF_"&amp;PROPERTIES[[#This Row],[LOADINGSPEED]],LOADINGSPEEDDEF[TYPE],LOADINGSPEEDDEF[SPEED])</f>
        <v>120</v>
      </c>
      <c r="M567">
        <v>45</v>
      </c>
      <c r="N567"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>
        <v>60</v>
      </c>
      <c r="W567" s="9">
        <v>0</v>
      </c>
      <c r="X567" s="9">
        <v>0</v>
      </c>
      <c r="Y567" s="10">
        <v>0</v>
      </c>
      <c r="Z567" t="s">
        <v>904</v>
      </c>
      <c r="AA567" t="s">
        <v>903</v>
      </c>
      <c r="AB567" s="2" t="s">
        <v>921</v>
      </c>
      <c r="AC567" s="9" t="s">
        <v>997</v>
      </c>
      <c r="AD567" s="9" t="s">
        <v>998</v>
      </c>
      <c r="AE567" s="10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7" s="2" t="b">
        <v>0</v>
      </c>
      <c r="AY567"/>
      <c r="AZ567"/>
      <c r="BA567"/>
    </row>
    <row r="568" spans="1:53">
      <c r="A568" s="2" t="s">
        <v>594</v>
      </c>
      <c r="B568">
        <v>2040</v>
      </c>
      <c r="C568">
        <v>0</v>
      </c>
      <c r="D568" t="s">
        <v>2253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s="2" t="s">
        <v>23</v>
      </c>
      <c r="L568">
        <f>_xlfn.XLOOKUP("LOADINGSPEEDDEF_"&amp;PROPERTIES[[#This Row],[LOADINGSPEED]],LOADINGSPEEDDEF[TYPE],LOADINGSPEEDDEF[SPEED])</f>
        <v>40</v>
      </c>
      <c r="M568" t="s">
        <v>20</v>
      </c>
      <c r="N568"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>
        <v>15</v>
      </c>
      <c r="W568" s="9">
        <v>0</v>
      </c>
      <c r="X568" s="9">
        <v>2</v>
      </c>
      <c r="Y568" s="10">
        <v>0</v>
      </c>
      <c r="Z568" t="s">
        <v>917</v>
      </c>
      <c r="AA568" t="s">
        <v>903</v>
      </c>
      <c r="AB568" s="2" t="s">
        <v>922</v>
      </c>
      <c r="AC568" s="9" t="s">
        <v>999</v>
      </c>
      <c r="AD568" s="9" t="s">
        <v>1000</v>
      </c>
      <c r="AE568" s="10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68" s="2" t="b">
        <v>0</v>
      </c>
      <c r="AY568"/>
      <c r="AZ568"/>
      <c r="BA568"/>
    </row>
    <row r="569" spans="1:53">
      <c r="A569" s="2" t="s">
        <v>595</v>
      </c>
      <c r="B569">
        <v>2005</v>
      </c>
      <c r="C569">
        <v>0</v>
      </c>
      <c r="D569" t="s">
        <v>1807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s="2" t="s">
        <v>19</v>
      </c>
      <c r="L569">
        <f>_xlfn.XLOOKUP("LOADINGSPEEDDEF_"&amp;PROPERTIES[[#This Row],[LOADINGSPEED]],LOADINGSPEEDDEF[TYPE],LOADINGSPEEDDEF[SPEED])</f>
        <v>0</v>
      </c>
      <c r="M569" t="s">
        <v>20</v>
      </c>
      <c r="N569">
        <v>1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>
        <v>40</v>
      </c>
      <c r="W569" s="9">
        <v>0</v>
      </c>
      <c r="X569" s="9">
        <v>0</v>
      </c>
      <c r="Y569" s="10">
        <v>0</v>
      </c>
      <c r="Z569" t="s">
        <v>904</v>
      </c>
      <c r="AA569" t="s">
        <v>903</v>
      </c>
      <c r="AB569" s="2" t="s">
        <v>922</v>
      </c>
      <c r="AC569" s="9" t="s">
        <v>3071</v>
      </c>
      <c r="AD569" s="9" t="s">
        <v>3072</v>
      </c>
      <c r="AE569" s="10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9" s="2" t="b">
        <v>0</v>
      </c>
      <c r="AY569"/>
      <c r="AZ569"/>
      <c r="BA569"/>
    </row>
    <row r="570" spans="1:53">
      <c r="A570" s="2" t="s">
        <v>596</v>
      </c>
      <c r="B570">
        <v>2004</v>
      </c>
      <c r="C570">
        <v>1</v>
      </c>
      <c r="D570" t="s">
        <v>1798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s="2" t="s">
        <v>478</v>
      </c>
      <c r="L570">
        <f>_xlfn.XLOOKUP("LOADINGSPEEDDEF_"&amp;PROPERTIES[[#This Row],[LOADINGSPEED]],LOADINGSPEEDDEF[TYPE],LOADINGSPEEDDEF[SPEED])</f>
        <v>16</v>
      </c>
      <c r="M570" t="s">
        <v>20</v>
      </c>
      <c r="N570"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>
        <v>25</v>
      </c>
      <c r="W570" s="9">
        <v>55</v>
      </c>
      <c r="X570" s="9">
        <v>8</v>
      </c>
      <c r="Y570" s="10">
        <v>0</v>
      </c>
      <c r="Z570" t="s">
        <v>912</v>
      </c>
      <c r="AA570" t="s">
        <v>903</v>
      </c>
      <c r="AB570" s="2" t="s">
        <v>921</v>
      </c>
      <c r="AC570" s="9" t="s">
        <v>977</v>
      </c>
      <c r="AD570" s="9" t="s">
        <v>978</v>
      </c>
      <c r="AE570" s="10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70" s="2" t="b">
        <v>0</v>
      </c>
      <c r="AY570"/>
      <c r="AZ570"/>
      <c r="BA570"/>
    </row>
    <row r="571" spans="1:53">
      <c r="A571" s="2" t="s">
        <v>597</v>
      </c>
      <c r="B571">
        <v>2025</v>
      </c>
      <c r="C571">
        <v>1</v>
      </c>
      <c r="D571" t="s">
        <v>1863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s="2" t="s">
        <v>478</v>
      </c>
      <c r="L571">
        <f>_xlfn.XLOOKUP("LOADINGSPEEDDEF_"&amp;PROPERTIES[[#This Row],[LOADINGSPEED]],LOADINGSPEEDDEF[TYPE],LOADINGSPEEDDEF[SPEED])</f>
        <v>16</v>
      </c>
      <c r="M571" t="s">
        <v>20</v>
      </c>
      <c r="N571"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>
        <v>25</v>
      </c>
      <c r="W571" s="9">
        <v>60</v>
      </c>
      <c r="X571" s="9">
        <v>8</v>
      </c>
      <c r="Y571" s="10">
        <v>0</v>
      </c>
      <c r="Z571" t="s">
        <v>912</v>
      </c>
      <c r="AA571" t="s">
        <v>903</v>
      </c>
      <c r="AB571" s="2" t="s">
        <v>922</v>
      </c>
      <c r="AC571" s="9" t="s">
        <v>977</v>
      </c>
      <c r="AD571" s="9" t="s">
        <v>978</v>
      </c>
      <c r="AE571" s="10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71" s="2" t="b">
        <v>0</v>
      </c>
      <c r="AY571"/>
      <c r="AZ571"/>
      <c r="BA571"/>
    </row>
    <row r="572" spans="1:53">
      <c r="A572" s="2" t="s">
        <v>901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2981</v>
      </c>
      <c r="H572">
        <v>74</v>
      </c>
      <c r="I572">
        <v>8</v>
      </c>
      <c r="J572">
        <v>8</v>
      </c>
      <c r="K572" s="2" t="s">
        <v>32</v>
      </c>
      <c r="L572">
        <f>_xlfn.XLOOKUP("LOADINGSPEEDDEF_"&amp;PROPERTIES[[#This Row],[LOADINGSPEED]],LOADINGSPEEDDEF[TYPE],LOADINGSPEEDDEF[SPEED])</f>
        <v>20</v>
      </c>
      <c r="M572" t="s">
        <v>20</v>
      </c>
      <c r="N572"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>
        <v>25</v>
      </c>
      <c r="W572" s="9">
        <v>0</v>
      </c>
      <c r="X572" s="9">
        <v>0</v>
      </c>
      <c r="Y572" s="10">
        <v>0</v>
      </c>
      <c r="Z572" t="s">
        <v>917</v>
      </c>
      <c r="AA572" t="s">
        <v>903</v>
      </c>
      <c r="AB572" s="2" t="s">
        <v>922</v>
      </c>
      <c r="AC572" s="9" t="s">
        <v>1001</v>
      </c>
      <c r="AD572" s="9" t="s">
        <v>1002</v>
      </c>
      <c r="AE572" s="10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2" s="2" t="b">
        <v>0</v>
      </c>
      <c r="AY572"/>
      <c r="AZ572"/>
      <c r="BA572"/>
    </row>
    <row r="573" spans="1:53">
      <c r="A573" s="2" t="s">
        <v>884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2984</v>
      </c>
      <c r="H573">
        <v>74</v>
      </c>
      <c r="I573">
        <v>8</v>
      </c>
      <c r="J573">
        <v>8</v>
      </c>
      <c r="K573" s="2" t="s">
        <v>32</v>
      </c>
      <c r="L573">
        <f>_xlfn.XLOOKUP("LOADINGSPEEDDEF_"&amp;PROPERTIES[[#This Row],[LOADINGSPEED]],LOADINGSPEEDDEF[TYPE],LOADINGSPEEDDEF[SPEED])</f>
        <v>20</v>
      </c>
      <c r="M573" t="s">
        <v>20</v>
      </c>
      <c r="N573"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>
        <v>25</v>
      </c>
      <c r="W573" s="9">
        <v>0</v>
      </c>
      <c r="X573" s="9">
        <v>0</v>
      </c>
      <c r="Y573" s="10">
        <v>0</v>
      </c>
      <c r="Z573" t="s">
        <v>917</v>
      </c>
      <c r="AA573" t="s">
        <v>903</v>
      </c>
      <c r="AB573" s="2" t="s">
        <v>922</v>
      </c>
      <c r="AC573" s="9" t="s">
        <v>1001</v>
      </c>
      <c r="AD573" s="9" t="s">
        <v>1002</v>
      </c>
      <c r="AE573" s="10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3" s="2" t="b">
        <v>0</v>
      </c>
      <c r="AY573"/>
      <c r="AZ573"/>
      <c r="BA573"/>
    </row>
    <row r="574" spans="1:53">
      <c r="A574" s="2" t="s">
        <v>885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599</v>
      </c>
      <c r="H574">
        <v>20</v>
      </c>
      <c r="I574">
        <v>8</v>
      </c>
      <c r="J574">
        <v>8</v>
      </c>
      <c r="K574" s="2" t="s">
        <v>32</v>
      </c>
      <c r="L574">
        <f>_xlfn.XLOOKUP("LOADINGSPEEDDEF_"&amp;PROPERTIES[[#This Row],[LOADINGSPEED]],LOADINGSPEEDDEF[TYPE],LOADINGSPEEDDEF[SPEED])</f>
        <v>20</v>
      </c>
      <c r="M574" t="s">
        <v>20</v>
      </c>
      <c r="N574"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>
        <v>25</v>
      </c>
      <c r="W574" s="9">
        <v>0</v>
      </c>
      <c r="X574" s="9">
        <v>0</v>
      </c>
      <c r="Y574" s="10">
        <v>0</v>
      </c>
      <c r="Z574" t="s">
        <v>917</v>
      </c>
      <c r="AA574" t="s">
        <v>903</v>
      </c>
      <c r="AB574" s="2" t="s">
        <v>922</v>
      </c>
      <c r="AC574" s="9" t="s">
        <v>1001</v>
      </c>
      <c r="AD574" s="9" t="s">
        <v>1002</v>
      </c>
      <c r="AE574" s="10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4" s="2" t="b">
        <v>0</v>
      </c>
      <c r="AY574"/>
      <c r="AZ574"/>
      <c r="BA574"/>
    </row>
    <row r="575" spans="1:53">
      <c r="A575" s="2" t="s">
        <v>886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600</v>
      </c>
      <c r="H575">
        <v>65</v>
      </c>
      <c r="I575">
        <v>8</v>
      </c>
      <c r="J575">
        <v>8</v>
      </c>
      <c r="K575" s="2" t="s">
        <v>32</v>
      </c>
      <c r="L575">
        <f>_xlfn.XLOOKUP("LOADINGSPEEDDEF_"&amp;PROPERTIES[[#This Row],[LOADINGSPEED]],LOADINGSPEEDDEF[TYPE],LOADINGSPEEDDEF[SPEED])</f>
        <v>20</v>
      </c>
      <c r="M575" t="s">
        <v>20</v>
      </c>
      <c r="N575"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>
        <v>25</v>
      </c>
      <c r="W575" s="9">
        <v>0</v>
      </c>
      <c r="X575" s="9">
        <v>0</v>
      </c>
      <c r="Y575" s="10">
        <v>0</v>
      </c>
      <c r="Z575" t="s">
        <v>917</v>
      </c>
      <c r="AA575" t="s">
        <v>903</v>
      </c>
      <c r="AB575" s="2" t="s">
        <v>922</v>
      </c>
      <c r="AC575" s="9" t="s">
        <v>1001</v>
      </c>
      <c r="AD575" s="9" t="s">
        <v>1002</v>
      </c>
      <c r="AE575" s="10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5" s="2" t="b">
        <v>0</v>
      </c>
      <c r="AY575"/>
      <c r="AZ575"/>
      <c r="BA575"/>
    </row>
    <row r="576" spans="1:53">
      <c r="A576" s="2" t="s">
        <v>887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531</v>
      </c>
      <c r="H576">
        <v>60</v>
      </c>
      <c r="I576">
        <v>8</v>
      </c>
      <c r="J576">
        <v>8</v>
      </c>
      <c r="K576" s="2" t="s">
        <v>32</v>
      </c>
      <c r="L576">
        <f>_xlfn.XLOOKUP("LOADINGSPEEDDEF_"&amp;PROPERTIES[[#This Row],[LOADINGSPEED]],LOADINGSPEEDDEF[TYPE],LOADINGSPEEDDEF[SPEED])</f>
        <v>20</v>
      </c>
      <c r="M576" t="s">
        <v>20</v>
      </c>
      <c r="N576"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>
        <v>25</v>
      </c>
      <c r="W576" s="9">
        <v>0</v>
      </c>
      <c r="X576" s="9">
        <v>0</v>
      </c>
      <c r="Y576" s="10">
        <v>0</v>
      </c>
      <c r="Z576" t="s">
        <v>917</v>
      </c>
      <c r="AA576" t="s">
        <v>903</v>
      </c>
      <c r="AB576" s="2" t="s">
        <v>922</v>
      </c>
      <c r="AC576" s="9" t="s">
        <v>1001</v>
      </c>
      <c r="AD576" s="9" t="s">
        <v>1002</v>
      </c>
      <c r="AE576" s="10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6" s="2" t="b">
        <v>0</v>
      </c>
      <c r="AY576"/>
      <c r="AZ576"/>
      <c r="BA576"/>
    </row>
    <row r="577" spans="1:53">
      <c r="A577" s="2" t="s">
        <v>888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601</v>
      </c>
      <c r="H577">
        <v>75</v>
      </c>
      <c r="I577">
        <v>8</v>
      </c>
      <c r="J577">
        <v>8</v>
      </c>
      <c r="K577" s="2" t="s">
        <v>32</v>
      </c>
      <c r="L577">
        <f>_xlfn.XLOOKUP("LOADINGSPEEDDEF_"&amp;PROPERTIES[[#This Row],[LOADINGSPEED]],LOADINGSPEEDDEF[TYPE],LOADINGSPEEDDEF[SPEED])</f>
        <v>20</v>
      </c>
      <c r="M577" t="s">
        <v>20</v>
      </c>
      <c r="N577"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>
        <v>25</v>
      </c>
      <c r="W577" s="9">
        <v>0</v>
      </c>
      <c r="X577" s="9">
        <v>0</v>
      </c>
      <c r="Y577" s="10">
        <v>0</v>
      </c>
      <c r="Z577" t="s">
        <v>917</v>
      </c>
      <c r="AA577" t="s">
        <v>903</v>
      </c>
      <c r="AB577" s="2" t="s">
        <v>922</v>
      </c>
      <c r="AC577" s="9" t="s">
        <v>1001</v>
      </c>
      <c r="AD577" s="9" t="s">
        <v>1002</v>
      </c>
      <c r="AE577" s="10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7" s="2" t="b">
        <v>0</v>
      </c>
      <c r="AY577"/>
      <c r="AZ577"/>
      <c r="BA577"/>
    </row>
    <row r="578" spans="1:53">
      <c r="A578" s="2" t="s">
        <v>889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602</v>
      </c>
      <c r="H578">
        <v>72</v>
      </c>
      <c r="I578">
        <v>8</v>
      </c>
      <c r="J578">
        <v>8</v>
      </c>
      <c r="K578" s="2" t="s">
        <v>32</v>
      </c>
      <c r="L578">
        <f>_xlfn.XLOOKUP("LOADINGSPEEDDEF_"&amp;PROPERTIES[[#This Row],[LOADINGSPEED]],LOADINGSPEEDDEF[TYPE],LOADINGSPEEDDEF[SPEED])</f>
        <v>20</v>
      </c>
      <c r="M578" t="s">
        <v>20</v>
      </c>
      <c r="N578"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>
        <v>25</v>
      </c>
      <c r="W578" s="9">
        <v>0</v>
      </c>
      <c r="X578" s="9">
        <v>0</v>
      </c>
      <c r="Y578" s="10">
        <v>0</v>
      </c>
      <c r="Z578" t="s">
        <v>917</v>
      </c>
      <c r="AA578" t="s">
        <v>903</v>
      </c>
      <c r="AB578" s="2" t="s">
        <v>922</v>
      </c>
      <c r="AC578" s="9" t="s">
        <v>1001</v>
      </c>
      <c r="AD578" s="9" t="s">
        <v>1002</v>
      </c>
      <c r="AE578" s="10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8" s="2" t="b">
        <v>0</v>
      </c>
      <c r="AY578"/>
      <c r="AZ578"/>
      <c r="BA578"/>
    </row>
    <row r="579" spans="1:53">
      <c r="A579" s="2" t="s">
        <v>890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603</v>
      </c>
      <c r="H579">
        <v>75</v>
      </c>
      <c r="I579">
        <v>8</v>
      </c>
      <c r="J579">
        <v>8</v>
      </c>
      <c r="K579" s="2" t="s">
        <v>32</v>
      </c>
      <c r="L579">
        <f>_xlfn.XLOOKUP("LOADINGSPEEDDEF_"&amp;PROPERTIES[[#This Row],[LOADINGSPEED]],LOADINGSPEEDDEF[TYPE],LOADINGSPEEDDEF[SPEED])</f>
        <v>20</v>
      </c>
      <c r="M579" t="s">
        <v>20</v>
      </c>
      <c r="N579"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>
        <v>25</v>
      </c>
      <c r="W579" s="9">
        <v>0</v>
      </c>
      <c r="X579" s="9">
        <v>0</v>
      </c>
      <c r="Y579" s="10">
        <v>0</v>
      </c>
      <c r="Z579" t="s">
        <v>917</v>
      </c>
      <c r="AA579" t="s">
        <v>903</v>
      </c>
      <c r="AB579" s="2" t="s">
        <v>922</v>
      </c>
      <c r="AC579" s="9" t="s">
        <v>1001</v>
      </c>
      <c r="AD579" s="9" t="s">
        <v>1002</v>
      </c>
      <c r="AE579" s="10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9" s="2" t="b">
        <v>0</v>
      </c>
      <c r="AY579"/>
      <c r="AZ579"/>
      <c r="BA579"/>
    </row>
    <row r="580" spans="1:53">
      <c r="A580" s="2" t="s">
        <v>891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604</v>
      </c>
      <c r="H580">
        <v>96</v>
      </c>
      <c r="I580">
        <v>8</v>
      </c>
      <c r="J580">
        <v>8</v>
      </c>
      <c r="K580" s="2" t="s">
        <v>32</v>
      </c>
      <c r="L580">
        <f>_xlfn.XLOOKUP("LOADINGSPEEDDEF_"&amp;PROPERTIES[[#This Row],[LOADINGSPEED]],LOADINGSPEEDDEF[TYPE],LOADINGSPEEDDEF[SPEED])</f>
        <v>20</v>
      </c>
      <c r="M580" t="s">
        <v>20</v>
      </c>
      <c r="N580"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>
        <v>25</v>
      </c>
      <c r="W580" s="9">
        <v>0</v>
      </c>
      <c r="X580" s="9">
        <v>0</v>
      </c>
      <c r="Y580" s="10">
        <v>0</v>
      </c>
      <c r="Z580" t="s">
        <v>917</v>
      </c>
      <c r="AA580" t="s">
        <v>903</v>
      </c>
      <c r="AB580" s="2" t="s">
        <v>922</v>
      </c>
      <c r="AC580" s="9" t="s">
        <v>1001</v>
      </c>
      <c r="AD580" s="9" t="s">
        <v>1002</v>
      </c>
      <c r="AE580" s="10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0" s="2" t="b">
        <v>0</v>
      </c>
      <c r="AY580"/>
      <c r="AZ580"/>
      <c r="BA580"/>
    </row>
    <row r="581" spans="1:53">
      <c r="A581" s="2" t="s">
        <v>892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2982</v>
      </c>
      <c r="H581">
        <v>75</v>
      </c>
      <c r="I581">
        <v>8</v>
      </c>
      <c r="J581">
        <v>8</v>
      </c>
      <c r="K581" s="2" t="s">
        <v>32</v>
      </c>
      <c r="L581">
        <f>_xlfn.XLOOKUP("LOADINGSPEEDDEF_"&amp;PROPERTIES[[#This Row],[LOADINGSPEED]],LOADINGSPEEDDEF[TYPE],LOADINGSPEEDDEF[SPEED])</f>
        <v>20</v>
      </c>
      <c r="M581" t="s">
        <v>20</v>
      </c>
      <c r="N581"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>
        <v>25</v>
      </c>
      <c r="W581" s="9">
        <v>0</v>
      </c>
      <c r="X581" s="9">
        <v>0</v>
      </c>
      <c r="Y581" s="10">
        <v>0</v>
      </c>
      <c r="Z581" t="s">
        <v>917</v>
      </c>
      <c r="AA581" t="s">
        <v>903</v>
      </c>
      <c r="AB581" s="2" t="s">
        <v>922</v>
      </c>
      <c r="AC581" s="9" t="s">
        <v>1001</v>
      </c>
      <c r="AD581" s="9" t="s">
        <v>1002</v>
      </c>
      <c r="AE581" s="10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1" s="2" t="b">
        <v>0</v>
      </c>
      <c r="AY581"/>
      <c r="AZ581"/>
      <c r="BA581"/>
    </row>
    <row r="582" spans="1:53">
      <c r="A582" s="2" t="s">
        <v>893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2985</v>
      </c>
      <c r="H582">
        <v>75</v>
      </c>
      <c r="I582">
        <v>8</v>
      </c>
      <c r="J582">
        <v>8</v>
      </c>
      <c r="K582" s="2" t="s">
        <v>32</v>
      </c>
      <c r="L582">
        <f>_xlfn.XLOOKUP("LOADINGSPEEDDEF_"&amp;PROPERTIES[[#This Row],[LOADINGSPEED]],LOADINGSPEEDDEF[TYPE],LOADINGSPEEDDEF[SPEED])</f>
        <v>20</v>
      </c>
      <c r="M582" t="s">
        <v>20</v>
      </c>
      <c r="N582"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>
        <v>25</v>
      </c>
      <c r="W582" s="9">
        <v>0</v>
      </c>
      <c r="X582" s="9">
        <v>0</v>
      </c>
      <c r="Y582" s="10">
        <v>0</v>
      </c>
      <c r="Z582" t="s">
        <v>917</v>
      </c>
      <c r="AA582" t="s">
        <v>903</v>
      </c>
      <c r="AB582" s="2" t="s">
        <v>922</v>
      </c>
      <c r="AC582" s="9" t="s">
        <v>1001</v>
      </c>
      <c r="AD582" s="9" t="s">
        <v>1002</v>
      </c>
      <c r="AE582" s="10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2" s="2" t="b">
        <v>0</v>
      </c>
      <c r="AY582"/>
      <c r="AZ582"/>
      <c r="BA582"/>
    </row>
    <row r="583" spans="1:53">
      <c r="A583" s="2" t="s">
        <v>894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2983</v>
      </c>
      <c r="H583">
        <v>75</v>
      </c>
      <c r="I583">
        <v>8</v>
      </c>
      <c r="J583">
        <v>8</v>
      </c>
      <c r="K583" s="2" t="s">
        <v>32</v>
      </c>
      <c r="L583">
        <f>_xlfn.XLOOKUP("LOADINGSPEEDDEF_"&amp;PROPERTIES[[#This Row],[LOADINGSPEED]],LOADINGSPEEDDEF[TYPE],LOADINGSPEEDDEF[SPEED])</f>
        <v>20</v>
      </c>
      <c r="M583" t="s">
        <v>20</v>
      </c>
      <c r="N583"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>
        <v>25</v>
      </c>
      <c r="W583" s="9">
        <v>0</v>
      </c>
      <c r="X583" s="9">
        <v>0</v>
      </c>
      <c r="Y583" s="10">
        <v>0</v>
      </c>
      <c r="Z583" t="s">
        <v>917</v>
      </c>
      <c r="AA583" t="s">
        <v>903</v>
      </c>
      <c r="AB583" s="2" t="s">
        <v>922</v>
      </c>
      <c r="AC583" s="9" t="s">
        <v>1001</v>
      </c>
      <c r="AD583" s="9" t="s">
        <v>1002</v>
      </c>
      <c r="AE583" s="10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3" s="2" t="b">
        <v>0</v>
      </c>
      <c r="AY583"/>
      <c r="AZ583"/>
      <c r="BA583"/>
    </row>
    <row r="584" spans="1:53">
      <c r="A584" s="2" t="s">
        <v>895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2986</v>
      </c>
      <c r="H584">
        <v>75</v>
      </c>
      <c r="I584">
        <v>8</v>
      </c>
      <c r="J584">
        <v>8</v>
      </c>
      <c r="K584" s="2" t="s">
        <v>32</v>
      </c>
      <c r="L584">
        <f>_xlfn.XLOOKUP("LOADINGSPEEDDEF_"&amp;PROPERTIES[[#This Row],[LOADINGSPEED]],LOADINGSPEEDDEF[TYPE],LOADINGSPEEDDEF[SPEED])</f>
        <v>20</v>
      </c>
      <c r="M584" t="s">
        <v>20</v>
      </c>
      <c r="N584"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>
        <v>25</v>
      </c>
      <c r="W584" s="9">
        <v>0</v>
      </c>
      <c r="X584" s="9">
        <v>0</v>
      </c>
      <c r="Y584" s="10">
        <v>0</v>
      </c>
      <c r="Z584" t="s">
        <v>917</v>
      </c>
      <c r="AA584" t="s">
        <v>903</v>
      </c>
      <c r="AB584" s="2" t="s">
        <v>922</v>
      </c>
      <c r="AC584" s="9" t="s">
        <v>1001</v>
      </c>
      <c r="AD584" s="9" t="s">
        <v>1002</v>
      </c>
      <c r="AE584" s="10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4" s="2" t="b">
        <v>0</v>
      </c>
      <c r="AY584"/>
      <c r="AZ584"/>
      <c r="BA584"/>
    </row>
    <row r="585" spans="1:53">
      <c r="A585" s="2" t="s">
        <v>896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607</v>
      </c>
      <c r="H585">
        <v>65</v>
      </c>
      <c r="I585">
        <v>4</v>
      </c>
      <c r="J585">
        <v>12</v>
      </c>
      <c r="K585" s="2" t="s">
        <v>32</v>
      </c>
      <c r="L585">
        <f>_xlfn.XLOOKUP("LOADINGSPEEDDEF_"&amp;PROPERTIES[[#This Row],[LOADINGSPEED]],LOADINGSPEEDDEF[TYPE],LOADINGSPEEDDEF[SPEED])</f>
        <v>20</v>
      </c>
      <c r="M585" t="s">
        <v>20</v>
      </c>
      <c r="N585"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>
        <v>25</v>
      </c>
      <c r="W585" s="9">
        <v>0</v>
      </c>
      <c r="X585" s="9">
        <v>0</v>
      </c>
      <c r="Y585" s="10">
        <v>0</v>
      </c>
      <c r="Z585" t="s">
        <v>917</v>
      </c>
      <c r="AA585" t="s">
        <v>903</v>
      </c>
      <c r="AB585" s="2" t="s">
        <v>922</v>
      </c>
      <c r="AC585" s="9" t="s">
        <v>1001</v>
      </c>
      <c r="AD585" s="9" t="s">
        <v>1002</v>
      </c>
      <c r="AE585" s="10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5" s="2" t="b">
        <v>0</v>
      </c>
      <c r="AY585"/>
      <c r="AZ585"/>
      <c r="BA585"/>
    </row>
    <row r="586" spans="1:53">
      <c r="A586" s="2" t="s">
        <v>897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608</v>
      </c>
      <c r="H586">
        <v>105</v>
      </c>
      <c r="I586">
        <v>8</v>
      </c>
      <c r="J586">
        <v>8</v>
      </c>
      <c r="K586" s="2" t="s">
        <v>32</v>
      </c>
      <c r="L586">
        <f>_xlfn.XLOOKUP("LOADINGSPEEDDEF_"&amp;PROPERTIES[[#This Row],[LOADINGSPEED]],LOADINGSPEEDDEF[TYPE],LOADINGSPEEDDEF[SPEED])</f>
        <v>20</v>
      </c>
      <c r="M586" t="s">
        <v>20</v>
      </c>
      <c r="N586"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>
        <v>25</v>
      </c>
      <c r="W586" s="9">
        <v>0</v>
      </c>
      <c r="X586" s="9">
        <v>0</v>
      </c>
      <c r="Y586" s="10">
        <v>0</v>
      </c>
      <c r="Z586" t="s">
        <v>917</v>
      </c>
      <c r="AA586" t="s">
        <v>903</v>
      </c>
      <c r="AB586" s="2" t="s">
        <v>922</v>
      </c>
      <c r="AC586" s="9" t="s">
        <v>1001</v>
      </c>
      <c r="AD586" s="9" t="s">
        <v>1002</v>
      </c>
      <c r="AE586" s="10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6" s="2" t="b">
        <v>0</v>
      </c>
      <c r="AY586"/>
      <c r="AZ586"/>
      <c r="BA586"/>
    </row>
    <row r="587" spans="1:53">
      <c r="A587" s="2" t="s">
        <v>609</v>
      </c>
      <c r="B587">
        <v>1990</v>
      </c>
      <c r="C587">
        <v>0</v>
      </c>
      <c r="D587" t="s">
        <v>1863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>
        <v>7</v>
      </c>
      <c r="K587" s="2" t="s">
        <v>23</v>
      </c>
      <c r="L587">
        <f>_xlfn.XLOOKUP("LOADINGSPEEDDEF_"&amp;PROPERTIES[[#This Row],[LOADINGSPEED]],LOADINGSPEEDDEF[TYPE],LOADINGSPEEDDEF[SPEED])</f>
        <v>40</v>
      </c>
      <c r="M587">
        <v>45</v>
      </c>
      <c r="N587"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>
        <v>15</v>
      </c>
      <c r="W587" s="9">
        <v>0</v>
      </c>
      <c r="X587" s="9">
        <v>0</v>
      </c>
      <c r="Y587" s="10">
        <v>0</v>
      </c>
      <c r="Z587" t="s">
        <v>912</v>
      </c>
      <c r="AA587" t="s">
        <v>903</v>
      </c>
      <c r="AB587" s="2" t="s">
        <v>921</v>
      </c>
      <c r="AC587" s="9" t="s">
        <v>981</v>
      </c>
      <c r="AD587" s="9" t="s">
        <v>982</v>
      </c>
      <c r="AE587" s="10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7" s="2" t="b">
        <v>0</v>
      </c>
      <c r="AY587"/>
      <c r="AZ587"/>
      <c r="BA587"/>
    </row>
    <row r="588" spans="1:53">
      <c r="A588" s="2" t="s">
        <v>610</v>
      </c>
      <c r="B588">
        <v>2008</v>
      </c>
      <c r="C588">
        <v>0</v>
      </c>
      <c r="D588" t="s">
        <v>1863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>
        <v>8</v>
      </c>
      <c r="K588" s="2" t="s">
        <v>23</v>
      </c>
      <c r="L588">
        <f>_xlfn.XLOOKUP("LOADINGSPEEDDEF_"&amp;PROPERTIES[[#This Row],[LOADINGSPEED]],LOADINGSPEEDDEF[TYPE],LOADINGSPEEDDEF[SPEED])</f>
        <v>40</v>
      </c>
      <c r="M588" t="s">
        <v>20</v>
      </c>
      <c r="N588"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>
        <v>15</v>
      </c>
      <c r="W588" s="9">
        <v>0</v>
      </c>
      <c r="X588" s="9">
        <v>0</v>
      </c>
      <c r="Y588" s="10">
        <v>0</v>
      </c>
      <c r="Z588" t="s">
        <v>912</v>
      </c>
      <c r="AA588" t="s">
        <v>903</v>
      </c>
      <c r="AB588" s="2" t="s">
        <v>921</v>
      </c>
      <c r="AC588" s="9" t="s">
        <v>981</v>
      </c>
      <c r="AD588" s="9" t="s">
        <v>982</v>
      </c>
      <c r="AE588" s="10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8" s="2" t="b">
        <v>0</v>
      </c>
      <c r="AY588"/>
      <c r="AZ588"/>
      <c r="BA588"/>
    </row>
    <row r="589" spans="1:53">
      <c r="A589" s="2" t="s">
        <v>611</v>
      </c>
      <c r="B589">
        <v>1961</v>
      </c>
      <c r="C589">
        <v>0</v>
      </c>
      <c r="D589" t="s">
        <v>1796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>
        <v>8</v>
      </c>
      <c r="K589" s="2" t="s">
        <v>23</v>
      </c>
      <c r="L589">
        <f>_xlfn.XLOOKUP("LOADINGSPEEDDEF_"&amp;PROPERTIES[[#This Row],[LOADINGSPEED]],LOADINGSPEEDDEF[TYPE],LOADINGSPEEDDEF[SPEED])</f>
        <v>40</v>
      </c>
      <c r="M589">
        <v>45</v>
      </c>
      <c r="N589"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>
        <v>15</v>
      </c>
      <c r="W589" s="9">
        <v>0</v>
      </c>
      <c r="X589" s="9">
        <v>0</v>
      </c>
      <c r="Y589" s="10">
        <v>0</v>
      </c>
      <c r="Z589" t="s">
        <v>911</v>
      </c>
      <c r="AA589" t="s">
        <v>903</v>
      </c>
      <c r="AB589" s="2" t="s">
        <v>921</v>
      </c>
      <c r="AC589" s="9" t="s">
        <v>981</v>
      </c>
      <c r="AD589" s="9" t="s">
        <v>982</v>
      </c>
      <c r="AE589" s="10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9" s="2" t="b">
        <v>0</v>
      </c>
      <c r="AY589"/>
      <c r="AZ589"/>
      <c r="BA589"/>
    </row>
    <row r="590" spans="1:53">
      <c r="A590" s="2" t="s">
        <v>612</v>
      </c>
      <c r="B590">
        <v>1935</v>
      </c>
      <c r="C590">
        <v>0</v>
      </c>
      <c r="D590" t="s">
        <v>1760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>
        <v>7</v>
      </c>
      <c r="K590" s="2" t="s">
        <v>23</v>
      </c>
      <c r="L590">
        <f>_xlfn.XLOOKUP("LOADINGSPEEDDEF_"&amp;PROPERTIES[[#This Row],[LOADINGSPEED]],LOADINGSPEEDDEF[TYPE],LOADINGSPEEDDEF[SPEED])</f>
        <v>40</v>
      </c>
      <c r="M590">
        <v>45</v>
      </c>
      <c r="N590"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>
        <v>15</v>
      </c>
      <c r="W590" s="9">
        <v>0</v>
      </c>
      <c r="X590" s="9">
        <v>0</v>
      </c>
      <c r="Y590" s="10">
        <v>0</v>
      </c>
      <c r="Z590" t="s">
        <v>911</v>
      </c>
      <c r="AA590" t="s">
        <v>903</v>
      </c>
      <c r="AB590" s="2" t="s">
        <v>921</v>
      </c>
      <c r="AC590" s="9" t="s">
        <v>981</v>
      </c>
      <c r="AD590" s="9" t="s">
        <v>982</v>
      </c>
      <c r="AE590" s="10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0" s="2" t="b">
        <v>0</v>
      </c>
      <c r="AY590"/>
      <c r="AZ590"/>
      <c r="BA590"/>
    </row>
    <row r="591" spans="1:53">
      <c r="A591" s="2" t="s">
        <v>613</v>
      </c>
      <c r="B591">
        <v>1937</v>
      </c>
      <c r="C591">
        <v>0</v>
      </c>
      <c r="D591" t="s">
        <v>1817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>
        <v>5</v>
      </c>
      <c r="K591" s="2" t="s">
        <v>23</v>
      </c>
      <c r="L591">
        <f>_xlfn.XLOOKUP("LOADINGSPEEDDEF_"&amp;PROPERTIES[[#This Row],[LOADINGSPEED]],LOADINGSPEEDDEF[TYPE],LOADINGSPEEDDEF[SPEED])</f>
        <v>40</v>
      </c>
      <c r="M591">
        <v>45</v>
      </c>
      <c r="N591"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>
        <v>15</v>
      </c>
      <c r="W591" s="9">
        <v>0</v>
      </c>
      <c r="X591" s="9">
        <v>0</v>
      </c>
      <c r="Y591" s="10">
        <v>0</v>
      </c>
      <c r="Z591" t="s">
        <v>907</v>
      </c>
      <c r="AA591" t="s">
        <v>903</v>
      </c>
      <c r="AB591" s="2" t="s">
        <v>921</v>
      </c>
      <c r="AC591" s="9" t="s">
        <v>981</v>
      </c>
      <c r="AD591" s="9" t="s">
        <v>982</v>
      </c>
      <c r="AE591" s="10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1" s="2" t="b">
        <v>0</v>
      </c>
      <c r="AY591"/>
      <c r="AZ591"/>
      <c r="BA591"/>
    </row>
    <row r="592" spans="1:53">
      <c r="A592" s="2" t="s">
        <v>614</v>
      </c>
      <c r="B592">
        <v>1911</v>
      </c>
      <c r="C592">
        <v>0</v>
      </c>
      <c r="D592" t="s">
        <v>1793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>
        <v>6</v>
      </c>
      <c r="K592" s="2" t="s">
        <v>23</v>
      </c>
      <c r="L592">
        <f>_xlfn.XLOOKUP("LOADINGSPEEDDEF_"&amp;PROPERTIES[[#This Row],[LOADINGSPEED]],LOADINGSPEEDDEF[TYPE],LOADINGSPEEDDEF[SPEED])</f>
        <v>40</v>
      </c>
      <c r="M592">
        <v>45</v>
      </c>
      <c r="N592"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>
        <v>15</v>
      </c>
      <c r="W592" s="9">
        <v>0</v>
      </c>
      <c r="X592" s="9">
        <v>0</v>
      </c>
      <c r="Y592" s="10">
        <v>0</v>
      </c>
      <c r="Z592" t="s">
        <v>904</v>
      </c>
      <c r="AA592" t="s">
        <v>903</v>
      </c>
      <c r="AB592" s="2" t="s">
        <v>921</v>
      </c>
      <c r="AC592" s="9" t="s">
        <v>983</v>
      </c>
      <c r="AD592" s="9" t="s">
        <v>984</v>
      </c>
      <c r="AE592" s="10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2" s="2" t="b">
        <v>0</v>
      </c>
      <c r="AY592"/>
      <c r="AZ592"/>
      <c r="BA592"/>
    </row>
    <row r="593" spans="1:53">
      <c r="A593" s="2" t="s">
        <v>615</v>
      </c>
      <c r="B593">
        <v>1907</v>
      </c>
      <c r="C593">
        <v>0</v>
      </c>
      <c r="D593" t="s">
        <v>1793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>
        <v>4</v>
      </c>
      <c r="K593" s="2" t="s">
        <v>23</v>
      </c>
      <c r="L593">
        <f>_xlfn.XLOOKUP("LOADINGSPEEDDEF_"&amp;PROPERTIES[[#This Row],[LOADINGSPEED]],LOADINGSPEEDDEF[TYPE],LOADINGSPEEDDEF[SPEED])</f>
        <v>40</v>
      </c>
      <c r="M593">
        <v>45</v>
      </c>
      <c r="N593"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>
        <v>15</v>
      </c>
      <c r="W593" s="9">
        <v>0</v>
      </c>
      <c r="X593" s="9">
        <v>0</v>
      </c>
      <c r="Y593" s="10">
        <v>0</v>
      </c>
      <c r="Z593" t="s">
        <v>904</v>
      </c>
      <c r="AA593" t="s">
        <v>903</v>
      </c>
      <c r="AB593" s="2" t="s">
        <v>921</v>
      </c>
      <c r="AC593" s="9" t="s">
        <v>983</v>
      </c>
      <c r="AD593" s="9" t="s">
        <v>984</v>
      </c>
      <c r="AE593" s="10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3" s="2" t="b">
        <v>0</v>
      </c>
      <c r="AY593"/>
      <c r="AZ593"/>
      <c r="BA593"/>
    </row>
    <row r="594" spans="1:53">
      <c r="A594" s="2" t="s">
        <v>616</v>
      </c>
      <c r="B594">
        <v>1998</v>
      </c>
      <c r="C594">
        <v>0</v>
      </c>
      <c r="D594" t="s">
        <v>1793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>
        <v>8</v>
      </c>
      <c r="K594" s="2" t="s">
        <v>23</v>
      </c>
      <c r="L594">
        <f>_xlfn.XLOOKUP("LOADINGSPEEDDEF_"&amp;PROPERTIES[[#This Row],[LOADINGSPEED]],LOADINGSPEEDDEF[TYPE],LOADINGSPEEDDEF[SPEED])</f>
        <v>40</v>
      </c>
      <c r="M594">
        <v>45</v>
      </c>
      <c r="N594"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>
        <v>15</v>
      </c>
      <c r="W594" s="9">
        <v>0</v>
      </c>
      <c r="X594" s="9">
        <v>0</v>
      </c>
      <c r="Y594" s="10">
        <v>0</v>
      </c>
      <c r="Z594" t="s">
        <v>904</v>
      </c>
      <c r="AA594" t="s">
        <v>903</v>
      </c>
      <c r="AB594" s="2" t="s">
        <v>921</v>
      </c>
      <c r="AC594" s="9" t="s">
        <v>983</v>
      </c>
      <c r="AD594" s="9" t="s">
        <v>984</v>
      </c>
      <c r="AE594" s="10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4" s="2" t="b">
        <v>0</v>
      </c>
      <c r="AY594"/>
      <c r="AZ594"/>
      <c r="BA594"/>
    </row>
    <row r="595" spans="1:53">
      <c r="A595" s="2" t="s">
        <v>617</v>
      </c>
      <c r="B595">
        <v>1929</v>
      </c>
      <c r="C595">
        <v>0</v>
      </c>
      <c r="D595" t="s">
        <v>1818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>
        <v>6</v>
      </c>
      <c r="K595" s="2" t="s">
        <v>23</v>
      </c>
      <c r="L595">
        <f>_xlfn.XLOOKUP("LOADINGSPEEDDEF_"&amp;PROPERTIES[[#This Row],[LOADINGSPEED]],LOADINGSPEEDDEF[TYPE],LOADINGSPEEDDEF[SPEED])</f>
        <v>40</v>
      </c>
      <c r="M595">
        <v>45</v>
      </c>
      <c r="N595"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>
        <v>15</v>
      </c>
      <c r="W595" s="9">
        <v>0</v>
      </c>
      <c r="X595" s="9">
        <v>0</v>
      </c>
      <c r="Y595" s="10">
        <v>0</v>
      </c>
      <c r="Z595" t="s">
        <v>905</v>
      </c>
      <c r="AA595" t="s">
        <v>903</v>
      </c>
      <c r="AB595" s="2" t="s">
        <v>921</v>
      </c>
      <c r="AC595" s="9" t="s">
        <v>983</v>
      </c>
      <c r="AD595" s="9" t="s">
        <v>984</v>
      </c>
      <c r="AE595" s="10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5" s="2" t="b">
        <v>0</v>
      </c>
      <c r="AY595"/>
      <c r="AZ595"/>
      <c r="BA595"/>
    </row>
    <row r="596" spans="1:53">
      <c r="A596" s="2" t="s">
        <v>618</v>
      </c>
      <c r="B596">
        <v>1960</v>
      </c>
      <c r="C596">
        <v>0</v>
      </c>
      <c r="D596" t="s">
        <v>1863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>
        <v>7</v>
      </c>
      <c r="K596" s="2" t="s">
        <v>23</v>
      </c>
      <c r="L596">
        <f>_xlfn.XLOOKUP("LOADINGSPEEDDEF_"&amp;PROPERTIES[[#This Row],[LOADINGSPEED]],LOADINGSPEEDDEF[TYPE],LOADINGSPEEDDEF[SPEED])</f>
        <v>40</v>
      </c>
      <c r="M596">
        <v>45</v>
      </c>
      <c r="N596"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>
        <v>15</v>
      </c>
      <c r="W596" s="9">
        <v>0</v>
      </c>
      <c r="X596" s="9">
        <v>0</v>
      </c>
      <c r="Y596" s="10">
        <v>0</v>
      </c>
      <c r="Z596" t="s">
        <v>912</v>
      </c>
      <c r="AA596" t="s">
        <v>903</v>
      </c>
      <c r="AB596" s="2" t="s">
        <v>921</v>
      </c>
      <c r="AC596" s="9" t="s">
        <v>983</v>
      </c>
      <c r="AD596" s="9" t="s">
        <v>984</v>
      </c>
      <c r="AE596" s="10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6" s="2" t="b">
        <v>0</v>
      </c>
      <c r="AY596"/>
      <c r="AZ596"/>
      <c r="BA596"/>
    </row>
    <row r="597" spans="1:53">
      <c r="A597" s="2" t="s">
        <v>619</v>
      </c>
      <c r="B597">
        <v>1889</v>
      </c>
      <c r="C597">
        <v>0</v>
      </c>
      <c r="D597" t="s">
        <v>1793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>
        <v>6</v>
      </c>
      <c r="K597" s="2" t="s">
        <v>19</v>
      </c>
      <c r="L597">
        <f>_xlfn.XLOOKUP("LOADINGSPEEDDEF_"&amp;PROPERTIES[[#This Row],[LOADINGSPEED]],LOADINGSPEEDDEF[TYPE],LOADINGSPEEDDEF[SPEED])</f>
        <v>0</v>
      </c>
      <c r="M597">
        <v>45</v>
      </c>
      <c r="N597"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>
        <v>40</v>
      </c>
      <c r="W597" s="9">
        <v>0</v>
      </c>
      <c r="X597" s="9">
        <v>0</v>
      </c>
      <c r="Y597" s="10">
        <v>0</v>
      </c>
      <c r="Z597" t="s">
        <v>904</v>
      </c>
      <c r="AA597" t="s">
        <v>903</v>
      </c>
      <c r="AB597" s="2" t="s">
        <v>921</v>
      </c>
      <c r="AC597" s="9" t="s">
        <v>985</v>
      </c>
      <c r="AD597" s="9" t="s">
        <v>986</v>
      </c>
      <c r="AE597" s="10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597" s="2" t="b">
        <v>0</v>
      </c>
      <c r="AY597"/>
      <c r="AZ597"/>
      <c r="BA597"/>
    </row>
    <row r="598" spans="1:53">
      <c r="A598" s="2" t="s">
        <v>620</v>
      </c>
      <c r="B598">
        <v>1948</v>
      </c>
      <c r="C598">
        <v>0</v>
      </c>
      <c r="D598" t="s">
        <v>1863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>
        <v>7</v>
      </c>
      <c r="K598" s="2" t="s">
        <v>19</v>
      </c>
      <c r="L598">
        <f>_xlfn.XLOOKUP("LOADINGSPEEDDEF_"&amp;PROPERTIES[[#This Row],[LOADINGSPEED]],LOADINGSPEEDDEF[TYPE],LOADINGSPEEDDEF[SPEED])</f>
        <v>0</v>
      </c>
      <c r="M598">
        <v>45</v>
      </c>
      <c r="N598"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>
        <v>40</v>
      </c>
      <c r="W598" s="9">
        <v>0</v>
      </c>
      <c r="X598" s="9">
        <v>0</v>
      </c>
      <c r="Y598" s="10">
        <v>0</v>
      </c>
      <c r="Z598" t="s">
        <v>912</v>
      </c>
      <c r="AA598" t="s">
        <v>903</v>
      </c>
      <c r="AB598" s="2" t="s">
        <v>921</v>
      </c>
      <c r="AC598" s="9" t="s">
        <v>985</v>
      </c>
      <c r="AD598" s="9" t="s">
        <v>986</v>
      </c>
      <c r="AE598" s="10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598" s="2" t="b">
        <v>0</v>
      </c>
      <c r="AY598"/>
      <c r="AZ598"/>
      <c r="BA598"/>
    </row>
    <row r="599" spans="1:53">
      <c r="A599" s="2" t="s">
        <v>621</v>
      </c>
      <c r="B599">
        <v>1880</v>
      </c>
      <c r="C599">
        <v>0</v>
      </c>
      <c r="D599" t="s">
        <v>1863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>
        <v>9</v>
      </c>
      <c r="K599" s="2" t="s">
        <v>23</v>
      </c>
      <c r="L599">
        <f>_xlfn.XLOOKUP("LOADINGSPEEDDEF_"&amp;PROPERTIES[[#This Row],[LOADINGSPEED]],LOADINGSPEEDDEF[TYPE],LOADINGSPEEDDEF[SPEED])</f>
        <v>40</v>
      </c>
      <c r="M599">
        <v>45</v>
      </c>
      <c r="N599">
        <v>1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>
        <v>40</v>
      </c>
      <c r="W599" s="9">
        <v>0</v>
      </c>
      <c r="X599" s="9">
        <v>4</v>
      </c>
      <c r="Y599" s="10">
        <v>0</v>
      </c>
      <c r="Z599" t="s">
        <v>912</v>
      </c>
      <c r="AA599" t="s">
        <v>903</v>
      </c>
      <c r="AB599" s="2" t="s">
        <v>921</v>
      </c>
      <c r="AC599" s="9" t="s">
        <v>985</v>
      </c>
      <c r="AD599" s="9" t="s">
        <v>986</v>
      </c>
      <c r="AE599" s="10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599" s="2" t="b">
        <v>0</v>
      </c>
      <c r="AY599"/>
      <c r="AZ599"/>
      <c r="BA599"/>
    </row>
    <row r="600" spans="1:53">
      <c r="A600" s="2" t="s">
        <v>622</v>
      </c>
      <c r="B600">
        <v>1893</v>
      </c>
      <c r="C600">
        <v>0</v>
      </c>
      <c r="D600" t="s">
        <v>1863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>
        <v>5</v>
      </c>
      <c r="K600" s="2" t="s">
        <v>23</v>
      </c>
      <c r="L600">
        <f>_xlfn.XLOOKUP("LOADINGSPEEDDEF_"&amp;PROPERTIES[[#This Row],[LOADINGSPEED]],LOADINGSPEEDDEF[TYPE],LOADINGSPEEDDEF[SPEED])</f>
        <v>40</v>
      </c>
      <c r="M600">
        <v>45</v>
      </c>
      <c r="N600">
        <v>1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>
        <v>40</v>
      </c>
      <c r="W600" s="9">
        <v>0</v>
      </c>
      <c r="X600" s="9">
        <v>0</v>
      </c>
      <c r="Y600" s="10">
        <v>0</v>
      </c>
      <c r="Z600" t="s">
        <v>912</v>
      </c>
      <c r="AA600" t="s">
        <v>903</v>
      </c>
      <c r="AB600" s="2" t="s">
        <v>921</v>
      </c>
      <c r="AC600" s="9" t="s">
        <v>985</v>
      </c>
      <c r="AD600" s="9" t="s">
        <v>986</v>
      </c>
      <c r="AE600" s="10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00" s="2" t="b">
        <v>0</v>
      </c>
      <c r="AY600"/>
      <c r="AZ600"/>
      <c r="BA600"/>
    </row>
    <row r="601" spans="1:53">
      <c r="A601" s="2" t="s">
        <v>623</v>
      </c>
      <c r="B601">
        <v>1913</v>
      </c>
      <c r="C601">
        <v>0</v>
      </c>
      <c r="D601" t="s">
        <v>1863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>
        <v>11</v>
      </c>
      <c r="K601" s="2" t="s">
        <v>23</v>
      </c>
      <c r="L601">
        <f>_xlfn.XLOOKUP("LOADINGSPEEDDEF_"&amp;PROPERTIES[[#This Row],[LOADINGSPEED]],LOADINGSPEEDDEF[TYPE],LOADINGSPEEDDEF[SPEED])</f>
        <v>40</v>
      </c>
      <c r="M601">
        <v>45</v>
      </c>
      <c r="N601">
        <v>1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>
        <v>40</v>
      </c>
      <c r="W601" s="9">
        <v>0</v>
      </c>
      <c r="X601" s="9">
        <v>4</v>
      </c>
      <c r="Y601" s="10">
        <v>0</v>
      </c>
      <c r="Z601" t="s">
        <v>912</v>
      </c>
      <c r="AA601" t="s">
        <v>903</v>
      </c>
      <c r="AB601" s="2" t="s">
        <v>921</v>
      </c>
      <c r="AC601" s="9" t="s">
        <v>985</v>
      </c>
      <c r="AD601" s="9" t="s">
        <v>986</v>
      </c>
      <c r="AE601" s="10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01" s="2" t="b">
        <v>0</v>
      </c>
      <c r="AY601"/>
      <c r="AZ601"/>
      <c r="BA601"/>
    </row>
    <row r="602" spans="1:53">
      <c r="A602" s="2" t="s">
        <v>624</v>
      </c>
      <c r="B602">
        <v>1923</v>
      </c>
      <c r="C602">
        <v>0</v>
      </c>
      <c r="D602" t="s">
        <v>1863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>
        <v>10</v>
      </c>
      <c r="K602" s="2" t="s">
        <v>19</v>
      </c>
      <c r="L602">
        <f>_xlfn.XLOOKUP("LOADINGSPEEDDEF_"&amp;PROPERTIES[[#This Row],[LOADINGSPEED]],LOADINGSPEEDDEF[TYPE],LOADINGSPEEDDEF[SPEED])</f>
        <v>0</v>
      </c>
      <c r="M602">
        <v>45</v>
      </c>
      <c r="N602">
        <v>1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>
        <v>40</v>
      </c>
      <c r="W602" s="9">
        <v>0</v>
      </c>
      <c r="X602" s="9">
        <v>4</v>
      </c>
      <c r="Y602" s="10">
        <v>0</v>
      </c>
      <c r="Z602" t="s">
        <v>912</v>
      </c>
      <c r="AA602" t="s">
        <v>903</v>
      </c>
      <c r="AB602" s="2" t="s">
        <v>921</v>
      </c>
      <c r="AC602" s="9" t="s">
        <v>985</v>
      </c>
      <c r="AD602" s="9" t="s">
        <v>986</v>
      </c>
      <c r="AE602" s="10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2" s="2" t="b">
        <v>0</v>
      </c>
      <c r="AY602"/>
      <c r="AZ602"/>
      <c r="BA602"/>
    </row>
    <row r="603" spans="1:53">
      <c r="A603" s="2" t="s">
        <v>625</v>
      </c>
      <c r="B603">
        <v>1957</v>
      </c>
      <c r="C603">
        <v>0</v>
      </c>
      <c r="D603" t="s">
        <v>1863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>
        <v>7</v>
      </c>
      <c r="K603" s="2" t="s">
        <v>19</v>
      </c>
      <c r="L603">
        <f>_xlfn.XLOOKUP("LOADINGSPEEDDEF_"&amp;PROPERTIES[[#This Row],[LOADINGSPEED]],LOADINGSPEEDDEF[TYPE],LOADINGSPEEDDEF[SPEED])</f>
        <v>0</v>
      </c>
      <c r="M603">
        <v>45</v>
      </c>
      <c r="N603">
        <v>1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>
        <v>40</v>
      </c>
      <c r="W603" s="9">
        <v>0</v>
      </c>
      <c r="X603" s="9">
        <v>0</v>
      </c>
      <c r="Y603" s="10">
        <v>0</v>
      </c>
      <c r="Z603" t="s">
        <v>912</v>
      </c>
      <c r="AA603" t="s">
        <v>903</v>
      </c>
      <c r="AB603" s="2" t="s">
        <v>921</v>
      </c>
      <c r="AC603" s="9" t="s">
        <v>987</v>
      </c>
      <c r="AD603" s="9" t="s">
        <v>988</v>
      </c>
      <c r="AE603" s="10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3" s="2" t="b">
        <v>0</v>
      </c>
      <c r="AY603"/>
      <c r="AZ603"/>
      <c r="BA603"/>
    </row>
    <row r="604" spans="1:53">
      <c r="A604" s="2" t="s">
        <v>626</v>
      </c>
      <c r="B604">
        <v>1909</v>
      </c>
      <c r="C604">
        <v>0</v>
      </c>
      <c r="D604" t="s">
        <v>1793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>
        <v>5</v>
      </c>
      <c r="K604" s="2" t="s">
        <v>19</v>
      </c>
      <c r="L604">
        <f>_xlfn.XLOOKUP("LOADINGSPEEDDEF_"&amp;PROPERTIES[[#This Row],[LOADINGSPEED]],LOADINGSPEEDDEF[TYPE],LOADINGSPEEDDEF[SPEED])</f>
        <v>0</v>
      </c>
      <c r="M604">
        <v>45</v>
      </c>
      <c r="N604">
        <v>1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>
        <v>40</v>
      </c>
      <c r="W604" s="9">
        <v>0</v>
      </c>
      <c r="X604" s="9">
        <v>0</v>
      </c>
      <c r="Y604" s="10">
        <v>0</v>
      </c>
      <c r="Z604" t="s">
        <v>904</v>
      </c>
      <c r="AA604" t="s">
        <v>903</v>
      </c>
      <c r="AB604" s="2" t="s">
        <v>921</v>
      </c>
      <c r="AC604" s="9" t="s">
        <v>991</v>
      </c>
      <c r="AD604" s="9" t="s">
        <v>992</v>
      </c>
      <c r="AE604" s="10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04" s="2" t="b">
        <v>0</v>
      </c>
      <c r="AY604"/>
      <c r="AZ604"/>
      <c r="BA604"/>
    </row>
    <row r="605" spans="1:53">
      <c r="A605" s="2" t="s">
        <v>627</v>
      </c>
      <c r="B605">
        <v>1954</v>
      </c>
      <c r="C605">
        <v>0</v>
      </c>
      <c r="D605" t="s">
        <v>1863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>
        <v>14</v>
      </c>
      <c r="K605" s="2" t="s">
        <v>19</v>
      </c>
      <c r="L605">
        <f>_xlfn.XLOOKUP("LOADINGSPEEDDEF_"&amp;PROPERTIES[[#This Row],[LOADINGSPEED]],LOADINGSPEEDDEF[TYPE],LOADINGSPEEDDEF[SPEED])</f>
        <v>0</v>
      </c>
      <c r="M605">
        <v>45</v>
      </c>
      <c r="N605">
        <v>1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>
        <v>40</v>
      </c>
      <c r="W605" s="9">
        <v>0</v>
      </c>
      <c r="X605" s="9">
        <v>7</v>
      </c>
      <c r="Y605" s="10">
        <v>0</v>
      </c>
      <c r="Z605" t="s">
        <v>912</v>
      </c>
      <c r="AA605" t="s">
        <v>903</v>
      </c>
      <c r="AB605" s="2" t="s">
        <v>921</v>
      </c>
      <c r="AC605" s="9" t="s">
        <v>991</v>
      </c>
      <c r="AD605" s="9" t="s">
        <v>992</v>
      </c>
      <c r="AE605" s="10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5" s="2" t="b">
        <v>0</v>
      </c>
      <c r="AY605"/>
      <c r="AZ605"/>
      <c r="BA605"/>
    </row>
    <row r="606" spans="1:53">
      <c r="A606" s="2" t="s">
        <v>628</v>
      </c>
      <c r="B606">
        <v>1964</v>
      </c>
      <c r="C606">
        <v>0</v>
      </c>
      <c r="D606" t="s">
        <v>1863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>
        <v>8</v>
      </c>
      <c r="K606" s="2" t="s">
        <v>19</v>
      </c>
      <c r="L606">
        <f>_xlfn.XLOOKUP("LOADINGSPEEDDEF_"&amp;PROPERTIES[[#This Row],[LOADINGSPEED]],LOADINGSPEEDDEF[TYPE],LOADINGSPEEDDEF[SPEED])</f>
        <v>0</v>
      </c>
      <c r="M606">
        <v>45</v>
      </c>
      <c r="N606">
        <v>1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>
        <v>40</v>
      </c>
      <c r="W606" s="9">
        <v>0</v>
      </c>
      <c r="X606" s="9">
        <v>0</v>
      </c>
      <c r="Y606" s="10">
        <v>0</v>
      </c>
      <c r="Z606" t="s">
        <v>912</v>
      </c>
      <c r="AA606" t="s">
        <v>903</v>
      </c>
      <c r="AB606" s="2" t="s">
        <v>921</v>
      </c>
      <c r="AC606" s="9" t="s">
        <v>991</v>
      </c>
      <c r="AD606" s="9" t="s">
        <v>992</v>
      </c>
      <c r="AE606" s="10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6" s="2" t="b">
        <v>0</v>
      </c>
      <c r="AY606"/>
      <c r="AZ606"/>
      <c r="BA606"/>
    </row>
    <row r="607" spans="1:53">
      <c r="A607" s="2" t="s">
        <v>629</v>
      </c>
      <c r="B607">
        <v>1923</v>
      </c>
      <c r="C607">
        <v>0</v>
      </c>
      <c r="D607" t="s">
        <v>1920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>
        <v>7</v>
      </c>
      <c r="K607" s="2" t="s">
        <v>19</v>
      </c>
      <c r="L607">
        <f>_xlfn.XLOOKUP("LOADINGSPEEDDEF_"&amp;PROPERTIES[[#This Row],[LOADINGSPEED]],LOADINGSPEEDDEF[TYPE],LOADINGSPEEDDEF[SPEED])</f>
        <v>0</v>
      </c>
      <c r="M607">
        <v>45</v>
      </c>
      <c r="N607">
        <v>1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>
        <v>40</v>
      </c>
      <c r="W607" s="9">
        <v>0</v>
      </c>
      <c r="X607" s="9">
        <v>0</v>
      </c>
      <c r="Y607" s="10">
        <v>0</v>
      </c>
      <c r="Z607" t="s">
        <v>906</v>
      </c>
      <c r="AA607" t="s">
        <v>903</v>
      </c>
      <c r="AB607" s="2" t="s">
        <v>921</v>
      </c>
      <c r="AC607" s="9" t="s">
        <v>991</v>
      </c>
      <c r="AD607" s="9" t="s">
        <v>992</v>
      </c>
      <c r="AE607" s="10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7" s="2" t="b">
        <v>0</v>
      </c>
      <c r="AY607"/>
      <c r="AZ607"/>
      <c r="BA607"/>
    </row>
    <row r="608" spans="1:53">
      <c r="A608" s="2" t="s">
        <v>630</v>
      </c>
      <c r="B608">
        <v>1952</v>
      </c>
      <c r="C608">
        <v>0</v>
      </c>
      <c r="D608" t="s">
        <v>1763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>
        <v>7</v>
      </c>
      <c r="K608" s="2" t="s">
        <v>19</v>
      </c>
      <c r="L608">
        <f>_xlfn.XLOOKUP("LOADINGSPEEDDEF_"&amp;PROPERTIES[[#This Row],[LOADINGSPEED]],LOADINGSPEEDDEF[TYPE],LOADINGSPEEDDEF[SPEED])</f>
        <v>0</v>
      </c>
      <c r="M608">
        <v>45</v>
      </c>
      <c r="N608">
        <v>1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>
        <v>40</v>
      </c>
      <c r="W608" s="9">
        <v>0</v>
      </c>
      <c r="X608" s="9">
        <v>0</v>
      </c>
      <c r="Y608" s="10">
        <v>0</v>
      </c>
      <c r="Z608" t="s">
        <v>906</v>
      </c>
      <c r="AA608" t="s">
        <v>903</v>
      </c>
      <c r="AB608" s="2" t="s">
        <v>921</v>
      </c>
      <c r="AC608" s="9" t="s">
        <v>991</v>
      </c>
      <c r="AD608" s="9" t="s">
        <v>992</v>
      </c>
      <c r="AE608" s="10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8" s="2" t="b">
        <v>0</v>
      </c>
      <c r="AY608"/>
      <c r="AZ608"/>
      <c r="BA608"/>
    </row>
    <row r="609" spans="1:53">
      <c r="A609" s="2" t="s">
        <v>631</v>
      </c>
      <c r="B609">
        <v>1952</v>
      </c>
      <c r="C609">
        <v>0</v>
      </c>
      <c r="D609" t="s">
        <v>1995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>
        <v>8</v>
      </c>
      <c r="K609" s="2" t="s">
        <v>19</v>
      </c>
      <c r="L609">
        <f>_xlfn.XLOOKUP("LOADINGSPEEDDEF_"&amp;PROPERTIES[[#This Row],[LOADINGSPEED]],LOADINGSPEEDDEF[TYPE],LOADINGSPEEDDEF[SPEED])</f>
        <v>0</v>
      </c>
      <c r="M609">
        <v>45</v>
      </c>
      <c r="N609">
        <v>1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>
        <v>40</v>
      </c>
      <c r="W609" s="9">
        <v>0</v>
      </c>
      <c r="X609" s="9">
        <v>0</v>
      </c>
      <c r="Y609" s="10">
        <v>0</v>
      </c>
      <c r="Z609" t="s">
        <v>907</v>
      </c>
      <c r="AA609" t="s">
        <v>903</v>
      </c>
      <c r="AB609" s="2" t="s">
        <v>921</v>
      </c>
      <c r="AC609" s="9" t="s">
        <v>991</v>
      </c>
      <c r="AD609" s="9" t="s">
        <v>992</v>
      </c>
      <c r="AE609" s="10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09" s="2" t="b">
        <v>0</v>
      </c>
      <c r="AY609"/>
      <c r="AZ609"/>
      <c r="BA609"/>
    </row>
    <row r="610" spans="1:53">
      <c r="A610" s="2" t="s">
        <v>632</v>
      </c>
      <c r="B610">
        <v>1965</v>
      </c>
      <c r="C610">
        <v>0</v>
      </c>
      <c r="D610" t="s">
        <v>1995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>
        <v>7</v>
      </c>
      <c r="K610" s="2" t="s">
        <v>19</v>
      </c>
      <c r="L610">
        <f>_xlfn.XLOOKUP("LOADINGSPEEDDEF_"&amp;PROPERTIES[[#This Row],[LOADINGSPEED]],LOADINGSPEEDDEF[TYPE],LOADINGSPEEDDEF[SPEED])</f>
        <v>0</v>
      </c>
      <c r="M610">
        <v>45</v>
      </c>
      <c r="N610">
        <v>1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>
        <v>40</v>
      </c>
      <c r="W610" s="9">
        <v>0</v>
      </c>
      <c r="X610" s="9">
        <v>0</v>
      </c>
      <c r="Y610" s="10">
        <v>0</v>
      </c>
      <c r="Z610" t="s">
        <v>907</v>
      </c>
      <c r="AA610" t="s">
        <v>903</v>
      </c>
      <c r="AB610" s="2" t="s">
        <v>921</v>
      </c>
      <c r="AC610" s="9" t="s">
        <v>991</v>
      </c>
      <c r="AD610" s="9" t="s">
        <v>992</v>
      </c>
      <c r="AE610" s="10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0" s="2" t="b">
        <v>0</v>
      </c>
      <c r="AY610"/>
      <c r="AZ610"/>
      <c r="BA610"/>
    </row>
    <row r="611" spans="1:53">
      <c r="A611" s="2" t="s">
        <v>633</v>
      </c>
      <c r="B611">
        <v>1970</v>
      </c>
      <c r="C611">
        <v>0</v>
      </c>
      <c r="D611" t="s">
        <v>1995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>
        <v>8</v>
      </c>
      <c r="K611" s="2" t="s">
        <v>19</v>
      </c>
      <c r="L611">
        <f>_xlfn.XLOOKUP("LOADINGSPEEDDEF_"&amp;PROPERTIES[[#This Row],[LOADINGSPEED]],LOADINGSPEEDDEF[TYPE],LOADINGSPEEDDEF[SPEED])</f>
        <v>0</v>
      </c>
      <c r="M611">
        <v>45</v>
      </c>
      <c r="N611">
        <v>1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>
        <v>40</v>
      </c>
      <c r="W611" s="9">
        <v>0</v>
      </c>
      <c r="X611" s="9">
        <v>0</v>
      </c>
      <c r="Y611" s="10">
        <v>0</v>
      </c>
      <c r="Z611" t="s">
        <v>907</v>
      </c>
      <c r="AA611" t="s">
        <v>903</v>
      </c>
      <c r="AB611" s="2" t="s">
        <v>921</v>
      </c>
      <c r="AC611" s="9" t="s">
        <v>991</v>
      </c>
      <c r="AD611" s="9" t="s">
        <v>992</v>
      </c>
      <c r="AE611" s="10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1" s="2" t="b">
        <v>0</v>
      </c>
      <c r="AY611"/>
      <c r="AZ611"/>
      <c r="BA611"/>
    </row>
    <row r="612" spans="1:53">
      <c r="A612" s="2" t="s">
        <v>634</v>
      </c>
      <c r="B612">
        <v>1947</v>
      </c>
      <c r="C612">
        <v>0</v>
      </c>
      <c r="D612" t="s">
        <v>1793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>
        <v>8</v>
      </c>
      <c r="K612" s="2" t="s">
        <v>19</v>
      </c>
      <c r="L612">
        <f>_xlfn.XLOOKUP("LOADINGSPEEDDEF_"&amp;PROPERTIES[[#This Row],[LOADINGSPEED]],LOADINGSPEEDDEF[TYPE],LOADINGSPEEDDEF[SPEED])</f>
        <v>0</v>
      </c>
      <c r="M612">
        <v>45</v>
      </c>
      <c r="N612">
        <v>1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>
        <v>40</v>
      </c>
      <c r="W612" s="9">
        <v>0</v>
      </c>
      <c r="X612" s="9">
        <v>0</v>
      </c>
      <c r="Y612" s="10">
        <v>0</v>
      </c>
      <c r="Z612" t="s">
        <v>904</v>
      </c>
      <c r="AA612" t="s">
        <v>903</v>
      </c>
      <c r="AB612" s="2" t="s">
        <v>921</v>
      </c>
      <c r="AC612" s="9" t="s">
        <v>991</v>
      </c>
      <c r="AD612" s="9" t="s">
        <v>992</v>
      </c>
      <c r="AE612" s="10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2" s="2" t="b">
        <v>0</v>
      </c>
      <c r="AY612"/>
      <c r="AZ612"/>
      <c r="BA612"/>
    </row>
    <row r="613" spans="1:53">
      <c r="A613" s="2" t="s">
        <v>635</v>
      </c>
      <c r="B613">
        <v>1921</v>
      </c>
      <c r="C613">
        <v>0</v>
      </c>
      <c r="D613" t="s">
        <v>1793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>
        <v>8</v>
      </c>
      <c r="K613" s="2" t="s">
        <v>19</v>
      </c>
      <c r="L613">
        <f>_xlfn.XLOOKUP("LOADINGSPEEDDEF_"&amp;PROPERTIES[[#This Row],[LOADINGSPEED]],LOADINGSPEEDDEF[TYPE],LOADINGSPEEDDEF[SPEED])</f>
        <v>0</v>
      </c>
      <c r="M613">
        <v>45</v>
      </c>
      <c r="N613">
        <v>1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>
        <v>40</v>
      </c>
      <c r="W613" s="9">
        <v>0</v>
      </c>
      <c r="X613" s="9">
        <v>0</v>
      </c>
      <c r="Y613" s="10">
        <v>0</v>
      </c>
      <c r="Z613" t="s">
        <v>904</v>
      </c>
      <c r="AA613" t="s">
        <v>903</v>
      </c>
      <c r="AB613" s="2" t="s">
        <v>921</v>
      </c>
      <c r="AC613" s="9" t="s">
        <v>991</v>
      </c>
      <c r="AD613" s="9" t="s">
        <v>992</v>
      </c>
      <c r="AE613" s="10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3" s="2" t="b">
        <v>0</v>
      </c>
      <c r="AY613"/>
      <c r="AZ613"/>
      <c r="BA613"/>
    </row>
    <row r="614" spans="1:53">
      <c r="A614" s="2" t="s">
        <v>636</v>
      </c>
      <c r="B614">
        <v>2012</v>
      </c>
      <c r="C614">
        <v>0</v>
      </c>
      <c r="D614" t="s">
        <v>1781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>
        <v>7</v>
      </c>
      <c r="K614" s="2" t="s">
        <v>23</v>
      </c>
      <c r="L614">
        <f>_xlfn.XLOOKUP("LOADINGSPEEDDEF_"&amp;PROPERTIES[[#This Row],[LOADINGSPEED]],LOADINGSPEEDDEF[TYPE],LOADINGSPEEDDEF[SPEED])</f>
        <v>40</v>
      </c>
      <c r="M614">
        <v>45</v>
      </c>
      <c r="N614">
        <v>1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>
        <v>40</v>
      </c>
      <c r="W614" s="9">
        <v>0</v>
      </c>
      <c r="X614" s="9">
        <v>0</v>
      </c>
      <c r="Y614" s="10">
        <v>0</v>
      </c>
      <c r="Z614" t="s">
        <v>911</v>
      </c>
      <c r="AA614" t="s">
        <v>903</v>
      </c>
      <c r="AB614" s="2" t="s">
        <v>921</v>
      </c>
      <c r="AC614" s="9" t="s">
        <v>991</v>
      </c>
      <c r="AD614" s="9" t="s">
        <v>992</v>
      </c>
      <c r="AE614" s="10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14" s="2" t="b">
        <v>0</v>
      </c>
      <c r="AY614"/>
      <c r="AZ614"/>
      <c r="BA614"/>
    </row>
    <row r="615" spans="1:53">
      <c r="A615" s="2" t="s">
        <v>637</v>
      </c>
      <c r="B615">
        <v>1978</v>
      </c>
      <c r="C615">
        <v>0</v>
      </c>
      <c r="D615" t="s">
        <v>1995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>
        <v>7</v>
      </c>
      <c r="K615" s="2" t="s">
        <v>23</v>
      </c>
      <c r="L615">
        <f>_xlfn.XLOOKUP("LOADINGSPEEDDEF_"&amp;PROPERTIES[[#This Row],[LOADINGSPEED]],LOADINGSPEEDDEF[TYPE],LOADINGSPEEDDEF[SPEED])</f>
        <v>40</v>
      </c>
      <c r="M615">
        <v>45</v>
      </c>
      <c r="N615">
        <v>1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>
        <v>40</v>
      </c>
      <c r="W615" s="9">
        <v>0</v>
      </c>
      <c r="X615" s="9">
        <v>0</v>
      </c>
      <c r="Y615" s="10">
        <v>0</v>
      </c>
      <c r="Z615" t="s">
        <v>907</v>
      </c>
      <c r="AA615" t="s">
        <v>903</v>
      </c>
      <c r="AB615" s="2" t="s">
        <v>921</v>
      </c>
      <c r="AC615" s="9" t="s">
        <v>991</v>
      </c>
      <c r="AD615" s="9" t="s">
        <v>992</v>
      </c>
      <c r="AE615" s="10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15" s="2" t="b">
        <v>0</v>
      </c>
      <c r="AY615"/>
      <c r="AZ615"/>
      <c r="BA615"/>
    </row>
    <row r="616" spans="1:53">
      <c r="A616" s="2" t="s">
        <v>638</v>
      </c>
      <c r="B616">
        <v>1985</v>
      </c>
      <c r="C616">
        <v>0</v>
      </c>
      <c r="D616" t="s">
        <v>1995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>
        <v>8</v>
      </c>
      <c r="K616" s="2" t="s">
        <v>23</v>
      </c>
      <c r="L616">
        <f>_xlfn.XLOOKUP("LOADINGSPEEDDEF_"&amp;PROPERTIES[[#This Row],[LOADINGSPEED]],LOADINGSPEEDDEF[TYPE],LOADINGSPEEDDEF[SPEED])</f>
        <v>40</v>
      </c>
      <c r="M616">
        <v>45</v>
      </c>
      <c r="N616">
        <v>1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>
        <v>40</v>
      </c>
      <c r="W616" s="9">
        <v>0</v>
      </c>
      <c r="X616" s="9">
        <v>0</v>
      </c>
      <c r="Y616" s="10">
        <v>0</v>
      </c>
      <c r="Z616" t="s">
        <v>907</v>
      </c>
      <c r="AA616" t="s">
        <v>903</v>
      </c>
      <c r="AB616" s="2" t="s">
        <v>921</v>
      </c>
      <c r="AC616" s="9" t="s">
        <v>991</v>
      </c>
      <c r="AD616" s="9" t="s">
        <v>992</v>
      </c>
      <c r="AE616" s="10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16" s="2" t="b">
        <v>0</v>
      </c>
      <c r="AY616"/>
      <c r="AZ616"/>
      <c r="BA616"/>
    </row>
    <row r="617" spans="1:53">
      <c r="A617" s="2" t="s">
        <v>639</v>
      </c>
      <c r="B617">
        <v>1986</v>
      </c>
      <c r="C617">
        <v>0</v>
      </c>
      <c r="D617" t="s">
        <v>1920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>
        <v>8</v>
      </c>
      <c r="K617" s="2" t="s">
        <v>19</v>
      </c>
      <c r="L617">
        <f>_xlfn.XLOOKUP("LOADINGSPEEDDEF_"&amp;PROPERTIES[[#This Row],[LOADINGSPEED]],LOADINGSPEEDDEF[TYPE],LOADINGSPEEDDEF[SPEED])</f>
        <v>0</v>
      </c>
      <c r="M617">
        <v>45</v>
      </c>
      <c r="N617">
        <v>1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>
        <v>40</v>
      </c>
      <c r="W617" s="9">
        <v>0</v>
      </c>
      <c r="X617" s="9">
        <v>0</v>
      </c>
      <c r="Y617" s="10">
        <v>0</v>
      </c>
      <c r="Z617" t="s">
        <v>906</v>
      </c>
      <c r="AA617" t="s">
        <v>903</v>
      </c>
      <c r="AB617" s="2" t="s">
        <v>921</v>
      </c>
      <c r="AC617" s="9" t="s">
        <v>991</v>
      </c>
      <c r="AD617" s="9" t="s">
        <v>992</v>
      </c>
      <c r="AE617" s="10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7" s="2" t="b">
        <v>0</v>
      </c>
      <c r="AY617"/>
      <c r="AZ617"/>
      <c r="BA617"/>
    </row>
    <row r="618" spans="1:53">
      <c r="A618" s="2" t="s">
        <v>640</v>
      </c>
      <c r="B618">
        <v>1962</v>
      </c>
      <c r="C618">
        <v>1</v>
      </c>
      <c r="D618" t="s">
        <v>1863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>
        <v>8</v>
      </c>
      <c r="K618" s="2" t="s">
        <v>23</v>
      </c>
      <c r="L618">
        <f>_xlfn.XLOOKUP("LOADINGSPEEDDEF_"&amp;PROPERTIES[[#This Row],[LOADINGSPEED]],LOADINGSPEEDDEF[TYPE],LOADINGSPEEDDEF[SPEED])</f>
        <v>40</v>
      </c>
      <c r="M618">
        <v>45</v>
      </c>
      <c r="N618"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>
        <v>25</v>
      </c>
      <c r="W618" s="9">
        <v>42</v>
      </c>
      <c r="X618" s="9">
        <v>8</v>
      </c>
      <c r="Y618" s="10">
        <v>0</v>
      </c>
      <c r="Z618" t="s">
        <v>912</v>
      </c>
      <c r="AA618" t="s">
        <v>903</v>
      </c>
      <c r="AB618" s="2" t="s">
        <v>921</v>
      </c>
      <c r="AC618" s="9" t="s">
        <v>995</v>
      </c>
      <c r="AD618" s="9" t="s">
        <v>996</v>
      </c>
      <c r="AE618" s="10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8" s="2" t="b">
        <v>0</v>
      </c>
      <c r="AY618"/>
      <c r="AZ618"/>
      <c r="BA618"/>
    </row>
    <row r="619" spans="1:53">
      <c r="A619" s="2" t="s">
        <v>641</v>
      </c>
      <c r="B619">
        <v>1986</v>
      </c>
      <c r="C619">
        <v>1</v>
      </c>
      <c r="D619" t="s">
        <v>1863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>
        <v>8</v>
      </c>
      <c r="K619" s="2" t="s">
        <v>23</v>
      </c>
      <c r="L619">
        <f>_xlfn.XLOOKUP("LOADINGSPEEDDEF_"&amp;PROPERTIES[[#This Row],[LOADINGSPEED]],LOADINGSPEEDDEF[TYPE],LOADINGSPEEDDEF[SPEED])</f>
        <v>40</v>
      </c>
      <c r="M619">
        <v>45</v>
      </c>
      <c r="N619"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>
        <v>25</v>
      </c>
      <c r="W619" s="9">
        <v>44</v>
      </c>
      <c r="X619" s="9">
        <v>8</v>
      </c>
      <c r="Y619" s="10">
        <v>0</v>
      </c>
      <c r="Z619" t="s">
        <v>912</v>
      </c>
      <c r="AA619" t="s">
        <v>903</v>
      </c>
      <c r="AB619" s="2" t="s">
        <v>921</v>
      </c>
      <c r="AC619" s="9" t="s">
        <v>995</v>
      </c>
      <c r="AD619" s="9" t="s">
        <v>996</v>
      </c>
      <c r="AE619" s="10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9" s="2" t="b">
        <v>0</v>
      </c>
      <c r="AY619"/>
      <c r="AZ619"/>
      <c r="BA619"/>
    </row>
    <row r="620" spans="1:53">
      <c r="A620" s="2" t="s">
        <v>642</v>
      </c>
      <c r="B620">
        <v>1972</v>
      </c>
      <c r="C620">
        <v>1</v>
      </c>
      <c r="D620" t="s">
        <v>1763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>
        <v>8</v>
      </c>
      <c r="K620" s="2" t="s">
        <v>23</v>
      </c>
      <c r="L620">
        <f>_xlfn.XLOOKUP("LOADINGSPEEDDEF_"&amp;PROPERTIES[[#This Row],[LOADINGSPEED]],LOADINGSPEEDDEF[TYPE],LOADINGSPEEDDEF[SPEED])</f>
        <v>40</v>
      </c>
      <c r="M620">
        <v>45</v>
      </c>
      <c r="N620"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>
        <v>25</v>
      </c>
      <c r="W620" s="9">
        <v>130</v>
      </c>
      <c r="X620" s="9">
        <v>8</v>
      </c>
      <c r="Y620" s="10">
        <v>0</v>
      </c>
      <c r="Z620" t="s">
        <v>906</v>
      </c>
      <c r="AA620" t="s">
        <v>903</v>
      </c>
      <c r="AB620" s="2" t="s">
        <v>921</v>
      </c>
      <c r="AC620" s="9" t="s">
        <v>995</v>
      </c>
      <c r="AD620" s="9" t="s">
        <v>996</v>
      </c>
      <c r="AE620" s="10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0" s="2" t="b">
        <v>0</v>
      </c>
      <c r="AY620"/>
      <c r="AZ620"/>
      <c r="BA620"/>
    </row>
    <row r="621" spans="1:53">
      <c r="A621" s="2" t="s">
        <v>643</v>
      </c>
      <c r="B621">
        <v>2007</v>
      </c>
      <c r="C621">
        <v>1</v>
      </c>
      <c r="D621" t="s">
        <v>1763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>
        <v>8</v>
      </c>
      <c r="K621" s="2" t="s">
        <v>23</v>
      </c>
      <c r="L621">
        <f>_xlfn.XLOOKUP("LOADINGSPEEDDEF_"&amp;PROPERTIES[[#This Row],[LOADINGSPEED]],LOADINGSPEEDDEF[TYPE],LOADINGSPEEDDEF[SPEED])</f>
        <v>40</v>
      </c>
      <c r="M621" t="s">
        <v>20</v>
      </c>
      <c r="N621"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>
        <v>25</v>
      </c>
      <c r="W621" s="9">
        <v>120</v>
      </c>
      <c r="X621" s="9">
        <v>8</v>
      </c>
      <c r="Y621" s="10">
        <v>0</v>
      </c>
      <c r="Z621" t="s">
        <v>906</v>
      </c>
      <c r="AA621" t="s">
        <v>903</v>
      </c>
      <c r="AB621" s="2" t="s">
        <v>921</v>
      </c>
      <c r="AC621" s="9" t="s">
        <v>995</v>
      </c>
      <c r="AD621" s="9" t="s">
        <v>996</v>
      </c>
      <c r="AE621" s="10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1" s="2" t="b">
        <v>0</v>
      </c>
      <c r="AY621"/>
      <c r="AZ621"/>
      <c r="BA621"/>
    </row>
    <row r="622" spans="1:53">
      <c r="A622" s="2" t="s">
        <v>644</v>
      </c>
      <c r="B622">
        <v>1917</v>
      </c>
      <c r="C622">
        <v>1</v>
      </c>
      <c r="D622" t="s">
        <v>1763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>
        <v>8</v>
      </c>
      <c r="K622" s="2" t="s">
        <v>23</v>
      </c>
      <c r="L622">
        <f>_xlfn.XLOOKUP("LOADINGSPEEDDEF_"&amp;PROPERTIES[[#This Row],[LOADINGSPEED]],LOADINGSPEEDDEF[TYPE],LOADINGSPEEDDEF[SPEED])</f>
        <v>40</v>
      </c>
      <c r="M622">
        <v>45</v>
      </c>
      <c r="N622"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>
        <v>25</v>
      </c>
      <c r="W622" s="9">
        <v>75</v>
      </c>
      <c r="X622" s="9">
        <v>8</v>
      </c>
      <c r="Y622" s="10">
        <v>0</v>
      </c>
      <c r="Z622" t="s">
        <v>906</v>
      </c>
      <c r="AA622" t="s">
        <v>903</v>
      </c>
      <c r="AB622" s="2" t="s">
        <v>921</v>
      </c>
      <c r="AC622" s="9" t="s">
        <v>995</v>
      </c>
      <c r="AD622" s="9" t="s">
        <v>996</v>
      </c>
      <c r="AE622" s="10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2" s="2" t="b">
        <v>0</v>
      </c>
      <c r="AY622"/>
      <c r="AZ622"/>
      <c r="BA622"/>
    </row>
    <row r="623" spans="1:53">
      <c r="A623" s="2" t="s">
        <v>645</v>
      </c>
      <c r="B623">
        <v>1979</v>
      </c>
      <c r="C623">
        <v>1</v>
      </c>
      <c r="D623" t="s">
        <v>1920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>
        <v>8</v>
      </c>
      <c r="K623" s="2" t="s">
        <v>23</v>
      </c>
      <c r="L623">
        <f>_xlfn.XLOOKUP("LOADINGSPEEDDEF_"&amp;PROPERTIES[[#This Row],[LOADINGSPEED]],LOADINGSPEEDDEF[TYPE],LOADINGSPEEDDEF[SPEED])</f>
        <v>40</v>
      </c>
      <c r="M623">
        <v>45</v>
      </c>
      <c r="N623"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>
        <v>25</v>
      </c>
      <c r="W623" s="9">
        <v>74</v>
      </c>
      <c r="X623" s="9">
        <v>8</v>
      </c>
      <c r="Y623" s="10">
        <v>0</v>
      </c>
      <c r="Z623" t="s">
        <v>906</v>
      </c>
      <c r="AA623" t="s">
        <v>903</v>
      </c>
      <c r="AB623" s="2" t="s">
        <v>921</v>
      </c>
      <c r="AC623" s="9" t="s">
        <v>995</v>
      </c>
      <c r="AD623" s="9" t="s">
        <v>996</v>
      </c>
      <c r="AE623" s="10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3" s="2" t="b">
        <v>0</v>
      </c>
      <c r="AY623"/>
      <c r="AZ623"/>
      <c r="BA623"/>
    </row>
    <row r="624" spans="1:53">
      <c r="A624" s="2" t="s">
        <v>646</v>
      </c>
      <c r="B624">
        <v>1958</v>
      </c>
      <c r="C624">
        <v>1</v>
      </c>
      <c r="D624" t="s">
        <v>1995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>
        <v>7</v>
      </c>
      <c r="K624" s="2" t="s">
        <v>23</v>
      </c>
      <c r="L624">
        <f>_xlfn.XLOOKUP("LOADINGSPEEDDEF_"&amp;PROPERTIES[[#This Row],[LOADINGSPEED]],LOADINGSPEEDDEF[TYPE],LOADINGSPEEDDEF[SPEED])</f>
        <v>40</v>
      </c>
      <c r="M624">
        <v>45</v>
      </c>
      <c r="N624"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>
        <v>25</v>
      </c>
      <c r="W624" s="9">
        <f>149+52</f>
        <v>201</v>
      </c>
      <c r="X624" s="9">
        <v>7</v>
      </c>
      <c r="Y624" s="10">
        <v>0</v>
      </c>
      <c r="Z624" t="s">
        <v>907</v>
      </c>
      <c r="AA624" t="s">
        <v>903</v>
      </c>
      <c r="AB624" s="2" t="s">
        <v>921</v>
      </c>
      <c r="AC624" s="9" t="s">
        <v>995</v>
      </c>
      <c r="AD624" s="9" t="s">
        <v>996</v>
      </c>
      <c r="AE624" s="10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4" s="2" t="b">
        <v>0</v>
      </c>
      <c r="AY624"/>
      <c r="AZ624"/>
      <c r="BA624"/>
    </row>
    <row r="625" spans="1:53">
      <c r="A625" s="2" t="s">
        <v>647</v>
      </c>
      <c r="B625">
        <v>2005</v>
      </c>
      <c r="C625">
        <v>1</v>
      </c>
      <c r="D625" t="s">
        <v>1796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>
        <v>8</v>
      </c>
      <c r="K625" s="2" t="s">
        <v>23</v>
      </c>
      <c r="L625">
        <f>_xlfn.XLOOKUP("LOADINGSPEEDDEF_"&amp;PROPERTIES[[#This Row],[LOADINGSPEED]],LOADINGSPEEDDEF[TYPE],LOADINGSPEEDDEF[SPEED])</f>
        <v>40</v>
      </c>
      <c r="M625" t="s">
        <v>20</v>
      </c>
      <c r="N625"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>
        <v>40</v>
      </c>
      <c r="W625" s="9">
        <v>96</v>
      </c>
      <c r="X625" s="9">
        <v>8</v>
      </c>
      <c r="Y625" s="10">
        <v>0</v>
      </c>
      <c r="Z625" t="s">
        <v>911</v>
      </c>
      <c r="AA625" t="s">
        <v>903</v>
      </c>
      <c r="AB625" s="2" t="s">
        <v>921</v>
      </c>
      <c r="AC625" s="9" t="s">
        <v>995</v>
      </c>
      <c r="AD625" s="9" t="s">
        <v>996</v>
      </c>
      <c r="AE625" s="10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5" s="2" t="b">
        <v>0</v>
      </c>
      <c r="AY625"/>
      <c r="AZ625"/>
      <c r="BA625"/>
    </row>
    <row r="626" spans="1:53">
      <c r="A626" s="2" t="s">
        <v>648</v>
      </c>
      <c r="B626">
        <v>1976</v>
      </c>
      <c r="C626">
        <v>1</v>
      </c>
      <c r="D626" t="s">
        <v>1796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>
        <v>7</v>
      </c>
      <c r="K626" s="2" t="s">
        <v>23</v>
      </c>
      <c r="L626">
        <f>_xlfn.XLOOKUP("LOADINGSPEEDDEF_"&amp;PROPERTIES[[#This Row],[LOADINGSPEED]],LOADINGSPEEDDEF[TYPE],LOADINGSPEEDDEF[SPEED])</f>
        <v>40</v>
      </c>
      <c r="M626">
        <v>45</v>
      </c>
      <c r="N626"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>
        <v>40</v>
      </c>
      <c r="W626" s="9">
        <v>92</v>
      </c>
      <c r="X626" s="9">
        <v>7</v>
      </c>
      <c r="Y626" s="10">
        <v>0</v>
      </c>
      <c r="Z626" t="s">
        <v>911</v>
      </c>
      <c r="AA626" t="s">
        <v>903</v>
      </c>
      <c r="AB626" s="2" t="s">
        <v>921</v>
      </c>
      <c r="AC626" s="9" t="s">
        <v>995</v>
      </c>
      <c r="AD626" s="9" t="s">
        <v>996</v>
      </c>
      <c r="AE626" s="10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6" s="2" t="b">
        <v>0</v>
      </c>
      <c r="AY626"/>
      <c r="AZ626"/>
      <c r="BA626"/>
    </row>
    <row r="627" spans="1:53">
      <c r="A627" s="2" t="s">
        <v>649</v>
      </c>
      <c r="B627">
        <v>1984</v>
      </c>
      <c r="C627">
        <v>1</v>
      </c>
      <c r="D627" t="s">
        <v>1972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>
        <v>8</v>
      </c>
      <c r="K627" s="2" t="s">
        <v>23</v>
      </c>
      <c r="L627">
        <f>_xlfn.XLOOKUP("LOADINGSPEEDDEF_"&amp;PROPERTIES[[#This Row],[LOADINGSPEED]],LOADINGSPEEDDEF[TYPE],LOADINGSPEEDDEF[SPEED])</f>
        <v>40</v>
      </c>
      <c r="M627">
        <v>45</v>
      </c>
      <c r="N627"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>
        <v>40</v>
      </c>
      <c r="W627" s="9">
        <v>150</v>
      </c>
      <c r="X627" s="9">
        <v>8</v>
      </c>
      <c r="Y627" s="10">
        <v>0</v>
      </c>
      <c r="Z627" t="s">
        <v>907</v>
      </c>
      <c r="AA627" t="s">
        <v>903</v>
      </c>
      <c r="AB627" s="2" t="s">
        <v>921</v>
      </c>
      <c r="AC627" s="9" t="s">
        <v>995</v>
      </c>
      <c r="AD627" s="9" t="s">
        <v>996</v>
      </c>
      <c r="AE627" s="10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7" s="2" t="b">
        <v>0</v>
      </c>
      <c r="AY627"/>
      <c r="AZ627"/>
      <c r="BA627"/>
    </row>
    <row r="628" spans="1:53">
      <c r="A628" s="2" t="s">
        <v>650</v>
      </c>
      <c r="B628">
        <v>1997</v>
      </c>
      <c r="C628">
        <v>1</v>
      </c>
      <c r="D628" t="s">
        <v>1763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>
        <v>8</v>
      </c>
      <c r="K628" s="2" t="s">
        <v>23</v>
      </c>
      <c r="L628">
        <f>_xlfn.XLOOKUP("LOADINGSPEEDDEF_"&amp;PROPERTIES[[#This Row],[LOADINGSPEED]],LOADINGSPEEDDEF[TYPE],LOADINGSPEEDDEF[SPEED])</f>
        <v>40</v>
      </c>
      <c r="M628">
        <v>45</v>
      </c>
      <c r="N628"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>
        <v>40</v>
      </c>
      <c r="W628" s="9">
        <v>56</v>
      </c>
      <c r="X628" s="9">
        <v>8</v>
      </c>
      <c r="Y628" s="10">
        <v>0</v>
      </c>
      <c r="Z628" t="s">
        <v>906</v>
      </c>
      <c r="AA628" t="s">
        <v>903</v>
      </c>
      <c r="AB628" s="2" t="s">
        <v>921</v>
      </c>
      <c r="AC628" s="9" t="s">
        <v>995</v>
      </c>
      <c r="AD628" s="9" t="s">
        <v>996</v>
      </c>
      <c r="AE628" s="10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28" s="2" t="b">
        <v>0</v>
      </c>
      <c r="AY628"/>
      <c r="AZ628"/>
      <c r="BA628"/>
    </row>
    <row r="629" spans="1:53">
      <c r="A629" s="2" t="s">
        <v>651</v>
      </c>
      <c r="B629">
        <v>1984</v>
      </c>
      <c r="C629">
        <v>0</v>
      </c>
      <c r="D629" t="s">
        <v>1940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>
        <v>16</v>
      </c>
      <c r="K629" s="2" t="s">
        <v>19</v>
      </c>
      <c r="L629">
        <f>_xlfn.XLOOKUP("LOADINGSPEEDDEF_"&amp;PROPERTIES[[#This Row],[LOADINGSPEED]],LOADINGSPEEDDEF[TYPE],LOADINGSPEEDDEF[SPEED])</f>
        <v>0</v>
      </c>
      <c r="M629">
        <v>45</v>
      </c>
      <c r="N629">
        <v>1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>
        <v>40</v>
      </c>
      <c r="W629" s="9">
        <v>0</v>
      </c>
      <c r="X629" s="9">
        <v>8</v>
      </c>
      <c r="Y629" s="10">
        <v>0</v>
      </c>
      <c r="Z629" t="s">
        <v>912</v>
      </c>
      <c r="AA629" t="s">
        <v>903</v>
      </c>
      <c r="AB629" s="2" t="s">
        <v>921</v>
      </c>
      <c r="AC629" s="9" t="s">
        <v>991</v>
      </c>
      <c r="AD629" s="9" t="s">
        <v>992</v>
      </c>
      <c r="AE629" s="10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29" s="2" t="b">
        <v>0</v>
      </c>
      <c r="AY629"/>
      <c r="AZ629"/>
      <c r="BA629"/>
    </row>
    <row r="630" spans="1:53">
      <c r="A630" s="2" t="s">
        <v>652</v>
      </c>
      <c r="B630">
        <v>1974</v>
      </c>
      <c r="C630">
        <v>0</v>
      </c>
      <c r="D630" t="s">
        <v>1940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>
        <v>16</v>
      </c>
      <c r="K630" s="2" t="s">
        <v>19</v>
      </c>
      <c r="L630">
        <f>_xlfn.XLOOKUP("LOADINGSPEEDDEF_"&amp;PROPERTIES[[#This Row],[LOADINGSPEED]],LOADINGSPEEDDEF[TYPE],LOADINGSPEEDDEF[SPEED])</f>
        <v>0</v>
      </c>
      <c r="M630">
        <v>45</v>
      </c>
      <c r="N630">
        <v>1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>
        <v>40</v>
      </c>
      <c r="W630" s="9">
        <v>0</v>
      </c>
      <c r="X630" s="9">
        <v>8</v>
      </c>
      <c r="Y630" s="10">
        <v>0</v>
      </c>
      <c r="Z630" t="s">
        <v>912</v>
      </c>
      <c r="AA630" t="s">
        <v>903</v>
      </c>
      <c r="AB630" s="2" t="s">
        <v>921</v>
      </c>
      <c r="AC630" s="9" t="s">
        <v>991</v>
      </c>
      <c r="AD630" s="9" t="s">
        <v>992</v>
      </c>
      <c r="AE630" s="10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0" s="2" t="b">
        <v>0</v>
      </c>
      <c r="AY630"/>
      <c r="AZ630"/>
      <c r="BA630"/>
    </row>
    <row r="631" spans="1:53">
      <c r="A631" s="2" t="s">
        <v>653</v>
      </c>
      <c r="B631">
        <v>1945</v>
      </c>
      <c r="C631">
        <v>0</v>
      </c>
      <c r="D631" t="s">
        <v>1940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>
        <v>8</v>
      </c>
      <c r="K631" s="2" t="s">
        <v>19</v>
      </c>
      <c r="L631">
        <f>_xlfn.XLOOKUP("LOADINGSPEEDDEF_"&amp;PROPERTIES[[#This Row],[LOADINGSPEED]],LOADINGSPEEDDEF[TYPE],LOADINGSPEEDDEF[SPEED])</f>
        <v>0</v>
      </c>
      <c r="M631">
        <v>45</v>
      </c>
      <c r="N631">
        <v>1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>
        <v>40</v>
      </c>
      <c r="W631" s="9">
        <v>0</v>
      </c>
      <c r="X631" s="9">
        <v>0</v>
      </c>
      <c r="Y631" s="10">
        <v>0</v>
      </c>
      <c r="Z631" t="s">
        <v>912</v>
      </c>
      <c r="AA631" t="s">
        <v>903</v>
      </c>
      <c r="AB631" s="2" t="s">
        <v>921</v>
      </c>
      <c r="AC631" s="9" t="s">
        <v>991</v>
      </c>
      <c r="AD631" s="9" t="s">
        <v>992</v>
      </c>
      <c r="AE631" s="10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1" s="2" t="b">
        <v>0</v>
      </c>
      <c r="AY631"/>
      <c r="AZ631"/>
      <c r="BA631"/>
    </row>
    <row r="632" spans="1:53">
      <c r="A632" s="2" t="s">
        <v>654</v>
      </c>
      <c r="B632">
        <v>1995</v>
      </c>
      <c r="C632">
        <v>0</v>
      </c>
      <c r="D632" t="s">
        <v>1978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>
        <v>16</v>
      </c>
      <c r="K632" s="2" t="s">
        <v>19</v>
      </c>
      <c r="L632">
        <f>_xlfn.XLOOKUP("LOADINGSPEEDDEF_"&amp;PROPERTIES[[#This Row],[LOADINGSPEED]],LOADINGSPEEDDEF[TYPE],LOADINGSPEEDDEF[SPEED])</f>
        <v>0</v>
      </c>
      <c r="M632">
        <v>45</v>
      </c>
      <c r="N632"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>
        <v>40</v>
      </c>
      <c r="W632" s="9">
        <v>0</v>
      </c>
      <c r="X632" s="9">
        <v>0</v>
      </c>
      <c r="Y632" s="10">
        <v>0</v>
      </c>
      <c r="Z632" t="s">
        <v>910</v>
      </c>
      <c r="AA632" t="s">
        <v>903</v>
      </c>
      <c r="AB632" s="2" t="s">
        <v>921</v>
      </c>
      <c r="AC632" s="9" t="s">
        <v>991</v>
      </c>
      <c r="AD632" s="9" t="s">
        <v>992</v>
      </c>
      <c r="AE632" s="10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2" s="2" t="b">
        <v>0</v>
      </c>
      <c r="AY632"/>
      <c r="AZ632"/>
      <c r="BA632"/>
    </row>
    <row r="633" spans="1:53">
      <c r="A633" s="2" t="s">
        <v>655</v>
      </c>
      <c r="B633">
        <v>1961</v>
      </c>
      <c r="C633">
        <v>0</v>
      </c>
      <c r="D633" t="s">
        <v>1940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>
        <v>7</v>
      </c>
      <c r="K633" s="2" t="s">
        <v>19</v>
      </c>
      <c r="L633">
        <f>_xlfn.XLOOKUP("LOADINGSPEEDDEF_"&amp;PROPERTIES[[#This Row],[LOADINGSPEED]],LOADINGSPEEDDEF[TYPE],LOADINGSPEEDDEF[SPEED])</f>
        <v>0</v>
      </c>
      <c r="M633">
        <v>45</v>
      </c>
      <c r="N633">
        <v>1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>
        <v>40</v>
      </c>
      <c r="W633" s="9">
        <v>0</v>
      </c>
      <c r="X633" s="9">
        <v>0</v>
      </c>
      <c r="Y633" s="10">
        <v>0</v>
      </c>
      <c r="Z633" t="s">
        <v>912</v>
      </c>
      <c r="AA633" t="s">
        <v>903</v>
      </c>
      <c r="AB633" s="2" t="s">
        <v>921</v>
      </c>
      <c r="AC633" s="9" t="s">
        <v>991</v>
      </c>
      <c r="AD633" s="9" t="s">
        <v>992</v>
      </c>
      <c r="AE633" s="10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3" s="2" t="b">
        <v>0</v>
      </c>
      <c r="AY633"/>
      <c r="AZ633"/>
      <c r="BA633"/>
    </row>
    <row r="634" spans="1:53">
      <c r="A634" s="2" t="s">
        <v>656</v>
      </c>
      <c r="B634">
        <v>1983</v>
      </c>
      <c r="C634">
        <v>0</v>
      </c>
      <c r="D634" t="s">
        <v>1978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>
        <v>14</v>
      </c>
      <c r="K634" s="2" t="s">
        <v>19</v>
      </c>
      <c r="L634">
        <f>_xlfn.XLOOKUP("LOADINGSPEEDDEF_"&amp;PROPERTIES[[#This Row],[LOADINGSPEED]],LOADINGSPEEDDEF[TYPE],LOADINGSPEEDDEF[SPEED])</f>
        <v>0</v>
      </c>
      <c r="M634">
        <v>45</v>
      </c>
      <c r="N634">
        <v>1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>
        <v>40</v>
      </c>
      <c r="W634" s="9">
        <v>0</v>
      </c>
      <c r="X634" s="9">
        <v>0</v>
      </c>
      <c r="Y634" s="10">
        <v>0</v>
      </c>
      <c r="Z634" t="s">
        <v>910</v>
      </c>
      <c r="AA634" t="s">
        <v>903</v>
      </c>
      <c r="AB634" s="2" t="s">
        <v>921</v>
      </c>
      <c r="AC634" s="9" t="s">
        <v>991</v>
      </c>
      <c r="AD634" s="9" t="s">
        <v>992</v>
      </c>
      <c r="AE634" s="10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34" s="2" t="b">
        <v>0</v>
      </c>
      <c r="AY634"/>
      <c r="AZ634"/>
      <c r="BA634"/>
    </row>
    <row r="635" spans="1:53">
      <c r="A635" s="2" t="s">
        <v>657</v>
      </c>
      <c r="B635">
        <v>1962</v>
      </c>
      <c r="C635">
        <v>0</v>
      </c>
      <c r="D635" t="s">
        <v>1781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>
        <v>7</v>
      </c>
      <c r="K635" s="2" t="s">
        <v>23</v>
      </c>
      <c r="L635">
        <f>_xlfn.XLOOKUP("LOADINGSPEEDDEF_"&amp;PROPERTIES[[#This Row],[LOADINGSPEED]],LOADINGSPEEDDEF[TYPE],LOADINGSPEEDDEF[SPEED])</f>
        <v>40</v>
      </c>
      <c r="M635">
        <v>45</v>
      </c>
      <c r="N635">
        <v>1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>
        <v>40</v>
      </c>
      <c r="W635" s="9">
        <v>0</v>
      </c>
      <c r="X635" s="9">
        <v>0</v>
      </c>
      <c r="Y635" s="10">
        <v>0</v>
      </c>
      <c r="Z635" t="s">
        <v>911</v>
      </c>
      <c r="AA635" t="s">
        <v>903</v>
      </c>
      <c r="AB635" s="2" t="s">
        <v>921</v>
      </c>
      <c r="AC635" s="9" t="s">
        <v>991</v>
      </c>
      <c r="AD635" s="9" t="s">
        <v>992</v>
      </c>
      <c r="AE635" s="10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35" s="2" t="b">
        <v>0</v>
      </c>
      <c r="AY635"/>
      <c r="AZ635"/>
      <c r="BA635"/>
    </row>
    <row r="636" spans="1:53">
      <c r="A636" s="2" t="s">
        <v>658</v>
      </c>
      <c r="B636">
        <v>1983</v>
      </c>
      <c r="C636">
        <v>0</v>
      </c>
      <c r="D636" t="s">
        <v>1940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>
        <v>16</v>
      </c>
      <c r="K636" s="2" t="s">
        <v>19</v>
      </c>
      <c r="L636">
        <f>_xlfn.XLOOKUP("LOADINGSPEEDDEF_"&amp;PROPERTIES[[#This Row],[LOADINGSPEED]],LOADINGSPEEDDEF[TYPE],LOADINGSPEEDDEF[SPEED])</f>
        <v>0</v>
      </c>
      <c r="M636">
        <v>45</v>
      </c>
      <c r="N636">
        <v>1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>
        <v>40</v>
      </c>
      <c r="W636" s="9">
        <v>0</v>
      </c>
      <c r="X636" s="9">
        <v>8</v>
      </c>
      <c r="Y636" s="10">
        <v>0</v>
      </c>
      <c r="Z636" t="s">
        <v>912</v>
      </c>
      <c r="AA636" t="s">
        <v>903</v>
      </c>
      <c r="AB636" s="2" t="s">
        <v>921</v>
      </c>
      <c r="AC636" s="9" t="s">
        <v>991</v>
      </c>
      <c r="AD636" s="9" t="s">
        <v>992</v>
      </c>
      <c r="AE636" s="10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6" s="2" t="b">
        <v>0</v>
      </c>
      <c r="AY636"/>
      <c r="AZ636"/>
      <c r="BA636"/>
    </row>
    <row r="637" spans="1:53">
      <c r="A637" s="2" t="s">
        <v>659</v>
      </c>
      <c r="B637">
        <v>1963</v>
      </c>
      <c r="C637">
        <v>0</v>
      </c>
      <c r="D637" t="s">
        <v>1940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>
        <v>8</v>
      </c>
      <c r="K637" s="2" t="s">
        <v>19</v>
      </c>
      <c r="L637">
        <f>_xlfn.XLOOKUP("LOADINGSPEEDDEF_"&amp;PROPERTIES[[#This Row],[LOADINGSPEED]],LOADINGSPEEDDEF[TYPE],LOADINGSPEEDDEF[SPEED])</f>
        <v>0</v>
      </c>
      <c r="M637">
        <v>45</v>
      </c>
      <c r="N637">
        <v>1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>
        <v>40</v>
      </c>
      <c r="W637" s="9">
        <v>0</v>
      </c>
      <c r="X637" s="9">
        <v>0</v>
      </c>
      <c r="Y637" s="10">
        <v>0</v>
      </c>
      <c r="Z637" t="s">
        <v>912</v>
      </c>
      <c r="AA637" t="s">
        <v>903</v>
      </c>
      <c r="AB637" s="2" t="s">
        <v>921</v>
      </c>
      <c r="AC637" s="9" t="s">
        <v>991</v>
      </c>
      <c r="AD637" s="9" t="s">
        <v>992</v>
      </c>
      <c r="AE637" s="10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7" s="2" t="b">
        <v>0</v>
      </c>
      <c r="AY637"/>
      <c r="AZ637"/>
      <c r="BA637"/>
    </row>
    <row r="638" spans="1:53">
      <c r="A638" s="2" t="s">
        <v>660</v>
      </c>
      <c r="B638">
        <v>1994</v>
      </c>
      <c r="C638">
        <v>0</v>
      </c>
      <c r="D638" t="s">
        <v>1854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>
        <v>8</v>
      </c>
      <c r="K638" s="2" t="s">
        <v>19</v>
      </c>
      <c r="L638">
        <f>_xlfn.XLOOKUP("LOADINGSPEEDDEF_"&amp;PROPERTIES[[#This Row],[LOADINGSPEED]],LOADINGSPEEDDEF[TYPE],LOADINGSPEEDDEF[SPEED])</f>
        <v>0</v>
      </c>
      <c r="M638">
        <v>45</v>
      </c>
      <c r="N638">
        <v>1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>
        <v>40</v>
      </c>
      <c r="W638" s="9">
        <v>0</v>
      </c>
      <c r="X638" s="9">
        <v>0</v>
      </c>
      <c r="Y638" s="10">
        <v>0</v>
      </c>
      <c r="Z638" t="s">
        <v>912</v>
      </c>
      <c r="AA638" t="s">
        <v>903</v>
      </c>
      <c r="AB638" s="2" t="s">
        <v>921</v>
      </c>
      <c r="AC638" s="9" t="s">
        <v>991</v>
      </c>
      <c r="AD638" s="9" t="s">
        <v>992</v>
      </c>
      <c r="AE638" s="10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8" s="2" t="b">
        <v>0</v>
      </c>
      <c r="AY638"/>
      <c r="AZ638"/>
      <c r="BA638"/>
    </row>
    <row r="639" spans="1:53">
      <c r="A639" s="2" t="s">
        <v>661</v>
      </c>
      <c r="B639">
        <v>1973</v>
      </c>
      <c r="C639">
        <v>0</v>
      </c>
      <c r="D639" t="s">
        <v>1820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>
        <v>8</v>
      </c>
      <c r="K639" s="2" t="s">
        <v>19</v>
      </c>
      <c r="L639">
        <f>_xlfn.XLOOKUP("LOADINGSPEEDDEF_"&amp;PROPERTIES[[#This Row],[LOADINGSPEED]],LOADINGSPEEDDEF[TYPE],LOADINGSPEEDDEF[SPEED])</f>
        <v>0</v>
      </c>
      <c r="M639">
        <v>45</v>
      </c>
      <c r="N639"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>
        <v>40</v>
      </c>
      <c r="W639" s="9">
        <v>0</v>
      </c>
      <c r="X639" s="9">
        <v>0</v>
      </c>
      <c r="Y639" s="10">
        <v>0</v>
      </c>
      <c r="Z639" t="s">
        <v>908</v>
      </c>
      <c r="AA639" t="s">
        <v>903</v>
      </c>
      <c r="AB639" s="2" t="s">
        <v>921</v>
      </c>
      <c r="AC639" s="9" t="s">
        <v>991</v>
      </c>
      <c r="AD639" s="9" t="s">
        <v>992</v>
      </c>
      <c r="AE639" s="10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9" s="2" t="b">
        <v>0</v>
      </c>
      <c r="AY639"/>
      <c r="AZ639"/>
      <c r="BA639"/>
    </row>
    <row r="640" spans="1:53">
      <c r="A640" s="2" t="s">
        <v>662</v>
      </c>
      <c r="B640">
        <v>2004</v>
      </c>
      <c r="C640">
        <v>0</v>
      </c>
      <c r="D640" t="s">
        <v>1874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>
        <v>8</v>
      </c>
      <c r="K640" s="2" t="s">
        <v>19</v>
      </c>
      <c r="L640">
        <f>_xlfn.XLOOKUP("LOADINGSPEEDDEF_"&amp;PROPERTIES[[#This Row],[LOADINGSPEED]],LOADINGSPEEDDEF[TYPE],LOADINGSPEEDDEF[SPEED])</f>
        <v>0</v>
      </c>
      <c r="M640" t="s">
        <v>20</v>
      </c>
      <c r="N640">
        <v>1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>
        <v>40</v>
      </c>
      <c r="W640" s="9">
        <v>0</v>
      </c>
      <c r="X640" s="9">
        <v>0</v>
      </c>
      <c r="Y640" s="10">
        <v>0</v>
      </c>
      <c r="Z640" t="s">
        <v>912</v>
      </c>
      <c r="AA640" t="s">
        <v>903</v>
      </c>
      <c r="AB640" s="2" t="s">
        <v>921</v>
      </c>
      <c r="AC640" s="9" t="s">
        <v>991</v>
      </c>
      <c r="AD640" s="9" t="s">
        <v>992</v>
      </c>
      <c r="AE640" s="10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40" s="2" t="b">
        <v>0</v>
      </c>
      <c r="AY640"/>
      <c r="AZ640"/>
      <c r="BA640"/>
    </row>
    <row r="641" spans="1:53">
      <c r="A641" s="2" t="s">
        <v>663</v>
      </c>
      <c r="B641">
        <v>2014</v>
      </c>
      <c r="C641">
        <v>0</v>
      </c>
      <c r="D641" t="s">
        <v>1874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>
        <v>16</v>
      </c>
      <c r="K641" s="2" t="s">
        <v>19</v>
      </c>
      <c r="L641">
        <f>_xlfn.XLOOKUP("LOADINGSPEEDDEF_"&amp;PROPERTIES[[#This Row],[LOADINGSPEED]],LOADINGSPEEDDEF[TYPE],LOADINGSPEEDDEF[SPEED])</f>
        <v>0</v>
      </c>
      <c r="M641" t="s">
        <v>20</v>
      </c>
      <c r="N641">
        <v>1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>
        <v>40</v>
      </c>
      <c r="W641" s="9">
        <v>0</v>
      </c>
      <c r="X641" s="9">
        <v>8</v>
      </c>
      <c r="Y641" s="10">
        <v>0</v>
      </c>
      <c r="Z641" t="s">
        <v>912</v>
      </c>
      <c r="AA641" t="s">
        <v>903</v>
      </c>
      <c r="AB641" s="2" t="s">
        <v>921</v>
      </c>
      <c r="AC641" s="9" t="s">
        <v>991</v>
      </c>
      <c r="AD641" s="9" t="s">
        <v>992</v>
      </c>
      <c r="AE641" s="10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41" s="2" t="b">
        <v>0</v>
      </c>
      <c r="AY641"/>
      <c r="AZ641"/>
      <c r="BA641"/>
    </row>
    <row r="642" spans="1:53">
      <c r="A642" s="2" t="s">
        <v>664</v>
      </c>
      <c r="B642">
        <v>2011</v>
      </c>
      <c r="C642">
        <v>0</v>
      </c>
      <c r="D642" t="s">
        <v>1940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>
        <v>8</v>
      </c>
      <c r="K642" s="2" t="s">
        <v>19</v>
      </c>
      <c r="L642">
        <f>_xlfn.XLOOKUP("LOADINGSPEEDDEF_"&amp;PROPERTIES[[#This Row],[LOADINGSPEED]],LOADINGSPEEDDEF[TYPE],LOADINGSPEEDDEF[SPEED])</f>
        <v>0</v>
      </c>
      <c r="M642" t="s">
        <v>20</v>
      </c>
      <c r="N642">
        <v>1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>
        <v>40</v>
      </c>
      <c r="W642" s="9">
        <v>0</v>
      </c>
      <c r="X642" s="9">
        <v>0</v>
      </c>
      <c r="Y642" s="10">
        <v>0</v>
      </c>
      <c r="Z642" t="s">
        <v>912</v>
      </c>
      <c r="AA642" t="s">
        <v>903</v>
      </c>
      <c r="AB642" s="2" t="s">
        <v>921</v>
      </c>
      <c r="AC642" s="9" t="s">
        <v>991</v>
      </c>
      <c r="AD642" s="9" t="s">
        <v>992</v>
      </c>
      <c r="AE642" s="10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42" s="2" t="b">
        <v>0</v>
      </c>
      <c r="AY642"/>
      <c r="AZ642"/>
      <c r="BA642"/>
    </row>
    <row r="643" spans="1:53">
      <c r="A643" s="2" t="s">
        <v>665</v>
      </c>
      <c r="B643">
        <v>1955</v>
      </c>
      <c r="C643">
        <v>0</v>
      </c>
      <c r="D643" t="s">
        <v>1820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>
        <v>7</v>
      </c>
      <c r="K643" s="2" t="s">
        <v>23</v>
      </c>
      <c r="L643">
        <f>_xlfn.XLOOKUP("LOADINGSPEEDDEF_"&amp;PROPERTIES[[#This Row],[LOADINGSPEED]],LOADINGSPEEDDEF[TYPE],LOADINGSPEEDDEF[SPEED])</f>
        <v>40</v>
      </c>
      <c r="M643">
        <v>45</v>
      </c>
      <c r="N643"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>
        <v>15</v>
      </c>
      <c r="W643" s="9">
        <v>0</v>
      </c>
      <c r="X643" s="9">
        <v>0</v>
      </c>
      <c r="Y643" s="10">
        <v>0</v>
      </c>
      <c r="Z643" t="s">
        <v>908</v>
      </c>
      <c r="AA643" t="s">
        <v>903</v>
      </c>
      <c r="AB643" s="2" t="s">
        <v>921</v>
      </c>
      <c r="AC643" s="9" t="s">
        <v>981</v>
      </c>
      <c r="AD643" s="9" t="s">
        <v>982</v>
      </c>
      <c r="AE643" s="10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3" s="2" t="b">
        <v>0</v>
      </c>
      <c r="AY643"/>
      <c r="AZ643"/>
      <c r="BA643"/>
    </row>
    <row r="644" spans="1:53">
      <c r="A644" s="2" t="s">
        <v>666</v>
      </c>
      <c r="B644">
        <v>1984</v>
      </c>
      <c r="C644">
        <v>0</v>
      </c>
      <c r="D644" t="s">
        <v>1940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>
        <v>8</v>
      </c>
      <c r="K644" s="2" t="s">
        <v>23</v>
      </c>
      <c r="L644">
        <f>_xlfn.XLOOKUP("LOADINGSPEEDDEF_"&amp;PROPERTIES[[#This Row],[LOADINGSPEED]],LOADINGSPEEDDEF[TYPE],LOADINGSPEEDDEF[SPEED])</f>
        <v>40</v>
      </c>
      <c r="M644">
        <v>45</v>
      </c>
      <c r="N644"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>
        <v>15</v>
      </c>
      <c r="W644" s="9">
        <v>0</v>
      </c>
      <c r="X644" s="9">
        <v>0</v>
      </c>
      <c r="Y644" s="10">
        <v>0</v>
      </c>
      <c r="Z644" t="s">
        <v>912</v>
      </c>
      <c r="AA644" t="s">
        <v>903</v>
      </c>
      <c r="AB644" s="2" t="s">
        <v>921</v>
      </c>
      <c r="AC644" s="9" t="s">
        <v>981</v>
      </c>
      <c r="AD644" s="9" t="s">
        <v>982</v>
      </c>
      <c r="AE644" s="10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4" s="2" t="b">
        <v>0</v>
      </c>
      <c r="AY644"/>
      <c r="AZ644"/>
      <c r="BA644"/>
    </row>
    <row r="645" spans="1:53">
      <c r="A645" s="2" t="s">
        <v>667</v>
      </c>
      <c r="B645">
        <v>1973</v>
      </c>
      <c r="C645">
        <v>1</v>
      </c>
      <c r="D645" t="s">
        <v>1940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>
        <v>8</v>
      </c>
      <c r="K645" s="2" t="s">
        <v>23</v>
      </c>
      <c r="L645">
        <f>_xlfn.XLOOKUP("LOADINGSPEEDDEF_"&amp;PROPERTIES[[#This Row],[LOADINGSPEED]],LOADINGSPEEDDEF[TYPE],LOADINGSPEEDDEF[SPEED])</f>
        <v>40</v>
      </c>
      <c r="M645">
        <v>45</v>
      </c>
      <c r="N645"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>
        <v>40</v>
      </c>
      <c r="W645" s="9">
        <v>64</v>
      </c>
      <c r="X645" s="9">
        <v>8</v>
      </c>
      <c r="Y645" s="10">
        <v>0</v>
      </c>
      <c r="Z645" t="s">
        <v>912</v>
      </c>
      <c r="AA645" t="s">
        <v>903</v>
      </c>
      <c r="AB645" s="2" t="s">
        <v>921</v>
      </c>
      <c r="AC645" s="9" t="s">
        <v>995</v>
      </c>
      <c r="AD645" s="9" t="s">
        <v>996</v>
      </c>
      <c r="AE645" s="10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5" s="2" t="b">
        <v>0</v>
      </c>
      <c r="AY645"/>
      <c r="AZ645"/>
      <c r="BA645"/>
    </row>
    <row r="646" spans="1:53">
      <c r="A646" s="2" t="s">
        <v>668</v>
      </c>
      <c r="B646">
        <v>1929</v>
      </c>
      <c r="C646">
        <v>1</v>
      </c>
      <c r="D646" t="s">
        <v>1940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>
        <v>7</v>
      </c>
      <c r="K646" s="2" t="s">
        <v>23</v>
      </c>
      <c r="L646">
        <f>_xlfn.XLOOKUP("LOADINGSPEEDDEF_"&amp;PROPERTIES[[#This Row],[LOADINGSPEED]],LOADINGSPEEDDEF[TYPE],LOADINGSPEEDDEF[SPEED])</f>
        <v>40</v>
      </c>
      <c r="M646">
        <v>45</v>
      </c>
      <c r="N646"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>
        <v>40</v>
      </c>
      <c r="W646" s="9">
        <v>110</v>
      </c>
      <c r="X646" s="9">
        <v>7</v>
      </c>
      <c r="Y646" s="10">
        <v>0</v>
      </c>
      <c r="Z646" t="s">
        <v>912</v>
      </c>
      <c r="AA646" t="s">
        <v>903</v>
      </c>
      <c r="AB646" s="2" t="s">
        <v>921</v>
      </c>
      <c r="AC646" s="9" t="s">
        <v>995</v>
      </c>
      <c r="AD646" s="9" t="s">
        <v>996</v>
      </c>
      <c r="AE646" s="10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6" s="2" t="b">
        <v>0</v>
      </c>
      <c r="AY646"/>
      <c r="AZ646"/>
      <c r="BA646"/>
    </row>
    <row r="647" spans="1:53">
      <c r="A647" s="2" t="s">
        <v>669</v>
      </c>
      <c r="B647">
        <v>2015</v>
      </c>
      <c r="C647">
        <v>1</v>
      </c>
      <c r="D647" t="s">
        <v>1847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>
        <v>8</v>
      </c>
      <c r="K647" s="2" t="s">
        <v>23</v>
      </c>
      <c r="L647">
        <f>_xlfn.XLOOKUP("LOADINGSPEEDDEF_"&amp;PROPERTIES[[#This Row],[LOADINGSPEED]],LOADINGSPEEDDEF[TYPE],LOADINGSPEEDDEF[SPEED])</f>
        <v>40</v>
      </c>
      <c r="M647" t="s">
        <v>20</v>
      </c>
      <c r="N647"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>
        <v>40</v>
      </c>
      <c r="W647" s="9">
        <v>60</v>
      </c>
      <c r="X647" s="9">
        <v>8</v>
      </c>
      <c r="Y647" s="10">
        <v>0</v>
      </c>
      <c r="Z647" t="s">
        <v>910</v>
      </c>
      <c r="AA647" t="s">
        <v>903</v>
      </c>
      <c r="AB647" s="2" t="s">
        <v>921</v>
      </c>
      <c r="AC647" s="9" t="s">
        <v>995</v>
      </c>
      <c r="AD647" s="9" t="s">
        <v>996</v>
      </c>
      <c r="AE647" s="10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7" s="2" t="b">
        <v>0</v>
      </c>
      <c r="AY647"/>
      <c r="AZ647"/>
      <c r="BA647"/>
    </row>
    <row r="648" spans="1:53">
      <c r="A648" s="2" t="s">
        <v>670</v>
      </c>
      <c r="B648">
        <v>2011</v>
      </c>
      <c r="C648">
        <v>1</v>
      </c>
      <c r="D648" t="s">
        <v>1940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>
        <v>8</v>
      </c>
      <c r="K648" s="2" t="s">
        <v>23</v>
      </c>
      <c r="L648">
        <f>_xlfn.XLOOKUP("LOADINGSPEEDDEF_"&amp;PROPERTIES[[#This Row],[LOADINGSPEED]],LOADINGSPEEDDEF[TYPE],LOADINGSPEEDDEF[SPEED])</f>
        <v>40</v>
      </c>
      <c r="M648" t="s">
        <v>20</v>
      </c>
      <c r="N648"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>
        <v>40</v>
      </c>
      <c r="W648" s="9">
        <v>88</v>
      </c>
      <c r="X648" s="9">
        <v>8</v>
      </c>
      <c r="Y648" s="10">
        <v>0</v>
      </c>
      <c r="Z648" t="s">
        <v>912</v>
      </c>
      <c r="AA648" t="s">
        <v>903</v>
      </c>
      <c r="AB648" s="2" t="s">
        <v>921</v>
      </c>
      <c r="AC648" s="9" t="s">
        <v>995</v>
      </c>
      <c r="AD648" s="9" t="s">
        <v>996</v>
      </c>
      <c r="AE648" s="10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8" s="2" t="b">
        <v>0</v>
      </c>
      <c r="AY648"/>
      <c r="AZ648"/>
      <c r="BA648"/>
    </row>
    <row r="649" spans="1:53">
      <c r="A649" s="2" t="s">
        <v>745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324</v>
      </c>
      <c r="H649">
        <v>1</v>
      </c>
      <c r="I649">
        <v>8</v>
      </c>
      <c r="J649">
        <v>8</v>
      </c>
      <c r="K649" s="2" t="s">
        <v>19</v>
      </c>
      <c r="L649">
        <f>_xlfn.XLOOKUP("LOADINGSPEEDDEF_"&amp;PROPERTIES[[#This Row],[LOADINGSPEED]],LOADINGSPEEDDEF[TYPE],LOADINGSPEEDDEF[SPEED])</f>
        <v>0</v>
      </c>
      <c r="M649" t="s">
        <v>20</v>
      </c>
      <c r="N649"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>
        <v>60</v>
      </c>
      <c r="W649" s="9">
        <v>0</v>
      </c>
      <c r="X649" s="9">
        <v>0</v>
      </c>
      <c r="Y649" s="10">
        <v>0</v>
      </c>
      <c r="Z649" t="s">
        <v>917</v>
      </c>
      <c r="AA649" t="s">
        <v>903</v>
      </c>
      <c r="AB649" s="2" t="s">
        <v>921</v>
      </c>
      <c r="AC649" s="9" t="s">
        <v>989</v>
      </c>
      <c r="AD649" s="9" t="s">
        <v>990</v>
      </c>
      <c r="AE649" s="10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49" s="2" t="b">
        <v>0</v>
      </c>
      <c r="AY649"/>
      <c r="AZ649"/>
      <c r="BA649"/>
    </row>
    <row r="650" spans="1:53">
      <c r="A650" s="2" t="s">
        <v>744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324</v>
      </c>
      <c r="H650">
        <v>1</v>
      </c>
      <c r="I650">
        <v>8</v>
      </c>
      <c r="J650">
        <v>8</v>
      </c>
      <c r="K650" s="2" t="s">
        <v>19</v>
      </c>
      <c r="L650">
        <f>_xlfn.XLOOKUP("LOADINGSPEEDDEF_"&amp;PROPERTIES[[#This Row],[LOADINGSPEED]],LOADINGSPEEDDEF[TYPE],LOADINGSPEEDDEF[SPEED])</f>
        <v>0</v>
      </c>
      <c r="M650" t="s">
        <v>20</v>
      </c>
      <c r="N650"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>
        <v>60</v>
      </c>
      <c r="W650" s="9">
        <v>0</v>
      </c>
      <c r="X650" s="9">
        <v>0</v>
      </c>
      <c r="Y650" s="10">
        <v>0</v>
      </c>
      <c r="Z650" t="s">
        <v>917</v>
      </c>
      <c r="AA650" t="s">
        <v>903</v>
      </c>
      <c r="AB650" s="2" t="s">
        <v>921</v>
      </c>
      <c r="AC650" s="9" t="s">
        <v>989</v>
      </c>
      <c r="AD650" s="9" t="s">
        <v>990</v>
      </c>
      <c r="AE650" s="10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0" s="2" t="b">
        <v>0</v>
      </c>
      <c r="AY650"/>
      <c r="AZ650"/>
      <c r="BA650"/>
    </row>
    <row r="651" spans="1:53">
      <c r="A651" s="2" t="s">
        <v>746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531</v>
      </c>
      <c r="H651">
        <v>1</v>
      </c>
      <c r="I651">
        <v>8</v>
      </c>
      <c r="J651">
        <v>8</v>
      </c>
      <c r="K651" s="2" t="s">
        <v>19</v>
      </c>
      <c r="L651">
        <f>_xlfn.XLOOKUP("LOADINGSPEEDDEF_"&amp;PROPERTIES[[#This Row],[LOADINGSPEED]],LOADINGSPEEDDEF[TYPE],LOADINGSPEEDDEF[SPEED])</f>
        <v>0</v>
      </c>
      <c r="M651" t="s">
        <v>20</v>
      </c>
      <c r="N651"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>
        <v>60</v>
      </c>
      <c r="W651" s="9">
        <v>0</v>
      </c>
      <c r="X651" s="9">
        <v>0</v>
      </c>
      <c r="Y651" s="10">
        <v>0</v>
      </c>
      <c r="Z651" t="s">
        <v>917</v>
      </c>
      <c r="AA651" t="s">
        <v>903</v>
      </c>
      <c r="AB651" s="2" t="s">
        <v>921</v>
      </c>
      <c r="AC651" s="9" t="s">
        <v>993</v>
      </c>
      <c r="AD651" s="9" t="s">
        <v>994</v>
      </c>
      <c r="AE651" s="10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1" s="2" t="b">
        <v>0</v>
      </c>
      <c r="AY651"/>
      <c r="AZ651"/>
      <c r="BA651"/>
    </row>
    <row r="652" spans="1:53">
      <c r="A652" s="2" t="s">
        <v>747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531</v>
      </c>
      <c r="H652">
        <v>1</v>
      </c>
      <c r="I652">
        <v>8</v>
      </c>
      <c r="J652">
        <v>8</v>
      </c>
      <c r="K652" s="2" t="s">
        <v>19</v>
      </c>
      <c r="L652">
        <f>_xlfn.XLOOKUP("LOADINGSPEEDDEF_"&amp;PROPERTIES[[#This Row],[LOADINGSPEED]],LOADINGSPEEDDEF[TYPE],LOADINGSPEEDDEF[SPEED])</f>
        <v>0</v>
      </c>
      <c r="M652" t="s">
        <v>20</v>
      </c>
      <c r="N652"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>
        <v>60</v>
      </c>
      <c r="W652" s="9">
        <v>0</v>
      </c>
      <c r="X652" s="9">
        <v>0</v>
      </c>
      <c r="Y652" s="10">
        <v>0</v>
      </c>
      <c r="Z652" t="s">
        <v>917</v>
      </c>
      <c r="AA652" t="s">
        <v>903</v>
      </c>
      <c r="AB652" s="2" t="s">
        <v>921</v>
      </c>
      <c r="AC652" s="9" t="s">
        <v>993</v>
      </c>
      <c r="AD652" s="9" t="s">
        <v>994</v>
      </c>
      <c r="AE652" s="10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2" s="2" t="b">
        <v>0</v>
      </c>
      <c r="AY652"/>
      <c r="AZ652"/>
      <c r="BA652"/>
    </row>
    <row r="653" spans="1:53">
      <c r="A653" s="2" t="s">
        <v>748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>
        <v>8</v>
      </c>
      <c r="K653" s="2" t="s">
        <v>19</v>
      </c>
      <c r="L653">
        <f>_xlfn.XLOOKUP("LOADINGSPEEDDEF_"&amp;PROPERTIES[[#This Row],[LOADINGSPEED]],LOADINGSPEEDDEF[TYPE],LOADINGSPEEDDEF[SPEED])</f>
        <v>0</v>
      </c>
      <c r="M653" t="s">
        <v>20</v>
      </c>
      <c r="N653"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>
        <v>60</v>
      </c>
      <c r="W653" s="9">
        <v>0</v>
      </c>
      <c r="X653" s="9">
        <v>0</v>
      </c>
      <c r="Y653" s="10">
        <v>0</v>
      </c>
      <c r="Z653" t="s">
        <v>917</v>
      </c>
      <c r="AA653" t="s">
        <v>903</v>
      </c>
      <c r="AB653" s="2" t="s">
        <v>921</v>
      </c>
      <c r="AC653" s="9" t="s">
        <v>993</v>
      </c>
      <c r="AD653" s="9" t="s">
        <v>994</v>
      </c>
      <c r="AE653" s="10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3" s="2" t="b">
        <v>0</v>
      </c>
      <c r="AY653"/>
      <c r="AZ653"/>
      <c r="BA653"/>
    </row>
    <row r="654" spans="1:53">
      <c r="A654" s="2" t="s">
        <v>749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>
        <v>8</v>
      </c>
      <c r="K654" s="2" t="s">
        <v>19</v>
      </c>
      <c r="L654">
        <f>_xlfn.XLOOKUP("LOADINGSPEEDDEF_"&amp;PROPERTIES[[#This Row],[LOADINGSPEED]],LOADINGSPEEDDEF[TYPE],LOADINGSPEEDDEF[SPEED])</f>
        <v>0</v>
      </c>
      <c r="M654" t="s">
        <v>20</v>
      </c>
      <c r="N654"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>
        <v>60</v>
      </c>
      <c r="W654" s="9">
        <v>0</v>
      </c>
      <c r="X654" s="9">
        <v>0</v>
      </c>
      <c r="Y654" s="10">
        <v>0</v>
      </c>
      <c r="Z654" t="s">
        <v>917</v>
      </c>
      <c r="AA654" t="s">
        <v>903</v>
      </c>
      <c r="AB654" s="2" t="s">
        <v>921</v>
      </c>
      <c r="AC654" s="9" t="s">
        <v>993</v>
      </c>
      <c r="AD654" s="9" t="s">
        <v>994</v>
      </c>
      <c r="AE654" s="10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4" s="2" t="b">
        <v>0</v>
      </c>
      <c r="AY654"/>
      <c r="AZ654"/>
      <c r="BA654"/>
    </row>
    <row r="655" spans="1:53">
      <c r="A655" s="2" t="s">
        <v>751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602</v>
      </c>
      <c r="H655">
        <v>20</v>
      </c>
      <c r="I655">
        <v>4</v>
      </c>
      <c r="J655">
        <v>4</v>
      </c>
      <c r="K655" s="2" t="s">
        <v>32</v>
      </c>
      <c r="L655">
        <f>_xlfn.XLOOKUP("LOADINGSPEEDDEF_"&amp;PROPERTIES[[#This Row],[LOADINGSPEED]],LOADINGSPEEDDEF[TYPE],LOADINGSPEEDDEF[SPEED])</f>
        <v>20</v>
      </c>
      <c r="M655">
        <v>90</v>
      </c>
      <c r="N655"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>
        <v>25</v>
      </c>
      <c r="W655" s="9">
        <v>0</v>
      </c>
      <c r="X655" s="9">
        <v>0</v>
      </c>
      <c r="Y655" s="10">
        <v>0</v>
      </c>
      <c r="Z655" t="s">
        <v>917</v>
      </c>
      <c r="AA655" t="s">
        <v>903</v>
      </c>
      <c r="AB655" s="2" t="s">
        <v>921</v>
      </c>
      <c r="AC655" s="9" t="s">
        <v>1001</v>
      </c>
      <c r="AD655" s="9" t="s">
        <v>1002</v>
      </c>
      <c r="AE655" s="10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5" s="2" t="b">
        <v>0</v>
      </c>
      <c r="AY655"/>
      <c r="AZ655"/>
      <c r="BA655"/>
    </row>
    <row r="656" spans="1:53">
      <c r="A656" s="2" t="s">
        <v>752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598</v>
      </c>
      <c r="H656">
        <v>20</v>
      </c>
      <c r="I656">
        <v>4</v>
      </c>
      <c r="J656">
        <v>4</v>
      </c>
      <c r="K656" s="2" t="s">
        <v>32</v>
      </c>
      <c r="L656">
        <f>_xlfn.XLOOKUP("LOADINGSPEEDDEF_"&amp;PROPERTIES[[#This Row],[LOADINGSPEED]],LOADINGSPEEDDEF[TYPE],LOADINGSPEEDDEF[SPEED])</f>
        <v>20</v>
      </c>
      <c r="M656">
        <v>90</v>
      </c>
      <c r="N656"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>
        <v>25</v>
      </c>
      <c r="W656" s="9">
        <v>0</v>
      </c>
      <c r="X656" s="9">
        <v>0</v>
      </c>
      <c r="Y656" s="10">
        <v>0</v>
      </c>
      <c r="Z656" t="s">
        <v>917</v>
      </c>
      <c r="AA656" t="s">
        <v>903</v>
      </c>
      <c r="AB656" s="2" t="s">
        <v>921</v>
      </c>
      <c r="AC656" s="9" t="s">
        <v>1001</v>
      </c>
      <c r="AD656" s="9" t="s">
        <v>1002</v>
      </c>
      <c r="AE656" s="10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6" s="2" t="b">
        <v>0</v>
      </c>
      <c r="AY656"/>
      <c r="AZ656"/>
      <c r="BA656"/>
    </row>
    <row r="657" spans="1:53">
      <c r="A657" s="2" t="s">
        <v>753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608</v>
      </c>
      <c r="H657">
        <v>10</v>
      </c>
      <c r="I657">
        <v>4</v>
      </c>
      <c r="J657">
        <v>4</v>
      </c>
      <c r="K657" s="2" t="s">
        <v>32</v>
      </c>
      <c r="L657">
        <f>_xlfn.XLOOKUP("LOADINGSPEEDDEF_"&amp;PROPERTIES[[#This Row],[LOADINGSPEED]],LOADINGSPEEDDEF[TYPE],LOADINGSPEEDDEF[SPEED])</f>
        <v>20</v>
      </c>
      <c r="M657">
        <v>90</v>
      </c>
      <c r="N657"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>
        <v>25</v>
      </c>
      <c r="W657" s="9">
        <v>0</v>
      </c>
      <c r="X657" s="9">
        <v>0</v>
      </c>
      <c r="Y657" s="10">
        <v>0</v>
      </c>
      <c r="Z657" t="s">
        <v>917</v>
      </c>
      <c r="AA657" t="s">
        <v>903</v>
      </c>
      <c r="AB657" s="2" t="s">
        <v>921</v>
      </c>
      <c r="AC657" s="9" t="s">
        <v>1001</v>
      </c>
      <c r="AD657" s="9" t="s">
        <v>1002</v>
      </c>
      <c r="AE657" s="10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7" s="2" t="b">
        <v>0</v>
      </c>
      <c r="AY657"/>
      <c r="AZ657"/>
      <c r="BA657"/>
    </row>
    <row r="658" spans="1:53">
      <c r="A658" s="2" t="s">
        <v>754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671</v>
      </c>
      <c r="H658">
        <v>18</v>
      </c>
      <c r="I658">
        <v>4</v>
      </c>
      <c r="J658">
        <v>4</v>
      </c>
      <c r="K658" s="2" t="s">
        <v>32</v>
      </c>
      <c r="L658">
        <f>_xlfn.XLOOKUP("LOADINGSPEEDDEF_"&amp;PROPERTIES[[#This Row],[LOADINGSPEED]],LOADINGSPEEDDEF[TYPE],LOADINGSPEEDDEF[SPEED])</f>
        <v>20</v>
      </c>
      <c r="M658">
        <v>90</v>
      </c>
      <c r="N658"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>
        <v>25</v>
      </c>
      <c r="W658" s="9">
        <v>0</v>
      </c>
      <c r="X658" s="9">
        <v>0</v>
      </c>
      <c r="Y658" s="10">
        <v>0</v>
      </c>
      <c r="Z658" t="s">
        <v>917</v>
      </c>
      <c r="AA658" t="s">
        <v>903</v>
      </c>
      <c r="AB658" s="2" t="s">
        <v>921</v>
      </c>
      <c r="AC658" s="9" t="s">
        <v>1001</v>
      </c>
      <c r="AD658" s="9" t="s">
        <v>1002</v>
      </c>
      <c r="AE658" s="10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8" s="2" t="b">
        <v>0</v>
      </c>
      <c r="AY658"/>
      <c r="AZ658"/>
      <c r="BA658"/>
    </row>
    <row r="659" spans="1:53">
      <c r="A659" s="2" t="s">
        <v>826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602</v>
      </c>
      <c r="H659">
        <v>30</v>
      </c>
      <c r="I659">
        <v>5</v>
      </c>
      <c r="J659">
        <v>5</v>
      </c>
      <c r="K659" s="2" t="s">
        <v>32</v>
      </c>
      <c r="L659">
        <f>_xlfn.XLOOKUP("LOADINGSPEEDDEF_"&amp;PROPERTIES[[#This Row],[LOADINGSPEED]],LOADINGSPEEDDEF[TYPE],LOADINGSPEEDDEF[SPEED])</f>
        <v>20</v>
      </c>
      <c r="M659">
        <v>50</v>
      </c>
      <c r="N659"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>
        <v>25</v>
      </c>
      <c r="W659" s="9">
        <v>0</v>
      </c>
      <c r="X659" s="9">
        <v>0</v>
      </c>
      <c r="Y659" s="10">
        <v>0</v>
      </c>
      <c r="Z659" t="s">
        <v>917</v>
      </c>
      <c r="AA659" t="s">
        <v>903</v>
      </c>
      <c r="AB659" s="2" t="s">
        <v>921</v>
      </c>
      <c r="AC659" s="9" t="s">
        <v>1001</v>
      </c>
      <c r="AD659" s="9" t="s">
        <v>1002</v>
      </c>
      <c r="AE659" s="10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9" s="2" t="b">
        <v>0</v>
      </c>
      <c r="AY659"/>
      <c r="AZ659"/>
      <c r="BA659"/>
    </row>
    <row r="660" spans="1:53">
      <c r="A660" s="2" t="s">
        <v>827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2981</v>
      </c>
      <c r="H660">
        <v>25</v>
      </c>
      <c r="I660">
        <v>5</v>
      </c>
      <c r="J660">
        <v>5</v>
      </c>
      <c r="K660" s="2" t="s">
        <v>32</v>
      </c>
      <c r="L660">
        <f>_xlfn.XLOOKUP("LOADINGSPEEDDEF_"&amp;PROPERTIES[[#This Row],[LOADINGSPEED]],LOADINGSPEEDDEF[TYPE],LOADINGSPEEDDEF[SPEED])</f>
        <v>20</v>
      </c>
      <c r="M660">
        <v>60</v>
      </c>
      <c r="N660"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>
        <v>25</v>
      </c>
      <c r="W660" s="9">
        <v>0</v>
      </c>
      <c r="X660" s="9">
        <v>0</v>
      </c>
      <c r="Y660" s="10">
        <v>0</v>
      </c>
      <c r="Z660" t="s">
        <v>917</v>
      </c>
      <c r="AA660" t="s">
        <v>903</v>
      </c>
      <c r="AB660" s="2" t="s">
        <v>921</v>
      </c>
      <c r="AC660" s="9" t="s">
        <v>1001</v>
      </c>
      <c r="AD660" s="9" t="s">
        <v>1002</v>
      </c>
      <c r="AE660" s="10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0" s="2" t="b">
        <v>0</v>
      </c>
      <c r="AY660"/>
      <c r="AZ660"/>
      <c r="BA660"/>
    </row>
    <row r="661" spans="1:53">
      <c r="A661" s="2" t="s">
        <v>828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2984</v>
      </c>
      <c r="H661">
        <v>25</v>
      </c>
      <c r="I661">
        <v>5</v>
      </c>
      <c r="J661">
        <v>5</v>
      </c>
      <c r="K661" s="2" t="s">
        <v>32</v>
      </c>
      <c r="L661">
        <f>_xlfn.XLOOKUP("LOADINGSPEEDDEF_"&amp;PROPERTIES[[#This Row],[LOADINGSPEED]],LOADINGSPEEDDEF[TYPE],LOADINGSPEEDDEF[SPEED])</f>
        <v>20</v>
      </c>
      <c r="M661">
        <v>60</v>
      </c>
      <c r="N661"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>
        <v>25</v>
      </c>
      <c r="W661" s="9">
        <v>0</v>
      </c>
      <c r="X661" s="9">
        <v>0</v>
      </c>
      <c r="Y661" s="10">
        <v>0</v>
      </c>
      <c r="Z661" t="s">
        <v>917</v>
      </c>
      <c r="AA661" t="s">
        <v>903</v>
      </c>
      <c r="AB661" s="2" t="s">
        <v>921</v>
      </c>
      <c r="AC661" s="9" t="s">
        <v>1001</v>
      </c>
      <c r="AD661" s="9" t="s">
        <v>1002</v>
      </c>
      <c r="AE661" s="10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1" s="2" t="b">
        <v>0</v>
      </c>
      <c r="AY661"/>
      <c r="AZ661"/>
      <c r="BA661"/>
    </row>
    <row r="662" spans="1:53">
      <c r="A662" s="2" t="s">
        <v>829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608</v>
      </c>
      <c r="H662">
        <v>20</v>
      </c>
      <c r="I662">
        <v>5</v>
      </c>
      <c r="J662">
        <v>5</v>
      </c>
      <c r="K662" s="2" t="s">
        <v>32</v>
      </c>
      <c r="L662">
        <f>_xlfn.XLOOKUP("LOADINGSPEEDDEF_"&amp;PROPERTIES[[#This Row],[LOADINGSPEED]],LOADINGSPEEDDEF[TYPE],LOADINGSPEEDDEF[SPEED])</f>
        <v>20</v>
      </c>
      <c r="M662">
        <v>50</v>
      </c>
      <c r="N662"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>
        <v>25</v>
      </c>
      <c r="W662" s="9">
        <v>0</v>
      </c>
      <c r="X662" s="9">
        <v>0</v>
      </c>
      <c r="Y662" s="10">
        <v>0</v>
      </c>
      <c r="Z662" t="s">
        <v>917</v>
      </c>
      <c r="AA662" t="s">
        <v>903</v>
      </c>
      <c r="AB662" s="2" t="s">
        <v>921</v>
      </c>
      <c r="AC662" s="9" t="s">
        <v>1001</v>
      </c>
      <c r="AD662" s="9" t="s">
        <v>1002</v>
      </c>
      <c r="AE662" s="10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2" s="2" t="b">
        <v>0</v>
      </c>
      <c r="AY662"/>
      <c r="AZ662"/>
      <c r="BA662"/>
    </row>
    <row r="663" spans="1:53">
      <c r="A663" s="2" t="s">
        <v>830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671</v>
      </c>
      <c r="H663">
        <v>26</v>
      </c>
      <c r="I663">
        <v>5</v>
      </c>
      <c r="J663">
        <v>5</v>
      </c>
      <c r="K663" s="2" t="s">
        <v>32</v>
      </c>
      <c r="L663">
        <f>_xlfn.XLOOKUP("LOADINGSPEEDDEF_"&amp;PROPERTIES[[#This Row],[LOADINGSPEED]],LOADINGSPEEDDEF[TYPE],LOADINGSPEEDDEF[SPEED])</f>
        <v>20</v>
      </c>
      <c r="M663">
        <v>60</v>
      </c>
      <c r="N663"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>
        <v>25</v>
      </c>
      <c r="W663" s="9">
        <v>0</v>
      </c>
      <c r="X663" s="9">
        <v>0</v>
      </c>
      <c r="Y663" s="10">
        <v>0</v>
      </c>
      <c r="Z663" t="s">
        <v>917</v>
      </c>
      <c r="AA663" t="s">
        <v>903</v>
      </c>
      <c r="AB663" s="2" t="s">
        <v>921</v>
      </c>
      <c r="AC663" s="9" t="s">
        <v>1001</v>
      </c>
      <c r="AD663" s="9" t="s">
        <v>1002</v>
      </c>
      <c r="AE663" s="10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3" s="2" t="b">
        <v>0</v>
      </c>
      <c r="AY663"/>
      <c r="AZ663"/>
      <c r="BA663"/>
    </row>
    <row r="664" spans="1:53">
      <c r="A664" s="2" t="s">
        <v>831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606</v>
      </c>
      <c r="H664">
        <v>25</v>
      </c>
      <c r="I664">
        <v>5</v>
      </c>
      <c r="J664">
        <v>5</v>
      </c>
      <c r="K664" s="2" t="s">
        <v>32</v>
      </c>
      <c r="L664">
        <f>_xlfn.XLOOKUP("LOADINGSPEEDDEF_"&amp;PROPERTIES[[#This Row],[LOADINGSPEED]],LOADINGSPEEDDEF[TYPE],LOADINGSPEEDDEF[SPEED])</f>
        <v>20</v>
      </c>
      <c r="M664">
        <v>50</v>
      </c>
      <c r="N664"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>
        <v>25</v>
      </c>
      <c r="W664" s="9">
        <v>0</v>
      </c>
      <c r="X664" s="9">
        <v>0</v>
      </c>
      <c r="Y664" s="10">
        <v>0</v>
      </c>
      <c r="Z664" t="s">
        <v>917</v>
      </c>
      <c r="AA664" t="s">
        <v>903</v>
      </c>
      <c r="AB664" s="2" t="s">
        <v>921</v>
      </c>
      <c r="AC664" s="9" t="s">
        <v>1001</v>
      </c>
      <c r="AD664" s="9" t="s">
        <v>1002</v>
      </c>
      <c r="AE664" s="10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4" s="2" t="b">
        <v>0</v>
      </c>
      <c r="AY664"/>
      <c r="AZ664"/>
      <c r="BA664"/>
    </row>
    <row r="665" spans="1:53">
      <c r="A665" s="2" t="s">
        <v>832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605</v>
      </c>
      <c r="H665">
        <v>30</v>
      </c>
      <c r="I665">
        <v>5</v>
      </c>
      <c r="J665">
        <v>5</v>
      </c>
      <c r="K665" s="2" t="s">
        <v>32</v>
      </c>
      <c r="L665">
        <f>_xlfn.XLOOKUP("LOADINGSPEEDDEF_"&amp;PROPERTIES[[#This Row],[LOADINGSPEED]],LOADINGSPEEDDEF[TYPE],LOADINGSPEEDDEF[SPEED])</f>
        <v>20</v>
      </c>
      <c r="M665">
        <v>60</v>
      </c>
      <c r="N665"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>
        <v>25</v>
      </c>
      <c r="W665" s="9">
        <v>0</v>
      </c>
      <c r="X665" s="9">
        <v>0</v>
      </c>
      <c r="Y665" s="10">
        <v>0</v>
      </c>
      <c r="Z665" t="s">
        <v>917</v>
      </c>
      <c r="AA665" t="s">
        <v>903</v>
      </c>
      <c r="AB665" s="2" t="s">
        <v>921</v>
      </c>
      <c r="AC665" s="9" t="s">
        <v>1001</v>
      </c>
      <c r="AD665" s="9" t="s">
        <v>1002</v>
      </c>
      <c r="AE665" s="10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5" s="2" t="b">
        <v>0</v>
      </c>
      <c r="AY665"/>
      <c r="AZ665"/>
      <c r="BA665"/>
    </row>
    <row r="666" spans="1:53">
      <c r="A666" s="2" t="s">
        <v>833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602</v>
      </c>
      <c r="H666">
        <v>40</v>
      </c>
      <c r="I666">
        <v>6</v>
      </c>
      <c r="J666">
        <v>6</v>
      </c>
      <c r="K666" s="2" t="s">
        <v>32</v>
      </c>
      <c r="L666">
        <f>_xlfn.XLOOKUP("LOADINGSPEEDDEF_"&amp;PROPERTIES[[#This Row],[LOADINGSPEED]],LOADINGSPEEDDEF[TYPE],LOADINGSPEEDDEF[SPEED])</f>
        <v>20</v>
      </c>
      <c r="M666">
        <v>50</v>
      </c>
      <c r="N666"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>
        <v>25</v>
      </c>
      <c r="W666" s="9">
        <v>0</v>
      </c>
      <c r="X666" s="9">
        <v>0</v>
      </c>
      <c r="Y666" s="10">
        <v>0</v>
      </c>
      <c r="Z666" t="s">
        <v>917</v>
      </c>
      <c r="AA666" t="s">
        <v>903</v>
      </c>
      <c r="AB666" s="2" t="s">
        <v>921</v>
      </c>
      <c r="AC666" s="9" t="s">
        <v>1001</v>
      </c>
      <c r="AD666" s="9" t="s">
        <v>1002</v>
      </c>
      <c r="AE666" s="10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6" s="2" t="b">
        <v>0</v>
      </c>
      <c r="AY666"/>
      <c r="AZ666"/>
      <c r="BA666"/>
    </row>
    <row r="667" spans="1:53">
      <c r="A667" s="2" t="s">
        <v>834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2981</v>
      </c>
      <c r="H667">
        <v>40</v>
      </c>
      <c r="I667">
        <v>6</v>
      </c>
      <c r="J667">
        <v>6</v>
      </c>
      <c r="K667" s="2" t="s">
        <v>32</v>
      </c>
      <c r="L667">
        <f>_xlfn.XLOOKUP("LOADINGSPEEDDEF_"&amp;PROPERTIES[[#This Row],[LOADINGSPEED]],LOADINGSPEEDDEF[TYPE],LOADINGSPEEDDEF[SPEED])</f>
        <v>20</v>
      </c>
      <c r="M667">
        <v>60</v>
      </c>
      <c r="N667"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>
        <v>25</v>
      </c>
      <c r="W667" s="9">
        <v>0</v>
      </c>
      <c r="X667" s="9">
        <v>0</v>
      </c>
      <c r="Y667" s="10">
        <v>0</v>
      </c>
      <c r="Z667" t="s">
        <v>917</v>
      </c>
      <c r="AA667" t="s">
        <v>903</v>
      </c>
      <c r="AB667" s="2" t="s">
        <v>921</v>
      </c>
      <c r="AC667" s="9" t="s">
        <v>1001</v>
      </c>
      <c r="AD667" s="9" t="s">
        <v>1002</v>
      </c>
      <c r="AE667" s="10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7" s="2" t="b">
        <v>0</v>
      </c>
      <c r="AY667"/>
      <c r="AZ667"/>
      <c r="BA667"/>
    </row>
    <row r="668" spans="1:53">
      <c r="A668" s="2" t="s">
        <v>835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2984</v>
      </c>
      <c r="H668">
        <v>40</v>
      </c>
      <c r="I668">
        <v>6</v>
      </c>
      <c r="J668">
        <v>6</v>
      </c>
      <c r="K668" s="2" t="s">
        <v>32</v>
      </c>
      <c r="L668">
        <f>_xlfn.XLOOKUP("LOADINGSPEEDDEF_"&amp;PROPERTIES[[#This Row],[LOADINGSPEED]],LOADINGSPEEDDEF[TYPE],LOADINGSPEEDDEF[SPEED])</f>
        <v>20</v>
      </c>
      <c r="M668">
        <v>60</v>
      </c>
      <c r="N668"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>
        <v>25</v>
      </c>
      <c r="W668" s="9">
        <v>0</v>
      </c>
      <c r="X668" s="9">
        <v>0</v>
      </c>
      <c r="Y668" s="10">
        <v>0</v>
      </c>
      <c r="Z668" t="s">
        <v>917</v>
      </c>
      <c r="AA668" t="s">
        <v>903</v>
      </c>
      <c r="AB668" s="2" t="s">
        <v>921</v>
      </c>
      <c r="AC668" s="9" t="s">
        <v>1001</v>
      </c>
      <c r="AD668" s="9" t="s">
        <v>1002</v>
      </c>
      <c r="AE668" s="10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8" s="2" t="b">
        <v>0</v>
      </c>
      <c r="AY668"/>
      <c r="AZ668"/>
      <c r="BA668"/>
    </row>
    <row r="669" spans="1:53">
      <c r="A669" s="2" t="s">
        <v>836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608</v>
      </c>
      <c r="H669">
        <v>35</v>
      </c>
      <c r="I669">
        <v>6</v>
      </c>
      <c r="J669">
        <v>6</v>
      </c>
      <c r="K669" s="2" t="s">
        <v>32</v>
      </c>
      <c r="L669">
        <f>_xlfn.XLOOKUP("LOADINGSPEEDDEF_"&amp;PROPERTIES[[#This Row],[LOADINGSPEED]],LOADINGSPEEDDEF[TYPE],LOADINGSPEEDDEF[SPEED])</f>
        <v>20</v>
      </c>
      <c r="M669">
        <v>50</v>
      </c>
      <c r="N669"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>
        <v>25</v>
      </c>
      <c r="W669" s="9">
        <v>0</v>
      </c>
      <c r="X669" s="9">
        <v>0</v>
      </c>
      <c r="Y669" s="10">
        <v>0</v>
      </c>
      <c r="Z669" t="s">
        <v>917</v>
      </c>
      <c r="AA669" t="s">
        <v>903</v>
      </c>
      <c r="AB669" s="2" t="s">
        <v>921</v>
      </c>
      <c r="AC669" s="9" t="s">
        <v>1001</v>
      </c>
      <c r="AD669" s="9" t="s">
        <v>1002</v>
      </c>
      <c r="AE669" s="10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9" s="2" t="b">
        <v>0</v>
      </c>
      <c r="AY669"/>
      <c r="AZ669"/>
      <c r="BA669"/>
    </row>
    <row r="670" spans="1:53">
      <c r="A670" s="2" t="s">
        <v>837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671</v>
      </c>
      <c r="H670">
        <v>35</v>
      </c>
      <c r="I670">
        <v>6</v>
      </c>
      <c r="J670">
        <v>6</v>
      </c>
      <c r="K670" s="2" t="s">
        <v>32</v>
      </c>
      <c r="L670">
        <f>_xlfn.XLOOKUP("LOADINGSPEEDDEF_"&amp;PROPERTIES[[#This Row],[LOADINGSPEED]],LOADINGSPEEDDEF[TYPE],LOADINGSPEEDDEF[SPEED])</f>
        <v>20</v>
      </c>
      <c r="M670">
        <v>60</v>
      </c>
      <c r="N670"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>
        <v>25</v>
      </c>
      <c r="W670" s="9">
        <v>0</v>
      </c>
      <c r="X670" s="9">
        <v>0</v>
      </c>
      <c r="Y670" s="10">
        <v>0</v>
      </c>
      <c r="Z670" t="s">
        <v>917</v>
      </c>
      <c r="AA670" t="s">
        <v>903</v>
      </c>
      <c r="AB670" s="2" t="s">
        <v>921</v>
      </c>
      <c r="AC670" s="9" t="s">
        <v>1001</v>
      </c>
      <c r="AD670" s="9" t="s">
        <v>1002</v>
      </c>
      <c r="AE670" s="10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0" s="2" t="b">
        <v>0</v>
      </c>
      <c r="AY670"/>
      <c r="AZ670"/>
      <c r="BA670"/>
    </row>
    <row r="671" spans="1:53">
      <c r="A671" s="2" t="s">
        <v>838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2983</v>
      </c>
      <c r="H671">
        <v>40</v>
      </c>
      <c r="I671">
        <v>6</v>
      </c>
      <c r="J671">
        <v>6</v>
      </c>
      <c r="K671" s="2" t="s">
        <v>32</v>
      </c>
      <c r="L671">
        <f>_xlfn.XLOOKUP("LOADINGSPEEDDEF_"&amp;PROPERTIES[[#This Row],[LOADINGSPEED]],LOADINGSPEEDDEF[TYPE],LOADINGSPEEDDEF[SPEED])</f>
        <v>20</v>
      </c>
      <c r="M671">
        <v>50</v>
      </c>
      <c r="N671"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>
        <v>25</v>
      </c>
      <c r="W671" s="9">
        <v>0</v>
      </c>
      <c r="X671" s="9">
        <v>0</v>
      </c>
      <c r="Y671" s="10">
        <v>0</v>
      </c>
      <c r="Z671" t="s">
        <v>917</v>
      </c>
      <c r="AA671" t="s">
        <v>903</v>
      </c>
      <c r="AB671" s="2" t="s">
        <v>921</v>
      </c>
      <c r="AC671" s="9" t="s">
        <v>1001</v>
      </c>
      <c r="AD671" s="9" t="s">
        <v>1002</v>
      </c>
      <c r="AE671" s="10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1" s="2" t="b">
        <v>0</v>
      </c>
      <c r="AY671"/>
      <c r="AZ671"/>
      <c r="BA671"/>
    </row>
    <row r="672" spans="1:53">
      <c r="A672" s="2" t="s">
        <v>839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2986</v>
      </c>
      <c r="H672">
        <v>40</v>
      </c>
      <c r="I672">
        <v>6</v>
      </c>
      <c r="J672">
        <v>6</v>
      </c>
      <c r="K672" s="2" t="s">
        <v>32</v>
      </c>
      <c r="L672">
        <f>_xlfn.XLOOKUP("LOADINGSPEEDDEF_"&amp;PROPERTIES[[#This Row],[LOADINGSPEED]],LOADINGSPEEDDEF[TYPE],LOADINGSPEEDDEF[SPEED])</f>
        <v>20</v>
      </c>
      <c r="M672">
        <v>50</v>
      </c>
      <c r="N672"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>
        <v>25</v>
      </c>
      <c r="W672" s="9">
        <v>0</v>
      </c>
      <c r="X672" s="9">
        <v>0</v>
      </c>
      <c r="Y672" s="10">
        <v>0</v>
      </c>
      <c r="Z672" t="s">
        <v>917</v>
      </c>
      <c r="AA672" t="s">
        <v>903</v>
      </c>
      <c r="AB672" s="2" t="s">
        <v>921</v>
      </c>
      <c r="AC672" s="9" t="s">
        <v>1001</v>
      </c>
      <c r="AD672" s="9" t="s">
        <v>1002</v>
      </c>
      <c r="AE672" s="10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2" s="2" t="b">
        <v>0</v>
      </c>
      <c r="AY672"/>
      <c r="AZ672"/>
      <c r="BA672"/>
    </row>
    <row r="673" spans="1:53">
      <c r="A673" s="2" t="s">
        <v>840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605</v>
      </c>
      <c r="H673">
        <v>40</v>
      </c>
      <c r="I673">
        <v>6</v>
      </c>
      <c r="J673">
        <v>6</v>
      </c>
      <c r="K673" s="2" t="s">
        <v>32</v>
      </c>
      <c r="L673">
        <f>_xlfn.XLOOKUP("LOADINGSPEEDDEF_"&amp;PROPERTIES[[#This Row],[LOADINGSPEED]],LOADINGSPEEDDEF[TYPE],LOADINGSPEEDDEF[SPEED])</f>
        <v>20</v>
      </c>
      <c r="M673">
        <v>60</v>
      </c>
      <c r="N673"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>
        <v>25</v>
      </c>
      <c r="W673" s="9">
        <v>0</v>
      </c>
      <c r="X673" s="9">
        <v>0</v>
      </c>
      <c r="Y673" s="10">
        <v>0</v>
      </c>
      <c r="Z673" t="s">
        <v>917</v>
      </c>
      <c r="AA673" t="s">
        <v>903</v>
      </c>
      <c r="AB673" s="2" t="s">
        <v>921</v>
      </c>
      <c r="AC673" s="9" t="s">
        <v>1001</v>
      </c>
      <c r="AD673" s="9" t="s">
        <v>1002</v>
      </c>
      <c r="AE673" s="10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3" s="2" t="b">
        <v>0</v>
      </c>
      <c r="AY673"/>
      <c r="AZ673"/>
      <c r="BA673"/>
    </row>
    <row r="674" spans="1:53">
      <c r="A674" s="2" t="s">
        <v>841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602</v>
      </c>
      <c r="H674">
        <v>50</v>
      </c>
      <c r="I674">
        <v>7</v>
      </c>
      <c r="J674">
        <v>7</v>
      </c>
      <c r="K674" s="2" t="s">
        <v>32</v>
      </c>
      <c r="L674">
        <f>_xlfn.XLOOKUP("LOADINGSPEEDDEF_"&amp;PROPERTIES[[#This Row],[LOADINGSPEED]],LOADINGSPEEDDEF[TYPE],LOADINGSPEEDDEF[SPEED])</f>
        <v>20</v>
      </c>
      <c r="M674">
        <v>60</v>
      </c>
      <c r="N674"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>
        <v>25</v>
      </c>
      <c r="W674" s="9">
        <v>0</v>
      </c>
      <c r="X674" s="9">
        <v>0</v>
      </c>
      <c r="Y674" s="10">
        <v>0</v>
      </c>
      <c r="Z674" t="s">
        <v>917</v>
      </c>
      <c r="AA674" t="s">
        <v>903</v>
      </c>
      <c r="AB674" s="2" t="s">
        <v>921</v>
      </c>
      <c r="AC674" s="9" t="s">
        <v>1001</v>
      </c>
      <c r="AD674" s="9" t="s">
        <v>1002</v>
      </c>
      <c r="AE674" s="10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4" s="2" t="b">
        <v>0</v>
      </c>
      <c r="AY674"/>
      <c r="AZ674"/>
      <c r="BA674"/>
    </row>
    <row r="675" spans="1:53">
      <c r="A675" s="2" t="s">
        <v>842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604</v>
      </c>
      <c r="H675">
        <v>70</v>
      </c>
      <c r="I675">
        <v>7</v>
      </c>
      <c r="J675">
        <v>7</v>
      </c>
      <c r="K675" s="2" t="s">
        <v>32</v>
      </c>
      <c r="L675">
        <f>_xlfn.XLOOKUP("LOADINGSPEEDDEF_"&amp;PROPERTIES[[#This Row],[LOADINGSPEED]],LOADINGSPEEDDEF[TYPE],LOADINGSPEEDDEF[SPEED])</f>
        <v>20</v>
      </c>
      <c r="M675">
        <v>60</v>
      </c>
      <c r="N675"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>
        <v>25</v>
      </c>
      <c r="W675" s="9">
        <v>0</v>
      </c>
      <c r="X675" s="9">
        <v>0</v>
      </c>
      <c r="Y675" s="10">
        <v>0</v>
      </c>
      <c r="Z675" t="s">
        <v>917</v>
      </c>
      <c r="AA675" t="s">
        <v>903</v>
      </c>
      <c r="AB675" s="2" t="s">
        <v>921</v>
      </c>
      <c r="AC675" s="9" t="s">
        <v>1001</v>
      </c>
      <c r="AD675" s="9" t="s">
        <v>1002</v>
      </c>
      <c r="AE675" s="10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5" s="2" t="b">
        <v>0</v>
      </c>
      <c r="AY675"/>
      <c r="AZ675"/>
      <c r="BA675"/>
    </row>
    <row r="676" spans="1:53">
      <c r="A676" s="2" t="s">
        <v>843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2981</v>
      </c>
      <c r="H676">
        <v>42</v>
      </c>
      <c r="I676">
        <v>7</v>
      </c>
      <c r="J676">
        <v>7</v>
      </c>
      <c r="K676" s="2" t="s">
        <v>32</v>
      </c>
      <c r="L676">
        <f>_xlfn.XLOOKUP("LOADINGSPEEDDEF_"&amp;PROPERTIES[[#This Row],[LOADINGSPEED]],LOADINGSPEEDDEF[TYPE],LOADINGSPEEDDEF[SPEED])</f>
        <v>20</v>
      </c>
      <c r="M676">
        <v>70</v>
      </c>
      <c r="N676"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>
        <v>25</v>
      </c>
      <c r="W676" s="9">
        <v>0</v>
      </c>
      <c r="X676" s="9">
        <v>0</v>
      </c>
      <c r="Y676" s="10">
        <v>0</v>
      </c>
      <c r="Z676" t="s">
        <v>917</v>
      </c>
      <c r="AA676" t="s">
        <v>903</v>
      </c>
      <c r="AB676" s="2" t="s">
        <v>921</v>
      </c>
      <c r="AC676" s="9" t="s">
        <v>1001</v>
      </c>
      <c r="AD676" s="9" t="s">
        <v>1002</v>
      </c>
      <c r="AE676" s="10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6" s="2" t="b">
        <v>0</v>
      </c>
      <c r="AY676"/>
      <c r="AZ676"/>
      <c r="BA676"/>
    </row>
    <row r="677" spans="1:53">
      <c r="A677" s="2" t="s">
        <v>844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2984</v>
      </c>
      <c r="H677">
        <v>42</v>
      </c>
      <c r="I677">
        <v>7</v>
      </c>
      <c r="J677">
        <v>7</v>
      </c>
      <c r="K677" s="2" t="s">
        <v>32</v>
      </c>
      <c r="L677">
        <f>_xlfn.XLOOKUP("LOADINGSPEEDDEF_"&amp;PROPERTIES[[#This Row],[LOADINGSPEED]],LOADINGSPEEDDEF[TYPE],LOADINGSPEEDDEF[SPEED])</f>
        <v>20</v>
      </c>
      <c r="M677">
        <v>70</v>
      </c>
      <c r="N677"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>
        <v>25</v>
      </c>
      <c r="W677" s="9">
        <v>0</v>
      </c>
      <c r="X677" s="9">
        <v>0</v>
      </c>
      <c r="Y677" s="10">
        <v>0</v>
      </c>
      <c r="Z677" t="s">
        <v>917</v>
      </c>
      <c r="AA677" t="s">
        <v>903</v>
      </c>
      <c r="AB677" s="2" t="s">
        <v>921</v>
      </c>
      <c r="AC677" s="9" t="s">
        <v>1001</v>
      </c>
      <c r="AD677" s="9" t="s">
        <v>1002</v>
      </c>
      <c r="AE677" s="10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7" s="2" t="b">
        <v>0</v>
      </c>
      <c r="AY677"/>
      <c r="AZ677"/>
      <c r="BA677"/>
    </row>
    <row r="678" spans="1:53">
      <c r="A678" s="2" t="s">
        <v>845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608</v>
      </c>
      <c r="H678">
        <v>80</v>
      </c>
      <c r="I678">
        <v>7</v>
      </c>
      <c r="J678">
        <v>7</v>
      </c>
      <c r="K678" s="2" t="s">
        <v>32</v>
      </c>
      <c r="L678">
        <f>_xlfn.XLOOKUP("LOADINGSPEEDDEF_"&amp;PROPERTIES[[#This Row],[LOADINGSPEED]],LOADINGSPEEDDEF[TYPE],LOADINGSPEEDDEF[SPEED])</f>
        <v>20</v>
      </c>
      <c r="M678">
        <v>70</v>
      </c>
      <c r="N678"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>
        <v>25</v>
      </c>
      <c r="W678" s="9">
        <v>0</v>
      </c>
      <c r="X678" s="9">
        <v>0</v>
      </c>
      <c r="Y678" s="10">
        <v>0</v>
      </c>
      <c r="Z678" t="s">
        <v>917</v>
      </c>
      <c r="AA678" t="s">
        <v>903</v>
      </c>
      <c r="AB678" s="2" t="s">
        <v>921</v>
      </c>
      <c r="AC678" s="9" t="s">
        <v>1001</v>
      </c>
      <c r="AD678" s="9" t="s">
        <v>1002</v>
      </c>
      <c r="AE678" s="10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8" s="2" t="b">
        <v>0</v>
      </c>
      <c r="AY678"/>
      <c r="AZ678"/>
      <c r="BA678"/>
    </row>
    <row r="679" spans="1:53">
      <c r="A679" s="2" t="s">
        <v>846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603</v>
      </c>
      <c r="H679">
        <v>55</v>
      </c>
      <c r="I679">
        <v>7</v>
      </c>
      <c r="J679">
        <v>7</v>
      </c>
      <c r="K679" s="2" t="s">
        <v>32</v>
      </c>
      <c r="L679">
        <f>_xlfn.XLOOKUP("LOADINGSPEEDDEF_"&amp;PROPERTIES[[#This Row],[LOADINGSPEED]],LOADINGSPEEDDEF[TYPE],LOADINGSPEEDDEF[SPEED])</f>
        <v>20</v>
      </c>
      <c r="M679">
        <v>70</v>
      </c>
      <c r="N679"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>
        <v>25</v>
      </c>
      <c r="W679" s="9">
        <v>0</v>
      </c>
      <c r="X679" s="9">
        <v>0</v>
      </c>
      <c r="Y679" s="10">
        <v>0</v>
      </c>
      <c r="Z679" t="s">
        <v>917</v>
      </c>
      <c r="AA679" t="s">
        <v>903</v>
      </c>
      <c r="AB679" s="2" t="s">
        <v>921</v>
      </c>
      <c r="AC679" s="9" t="s">
        <v>1001</v>
      </c>
      <c r="AD679" s="9" t="s">
        <v>1002</v>
      </c>
      <c r="AE679" s="10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9" s="2" t="b">
        <v>0</v>
      </c>
      <c r="AY679"/>
      <c r="AZ679"/>
      <c r="BA679"/>
    </row>
    <row r="680" spans="1:53">
      <c r="A680" s="2" t="s">
        <v>847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2983</v>
      </c>
      <c r="H680">
        <v>55</v>
      </c>
      <c r="I680">
        <v>7</v>
      </c>
      <c r="J680">
        <v>7</v>
      </c>
      <c r="K680" s="2" t="s">
        <v>32</v>
      </c>
      <c r="L680">
        <f>_xlfn.XLOOKUP("LOADINGSPEEDDEF_"&amp;PROPERTIES[[#This Row],[LOADINGSPEED]],LOADINGSPEEDDEF[TYPE],LOADINGSPEEDDEF[SPEED])</f>
        <v>20</v>
      </c>
      <c r="M680">
        <v>70</v>
      </c>
      <c r="N680"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>
        <v>25</v>
      </c>
      <c r="W680" s="9">
        <v>0</v>
      </c>
      <c r="X680" s="9">
        <v>0</v>
      </c>
      <c r="Y680" s="10">
        <v>0</v>
      </c>
      <c r="Z680" t="s">
        <v>917</v>
      </c>
      <c r="AA680" t="s">
        <v>903</v>
      </c>
      <c r="AB680" s="2" t="s">
        <v>921</v>
      </c>
      <c r="AC680" s="9" t="s">
        <v>1001</v>
      </c>
      <c r="AD680" s="9" t="s">
        <v>1002</v>
      </c>
      <c r="AE680" s="10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0" s="2" t="b">
        <v>0</v>
      </c>
      <c r="AY680"/>
      <c r="AZ680"/>
      <c r="BA680"/>
    </row>
    <row r="681" spans="1:53">
      <c r="A681" s="2" t="s">
        <v>848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2986</v>
      </c>
      <c r="H681">
        <v>55</v>
      </c>
      <c r="I681">
        <v>7</v>
      </c>
      <c r="J681">
        <v>7</v>
      </c>
      <c r="K681" s="2" t="s">
        <v>32</v>
      </c>
      <c r="L681">
        <f>_xlfn.XLOOKUP("LOADINGSPEEDDEF_"&amp;PROPERTIES[[#This Row],[LOADINGSPEED]],LOADINGSPEEDDEF[TYPE],LOADINGSPEEDDEF[SPEED])</f>
        <v>20</v>
      </c>
      <c r="M681">
        <v>70</v>
      </c>
      <c r="N681"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>
        <v>25</v>
      </c>
      <c r="W681" s="9">
        <v>0</v>
      </c>
      <c r="X681" s="9">
        <v>0</v>
      </c>
      <c r="Y681" s="10">
        <v>0</v>
      </c>
      <c r="Z681" t="s">
        <v>917</v>
      </c>
      <c r="AA681" t="s">
        <v>903</v>
      </c>
      <c r="AB681" s="2" t="s">
        <v>921</v>
      </c>
      <c r="AC681" s="9" t="s">
        <v>1001</v>
      </c>
      <c r="AD681" s="9" t="s">
        <v>1002</v>
      </c>
      <c r="AE681" s="10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1" s="2" t="b">
        <v>0</v>
      </c>
      <c r="AY681"/>
      <c r="AZ681"/>
      <c r="BA681"/>
    </row>
    <row r="682" spans="1:53">
      <c r="A682" s="2" t="s">
        <v>849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2982</v>
      </c>
      <c r="H682">
        <v>55</v>
      </c>
      <c r="I682">
        <v>7</v>
      </c>
      <c r="J682">
        <v>7</v>
      </c>
      <c r="K682" s="2" t="s">
        <v>32</v>
      </c>
      <c r="L682">
        <f>_xlfn.XLOOKUP("LOADINGSPEEDDEF_"&amp;PROPERTIES[[#This Row],[LOADINGSPEED]],LOADINGSPEEDDEF[TYPE],LOADINGSPEEDDEF[SPEED])</f>
        <v>20</v>
      </c>
      <c r="M682">
        <v>60</v>
      </c>
      <c r="N682"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>
        <v>25</v>
      </c>
      <c r="W682" s="9">
        <v>0</v>
      </c>
      <c r="X682" s="9">
        <v>0</v>
      </c>
      <c r="Y682" s="10">
        <v>0</v>
      </c>
      <c r="Z682" t="s">
        <v>917</v>
      </c>
      <c r="AA682" t="s">
        <v>903</v>
      </c>
      <c r="AB682" s="2" t="s">
        <v>921</v>
      </c>
      <c r="AC682" s="9" t="s">
        <v>1001</v>
      </c>
      <c r="AD682" s="9" t="s">
        <v>1002</v>
      </c>
      <c r="AE682" s="10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2" s="2" t="b">
        <v>0</v>
      </c>
      <c r="AY682"/>
      <c r="AZ682"/>
      <c r="BA682"/>
    </row>
    <row r="683" spans="1:53">
      <c r="A683" s="2" t="s">
        <v>850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2985</v>
      </c>
      <c r="H683">
        <v>55</v>
      </c>
      <c r="I683">
        <v>7</v>
      </c>
      <c r="J683">
        <v>7</v>
      </c>
      <c r="K683" s="2" t="s">
        <v>32</v>
      </c>
      <c r="L683">
        <f>_xlfn.XLOOKUP("LOADINGSPEEDDEF_"&amp;PROPERTIES[[#This Row],[LOADINGSPEED]],LOADINGSPEEDDEF[TYPE],LOADINGSPEEDDEF[SPEED])</f>
        <v>20</v>
      </c>
      <c r="M683">
        <v>60</v>
      </c>
      <c r="N683"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>
        <v>25</v>
      </c>
      <c r="W683" s="9">
        <v>0</v>
      </c>
      <c r="X683" s="9">
        <v>0</v>
      </c>
      <c r="Y683" s="10">
        <v>0</v>
      </c>
      <c r="Z683" t="s">
        <v>917</v>
      </c>
      <c r="AA683" t="s">
        <v>903</v>
      </c>
      <c r="AB683" s="2" t="s">
        <v>921</v>
      </c>
      <c r="AC683" s="9" t="s">
        <v>1001</v>
      </c>
      <c r="AD683" s="9" t="s">
        <v>1002</v>
      </c>
      <c r="AE683" s="10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3" s="2" t="b">
        <v>0</v>
      </c>
      <c r="AY683"/>
      <c r="AZ683"/>
      <c r="BA683"/>
    </row>
    <row r="684" spans="1:53">
      <c r="A684" s="2" t="s">
        <v>851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599</v>
      </c>
      <c r="H684">
        <v>16</v>
      </c>
      <c r="I684">
        <v>7</v>
      </c>
      <c r="J684">
        <v>7</v>
      </c>
      <c r="K684" s="2" t="s">
        <v>32</v>
      </c>
      <c r="L684">
        <f>_xlfn.XLOOKUP("LOADINGSPEEDDEF_"&amp;PROPERTIES[[#This Row],[LOADINGSPEED]],LOADINGSPEEDDEF[TYPE],LOADINGSPEEDDEF[SPEED])</f>
        <v>20</v>
      </c>
      <c r="M684">
        <v>60</v>
      </c>
      <c r="N684"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>
        <v>25</v>
      </c>
      <c r="W684" s="9">
        <v>0</v>
      </c>
      <c r="X684" s="9">
        <v>0</v>
      </c>
      <c r="Y684" s="10">
        <v>0</v>
      </c>
      <c r="Z684" t="s">
        <v>917</v>
      </c>
      <c r="AA684" t="s">
        <v>903</v>
      </c>
      <c r="AB684" s="2" t="s">
        <v>921</v>
      </c>
      <c r="AC684" s="9" t="s">
        <v>1001</v>
      </c>
      <c r="AD684" s="9" t="s">
        <v>1002</v>
      </c>
      <c r="AE684" s="10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4" s="2" t="b">
        <v>0</v>
      </c>
      <c r="AY684"/>
      <c r="AZ684"/>
      <c r="BA684"/>
    </row>
    <row r="685" spans="1:53">
      <c r="A685" s="2" t="s">
        <v>852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531</v>
      </c>
      <c r="H685">
        <v>37</v>
      </c>
      <c r="I685">
        <v>7</v>
      </c>
      <c r="J685">
        <v>7</v>
      </c>
      <c r="K685" s="2" t="s">
        <v>32</v>
      </c>
      <c r="L685">
        <f>_xlfn.XLOOKUP("LOADINGSPEEDDEF_"&amp;PROPERTIES[[#This Row],[LOADINGSPEED]],LOADINGSPEEDDEF[TYPE],LOADINGSPEEDDEF[SPEED])</f>
        <v>20</v>
      </c>
      <c r="M685">
        <v>60</v>
      </c>
      <c r="N685"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>
        <v>25</v>
      </c>
      <c r="W685" s="9">
        <v>0</v>
      </c>
      <c r="X685" s="9">
        <v>0</v>
      </c>
      <c r="Y685" s="10">
        <v>0</v>
      </c>
      <c r="Z685" t="s">
        <v>917</v>
      </c>
      <c r="AA685" t="s">
        <v>903</v>
      </c>
      <c r="AB685" s="2" t="s">
        <v>921</v>
      </c>
      <c r="AC685" s="9" t="s">
        <v>1001</v>
      </c>
      <c r="AD685" s="9" t="s">
        <v>1002</v>
      </c>
      <c r="AE685" s="10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5" s="2" t="b">
        <v>0</v>
      </c>
      <c r="AY685"/>
      <c r="AZ685"/>
      <c r="BA685"/>
    </row>
    <row r="686" spans="1:53">
      <c r="A686" s="2" t="s">
        <v>853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600</v>
      </c>
      <c r="H686">
        <v>45</v>
      </c>
      <c r="I686">
        <v>7</v>
      </c>
      <c r="J686">
        <v>7</v>
      </c>
      <c r="K686" s="2" t="s">
        <v>32</v>
      </c>
      <c r="L686">
        <f>_xlfn.XLOOKUP("LOADINGSPEEDDEF_"&amp;PROPERTIES[[#This Row],[LOADINGSPEED]],LOADINGSPEEDDEF[TYPE],LOADINGSPEEDDEF[SPEED])</f>
        <v>20</v>
      </c>
      <c r="M686">
        <v>70</v>
      </c>
      <c r="N686"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>
        <v>25</v>
      </c>
      <c r="W686" s="9">
        <v>0</v>
      </c>
      <c r="X686" s="9">
        <v>0</v>
      </c>
      <c r="Y686" s="10">
        <v>0</v>
      </c>
      <c r="Z686" t="s">
        <v>917</v>
      </c>
      <c r="AA686" t="s">
        <v>903</v>
      </c>
      <c r="AB686" s="2" t="s">
        <v>921</v>
      </c>
      <c r="AC686" s="9" t="s">
        <v>1001</v>
      </c>
      <c r="AD686" s="9" t="s">
        <v>1002</v>
      </c>
      <c r="AE686" s="10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6" s="2" t="b">
        <v>0</v>
      </c>
      <c r="AY686"/>
      <c r="AZ686"/>
      <c r="BA686"/>
    </row>
    <row r="687" spans="1:53">
      <c r="A687" s="2" t="s">
        <v>854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602</v>
      </c>
      <c r="H687">
        <v>60</v>
      </c>
      <c r="I687">
        <v>8</v>
      </c>
      <c r="J687">
        <v>8</v>
      </c>
      <c r="K687" s="2" t="s">
        <v>32</v>
      </c>
      <c r="L687">
        <f>_xlfn.XLOOKUP("LOADINGSPEEDDEF_"&amp;PROPERTIES[[#This Row],[LOADINGSPEED]],LOADINGSPEEDDEF[TYPE],LOADINGSPEEDDEF[SPEED])</f>
        <v>20</v>
      </c>
      <c r="M687" t="s">
        <v>20</v>
      </c>
      <c r="N687"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>
        <v>25</v>
      </c>
      <c r="W687" s="9">
        <v>0</v>
      </c>
      <c r="X687" s="9">
        <v>0</v>
      </c>
      <c r="Y687" s="10">
        <v>0</v>
      </c>
      <c r="Z687" t="s">
        <v>917</v>
      </c>
      <c r="AA687" t="s">
        <v>903</v>
      </c>
      <c r="AB687" s="2" t="s">
        <v>921</v>
      </c>
      <c r="AC687" s="9" t="s">
        <v>1001</v>
      </c>
      <c r="AD687" s="9" t="s">
        <v>1002</v>
      </c>
      <c r="AE687" s="10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7" s="2" t="b">
        <v>0</v>
      </c>
      <c r="AY687"/>
      <c r="AZ687"/>
      <c r="BA687"/>
    </row>
    <row r="688" spans="1:53">
      <c r="A688" s="2" t="s">
        <v>855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604</v>
      </c>
      <c r="H688">
        <v>84</v>
      </c>
      <c r="I688">
        <v>8</v>
      </c>
      <c r="J688">
        <v>8</v>
      </c>
      <c r="K688" s="2" t="s">
        <v>32</v>
      </c>
      <c r="L688">
        <f>_xlfn.XLOOKUP("LOADINGSPEEDDEF_"&amp;PROPERTIES[[#This Row],[LOADINGSPEED]],LOADINGSPEEDDEF[TYPE],LOADINGSPEEDDEF[SPEED])</f>
        <v>20</v>
      </c>
      <c r="M688" t="s">
        <v>20</v>
      </c>
      <c r="N688"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>
        <v>25</v>
      </c>
      <c r="W688" s="9">
        <v>0</v>
      </c>
      <c r="X688" s="9">
        <v>0</v>
      </c>
      <c r="Y688" s="10">
        <v>0</v>
      </c>
      <c r="Z688" t="s">
        <v>917</v>
      </c>
      <c r="AA688" t="s">
        <v>903</v>
      </c>
      <c r="AB688" s="2" t="s">
        <v>921</v>
      </c>
      <c r="AC688" s="9" t="s">
        <v>1001</v>
      </c>
      <c r="AD688" s="9" t="s">
        <v>1002</v>
      </c>
      <c r="AE688" s="10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8" s="2" t="b">
        <v>0</v>
      </c>
      <c r="AY688"/>
      <c r="AZ688"/>
      <c r="BA688"/>
    </row>
    <row r="689" spans="1:53">
      <c r="A689" s="2" t="s">
        <v>856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2981</v>
      </c>
      <c r="H689">
        <v>63</v>
      </c>
      <c r="I689">
        <v>8</v>
      </c>
      <c r="J689">
        <v>8</v>
      </c>
      <c r="K689" s="2" t="s">
        <v>32</v>
      </c>
      <c r="L689">
        <f>_xlfn.XLOOKUP("LOADINGSPEEDDEF_"&amp;PROPERTIES[[#This Row],[LOADINGSPEED]],LOADINGSPEEDDEF[TYPE],LOADINGSPEEDDEF[SPEED])</f>
        <v>20</v>
      </c>
      <c r="M689" t="s">
        <v>20</v>
      </c>
      <c r="N689"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>
        <v>25</v>
      </c>
      <c r="W689" s="9">
        <v>0</v>
      </c>
      <c r="X689" s="9">
        <v>0</v>
      </c>
      <c r="Y689" s="10">
        <v>0</v>
      </c>
      <c r="Z689" t="s">
        <v>917</v>
      </c>
      <c r="AA689" t="s">
        <v>903</v>
      </c>
      <c r="AB689" s="2" t="s">
        <v>921</v>
      </c>
      <c r="AC689" s="9" t="s">
        <v>1001</v>
      </c>
      <c r="AD689" s="9" t="s">
        <v>1002</v>
      </c>
      <c r="AE689" s="10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9" s="2" t="b">
        <v>0</v>
      </c>
      <c r="AY689"/>
      <c r="AZ689"/>
      <c r="BA689"/>
    </row>
    <row r="690" spans="1:53">
      <c r="A690" s="2" t="s">
        <v>857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2984</v>
      </c>
      <c r="H690">
        <v>63</v>
      </c>
      <c r="I690">
        <v>8</v>
      </c>
      <c r="J690">
        <v>8</v>
      </c>
      <c r="K690" s="2" t="s">
        <v>32</v>
      </c>
      <c r="L690">
        <f>_xlfn.XLOOKUP("LOADINGSPEEDDEF_"&amp;PROPERTIES[[#This Row],[LOADINGSPEED]],LOADINGSPEEDDEF[TYPE],LOADINGSPEEDDEF[SPEED])</f>
        <v>20</v>
      </c>
      <c r="M690" t="s">
        <v>20</v>
      </c>
      <c r="N690"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>
        <v>25</v>
      </c>
      <c r="W690" s="9">
        <v>0</v>
      </c>
      <c r="X690" s="9">
        <v>0</v>
      </c>
      <c r="Y690" s="10">
        <v>0</v>
      </c>
      <c r="Z690" t="s">
        <v>917</v>
      </c>
      <c r="AA690" t="s">
        <v>903</v>
      </c>
      <c r="AB690" s="2" t="s">
        <v>921</v>
      </c>
      <c r="AC690" s="9" t="s">
        <v>1001</v>
      </c>
      <c r="AD690" s="9" t="s">
        <v>1002</v>
      </c>
      <c r="AE690" s="10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0" s="2" t="b">
        <v>0</v>
      </c>
      <c r="AY690"/>
      <c r="AZ690"/>
      <c r="BA690"/>
    </row>
    <row r="691" spans="1:53">
      <c r="A691" s="2" t="s">
        <v>858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608</v>
      </c>
      <c r="H691">
        <v>95</v>
      </c>
      <c r="I691">
        <v>8</v>
      </c>
      <c r="J691">
        <v>8</v>
      </c>
      <c r="K691" s="2" t="s">
        <v>32</v>
      </c>
      <c r="L691">
        <f>_xlfn.XLOOKUP("LOADINGSPEEDDEF_"&amp;PROPERTIES[[#This Row],[LOADINGSPEED]],LOADINGSPEEDDEF[TYPE],LOADINGSPEEDDEF[SPEED])</f>
        <v>20</v>
      </c>
      <c r="M691" t="s">
        <v>20</v>
      </c>
      <c r="N691"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>
        <v>25</v>
      </c>
      <c r="W691" s="9">
        <v>0</v>
      </c>
      <c r="X691" s="9">
        <v>0</v>
      </c>
      <c r="Y691" s="10">
        <v>0</v>
      </c>
      <c r="Z691" t="s">
        <v>917</v>
      </c>
      <c r="AA691" t="s">
        <v>903</v>
      </c>
      <c r="AB691" s="2" t="s">
        <v>921</v>
      </c>
      <c r="AC691" s="9" t="s">
        <v>1001</v>
      </c>
      <c r="AD691" s="9" t="s">
        <v>1002</v>
      </c>
      <c r="AE691" s="10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1" s="2" t="b">
        <v>0</v>
      </c>
      <c r="AY691"/>
      <c r="AZ691"/>
      <c r="BA691"/>
    </row>
    <row r="692" spans="1:53">
      <c r="A692" s="2" t="s">
        <v>859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603</v>
      </c>
      <c r="H692">
        <v>65</v>
      </c>
      <c r="I692">
        <v>8</v>
      </c>
      <c r="J692">
        <v>8</v>
      </c>
      <c r="K692" s="2" t="s">
        <v>32</v>
      </c>
      <c r="L692">
        <f>_xlfn.XLOOKUP("LOADINGSPEEDDEF_"&amp;PROPERTIES[[#This Row],[LOADINGSPEED]],LOADINGSPEEDDEF[TYPE],LOADINGSPEEDDEF[SPEED])</f>
        <v>20</v>
      </c>
      <c r="M692" t="s">
        <v>20</v>
      </c>
      <c r="N692"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>
        <v>25</v>
      </c>
      <c r="W692" s="9">
        <v>0</v>
      </c>
      <c r="X692" s="9">
        <v>0</v>
      </c>
      <c r="Y692" s="10">
        <v>0</v>
      </c>
      <c r="Z692" t="s">
        <v>917</v>
      </c>
      <c r="AA692" t="s">
        <v>903</v>
      </c>
      <c r="AB692" s="2" t="s">
        <v>921</v>
      </c>
      <c r="AC692" s="9" t="s">
        <v>1001</v>
      </c>
      <c r="AD692" s="9" t="s">
        <v>1002</v>
      </c>
      <c r="AE692" s="10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2" s="2" t="b">
        <v>0</v>
      </c>
      <c r="AY692"/>
      <c r="AZ692"/>
      <c r="BA692"/>
    </row>
    <row r="693" spans="1:53">
      <c r="A693" s="2" t="s">
        <v>860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2983</v>
      </c>
      <c r="H693">
        <v>65</v>
      </c>
      <c r="I693">
        <v>8</v>
      </c>
      <c r="J693">
        <v>8</v>
      </c>
      <c r="K693" s="2" t="s">
        <v>32</v>
      </c>
      <c r="L693">
        <f>_xlfn.XLOOKUP("LOADINGSPEEDDEF_"&amp;PROPERTIES[[#This Row],[LOADINGSPEED]],LOADINGSPEEDDEF[TYPE],LOADINGSPEEDDEF[SPEED])</f>
        <v>20</v>
      </c>
      <c r="M693" t="s">
        <v>20</v>
      </c>
      <c r="N693"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>
        <v>25</v>
      </c>
      <c r="W693" s="9">
        <v>0</v>
      </c>
      <c r="X693" s="9">
        <v>0</v>
      </c>
      <c r="Y693" s="10">
        <v>0</v>
      </c>
      <c r="Z693" t="s">
        <v>917</v>
      </c>
      <c r="AA693" t="s">
        <v>903</v>
      </c>
      <c r="AB693" s="2" t="s">
        <v>921</v>
      </c>
      <c r="AC693" s="9" t="s">
        <v>1001</v>
      </c>
      <c r="AD693" s="9" t="s">
        <v>1002</v>
      </c>
      <c r="AE693" s="10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3" s="2" t="b">
        <v>0</v>
      </c>
      <c r="AY693"/>
      <c r="AZ693"/>
      <c r="BA693"/>
    </row>
    <row r="694" spans="1:53">
      <c r="A694" s="2" t="s">
        <v>861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2986</v>
      </c>
      <c r="H694">
        <v>65</v>
      </c>
      <c r="I694">
        <v>8</v>
      </c>
      <c r="J694">
        <v>8</v>
      </c>
      <c r="K694" s="2" t="s">
        <v>32</v>
      </c>
      <c r="L694">
        <f>_xlfn.XLOOKUP("LOADINGSPEEDDEF_"&amp;PROPERTIES[[#This Row],[LOADINGSPEED]],LOADINGSPEEDDEF[TYPE],LOADINGSPEEDDEF[SPEED])</f>
        <v>20</v>
      </c>
      <c r="M694" t="s">
        <v>20</v>
      </c>
      <c r="N694"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>
        <v>25</v>
      </c>
      <c r="W694" s="9">
        <v>0</v>
      </c>
      <c r="X694" s="9">
        <v>0</v>
      </c>
      <c r="Y694" s="10">
        <v>0</v>
      </c>
      <c r="Z694" t="s">
        <v>917</v>
      </c>
      <c r="AA694" t="s">
        <v>903</v>
      </c>
      <c r="AB694" s="2" t="s">
        <v>921</v>
      </c>
      <c r="AC694" s="9" t="s">
        <v>1001</v>
      </c>
      <c r="AD694" s="9" t="s">
        <v>1002</v>
      </c>
      <c r="AE694" s="10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4" s="2" t="b">
        <v>0</v>
      </c>
      <c r="AY694"/>
      <c r="AZ694"/>
      <c r="BA694"/>
    </row>
    <row r="695" spans="1:53">
      <c r="A695" s="2" t="s">
        <v>862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2982</v>
      </c>
      <c r="H695">
        <v>65</v>
      </c>
      <c r="I695">
        <v>8</v>
      </c>
      <c r="J695">
        <v>8</v>
      </c>
      <c r="K695" s="2" t="s">
        <v>32</v>
      </c>
      <c r="L695">
        <f>_xlfn.XLOOKUP("LOADINGSPEEDDEF_"&amp;PROPERTIES[[#This Row],[LOADINGSPEED]],LOADINGSPEEDDEF[TYPE],LOADINGSPEEDDEF[SPEED])</f>
        <v>20</v>
      </c>
      <c r="M695" t="s">
        <v>20</v>
      </c>
      <c r="N695"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>
        <v>25</v>
      </c>
      <c r="W695" s="9">
        <v>0</v>
      </c>
      <c r="X695" s="9">
        <v>0</v>
      </c>
      <c r="Y695" s="10">
        <v>0</v>
      </c>
      <c r="Z695" t="s">
        <v>917</v>
      </c>
      <c r="AA695" t="s">
        <v>903</v>
      </c>
      <c r="AB695" s="2" t="s">
        <v>921</v>
      </c>
      <c r="AC695" s="9" t="s">
        <v>1001</v>
      </c>
      <c r="AD695" s="9" t="s">
        <v>1002</v>
      </c>
      <c r="AE695" s="10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5" s="2" t="b">
        <v>0</v>
      </c>
      <c r="AY695"/>
      <c r="AZ695"/>
      <c r="BA695"/>
    </row>
    <row r="696" spans="1:53">
      <c r="A696" s="2" t="s">
        <v>863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2985</v>
      </c>
      <c r="H696">
        <v>65</v>
      </c>
      <c r="I696">
        <v>8</v>
      </c>
      <c r="J696">
        <v>8</v>
      </c>
      <c r="K696" s="2" t="s">
        <v>32</v>
      </c>
      <c r="L696">
        <f>_xlfn.XLOOKUP("LOADINGSPEEDDEF_"&amp;PROPERTIES[[#This Row],[LOADINGSPEED]],LOADINGSPEEDDEF[TYPE],LOADINGSPEEDDEF[SPEED])</f>
        <v>20</v>
      </c>
      <c r="M696" t="s">
        <v>20</v>
      </c>
      <c r="N696"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>
        <v>25</v>
      </c>
      <c r="W696" s="9">
        <v>0</v>
      </c>
      <c r="X696" s="9">
        <v>0</v>
      </c>
      <c r="Y696" s="10">
        <v>0</v>
      </c>
      <c r="Z696" t="s">
        <v>917</v>
      </c>
      <c r="AA696" t="s">
        <v>903</v>
      </c>
      <c r="AB696" s="2" t="s">
        <v>921</v>
      </c>
      <c r="AC696" s="9" t="s">
        <v>1001</v>
      </c>
      <c r="AD696" s="9" t="s">
        <v>1002</v>
      </c>
      <c r="AE696" s="10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6" s="2" t="b">
        <v>0</v>
      </c>
      <c r="AY696"/>
      <c r="AZ696"/>
      <c r="BA696"/>
    </row>
    <row r="697" spans="1:53">
      <c r="A697" s="2" t="s">
        <v>864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599</v>
      </c>
      <c r="H697">
        <v>16</v>
      </c>
      <c r="I697">
        <v>8</v>
      </c>
      <c r="J697">
        <v>8</v>
      </c>
      <c r="K697" s="2" t="s">
        <v>32</v>
      </c>
      <c r="L697">
        <f>_xlfn.XLOOKUP("LOADINGSPEEDDEF_"&amp;PROPERTIES[[#This Row],[LOADINGSPEED]],LOADINGSPEEDDEF[TYPE],LOADINGSPEEDDEF[SPEED])</f>
        <v>20</v>
      </c>
      <c r="M697" t="s">
        <v>20</v>
      </c>
      <c r="N697"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>
        <v>25</v>
      </c>
      <c r="W697" s="9">
        <v>0</v>
      </c>
      <c r="X697" s="9">
        <v>0</v>
      </c>
      <c r="Y697" s="10">
        <v>0</v>
      </c>
      <c r="Z697" t="s">
        <v>917</v>
      </c>
      <c r="AA697" t="s">
        <v>903</v>
      </c>
      <c r="AB697" s="2" t="s">
        <v>921</v>
      </c>
      <c r="AC697" s="9" t="s">
        <v>1001</v>
      </c>
      <c r="AD697" s="9" t="s">
        <v>1002</v>
      </c>
      <c r="AE697" s="10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7" s="2" t="b">
        <v>0</v>
      </c>
      <c r="AY697"/>
      <c r="AZ697"/>
      <c r="BA697"/>
    </row>
    <row r="698" spans="1:53">
      <c r="A698" s="2" t="s">
        <v>865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531</v>
      </c>
      <c r="H698">
        <v>50</v>
      </c>
      <c r="I698">
        <v>8</v>
      </c>
      <c r="J698">
        <v>8</v>
      </c>
      <c r="K698" s="2" t="s">
        <v>32</v>
      </c>
      <c r="L698">
        <f>_xlfn.XLOOKUP("LOADINGSPEEDDEF_"&amp;PROPERTIES[[#This Row],[LOADINGSPEED]],LOADINGSPEEDDEF[TYPE],LOADINGSPEEDDEF[SPEED])</f>
        <v>20</v>
      </c>
      <c r="M698" t="s">
        <v>20</v>
      </c>
      <c r="N698"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>
        <v>25</v>
      </c>
      <c r="W698" s="9">
        <v>0</v>
      </c>
      <c r="X698" s="9">
        <v>0</v>
      </c>
      <c r="Y698" s="10">
        <v>0</v>
      </c>
      <c r="Z698" t="s">
        <v>917</v>
      </c>
      <c r="AA698" t="s">
        <v>903</v>
      </c>
      <c r="AB698" s="2" t="s">
        <v>921</v>
      </c>
      <c r="AC698" s="9" t="s">
        <v>1001</v>
      </c>
      <c r="AD698" s="9" t="s">
        <v>1002</v>
      </c>
      <c r="AE698" s="10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8" s="2" t="b">
        <v>0</v>
      </c>
      <c r="AY698"/>
      <c r="AZ698"/>
      <c r="BA698"/>
    </row>
    <row r="699" spans="1:53">
      <c r="A699" s="2" t="s">
        <v>866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600</v>
      </c>
      <c r="H699">
        <v>55</v>
      </c>
      <c r="I699">
        <v>8</v>
      </c>
      <c r="J699">
        <v>8</v>
      </c>
      <c r="K699" s="2" t="s">
        <v>32</v>
      </c>
      <c r="L699">
        <f>_xlfn.XLOOKUP("LOADINGSPEEDDEF_"&amp;PROPERTIES[[#This Row],[LOADINGSPEED]],LOADINGSPEEDDEF[TYPE],LOADINGSPEEDDEF[SPEED])</f>
        <v>20</v>
      </c>
      <c r="M699" t="s">
        <v>20</v>
      </c>
      <c r="N699"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>
        <v>25</v>
      </c>
      <c r="W699" s="9">
        <v>0</v>
      </c>
      <c r="X699" s="9">
        <v>0</v>
      </c>
      <c r="Y699" s="10">
        <v>0</v>
      </c>
      <c r="Z699" t="s">
        <v>917</v>
      </c>
      <c r="AA699" t="s">
        <v>903</v>
      </c>
      <c r="AB699" s="2" t="s">
        <v>921</v>
      </c>
      <c r="AC699" s="9" t="s">
        <v>1001</v>
      </c>
      <c r="AD699" s="9" t="s">
        <v>1002</v>
      </c>
      <c r="AE699" s="10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9" s="2" t="b">
        <v>0</v>
      </c>
      <c r="AY699"/>
      <c r="AZ699"/>
      <c r="BA699"/>
    </row>
    <row r="700" spans="1:53">
      <c r="A700" s="2" t="s">
        <v>867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601</v>
      </c>
      <c r="H700">
        <v>65</v>
      </c>
      <c r="I700">
        <v>8</v>
      </c>
      <c r="J700">
        <v>8</v>
      </c>
      <c r="K700" s="2" t="s">
        <v>32</v>
      </c>
      <c r="L700">
        <f>_xlfn.XLOOKUP("LOADINGSPEEDDEF_"&amp;PROPERTIES[[#This Row],[LOADINGSPEED]],LOADINGSPEEDDEF[TYPE],LOADINGSPEEDDEF[SPEED])</f>
        <v>20</v>
      </c>
      <c r="M700" t="s">
        <v>20</v>
      </c>
      <c r="N700"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>
        <v>25</v>
      </c>
      <c r="W700" s="9">
        <v>0</v>
      </c>
      <c r="X700" s="9">
        <v>0</v>
      </c>
      <c r="Y700" s="10">
        <v>0</v>
      </c>
      <c r="Z700" t="s">
        <v>917</v>
      </c>
      <c r="AA700" t="s">
        <v>903</v>
      </c>
      <c r="AB700" s="2" t="s">
        <v>921</v>
      </c>
      <c r="AC700" s="9" t="s">
        <v>1001</v>
      </c>
      <c r="AD700" s="9" t="s">
        <v>1002</v>
      </c>
      <c r="AE700" s="10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0" s="2" t="b">
        <v>0</v>
      </c>
      <c r="AY700"/>
      <c r="AZ700"/>
      <c r="BA700"/>
    </row>
    <row r="701" spans="1:53">
      <c r="A701" s="2" t="s">
        <v>868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607</v>
      </c>
      <c r="H701">
        <v>50</v>
      </c>
      <c r="I701">
        <v>4</v>
      </c>
      <c r="J701">
        <v>12</v>
      </c>
      <c r="K701" s="2" t="s">
        <v>32</v>
      </c>
      <c r="L701">
        <f>_xlfn.XLOOKUP("LOADINGSPEEDDEF_"&amp;PROPERTIES[[#This Row],[LOADINGSPEED]],LOADINGSPEEDDEF[TYPE],LOADINGSPEEDDEF[SPEED])</f>
        <v>20</v>
      </c>
      <c r="M701" t="s">
        <v>20</v>
      </c>
      <c r="N701"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>
        <v>25</v>
      </c>
      <c r="W701" s="9">
        <v>0</v>
      </c>
      <c r="X701" s="9">
        <v>0</v>
      </c>
      <c r="Y701" s="10">
        <v>0</v>
      </c>
      <c r="Z701" t="s">
        <v>917</v>
      </c>
      <c r="AA701" t="s">
        <v>903</v>
      </c>
      <c r="AB701" s="2" t="s">
        <v>921</v>
      </c>
      <c r="AC701" s="9" t="s">
        <v>1001</v>
      </c>
      <c r="AD701" s="9" t="s">
        <v>1002</v>
      </c>
      <c r="AE701" s="10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1" s="2" t="b">
        <v>0</v>
      </c>
      <c r="AY701"/>
      <c r="AZ701"/>
      <c r="BA701"/>
    </row>
    <row r="702" spans="1:53">
      <c r="A702" s="2" t="s">
        <v>869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602</v>
      </c>
      <c r="H702">
        <v>72</v>
      </c>
      <c r="I702">
        <v>8</v>
      </c>
      <c r="J702">
        <v>8</v>
      </c>
      <c r="K702" s="2" t="s">
        <v>32</v>
      </c>
      <c r="L702">
        <f>_xlfn.XLOOKUP("LOADINGSPEEDDEF_"&amp;PROPERTIES[[#This Row],[LOADINGSPEED]],LOADINGSPEEDDEF[TYPE],LOADINGSPEEDDEF[SPEED])</f>
        <v>20</v>
      </c>
      <c r="M702" t="s">
        <v>20</v>
      </c>
      <c r="N702"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>
        <v>25</v>
      </c>
      <c r="W702" s="9">
        <v>0</v>
      </c>
      <c r="X702" s="9">
        <v>0</v>
      </c>
      <c r="Y702" s="10">
        <v>0</v>
      </c>
      <c r="Z702" t="s">
        <v>917</v>
      </c>
      <c r="AA702" t="s">
        <v>903</v>
      </c>
      <c r="AB702" s="2" t="s">
        <v>921</v>
      </c>
      <c r="AC702" s="9" t="s">
        <v>1001</v>
      </c>
      <c r="AD702" s="9" t="s">
        <v>1002</v>
      </c>
      <c r="AE702" s="10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2" s="2" t="b">
        <v>0</v>
      </c>
      <c r="AY702"/>
      <c r="AZ702"/>
      <c r="BA702"/>
    </row>
    <row r="703" spans="1:53">
      <c r="A703" s="2" t="s">
        <v>870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604</v>
      </c>
      <c r="H703">
        <v>96</v>
      </c>
      <c r="I703">
        <v>8</v>
      </c>
      <c r="J703">
        <v>8</v>
      </c>
      <c r="K703" s="2" t="s">
        <v>32</v>
      </c>
      <c r="L703">
        <f>_xlfn.XLOOKUP("LOADINGSPEEDDEF_"&amp;PROPERTIES[[#This Row],[LOADINGSPEED]],LOADINGSPEEDDEF[TYPE],LOADINGSPEEDDEF[SPEED])</f>
        <v>20</v>
      </c>
      <c r="M703" t="s">
        <v>20</v>
      </c>
      <c r="N703"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>
        <v>25</v>
      </c>
      <c r="W703" s="9">
        <v>0</v>
      </c>
      <c r="X703" s="9">
        <v>0</v>
      </c>
      <c r="Y703" s="10">
        <v>0</v>
      </c>
      <c r="Z703" t="s">
        <v>917</v>
      </c>
      <c r="AA703" t="s">
        <v>903</v>
      </c>
      <c r="AB703" s="2" t="s">
        <v>921</v>
      </c>
      <c r="AC703" s="9" t="s">
        <v>1001</v>
      </c>
      <c r="AD703" s="9" t="s">
        <v>1002</v>
      </c>
      <c r="AE703" s="10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3" s="2" t="b">
        <v>0</v>
      </c>
      <c r="AY703"/>
      <c r="AZ703"/>
      <c r="BA703"/>
    </row>
    <row r="704" spans="1:53">
      <c r="A704" s="2" t="s">
        <v>871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2981</v>
      </c>
      <c r="H704">
        <v>74</v>
      </c>
      <c r="I704">
        <v>8</v>
      </c>
      <c r="J704">
        <v>8</v>
      </c>
      <c r="K704" s="2" t="s">
        <v>32</v>
      </c>
      <c r="L704">
        <f>_xlfn.XLOOKUP("LOADINGSPEEDDEF_"&amp;PROPERTIES[[#This Row],[LOADINGSPEED]],LOADINGSPEEDDEF[TYPE],LOADINGSPEEDDEF[SPEED])</f>
        <v>20</v>
      </c>
      <c r="M704" t="s">
        <v>20</v>
      </c>
      <c r="N704"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>
        <v>25</v>
      </c>
      <c r="W704" s="9">
        <v>0</v>
      </c>
      <c r="X704" s="9">
        <v>0</v>
      </c>
      <c r="Y704" s="10">
        <v>0</v>
      </c>
      <c r="Z704" t="s">
        <v>917</v>
      </c>
      <c r="AA704" t="s">
        <v>903</v>
      </c>
      <c r="AB704" s="2" t="s">
        <v>921</v>
      </c>
      <c r="AC704" s="9" t="s">
        <v>1001</v>
      </c>
      <c r="AD704" s="9" t="s">
        <v>1002</v>
      </c>
      <c r="AE704" s="10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4" s="2" t="b">
        <v>0</v>
      </c>
      <c r="AY704"/>
      <c r="AZ704"/>
      <c r="BA704"/>
    </row>
    <row r="705" spans="1:53">
      <c r="A705" s="2" t="s">
        <v>872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2984</v>
      </c>
      <c r="H705">
        <v>74</v>
      </c>
      <c r="I705">
        <v>8</v>
      </c>
      <c r="J705">
        <v>8</v>
      </c>
      <c r="K705" s="2" t="s">
        <v>32</v>
      </c>
      <c r="L705">
        <f>_xlfn.XLOOKUP("LOADINGSPEEDDEF_"&amp;PROPERTIES[[#This Row],[LOADINGSPEED]],LOADINGSPEEDDEF[TYPE],LOADINGSPEEDDEF[SPEED])</f>
        <v>20</v>
      </c>
      <c r="M705" t="s">
        <v>20</v>
      </c>
      <c r="N705"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>
        <v>25</v>
      </c>
      <c r="W705" s="9">
        <v>0</v>
      </c>
      <c r="X705" s="9">
        <v>0</v>
      </c>
      <c r="Y705" s="10">
        <v>0</v>
      </c>
      <c r="Z705" t="s">
        <v>917</v>
      </c>
      <c r="AA705" t="s">
        <v>903</v>
      </c>
      <c r="AB705" s="2" t="s">
        <v>921</v>
      </c>
      <c r="AC705" s="9" t="s">
        <v>1001</v>
      </c>
      <c r="AD705" s="9" t="s">
        <v>1002</v>
      </c>
      <c r="AE705" s="10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5" s="2" t="b">
        <v>0</v>
      </c>
      <c r="AY705"/>
      <c r="AZ705"/>
      <c r="BA705"/>
    </row>
    <row r="706" spans="1:53">
      <c r="A706" s="2" t="s">
        <v>873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608</v>
      </c>
      <c r="H706">
        <v>105</v>
      </c>
      <c r="I706">
        <v>8</v>
      </c>
      <c r="J706">
        <v>8</v>
      </c>
      <c r="K706" s="2" t="s">
        <v>32</v>
      </c>
      <c r="L706">
        <f>_xlfn.XLOOKUP("LOADINGSPEEDDEF_"&amp;PROPERTIES[[#This Row],[LOADINGSPEED]],LOADINGSPEEDDEF[TYPE],LOADINGSPEEDDEF[SPEED])</f>
        <v>20</v>
      </c>
      <c r="M706" t="s">
        <v>20</v>
      </c>
      <c r="N706"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>
        <v>25</v>
      </c>
      <c r="W706" s="9">
        <v>0</v>
      </c>
      <c r="X706" s="9">
        <v>0</v>
      </c>
      <c r="Y706" s="10">
        <v>0</v>
      </c>
      <c r="Z706" t="s">
        <v>917</v>
      </c>
      <c r="AA706" t="s">
        <v>903</v>
      </c>
      <c r="AB706" s="2" t="s">
        <v>921</v>
      </c>
      <c r="AC706" s="9" t="s">
        <v>1001</v>
      </c>
      <c r="AD706" s="9" t="s">
        <v>1002</v>
      </c>
      <c r="AE706" s="10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6" s="2" t="b">
        <v>0</v>
      </c>
      <c r="AY706"/>
      <c r="AZ706"/>
      <c r="BA706"/>
    </row>
    <row r="707" spans="1:53">
      <c r="A707" s="2" t="s">
        <v>874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603</v>
      </c>
      <c r="H707">
        <v>75</v>
      </c>
      <c r="I707">
        <v>8</v>
      </c>
      <c r="J707">
        <v>8</v>
      </c>
      <c r="K707" s="2" t="s">
        <v>32</v>
      </c>
      <c r="L707">
        <f>_xlfn.XLOOKUP("LOADINGSPEEDDEF_"&amp;PROPERTIES[[#This Row],[LOADINGSPEED]],LOADINGSPEEDDEF[TYPE],LOADINGSPEEDDEF[SPEED])</f>
        <v>20</v>
      </c>
      <c r="M707" t="s">
        <v>20</v>
      </c>
      <c r="N707"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>
        <v>25</v>
      </c>
      <c r="W707" s="9">
        <v>0</v>
      </c>
      <c r="X707" s="9">
        <v>0</v>
      </c>
      <c r="Y707" s="10">
        <v>0</v>
      </c>
      <c r="Z707" t="s">
        <v>917</v>
      </c>
      <c r="AA707" t="s">
        <v>903</v>
      </c>
      <c r="AB707" s="2" t="s">
        <v>921</v>
      </c>
      <c r="AC707" s="9" t="s">
        <v>1001</v>
      </c>
      <c r="AD707" s="9" t="s">
        <v>1002</v>
      </c>
      <c r="AE707" s="10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7" s="2" t="b">
        <v>0</v>
      </c>
      <c r="AY707"/>
      <c r="AZ707"/>
      <c r="BA707"/>
    </row>
    <row r="708" spans="1:53">
      <c r="A708" s="2" t="s">
        <v>875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2983</v>
      </c>
      <c r="H708">
        <v>75</v>
      </c>
      <c r="I708">
        <v>8</v>
      </c>
      <c r="J708">
        <v>8</v>
      </c>
      <c r="K708" s="2" t="s">
        <v>32</v>
      </c>
      <c r="L708">
        <f>_xlfn.XLOOKUP("LOADINGSPEEDDEF_"&amp;PROPERTIES[[#This Row],[LOADINGSPEED]],LOADINGSPEEDDEF[TYPE],LOADINGSPEEDDEF[SPEED])</f>
        <v>20</v>
      </c>
      <c r="M708" t="s">
        <v>20</v>
      </c>
      <c r="N708"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>
        <v>25</v>
      </c>
      <c r="W708" s="9">
        <v>0</v>
      </c>
      <c r="X708" s="9">
        <v>0</v>
      </c>
      <c r="Y708" s="10">
        <v>0</v>
      </c>
      <c r="Z708" t="s">
        <v>917</v>
      </c>
      <c r="AA708" t="s">
        <v>903</v>
      </c>
      <c r="AB708" s="2" t="s">
        <v>921</v>
      </c>
      <c r="AC708" s="9" t="s">
        <v>1001</v>
      </c>
      <c r="AD708" s="9" t="s">
        <v>1002</v>
      </c>
      <c r="AE708" s="10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8" s="2" t="b">
        <v>0</v>
      </c>
      <c r="AY708"/>
      <c r="AZ708"/>
      <c r="BA708"/>
    </row>
    <row r="709" spans="1:53">
      <c r="A709" s="2" t="s">
        <v>876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2986</v>
      </c>
      <c r="H709">
        <v>75</v>
      </c>
      <c r="I709">
        <v>8</v>
      </c>
      <c r="J709">
        <v>8</v>
      </c>
      <c r="K709" s="2" t="s">
        <v>32</v>
      </c>
      <c r="L709">
        <f>_xlfn.XLOOKUP("LOADINGSPEEDDEF_"&amp;PROPERTIES[[#This Row],[LOADINGSPEED]],LOADINGSPEEDDEF[TYPE],LOADINGSPEEDDEF[SPEED])</f>
        <v>20</v>
      </c>
      <c r="M709" t="s">
        <v>20</v>
      </c>
      <c r="N709"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>
        <v>25</v>
      </c>
      <c r="W709" s="9">
        <v>0</v>
      </c>
      <c r="X709" s="9">
        <v>0</v>
      </c>
      <c r="Y709" s="10">
        <v>0</v>
      </c>
      <c r="Z709" t="s">
        <v>917</v>
      </c>
      <c r="AA709" t="s">
        <v>903</v>
      </c>
      <c r="AB709" s="2" t="s">
        <v>921</v>
      </c>
      <c r="AC709" s="9" t="s">
        <v>1001</v>
      </c>
      <c r="AD709" s="9" t="s">
        <v>1002</v>
      </c>
      <c r="AE709" s="10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9" s="2" t="b">
        <v>0</v>
      </c>
      <c r="AY709"/>
      <c r="AZ709"/>
      <c r="BA709"/>
    </row>
    <row r="710" spans="1:53">
      <c r="A710" s="2" t="s">
        <v>877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2982</v>
      </c>
      <c r="H710">
        <v>75</v>
      </c>
      <c r="I710">
        <v>8</v>
      </c>
      <c r="J710">
        <v>8</v>
      </c>
      <c r="K710" s="2" t="s">
        <v>32</v>
      </c>
      <c r="L710">
        <f>_xlfn.XLOOKUP("LOADINGSPEEDDEF_"&amp;PROPERTIES[[#This Row],[LOADINGSPEED]],LOADINGSPEEDDEF[TYPE],LOADINGSPEEDDEF[SPEED])</f>
        <v>20</v>
      </c>
      <c r="M710" t="s">
        <v>20</v>
      </c>
      <c r="N710"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>
        <v>25</v>
      </c>
      <c r="W710" s="9">
        <v>0</v>
      </c>
      <c r="X710" s="9">
        <v>0</v>
      </c>
      <c r="Y710" s="10">
        <v>0</v>
      </c>
      <c r="Z710" t="s">
        <v>917</v>
      </c>
      <c r="AA710" t="s">
        <v>903</v>
      </c>
      <c r="AB710" s="2" t="s">
        <v>921</v>
      </c>
      <c r="AC710" s="9" t="s">
        <v>1001</v>
      </c>
      <c r="AD710" s="9" t="s">
        <v>1002</v>
      </c>
      <c r="AE710" s="10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0" s="2" t="b">
        <v>0</v>
      </c>
      <c r="AY710"/>
      <c r="AZ710"/>
      <c r="BA710"/>
    </row>
    <row r="711" spans="1:53">
      <c r="A711" s="2" t="s">
        <v>878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2985</v>
      </c>
      <c r="H711">
        <v>75</v>
      </c>
      <c r="I711">
        <v>8</v>
      </c>
      <c r="J711">
        <v>8</v>
      </c>
      <c r="K711" s="2" t="s">
        <v>32</v>
      </c>
      <c r="L711">
        <f>_xlfn.XLOOKUP("LOADINGSPEEDDEF_"&amp;PROPERTIES[[#This Row],[LOADINGSPEED]],LOADINGSPEEDDEF[TYPE],LOADINGSPEEDDEF[SPEED])</f>
        <v>20</v>
      </c>
      <c r="M711" t="s">
        <v>20</v>
      </c>
      <c r="N711"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>
        <v>25</v>
      </c>
      <c r="W711" s="9">
        <v>0</v>
      </c>
      <c r="X711" s="9">
        <v>0</v>
      </c>
      <c r="Y711" s="10">
        <v>0</v>
      </c>
      <c r="Z711" t="s">
        <v>917</v>
      </c>
      <c r="AA711" t="s">
        <v>903</v>
      </c>
      <c r="AB711" s="2" t="s">
        <v>921</v>
      </c>
      <c r="AC711" s="9" t="s">
        <v>1001</v>
      </c>
      <c r="AD711" s="9" t="s">
        <v>1002</v>
      </c>
      <c r="AE711" s="10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1" s="2" t="b">
        <v>0</v>
      </c>
      <c r="AY711"/>
      <c r="AZ711"/>
      <c r="BA711"/>
    </row>
    <row r="712" spans="1:53">
      <c r="A712" s="2" t="s">
        <v>879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599</v>
      </c>
      <c r="H712">
        <v>20</v>
      </c>
      <c r="I712">
        <v>8</v>
      </c>
      <c r="J712">
        <v>8</v>
      </c>
      <c r="K712" s="2" t="s">
        <v>32</v>
      </c>
      <c r="L712">
        <f>_xlfn.XLOOKUP("LOADINGSPEEDDEF_"&amp;PROPERTIES[[#This Row],[LOADINGSPEED]],LOADINGSPEEDDEF[TYPE],LOADINGSPEEDDEF[SPEED])</f>
        <v>20</v>
      </c>
      <c r="M712" t="s">
        <v>20</v>
      </c>
      <c r="N712"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>
        <v>25</v>
      </c>
      <c r="W712" s="9">
        <v>0</v>
      </c>
      <c r="X712" s="9">
        <v>0</v>
      </c>
      <c r="Y712" s="10">
        <v>0</v>
      </c>
      <c r="Z712" t="s">
        <v>917</v>
      </c>
      <c r="AA712" t="s">
        <v>903</v>
      </c>
      <c r="AB712" s="2" t="s">
        <v>921</v>
      </c>
      <c r="AC712" s="9" t="s">
        <v>1001</v>
      </c>
      <c r="AD712" s="9" t="s">
        <v>1002</v>
      </c>
      <c r="AE712" s="10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2" s="2" t="b">
        <v>0</v>
      </c>
      <c r="AY712"/>
      <c r="AZ712"/>
      <c r="BA712"/>
    </row>
    <row r="713" spans="1:53">
      <c r="A713" s="2" t="s">
        <v>880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531</v>
      </c>
      <c r="H713">
        <v>60</v>
      </c>
      <c r="I713">
        <v>8</v>
      </c>
      <c r="J713">
        <v>8</v>
      </c>
      <c r="K713" s="2" t="s">
        <v>32</v>
      </c>
      <c r="L713">
        <f>_xlfn.XLOOKUP("LOADINGSPEEDDEF_"&amp;PROPERTIES[[#This Row],[LOADINGSPEED]],LOADINGSPEEDDEF[TYPE],LOADINGSPEEDDEF[SPEED])</f>
        <v>20</v>
      </c>
      <c r="M713" t="s">
        <v>20</v>
      </c>
      <c r="N713"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>
        <v>25</v>
      </c>
      <c r="W713" s="9">
        <v>0</v>
      </c>
      <c r="X713" s="9">
        <v>0</v>
      </c>
      <c r="Y713" s="10">
        <v>0</v>
      </c>
      <c r="Z713" t="s">
        <v>917</v>
      </c>
      <c r="AA713" t="s">
        <v>903</v>
      </c>
      <c r="AB713" s="2" t="s">
        <v>921</v>
      </c>
      <c r="AC713" s="9" t="s">
        <v>1001</v>
      </c>
      <c r="AD713" s="9" t="s">
        <v>1002</v>
      </c>
      <c r="AE713" s="10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3" s="2" t="b">
        <v>0</v>
      </c>
      <c r="AY713"/>
      <c r="AZ713"/>
      <c r="BA713"/>
    </row>
    <row r="714" spans="1:53">
      <c r="A714" s="2" t="s">
        <v>881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600</v>
      </c>
      <c r="H714">
        <v>65</v>
      </c>
      <c r="I714">
        <v>8</v>
      </c>
      <c r="J714">
        <v>8</v>
      </c>
      <c r="K714" s="2" t="s">
        <v>32</v>
      </c>
      <c r="L714">
        <f>_xlfn.XLOOKUP("LOADINGSPEEDDEF_"&amp;PROPERTIES[[#This Row],[LOADINGSPEED]],LOADINGSPEEDDEF[TYPE],LOADINGSPEEDDEF[SPEED])</f>
        <v>20</v>
      </c>
      <c r="M714" t="s">
        <v>20</v>
      </c>
      <c r="N714"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>
        <v>25</v>
      </c>
      <c r="W714" s="9">
        <v>0</v>
      </c>
      <c r="X714" s="9">
        <v>0</v>
      </c>
      <c r="Y714" s="10">
        <v>0</v>
      </c>
      <c r="Z714" t="s">
        <v>917</v>
      </c>
      <c r="AA714" t="s">
        <v>903</v>
      </c>
      <c r="AB714" s="2" t="s">
        <v>921</v>
      </c>
      <c r="AC714" s="9" t="s">
        <v>1001</v>
      </c>
      <c r="AD714" s="9" t="s">
        <v>1002</v>
      </c>
      <c r="AE714" s="10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4" s="2" t="b">
        <v>0</v>
      </c>
      <c r="AY714"/>
      <c r="AZ714"/>
      <c r="BA714"/>
    </row>
    <row r="715" spans="1:53">
      <c r="A715" s="2" t="s">
        <v>882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601</v>
      </c>
      <c r="H715">
        <v>75</v>
      </c>
      <c r="I715">
        <v>8</v>
      </c>
      <c r="J715">
        <v>8</v>
      </c>
      <c r="K715" s="2" t="s">
        <v>32</v>
      </c>
      <c r="L715">
        <f>_xlfn.XLOOKUP("LOADINGSPEEDDEF_"&amp;PROPERTIES[[#This Row],[LOADINGSPEED]],LOADINGSPEEDDEF[TYPE],LOADINGSPEEDDEF[SPEED])</f>
        <v>20</v>
      </c>
      <c r="M715" t="s">
        <v>20</v>
      </c>
      <c r="N715"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>
        <v>25</v>
      </c>
      <c r="W715" s="9">
        <v>0</v>
      </c>
      <c r="X715" s="9">
        <v>0</v>
      </c>
      <c r="Y715" s="10">
        <v>0</v>
      </c>
      <c r="Z715" t="s">
        <v>917</v>
      </c>
      <c r="AA715" t="s">
        <v>903</v>
      </c>
      <c r="AB715" s="2" t="s">
        <v>921</v>
      </c>
      <c r="AC715" s="9" t="s">
        <v>1001</v>
      </c>
      <c r="AD715" s="9" t="s">
        <v>1002</v>
      </c>
      <c r="AE715" s="10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5" s="2" t="b">
        <v>0</v>
      </c>
      <c r="AY715"/>
      <c r="AZ715"/>
      <c r="BA715"/>
    </row>
    <row r="716" spans="1:53">
      <c r="A716" s="2" t="s">
        <v>883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607</v>
      </c>
      <c r="H716">
        <v>65</v>
      </c>
      <c r="I716">
        <v>4</v>
      </c>
      <c r="J716">
        <v>12</v>
      </c>
      <c r="K716" s="2" t="s">
        <v>32</v>
      </c>
      <c r="L716">
        <f>_xlfn.XLOOKUP("LOADINGSPEEDDEF_"&amp;PROPERTIES[[#This Row],[LOADINGSPEED]],LOADINGSPEEDDEF[TYPE],LOADINGSPEEDDEF[SPEED])</f>
        <v>20</v>
      </c>
      <c r="M716" t="s">
        <v>20</v>
      </c>
      <c r="N716"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>
        <v>25</v>
      </c>
      <c r="W716" s="9">
        <v>0</v>
      </c>
      <c r="X716" s="9">
        <v>0</v>
      </c>
      <c r="Y716" s="10">
        <v>0</v>
      </c>
      <c r="Z716" t="s">
        <v>917</v>
      </c>
      <c r="AA716" t="s">
        <v>903</v>
      </c>
      <c r="AB716" s="2" t="s">
        <v>921</v>
      </c>
      <c r="AC716" s="9" t="s">
        <v>1001</v>
      </c>
      <c r="AD716" s="9" t="s">
        <v>1002</v>
      </c>
      <c r="AE716" s="10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6" s="2" t="b">
        <v>0</v>
      </c>
      <c r="AY716"/>
      <c r="AZ716"/>
      <c r="BA716"/>
    </row>
    <row r="717" spans="1:53">
      <c r="A717" s="2" t="s">
        <v>898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>
        <v>5</v>
      </c>
      <c r="K717" s="2" t="s">
        <v>32</v>
      </c>
      <c r="L717">
        <f>_xlfn.XLOOKUP("LOADINGSPEEDDEF_"&amp;PROPERTIES[[#This Row],[LOADINGSPEED]],LOADINGSPEEDDEF[TYPE],LOADINGSPEEDDEF[SPEED])</f>
        <v>20</v>
      </c>
      <c r="M717" t="s">
        <v>20</v>
      </c>
      <c r="N717"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>
        <v>25</v>
      </c>
      <c r="W717" s="9">
        <v>0</v>
      </c>
      <c r="X717" s="9">
        <v>0</v>
      </c>
      <c r="Y717" s="10">
        <v>0</v>
      </c>
      <c r="Z717" t="s">
        <v>917</v>
      </c>
      <c r="AA717" t="s">
        <v>903</v>
      </c>
      <c r="AB717" s="2" t="s">
        <v>921</v>
      </c>
      <c r="AC717" s="9" t="s">
        <v>1001</v>
      </c>
      <c r="AD717" s="9" t="s">
        <v>1002</v>
      </c>
      <c r="AE717" s="10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7" s="2" t="b">
        <v>0</v>
      </c>
      <c r="AY717"/>
      <c r="AZ717"/>
      <c r="BA717"/>
    </row>
    <row r="718" spans="1:53">
      <c r="A718" s="2" t="s">
        <v>899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>
        <v>5</v>
      </c>
      <c r="K718" s="2" t="s">
        <v>32</v>
      </c>
      <c r="L718">
        <f>_xlfn.XLOOKUP("LOADINGSPEEDDEF_"&amp;PROPERTIES[[#This Row],[LOADINGSPEED]],LOADINGSPEEDDEF[TYPE],LOADINGSPEEDDEF[SPEED])</f>
        <v>20</v>
      </c>
      <c r="M718" t="s">
        <v>20</v>
      </c>
      <c r="N718"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>
        <v>25</v>
      </c>
      <c r="W718" s="9">
        <v>0</v>
      </c>
      <c r="X718" s="9">
        <v>0</v>
      </c>
      <c r="Y718" s="10">
        <v>0</v>
      </c>
      <c r="Z718" t="s">
        <v>917</v>
      </c>
      <c r="AA718" t="s">
        <v>903</v>
      </c>
      <c r="AB718" s="2" t="s">
        <v>921</v>
      </c>
      <c r="AC718" s="9" t="s">
        <v>1001</v>
      </c>
      <c r="AD718" s="9" t="s">
        <v>1002</v>
      </c>
      <c r="AE718" s="10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8" s="2" t="b">
        <v>0</v>
      </c>
      <c r="AY718"/>
      <c r="AZ718"/>
      <c r="BA718"/>
    </row>
    <row r="719" spans="1:53">
      <c r="A719" s="2" t="s">
        <v>755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324</v>
      </c>
      <c r="H719">
        <v>20</v>
      </c>
      <c r="I719">
        <v>4</v>
      </c>
      <c r="J719">
        <v>4</v>
      </c>
      <c r="K719" s="2" t="s">
        <v>23</v>
      </c>
      <c r="L719">
        <f>_xlfn.XLOOKUP("LOADINGSPEEDDEF_"&amp;PROPERTIES[[#This Row],[LOADINGSPEED]],LOADINGSPEEDDEF[TYPE],LOADINGSPEEDDEF[SPEED])</f>
        <v>40</v>
      </c>
      <c r="M719">
        <v>90</v>
      </c>
      <c r="N719"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>
        <v>25</v>
      </c>
      <c r="W719" s="9">
        <v>0</v>
      </c>
      <c r="X719" s="9">
        <v>0</v>
      </c>
      <c r="Y719" s="10">
        <v>0</v>
      </c>
      <c r="Z719" t="s">
        <v>914</v>
      </c>
      <c r="AA719" t="s">
        <v>906</v>
      </c>
      <c r="AB719" s="2" t="s">
        <v>921</v>
      </c>
      <c r="AC719" s="9" t="s">
        <v>1003</v>
      </c>
      <c r="AD719" s="9" t="s">
        <v>1004</v>
      </c>
      <c r="AE719" s="10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19" s="2" t="b">
        <v>0</v>
      </c>
      <c r="AY719"/>
      <c r="AZ719"/>
      <c r="BA719"/>
    </row>
    <row r="720" spans="1:53">
      <c r="A720" s="2" t="s">
        <v>756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324</v>
      </c>
      <c r="H720">
        <v>45</v>
      </c>
      <c r="I720">
        <v>4</v>
      </c>
      <c r="J720">
        <v>4</v>
      </c>
      <c r="K720" s="2" t="s">
        <v>478</v>
      </c>
      <c r="L720">
        <f>_xlfn.XLOOKUP("LOADINGSPEEDDEF_"&amp;PROPERTIES[[#This Row],[LOADINGSPEED]],LOADINGSPEEDDEF[TYPE],LOADINGSPEEDDEF[SPEED])</f>
        <v>16</v>
      </c>
      <c r="M720">
        <v>90</v>
      </c>
      <c r="N720"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>
        <v>25</v>
      </c>
      <c r="W720" s="9">
        <v>0</v>
      </c>
      <c r="X720" s="9">
        <v>0</v>
      </c>
      <c r="Y720" s="10">
        <v>0</v>
      </c>
      <c r="Z720" t="s">
        <v>917</v>
      </c>
      <c r="AA720" t="s">
        <v>903</v>
      </c>
      <c r="AB720" s="2" t="s">
        <v>921</v>
      </c>
      <c r="AC720" s="9" t="s">
        <v>1003</v>
      </c>
      <c r="AD720" s="9" t="s">
        <v>1004</v>
      </c>
      <c r="AE720" s="10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20" s="2" t="b">
        <v>0</v>
      </c>
      <c r="AY720"/>
      <c r="AZ720"/>
      <c r="BA720"/>
    </row>
    <row r="721" spans="1:53">
      <c r="A721" s="2" t="s">
        <v>757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672</v>
      </c>
      <c r="H721">
        <v>12</v>
      </c>
      <c r="I721">
        <v>4</v>
      </c>
      <c r="J721">
        <v>4</v>
      </c>
      <c r="K721" s="2" t="s">
        <v>673</v>
      </c>
      <c r="L721">
        <f>_xlfn.XLOOKUP("LOADINGSPEEDDEF_"&amp;PROPERTIES[[#This Row],[LOADINGSPEED]],LOADINGSPEEDDEF[TYPE],LOADINGSPEEDDEF[SPEED])</f>
        <v>15</v>
      </c>
      <c r="M721">
        <v>90</v>
      </c>
      <c r="N721">
        <v>1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>
        <v>25</v>
      </c>
      <c r="W721" s="9">
        <v>0</v>
      </c>
      <c r="X721" s="9">
        <v>0</v>
      </c>
      <c r="Y721" s="10">
        <v>0</v>
      </c>
      <c r="Z721" t="s">
        <v>917</v>
      </c>
      <c r="AA721" t="s">
        <v>903</v>
      </c>
      <c r="AB721" s="2" t="s">
        <v>921</v>
      </c>
      <c r="AC721" s="9" t="s">
        <v>1003</v>
      </c>
      <c r="AD721" s="9" t="s">
        <v>1004</v>
      </c>
      <c r="AE721" s="10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1" s="2" t="b">
        <v>0</v>
      </c>
      <c r="AY721"/>
      <c r="AZ721"/>
      <c r="BA721"/>
    </row>
    <row r="722" spans="1:53">
      <c r="A722" s="2" t="s">
        <v>758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324</v>
      </c>
      <c r="H722">
        <v>30</v>
      </c>
      <c r="I722">
        <v>6</v>
      </c>
      <c r="J722">
        <v>6</v>
      </c>
      <c r="K722" s="2" t="s">
        <v>23</v>
      </c>
      <c r="L722">
        <f>_xlfn.XLOOKUP("LOADINGSPEEDDEF_"&amp;PROPERTIES[[#This Row],[LOADINGSPEED]],LOADINGSPEEDDEF[TYPE],LOADINGSPEEDDEF[SPEED])</f>
        <v>40</v>
      </c>
      <c r="M722">
        <v>95</v>
      </c>
      <c r="N722"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>
        <v>25</v>
      </c>
      <c r="W722" s="9">
        <v>0</v>
      </c>
      <c r="X722" s="9">
        <v>0</v>
      </c>
      <c r="Y722" s="10">
        <v>0</v>
      </c>
      <c r="Z722" t="s">
        <v>914</v>
      </c>
      <c r="AA722" t="s">
        <v>906</v>
      </c>
      <c r="AB722" s="2" t="s">
        <v>921</v>
      </c>
      <c r="AC722" s="9" t="s">
        <v>1003</v>
      </c>
      <c r="AD722" s="9" t="s">
        <v>1004</v>
      </c>
      <c r="AE722" s="10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22" s="2" t="b">
        <v>0</v>
      </c>
      <c r="AY722"/>
      <c r="AZ722"/>
      <c r="BA722"/>
    </row>
    <row r="723" spans="1:53">
      <c r="A723" s="2" t="s">
        <v>759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324</v>
      </c>
      <c r="H723">
        <v>65</v>
      </c>
      <c r="I723">
        <v>6</v>
      </c>
      <c r="J723">
        <v>6</v>
      </c>
      <c r="K723" s="2" t="s">
        <v>478</v>
      </c>
      <c r="L723">
        <f>_xlfn.XLOOKUP("LOADINGSPEEDDEF_"&amp;PROPERTIES[[#This Row],[LOADINGSPEED]],LOADINGSPEEDDEF[TYPE],LOADINGSPEEDDEF[SPEED])</f>
        <v>16</v>
      </c>
      <c r="M723">
        <v>95</v>
      </c>
      <c r="N723"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>
        <v>25</v>
      </c>
      <c r="W723" s="9">
        <v>0</v>
      </c>
      <c r="X723" s="9">
        <v>0</v>
      </c>
      <c r="Y723" s="10">
        <v>0</v>
      </c>
      <c r="Z723" t="s">
        <v>917</v>
      </c>
      <c r="AA723" t="s">
        <v>903</v>
      </c>
      <c r="AB723" s="2" t="s">
        <v>921</v>
      </c>
      <c r="AC723" s="9" t="s">
        <v>1003</v>
      </c>
      <c r="AD723" s="9" t="s">
        <v>1004</v>
      </c>
      <c r="AE723" s="10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23" s="2" t="b">
        <v>0</v>
      </c>
      <c r="AY723"/>
      <c r="AZ723"/>
      <c r="BA723"/>
    </row>
    <row r="724" spans="1:53">
      <c r="A724" s="2" t="s">
        <v>760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672</v>
      </c>
      <c r="H724">
        <v>28</v>
      </c>
      <c r="I724">
        <v>6</v>
      </c>
      <c r="J724">
        <v>6</v>
      </c>
      <c r="K724" s="2" t="s">
        <v>673</v>
      </c>
      <c r="L724">
        <f>_xlfn.XLOOKUP("LOADINGSPEEDDEF_"&amp;PROPERTIES[[#This Row],[LOADINGSPEED]],LOADINGSPEEDDEF[TYPE],LOADINGSPEEDDEF[SPEED])</f>
        <v>15</v>
      </c>
      <c r="M724">
        <v>95</v>
      </c>
      <c r="N724">
        <v>1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>
        <v>25</v>
      </c>
      <c r="W724" s="9">
        <v>0</v>
      </c>
      <c r="X724" s="9">
        <v>0</v>
      </c>
      <c r="Y724" s="10">
        <v>0</v>
      </c>
      <c r="Z724" t="s">
        <v>917</v>
      </c>
      <c r="AA724" t="s">
        <v>903</v>
      </c>
      <c r="AB724" s="2" t="s">
        <v>921</v>
      </c>
      <c r="AC724" s="9" t="s">
        <v>1003</v>
      </c>
      <c r="AD724" s="9" t="s">
        <v>1004</v>
      </c>
      <c r="AE724" s="10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4" s="2" t="b">
        <v>0</v>
      </c>
      <c r="AY724"/>
      <c r="AZ724"/>
      <c r="BA724"/>
    </row>
    <row r="725" spans="1:53">
      <c r="A725" s="2" t="s">
        <v>761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324</v>
      </c>
      <c r="H725">
        <v>40</v>
      </c>
      <c r="I725">
        <v>5</v>
      </c>
      <c r="J725">
        <v>5</v>
      </c>
      <c r="K725" s="2" t="s">
        <v>23</v>
      </c>
      <c r="L725">
        <f>_xlfn.XLOOKUP("LOADINGSPEEDDEF_"&amp;PROPERTIES[[#This Row],[LOADINGSPEED]],LOADINGSPEEDDEF[TYPE],LOADINGSPEEDDEF[SPEED])</f>
        <v>40</v>
      </c>
      <c r="M725">
        <v>80</v>
      </c>
      <c r="N725"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>
        <v>25</v>
      </c>
      <c r="W725" s="9">
        <v>0</v>
      </c>
      <c r="X725" s="9">
        <v>0</v>
      </c>
      <c r="Y725" s="10">
        <v>0</v>
      </c>
      <c r="Z725" t="s">
        <v>914</v>
      </c>
      <c r="AA725" t="s">
        <v>906</v>
      </c>
      <c r="AB725" s="2" t="s">
        <v>921</v>
      </c>
      <c r="AC725" s="9" t="s">
        <v>1003</v>
      </c>
      <c r="AD725" s="9" t="s">
        <v>1004</v>
      </c>
      <c r="AE725" s="10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25" s="2" t="b">
        <v>0</v>
      </c>
      <c r="AY725"/>
      <c r="AZ725"/>
      <c r="BA725"/>
    </row>
    <row r="726" spans="1:53">
      <c r="A726" s="2" t="s">
        <v>762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324</v>
      </c>
      <c r="H726">
        <v>80</v>
      </c>
      <c r="I726">
        <v>5</v>
      </c>
      <c r="J726">
        <v>5</v>
      </c>
      <c r="K726" s="2" t="s">
        <v>478</v>
      </c>
      <c r="L726">
        <f>_xlfn.XLOOKUP("LOADINGSPEEDDEF_"&amp;PROPERTIES[[#This Row],[LOADINGSPEED]],LOADINGSPEEDDEF[TYPE],LOADINGSPEEDDEF[SPEED])</f>
        <v>16</v>
      </c>
      <c r="M726">
        <v>80</v>
      </c>
      <c r="N726"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>
        <v>25</v>
      </c>
      <c r="W726" s="9">
        <v>0</v>
      </c>
      <c r="X726" s="9">
        <v>0</v>
      </c>
      <c r="Y726" s="10">
        <v>0</v>
      </c>
      <c r="Z726" t="s">
        <v>914</v>
      </c>
      <c r="AA726" t="s">
        <v>906</v>
      </c>
      <c r="AB726" s="2" t="s">
        <v>921</v>
      </c>
      <c r="AC726" s="9" t="s">
        <v>1003</v>
      </c>
      <c r="AD726" s="9" t="s">
        <v>1004</v>
      </c>
      <c r="AE726" s="10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26" s="2" t="b">
        <v>0</v>
      </c>
      <c r="AY726"/>
      <c r="AZ726"/>
      <c r="BA726"/>
    </row>
    <row r="727" spans="1:53">
      <c r="A727" s="2" t="s">
        <v>763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672</v>
      </c>
      <c r="H727">
        <v>42</v>
      </c>
      <c r="I727">
        <v>5</v>
      </c>
      <c r="J727">
        <v>5</v>
      </c>
      <c r="K727" s="2" t="s">
        <v>673</v>
      </c>
      <c r="L727">
        <f>_xlfn.XLOOKUP("LOADINGSPEEDDEF_"&amp;PROPERTIES[[#This Row],[LOADINGSPEED]],LOADINGSPEEDDEF[TYPE],LOADINGSPEEDDEF[SPEED])</f>
        <v>15</v>
      </c>
      <c r="M727">
        <v>80</v>
      </c>
      <c r="N727">
        <v>1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>
        <v>25</v>
      </c>
      <c r="W727" s="9">
        <v>0</v>
      </c>
      <c r="X727" s="9">
        <v>0</v>
      </c>
      <c r="Y727" s="10">
        <v>0</v>
      </c>
      <c r="Z727" t="s">
        <v>914</v>
      </c>
      <c r="AA727" t="s">
        <v>906</v>
      </c>
      <c r="AB727" s="2" t="s">
        <v>921</v>
      </c>
      <c r="AC727" s="9" t="s">
        <v>1003</v>
      </c>
      <c r="AD727" s="9" t="s">
        <v>1004</v>
      </c>
      <c r="AE727" s="10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7" s="2" t="b">
        <v>0</v>
      </c>
      <c r="AY727"/>
      <c r="AZ727"/>
      <c r="BA727"/>
    </row>
    <row r="728" spans="1:53">
      <c r="A728" s="2" t="s">
        <v>764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324</v>
      </c>
      <c r="H728">
        <v>56</v>
      </c>
      <c r="I728">
        <v>8</v>
      </c>
      <c r="J728">
        <v>8</v>
      </c>
      <c r="K728" s="2" t="s">
        <v>478</v>
      </c>
      <c r="L728">
        <f>_xlfn.XLOOKUP("LOADINGSPEEDDEF_"&amp;PROPERTIES[[#This Row],[LOADINGSPEED]],LOADINGSPEEDDEF[TYPE],LOADINGSPEEDDEF[SPEED])</f>
        <v>16</v>
      </c>
      <c r="M728">
        <v>75</v>
      </c>
      <c r="N728"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>
        <v>25</v>
      </c>
      <c r="W728" s="9">
        <v>0</v>
      </c>
      <c r="X728" s="9">
        <v>0</v>
      </c>
      <c r="Y728" s="10">
        <v>0</v>
      </c>
      <c r="Z728" t="s">
        <v>916</v>
      </c>
      <c r="AA728" t="s">
        <v>906</v>
      </c>
      <c r="AB728" s="2" t="s">
        <v>921</v>
      </c>
      <c r="AC728" s="9" t="s">
        <v>1003</v>
      </c>
      <c r="AD728" s="9" t="s">
        <v>1004</v>
      </c>
      <c r="AE728" s="10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28" s="2" t="b">
        <v>0</v>
      </c>
      <c r="AY728"/>
      <c r="AZ728"/>
      <c r="BA728"/>
    </row>
    <row r="729" spans="1:53">
      <c r="A729" s="2" t="s">
        <v>765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672</v>
      </c>
      <c r="H729">
        <v>75</v>
      </c>
      <c r="I729">
        <v>8</v>
      </c>
      <c r="J729">
        <v>8</v>
      </c>
      <c r="K729" s="2" t="s">
        <v>478</v>
      </c>
      <c r="L729">
        <f>_xlfn.XLOOKUP("LOADINGSPEEDDEF_"&amp;PROPERTIES[[#This Row],[LOADINGSPEED]],LOADINGSPEEDDEF[TYPE],LOADINGSPEEDDEF[SPEED])</f>
        <v>16</v>
      </c>
      <c r="M729">
        <v>75</v>
      </c>
      <c r="N729">
        <v>1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>
        <v>25</v>
      </c>
      <c r="W729" s="9">
        <v>0</v>
      </c>
      <c r="X729" s="9">
        <v>0</v>
      </c>
      <c r="Y729" s="10">
        <v>0</v>
      </c>
      <c r="Z729" t="s">
        <v>916</v>
      </c>
      <c r="AA729" t="s">
        <v>906</v>
      </c>
      <c r="AB729" s="2" t="s">
        <v>921</v>
      </c>
      <c r="AC729" s="9" t="s">
        <v>1003</v>
      </c>
      <c r="AD729" s="9" t="s">
        <v>1004</v>
      </c>
      <c r="AE729" s="10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9" s="2" t="b">
        <v>0</v>
      </c>
      <c r="AY729"/>
      <c r="AZ729"/>
      <c r="BA729"/>
    </row>
    <row r="730" spans="1:53">
      <c r="A730" s="2" t="s">
        <v>766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324</v>
      </c>
      <c r="H730">
        <v>80</v>
      </c>
      <c r="I730">
        <v>7</v>
      </c>
      <c r="J730">
        <v>7</v>
      </c>
      <c r="K730" s="2" t="s">
        <v>478</v>
      </c>
      <c r="L730">
        <f>_xlfn.XLOOKUP("LOADINGSPEEDDEF_"&amp;PROPERTIES[[#This Row],[LOADINGSPEED]],LOADINGSPEEDDEF[TYPE],LOADINGSPEEDDEF[SPEED])</f>
        <v>16</v>
      </c>
      <c r="M730">
        <v>60</v>
      </c>
      <c r="N730"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>
        <v>25</v>
      </c>
      <c r="W730" s="9">
        <v>0</v>
      </c>
      <c r="X730" s="9">
        <v>0</v>
      </c>
      <c r="Y730" s="10">
        <v>0</v>
      </c>
      <c r="Z730" t="s">
        <v>914</v>
      </c>
      <c r="AA730" t="s">
        <v>906</v>
      </c>
      <c r="AB730" s="2" t="s">
        <v>921</v>
      </c>
      <c r="AC730" s="9" t="s">
        <v>1003</v>
      </c>
      <c r="AD730" s="9" t="s">
        <v>1004</v>
      </c>
      <c r="AE730" s="10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30" s="2" t="b">
        <v>0</v>
      </c>
      <c r="AY730"/>
      <c r="AZ730"/>
      <c r="BA730"/>
    </row>
    <row r="731" spans="1:53">
      <c r="A731" s="2" t="s">
        <v>767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324</v>
      </c>
      <c r="H731">
        <v>60</v>
      </c>
      <c r="I731">
        <v>7</v>
      </c>
      <c r="J731">
        <v>7</v>
      </c>
      <c r="K731" s="2" t="s">
        <v>23</v>
      </c>
      <c r="L731">
        <f>_xlfn.XLOOKUP("LOADINGSPEEDDEF_"&amp;PROPERTIES[[#This Row],[LOADINGSPEED]],LOADINGSPEEDDEF[TYPE],LOADINGSPEEDDEF[SPEED])</f>
        <v>40</v>
      </c>
      <c r="M731">
        <v>60</v>
      </c>
      <c r="N731"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>
        <v>25</v>
      </c>
      <c r="W731" s="9">
        <v>0</v>
      </c>
      <c r="X731" s="9">
        <v>0</v>
      </c>
      <c r="Y731" s="10">
        <v>0</v>
      </c>
      <c r="Z731" t="s">
        <v>914</v>
      </c>
      <c r="AA731" t="s">
        <v>906</v>
      </c>
      <c r="AB731" s="2" t="s">
        <v>921</v>
      </c>
      <c r="AC731" s="9" t="s">
        <v>1003</v>
      </c>
      <c r="AD731" s="9" t="s">
        <v>1004</v>
      </c>
      <c r="AE731" s="10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1" s="2" t="b">
        <v>0</v>
      </c>
      <c r="AY731"/>
      <c r="AZ731"/>
      <c r="BA731"/>
    </row>
    <row r="732" spans="1:53">
      <c r="A732" s="2" t="s">
        <v>768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324</v>
      </c>
      <c r="H732">
        <v>120</v>
      </c>
      <c r="I732">
        <v>7</v>
      </c>
      <c r="J732">
        <v>7</v>
      </c>
      <c r="K732" s="2" t="s">
        <v>478</v>
      </c>
      <c r="L732">
        <f>_xlfn.XLOOKUP("LOADINGSPEEDDEF_"&amp;PROPERTIES[[#This Row],[LOADINGSPEED]],LOADINGSPEEDDEF[TYPE],LOADINGSPEEDDEF[SPEED])</f>
        <v>16</v>
      </c>
      <c r="M732">
        <v>65</v>
      </c>
      <c r="N732"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>
        <v>25</v>
      </c>
      <c r="W732" s="9">
        <v>0</v>
      </c>
      <c r="X732" s="9">
        <v>0</v>
      </c>
      <c r="Y732" s="10">
        <v>0</v>
      </c>
      <c r="Z732" t="s">
        <v>914</v>
      </c>
      <c r="AA732" t="s">
        <v>906</v>
      </c>
      <c r="AB732" s="2" t="s">
        <v>921</v>
      </c>
      <c r="AC732" s="9" t="s">
        <v>1003</v>
      </c>
      <c r="AD732" s="9" t="s">
        <v>1004</v>
      </c>
      <c r="AE732" s="10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32" s="2" t="b">
        <v>0</v>
      </c>
      <c r="AY732"/>
      <c r="AZ732"/>
      <c r="BA732"/>
    </row>
    <row r="733" spans="1:53">
      <c r="A733" s="2" t="s">
        <v>769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672</v>
      </c>
      <c r="H733">
        <v>60</v>
      </c>
      <c r="I733">
        <v>7</v>
      </c>
      <c r="J733">
        <v>7</v>
      </c>
      <c r="K733" s="2" t="s">
        <v>673</v>
      </c>
      <c r="L733">
        <f>_xlfn.XLOOKUP("LOADINGSPEEDDEF_"&amp;PROPERTIES[[#This Row],[LOADINGSPEED]],LOADINGSPEEDDEF[TYPE],LOADINGSPEEDDEF[SPEED])</f>
        <v>15</v>
      </c>
      <c r="M733">
        <v>70</v>
      </c>
      <c r="N733">
        <v>1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>
        <v>25</v>
      </c>
      <c r="W733" s="9">
        <v>0</v>
      </c>
      <c r="X733" s="9">
        <v>0</v>
      </c>
      <c r="Y733" s="10">
        <v>0</v>
      </c>
      <c r="Z733" t="s">
        <v>914</v>
      </c>
      <c r="AA733" t="s">
        <v>906</v>
      </c>
      <c r="AB733" s="2" t="s">
        <v>921</v>
      </c>
      <c r="AC733" s="9" t="s">
        <v>1003</v>
      </c>
      <c r="AD733" s="9" t="s">
        <v>1004</v>
      </c>
      <c r="AE733" s="10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3" s="2" t="b">
        <v>0</v>
      </c>
      <c r="AY733"/>
      <c r="AZ733"/>
      <c r="BA733"/>
    </row>
    <row r="734" spans="1:53">
      <c r="A734" s="2" t="s">
        <v>770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324</v>
      </c>
      <c r="H734">
        <v>45</v>
      </c>
      <c r="I734">
        <v>5</v>
      </c>
      <c r="J734">
        <v>5</v>
      </c>
      <c r="K734" s="2" t="s">
        <v>23</v>
      </c>
      <c r="L734">
        <f>_xlfn.XLOOKUP("LOADINGSPEEDDEF_"&amp;PROPERTIES[[#This Row],[LOADINGSPEED]],LOADINGSPEEDDEF[TYPE],LOADINGSPEEDDEF[SPEED])</f>
        <v>40</v>
      </c>
      <c r="M734">
        <v>60</v>
      </c>
      <c r="N734"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>
        <v>25</v>
      </c>
      <c r="W734" s="9">
        <v>0</v>
      </c>
      <c r="X734" s="9">
        <v>0</v>
      </c>
      <c r="Y734" s="10">
        <v>0</v>
      </c>
      <c r="Z734" t="s">
        <v>914</v>
      </c>
      <c r="AA734" t="s">
        <v>906</v>
      </c>
      <c r="AB734" s="2" t="s">
        <v>921</v>
      </c>
      <c r="AC734" s="9" t="s">
        <v>1003</v>
      </c>
      <c r="AD734" s="9" t="s">
        <v>1004</v>
      </c>
      <c r="AE734" s="10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4" s="2" t="b">
        <v>0</v>
      </c>
      <c r="AY734"/>
      <c r="AZ734"/>
      <c r="BA734"/>
    </row>
    <row r="735" spans="1:53">
      <c r="A735" s="2" t="s">
        <v>771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324</v>
      </c>
      <c r="H735">
        <v>90</v>
      </c>
      <c r="I735">
        <v>5</v>
      </c>
      <c r="J735">
        <v>5</v>
      </c>
      <c r="K735" s="2" t="s">
        <v>478</v>
      </c>
      <c r="L735">
        <f>_xlfn.XLOOKUP("LOADINGSPEEDDEF_"&amp;PROPERTIES[[#This Row],[LOADINGSPEED]],LOADINGSPEEDDEF[TYPE],LOADINGSPEEDDEF[SPEED])</f>
        <v>16</v>
      </c>
      <c r="M735">
        <v>60</v>
      </c>
      <c r="N735"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>
        <v>25</v>
      </c>
      <c r="W735" s="9">
        <v>0</v>
      </c>
      <c r="X735" s="9">
        <v>0</v>
      </c>
      <c r="Y735" s="10">
        <v>0</v>
      </c>
      <c r="Z735" t="s">
        <v>917</v>
      </c>
      <c r="AA735" t="s">
        <v>903</v>
      </c>
      <c r="AB735" s="2" t="s">
        <v>921</v>
      </c>
      <c r="AC735" s="9" t="s">
        <v>1003</v>
      </c>
      <c r="AD735" s="9" t="s">
        <v>1004</v>
      </c>
      <c r="AE735" s="10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35" s="2" t="b">
        <v>0</v>
      </c>
      <c r="AY735"/>
      <c r="AZ735"/>
      <c r="BA735"/>
    </row>
    <row r="736" spans="1:53">
      <c r="A736" s="2" t="s">
        <v>772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672</v>
      </c>
      <c r="H736">
        <v>32</v>
      </c>
      <c r="I736">
        <v>5</v>
      </c>
      <c r="J736">
        <v>5</v>
      </c>
      <c r="K736" s="2" t="s">
        <v>673</v>
      </c>
      <c r="L736">
        <f>_xlfn.XLOOKUP("LOADINGSPEEDDEF_"&amp;PROPERTIES[[#This Row],[LOADINGSPEED]],LOADINGSPEEDDEF[TYPE],LOADINGSPEEDDEF[SPEED])</f>
        <v>15</v>
      </c>
      <c r="M736">
        <v>60</v>
      </c>
      <c r="N736">
        <v>1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>
        <v>25</v>
      </c>
      <c r="W736" s="9">
        <v>0</v>
      </c>
      <c r="X736" s="9">
        <v>0</v>
      </c>
      <c r="Y736" s="10">
        <v>0</v>
      </c>
      <c r="Z736" t="s">
        <v>917</v>
      </c>
      <c r="AA736" t="s">
        <v>903</v>
      </c>
      <c r="AB736" s="2" t="s">
        <v>921</v>
      </c>
      <c r="AC736" s="9" t="s">
        <v>1003</v>
      </c>
      <c r="AD736" s="9" t="s">
        <v>1004</v>
      </c>
      <c r="AE736" s="10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6" s="2" t="b">
        <v>0</v>
      </c>
      <c r="AY736"/>
      <c r="AZ736"/>
      <c r="BA736"/>
    </row>
    <row r="737" spans="1:53">
      <c r="A737" s="2" t="s">
        <v>773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324</v>
      </c>
      <c r="H737">
        <v>62</v>
      </c>
      <c r="I737">
        <v>6</v>
      </c>
      <c r="J737">
        <v>6</v>
      </c>
      <c r="K737" s="2" t="s">
        <v>23</v>
      </c>
      <c r="L737">
        <f>_xlfn.XLOOKUP("LOADINGSPEEDDEF_"&amp;PROPERTIES[[#This Row],[LOADINGSPEED]],LOADINGSPEEDDEF[TYPE],LOADINGSPEEDDEF[SPEED])</f>
        <v>40</v>
      </c>
      <c r="M737">
        <v>60</v>
      </c>
      <c r="N737"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>
        <v>25</v>
      </c>
      <c r="W737" s="9">
        <v>0</v>
      </c>
      <c r="X737" s="9">
        <v>0</v>
      </c>
      <c r="Y737" s="10">
        <v>0</v>
      </c>
      <c r="Z737" t="s">
        <v>914</v>
      </c>
      <c r="AA737" t="s">
        <v>906</v>
      </c>
      <c r="AB737" s="2" t="s">
        <v>921</v>
      </c>
      <c r="AC737" s="9" t="s">
        <v>1003</v>
      </c>
      <c r="AD737" s="9" t="s">
        <v>1004</v>
      </c>
      <c r="AE737" s="10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7" s="2" t="b">
        <v>0</v>
      </c>
      <c r="AY737"/>
      <c r="AZ737"/>
      <c r="BA737"/>
    </row>
    <row r="738" spans="1:53">
      <c r="A738" s="2" t="s">
        <v>774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324</v>
      </c>
      <c r="H738">
        <v>100</v>
      </c>
      <c r="I738">
        <v>6</v>
      </c>
      <c r="J738">
        <v>6</v>
      </c>
      <c r="K738" s="2" t="s">
        <v>478</v>
      </c>
      <c r="L738">
        <f>_xlfn.XLOOKUP("LOADINGSPEEDDEF_"&amp;PROPERTIES[[#This Row],[LOADINGSPEED]],LOADINGSPEEDDEF[TYPE],LOADINGSPEEDDEF[SPEED])</f>
        <v>16</v>
      </c>
      <c r="M738">
        <v>60</v>
      </c>
      <c r="N738"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>
        <v>25</v>
      </c>
      <c r="W738" s="9">
        <v>0</v>
      </c>
      <c r="X738" s="9">
        <v>0</v>
      </c>
      <c r="Y738" s="10">
        <v>0</v>
      </c>
      <c r="Z738" t="s">
        <v>914</v>
      </c>
      <c r="AA738" t="s">
        <v>906</v>
      </c>
      <c r="AB738" s="2" t="s">
        <v>921</v>
      </c>
      <c r="AC738" s="9" t="s">
        <v>1003</v>
      </c>
      <c r="AD738" s="9" t="s">
        <v>1004</v>
      </c>
      <c r="AE738" s="10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38" s="2" t="b">
        <v>0</v>
      </c>
      <c r="AY738"/>
      <c r="AZ738"/>
      <c r="BA738"/>
    </row>
    <row r="739" spans="1:53">
      <c r="A739" s="2" t="s">
        <v>775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672</v>
      </c>
      <c r="H739">
        <v>42</v>
      </c>
      <c r="I739">
        <v>6</v>
      </c>
      <c r="J739">
        <v>6</v>
      </c>
      <c r="K739" s="2" t="s">
        <v>673</v>
      </c>
      <c r="L739">
        <f>_xlfn.XLOOKUP("LOADINGSPEEDDEF_"&amp;PROPERTIES[[#This Row],[LOADINGSPEED]],LOADINGSPEEDDEF[TYPE],LOADINGSPEEDDEF[SPEED])</f>
        <v>15</v>
      </c>
      <c r="M739">
        <v>60</v>
      </c>
      <c r="N739">
        <v>1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>
        <v>25</v>
      </c>
      <c r="W739" s="9">
        <v>0</v>
      </c>
      <c r="X739" s="9">
        <v>0</v>
      </c>
      <c r="Y739" s="10">
        <v>0</v>
      </c>
      <c r="Z739" t="s">
        <v>914</v>
      </c>
      <c r="AA739" t="s">
        <v>906</v>
      </c>
      <c r="AB739" s="2" t="s">
        <v>921</v>
      </c>
      <c r="AC739" s="9" t="s">
        <v>1003</v>
      </c>
      <c r="AD739" s="9" t="s">
        <v>1004</v>
      </c>
      <c r="AE739" s="10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9" s="2" t="b">
        <v>0</v>
      </c>
      <c r="AY739"/>
      <c r="AZ739"/>
      <c r="BA739"/>
    </row>
    <row r="740" spans="1:53">
      <c r="A740" s="2" t="s">
        <v>776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324</v>
      </c>
      <c r="H740">
        <v>70</v>
      </c>
      <c r="I740">
        <v>8</v>
      </c>
      <c r="J740">
        <v>8</v>
      </c>
      <c r="K740" s="2" t="s">
        <v>478</v>
      </c>
      <c r="L740">
        <f>_xlfn.XLOOKUP("LOADINGSPEEDDEF_"&amp;PROPERTIES[[#This Row],[LOADINGSPEED]],LOADINGSPEEDDEF[TYPE],LOADINGSPEEDDEF[SPEED])</f>
        <v>16</v>
      </c>
      <c r="M740">
        <v>55</v>
      </c>
      <c r="N740"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>
        <v>25</v>
      </c>
      <c r="W740" s="9">
        <v>0</v>
      </c>
      <c r="X740" s="9">
        <v>0</v>
      </c>
      <c r="Y740" s="10">
        <v>0</v>
      </c>
      <c r="Z740" t="s">
        <v>918</v>
      </c>
      <c r="AA740" t="s">
        <v>916</v>
      </c>
      <c r="AB740" s="2" t="s">
        <v>921</v>
      </c>
      <c r="AC740" s="9" t="s">
        <v>1003</v>
      </c>
      <c r="AD740" s="9" t="s">
        <v>1004</v>
      </c>
      <c r="AE740" s="10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0" s="2" t="b">
        <v>0</v>
      </c>
      <c r="AY740"/>
      <c r="AZ740"/>
      <c r="BA740"/>
    </row>
    <row r="741" spans="1:53">
      <c r="A741" s="2" t="s">
        <v>777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324</v>
      </c>
      <c r="H741">
        <v>135</v>
      </c>
      <c r="I741">
        <v>8</v>
      </c>
      <c r="J741">
        <v>8</v>
      </c>
      <c r="K741" s="2" t="s">
        <v>478</v>
      </c>
      <c r="L741">
        <f>_xlfn.XLOOKUP("LOADINGSPEEDDEF_"&amp;PROPERTIES[[#This Row],[LOADINGSPEED]],LOADINGSPEEDDEF[TYPE],LOADINGSPEEDDEF[SPEED])</f>
        <v>16</v>
      </c>
      <c r="M741">
        <v>55</v>
      </c>
      <c r="N741"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>
        <v>25</v>
      </c>
      <c r="W741" s="9">
        <v>0</v>
      </c>
      <c r="X741" s="9">
        <v>0</v>
      </c>
      <c r="Y741" s="10">
        <v>0</v>
      </c>
      <c r="Z741" t="s">
        <v>918</v>
      </c>
      <c r="AA741" t="s">
        <v>916</v>
      </c>
      <c r="AB741" s="2" t="s">
        <v>921</v>
      </c>
      <c r="AC741" s="9" t="s">
        <v>1003</v>
      </c>
      <c r="AD741" s="9" t="s">
        <v>1004</v>
      </c>
      <c r="AE741" s="10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1" s="2" t="b">
        <v>0</v>
      </c>
      <c r="AY741"/>
      <c r="AZ741"/>
      <c r="BA741"/>
    </row>
    <row r="742" spans="1:53">
      <c r="A742" s="2" t="s">
        <v>778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672</v>
      </c>
      <c r="H742">
        <v>75</v>
      </c>
      <c r="I742">
        <v>8</v>
      </c>
      <c r="J742">
        <v>8</v>
      </c>
      <c r="K742" s="2" t="s">
        <v>673</v>
      </c>
      <c r="L742">
        <f>_xlfn.XLOOKUP("LOADINGSPEEDDEF_"&amp;PROPERTIES[[#This Row],[LOADINGSPEED]],LOADINGSPEEDDEF[TYPE],LOADINGSPEEDDEF[SPEED])</f>
        <v>15</v>
      </c>
      <c r="M742">
        <v>55</v>
      </c>
      <c r="N742">
        <v>1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>
        <v>25</v>
      </c>
      <c r="W742" s="9">
        <v>0</v>
      </c>
      <c r="X742" s="9">
        <v>0</v>
      </c>
      <c r="Y742" s="10">
        <v>0</v>
      </c>
      <c r="Z742" t="s">
        <v>918</v>
      </c>
      <c r="AA742" t="s">
        <v>916</v>
      </c>
      <c r="AB742" s="2" t="s">
        <v>921</v>
      </c>
      <c r="AC742" s="9" t="s">
        <v>1003</v>
      </c>
      <c r="AD742" s="9" t="s">
        <v>1004</v>
      </c>
      <c r="AE742" s="10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2" s="2" t="b">
        <v>0</v>
      </c>
      <c r="AY742"/>
      <c r="AZ742"/>
      <c r="BA742"/>
    </row>
    <row r="743" spans="1:53">
      <c r="A743" s="2" t="s">
        <v>779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324</v>
      </c>
      <c r="H743">
        <v>75</v>
      </c>
      <c r="I743">
        <v>8</v>
      </c>
      <c r="J743">
        <v>8</v>
      </c>
      <c r="K743" s="2" t="s">
        <v>478</v>
      </c>
      <c r="L743">
        <f>_xlfn.XLOOKUP("LOADINGSPEEDDEF_"&amp;PROPERTIES[[#This Row],[LOADINGSPEED]],LOADINGSPEEDDEF[TYPE],LOADINGSPEEDDEF[SPEED])</f>
        <v>16</v>
      </c>
      <c r="M743">
        <v>50</v>
      </c>
      <c r="N743"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>
        <v>25</v>
      </c>
      <c r="W743" s="9">
        <v>0</v>
      </c>
      <c r="X743" s="9">
        <v>0</v>
      </c>
      <c r="Y743" s="10">
        <v>0</v>
      </c>
      <c r="Z743" t="s">
        <v>914</v>
      </c>
      <c r="AA743" t="s">
        <v>906</v>
      </c>
      <c r="AB743" s="2" t="s">
        <v>921</v>
      </c>
      <c r="AC743" s="9" t="s">
        <v>1003</v>
      </c>
      <c r="AD743" s="9" t="s">
        <v>1004</v>
      </c>
      <c r="AE743" s="10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43" s="2" t="b">
        <v>0</v>
      </c>
      <c r="AY743"/>
      <c r="AZ743"/>
      <c r="BA743"/>
    </row>
    <row r="744" spans="1:53">
      <c r="A744" s="2" t="s">
        <v>780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324</v>
      </c>
      <c r="H744">
        <v>150</v>
      </c>
      <c r="I744">
        <v>8</v>
      </c>
      <c r="J744">
        <v>8</v>
      </c>
      <c r="K744" s="2" t="s">
        <v>478</v>
      </c>
      <c r="L744">
        <f>_xlfn.XLOOKUP("LOADINGSPEEDDEF_"&amp;PROPERTIES[[#This Row],[LOADINGSPEED]],LOADINGSPEEDDEF[TYPE],LOADINGSPEEDDEF[SPEED])</f>
        <v>16</v>
      </c>
      <c r="M744">
        <v>50</v>
      </c>
      <c r="N744"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>
        <v>25</v>
      </c>
      <c r="W744" s="9">
        <v>0</v>
      </c>
      <c r="X744" s="9">
        <v>0</v>
      </c>
      <c r="Y744" s="10">
        <v>0</v>
      </c>
      <c r="Z744" t="s">
        <v>916</v>
      </c>
      <c r="AA744" t="s">
        <v>906</v>
      </c>
      <c r="AB744" s="2" t="s">
        <v>921</v>
      </c>
      <c r="AC744" s="9" t="s">
        <v>1003</v>
      </c>
      <c r="AD744" s="9" t="s">
        <v>1004</v>
      </c>
      <c r="AE744" s="10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4" s="2" t="b">
        <v>0</v>
      </c>
      <c r="AY744"/>
      <c r="AZ744"/>
      <c r="BA744"/>
    </row>
    <row r="745" spans="1:53">
      <c r="A745" s="2" t="s">
        <v>781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672</v>
      </c>
      <c r="H745">
        <v>80</v>
      </c>
      <c r="I745">
        <v>8</v>
      </c>
      <c r="J745">
        <v>8</v>
      </c>
      <c r="K745" s="2" t="s">
        <v>673</v>
      </c>
      <c r="L745">
        <f>_xlfn.XLOOKUP("LOADINGSPEEDDEF_"&amp;PROPERTIES[[#This Row],[LOADINGSPEED]],LOADINGSPEEDDEF[TYPE],LOADINGSPEEDDEF[SPEED])</f>
        <v>15</v>
      </c>
      <c r="M745">
        <v>50</v>
      </c>
      <c r="N745">
        <v>1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>
        <v>25</v>
      </c>
      <c r="W745" s="9">
        <v>0</v>
      </c>
      <c r="X745" s="9">
        <v>0</v>
      </c>
      <c r="Y745" s="10">
        <v>0</v>
      </c>
      <c r="Z745" t="s">
        <v>916</v>
      </c>
      <c r="AA745" t="s">
        <v>906</v>
      </c>
      <c r="AB745" s="2" t="s">
        <v>921</v>
      </c>
      <c r="AC745" s="9" t="s">
        <v>1003</v>
      </c>
      <c r="AD745" s="9" t="s">
        <v>1004</v>
      </c>
      <c r="AE745" s="10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5" s="2" t="b">
        <v>0</v>
      </c>
      <c r="AY745"/>
      <c r="AZ745"/>
      <c r="BA745"/>
    </row>
    <row r="746" spans="1:53">
      <c r="A746" s="2" t="s">
        <v>782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324</v>
      </c>
      <c r="H746">
        <v>170</v>
      </c>
      <c r="I746">
        <v>8</v>
      </c>
      <c r="J746">
        <v>8</v>
      </c>
      <c r="K746" s="2" t="s">
        <v>478</v>
      </c>
      <c r="L746">
        <f>_xlfn.XLOOKUP("LOADINGSPEEDDEF_"&amp;PROPERTIES[[#This Row],[LOADINGSPEED]],LOADINGSPEEDDEF[TYPE],LOADINGSPEEDDEF[SPEED])</f>
        <v>16</v>
      </c>
      <c r="M746">
        <v>50</v>
      </c>
      <c r="N746"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>
        <v>25</v>
      </c>
      <c r="W746" s="9">
        <v>0</v>
      </c>
      <c r="X746" s="9">
        <v>0</v>
      </c>
      <c r="Y746" s="10">
        <v>0</v>
      </c>
      <c r="Z746" t="s">
        <v>916</v>
      </c>
      <c r="AA746" t="s">
        <v>906</v>
      </c>
      <c r="AB746" s="2" t="s">
        <v>921</v>
      </c>
      <c r="AC746" s="9" t="s">
        <v>1003</v>
      </c>
      <c r="AD746" s="9" t="s">
        <v>1004</v>
      </c>
      <c r="AE746" s="10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6" s="2" t="b">
        <v>0</v>
      </c>
      <c r="AY746"/>
      <c r="AZ746"/>
      <c r="BA746"/>
    </row>
    <row r="747" spans="1:53">
      <c r="A747" s="2" t="s">
        <v>783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324</v>
      </c>
      <c r="H747">
        <v>72</v>
      </c>
      <c r="I747">
        <v>7</v>
      </c>
      <c r="J747">
        <v>7</v>
      </c>
      <c r="K747" s="2" t="s">
        <v>478</v>
      </c>
      <c r="L747">
        <f>_xlfn.XLOOKUP("LOADINGSPEEDDEF_"&amp;PROPERTIES[[#This Row],[LOADINGSPEED]],LOADINGSPEEDDEF[TYPE],LOADINGSPEEDDEF[SPEED])</f>
        <v>16</v>
      </c>
      <c r="M747">
        <v>50</v>
      </c>
      <c r="N747"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>
        <v>25</v>
      </c>
      <c r="W747" s="9">
        <v>0</v>
      </c>
      <c r="X747" s="9">
        <v>0</v>
      </c>
      <c r="Y747" s="10">
        <v>0</v>
      </c>
      <c r="Z747" t="s">
        <v>914</v>
      </c>
      <c r="AA747" t="s">
        <v>903</v>
      </c>
      <c r="AB747" s="2" t="s">
        <v>921</v>
      </c>
      <c r="AC747" s="9" t="s">
        <v>1003</v>
      </c>
      <c r="AD747" s="9" t="s">
        <v>1004</v>
      </c>
      <c r="AE747" s="10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7" s="2" t="b">
        <v>0</v>
      </c>
      <c r="AY747"/>
      <c r="AZ747"/>
      <c r="BA747"/>
    </row>
    <row r="748" spans="1:53">
      <c r="A748" s="2" t="s">
        <v>784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324</v>
      </c>
      <c r="H748">
        <v>150</v>
      </c>
      <c r="I748">
        <v>7</v>
      </c>
      <c r="J748">
        <v>7</v>
      </c>
      <c r="K748" s="2" t="s">
        <v>478</v>
      </c>
      <c r="L748">
        <f>_xlfn.XLOOKUP("LOADINGSPEEDDEF_"&amp;PROPERTIES[[#This Row],[LOADINGSPEED]],LOADINGSPEEDDEF[TYPE],LOADINGSPEEDDEF[SPEED])</f>
        <v>16</v>
      </c>
      <c r="M748">
        <v>50</v>
      </c>
      <c r="N748"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>
        <v>25</v>
      </c>
      <c r="W748" s="9">
        <v>0</v>
      </c>
      <c r="X748" s="9">
        <v>0</v>
      </c>
      <c r="Y748" s="10">
        <v>0</v>
      </c>
      <c r="Z748" t="s">
        <v>914</v>
      </c>
      <c r="AA748" t="s">
        <v>903</v>
      </c>
      <c r="AB748" s="2" t="s">
        <v>921</v>
      </c>
      <c r="AC748" s="9" t="s">
        <v>1003</v>
      </c>
      <c r="AD748" s="9" t="s">
        <v>1004</v>
      </c>
      <c r="AE748" s="10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8" s="2" t="b">
        <v>0</v>
      </c>
      <c r="AY748"/>
      <c r="AZ748"/>
      <c r="BA748"/>
    </row>
    <row r="749" spans="1:53">
      <c r="A749" s="2" t="s">
        <v>785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672</v>
      </c>
      <c r="H749">
        <v>80</v>
      </c>
      <c r="I749">
        <v>7</v>
      </c>
      <c r="J749">
        <v>7</v>
      </c>
      <c r="K749" s="2" t="s">
        <v>673</v>
      </c>
      <c r="L749">
        <f>_xlfn.XLOOKUP("LOADINGSPEEDDEF_"&amp;PROPERTIES[[#This Row],[LOADINGSPEED]],LOADINGSPEEDDEF[TYPE],LOADINGSPEEDDEF[SPEED])</f>
        <v>15</v>
      </c>
      <c r="M749">
        <v>50</v>
      </c>
      <c r="N749">
        <v>1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>
        <v>25</v>
      </c>
      <c r="W749" s="9">
        <v>0</v>
      </c>
      <c r="X749" s="9">
        <v>0</v>
      </c>
      <c r="Y749" s="10">
        <v>0</v>
      </c>
      <c r="Z749" t="s">
        <v>914</v>
      </c>
      <c r="AA749" t="s">
        <v>903</v>
      </c>
      <c r="AB749" s="2" t="s">
        <v>921</v>
      </c>
      <c r="AC749" s="9" t="s">
        <v>1003</v>
      </c>
      <c r="AD749" s="9" t="s">
        <v>1004</v>
      </c>
      <c r="AE749" s="10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9" s="2" t="b">
        <v>0</v>
      </c>
      <c r="AY749"/>
      <c r="AZ749"/>
      <c r="BA749"/>
    </row>
    <row r="750" spans="1:53">
      <c r="A750" s="2" t="s">
        <v>786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324</v>
      </c>
      <c r="H750">
        <v>72</v>
      </c>
      <c r="I750">
        <v>8</v>
      </c>
      <c r="J750">
        <v>8</v>
      </c>
      <c r="K750" s="2" t="s">
        <v>478</v>
      </c>
      <c r="L750">
        <f>_xlfn.XLOOKUP("LOADINGSPEEDDEF_"&amp;PROPERTIES[[#This Row],[LOADINGSPEED]],LOADINGSPEEDDEF[TYPE],LOADINGSPEEDDEF[SPEED])</f>
        <v>16</v>
      </c>
      <c r="M750">
        <v>50</v>
      </c>
      <c r="N750"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>
        <v>25</v>
      </c>
      <c r="W750" s="9">
        <v>0</v>
      </c>
      <c r="X750" s="9">
        <v>0</v>
      </c>
      <c r="Y750" s="10">
        <v>0</v>
      </c>
      <c r="Z750" t="s">
        <v>914</v>
      </c>
      <c r="AA750" t="s">
        <v>903</v>
      </c>
      <c r="AB750" s="2" t="s">
        <v>921</v>
      </c>
      <c r="AC750" s="9" t="s">
        <v>1003</v>
      </c>
      <c r="AD750" s="9" t="s">
        <v>1004</v>
      </c>
      <c r="AE750" s="10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50" s="2" t="b">
        <v>0</v>
      </c>
      <c r="AY750"/>
      <c r="AZ750"/>
      <c r="BA750"/>
    </row>
    <row r="751" spans="1:53">
      <c r="A751" s="2" t="s">
        <v>787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324</v>
      </c>
      <c r="H751">
        <v>48</v>
      </c>
      <c r="I751">
        <v>8</v>
      </c>
      <c r="J751">
        <v>8</v>
      </c>
      <c r="K751" s="2" t="s">
        <v>478</v>
      </c>
      <c r="L751">
        <f>_xlfn.XLOOKUP("LOADINGSPEEDDEF_"&amp;PROPERTIES[[#This Row],[LOADINGSPEED]],LOADINGSPEEDDEF[TYPE],LOADINGSPEEDDEF[SPEED])</f>
        <v>16</v>
      </c>
      <c r="M751">
        <v>50</v>
      </c>
      <c r="N751"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>
        <v>25</v>
      </c>
      <c r="W751" s="9">
        <v>0</v>
      </c>
      <c r="X751" s="9">
        <v>0</v>
      </c>
      <c r="Y751" s="10">
        <v>0</v>
      </c>
      <c r="Z751" t="s">
        <v>913</v>
      </c>
      <c r="AA751" t="s">
        <v>903</v>
      </c>
      <c r="AB751" s="2" t="s">
        <v>921</v>
      </c>
      <c r="AC751" s="9" t="s">
        <v>1003</v>
      </c>
      <c r="AD751" s="9" t="s">
        <v>1004</v>
      </c>
      <c r="AE751" s="10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51" s="2" t="b">
        <v>0</v>
      </c>
      <c r="AY751"/>
      <c r="AZ751"/>
      <c r="BA751"/>
    </row>
    <row r="752" spans="1:53">
      <c r="A752" s="2" t="s">
        <v>788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324</v>
      </c>
      <c r="H752">
        <v>175</v>
      </c>
      <c r="I752">
        <v>8</v>
      </c>
      <c r="J752">
        <v>8</v>
      </c>
      <c r="K752" s="2" t="s">
        <v>478</v>
      </c>
      <c r="L752">
        <f>_xlfn.XLOOKUP("LOADINGSPEEDDEF_"&amp;PROPERTIES[[#This Row],[LOADINGSPEED]],LOADINGSPEEDDEF[TYPE],LOADINGSPEEDDEF[SPEED])</f>
        <v>16</v>
      </c>
      <c r="M752">
        <v>50</v>
      </c>
      <c r="N752"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>
        <v>25</v>
      </c>
      <c r="W752" s="9">
        <v>0</v>
      </c>
      <c r="X752" s="9">
        <v>0</v>
      </c>
      <c r="Y752" s="10">
        <v>0</v>
      </c>
      <c r="Z752" t="s">
        <v>914</v>
      </c>
      <c r="AA752" t="s">
        <v>903</v>
      </c>
      <c r="AB752" s="2" t="s">
        <v>921</v>
      </c>
      <c r="AC752" s="9" t="s">
        <v>1003</v>
      </c>
      <c r="AD752" s="9" t="s">
        <v>1004</v>
      </c>
      <c r="AE752" s="10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52" s="2" t="b">
        <v>0</v>
      </c>
      <c r="AY752"/>
      <c r="AZ752"/>
      <c r="BA752"/>
    </row>
    <row r="753" spans="1:53">
      <c r="A753" s="2" t="s">
        <v>789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324</v>
      </c>
      <c r="H753">
        <v>72</v>
      </c>
      <c r="I753">
        <v>7</v>
      </c>
      <c r="J753">
        <v>7</v>
      </c>
      <c r="K753" s="2" t="s">
        <v>23</v>
      </c>
      <c r="L753">
        <f>_xlfn.XLOOKUP("LOADINGSPEEDDEF_"&amp;PROPERTIES[[#This Row],[LOADINGSPEED]],LOADINGSPEEDDEF[TYPE],LOADINGSPEEDDEF[SPEED])</f>
        <v>40</v>
      </c>
      <c r="M753">
        <v>50</v>
      </c>
      <c r="N753"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>
        <v>25</v>
      </c>
      <c r="W753" s="9">
        <v>0</v>
      </c>
      <c r="X753" s="9">
        <v>0</v>
      </c>
      <c r="Y753" s="10">
        <v>0</v>
      </c>
      <c r="Z753" t="s">
        <v>914</v>
      </c>
      <c r="AA753" t="s">
        <v>903</v>
      </c>
      <c r="AB753" s="2" t="s">
        <v>921</v>
      </c>
      <c r="AC753" s="9" t="s">
        <v>1003</v>
      </c>
      <c r="AD753" s="9" t="s">
        <v>1004</v>
      </c>
      <c r="AE753" s="10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3" s="2" t="b">
        <v>0</v>
      </c>
      <c r="AY753"/>
      <c r="AZ753"/>
      <c r="BA753"/>
    </row>
    <row r="754" spans="1:53">
      <c r="A754" s="2" t="s">
        <v>790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324</v>
      </c>
      <c r="H754">
        <v>150</v>
      </c>
      <c r="I754">
        <v>8</v>
      </c>
      <c r="J754">
        <v>8</v>
      </c>
      <c r="K754" s="2" t="s">
        <v>23</v>
      </c>
      <c r="L754">
        <f>_xlfn.XLOOKUP("LOADINGSPEEDDEF_"&amp;PROPERTIES[[#This Row],[LOADINGSPEED]],LOADINGSPEEDDEF[TYPE],LOADINGSPEEDDEF[SPEED])</f>
        <v>40</v>
      </c>
      <c r="M754">
        <v>40</v>
      </c>
      <c r="N754"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>
        <v>25</v>
      </c>
      <c r="W754" s="9">
        <v>0</v>
      </c>
      <c r="X754" s="9">
        <v>0</v>
      </c>
      <c r="Y754" s="10">
        <v>0</v>
      </c>
      <c r="Z754" t="s">
        <v>914</v>
      </c>
      <c r="AA754" t="s">
        <v>903</v>
      </c>
      <c r="AB754" s="2" t="s">
        <v>921</v>
      </c>
      <c r="AC754" s="9" t="s">
        <v>1003</v>
      </c>
      <c r="AD754" s="9" t="s">
        <v>1004</v>
      </c>
      <c r="AE754" s="10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4" s="2" t="b">
        <v>0</v>
      </c>
      <c r="AY754"/>
      <c r="AZ754"/>
      <c r="BA754"/>
    </row>
    <row r="755" spans="1:53">
      <c r="A755" s="2" t="s">
        <v>791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672</v>
      </c>
      <c r="H755">
        <v>120</v>
      </c>
      <c r="I755">
        <v>8</v>
      </c>
      <c r="J755">
        <v>8</v>
      </c>
      <c r="K755" s="2" t="s">
        <v>673</v>
      </c>
      <c r="L755">
        <f>_xlfn.XLOOKUP("LOADINGSPEEDDEF_"&amp;PROPERTIES[[#This Row],[LOADINGSPEED]],LOADINGSPEEDDEF[TYPE],LOADINGSPEEDDEF[SPEED])</f>
        <v>15</v>
      </c>
      <c r="M755">
        <v>50</v>
      </c>
      <c r="N755">
        <v>1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>
        <v>25</v>
      </c>
      <c r="W755" s="9">
        <v>0</v>
      </c>
      <c r="X755" s="9">
        <v>0</v>
      </c>
      <c r="Y755" s="10">
        <v>0</v>
      </c>
      <c r="Z755" t="s">
        <v>914</v>
      </c>
      <c r="AA755" t="s">
        <v>903</v>
      </c>
      <c r="AB755" s="2" t="s">
        <v>921</v>
      </c>
      <c r="AC755" s="9" t="s">
        <v>1003</v>
      </c>
      <c r="AD755" s="9" t="s">
        <v>1004</v>
      </c>
      <c r="AE755" s="10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55" s="2" t="b">
        <v>0</v>
      </c>
      <c r="AY755"/>
      <c r="AZ755"/>
      <c r="BA755"/>
    </row>
    <row r="756" spans="1:53">
      <c r="A756" s="2" t="s">
        <v>792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324</v>
      </c>
      <c r="H756">
        <v>108</v>
      </c>
      <c r="I756">
        <v>8</v>
      </c>
      <c r="J756">
        <v>8</v>
      </c>
      <c r="K756" s="2" t="s">
        <v>478</v>
      </c>
      <c r="L756">
        <f>_xlfn.XLOOKUP("LOADINGSPEEDDEF_"&amp;PROPERTIES[[#This Row],[LOADINGSPEED]],LOADINGSPEEDDEF[TYPE],LOADINGSPEEDDEF[SPEED])</f>
        <v>16</v>
      </c>
      <c r="M756">
        <v>60</v>
      </c>
      <c r="N756"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>
        <v>25</v>
      </c>
      <c r="W756" s="9">
        <v>0</v>
      </c>
      <c r="X756" s="9">
        <v>0</v>
      </c>
      <c r="Y756" s="10">
        <v>0</v>
      </c>
      <c r="Z756" t="s">
        <v>912</v>
      </c>
      <c r="AA756" t="s">
        <v>903</v>
      </c>
      <c r="AB756" s="2" t="s">
        <v>921</v>
      </c>
      <c r="AC756" s="9" t="s">
        <v>1003</v>
      </c>
      <c r="AD756" s="9" t="s">
        <v>1004</v>
      </c>
      <c r="AE756" s="10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56" s="2" t="b">
        <v>0</v>
      </c>
      <c r="AY756"/>
      <c r="AZ756"/>
      <c r="BA756"/>
    </row>
    <row r="757" spans="1:53">
      <c r="A757" s="2" t="s">
        <v>793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324</v>
      </c>
      <c r="H757">
        <v>210</v>
      </c>
      <c r="I757">
        <v>8</v>
      </c>
      <c r="J757">
        <v>8</v>
      </c>
      <c r="K757" s="2" t="s">
        <v>23</v>
      </c>
      <c r="L757">
        <f>_xlfn.XLOOKUP("LOADINGSPEEDDEF_"&amp;PROPERTIES[[#This Row],[LOADINGSPEED]],LOADINGSPEEDDEF[TYPE],LOADINGSPEEDDEF[SPEED])</f>
        <v>40</v>
      </c>
      <c r="M757">
        <v>60</v>
      </c>
      <c r="N757"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>
        <v>25</v>
      </c>
      <c r="W757" s="9">
        <v>0</v>
      </c>
      <c r="X757" s="9">
        <v>0</v>
      </c>
      <c r="Y757" s="10">
        <v>0</v>
      </c>
      <c r="Z757" t="s">
        <v>912</v>
      </c>
      <c r="AA757" t="s">
        <v>903</v>
      </c>
      <c r="AB757" s="2" t="s">
        <v>921</v>
      </c>
      <c r="AC757" s="9" t="s">
        <v>1003</v>
      </c>
      <c r="AD757" s="9" t="s">
        <v>1004</v>
      </c>
      <c r="AE757" s="10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7" s="2" t="b">
        <v>0</v>
      </c>
      <c r="AY757"/>
      <c r="AZ757"/>
      <c r="BA757"/>
    </row>
    <row r="758" spans="1:53">
      <c r="A758" s="2" t="s">
        <v>794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324</v>
      </c>
      <c r="H758">
        <v>140</v>
      </c>
      <c r="I758">
        <v>8</v>
      </c>
      <c r="J758">
        <v>8</v>
      </c>
      <c r="K758" s="2" t="s">
        <v>478</v>
      </c>
      <c r="L758">
        <f>_xlfn.XLOOKUP("LOADINGSPEEDDEF_"&amp;PROPERTIES[[#This Row],[LOADINGSPEED]],LOADINGSPEEDDEF[TYPE],LOADINGSPEEDDEF[SPEED])</f>
        <v>16</v>
      </c>
      <c r="M758">
        <v>60</v>
      </c>
      <c r="N758"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>
        <v>25</v>
      </c>
      <c r="W758" s="9">
        <v>0</v>
      </c>
      <c r="X758" s="9">
        <v>0</v>
      </c>
      <c r="Y758" s="10">
        <v>0</v>
      </c>
      <c r="Z758" t="s">
        <v>912</v>
      </c>
      <c r="AA758" t="s">
        <v>903</v>
      </c>
      <c r="AB758" s="2" t="s">
        <v>921</v>
      </c>
      <c r="AC758" s="9" t="s">
        <v>1003</v>
      </c>
      <c r="AD758" s="9" t="s">
        <v>1004</v>
      </c>
      <c r="AE758" s="10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58" s="2" t="b">
        <v>0</v>
      </c>
      <c r="AY758"/>
      <c r="AZ758"/>
      <c r="BA758"/>
    </row>
    <row r="759" spans="1:53">
      <c r="A759" s="2" t="s">
        <v>795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672</v>
      </c>
      <c r="H759">
        <v>100</v>
      </c>
      <c r="I759">
        <v>8</v>
      </c>
      <c r="J759">
        <v>8</v>
      </c>
      <c r="K759" s="2" t="s">
        <v>673</v>
      </c>
      <c r="L759">
        <f>_xlfn.XLOOKUP("LOADINGSPEEDDEF_"&amp;PROPERTIES[[#This Row],[LOADINGSPEED]],LOADINGSPEEDDEF[TYPE],LOADINGSPEEDDEF[SPEED])</f>
        <v>15</v>
      </c>
      <c r="M759">
        <v>60</v>
      </c>
      <c r="N759">
        <v>1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>
        <v>25</v>
      </c>
      <c r="W759" s="9">
        <v>0</v>
      </c>
      <c r="X759" s="9">
        <v>0</v>
      </c>
      <c r="Y759" s="10">
        <v>0</v>
      </c>
      <c r="Z759" t="s">
        <v>912</v>
      </c>
      <c r="AA759" t="s">
        <v>903</v>
      </c>
      <c r="AB759" s="2" t="s">
        <v>921</v>
      </c>
      <c r="AC759" s="9" t="s">
        <v>1003</v>
      </c>
      <c r="AD759" s="9" t="s">
        <v>1004</v>
      </c>
      <c r="AE759" s="10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59" s="2" t="b">
        <v>0</v>
      </c>
      <c r="AY759"/>
      <c r="AZ759"/>
      <c r="BA759"/>
    </row>
    <row r="760" spans="1:53">
      <c r="A760" s="2" t="s">
        <v>796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324</v>
      </c>
      <c r="H760">
        <v>66</v>
      </c>
      <c r="I760">
        <v>8</v>
      </c>
      <c r="J760">
        <v>8</v>
      </c>
      <c r="K760" s="2" t="s">
        <v>478</v>
      </c>
      <c r="L760">
        <f>_xlfn.XLOOKUP("LOADINGSPEEDDEF_"&amp;PROPERTIES[[#This Row],[LOADINGSPEED]],LOADINGSPEEDDEF[TYPE],LOADINGSPEEDDEF[SPEED])</f>
        <v>16</v>
      </c>
      <c r="M760">
        <v>50</v>
      </c>
      <c r="N760"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>
        <v>25</v>
      </c>
      <c r="W760" s="9">
        <v>0</v>
      </c>
      <c r="X760" s="9">
        <v>0</v>
      </c>
      <c r="Y760" s="10">
        <v>0</v>
      </c>
      <c r="Z760" t="s">
        <v>914</v>
      </c>
      <c r="AA760" t="s">
        <v>903</v>
      </c>
      <c r="AB760" s="2" t="s">
        <v>921</v>
      </c>
      <c r="AC760" s="9" t="s">
        <v>1003</v>
      </c>
      <c r="AD760" s="9" t="s">
        <v>1004</v>
      </c>
      <c r="AE760" s="10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0" s="2" t="b">
        <v>0</v>
      </c>
      <c r="AY760"/>
      <c r="AZ760"/>
      <c r="BA760"/>
    </row>
    <row r="761" spans="1:53">
      <c r="A761" s="2" t="s">
        <v>797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324</v>
      </c>
      <c r="H761">
        <v>78</v>
      </c>
      <c r="I761">
        <v>8</v>
      </c>
      <c r="J761">
        <v>8</v>
      </c>
      <c r="K761" s="2" t="s">
        <v>478</v>
      </c>
      <c r="L761">
        <f>_xlfn.XLOOKUP("LOADINGSPEEDDEF_"&amp;PROPERTIES[[#This Row],[LOADINGSPEED]],LOADINGSPEEDDEF[TYPE],LOADINGSPEEDDEF[SPEED])</f>
        <v>16</v>
      </c>
      <c r="M761">
        <v>50</v>
      </c>
      <c r="N761"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>
        <v>25</v>
      </c>
      <c r="W761" s="9">
        <v>0</v>
      </c>
      <c r="X761" s="9">
        <v>0</v>
      </c>
      <c r="Y761" s="10">
        <v>0</v>
      </c>
      <c r="Z761" t="s">
        <v>914</v>
      </c>
      <c r="AA761" t="s">
        <v>903</v>
      </c>
      <c r="AB761" s="2" t="s">
        <v>921</v>
      </c>
      <c r="AC761" s="9" t="s">
        <v>1003</v>
      </c>
      <c r="AD761" s="9" t="s">
        <v>1004</v>
      </c>
      <c r="AE761" s="10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1" s="2" t="b">
        <v>0</v>
      </c>
      <c r="AY761"/>
      <c r="AZ761"/>
      <c r="BA761"/>
    </row>
    <row r="762" spans="1:53">
      <c r="A762" s="2" t="s">
        <v>798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324</v>
      </c>
      <c r="H762">
        <v>190</v>
      </c>
      <c r="I762">
        <v>8</v>
      </c>
      <c r="J762">
        <v>8</v>
      </c>
      <c r="K762" s="2" t="s">
        <v>23</v>
      </c>
      <c r="L762">
        <f>_xlfn.XLOOKUP("LOADINGSPEEDDEF_"&amp;PROPERTIES[[#This Row],[LOADINGSPEED]],LOADINGSPEEDDEF[TYPE],LOADINGSPEEDDEF[SPEED])</f>
        <v>40</v>
      </c>
      <c r="M762">
        <v>50</v>
      </c>
      <c r="N762"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>
        <v>25</v>
      </c>
      <c r="W762" s="9">
        <v>0</v>
      </c>
      <c r="X762" s="9">
        <v>0</v>
      </c>
      <c r="Y762" s="10">
        <v>0</v>
      </c>
      <c r="Z762" t="s">
        <v>914</v>
      </c>
      <c r="AA762" t="s">
        <v>903</v>
      </c>
      <c r="AB762" s="2" t="s">
        <v>921</v>
      </c>
      <c r="AC762" s="9" t="s">
        <v>1003</v>
      </c>
      <c r="AD762" s="9" t="s">
        <v>1004</v>
      </c>
      <c r="AE762" s="10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62" s="2" t="b">
        <v>0</v>
      </c>
      <c r="AY762"/>
      <c r="AZ762"/>
      <c r="BA762"/>
    </row>
    <row r="763" spans="1:53">
      <c r="A763" s="2" t="s">
        <v>799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672</v>
      </c>
      <c r="H763">
        <v>130</v>
      </c>
      <c r="I763">
        <v>8</v>
      </c>
      <c r="J763">
        <v>8</v>
      </c>
      <c r="K763" s="2" t="s">
        <v>673</v>
      </c>
      <c r="L763">
        <f>_xlfn.XLOOKUP("LOADINGSPEEDDEF_"&amp;PROPERTIES[[#This Row],[LOADINGSPEED]],LOADINGSPEEDDEF[TYPE],LOADINGSPEEDDEF[SPEED])</f>
        <v>15</v>
      </c>
      <c r="M763">
        <v>50</v>
      </c>
      <c r="N763">
        <v>1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>
        <v>25</v>
      </c>
      <c r="W763" s="9">
        <v>0</v>
      </c>
      <c r="X763" s="9">
        <v>0</v>
      </c>
      <c r="Y763" s="10">
        <v>0</v>
      </c>
      <c r="Z763" t="s">
        <v>914</v>
      </c>
      <c r="AA763" t="s">
        <v>903</v>
      </c>
      <c r="AB763" s="2" t="s">
        <v>921</v>
      </c>
      <c r="AC763" s="9" t="s">
        <v>1003</v>
      </c>
      <c r="AD763" s="9" t="s">
        <v>1004</v>
      </c>
      <c r="AE763" s="10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63" s="2" t="b">
        <v>0</v>
      </c>
      <c r="AY763"/>
      <c r="AZ763"/>
      <c r="BA763"/>
    </row>
    <row r="764" spans="1:53">
      <c r="A764" s="2" t="s">
        <v>800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324</v>
      </c>
      <c r="H764">
        <v>170</v>
      </c>
      <c r="I764">
        <v>8</v>
      </c>
      <c r="J764">
        <v>8</v>
      </c>
      <c r="K764" s="2" t="s">
        <v>478</v>
      </c>
      <c r="L764">
        <f>_xlfn.XLOOKUP("LOADINGSPEEDDEF_"&amp;PROPERTIES[[#This Row],[LOADINGSPEED]],LOADINGSPEEDDEF[TYPE],LOADINGSPEEDDEF[SPEED])</f>
        <v>16</v>
      </c>
      <c r="M764">
        <v>50</v>
      </c>
      <c r="N764"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>
        <v>25</v>
      </c>
      <c r="W764" s="9">
        <v>0</v>
      </c>
      <c r="X764" s="9">
        <v>0</v>
      </c>
      <c r="Y764" s="10">
        <v>0</v>
      </c>
      <c r="Z764" t="s">
        <v>913</v>
      </c>
      <c r="AA764" t="s">
        <v>912</v>
      </c>
      <c r="AB764" s="2" t="s">
        <v>921</v>
      </c>
      <c r="AC764" s="9" t="s">
        <v>1003</v>
      </c>
      <c r="AD764" s="9" t="s">
        <v>1004</v>
      </c>
      <c r="AE764" s="10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64" s="2" t="b">
        <v>0</v>
      </c>
      <c r="AY764"/>
      <c r="AZ764"/>
      <c r="BA764"/>
    </row>
    <row r="765" spans="1:53">
      <c r="A765" s="2" t="s">
        <v>801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324</v>
      </c>
      <c r="H765">
        <v>54</v>
      </c>
      <c r="I765">
        <v>8</v>
      </c>
      <c r="J765">
        <v>8</v>
      </c>
      <c r="K765" s="2" t="s">
        <v>478</v>
      </c>
      <c r="L765">
        <f>_xlfn.XLOOKUP("LOADINGSPEEDDEF_"&amp;PROPERTIES[[#This Row],[LOADINGSPEED]],LOADINGSPEEDDEF[TYPE],LOADINGSPEEDDEF[SPEED])</f>
        <v>16</v>
      </c>
      <c r="M765">
        <v>50</v>
      </c>
      <c r="N765"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>
        <v>25</v>
      </c>
      <c r="W765" s="9">
        <v>0</v>
      </c>
      <c r="X765" s="9">
        <v>0</v>
      </c>
      <c r="Y765" s="10">
        <v>0</v>
      </c>
      <c r="Z765" t="s">
        <v>913</v>
      </c>
      <c r="AA765" t="s">
        <v>912</v>
      </c>
      <c r="AB765" s="2" t="s">
        <v>921</v>
      </c>
      <c r="AC765" s="9" t="s">
        <v>1003</v>
      </c>
      <c r="AD765" s="9" t="s">
        <v>1004</v>
      </c>
      <c r="AE765" s="10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65" s="2" t="b">
        <v>0</v>
      </c>
      <c r="AY765"/>
      <c r="AZ765"/>
      <c r="BA765"/>
    </row>
    <row r="766" spans="1:53">
      <c r="A766" s="2" t="s">
        <v>802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324</v>
      </c>
      <c r="H766">
        <v>220</v>
      </c>
      <c r="I766">
        <v>8</v>
      </c>
      <c r="J766">
        <v>8</v>
      </c>
      <c r="K766" s="2" t="s">
        <v>478</v>
      </c>
      <c r="L766">
        <f>_xlfn.XLOOKUP("LOADINGSPEEDDEF_"&amp;PROPERTIES[[#This Row],[LOADINGSPEED]],LOADINGSPEEDDEF[TYPE],LOADINGSPEEDDEF[SPEED])</f>
        <v>16</v>
      </c>
      <c r="M766">
        <v>50</v>
      </c>
      <c r="N766"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>
        <v>25</v>
      </c>
      <c r="W766" s="9">
        <v>0</v>
      </c>
      <c r="X766" s="9">
        <v>0</v>
      </c>
      <c r="Y766" s="10">
        <v>0</v>
      </c>
      <c r="Z766" t="s">
        <v>913</v>
      </c>
      <c r="AA766" t="s">
        <v>912</v>
      </c>
      <c r="AB766" s="2" t="s">
        <v>921</v>
      </c>
      <c r="AC766" s="9" t="s">
        <v>1003</v>
      </c>
      <c r="AD766" s="9" t="s">
        <v>1004</v>
      </c>
      <c r="AE766" s="10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66" s="2" t="b">
        <v>0</v>
      </c>
      <c r="AY766"/>
      <c r="AZ766"/>
      <c r="BA766"/>
    </row>
    <row r="767" spans="1:53">
      <c r="A767" s="2" t="s">
        <v>803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672</v>
      </c>
      <c r="H767">
        <v>150</v>
      </c>
      <c r="I767">
        <v>8</v>
      </c>
      <c r="J767">
        <v>8</v>
      </c>
      <c r="K767" s="2" t="s">
        <v>673</v>
      </c>
      <c r="L767">
        <f>_xlfn.XLOOKUP("LOADINGSPEEDDEF_"&amp;PROPERTIES[[#This Row],[LOADINGSPEED]],LOADINGSPEEDDEF[TYPE],LOADINGSPEEDDEF[SPEED])</f>
        <v>15</v>
      </c>
      <c r="M767">
        <v>50</v>
      </c>
      <c r="N767">
        <v>1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>
        <v>25</v>
      </c>
      <c r="W767" s="9">
        <v>0</v>
      </c>
      <c r="X767" s="9">
        <v>0</v>
      </c>
      <c r="Y767" s="10">
        <v>0</v>
      </c>
      <c r="Z767" t="s">
        <v>913</v>
      </c>
      <c r="AA767" t="s">
        <v>912</v>
      </c>
      <c r="AB767" s="2" t="s">
        <v>921</v>
      </c>
      <c r="AC767" s="9" t="s">
        <v>1003</v>
      </c>
      <c r="AD767" s="9" t="s">
        <v>1004</v>
      </c>
      <c r="AE767" s="10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67" s="2" t="b">
        <v>0</v>
      </c>
      <c r="AY767"/>
      <c r="AZ767"/>
      <c r="BA767"/>
    </row>
    <row r="768" spans="1:53">
      <c r="A768" s="2" t="s">
        <v>804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324</v>
      </c>
      <c r="H768">
        <v>78</v>
      </c>
      <c r="I768">
        <v>8</v>
      </c>
      <c r="J768">
        <v>8</v>
      </c>
      <c r="K768" s="2" t="s">
        <v>478</v>
      </c>
      <c r="L768">
        <f>_xlfn.XLOOKUP("LOADINGSPEEDDEF_"&amp;PROPERTIES[[#This Row],[LOADINGSPEED]],LOADINGSPEEDDEF[TYPE],LOADINGSPEEDDEF[SPEED])</f>
        <v>16</v>
      </c>
      <c r="M768">
        <v>50</v>
      </c>
      <c r="N768"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>
        <v>25</v>
      </c>
      <c r="W768" s="9">
        <v>0</v>
      </c>
      <c r="X768" s="9">
        <v>0</v>
      </c>
      <c r="Y768" s="10">
        <v>0</v>
      </c>
      <c r="Z768" t="s">
        <v>916</v>
      </c>
      <c r="AA768" t="s">
        <v>906</v>
      </c>
      <c r="AB768" s="2" t="s">
        <v>921</v>
      </c>
      <c r="AC768" s="9" t="s">
        <v>1003</v>
      </c>
      <c r="AD768" s="9" t="s">
        <v>1004</v>
      </c>
      <c r="AE768" s="10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8" s="2" t="b">
        <v>0</v>
      </c>
      <c r="AY768"/>
      <c r="AZ768"/>
      <c r="BA768"/>
    </row>
    <row r="769" spans="1:53">
      <c r="A769" s="2" t="s">
        <v>805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324</v>
      </c>
      <c r="H769">
        <v>94</v>
      </c>
      <c r="I769">
        <v>8</v>
      </c>
      <c r="J769">
        <v>8</v>
      </c>
      <c r="K769" s="2" t="s">
        <v>478</v>
      </c>
      <c r="L769">
        <f>_xlfn.XLOOKUP("LOADINGSPEEDDEF_"&amp;PROPERTIES[[#This Row],[LOADINGSPEED]],LOADINGSPEEDDEF[TYPE],LOADINGSPEEDDEF[SPEED])</f>
        <v>16</v>
      </c>
      <c r="M769">
        <v>50</v>
      </c>
      <c r="N769"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>
        <v>25</v>
      </c>
      <c r="W769" s="9">
        <v>0</v>
      </c>
      <c r="X769" s="9">
        <v>0</v>
      </c>
      <c r="Y769" s="10">
        <v>0</v>
      </c>
      <c r="Z769" t="s">
        <v>916</v>
      </c>
      <c r="AA769" t="s">
        <v>906</v>
      </c>
      <c r="AB769" s="2" t="s">
        <v>921</v>
      </c>
      <c r="AC769" s="9" t="s">
        <v>1003</v>
      </c>
      <c r="AD769" s="9" t="s">
        <v>1004</v>
      </c>
      <c r="AE769" s="10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9" s="2" t="b">
        <v>0</v>
      </c>
      <c r="AY769"/>
      <c r="AZ769"/>
      <c r="BA769"/>
    </row>
    <row r="770" spans="1:53">
      <c r="A770" s="2" t="s">
        <v>806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324</v>
      </c>
      <c r="H770">
        <v>84</v>
      </c>
      <c r="I770">
        <v>8</v>
      </c>
      <c r="J770">
        <v>8</v>
      </c>
      <c r="K770" s="2" t="s">
        <v>478</v>
      </c>
      <c r="L770">
        <f>_xlfn.XLOOKUP("LOADINGSPEEDDEF_"&amp;PROPERTIES[[#This Row],[LOADINGSPEED]],LOADINGSPEEDDEF[TYPE],LOADINGSPEEDDEF[SPEED])</f>
        <v>16</v>
      </c>
      <c r="M770">
        <v>60</v>
      </c>
      <c r="N770"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>
        <v>25</v>
      </c>
      <c r="W770" s="9">
        <v>0</v>
      </c>
      <c r="X770" s="9">
        <v>0</v>
      </c>
      <c r="Y770" s="10">
        <v>0</v>
      </c>
      <c r="Z770" t="s">
        <v>916</v>
      </c>
      <c r="AA770" t="s">
        <v>906</v>
      </c>
      <c r="AB770" s="2" t="s">
        <v>921</v>
      </c>
      <c r="AC770" s="9" t="s">
        <v>1003</v>
      </c>
      <c r="AD770" s="9" t="s">
        <v>1004</v>
      </c>
      <c r="AE770" s="10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0" s="2" t="b">
        <v>0</v>
      </c>
      <c r="AY770"/>
      <c r="AZ770"/>
      <c r="BA770"/>
    </row>
    <row r="771" spans="1:53">
      <c r="A771" s="2" t="s">
        <v>807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324</v>
      </c>
      <c r="H771">
        <v>62</v>
      </c>
      <c r="I771">
        <v>8</v>
      </c>
      <c r="J771">
        <v>8</v>
      </c>
      <c r="K771" s="2" t="s">
        <v>478</v>
      </c>
      <c r="L771">
        <f>_xlfn.XLOOKUP("LOADINGSPEEDDEF_"&amp;PROPERTIES[[#This Row],[LOADINGSPEED]],LOADINGSPEEDDEF[TYPE],LOADINGSPEEDDEF[SPEED])</f>
        <v>16</v>
      </c>
      <c r="M771">
        <v>60</v>
      </c>
      <c r="N771"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>
        <v>25</v>
      </c>
      <c r="W771" s="9">
        <v>0</v>
      </c>
      <c r="X771" s="9">
        <v>0</v>
      </c>
      <c r="Y771" s="10">
        <v>0</v>
      </c>
      <c r="Z771" t="s">
        <v>916</v>
      </c>
      <c r="AA771" t="s">
        <v>906</v>
      </c>
      <c r="AB771" s="2" t="s">
        <v>921</v>
      </c>
      <c r="AC771" s="9" t="s">
        <v>1003</v>
      </c>
      <c r="AD771" s="9" t="s">
        <v>1004</v>
      </c>
      <c r="AE771" s="10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1" s="2" t="b">
        <v>0</v>
      </c>
      <c r="AY771"/>
      <c r="AZ771"/>
      <c r="BA771"/>
    </row>
    <row r="772" spans="1:53">
      <c r="A772" s="2" t="s">
        <v>808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324</v>
      </c>
      <c r="H772">
        <v>117</v>
      </c>
      <c r="I772">
        <v>8</v>
      </c>
      <c r="J772">
        <v>8</v>
      </c>
      <c r="K772" s="2" t="s">
        <v>23</v>
      </c>
      <c r="L772">
        <f>_xlfn.XLOOKUP("LOADINGSPEEDDEF_"&amp;PROPERTIES[[#This Row],[LOADINGSPEED]],LOADINGSPEEDDEF[TYPE],LOADINGSPEEDDEF[SPEED])</f>
        <v>40</v>
      </c>
      <c r="M772">
        <v>60</v>
      </c>
      <c r="N772"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>
        <v>25</v>
      </c>
      <c r="W772" s="9">
        <v>0</v>
      </c>
      <c r="X772" s="9">
        <v>0</v>
      </c>
      <c r="Y772" s="10">
        <v>0</v>
      </c>
      <c r="Z772" t="s">
        <v>916</v>
      </c>
      <c r="AA772" t="s">
        <v>906</v>
      </c>
      <c r="AB772" s="2" t="s">
        <v>921</v>
      </c>
      <c r="AC772" s="9" t="s">
        <v>1003</v>
      </c>
      <c r="AD772" s="9" t="s">
        <v>1004</v>
      </c>
      <c r="AE772" s="10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2" s="2" t="b">
        <v>0</v>
      </c>
      <c r="AY772"/>
      <c r="AZ772"/>
      <c r="BA772"/>
    </row>
    <row r="773" spans="1:53">
      <c r="A773" s="2" t="s">
        <v>809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324</v>
      </c>
      <c r="H773">
        <v>72</v>
      </c>
      <c r="I773">
        <v>8</v>
      </c>
      <c r="J773">
        <v>8</v>
      </c>
      <c r="K773" s="2" t="s">
        <v>478</v>
      </c>
      <c r="L773">
        <f>_xlfn.XLOOKUP("LOADINGSPEEDDEF_"&amp;PROPERTIES[[#This Row],[LOADINGSPEED]],LOADINGSPEEDDEF[TYPE],LOADINGSPEEDDEF[SPEED])</f>
        <v>16</v>
      </c>
      <c r="M773">
        <v>60</v>
      </c>
      <c r="N773"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>
        <v>25</v>
      </c>
      <c r="W773" s="9">
        <v>0</v>
      </c>
      <c r="X773" s="9">
        <v>0</v>
      </c>
      <c r="Y773" s="10">
        <v>0</v>
      </c>
      <c r="Z773" t="s">
        <v>916</v>
      </c>
      <c r="AA773" t="s">
        <v>906</v>
      </c>
      <c r="AB773" s="2" t="s">
        <v>921</v>
      </c>
      <c r="AC773" s="9" t="s">
        <v>1003</v>
      </c>
      <c r="AD773" s="9" t="s">
        <v>1004</v>
      </c>
      <c r="AE773" s="10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3" s="2" t="b">
        <v>0</v>
      </c>
      <c r="AY773"/>
      <c r="AZ773"/>
      <c r="BA773"/>
    </row>
    <row r="774" spans="1:53">
      <c r="A774" s="2" t="s">
        <v>810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672</v>
      </c>
      <c r="H774">
        <v>160</v>
      </c>
      <c r="I774">
        <v>8</v>
      </c>
      <c r="J774">
        <v>8</v>
      </c>
      <c r="K774" s="2" t="s">
        <v>673</v>
      </c>
      <c r="L774">
        <f>_xlfn.XLOOKUP("LOADINGSPEEDDEF_"&amp;PROPERTIES[[#This Row],[LOADINGSPEED]],LOADINGSPEEDDEF[TYPE],LOADINGSPEEDDEF[SPEED])</f>
        <v>15</v>
      </c>
      <c r="M774">
        <v>60</v>
      </c>
      <c r="N774">
        <v>1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>
        <v>25</v>
      </c>
      <c r="W774" s="9">
        <v>0</v>
      </c>
      <c r="X774" s="9">
        <v>0</v>
      </c>
      <c r="Y774" s="10">
        <v>0</v>
      </c>
      <c r="Z774" t="s">
        <v>916</v>
      </c>
      <c r="AA774" t="s">
        <v>906</v>
      </c>
      <c r="AB774" s="2" t="s">
        <v>921</v>
      </c>
      <c r="AC774" s="9" t="s">
        <v>1003</v>
      </c>
      <c r="AD774" s="9" t="s">
        <v>1004</v>
      </c>
      <c r="AE774" s="10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74" s="2" t="b">
        <v>0</v>
      </c>
      <c r="AY774"/>
      <c r="AZ774"/>
      <c r="BA774"/>
    </row>
    <row r="775" spans="1:53">
      <c r="A775" s="2" t="s">
        <v>811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324</v>
      </c>
      <c r="H775">
        <v>255</v>
      </c>
      <c r="I775">
        <v>8</v>
      </c>
      <c r="J775">
        <v>8</v>
      </c>
      <c r="K775" s="2" t="s">
        <v>478</v>
      </c>
      <c r="L775">
        <f>_xlfn.XLOOKUP("LOADINGSPEEDDEF_"&amp;PROPERTIES[[#This Row],[LOADINGSPEED]],LOADINGSPEEDDEF[TYPE],LOADINGSPEEDDEF[SPEED])</f>
        <v>16</v>
      </c>
      <c r="M775" t="s">
        <v>20</v>
      </c>
      <c r="N775"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>
        <v>25</v>
      </c>
      <c r="W775" s="9">
        <v>0</v>
      </c>
      <c r="X775" s="9">
        <v>0</v>
      </c>
      <c r="Y775" s="10">
        <v>0</v>
      </c>
      <c r="Z775" t="s">
        <v>916</v>
      </c>
      <c r="AA775" t="s">
        <v>906</v>
      </c>
      <c r="AB775" s="2" t="s">
        <v>921</v>
      </c>
      <c r="AC775" s="9" t="s">
        <v>1003</v>
      </c>
      <c r="AD775" s="9" t="s">
        <v>1004</v>
      </c>
      <c r="AE775" s="10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5" s="2" t="b">
        <v>0</v>
      </c>
      <c r="AY775"/>
      <c r="AZ775"/>
      <c r="BA775"/>
    </row>
    <row r="776" spans="1:53">
      <c r="A776" s="2" t="s">
        <v>812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324</v>
      </c>
      <c r="H776">
        <v>80</v>
      </c>
      <c r="I776">
        <v>8</v>
      </c>
      <c r="J776">
        <v>8</v>
      </c>
      <c r="K776" s="2" t="s">
        <v>478</v>
      </c>
      <c r="L776">
        <f>_xlfn.XLOOKUP("LOADINGSPEEDDEF_"&amp;PROPERTIES[[#This Row],[LOADINGSPEED]],LOADINGSPEEDDEF[TYPE],LOADINGSPEEDDEF[SPEED])</f>
        <v>16</v>
      </c>
      <c r="M776" t="s">
        <v>20</v>
      </c>
      <c r="N776"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>
        <v>25</v>
      </c>
      <c r="W776" s="9">
        <v>0</v>
      </c>
      <c r="X776" s="9">
        <v>0</v>
      </c>
      <c r="Y776" s="10">
        <v>0</v>
      </c>
      <c r="Z776" t="s">
        <v>917</v>
      </c>
      <c r="AA776" t="s">
        <v>903</v>
      </c>
      <c r="AB776" s="2" t="s">
        <v>921</v>
      </c>
      <c r="AC776" s="9" t="s">
        <v>1003</v>
      </c>
      <c r="AD776" s="9" t="s">
        <v>1004</v>
      </c>
      <c r="AE776" s="10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76" s="2" t="b">
        <v>0</v>
      </c>
      <c r="AY776"/>
      <c r="AZ776"/>
      <c r="BA776"/>
    </row>
    <row r="777" spans="1:53">
      <c r="A777" s="2" t="s">
        <v>813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324</v>
      </c>
      <c r="H777">
        <v>160</v>
      </c>
      <c r="I777">
        <v>8</v>
      </c>
      <c r="J777">
        <v>8</v>
      </c>
      <c r="K777" s="2" t="s">
        <v>478</v>
      </c>
      <c r="L777">
        <f>_xlfn.XLOOKUP("LOADINGSPEEDDEF_"&amp;PROPERTIES[[#This Row],[LOADINGSPEED]],LOADINGSPEEDDEF[TYPE],LOADINGSPEEDDEF[SPEED])</f>
        <v>16</v>
      </c>
      <c r="M777" t="s">
        <v>20</v>
      </c>
      <c r="N777"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>
        <v>25</v>
      </c>
      <c r="W777" s="9">
        <v>0</v>
      </c>
      <c r="X777" s="9">
        <v>0</v>
      </c>
      <c r="Y777" s="10">
        <v>0</v>
      </c>
      <c r="Z777" t="s">
        <v>917</v>
      </c>
      <c r="AA777" t="s">
        <v>903</v>
      </c>
      <c r="AB777" s="2" t="s">
        <v>921</v>
      </c>
      <c r="AC777" s="9" t="s">
        <v>1003</v>
      </c>
      <c r="AD777" s="9" t="s">
        <v>1004</v>
      </c>
      <c r="AE777" s="10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7" s="2" t="b">
        <v>0</v>
      </c>
      <c r="AY777"/>
      <c r="AZ777"/>
      <c r="BA777"/>
    </row>
    <row r="778" spans="1:53">
      <c r="A778" s="2" t="s">
        <v>814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324</v>
      </c>
      <c r="H778">
        <v>220</v>
      </c>
      <c r="I778">
        <v>8</v>
      </c>
      <c r="J778">
        <v>8</v>
      </c>
      <c r="K778" s="2" t="s">
        <v>23</v>
      </c>
      <c r="L778">
        <f>_xlfn.XLOOKUP("LOADINGSPEEDDEF_"&amp;PROPERTIES[[#This Row],[LOADINGSPEED]],LOADINGSPEEDDEF[TYPE],LOADINGSPEEDDEF[SPEED])</f>
        <v>40</v>
      </c>
      <c r="M778" t="s">
        <v>20</v>
      </c>
      <c r="N778"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>
        <v>25</v>
      </c>
      <c r="W778" s="9">
        <v>0</v>
      </c>
      <c r="X778" s="9">
        <v>0</v>
      </c>
      <c r="Y778" s="10">
        <v>0</v>
      </c>
      <c r="Z778" t="s">
        <v>917</v>
      </c>
      <c r="AA778" t="s">
        <v>903</v>
      </c>
      <c r="AB778" s="2" t="s">
        <v>921</v>
      </c>
      <c r="AC778" s="9" t="s">
        <v>1003</v>
      </c>
      <c r="AD778" s="9" t="s">
        <v>1004</v>
      </c>
      <c r="AE778" s="10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8" s="2" t="b">
        <v>0</v>
      </c>
      <c r="AY778"/>
      <c r="AZ778"/>
      <c r="BA778"/>
    </row>
    <row r="779" spans="1:53">
      <c r="A779" s="2" t="s">
        <v>815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324</v>
      </c>
      <c r="H779">
        <v>255</v>
      </c>
      <c r="I779">
        <v>8</v>
      </c>
      <c r="J779">
        <v>8</v>
      </c>
      <c r="K779" s="2" t="s">
        <v>478</v>
      </c>
      <c r="L779">
        <f>_xlfn.XLOOKUP("LOADINGSPEEDDEF_"&amp;PROPERTIES[[#This Row],[LOADINGSPEED]],LOADINGSPEEDDEF[TYPE],LOADINGSPEEDDEF[SPEED])</f>
        <v>16</v>
      </c>
      <c r="M779" t="s">
        <v>20</v>
      </c>
      <c r="N779"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>
        <v>25</v>
      </c>
      <c r="W779" s="9">
        <v>0</v>
      </c>
      <c r="X779" s="9">
        <v>0</v>
      </c>
      <c r="Y779" s="10">
        <v>0</v>
      </c>
      <c r="Z779" t="s">
        <v>917</v>
      </c>
      <c r="AA779" t="s">
        <v>903</v>
      </c>
      <c r="AB779" s="2" t="s">
        <v>921</v>
      </c>
      <c r="AC779" s="9" t="s">
        <v>1003</v>
      </c>
      <c r="AD779" s="9" t="s">
        <v>1004</v>
      </c>
      <c r="AE779" s="10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9" s="2" t="b">
        <v>0</v>
      </c>
      <c r="AY779"/>
      <c r="AZ779"/>
      <c r="BA779"/>
    </row>
    <row r="780" spans="1:53">
      <c r="A780" s="2" t="s">
        <v>816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324</v>
      </c>
      <c r="H780">
        <v>140</v>
      </c>
      <c r="I780">
        <v>8</v>
      </c>
      <c r="J780">
        <v>8</v>
      </c>
      <c r="K780" s="2" t="s">
        <v>478</v>
      </c>
      <c r="L780">
        <f>_xlfn.XLOOKUP("LOADINGSPEEDDEF_"&amp;PROPERTIES[[#This Row],[LOADINGSPEED]],LOADINGSPEEDDEF[TYPE],LOADINGSPEEDDEF[SPEED])</f>
        <v>16</v>
      </c>
      <c r="M780" t="s">
        <v>20</v>
      </c>
      <c r="N780"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>
        <v>25</v>
      </c>
      <c r="W780" s="9">
        <v>0</v>
      </c>
      <c r="X780" s="9">
        <v>0</v>
      </c>
      <c r="Y780" s="10">
        <v>0</v>
      </c>
      <c r="Z780" t="s">
        <v>917</v>
      </c>
      <c r="AA780" t="s">
        <v>903</v>
      </c>
      <c r="AB780" s="2" t="s">
        <v>921</v>
      </c>
      <c r="AC780" s="9" t="s">
        <v>1003</v>
      </c>
      <c r="AD780" s="9" t="s">
        <v>1004</v>
      </c>
      <c r="AE780" s="10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0" s="2" t="b">
        <v>0</v>
      </c>
      <c r="AY780"/>
      <c r="AZ780"/>
      <c r="BA780"/>
    </row>
    <row r="781" spans="1:53">
      <c r="A781" s="2" t="s">
        <v>817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672</v>
      </c>
      <c r="H781">
        <v>180</v>
      </c>
      <c r="I781">
        <v>8</v>
      </c>
      <c r="J781">
        <v>8</v>
      </c>
      <c r="K781" s="2" t="s">
        <v>673</v>
      </c>
      <c r="L781">
        <f>_xlfn.XLOOKUP("LOADINGSPEEDDEF_"&amp;PROPERTIES[[#This Row],[LOADINGSPEED]],LOADINGSPEEDDEF[TYPE],LOADINGSPEEDDEF[SPEED])</f>
        <v>15</v>
      </c>
      <c r="M781" t="s">
        <v>20</v>
      </c>
      <c r="N781">
        <v>1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>
        <v>25</v>
      </c>
      <c r="W781" s="9">
        <v>0</v>
      </c>
      <c r="X781" s="9">
        <v>0</v>
      </c>
      <c r="Y781" s="10">
        <v>0</v>
      </c>
      <c r="Z781" t="s">
        <v>917</v>
      </c>
      <c r="AA781" t="s">
        <v>903</v>
      </c>
      <c r="AB781" s="2" t="s">
        <v>921</v>
      </c>
      <c r="AC781" s="9" t="s">
        <v>1003</v>
      </c>
      <c r="AD781" s="9" t="s">
        <v>1004</v>
      </c>
      <c r="AE781" s="10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1" s="2" t="b">
        <v>0</v>
      </c>
      <c r="AY781"/>
      <c r="AZ781"/>
      <c r="BA781"/>
    </row>
    <row r="782" spans="1:53">
      <c r="A782" s="2" t="s">
        <v>818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324</v>
      </c>
      <c r="H782">
        <v>40</v>
      </c>
      <c r="I782">
        <v>6</v>
      </c>
      <c r="J782">
        <v>6</v>
      </c>
      <c r="K782" s="2" t="s">
        <v>23</v>
      </c>
      <c r="L782">
        <f>_xlfn.XLOOKUP("LOADINGSPEEDDEF_"&amp;PROPERTIES[[#This Row],[LOADINGSPEED]],LOADINGSPEEDDEF[TYPE],LOADINGSPEEDDEF[SPEED])</f>
        <v>40</v>
      </c>
      <c r="M782" t="s">
        <v>20</v>
      </c>
      <c r="N782"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>
        <v>25</v>
      </c>
      <c r="W782" s="9">
        <v>0</v>
      </c>
      <c r="X782" s="9">
        <v>0</v>
      </c>
      <c r="Y782" s="10">
        <v>0</v>
      </c>
      <c r="Z782" t="s">
        <v>917</v>
      </c>
      <c r="AA782" t="s">
        <v>903</v>
      </c>
      <c r="AB782" s="2" t="s">
        <v>921</v>
      </c>
      <c r="AC782" s="9" t="s">
        <v>1003</v>
      </c>
      <c r="AD782" s="9" t="s">
        <v>1004</v>
      </c>
      <c r="AE782" s="10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2" s="2" t="b">
        <v>0</v>
      </c>
      <c r="AY782"/>
      <c r="AZ782"/>
      <c r="BA782"/>
    </row>
    <row r="783" spans="1:53">
      <c r="A783" s="2" t="s">
        <v>819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672</v>
      </c>
      <c r="H783">
        <v>60</v>
      </c>
      <c r="I783">
        <v>6</v>
      </c>
      <c r="J783">
        <v>6</v>
      </c>
      <c r="K783" s="2" t="s">
        <v>673</v>
      </c>
      <c r="L783">
        <f>_xlfn.XLOOKUP("LOADINGSPEEDDEF_"&amp;PROPERTIES[[#This Row],[LOADINGSPEED]],LOADINGSPEEDDEF[TYPE],LOADINGSPEEDDEF[SPEED])</f>
        <v>15</v>
      </c>
      <c r="M783" t="s">
        <v>20</v>
      </c>
      <c r="N783">
        <v>1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>
        <v>25</v>
      </c>
      <c r="W783" s="9">
        <v>0</v>
      </c>
      <c r="X783" s="9">
        <v>0</v>
      </c>
      <c r="Y783" s="10">
        <v>0</v>
      </c>
      <c r="Z783" t="s">
        <v>917</v>
      </c>
      <c r="AA783" t="s">
        <v>903</v>
      </c>
      <c r="AB783" s="2" t="s">
        <v>921</v>
      </c>
      <c r="AC783" s="9" t="s">
        <v>1003</v>
      </c>
      <c r="AD783" s="9" t="s">
        <v>1004</v>
      </c>
      <c r="AE783" s="10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3" s="2" t="b">
        <v>0</v>
      </c>
      <c r="AY783"/>
      <c r="AZ783"/>
      <c r="BA783"/>
    </row>
    <row r="784" spans="1:53">
      <c r="A784" s="2" t="s">
        <v>820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324</v>
      </c>
      <c r="H784">
        <v>64</v>
      </c>
      <c r="I784">
        <v>8</v>
      </c>
      <c r="J784">
        <v>8</v>
      </c>
      <c r="K784" s="2" t="s">
        <v>478</v>
      </c>
      <c r="L784">
        <f>_xlfn.XLOOKUP("LOADINGSPEEDDEF_"&amp;PROPERTIES[[#This Row],[LOADINGSPEED]],LOADINGSPEEDDEF[TYPE],LOADINGSPEEDDEF[SPEED])</f>
        <v>16</v>
      </c>
      <c r="M784" t="s">
        <v>20</v>
      </c>
      <c r="N784"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>
        <v>25</v>
      </c>
      <c r="W784" s="9">
        <v>0</v>
      </c>
      <c r="X784" s="9">
        <v>0</v>
      </c>
      <c r="Y784" s="10">
        <v>0</v>
      </c>
      <c r="Z784" t="s">
        <v>917</v>
      </c>
      <c r="AA784" t="s">
        <v>903</v>
      </c>
      <c r="AB784" s="2" t="s">
        <v>921</v>
      </c>
      <c r="AC784" s="9" t="s">
        <v>1003</v>
      </c>
      <c r="AD784" s="9" t="s">
        <v>1004</v>
      </c>
      <c r="AE784" s="10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4" s="2" t="b">
        <v>0</v>
      </c>
      <c r="AY784"/>
      <c r="AZ784"/>
      <c r="BA784"/>
    </row>
    <row r="785" spans="1:53">
      <c r="A785" s="2" t="s">
        <v>821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324</v>
      </c>
      <c r="H785">
        <v>255</v>
      </c>
      <c r="I785">
        <v>8</v>
      </c>
      <c r="J785">
        <v>8</v>
      </c>
      <c r="K785" s="2" t="s">
        <v>478</v>
      </c>
      <c r="L785">
        <f>_xlfn.XLOOKUP("LOADINGSPEEDDEF_"&amp;PROPERTIES[[#This Row],[LOADINGSPEED]],LOADINGSPEEDDEF[TYPE],LOADINGSPEEDDEF[SPEED])</f>
        <v>16</v>
      </c>
      <c r="M785" t="s">
        <v>20</v>
      </c>
      <c r="N785"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>
        <v>25</v>
      </c>
      <c r="W785" s="9">
        <v>0</v>
      </c>
      <c r="X785" s="9">
        <v>0</v>
      </c>
      <c r="Y785" s="10">
        <v>0</v>
      </c>
      <c r="Z785" t="s">
        <v>917</v>
      </c>
      <c r="AA785" t="s">
        <v>903</v>
      </c>
      <c r="AB785" s="2" t="s">
        <v>921</v>
      </c>
      <c r="AC785" s="9" t="s">
        <v>1003</v>
      </c>
      <c r="AD785" s="9" t="s">
        <v>1004</v>
      </c>
      <c r="AE785" s="10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5" s="2" t="b">
        <v>0</v>
      </c>
      <c r="AY785"/>
      <c r="AZ785"/>
      <c r="BA785"/>
    </row>
    <row r="786" spans="1:53">
      <c r="A786" s="2" t="s">
        <v>822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324</v>
      </c>
      <c r="H786">
        <v>255</v>
      </c>
      <c r="I786">
        <v>8</v>
      </c>
      <c r="J786">
        <v>8</v>
      </c>
      <c r="K786" s="2" t="s">
        <v>23</v>
      </c>
      <c r="L786">
        <f>_xlfn.XLOOKUP("LOADINGSPEEDDEF_"&amp;PROPERTIES[[#This Row],[LOADINGSPEED]],LOADINGSPEEDDEF[TYPE],LOADINGSPEEDDEF[SPEED])</f>
        <v>40</v>
      </c>
      <c r="M786" t="s">
        <v>20</v>
      </c>
      <c r="N786"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>
        <v>25</v>
      </c>
      <c r="W786" s="9">
        <v>0</v>
      </c>
      <c r="X786" s="9">
        <v>0</v>
      </c>
      <c r="Y786" s="10">
        <v>0</v>
      </c>
      <c r="Z786" t="s">
        <v>917</v>
      </c>
      <c r="AA786" t="s">
        <v>903</v>
      </c>
      <c r="AB786" s="2" t="s">
        <v>921</v>
      </c>
      <c r="AC786" s="9" t="s">
        <v>1003</v>
      </c>
      <c r="AD786" s="9" t="s">
        <v>1004</v>
      </c>
      <c r="AE786" s="10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86" s="2" t="b">
        <v>0</v>
      </c>
      <c r="AY786"/>
      <c r="AZ786"/>
      <c r="BA786"/>
    </row>
    <row r="787" spans="1:53">
      <c r="A787" s="2" t="s">
        <v>823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672</v>
      </c>
      <c r="H787">
        <v>255</v>
      </c>
      <c r="I787">
        <v>8</v>
      </c>
      <c r="J787">
        <v>8</v>
      </c>
      <c r="K787" s="2" t="s">
        <v>673</v>
      </c>
      <c r="L787">
        <f>_xlfn.XLOOKUP("LOADINGSPEEDDEF_"&amp;PROPERTIES[[#This Row],[LOADINGSPEED]],LOADINGSPEEDDEF[TYPE],LOADINGSPEEDDEF[SPEED])</f>
        <v>15</v>
      </c>
      <c r="M787" t="s">
        <v>20</v>
      </c>
      <c r="N787">
        <v>1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>
        <v>25</v>
      </c>
      <c r="W787" s="9">
        <v>0</v>
      </c>
      <c r="X787" s="9">
        <v>0</v>
      </c>
      <c r="Y787" s="10">
        <v>0</v>
      </c>
      <c r="Z787" t="s">
        <v>917</v>
      </c>
      <c r="AA787" t="s">
        <v>903</v>
      </c>
      <c r="AB787" s="2" t="s">
        <v>921</v>
      </c>
      <c r="AC787" s="9" t="s">
        <v>1003</v>
      </c>
      <c r="AD787" s="9" t="s">
        <v>1004</v>
      </c>
      <c r="AE787" s="10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7" s="2" t="b">
        <v>0</v>
      </c>
      <c r="AY787"/>
      <c r="AZ787"/>
      <c r="BA787"/>
    </row>
    <row r="788" spans="1:53">
      <c r="A788" s="2" t="s">
        <v>824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324</v>
      </c>
      <c r="H788">
        <v>255</v>
      </c>
      <c r="I788">
        <v>8</v>
      </c>
      <c r="J788">
        <v>8</v>
      </c>
      <c r="K788" s="2" t="s">
        <v>478</v>
      </c>
      <c r="L788">
        <f>_xlfn.XLOOKUP("LOADINGSPEEDDEF_"&amp;PROPERTIES[[#This Row],[LOADINGSPEED]],LOADINGSPEEDDEF[TYPE],LOADINGSPEEDDEF[SPEED])</f>
        <v>16</v>
      </c>
      <c r="M788" t="s">
        <v>20</v>
      </c>
      <c r="N788"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>
        <v>25</v>
      </c>
      <c r="W788" s="9">
        <v>0</v>
      </c>
      <c r="X788" s="9">
        <v>0</v>
      </c>
      <c r="Y788" s="10">
        <v>0</v>
      </c>
      <c r="Z788" t="s">
        <v>917</v>
      </c>
      <c r="AA788" t="s">
        <v>903</v>
      </c>
      <c r="AB788" s="2" t="s">
        <v>921</v>
      </c>
      <c r="AC788" s="9" t="s">
        <v>1003</v>
      </c>
      <c r="AD788" s="9" t="s">
        <v>1004</v>
      </c>
      <c r="AE788" s="10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8" s="2" t="b">
        <v>0</v>
      </c>
      <c r="AY788"/>
      <c r="AZ788"/>
      <c r="BA788"/>
    </row>
    <row r="789" spans="1:53">
      <c r="A789" s="2" t="s">
        <v>825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324</v>
      </c>
      <c r="H789">
        <v>120</v>
      </c>
      <c r="I789">
        <v>8</v>
      </c>
      <c r="J789">
        <v>8</v>
      </c>
      <c r="K789" s="2" t="s">
        <v>478</v>
      </c>
      <c r="L789">
        <f>_xlfn.XLOOKUP("LOADINGSPEEDDEF_"&amp;PROPERTIES[[#This Row],[LOADINGSPEED]],LOADINGSPEEDDEF[TYPE],LOADINGSPEEDDEF[SPEED])</f>
        <v>16</v>
      </c>
      <c r="M789" t="s">
        <v>20</v>
      </c>
      <c r="N789"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>
        <v>25</v>
      </c>
      <c r="W789" s="9">
        <v>0</v>
      </c>
      <c r="X789" s="9">
        <v>0</v>
      </c>
      <c r="Y789" s="10">
        <v>0</v>
      </c>
      <c r="Z789" t="s">
        <v>917</v>
      </c>
      <c r="AA789" t="s">
        <v>903</v>
      </c>
      <c r="AB789" s="2" t="s">
        <v>921</v>
      </c>
      <c r="AC789" s="9" t="s">
        <v>1003</v>
      </c>
      <c r="AD789" s="9" t="s">
        <v>1004</v>
      </c>
      <c r="AE789" s="10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9" s="2" t="b">
        <v>0</v>
      </c>
      <c r="AY789"/>
      <c r="AZ789"/>
      <c r="BA789"/>
    </row>
    <row r="790" spans="1:53">
      <c r="A790" s="2" t="s">
        <v>1744</v>
      </c>
      <c r="B790">
        <v>1978</v>
      </c>
      <c r="C790">
        <v>0</v>
      </c>
      <c r="D790" t="s">
        <v>2254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>
        <v>8</v>
      </c>
      <c r="K790" s="2" t="s">
        <v>19</v>
      </c>
      <c r="L790">
        <f>_xlfn.XLOOKUP("LOADINGSPEEDDEF_"&amp;PROPERTIES[[#This Row],[LOADINGSPEED]],LOADINGSPEEDDEF[TYPE],LOADINGSPEEDDEF[SPEED])</f>
        <v>0</v>
      </c>
      <c r="M790">
        <v>45</v>
      </c>
      <c r="N790">
        <v>1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>
        <v>25</v>
      </c>
      <c r="W790" s="9">
        <v>0</v>
      </c>
      <c r="X790" s="9">
        <v>0</v>
      </c>
      <c r="Y790" s="10">
        <v>0</v>
      </c>
      <c r="Z790" t="s">
        <v>907</v>
      </c>
      <c r="AA790" t="s">
        <v>903</v>
      </c>
      <c r="AB790" s="2" t="s">
        <v>921</v>
      </c>
      <c r="AC790" s="9" t="s">
        <v>987</v>
      </c>
      <c r="AD790" s="9" t="s">
        <v>988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0" s="2" t="b">
        <v>0</v>
      </c>
      <c r="AX790" s="9"/>
      <c r="AY790" s="10"/>
      <c r="AZ790" s="11"/>
      <c r="BA790"/>
    </row>
    <row r="791" spans="1:53">
      <c r="A791" s="2" t="s">
        <v>1746</v>
      </c>
      <c r="B791">
        <v>1917</v>
      </c>
      <c r="C791">
        <v>0</v>
      </c>
      <c r="D791" t="s">
        <v>1790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>
        <v>12</v>
      </c>
      <c r="K791" s="2" t="s">
        <v>19</v>
      </c>
      <c r="L791">
        <f>_xlfn.XLOOKUP("LOADINGSPEEDDEF_"&amp;PROPERTIES[[#This Row],[LOADINGSPEED]],LOADINGSPEEDDEF[TYPE],LOADINGSPEEDDEF[SPEED])</f>
        <v>0</v>
      </c>
      <c r="M791">
        <v>45</v>
      </c>
      <c r="N791">
        <v>1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>
        <v>40</v>
      </c>
      <c r="W791" s="9">
        <v>0</v>
      </c>
      <c r="X791" s="9">
        <v>5</v>
      </c>
      <c r="Y791" s="10">
        <v>0</v>
      </c>
      <c r="Z791" t="s">
        <v>907</v>
      </c>
      <c r="AA791" t="s">
        <v>903</v>
      </c>
      <c r="AB791" s="2" t="s">
        <v>921</v>
      </c>
      <c r="AC791" s="9" t="s">
        <v>985</v>
      </c>
      <c r="AD791" s="9" t="s">
        <v>986</v>
      </c>
      <c r="AE791" s="10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91" s="2" t="b">
        <v>0</v>
      </c>
      <c r="AX791" s="9"/>
      <c r="AY791" s="10"/>
      <c r="AZ791" s="11"/>
      <c r="BA791"/>
    </row>
    <row r="792" spans="1:53">
      <c r="A792" s="2" t="s">
        <v>2795</v>
      </c>
      <c r="B792">
        <v>2003</v>
      </c>
      <c r="C792">
        <v>1</v>
      </c>
      <c r="D792" t="s">
        <v>1863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531</v>
      </c>
      <c r="H792">
        <v>60</v>
      </c>
      <c r="I792">
        <v>8</v>
      </c>
      <c r="J792">
        <v>8</v>
      </c>
      <c r="K792" s="2" t="s">
        <v>32</v>
      </c>
      <c r="L792">
        <f>_xlfn.XLOOKUP("LOADINGSPEEDDEF_"&amp;PROPERTIES[[#This Row],[LOADINGSPEED]],LOADINGSPEEDDEF[TYPE],LOADINGSPEEDDEF[SPEED])</f>
        <v>20</v>
      </c>
      <c r="M792" t="s">
        <v>20</v>
      </c>
      <c r="N792"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>
        <v>25</v>
      </c>
      <c r="W792" s="9">
        <v>60</v>
      </c>
      <c r="X792" s="9">
        <v>8</v>
      </c>
      <c r="Y792" s="10">
        <v>0</v>
      </c>
      <c r="Z792" t="s">
        <v>912</v>
      </c>
      <c r="AA792" t="s">
        <v>903</v>
      </c>
      <c r="AB792" s="2" t="s">
        <v>921</v>
      </c>
      <c r="AC792" s="9" t="s">
        <v>995</v>
      </c>
      <c r="AD792" s="9" t="s">
        <v>996</v>
      </c>
      <c r="AE792" s="10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792" s="10" t="b">
        <v>0</v>
      </c>
    </row>
    <row r="793" spans="1:53">
      <c r="A793" s="2" t="s">
        <v>2939</v>
      </c>
      <c r="B793">
        <v>1880</v>
      </c>
      <c r="C793">
        <v>0</v>
      </c>
      <c r="D793" t="s">
        <v>1807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>
        <v>6</v>
      </c>
      <c r="K793" s="2" t="s">
        <v>23</v>
      </c>
      <c r="L793">
        <f>_xlfn.XLOOKUP("LOADINGSPEEDDEF_"&amp;PROPERTIES[[#This Row],[LOADINGSPEED]],LOADINGSPEEDDEF[TYPE],LOADINGSPEEDDEF[SPEED])</f>
        <v>40</v>
      </c>
      <c r="M793">
        <v>45</v>
      </c>
      <c r="N793"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>
        <v>15</v>
      </c>
      <c r="W793" s="9">
        <v>0</v>
      </c>
      <c r="X793" s="9">
        <v>0</v>
      </c>
      <c r="Y793" s="10">
        <v>0</v>
      </c>
      <c r="Z793" t="s">
        <v>904</v>
      </c>
      <c r="AA793" t="s">
        <v>908</v>
      </c>
      <c r="AB793" s="2" t="s">
        <v>921</v>
      </c>
      <c r="AC793" s="9" t="s">
        <v>979</v>
      </c>
      <c r="AD793" s="9" t="s">
        <v>980</v>
      </c>
      <c r="AE793" s="10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93" s="2" t="b">
        <v>0</v>
      </c>
    </row>
    <row r="794" spans="1:53">
      <c r="A794" s="2" t="s">
        <v>2941</v>
      </c>
      <c r="B794">
        <v>1905</v>
      </c>
      <c r="C794">
        <v>0</v>
      </c>
      <c r="D794" t="s">
        <v>1762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>
        <v>5</v>
      </c>
      <c r="K794" s="2" t="s">
        <v>23</v>
      </c>
      <c r="L794">
        <f>_xlfn.XLOOKUP("LOADINGSPEEDDEF_"&amp;PROPERTIES[[#This Row],[LOADINGSPEED]],LOADINGSPEEDDEF[TYPE],LOADINGSPEEDDEF[SPEED])</f>
        <v>40</v>
      </c>
      <c r="M794">
        <v>45</v>
      </c>
      <c r="N794"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>
        <v>15</v>
      </c>
      <c r="W794" s="37">
        <v>0</v>
      </c>
      <c r="X794" s="9">
        <v>0</v>
      </c>
      <c r="Y794" s="10">
        <v>0</v>
      </c>
      <c r="Z794" s="9" t="s">
        <v>904</v>
      </c>
      <c r="AA794" s="10" t="s">
        <v>903</v>
      </c>
      <c r="AB794" s="10" t="s">
        <v>921</v>
      </c>
      <c r="AC794" s="9" t="s">
        <v>979</v>
      </c>
      <c r="AD794" s="9" t="s">
        <v>980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94" s="10" t="b">
        <v>0</v>
      </c>
    </row>
    <row r="795" spans="1:53">
      <c r="A795" t="s">
        <v>2943</v>
      </c>
      <c r="B795">
        <v>1923</v>
      </c>
      <c r="C795">
        <v>0</v>
      </c>
      <c r="D795" t="s">
        <v>1908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>
        <v>11</v>
      </c>
      <c r="K795" s="2" t="s">
        <v>19</v>
      </c>
      <c r="L795">
        <f>_xlfn.XLOOKUP("LOADINGSPEEDDEF_"&amp;PROPERTIES[[#This Row],[LOADINGSPEED]],LOADINGSPEEDDEF[TYPE],LOADINGSPEEDDEF[SPEED])</f>
        <v>0</v>
      </c>
      <c r="M795">
        <v>45</v>
      </c>
      <c r="N795">
        <v>1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>
        <v>40</v>
      </c>
      <c r="W795" s="9">
        <v>0</v>
      </c>
      <c r="X795" s="9">
        <v>5</v>
      </c>
      <c r="Y795" s="10">
        <v>0</v>
      </c>
      <c r="Z795" t="s">
        <v>907</v>
      </c>
      <c r="AA795" t="s">
        <v>903</v>
      </c>
      <c r="AB795" s="2" t="s">
        <v>921</v>
      </c>
      <c r="AC795" s="9" t="s">
        <v>985</v>
      </c>
      <c r="AD795" s="9" t="s">
        <v>986</v>
      </c>
      <c r="AE795" s="10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5" s="2" t="b">
        <v>0</v>
      </c>
    </row>
    <row r="796" spans="1:53">
      <c r="A796" t="s">
        <v>2945</v>
      </c>
      <c r="B796">
        <v>1930</v>
      </c>
      <c r="C796">
        <v>0</v>
      </c>
      <c r="D796" t="s">
        <v>1794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>
        <v>11</v>
      </c>
      <c r="K796" s="2" t="s">
        <v>19</v>
      </c>
      <c r="L796">
        <f>_xlfn.XLOOKUP("LOADINGSPEEDDEF_"&amp;PROPERTIES[[#This Row],[LOADINGSPEED]],LOADINGSPEEDDEF[TYPE],LOADINGSPEEDDEF[SPEED])</f>
        <v>0</v>
      </c>
      <c r="M796">
        <v>45</v>
      </c>
      <c r="N796">
        <v>1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38">
        <v>40</v>
      </c>
      <c r="W796" s="11">
        <v>0</v>
      </c>
      <c r="X796" s="9">
        <v>4</v>
      </c>
      <c r="Y796" s="10">
        <v>0</v>
      </c>
      <c r="Z796" s="9" t="s">
        <v>907</v>
      </c>
      <c r="AA796" s="10" t="s">
        <v>903</v>
      </c>
      <c r="AB796" s="10" t="s">
        <v>921</v>
      </c>
      <c r="AC796" s="9" t="s">
        <v>985</v>
      </c>
      <c r="AD796" s="9" t="s">
        <v>986</v>
      </c>
      <c r="AE796" s="10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96" s="2" t="b">
        <v>0</v>
      </c>
    </row>
    <row r="797" spans="1:53">
      <c r="A797" t="s">
        <v>2959</v>
      </c>
      <c r="B797">
        <v>1959</v>
      </c>
      <c r="C797">
        <v>0</v>
      </c>
      <c r="D797" t="s">
        <v>1831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>
        <v>8</v>
      </c>
      <c r="K797" s="2" t="s">
        <v>19</v>
      </c>
      <c r="L797">
        <f>_xlfn.XLOOKUP("LOADINGSPEEDDEF_"&amp;PROPERTIES[[#This Row],[LOADINGSPEED]],LOADINGSPEEDDEF[TYPE],LOADINGSPEEDDEF[SPEED])</f>
        <v>0</v>
      </c>
      <c r="M797">
        <v>45</v>
      </c>
      <c r="N797">
        <v>1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40">
        <v>40</v>
      </c>
      <c r="W797" s="41">
        <v>0</v>
      </c>
      <c r="X797" s="41">
        <v>0</v>
      </c>
      <c r="Y797" s="42">
        <v>0</v>
      </c>
      <c r="Z797" s="23" t="s">
        <v>907</v>
      </c>
      <c r="AA797" s="23" t="s">
        <v>903</v>
      </c>
      <c r="AB797" s="39" t="s">
        <v>921</v>
      </c>
      <c r="AC797" s="41" t="s">
        <v>987</v>
      </c>
      <c r="AD797" s="41" t="s">
        <v>988</v>
      </c>
      <c r="AE797" s="4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7" s="39" t="b">
        <v>0</v>
      </c>
    </row>
    <row r="798" spans="1:53">
      <c r="A798" s="2" t="s">
        <v>2961</v>
      </c>
      <c r="B798">
        <v>1962</v>
      </c>
      <c r="C798">
        <v>0</v>
      </c>
      <c r="D798" t="s">
        <v>1952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>
        <v>10</v>
      </c>
      <c r="K798" s="2" t="s">
        <v>19</v>
      </c>
      <c r="L798">
        <f>_xlfn.XLOOKUP("LOADINGSPEEDDEF_"&amp;PROPERTIES[[#This Row],[LOADINGSPEED]],LOADINGSPEEDDEF[TYPE],LOADINGSPEEDDEF[SPEED])</f>
        <v>0</v>
      </c>
      <c r="M798">
        <v>45</v>
      </c>
      <c r="N798">
        <v>1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40">
        <v>40</v>
      </c>
      <c r="W798" s="41">
        <v>0</v>
      </c>
      <c r="X798" s="41">
        <v>2</v>
      </c>
      <c r="Y798" s="42">
        <v>0</v>
      </c>
      <c r="Z798" s="23" t="s">
        <v>907</v>
      </c>
      <c r="AA798" s="23" t="s">
        <v>903</v>
      </c>
      <c r="AB798" s="39" t="s">
        <v>921</v>
      </c>
      <c r="AC798" s="41" t="s">
        <v>987</v>
      </c>
      <c r="AD798" s="41" t="s">
        <v>988</v>
      </c>
      <c r="AE798" s="4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798" s="39" t="b">
        <v>0</v>
      </c>
    </row>
    <row r="799" spans="1:53">
      <c r="A799" s="2" t="s">
        <v>2964</v>
      </c>
      <c r="B799">
        <v>1963</v>
      </c>
      <c r="C799">
        <v>0</v>
      </c>
      <c r="D799" t="s">
        <v>1790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>
        <v>6</v>
      </c>
      <c r="K799" s="2" t="s">
        <v>19</v>
      </c>
      <c r="L799">
        <f>_xlfn.XLOOKUP("LOADINGSPEEDDEF_"&amp;PROPERTIES[[#This Row],[LOADINGSPEED]],LOADINGSPEEDDEF[TYPE],LOADINGSPEEDDEF[SPEED])</f>
        <v>0</v>
      </c>
      <c r="M799">
        <v>45</v>
      </c>
      <c r="N799">
        <v>1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38">
        <v>40</v>
      </c>
      <c r="W799" s="11">
        <v>0</v>
      </c>
      <c r="X799" s="9">
        <v>0</v>
      </c>
      <c r="Y799" s="10">
        <v>0</v>
      </c>
      <c r="Z799" s="9" t="s">
        <v>907</v>
      </c>
      <c r="AA799" s="10" t="s">
        <v>903</v>
      </c>
      <c r="AB799" s="10" t="s">
        <v>921</v>
      </c>
      <c r="AC799" s="9" t="s">
        <v>991</v>
      </c>
      <c r="AD799" s="9" t="s">
        <v>992</v>
      </c>
      <c r="AE799" s="4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9" s="39" t="b">
        <v>0</v>
      </c>
    </row>
    <row r="800" spans="1:53">
      <c r="A800" s="2" t="s">
        <v>2967</v>
      </c>
      <c r="B800">
        <v>1970</v>
      </c>
      <c r="C800">
        <v>0</v>
      </c>
      <c r="D800" t="s">
        <v>1790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>
        <v>8</v>
      </c>
      <c r="K800" s="2" t="s">
        <v>19</v>
      </c>
      <c r="L800">
        <f>_xlfn.XLOOKUP("LOADINGSPEEDDEF_"&amp;PROPERTIES[[#This Row],[LOADINGSPEED]],LOADINGSPEEDDEF[TYPE],LOADINGSPEEDDEF[SPEED])</f>
        <v>0</v>
      </c>
      <c r="M800">
        <v>45</v>
      </c>
      <c r="N800">
        <v>1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>
        <v>25</v>
      </c>
      <c r="W800" s="9">
        <v>0</v>
      </c>
      <c r="X800" s="9">
        <v>0</v>
      </c>
      <c r="Y800" s="10">
        <v>0</v>
      </c>
      <c r="Z800" t="s">
        <v>907</v>
      </c>
      <c r="AA800" t="s">
        <v>903</v>
      </c>
      <c r="AB800" s="2" t="s">
        <v>921</v>
      </c>
      <c r="AC800" s="9" t="s">
        <v>987</v>
      </c>
      <c r="AD800" s="9" t="s">
        <v>988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0" s="2" t="b">
        <v>0</v>
      </c>
    </row>
    <row r="801" spans="1:33">
      <c r="A801" s="2" t="s">
        <v>2969</v>
      </c>
      <c r="B801">
        <v>1974</v>
      </c>
      <c r="C801">
        <v>0</v>
      </c>
      <c r="D801" t="s">
        <v>1997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>
        <v>8</v>
      </c>
      <c r="K801" s="2" t="s">
        <v>19</v>
      </c>
      <c r="L801">
        <f>_xlfn.XLOOKUP("LOADINGSPEEDDEF_"&amp;PROPERTIES[[#This Row],[LOADINGSPEED]],LOADINGSPEEDDEF[TYPE],LOADINGSPEEDDEF[SPEED])</f>
        <v>0</v>
      </c>
      <c r="M801">
        <v>45</v>
      </c>
      <c r="N801">
        <v>1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>
        <v>25</v>
      </c>
      <c r="W801" s="9">
        <v>0</v>
      </c>
      <c r="X801" s="9">
        <v>0</v>
      </c>
      <c r="Y801" s="10">
        <v>0</v>
      </c>
      <c r="Z801" t="s">
        <v>907</v>
      </c>
      <c r="AA801" t="s">
        <v>903</v>
      </c>
      <c r="AB801" s="2" t="s">
        <v>921</v>
      </c>
      <c r="AC801" s="9" t="s">
        <v>987</v>
      </c>
      <c r="AD801" s="9" t="s">
        <v>988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1" s="2" t="b">
        <v>0</v>
      </c>
    </row>
    <row r="802" spans="1:33">
      <c r="A802" s="2" t="s">
        <v>2971</v>
      </c>
      <c r="B802">
        <v>1981</v>
      </c>
      <c r="C802">
        <v>0</v>
      </c>
      <c r="D802" t="s">
        <v>1794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>
        <v>7</v>
      </c>
      <c r="K802" s="2" t="s">
        <v>19</v>
      </c>
      <c r="L802">
        <f>_xlfn.XLOOKUP("LOADINGSPEEDDEF_"&amp;PROPERTIES[[#This Row],[LOADINGSPEED]],LOADINGSPEEDDEF[TYPE],LOADINGSPEEDDEF[SPEED])</f>
        <v>0</v>
      </c>
      <c r="M802">
        <v>45</v>
      </c>
      <c r="N802">
        <v>1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>
        <v>25</v>
      </c>
      <c r="W802" s="9">
        <v>0</v>
      </c>
      <c r="X802" s="9">
        <v>0</v>
      </c>
      <c r="Y802" s="10">
        <v>0</v>
      </c>
      <c r="Z802" t="s">
        <v>907</v>
      </c>
      <c r="AA802" t="s">
        <v>903</v>
      </c>
      <c r="AB802" s="2" t="s">
        <v>921</v>
      </c>
      <c r="AC802" s="9" t="s">
        <v>987</v>
      </c>
      <c r="AD802" s="9" t="s">
        <v>988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2" s="2" t="b">
        <v>0</v>
      </c>
    </row>
    <row r="803" spans="1:33">
      <c r="A803" s="2" t="s">
        <v>2973</v>
      </c>
      <c r="B803">
        <v>2024</v>
      </c>
      <c r="C803">
        <v>0</v>
      </c>
      <c r="D803" t="s">
        <v>1977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>
        <v>8</v>
      </c>
      <c r="K803" s="2" t="s">
        <v>19</v>
      </c>
      <c r="L803">
        <f>_xlfn.XLOOKUP("LOADINGSPEEDDEF_"&amp;PROPERTIES[[#This Row],[LOADINGSPEED]],LOADINGSPEEDDEF[TYPE],LOADINGSPEEDDEF[SPEED])</f>
        <v>0</v>
      </c>
      <c r="M803" t="s">
        <v>20</v>
      </c>
      <c r="N803">
        <v>1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38">
        <v>40</v>
      </c>
      <c r="W803" s="11">
        <v>0</v>
      </c>
      <c r="X803" s="9">
        <v>0</v>
      </c>
      <c r="Y803" s="10">
        <v>0</v>
      </c>
      <c r="Z803" s="9" t="s">
        <v>907</v>
      </c>
      <c r="AA803" t="s">
        <v>903</v>
      </c>
      <c r="AB803" s="2" t="s">
        <v>921</v>
      </c>
      <c r="AC803" s="9" t="s">
        <v>991</v>
      </c>
      <c r="AD803" s="9" t="s">
        <v>992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03" s="2" t="b">
        <v>0</v>
      </c>
    </row>
    <row r="804" spans="1:33">
      <c r="A804" s="2" t="s">
        <v>2977</v>
      </c>
      <c r="B804">
        <v>1880</v>
      </c>
      <c r="C804">
        <v>1</v>
      </c>
      <c r="D804" t="s">
        <v>1981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324</v>
      </c>
      <c r="H804">
        <v>48</v>
      </c>
      <c r="I804">
        <v>7</v>
      </c>
      <c r="J804">
        <v>7</v>
      </c>
      <c r="K804" s="2" t="s">
        <v>325</v>
      </c>
      <c r="L804">
        <f>_xlfn.XLOOKUP("LOADINGSPEEDDEF_"&amp;PROPERTIES[[#This Row],[LOADINGSPEED]],LOADINGSPEEDDEF[TYPE],LOADINGSPEEDDEF[SPEED])</f>
        <v>120</v>
      </c>
      <c r="M804">
        <v>45</v>
      </c>
      <c r="N804"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>
        <v>60</v>
      </c>
      <c r="W804" s="37">
        <v>48</v>
      </c>
      <c r="X804" s="9">
        <v>7</v>
      </c>
      <c r="Y804" s="10">
        <v>0</v>
      </c>
      <c r="Z804" s="9" t="s">
        <v>909</v>
      </c>
      <c r="AA804" s="10" t="s">
        <v>903</v>
      </c>
      <c r="AB804" s="10" t="s">
        <v>921</v>
      </c>
      <c r="AC804" s="9" t="s">
        <v>989</v>
      </c>
      <c r="AD804" s="9" t="s">
        <v>990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804" s="10" t="b">
        <v>0</v>
      </c>
    </row>
    <row r="805" spans="1:33">
      <c r="A805" s="2" t="s">
        <v>3108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34</v>
      </c>
      <c r="G805" t="s">
        <v>324</v>
      </c>
      <c r="H805">
        <v>60</v>
      </c>
      <c r="I805">
        <v>8</v>
      </c>
      <c r="J805">
        <v>8</v>
      </c>
      <c r="K805" s="2" t="s">
        <v>478</v>
      </c>
      <c r="L805">
        <f>_xlfn.XLOOKUP("LOADINGSPEEDDEF_"&amp;PROPERTIES[[#This Row],[LOADINGSPEED]],LOADINGSPEEDDEF[TYPE],LOADINGSPEEDDEF[SPEED])</f>
        <v>16</v>
      </c>
      <c r="M805" t="s">
        <v>20</v>
      </c>
      <c r="N805"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>
        <v>25</v>
      </c>
      <c r="W805" s="9">
        <v>0</v>
      </c>
      <c r="X805" s="9">
        <v>0</v>
      </c>
      <c r="Y805" s="10">
        <v>0</v>
      </c>
      <c r="Z805" t="s">
        <v>917</v>
      </c>
      <c r="AA805" t="s">
        <v>903</v>
      </c>
      <c r="AB805" s="2" t="s">
        <v>921</v>
      </c>
      <c r="AC805" s="9" t="s">
        <v>1003</v>
      </c>
      <c r="AD805" s="9" t="s">
        <v>1004</v>
      </c>
      <c r="AE805" s="10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805" s="2" t="b">
        <v>0</v>
      </c>
    </row>
    <row r="806" spans="1:33">
      <c r="A806" s="2" t="s">
        <v>3109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34</v>
      </c>
      <c r="G806" t="s">
        <v>324</v>
      </c>
      <c r="H806">
        <v>50</v>
      </c>
      <c r="I806">
        <v>8</v>
      </c>
      <c r="J806">
        <v>8</v>
      </c>
      <c r="K806" s="2" t="s">
        <v>478</v>
      </c>
      <c r="L806">
        <f>_xlfn.XLOOKUP("LOADINGSPEEDDEF_"&amp;PROPERTIES[[#This Row],[LOADINGSPEED]],LOADINGSPEEDDEF[TYPE],LOADINGSPEEDDEF[SPEED])</f>
        <v>16</v>
      </c>
      <c r="M806">
        <v>45</v>
      </c>
      <c r="N806"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>
        <v>25</v>
      </c>
      <c r="W806" s="9">
        <v>0</v>
      </c>
      <c r="X806" s="9">
        <v>0</v>
      </c>
      <c r="Y806" s="10">
        <v>0</v>
      </c>
      <c r="Z806" t="s">
        <v>917</v>
      </c>
      <c r="AA806" t="s">
        <v>903</v>
      </c>
      <c r="AB806" s="2" t="s">
        <v>921</v>
      </c>
      <c r="AC806" s="9" t="s">
        <v>1003</v>
      </c>
      <c r="AD806" s="9" t="s">
        <v>1004</v>
      </c>
      <c r="AE806" s="10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806" s="2" t="b">
        <v>0</v>
      </c>
    </row>
    <row r="807" spans="1:33">
      <c r="A807" s="2" t="s">
        <v>3081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34</v>
      </c>
      <c r="G807" t="s">
        <v>3089</v>
      </c>
      <c r="H807">
        <v>20</v>
      </c>
      <c r="I807">
        <v>4</v>
      </c>
      <c r="J807">
        <v>4</v>
      </c>
      <c r="K807" s="2" t="s">
        <v>32</v>
      </c>
      <c r="L807">
        <f>_xlfn.XLOOKUP("LOADINGSPEEDDEF_"&amp;PROPERTIES[[#This Row],[LOADINGSPEED]],LOADINGSPEEDDEF[TYPE],LOADINGSPEEDDEF[SPEED])</f>
        <v>20</v>
      </c>
      <c r="M807">
        <v>90</v>
      </c>
      <c r="N807"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>
        <v>25</v>
      </c>
      <c r="W807" s="9">
        <v>0</v>
      </c>
      <c r="X807" s="9">
        <v>0</v>
      </c>
      <c r="Y807" s="10">
        <v>0</v>
      </c>
      <c r="Z807" t="s">
        <v>917</v>
      </c>
      <c r="AA807" t="s">
        <v>903</v>
      </c>
      <c r="AB807" s="2" t="s">
        <v>921</v>
      </c>
      <c r="AC807" s="9" t="s">
        <v>1001</v>
      </c>
      <c r="AD807" s="9" t="s">
        <v>1002</v>
      </c>
      <c r="AE807" s="10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7" s="2" t="b">
        <v>0</v>
      </c>
    </row>
    <row r="808" spans="1:33">
      <c r="A808" s="2" t="s">
        <v>3076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34</v>
      </c>
      <c r="G808" t="s">
        <v>3089</v>
      </c>
      <c r="H808">
        <v>25</v>
      </c>
      <c r="I808">
        <v>5</v>
      </c>
      <c r="J808">
        <v>5</v>
      </c>
      <c r="K808" s="2" t="s">
        <v>32</v>
      </c>
      <c r="L808">
        <f>_xlfn.XLOOKUP("LOADINGSPEEDDEF_"&amp;PROPERTIES[[#This Row],[LOADINGSPEED]],LOADINGSPEEDDEF[TYPE],LOADINGSPEEDDEF[SPEED])</f>
        <v>20</v>
      </c>
      <c r="M808">
        <v>60</v>
      </c>
      <c r="N808"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>
        <v>25</v>
      </c>
      <c r="W808" s="9">
        <v>0</v>
      </c>
      <c r="X808" s="9">
        <v>0</v>
      </c>
      <c r="Y808" s="10">
        <v>0</v>
      </c>
      <c r="Z808" t="s">
        <v>917</v>
      </c>
      <c r="AA808" t="s">
        <v>903</v>
      </c>
      <c r="AB808" s="2" t="s">
        <v>921</v>
      </c>
      <c r="AC808" s="9" t="s">
        <v>1001</v>
      </c>
      <c r="AD808" s="9" t="s">
        <v>1002</v>
      </c>
      <c r="AE808" s="10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8" s="2" t="b">
        <v>0</v>
      </c>
    </row>
    <row r="809" spans="1:33">
      <c r="A809" s="2" t="s">
        <v>3077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34</v>
      </c>
      <c r="G809" t="s">
        <v>3089</v>
      </c>
      <c r="H809">
        <v>40</v>
      </c>
      <c r="I809">
        <v>6</v>
      </c>
      <c r="J809">
        <v>6</v>
      </c>
      <c r="K809" s="2" t="s">
        <v>32</v>
      </c>
      <c r="L809">
        <f>_xlfn.XLOOKUP("LOADINGSPEEDDEF_"&amp;PROPERTIES[[#This Row],[LOADINGSPEED]],LOADINGSPEEDDEF[TYPE],LOADINGSPEEDDEF[SPEED])</f>
        <v>20</v>
      </c>
      <c r="M809">
        <v>60</v>
      </c>
      <c r="N809"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>
        <v>25</v>
      </c>
      <c r="W809" s="9">
        <v>0</v>
      </c>
      <c r="X809" s="9">
        <v>0</v>
      </c>
      <c r="Y809" s="10">
        <v>0</v>
      </c>
      <c r="Z809" t="s">
        <v>917</v>
      </c>
      <c r="AA809" t="s">
        <v>903</v>
      </c>
      <c r="AB809" s="2" t="s">
        <v>921</v>
      </c>
      <c r="AC809" s="9" t="s">
        <v>1001</v>
      </c>
      <c r="AD809" s="9" t="s">
        <v>1002</v>
      </c>
      <c r="AE809" s="10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9" s="2" t="b">
        <v>0</v>
      </c>
    </row>
    <row r="810" spans="1:33">
      <c r="A810" s="2" t="s">
        <v>3078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34</v>
      </c>
      <c r="G810" t="s">
        <v>3089</v>
      </c>
      <c r="H810">
        <v>42</v>
      </c>
      <c r="I810">
        <v>7</v>
      </c>
      <c r="J810">
        <v>7</v>
      </c>
      <c r="K810" s="2" t="s">
        <v>32</v>
      </c>
      <c r="L810">
        <f>_xlfn.XLOOKUP("LOADINGSPEEDDEF_"&amp;PROPERTIES[[#This Row],[LOADINGSPEED]],LOADINGSPEEDDEF[TYPE],LOADINGSPEEDDEF[SPEED])</f>
        <v>20</v>
      </c>
      <c r="M810">
        <v>70</v>
      </c>
      <c r="N810"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>
        <v>25</v>
      </c>
      <c r="W810" s="9">
        <v>0</v>
      </c>
      <c r="X810" s="9">
        <v>0</v>
      </c>
      <c r="Y810" s="10">
        <v>0</v>
      </c>
      <c r="Z810" t="s">
        <v>917</v>
      </c>
      <c r="AA810" t="s">
        <v>903</v>
      </c>
      <c r="AB810" s="2" t="s">
        <v>921</v>
      </c>
      <c r="AC810" s="9" t="s">
        <v>1001</v>
      </c>
      <c r="AD810" s="9" t="s">
        <v>1002</v>
      </c>
      <c r="AE810" s="10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0" s="2" t="b">
        <v>0</v>
      </c>
    </row>
    <row r="811" spans="1:33">
      <c r="A811" s="2" t="s">
        <v>3079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34</v>
      </c>
      <c r="G811" t="s">
        <v>3089</v>
      </c>
      <c r="H811">
        <v>63</v>
      </c>
      <c r="I811">
        <v>8</v>
      </c>
      <c r="J811">
        <v>8</v>
      </c>
      <c r="K811" s="2" t="s">
        <v>32</v>
      </c>
      <c r="L811">
        <f>_xlfn.XLOOKUP("LOADINGSPEEDDEF_"&amp;PROPERTIES[[#This Row],[LOADINGSPEED]],LOADINGSPEEDDEF[TYPE],LOADINGSPEEDDEF[SPEED])</f>
        <v>20</v>
      </c>
      <c r="M811" t="s">
        <v>20</v>
      </c>
      <c r="N811"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>
        <v>25</v>
      </c>
      <c r="W811" s="9">
        <v>0</v>
      </c>
      <c r="X811" s="9">
        <v>0</v>
      </c>
      <c r="Y811" s="10">
        <v>0</v>
      </c>
      <c r="Z811" t="s">
        <v>917</v>
      </c>
      <c r="AA811" t="s">
        <v>903</v>
      </c>
      <c r="AB811" s="2" t="s">
        <v>921</v>
      </c>
      <c r="AC811" s="9" t="s">
        <v>1001</v>
      </c>
      <c r="AD811" s="9" t="s">
        <v>1002</v>
      </c>
      <c r="AE811" s="10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1" s="2" t="b">
        <v>0</v>
      </c>
    </row>
    <row r="812" spans="1:33">
      <c r="A812" s="2" t="s">
        <v>3080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34</v>
      </c>
      <c r="G812" t="s">
        <v>3089</v>
      </c>
      <c r="H812">
        <v>74</v>
      </c>
      <c r="I812">
        <v>8</v>
      </c>
      <c r="J812">
        <v>8</v>
      </c>
      <c r="K812" s="2" t="s">
        <v>32</v>
      </c>
      <c r="L812">
        <f>_xlfn.XLOOKUP("LOADINGSPEEDDEF_"&amp;PROPERTIES[[#This Row],[LOADINGSPEED]],LOADINGSPEEDDEF[TYPE],LOADINGSPEEDDEF[SPEED])</f>
        <v>20</v>
      </c>
      <c r="M812" t="s">
        <v>20</v>
      </c>
      <c r="N812"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>
        <v>25</v>
      </c>
      <c r="W812" s="9">
        <v>0</v>
      </c>
      <c r="X812" s="9">
        <v>0</v>
      </c>
      <c r="Y812" s="10">
        <v>0</v>
      </c>
      <c r="Z812" t="s">
        <v>917</v>
      </c>
      <c r="AA812" t="s">
        <v>903</v>
      </c>
      <c r="AB812" s="2" t="s">
        <v>921</v>
      </c>
      <c r="AC812" s="9" t="s">
        <v>1001</v>
      </c>
      <c r="AD812" s="9" t="s">
        <v>1002</v>
      </c>
      <c r="AE812" s="10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2" s="2" t="b">
        <v>0</v>
      </c>
    </row>
    <row r="813" spans="1:33">
      <c r="A813" s="2" t="s">
        <v>3116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3089</v>
      </c>
      <c r="H813">
        <v>74</v>
      </c>
      <c r="I813">
        <v>8</v>
      </c>
      <c r="J813">
        <v>8</v>
      </c>
      <c r="K813" s="2" t="s">
        <v>32</v>
      </c>
      <c r="L813">
        <f>_xlfn.XLOOKUP("LOADINGSPEEDDEF_"&amp;PROPERTIES[[#This Row],[LOADINGSPEED]],LOADINGSPEEDDEF[TYPE],LOADINGSPEEDDEF[SPEED])</f>
        <v>20</v>
      </c>
      <c r="M813" t="s">
        <v>20</v>
      </c>
      <c r="N813"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>
        <v>25</v>
      </c>
      <c r="W813" s="9">
        <v>0</v>
      </c>
      <c r="X813" s="9">
        <v>0</v>
      </c>
      <c r="Y813" s="10">
        <v>0</v>
      </c>
      <c r="Z813" t="s">
        <v>917</v>
      </c>
      <c r="AA813" t="s">
        <v>903</v>
      </c>
      <c r="AB813" s="2" t="s">
        <v>922</v>
      </c>
      <c r="AC813" s="9" t="s">
        <v>1001</v>
      </c>
      <c r="AD813" s="9" t="s">
        <v>1002</v>
      </c>
      <c r="AE813" s="10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3" s="2" t="b">
        <v>0</v>
      </c>
    </row>
    <row r="814" spans="1:33">
      <c r="A814" s="2" t="s">
        <v>3092</v>
      </c>
      <c r="B814">
        <v>1974</v>
      </c>
      <c r="C814">
        <v>0</v>
      </c>
      <c r="D814" t="s">
        <v>1849</v>
      </c>
      <c r="E814" t="str">
        <f>_xlfn.XLOOKUP(PROPERTIES[[#This Row],[COUNTRY]],COUNTRIES[COUNTRY_DESCRIPTION],COUNTRIES[COUNTRY_LABEL],"")</f>
        <v>HU</v>
      </c>
      <c r="F814" t="s">
        <v>73</v>
      </c>
      <c r="G814" t="s">
        <v>19</v>
      </c>
      <c r="H814">
        <v>0</v>
      </c>
      <c r="I814">
        <v>8</v>
      </c>
      <c r="J814">
        <v>10</v>
      </c>
      <c r="K814" s="2" t="s">
        <v>19</v>
      </c>
      <c r="L814">
        <f>_xlfn.XLOOKUP("LOADINGSPEEDDEF_"&amp;PROPERTIES[[#This Row],[LOADINGSPEED]],LOADINGSPEEDDEF[TYPE],LOADINGSPEEDDEF[SPEED])</f>
        <v>0</v>
      </c>
      <c r="M814">
        <v>45</v>
      </c>
      <c r="N814"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>
        <v>40</v>
      </c>
      <c r="W814" s="9">
        <v>0</v>
      </c>
      <c r="X814" s="9">
        <v>2</v>
      </c>
      <c r="Y814" s="10">
        <v>0</v>
      </c>
      <c r="Z814" t="s">
        <v>910</v>
      </c>
      <c r="AA814" t="s">
        <v>903</v>
      </c>
      <c r="AB814" s="2" t="s">
        <v>921</v>
      </c>
      <c r="AC814" s="9" t="s">
        <v>991</v>
      </c>
      <c r="AD814" s="9" t="s">
        <v>992</v>
      </c>
      <c r="AE814" s="10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14" s="2" t="b">
        <v>0</v>
      </c>
    </row>
    <row r="815" spans="1:33">
      <c r="A815" s="2" t="s">
        <v>3110</v>
      </c>
      <c r="B815">
        <v>1992</v>
      </c>
      <c r="C815">
        <v>1</v>
      </c>
      <c r="D815" t="s">
        <v>1826</v>
      </c>
      <c r="E815" t="str">
        <f>_xlfn.XLOOKUP(PROPERTIES[[#This Row],[COUNTRY]],COUNTRIES[COUNTRY_DESCRIPTION],COUNTRIES[COUNTRY_LABEL],"")</f>
        <v>GB</v>
      </c>
      <c r="F815" t="s">
        <v>18</v>
      </c>
      <c r="G815" t="s">
        <v>324</v>
      </c>
      <c r="H815">
        <f>INT(1047/8)</f>
        <v>130</v>
      </c>
      <c r="I815">
        <v>8</v>
      </c>
      <c r="J815">
        <v>8</v>
      </c>
      <c r="K815" s="2" t="s">
        <v>325</v>
      </c>
      <c r="L815">
        <f>_xlfn.XLOOKUP("LOADINGSPEEDDEF_"&amp;PROPERTIES[[#This Row],[LOADINGSPEED]],LOADINGSPEEDDEF[TYPE],LOADINGSPEEDDEF[SPEED])</f>
        <v>120</v>
      </c>
      <c r="M815">
        <v>45</v>
      </c>
      <c r="N815">
        <v>1</v>
      </c>
      <c r="O815" s="33">
        <v>22.5</v>
      </c>
      <c r="P815">
        <v>1700</v>
      </c>
      <c r="Q815">
        <v>100</v>
      </c>
      <c r="R815" s="30">
        <v>0</v>
      </c>
      <c r="S815" s="29">
        <f>IFERROR(PROPERTIES[[#This Row],[TE_STARTING_KN]]/(PROPERTIES[[#This Row],[WEIGHT]]*9.81),0)</f>
        <v>0</v>
      </c>
      <c r="T815" s="29">
        <v>0.3</v>
      </c>
      <c r="U815" s="26">
        <f>ROUND(IF(IFERROR(PROPERTIES[[#This Row],[TE_COEFFICIENT_CALC]],0)=0,PROPERTIES[[#This Row],[TE_COEFFICIENT_MANUAL]],PROPERTIES[[#This Row],[TE_COEFFICIENT_CALC]]),3)</f>
        <v>0.3</v>
      </c>
      <c r="V815" s="11">
        <v>60</v>
      </c>
      <c r="W815" s="9">
        <v>125</v>
      </c>
      <c r="X815" s="9">
        <v>8</v>
      </c>
      <c r="Y815" s="10">
        <v>0</v>
      </c>
      <c r="Z815" t="s">
        <v>908</v>
      </c>
      <c r="AA815" t="s">
        <v>903</v>
      </c>
      <c r="AB815" s="2" t="s">
        <v>921</v>
      </c>
      <c r="AC815" s="9" t="s">
        <v>989</v>
      </c>
      <c r="AD815" s="9" t="s">
        <v>990</v>
      </c>
      <c r="AE815" s="10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815" s="2" t="b">
        <v>0</v>
      </c>
    </row>
    <row r="816" spans="1:33">
      <c r="A816" s="2" t="s">
        <v>3113</v>
      </c>
      <c r="B816">
        <v>2010</v>
      </c>
      <c r="C816">
        <v>1</v>
      </c>
      <c r="D816" t="s">
        <v>1826</v>
      </c>
      <c r="E816" t="str">
        <f>_xlfn.XLOOKUP(PROPERTIES[[#This Row],[COUNTRY]],COUNTRIES[COUNTRY_DESCRIPTION],COUNTRIES[COUNTRY_LABEL],"")</f>
        <v>GB</v>
      </c>
      <c r="F816" t="s">
        <v>18</v>
      </c>
      <c r="G816" t="s">
        <v>324</v>
      </c>
      <c r="H816">
        <f>INT(1350/8)</f>
        <v>168</v>
      </c>
      <c r="I816">
        <v>8</v>
      </c>
      <c r="J816">
        <v>8</v>
      </c>
      <c r="K816" s="2" t="s">
        <v>325</v>
      </c>
      <c r="L816">
        <f>_xlfn.XLOOKUP("LOADINGSPEEDDEF_"&amp;PROPERTIES[[#This Row],[LOADINGSPEED]],LOADINGSPEEDDEF[TYPE],LOADINGSPEEDDEF[SPEED])</f>
        <v>120</v>
      </c>
      <c r="M816" t="s">
        <v>20</v>
      </c>
      <c r="N816">
        <v>1</v>
      </c>
      <c r="O816" s="33">
        <f>INT(238/8)</f>
        <v>29</v>
      </c>
      <c r="P816">
        <v>2000</v>
      </c>
      <c r="Q816">
        <v>100</v>
      </c>
      <c r="R816" s="30">
        <v>0</v>
      </c>
      <c r="S816" s="29">
        <f>IFERROR(PROPERTIES[[#This Row],[TE_STARTING_KN]]/(PROPERTIES[[#This Row],[WEIGHT]]*9.81),0)</f>
        <v>0</v>
      </c>
      <c r="T816" s="29">
        <v>0.3</v>
      </c>
      <c r="U816" s="26">
        <f>ROUND(IF(IFERROR(PROPERTIES[[#This Row],[TE_COEFFICIENT_CALC]],0)=0,PROPERTIES[[#This Row],[TE_COEFFICIENT_MANUAL]],PROPERTIES[[#This Row],[TE_COEFFICIENT_CALC]]),3)</f>
        <v>0.3</v>
      </c>
      <c r="V816" s="11">
        <v>60</v>
      </c>
      <c r="W816" s="9">
        <v>160</v>
      </c>
      <c r="X816" s="9">
        <v>8</v>
      </c>
      <c r="Y816" s="10">
        <v>0</v>
      </c>
      <c r="Z816" t="s">
        <v>908</v>
      </c>
      <c r="AA816" t="s">
        <v>903</v>
      </c>
      <c r="AB816" s="2" t="s">
        <v>921</v>
      </c>
      <c r="AC816" s="9" t="s">
        <v>989</v>
      </c>
      <c r="AD816" s="9" t="s">
        <v>990</v>
      </c>
      <c r="AE816" s="10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816" s="2" t="b">
        <v>0</v>
      </c>
    </row>
    <row r="817" spans="1:33">
      <c r="A817" s="2" t="s">
        <v>3117</v>
      </c>
      <c r="B817">
        <v>1972</v>
      </c>
      <c r="C817">
        <v>1</v>
      </c>
      <c r="D817" t="s">
        <v>1826</v>
      </c>
      <c r="E817" t="str">
        <f>_xlfn.XLOOKUP(PROPERTIES[[#This Row],[COUNTRY]],COUNTRIES[COUNTRY_DESCRIPTION],COUNTRIES[COUNTRY_LABEL],"")</f>
        <v>GB</v>
      </c>
      <c r="F817" t="s">
        <v>18</v>
      </c>
      <c r="G817" t="s">
        <v>324</v>
      </c>
      <c r="H817">
        <f>INT(851/7)</f>
        <v>121</v>
      </c>
      <c r="I817">
        <v>7</v>
      </c>
      <c r="J817">
        <v>7</v>
      </c>
      <c r="K817" s="2" t="s">
        <v>325</v>
      </c>
      <c r="L817">
        <f>_xlfn.XLOOKUP("LOADINGSPEEDDEF_"&amp;PROPERTIES[[#This Row],[LOADINGSPEED]],LOADINGSPEEDDEF[TYPE],LOADINGSPEEDDEF[SPEED])</f>
        <v>120</v>
      </c>
      <c r="M817">
        <v>45</v>
      </c>
      <c r="N817">
        <v>1</v>
      </c>
      <c r="O817" s="33">
        <f>INT(238/8)</f>
        <v>29</v>
      </c>
      <c r="P817">
        <v>1400</v>
      </c>
      <c r="Q817">
        <v>72</v>
      </c>
      <c r="R817" s="30">
        <v>0</v>
      </c>
      <c r="S817" s="29">
        <f>IFERROR(PROPERTIES[[#This Row],[TE_STARTING_KN]]/(PROPERTIES[[#This Row],[WEIGHT]]*9.81),0)</f>
        <v>0</v>
      </c>
      <c r="T817" s="29">
        <v>0.25</v>
      </c>
      <c r="U817" s="26">
        <f>ROUND(IF(IFERROR(PROPERTIES[[#This Row],[TE_COEFFICIENT_CALC]],0)=0,PROPERTIES[[#This Row],[TE_COEFFICIENT_MANUAL]],PROPERTIES[[#This Row],[TE_COEFFICIENT_CALC]]),3)</f>
        <v>0.25</v>
      </c>
      <c r="V817" s="11">
        <v>60</v>
      </c>
      <c r="W817" s="9">
        <v>120</v>
      </c>
      <c r="X817" s="9">
        <v>7</v>
      </c>
      <c r="Y817" s="10">
        <v>0</v>
      </c>
      <c r="Z817" t="s">
        <v>908</v>
      </c>
      <c r="AA817" t="s">
        <v>903</v>
      </c>
      <c r="AB817" s="2" t="s">
        <v>921</v>
      </c>
      <c r="AC817" s="9" t="s">
        <v>989</v>
      </c>
      <c r="AD817" s="9" t="s">
        <v>990</v>
      </c>
      <c r="AE817" s="10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817" s="2" t="b">
        <v>0</v>
      </c>
    </row>
  </sheetData>
  <phoneticPr fontId="18" type="noConversion"/>
  <conditionalFormatting sqref="S796:U799 S802:U803 S805:U806 S818:U1048576 R1:T817">
    <cfRule type="cellIs" dxfId="21" priority="35" operator="equal">
      <formula>0</formula>
    </cfRule>
  </conditionalFormatting>
  <conditionalFormatting sqref="Z572:Z586">
    <cfRule type="cellIs" dxfId="20" priority="2" operator="equal">
      <formula>FALSE</formula>
    </cfRule>
  </conditionalFormatting>
  <conditionalFormatting sqref="Z653:Z718">
    <cfRule type="cellIs" dxfId="19" priority="3" operator="equal">
      <formula>FALSE</formula>
    </cfRule>
  </conditionalFormatting>
  <conditionalFormatting sqref="Z1:AB571 AA572:AB586 Z587:AB652 AA653:AB718 Z719:AB798 AO792:AQ1048576">
    <cfRule type="cellIs" dxfId="18" priority="26" operator="equal">
      <formula>FALSE</formula>
    </cfRule>
  </conditionalFormatting>
  <conditionalFormatting sqref="Z800:AB802">
    <cfRule type="cellIs" dxfId="17" priority="22" operator="equal">
      <formula>FALSE</formula>
    </cfRule>
  </conditionalFormatting>
  <conditionalFormatting sqref="Z804:AB816">
    <cfRule type="cellIs" dxfId="16" priority="5" operator="equal">
      <formula>FALSE</formula>
    </cfRule>
  </conditionalFormatting>
  <conditionalFormatting sqref="AA803:AB803">
    <cfRule type="cellIs" dxfId="15" priority="21" operator="equal">
      <formula>FALSE</formula>
    </cfRule>
  </conditionalFormatting>
  <conditionalFormatting sqref="AG2:AG817">
    <cfRule type="containsText" dxfId="14" priority="20" operator="containsText" text="FALSE">
      <formula>NOT(ISERROR(SEARCH("FALSE",AG2)))</formula>
    </cfRule>
  </conditionalFormatting>
  <conditionalFormatting sqref="AN790:AP791">
    <cfRule type="cellIs" dxfId="13" priority="36" operator="equal">
      <formula>FALSE</formula>
    </cfRule>
  </conditionalFormatting>
  <conditionalFormatting sqref="Z817:AB817">
    <cfRule type="cellIs" dxfId="1" priority="1" operator="equal">
      <formula>FALSE</formula>
    </cfRule>
  </conditionalFormatting>
  <dataValidations count="17">
    <dataValidation type="whole" allowBlank="1" showInputMessage="1" showErrorMessage="1" sqref="C2:C817" xr:uid="{C9FB6BB5-B3CF-40B9-A6CD-3E0B48B95DF5}">
      <formula1>0</formula1>
      <formula2>1</formula2>
    </dataValidation>
    <dataValidation type="whole" operator="greaterThanOrEqual" allowBlank="1" showInputMessage="1" showErrorMessage="1" sqref="N784:N795 N2:N725 N800:N801 N804 N806:N817 W2:Y817 H2:H817 P2:Q817" xr:uid="{699258F9-37E8-437E-9547-ACEA0AFD7DA4}">
      <formula1>0</formula1>
    </dataValidation>
    <dataValidation type="decimal" operator="greaterThanOrEqual" allowBlank="1" showInputMessage="1" showErrorMessage="1" sqref="R2:U817 O2:O817" xr:uid="{F342F512-E760-4CD3-801B-E5B9CF70B7FD}">
      <formula1>0</formula1>
    </dataValidation>
    <dataValidation type="whole" allowBlank="1" showInputMessage="1" showErrorMessage="1" sqref="V2:V795 V797:V798 V800:V802 V804:V817" xr:uid="{7D4429EE-1046-4DE2-A6D7-76E6899E9B8A}">
      <formula1>5</formula1>
      <formula2>100</formula2>
    </dataValidation>
    <dataValidation operator="greaterThanOrEqual" allowBlank="1" showInputMessage="1" showErrorMessage="1" sqref="AJ790:AK791 V796 V799 V803 AK792:AL1048576 V818:V1048576" xr:uid="{2D963A9D-C2E3-4020-ABFA-FD04EDA25119}"/>
    <dataValidation type="list" allowBlank="1" showInputMessage="1" showErrorMessage="1" sqref="AD2:AD817" xr:uid="{E34DA190-67B0-4000-AB81-045D705EF781}">
      <formula1>INDIRECT("VALID_RUNNINGCOSTVALUE[RUNNINGCOSTVALUE]")</formula1>
    </dataValidation>
    <dataValidation type="whole" allowBlank="1" showInputMessage="1" showErrorMessage="1" sqref="B2:B789 B804 B792" xr:uid="{DEF10C41-55B4-45CA-9782-0B79331628F3}">
      <formula1>1660</formula1>
      <formula2>3000</formula2>
    </dataValidation>
    <dataValidation type="list" allowBlank="1" showInputMessage="1" showErrorMessage="1" sqref="F2:F817" xr:uid="{EB4398F4-10E4-463B-A52E-1F5C116A99EF}">
      <formula1>INDIRECT("VALID_ENGINE_CLASS[ENGINE_CLASS]")</formula1>
    </dataValidation>
    <dataValidation type="list" operator="greaterThanOrEqual" allowBlank="1" showInputMessage="1" showErrorMessage="1" sqref="AC2:AC817" xr:uid="{D83E915C-A301-4BE3-9E12-6790BD0E2284}">
      <formula1>INDIRECT("VALID_PURCHASECOSTVALUE[PURCHASECOSTVALUE]")</formula1>
    </dataValidation>
    <dataValidation type="list" allowBlank="1" showInputMessage="1" showErrorMessage="1" sqref="D2:D817" xr:uid="{33652263-03A3-437A-966A-BE8C0F8BE076}">
      <formula1>INDIRECT("COUNTRIES[COUNTRY_DESCRIPTION]")</formula1>
    </dataValidation>
    <dataValidation type="list" allowBlank="1" showInputMessage="1" showErrorMessage="1" sqref="E2:E817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17" xr:uid="{F2DE25A7-EAF4-4DA6-85FD-9F7B7EE18717}">
      <formula1>"TRUE,FALSE"</formula1>
    </dataValidation>
    <dataValidation type="list" allowBlank="1" showInputMessage="1" showErrorMessage="1" sqref="Z2:AA795 Z797:AA798 Z800:AA802 AA803 Z804:AA817" xr:uid="{A6AEDF15-D52E-4DEA-AD86-7127D84AEEAD}">
      <formula1>INDIRECT("VALID_REGIONS[VALID_REGIONS]")</formula1>
    </dataValidation>
    <dataValidation type="list" allowBlank="1" showInputMessage="1" showErrorMessage="1" sqref="AB797:AB798 AB2:AB795 AB800:AB817" xr:uid="{B551DD41-9C48-4DAD-97B1-4A99C17182E4}">
      <formula1>INDIRECT("VALID_CONCEPTS[VALID_CONCEPTS]")</formula1>
    </dataValidation>
    <dataValidation type="whole" operator="greaterThan" allowBlank="1" showInputMessage="1" showErrorMessage="1" sqref="J2:J817" xr:uid="{870AF9CD-1FF5-4186-831D-7CE6637E02C8}">
      <formula1>1</formula1>
    </dataValidation>
    <dataValidation type="whole" allowBlank="1" showInputMessage="1" showErrorMessage="1" sqref="I2:I817" xr:uid="{607F370E-253D-4A13-94DF-726661E11AFB}">
      <formula1>1</formula1>
      <formula2>8</formula2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Z804:AA817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AB797:AB798 AB2:AB795 AB800:AB817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17"/>
  <sheetViews>
    <sheetView zoomScaleNormal="100" workbookViewId="0">
      <pane xSplit="1" ySplit="1" topLeftCell="D793" activePane="bottomRight" state="frozen"/>
      <selection pane="topRight" activeCell="B1" sqref="B1"/>
      <selection pane="bottomLeft" activeCell="A2" sqref="A2"/>
      <selection pane="bottomRight" activeCell="A817" sqref="A817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674</v>
      </c>
      <c r="C1" s="1" t="s">
        <v>675</v>
      </c>
      <c r="D1" s="1" t="s">
        <v>676</v>
      </c>
      <c r="E1" s="1" t="s">
        <v>694</v>
      </c>
      <c r="F1" s="1" t="s">
        <v>925</v>
      </c>
      <c r="G1" s="1" t="s">
        <v>695</v>
      </c>
      <c r="H1" s="1" t="s">
        <v>696</v>
      </c>
      <c r="I1" s="1" t="s">
        <v>677</v>
      </c>
      <c r="J1" s="1" t="s">
        <v>678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679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680</v>
      </c>
      <c r="Y1" s="1" t="s">
        <v>709</v>
      </c>
      <c r="Z1" s="1" t="s">
        <v>710</v>
      </c>
      <c r="AA1" s="1" t="s">
        <v>711</v>
      </c>
      <c r="AB1" s="1" t="s">
        <v>712</v>
      </c>
      <c r="AC1" s="1" t="s">
        <v>681</v>
      </c>
      <c r="AD1" s="1" t="s">
        <v>682</v>
      </c>
      <c r="AE1" s="1" t="s">
        <v>683</v>
      </c>
      <c r="AF1" s="15" t="s">
        <v>924</v>
      </c>
    </row>
    <row r="2" spans="1:46">
      <c r="A2" s="2" t="s">
        <v>742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743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927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259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260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261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262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263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264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265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266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267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268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269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270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271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272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273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274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275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276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277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278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279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280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281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282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283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284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285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286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287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288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289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290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291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292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294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295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296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297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298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299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300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301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302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303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304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305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306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307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308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309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310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311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312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313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314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315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316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317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318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319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320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321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322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323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425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446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450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451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452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453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454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455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456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457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458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459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460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461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462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463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464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465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466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467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468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469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470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471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472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473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474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475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476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477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479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480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481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482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483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484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485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486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487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488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489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490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491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492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493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494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495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496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497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498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499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500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501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502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503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504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505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506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507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508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509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510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511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512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513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514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515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516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517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518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519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520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521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522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523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524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525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526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527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528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529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530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532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533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534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535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536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537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538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539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540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541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542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543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544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545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546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547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548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549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550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551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552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553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554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555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556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557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558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559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560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561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562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563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564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565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566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567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568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569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570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571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572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573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574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575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576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577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578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579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580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581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582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583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584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585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586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587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588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589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590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591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592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593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594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595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901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609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610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611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612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613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614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615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616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617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618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619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620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621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622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623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624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625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626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627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628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629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630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631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632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633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634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635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636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637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638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639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640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641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642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643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644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645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646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647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648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649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650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651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652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653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654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655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656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657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658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659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660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661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662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663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664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665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666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667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668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669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670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745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744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746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747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748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749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1744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1746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2795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2939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2941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2943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2945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</row>
    <row r="797" spans="1:46">
      <c r="A797" t="s">
        <v>2959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</row>
    <row r="798" spans="1:46">
      <c r="A798" s="2" t="s">
        <v>2961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</row>
    <row r="799" spans="1:46">
      <c r="A799" s="2" t="s">
        <v>2964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</row>
    <row r="800" spans="1:46">
      <c r="A800" s="2" t="s">
        <v>2967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</row>
    <row r="801" spans="1:32">
      <c r="A801" s="2" t="s">
        <v>2969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</row>
    <row r="802" spans="1:32">
      <c r="A802" s="2" t="s">
        <v>2971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</row>
    <row r="803" spans="1:32">
      <c r="A803" s="2" t="s">
        <v>2973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</row>
    <row r="804" spans="1:32">
      <c r="A804" s="2" t="s">
        <v>2977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</row>
    <row r="805" spans="1:32">
      <c r="A805" s="2" t="s">
        <v>3108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</row>
    <row r="806" spans="1:32">
      <c r="A806" s="2" t="s">
        <v>3109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</row>
    <row r="807" spans="1:32">
      <c r="A807" s="2" t="s">
        <v>3081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</row>
    <row r="808" spans="1:32">
      <c r="A808" s="2" t="s">
        <v>3076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</row>
    <row r="809" spans="1:32">
      <c r="A809" s="2" t="s">
        <v>3077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</row>
    <row r="810" spans="1:32">
      <c r="A810" s="2" t="s">
        <v>3078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</row>
    <row r="811" spans="1:32">
      <c r="A811" s="2" t="s">
        <v>3079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</row>
    <row r="812" spans="1:32">
      <c r="A812" s="2" t="s">
        <v>3080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</row>
    <row r="813" spans="1:32">
      <c r="A813" s="2" t="s">
        <v>3116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</row>
    <row r="814" spans="1:32">
      <c r="A814" s="2" t="s">
        <v>3092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</row>
    <row r="815" spans="1:32">
      <c r="A815" s="2" t="s">
        <v>3110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</row>
    <row r="816" spans="1:32">
      <c r="A816" s="2" t="s">
        <v>3113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</row>
    <row r="817" spans="1:32">
      <c r="A817" s="2" t="s">
        <v>3117</v>
      </c>
      <c r="B817" s="48"/>
      <c r="C817" s="48"/>
      <c r="D817" s="48"/>
      <c r="E817" s="48"/>
      <c r="F817" s="48"/>
      <c r="G817" s="48"/>
      <c r="H817" t="b">
        <v>1</v>
      </c>
      <c r="I817" s="48"/>
      <c r="J817" s="47"/>
      <c r="K817" s="48"/>
      <c r="L817" s="48"/>
      <c r="M817" s="48"/>
      <c r="N817" s="48"/>
      <c r="O817" s="48"/>
      <c r="P817" s="48"/>
      <c r="Q817" s="48"/>
      <c r="R817" s="48"/>
      <c r="S817" s="47"/>
      <c r="T817" s="48"/>
      <c r="U817" s="48"/>
      <c r="V817" s="48"/>
      <c r="W817" s="48"/>
      <c r="X817" s="48"/>
      <c r="Y817" s="48"/>
      <c r="Z817" s="48"/>
      <c r="AA817" s="48"/>
      <c r="AB817" s="47"/>
      <c r="AC817" s="48"/>
      <c r="AD817" s="48"/>
      <c r="AE817" s="47"/>
      <c r="AF817" s="47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12" priority="5" operator="equal">
      <formula>FALSE</formula>
    </cfRule>
  </conditionalFormatting>
  <dataValidations count="1">
    <dataValidation type="list" allowBlank="1" showInputMessage="1" showErrorMessage="1" sqref="AO790:AS1048576 AH790:AK1048576 K814:AF1048576 B2:AF817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17"/>
  <sheetViews>
    <sheetView zoomScale="85" zoomScaleNormal="85" workbookViewId="0">
      <pane xSplit="1" ySplit="1" topLeftCell="B788" activePane="bottomRight" state="frozen"/>
      <selection pane="topRight" activeCell="B1" sqref="B1"/>
      <selection pane="bottomLeft" activeCell="A2" sqref="A2"/>
      <selection pane="bottomRight" activeCell="A817" sqref="A817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7" width="10.84375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690</v>
      </c>
      <c r="C1" s="4" t="s">
        <v>691</v>
      </c>
      <c r="D1" s="4" t="s">
        <v>692</v>
      </c>
      <c r="E1" s="4" t="s">
        <v>3028</v>
      </c>
      <c r="F1" s="1" t="s">
        <v>693</v>
      </c>
      <c r="G1" s="1" t="s">
        <v>713</v>
      </c>
      <c r="H1" s="7" t="s">
        <v>714</v>
      </c>
    </row>
    <row r="2" spans="1:22">
      <c r="A2" s="2" t="s">
        <v>742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>
        <v>0</v>
      </c>
      <c r="H2" t="s">
        <v>715</v>
      </c>
      <c r="T2"/>
      <c r="U2"/>
      <c r="V2"/>
    </row>
    <row r="3" spans="1:22">
      <c r="A3" s="2" t="s">
        <v>743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>
        <v>0</v>
      </c>
      <c r="H3" t="s">
        <v>715</v>
      </c>
      <c r="T3"/>
      <c r="U3"/>
      <c r="V3"/>
    </row>
    <row r="4" spans="1:22">
      <c r="A4" s="2" t="s">
        <v>21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>
        <v>-3</v>
      </c>
      <c r="H4" t="s">
        <v>715</v>
      </c>
      <c r="T4"/>
      <c r="U4"/>
      <c r="V4"/>
    </row>
    <row r="5" spans="1:22">
      <c r="A5" s="2" t="s">
        <v>24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>
        <v>-3</v>
      </c>
      <c r="H5" t="s">
        <v>715</v>
      </c>
      <c r="T5"/>
      <c r="U5"/>
      <c r="V5"/>
    </row>
    <row r="6" spans="1:22">
      <c r="A6" s="2" t="s">
        <v>25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>
        <v>0</v>
      </c>
      <c r="H6" t="s">
        <v>715</v>
      </c>
      <c r="T6"/>
      <c r="U6"/>
      <c r="V6"/>
    </row>
    <row r="7" spans="1:22">
      <c r="A7" s="2" t="s">
        <v>26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>
        <v>0</v>
      </c>
      <c r="H7" t="s">
        <v>715</v>
      </c>
      <c r="T7"/>
      <c r="U7"/>
      <c r="V7"/>
    </row>
    <row r="8" spans="1:22">
      <c r="A8" s="2" t="s">
        <v>27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>
        <v>0</v>
      </c>
      <c r="H8" t="s">
        <v>715</v>
      </c>
      <c r="T8"/>
      <c r="U8"/>
      <c r="V8"/>
    </row>
    <row r="9" spans="1:22">
      <c r="A9" s="2" t="s">
        <v>28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>
        <v>0</v>
      </c>
      <c r="H9" t="s">
        <v>715</v>
      </c>
      <c r="T9"/>
      <c r="U9"/>
      <c r="V9"/>
    </row>
    <row r="10" spans="1:22">
      <c r="A10" s="2" t="s">
        <v>29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>
        <v>0</v>
      </c>
      <c r="H10" t="s">
        <v>715</v>
      </c>
      <c r="T10"/>
      <c r="U10"/>
      <c r="V10"/>
    </row>
    <row r="11" spans="1:22">
      <c r="A11" s="2" t="s">
        <v>30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>
        <v>-3</v>
      </c>
      <c r="H11" t="s">
        <v>715</v>
      </c>
      <c r="T11"/>
      <c r="U11"/>
      <c r="V11"/>
    </row>
    <row r="12" spans="1:22">
      <c r="A12" s="2" t="s">
        <v>33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>
        <v>-3</v>
      </c>
      <c r="H12" t="s">
        <v>715</v>
      </c>
      <c r="T12"/>
      <c r="U12"/>
      <c r="V12"/>
    </row>
    <row r="13" spans="1:22">
      <c r="A13" s="2" t="s">
        <v>35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>
        <v>-3</v>
      </c>
      <c r="H13" t="s">
        <v>715</v>
      </c>
      <c r="T13"/>
      <c r="U13"/>
      <c r="V13"/>
    </row>
    <row r="14" spans="1:22">
      <c r="A14" s="2" t="s">
        <v>36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>
        <v>-3</v>
      </c>
      <c r="H14" t="s">
        <v>715</v>
      </c>
      <c r="T14"/>
      <c r="U14"/>
      <c r="V14"/>
    </row>
    <row r="15" spans="1:22">
      <c r="A15" s="2" t="s">
        <v>37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>
        <v>-3</v>
      </c>
      <c r="H15" t="s">
        <v>715</v>
      </c>
      <c r="T15"/>
      <c r="U15"/>
      <c r="V15"/>
    </row>
    <row r="16" spans="1:22">
      <c r="A16" s="2" t="s">
        <v>38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>
        <v>-3</v>
      </c>
      <c r="H16" t="s">
        <v>715</v>
      </c>
      <c r="T16"/>
      <c r="U16"/>
      <c r="V16"/>
    </row>
    <row r="17" spans="1:22">
      <c r="A17" s="2" t="s">
        <v>39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>
        <v>-3</v>
      </c>
      <c r="H17" t="s">
        <v>715</v>
      </c>
      <c r="T17"/>
      <c r="U17"/>
      <c r="V17"/>
    </row>
    <row r="18" spans="1:22">
      <c r="A18" s="2" t="s">
        <v>40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>
        <v>-3</v>
      </c>
      <c r="H18" t="s">
        <v>715</v>
      </c>
      <c r="T18"/>
      <c r="U18"/>
      <c r="V18"/>
    </row>
    <row r="19" spans="1:22">
      <c r="A19" s="2" t="s">
        <v>41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>
        <v>-3</v>
      </c>
      <c r="H19" t="s">
        <v>715</v>
      </c>
      <c r="T19"/>
      <c r="U19"/>
      <c r="V19"/>
    </row>
    <row r="20" spans="1:22">
      <c r="A20" s="2" t="s">
        <v>42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>
        <v>-3</v>
      </c>
      <c r="H20" t="s">
        <v>715</v>
      </c>
      <c r="T20"/>
      <c r="U20"/>
      <c r="V20"/>
    </row>
    <row r="21" spans="1:22">
      <c r="A21" s="2" t="s">
        <v>43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>
        <v>-3</v>
      </c>
      <c r="H21" t="s">
        <v>715</v>
      </c>
      <c r="T21"/>
      <c r="U21"/>
      <c r="V21"/>
    </row>
    <row r="22" spans="1:22">
      <c r="A22" s="2" t="s">
        <v>44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>
        <v>-3</v>
      </c>
      <c r="H22" t="s">
        <v>715</v>
      </c>
      <c r="T22"/>
      <c r="U22"/>
      <c r="V22"/>
    </row>
    <row r="23" spans="1:22">
      <c r="A23" s="2" t="s">
        <v>45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>
        <v>-3</v>
      </c>
      <c r="H23" t="s">
        <v>715</v>
      </c>
      <c r="T23"/>
      <c r="U23"/>
      <c r="V23"/>
    </row>
    <row r="24" spans="1:22">
      <c r="A24" s="2" t="s">
        <v>46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>
        <v>-3</v>
      </c>
      <c r="H24" t="s">
        <v>715</v>
      </c>
      <c r="T24"/>
      <c r="U24"/>
      <c r="V24"/>
    </row>
    <row r="25" spans="1:22">
      <c r="A25" s="2" t="s">
        <v>47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>
        <v>-3</v>
      </c>
      <c r="H25" t="s">
        <v>715</v>
      </c>
      <c r="T25"/>
      <c r="U25"/>
      <c r="V25"/>
    </row>
    <row r="26" spans="1:22">
      <c r="A26" s="2" t="s">
        <v>48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>
        <v>-3</v>
      </c>
      <c r="H26" t="s">
        <v>715</v>
      </c>
      <c r="T26"/>
      <c r="U26"/>
      <c r="V26"/>
    </row>
    <row r="27" spans="1:22">
      <c r="A27" s="2" t="s">
        <v>49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>
        <v>-3</v>
      </c>
      <c r="H27" t="s">
        <v>715</v>
      </c>
      <c r="T27"/>
      <c r="U27"/>
      <c r="V27"/>
    </row>
    <row r="28" spans="1:22">
      <c r="A28" s="2" t="s">
        <v>50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>
        <v>0</v>
      </c>
      <c r="H28" t="s">
        <v>715</v>
      </c>
      <c r="T28"/>
      <c r="U28"/>
      <c r="V28"/>
    </row>
    <row r="29" spans="1:22">
      <c r="A29" s="2" t="s">
        <v>51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>
        <v>0</v>
      </c>
      <c r="H29" t="s">
        <v>715</v>
      </c>
      <c r="T29"/>
      <c r="U29"/>
      <c r="V29"/>
    </row>
    <row r="30" spans="1:22">
      <c r="A30" s="2" t="s">
        <v>52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>
        <v>0</v>
      </c>
      <c r="H30" t="s">
        <v>715</v>
      </c>
      <c r="T30"/>
      <c r="U30"/>
      <c r="V30"/>
    </row>
    <row r="31" spans="1:22">
      <c r="A31" s="2" t="s">
        <v>53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>
        <v>0</v>
      </c>
      <c r="H31" t="s">
        <v>715</v>
      </c>
      <c r="T31"/>
      <c r="U31"/>
      <c r="V31"/>
    </row>
    <row r="32" spans="1:22">
      <c r="A32" s="2" t="s">
        <v>54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>
        <v>0</v>
      </c>
      <c r="H32" t="s">
        <v>715</v>
      </c>
      <c r="T32"/>
      <c r="U32"/>
      <c r="V32"/>
    </row>
    <row r="33" spans="1:22">
      <c r="A33" s="2" t="s">
        <v>55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>
        <v>0</v>
      </c>
      <c r="H33" t="s">
        <v>715</v>
      </c>
      <c r="T33"/>
      <c r="U33"/>
      <c r="V33"/>
    </row>
    <row r="34" spans="1:22">
      <c r="A34" s="2" t="s">
        <v>56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>
        <v>0</v>
      </c>
      <c r="H34" t="s">
        <v>715</v>
      </c>
      <c r="T34"/>
      <c r="U34"/>
      <c r="V34"/>
    </row>
    <row r="35" spans="1:22">
      <c r="A35" s="2" t="s">
        <v>57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>
        <v>0</v>
      </c>
      <c r="H35" t="s">
        <v>715</v>
      </c>
      <c r="T35"/>
      <c r="U35"/>
      <c r="V35"/>
    </row>
    <row r="36" spans="1:22">
      <c r="A36" s="2" t="s">
        <v>58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>
        <v>0</v>
      </c>
      <c r="H36" t="s">
        <v>715</v>
      </c>
      <c r="T36"/>
      <c r="U36"/>
      <c r="V36"/>
    </row>
    <row r="37" spans="1:22">
      <c r="A37" s="2" t="s">
        <v>59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>
        <v>0</v>
      </c>
      <c r="H37" t="s">
        <v>715</v>
      </c>
      <c r="T37"/>
      <c r="U37"/>
      <c r="V37"/>
    </row>
    <row r="38" spans="1:22">
      <c r="A38" s="2" t="s">
        <v>60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>
        <v>0</v>
      </c>
      <c r="H38" t="s">
        <v>715</v>
      </c>
      <c r="T38"/>
      <c r="U38"/>
      <c r="V38"/>
    </row>
    <row r="39" spans="1:22">
      <c r="A39" s="2" t="s">
        <v>61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>
        <v>0</v>
      </c>
      <c r="H39" t="s">
        <v>715</v>
      </c>
      <c r="T39"/>
      <c r="U39"/>
      <c r="V39"/>
    </row>
    <row r="40" spans="1:22">
      <c r="A40" s="2" t="s">
        <v>62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>
        <v>0</v>
      </c>
      <c r="H40" t="s">
        <v>715</v>
      </c>
      <c r="T40"/>
      <c r="U40"/>
      <c r="V40"/>
    </row>
    <row r="41" spans="1:22">
      <c r="A41" s="2" t="s">
        <v>63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>
        <v>0</v>
      </c>
      <c r="H41" t="s">
        <v>715</v>
      </c>
      <c r="T41"/>
      <c r="U41"/>
      <c r="V41"/>
    </row>
    <row r="42" spans="1:22">
      <c r="A42" s="2" t="s">
        <v>64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>
        <v>0</v>
      </c>
      <c r="H42" t="s">
        <v>715</v>
      </c>
      <c r="T42"/>
      <c r="U42"/>
      <c r="V42"/>
    </row>
    <row r="43" spans="1:22">
      <c r="A43" s="2" t="s">
        <v>65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>
        <v>0</v>
      </c>
      <c r="H43" t="s">
        <v>715</v>
      </c>
      <c r="T43"/>
      <c r="U43"/>
      <c r="V43"/>
    </row>
    <row r="44" spans="1:22">
      <c r="A44" s="2" t="s">
        <v>66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>
        <v>0</v>
      </c>
      <c r="H44" t="s">
        <v>715</v>
      </c>
      <c r="T44"/>
      <c r="U44"/>
      <c r="V44"/>
    </row>
    <row r="45" spans="1:22">
      <c r="A45" s="2" t="s">
        <v>67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>
        <v>0</v>
      </c>
      <c r="H45" t="s">
        <v>715</v>
      </c>
      <c r="T45"/>
      <c r="U45"/>
      <c r="V45"/>
    </row>
    <row r="46" spans="1:22">
      <c r="A46" s="2" t="s">
        <v>68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>
        <v>0</v>
      </c>
      <c r="H46" t="s">
        <v>715</v>
      </c>
      <c r="T46"/>
      <c r="U46"/>
      <c r="V46"/>
    </row>
    <row r="47" spans="1:22">
      <c r="A47" s="2" t="s">
        <v>69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>
        <v>0</v>
      </c>
      <c r="H47" t="s">
        <v>715</v>
      </c>
      <c r="T47"/>
      <c r="U47"/>
      <c r="V47"/>
    </row>
    <row r="48" spans="1:22">
      <c r="A48" s="2" t="s">
        <v>70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>
        <v>0</v>
      </c>
      <c r="H48" t="s">
        <v>715</v>
      </c>
      <c r="T48"/>
      <c r="U48"/>
      <c r="V48"/>
    </row>
    <row r="49" spans="1:22">
      <c r="A49" s="2" t="s">
        <v>71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>
        <v>0</v>
      </c>
      <c r="H49" t="s">
        <v>715</v>
      </c>
      <c r="T49"/>
      <c r="U49"/>
      <c r="V49"/>
    </row>
    <row r="50" spans="1:22">
      <c r="A50" s="2" t="s">
        <v>72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>
        <v>0</v>
      </c>
      <c r="H50" t="s">
        <v>715</v>
      </c>
      <c r="T50"/>
      <c r="U50"/>
      <c r="V50"/>
    </row>
    <row r="51" spans="1:22">
      <c r="A51" s="2" t="s">
        <v>74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>
        <v>0</v>
      </c>
      <c r="H51" t="s">
        <v>715</v>
      </c>
      <c r="T51"/>
      <c r="U51"/>
      <c r="V51"/>
    </row>
    <row r="52" spans="1:22">
      <c r="A52" s="2" t="s">
        <v>75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>
        <v>-3</v>
      </c>
      <c r="H52" t="s">
        <v>715</v>
      </c>
      <c r="T52"/>
      <c r="U52"/>
      <c r="V52"/>
    </row>
    <row r="53" spans="1:22">
      <c r="A53" s="2" t="s">
        <v>76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>
        <v>-3</v>
      </c>
      <c r="H53" t="s">
        <v>715</v>
      </c>
      <c r="T53"/>
      <c r="U53"/>
      <c r="V53"/>
    </row>
    <row r="54" spans="1:22">
      <c r="A54" s="2" t="s">
        <v>77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>
        <v>0</v>
      </c>
      <c r="H54" t="s">
        <v>715</v>
      </c>
      <c r="T54"/>
      <c r="U54"/>
      <c r="V54"/>
    </row>
    <row r="55" spans="1:22">
      <c r="A55" s="2" t="s">
        <v>78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>
        <v>-3</v>
      </c>
      <c r="H55" t="s">
        <v>715</v>
      </c>
      <c r="T55"/>
      <c r="U55"/>
      <c r="V55"/>
    </row>
    <row r="56" spans="1:22">
      <c r="A56" s="2" t="s">
        <v>79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>
        <v>0</v>
      </c>
      <c r="H56" t="s">
        <v>715</v>
      </c>
      <c r="T56"/>
      <c r="U56"/>
      <c r="V56"/>
    </row>
    <row r="57" spans="1:22">
      <c r="A57" s="2" t="s">
        <v>80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>
        <v>0</v>
      </c>
      <c r="H57" t="s">
        <v>715</v>
      </c>
      <c r="T57"/>
      <c r="U57"/>
      <c r="V57"/>
    </row>
    <row r="58" spans="1:22">
      <c r="A58" s="2" t="s">
        <v>81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>
        <v>-3</v>
      </c>
      <c r="H58" t="s">
        <v>715</v>
      </c>
      <c r="T58"/>
      <c r="U58"/>
      <c r="V58"/>
    </row>
    <row r="59" spans="1:22">
      <c r="A59" s="2" t="s">
        <v>82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>
        <v>0</v>
      </c>
      <c r="H59" t="s">
        <v>715</v>
      </c>
      <c r="T59"/>
      <c r="U59"/>
      <c r="V59"/>
    </row>
    <row r="60" spans="1:22">
      <c r="A60" s="2" t="s">
        <v>83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>
        <v>0</v>
      </c>
      <c r="H60" t="s">
        <v>715</v>
      </c>
      <c r="T60"/>
      <c r="U60"/>
      <c r="V60"/>
    </row>
    <row r="61" spans="1:22">
      <c r="A61" s="2" t="s">
        <v>84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>
        <v>0</v>
      </c>
      <c r="H61" t="s">
        <v>715</v>
      </c>
      <c r="T61"/>
      <c r="U61"/>
      <c r="V61"/>
    </row>
    <row r="62" spans="1:22">
      <c r="A62" s="2" t="s">
        <v>85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>
        <v>-3</v>
      </c>
      <c r="H62" t="s">
        <v>715</v>
      </c>
      <c r="T62"/>
      <c r="U62"/>
      <c r="V62"/>
    </row>
    <row r="63" spans="1:22">
      <c r="A63" s="2" t="s">
        <v>86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>
        <v>0</v>
      </c>
      <c r="H63" t="s">
        <v>715</v>
      </c>
      <c r="T63"/>
      <c r="U63"/>
      <c r="V63"/>
    </row>
    <row r="64" spans="1:22">
      <c r="A64" s="2" t="s">
        <v>87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>
        <v>0</v>
      </c>
      <c r="H64" t="s">
        <v>715</v>
      </c>
      <c r="T64"/>
      <c r="U64"/>
      <c r="V64"/>
    </row>
    <row r="65" spans="1:22">
      <c r="A65" s="2" t="s">
        <v>88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>
        <v>0</v>
      </c>
      <c r="H65" t="s">
        <v>715</v>
      </c>
      <c r="T65"/>
      <c r="U65"/>
      <c r="V65"/>
    </row>
    <row r="66" spans="1:22">
      <c r="A66" s="2" t="s">
        <v>89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>
        <v>-3</v>
      </c>
      <c r="H66" t="s">
        <v>715</v>
      </c>
      <c r="T66"/>
      <c r="U66"/>
      <c r="V66"/>
    </row>
    <row r="67" spans="1:22">
      <c r="A67" s="2" t="s">
        <v>90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>
        <v>0</v>
      </c>
      <c r="H67" t="s">
        <v>715</v>
      </c>
      <c r="T67"/>
      <c r="U67"/>
      <c r="V67"/>
    </row>
    <row r="68" spans="1:22">
      <c r="A68" s="2" t="s">
        <v>91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>
        <v>-3</v>
      </c>
      <c r="H68" t="s">
        <v>715</v>
      </c>
      <c r="T68"/>
      <c r="U68"/>
      <c r="V68"/>
    </row>
    <row r="69" spans="1:22">
      <c r="A69" s="2" t="s">
        <v>92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>
        <v>0</v>
      </c>
      <c r="H69" t="s">
        <v>715</v>
      </c>
      <c r="T69"/>
      <c r="U69"/>
      <c r="V69"/>
    </row>
    <row r="70" spans="1:22">
      <c r="A70" s="2" t="s">
        <v>93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>
        <v>0</v>
      </c>
      <c r="H70" t="s">
        <v>715</v>
      </c>
      <c r="T70"/>
      <c r="U70"/>
      <c r="V70"/>
    </row>
    <row r="71" spans="1:22">
      <c r="A71" s="2" t="s">
        <v>94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>
        <v>-3</v>
      </c>
      <c r="H71" t="s">
        <v>715</v>
      </c>
      <c r="T71"/>
      <c r="U71"/>
      <c r="V71"/>
    </row>
    <row r="72" spans="1:22">
      <c r="A72" s="2" t="s">
        <v>95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>
        <v>-3</v>
      </c>
      <c r="H72" t="s">
        <v>715</v>
      </c>
      <c r="T72"/>
      <c r="U72"/>
      <c r="V72"/>
    </row>
    <row r="73" spans="1:22">
      <c r="A73" s="2" t="s">
        <v>96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>
        <v>-3</v>
      </c>
      <c r="H73" t="s">
        <v>715</v>
      </c>
      <c r="T73"/>
      <c r="U73"/>
      <c r="V73"/>
    </row>
    <row r="74" spans="1:22">
      <c r="A74" s="2" t="s">
        <v>97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>
        <v>0</v>
      </c>
      <c r="H74" t="s">
        <v>715</v>
      </c>
      <c r="T74"/>
      <c r="U74"/>
      <c r="V74"/>
    </row>
    <row r="75" spans="1:22">
      <c r="A75" s="2" t="s">
        <v>98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>
        <v>0</v>
      </c>
      <c r="H75" t="s">
        <v>715</v>
      </c>
      <c r="T75"/>
      <c r="U75"/>
      <c r="V75"/>
    </row>
    <row r="76" spans="1:22">
      <c r="A76" s="2" t="s">
        <v>99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>
        <v>0</v>
      </c>
      <c r="H76" t="s">
        <v>715</v>
      </c>
      <c r="T76"/>
      <c r="U76"/>
      <c r="V76"/>
    </row>
    <row r="77" spans="1:22">
      <c r="A77" s="2" t="s">
        <v>100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>
        <v>0</v>
      </c>
      <c r="H77" t="s">
        <v>715</v>
      </c>
      <c r="T77"/>
      <c r="U77"/>
      <c r="V77"/>
    </row>
    <row r="78" spans="1:22">
      <c r="A78" s="2" t="s">
        <v>101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>
        <v>-3</v>
      </c>
      <c r="H78" t="s">
        <v>715</v>
      </c>
      <c r="T78"/>
      <c r="U78"/>
      <c r="V78"/>
    </row>
    <row r="79" spans="1:22">
      <c r="A79" s="2" t="s">
        <v>102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>
        <v>-3</v>
      </c>
      <c r="H79" t="s">
        <v>715</v>
      </c>
      <c r="T79"/>
      <c r="U79"/>
      <c r="V79"/>
    </row>
    <row r="80" spans="1:22">
      <c r="A80" s="2" t="s">
        <v>103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>
        <v>0</v>
      </c>
      <c r="H80" t="s">
        <v>715</v>
      </c>
      <c r="T80"/>
      <c r="U80"/>
      <c r="V80"/>
    </row>
    <row r="81" spans="1:22">
      <c r="A81" s="2" t="s">
        <v>104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>
        <v>0</v>
      </c>
      <c r="H81" t="s">
        <v>715</v>
      </c>
      <c r="T81"/>
      <c r="U81"/>
      <c r="V81"/>
    </row>
    <row r="82" spans="1:22">
      <c r="A82" s="2" t="s">
        <v>105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>
        <v>-3</v>
      </c>
      <c r="H82" t="s">
        <v>715</v>
      </c>
      <c r="T82"/>
      <c r="U82"/>
      <c r="V82"/>
    </row>
    <row r="83" spans="1:22">
      <c r="A83" s="2" t="s">
        <v>106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>
        <v>0</v>
      </c>
      <c r="H83" t="s">
        <v>715</v>
      </c>
      <c r="T83"/>
      <c r="U83"/>
      <c r="V83"/>
    </row>
    <row r="84" spans="1:22">
      <c r="A84" s="2" t="s">
        <v>107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>
        <v>-3</v>
      </c>
      <c r="H84" t="s">
        <v>715</v>
      </c>
      <c r="T84"/>
      <c r="U84"/>
      <c r="V84"/>
    </row>
    <row r="85" spans="1:22">
      <c r="A85" s="2" t="s">
        <v>108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>
        <v>0</v>
      </c>
      <c r="H85" t="s">
        <v>715</v>
      </c>
      <c r="T85"/>
      <c r="U85"/>
      <c r="V85"/>
    </row>
    <row r="86" spans="1:22">
      <c r="A86" s="2" t="s">
        <v>109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>
        <v>0</v>
      </c>
      <c r="H86" t="s">
        <v>715</v>
      </c>
      <c r="T86"/>
      <c r="U86"/>
      <c r="V86"/>
    </row>
    <row r="87" spans="1:22">
      <c r="A87" s="2" t="s">
        <v>110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>
        <v>0</v>
      </c>
      <c r="H87" t="s">
        <v>715</v>
      </c>
      <c r="T87"/>
      <c r="U87"/>
      <c r="V87"/>
    </row>
    <row r="88" spans="1:22">
      <c r="A88" s="2" t="s">
        <v>111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>
        <v>0</v>
      </c>
      <c r="H88" t="s">
        <v>715</v>
      </c>
      <c r="T88"/>
      <c r="U88"/>
      <c r="V88"/>
    </row>
    <row r="89" spans="1:22">
      <c r="A89" s="2" t="s">
        <v>112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>
        <v>-3</v>
      </c>
      <c r="H89" t="s">
        <v>715</v>
      </c>
      <c r="T89"/>
      <c r="U89"/>
      <c r="V89"/>
    </row>
    <row r="90" spans="1:22">
      <c r="A90" s="2" t="s">
        <v>113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>
        <v>0</v>
      </c>
      <c r="H90" t="s">
        <v>715</v>
      </c>
      <c r="T90"/>
      <c r="U90"/>
      <c r="V90"/>
    </row>
    <row r="91" spans="1:22">
      <c r="A91" s="2" t="s">
        <v>114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>
        <v>0</v>
      </c>
      <c r="H91" t="s">
        <v>715</v>
      </c>
      <c r="T91"/>
      <c r="U91"/>
      <c r="V91"/>
    </row>
    <row r="92" spans="1:22">
      <c r="A92" s="2" t="s">
        <v>115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>
        <v>-3</v>
      </c>
      <c r="H92" t="s">
        <v>715</v>
      </c>
      <c r="T92"/>
      <c r="U92"/>
      <c r="V92"/>
    </row>
    <row r="93" spans="1:22">
      <c r="A93" s="2" t="s">
        <v>116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>
        <v>0</v>
      </c>
      <c r="H93" t="s">
        <v>715</v>
      </c>
      <c r="T93"/>
      <c r="U93"/>
      <c r="V93"/>
    </row>
    <row r="94" spans="1:22">
      <c r="A94" s="2" t="s">
        <v>117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>
        <v>0</v>
      </c>
      <c r="H94" t="s">
        <v>715</v>
      </c>
      <c r="T94"/>
      <c r="U94"/>
      <c r="V94"/>
    </row>
    <row r="95" spans="1:22">
      <c r="A95" s="2" t="s">
        <v>118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>
        <v>0</v>
      </c>
      <c r="H95" t="s">
        <v>715</v>
      </c>
      <c r="T95"/>
      <c r="U95"/>
      <c r="V95"/>
    </row>
    <row r="96" spans="1:22">
      <c r="A96" s="2" t="s">
        <v>119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>
        <v>0</v>
      </c>
      <c r="H96" t="s">
        <v>715</v>
      </c>
      <c r="T96"/>
      <c r="U96"/>
      <c r="V96"/>
    </row>
    <row r="97" spans="1:22">
      <c r="A97" s="2" t="s">
        <v>120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>
        <v>0</v>
      </c>
      <c r="H97" t="s">
        <v>715</v>
      </c>
      <c r="T97"/>
      <c r="U97"/>
      <c r="V97"/>
    </row>
    <row r="98" spans="1:22">
      <c r="A98" s="2" t="s">
        <v>121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>
        <v>-3</v>
      </c>
      <c r="H98" t="s">
        <v>715</v>
      </c>
      <c r="T98"/>
      <c r="U98"/>
      <c r="V98"/>
    </row>
    <row r="99" spans="1:22">
      <c r="A99" s="2" t="s">
        <v>122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>
        <v>-3</v>
      </c>
      <c r="H99" t="s">
        <v>715</v>
      </c>
      <c r="T99"/>
      <c r="U99"/>
      <c r="V99"/>
    </row>
    <row r="100" spans="1:22">
      <c r="A100" s="2" t="s">
        <v>123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>
        <v>0</v>
      </c>
      <c r="H100" t="s">
        <v>715</v>
      </c>
      <c r="T100"/>
      <c r="U100"/>
      <c r="V100"/>
    </row>
    <row r="101" spans="1:22">
      <c r="A101" s="2" t="s">
        <v>124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>
        <v>0</v>
      </c>
      <c r="H101" t="s">
        <v>715</v>
      </c>
      <c r="T101"/>
      <c r="U101"/>
      <c r="V101"/>
    </row>
    <row r="102" spans="1:22">
      <c r="A102" s="2" t="s">
        <v>125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>
        <v>0</v>
      </c>
      <c r="H102" t="s">
        <v>715</v>
      </c>
      <c r="T102"/>
      <c r="U102"/>
      <c r="V102"/>
    </row>
    <row r="103" spans="1:22">
      <c r="A103" s="2" t="s">
        <v>126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>
        <v>0</v>
      </c>
      <c r="H103" t="s">
        <v>715</v>
      </c>
      <c r="T103"/>
      <c r="U103"/>
      <c r="V103"/>
    </row>
    <row r="104" spans="1:22">
      <c r="A104" s="2" t="s">
        <v>127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>
        <v>0</v>
      </c>
      <c r="H104" t="s">
        <v>715</v>
      </c>
      <c r="T104"/>
      <c r="U104"/>
      <c r="V104"/>
    </row>
    <row r="105" spans="1:22">
      <c r="A105" s="2" t="s">
        <v>128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>
        <v>0</v>
      </c>
      <c r="H105" t="s">
        <v>715</v>
      </c>
      <c r="T105"/>
      <c r="U105"/>
      <c r="V105"/>
    </row>
    <row r="106" spans="1:22">
      <c r="A106" s="2" t="s">
        <v>129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>
        <v>0</v>
      </c>
      <c r="H106" t="s">
        <v>715</v>
      </c>
      <c r="T106"/>
      <c r="U106"/>
      <c r="V106"/>
    </row>
    <row r="107" spans="1:22">
      <c r="A107" s="2" t="s">
        <v>130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>
        <v>0</v>
      </c>
      <c r="H107" t="s">
        <v>715</v>
      </c>
      <c r="T107"/>
      <c r="U107"/>
      <c r="V107"/>
    </row>
    <row r="108" spans="1:22">
      <c r="A108" s="2" t="s">
        <v>131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>
        <v>0</v>
      </c>
      <c r="H108" t="s">
        <v>715</v>
      </c>
      <c r="T108"/>
      <c r="U108"/>
      <c r="V108"/>
    </row>
    <row r="109" spans="1:22">
      <c r="A109" s="2" t="s">
        <v>132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>
        <v>0</v>
      </c>
      <c r="H109" t="s">
        <v>715</v>
      </c>
      <c r="T109"/>
      <c r="U109"/>
      <c r="V109"/>
    </row>
    <row r="110" spans="1:22">
      <c r="A110" s="2" t="s">
        <v>133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>
        <v>0</v>
      </c>
      <c r="H110" t="s">
        <v>715</v>
      </c>
      <c r="T110"/>
      <c r="U110"/>
      <c r="V110"/>
    </row>
    <row r="111" spans="1:22">
      <c r="A111" s="2" t="s">
        <v>134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>
        <v>0</v>
      </c>
      <c r="H111" t="s">
        <v>715</v>
      </c>
      <c r="T111"/>
      <c r="U111"/>
      <c r="V111"/>
    </row>
    <row r="112" spans="1:22">
      <c r="A112" s="2" t="s">
        <v>135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>
        <v>0</v>
      </c>
      <c r="H112" t="s">
        <v>715</v>
      </c>
      <c r="T112"/>
      <c r="U112"/>
      <c r="V112"/>
    </row>
    <row r="113" spans="1:22">
      <c r="A113" s="2" t="s">
        <v>136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>
        <v>0</v>
      </c>
      <c r="H113" t="s">
        <v>715</v>
      </c>
      <c r="T113"/>
      <c r="U113"/>
      <c r="V113"/>
    </row>
    <row r="114" spans="1:22">
      <c r="A114" s="2" t="s">
        <v>137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>
        <v>0</v>
      </c>
      <c r="H114" t="s">
        <v>715</v>
      </c>
      <c r="T114"/>
      <c r="U114"/>
      <c r="V114"/>
    </row>
    <row r="115" spans="1:22">
      <c r="A115" s="2" t="s">
        <v>138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>
        <v>0</v>
      </c>
      <c r="H115" t="s">
        <v>715</v>
      </c>
      <c r="T115"/>
      <c r="U115"/>
      <c r="V115"/>
    </row>
    <row r="116" spans="1:22">
      <c r="A116" s="2" t="s">
        <v>139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>
        <v>0</v>
      </c>
      <c r="H116" t="s">
        <v>715</v>
      </c>
      <c r="T116"/>
      <c r="U116"/>
      <c r="V116"/>
    </row>
    <row r="117" spans="1:22">
      <c r="A117" s="2" t="s">
        <v>140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>
        <v>0</v>
      </c>
      <c r="H117" t="s">
        <v>715</v>
      </c>
      <c r="T117"/>
      <c r="U117"/>
      <c r="V117"/>
    </row>
    <row r="118" spans="1:22">
      <c r="A118" s="2" t="s">
        <v>141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>
        <v>0</v>
      </c>
      <c r="H118" t="s">
        <v>715</v>
      </c>
      <c r="T118"/>
      <c r="U118"/>
      <c r="V118"/>
    </row>
    <row r="119" spans="1:22">
      <c r="A119" s="2" t="s">
        <v>142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>
        <v>0</v>
      </c>
      <c r="H119" t="s">
        <v>715</v>
      </c>
      <c r="T119"/>
      <c r="U119"/>
      <c r="V119"/>
    </row>
    <row r="120" spans="1:22">
      <c r="A120" s="2" t="s">
        <v>143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>
        <v>0</v>
      </c>
      <c r="H120" t="s">
        <v>715</v>
      </c>
      <c r="T120"/>
      <c r="U120"/>
      <c r="V120"/>
    </row>
    <row r="121" spans="1:22">
      <c r="A121" s="2" t="s">
        <v>144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>
        <v>0</v>
      </c>
      <c r="H121" t="s">
        <v>715</v>
      </c>
      <c r="T121"/>
      <c r="U121"/>
      <c r="V121"/>
    </row>
    <row r="122" spans="1:22">
      <c r="A122" s="2" t="s">
        <v>145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>
        <v>0</v>
      </c>
      <c r="H122" t="s">
        <v>715</v>
      </c>
      <c r="T122"/>
      <c r="U122"/>
      <c r="V122"/>
    </row>
    <row r="123" spans="1:22">
      <c r="A123" s="2" t="s">
        <v>146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>
        <v>0</v>
      </c>
      <c r="H123" t="s">
        <v>715</v>
      </c>
      <c r="T123"/>
      <c r="U123"/>
      <c r="V123"/>
    </row>
    <row r="124" spans="1:22">
      <c r="A124" s="2" t="s">
        <v>147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>
        <v>0</v>
      </c>
      <c r="H124" t="s">
        <v>715</v>
      </c>
      <c r="T124"/>
      <c r="U124"/>
      <c r="V124"/>
    </row>
    <row r="125" spans="1:22">
      <c r="A125" s="2" t="s">
        <v>148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>
        <v>0</v>
      </c>
      <c r="H125" t="s">
        <v>715</v>
      </c>
      <c r="T125"/>
      <c r="U125"/>
      <c r="V125"/>
    </row>
    <row r="126" spans="1:22">
      <c r="A126" s="2" t="s">
        <v>149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>
        <v>0</v>
      </c>
      <c r="H126" t="s">
        <v>715</v>
      </c>
      <c r="T126"/>
      <c r="U126"/>
      <c r="V126"/>
    </row>
    <row r="127" spans="1:22">
      <c r="A127" s="2" t="s">
        <v>150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>
        <v>0</v>
      </c>
      <c r="H127" t="s">
        <v>715</v>
      </c>
      <c r="T127"/>
      <c r="U127"/>
      <c r="V127"/>
    </row>
    <row r="128" spans="1:22">
      <c r="A128" s="2" t="s">
        <v>151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>
        <v>0</v>
      </c>
      <c r="H128" t="s">
        <v>715</v>
      </c>
      <c r="T128"/>
      <c r="U128"/>
      <c r="V128"/>
    </row>
    <row r="129" spans="1:22">
      <c r="A129" s="2" t="s">
        <v>152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>
        <v>0</v>
      </c>
      <c r="H129" t="s">
        <v>715</v>
      </c>
      <c r="T129"/>
      <c r="U129"/>
      <c r="V129"/>
    </row>
    <row r="130" spans="1:22">
      <c r="A130" s="2" t="s">
        <v>153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>
        <v>0</v>
      </c>
      <c r="H130" t="s">
        <v>715</v>
      </c>
      <c r="T130"/>
      <c r="U130"/>
      <c r="V130"/>
    </row>
    <row r="131" spans="1:22">
      <c r="A131" s="2" t="s">
        <v>154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>
        <v>0</v>
      </c>
      <c r="H131" t="s">
        <v>715</v>
      </c>
      <c r="T131"/>
      <c r="U131"/>
      <c r="V131"/>
    </row>
    <row r="132" spans="1:22">
      <c r="A132" s="2" t="s">
        <v>155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>
        <v>0</v>
      </c>
      <c r="H132" t="s">
        <v>715</v>
      </c>
      <c r="T132"/>
      <c r="U132"/>
      <c r="V132"/>
    </row>
    <row r="133" spans="1:22">
      <c r="A133" s="2" t="s">
        <v>156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>
        <v>0</v>
      </c>
      <c r="H133" t="s">
        <v>715</v>
      </c>
      <c r="T133"/>
      <c r="U133"/>
      <c r="V133"/>
    </row>
    <row r="134" spans="1:22">
      <c r="A134" s="2" t="s">
        <v>157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>
        <v>0</v>
      </c>
      <c r="H134" t="s">
        <v>715</v>
      </c>
      <c r="T134"/>
      <c r="U134"/>
      <c r="V134"/>
    </row>
    <row r="135" spans="1:22">
      <c r="A135" s="2" t="s">
        <v>158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>
        <v>0</v>
      </c>
      <c r="H135" t="s">
        <v>715</v>
      </c>
      <c r="T135"/>
      <c r="U135"/>
      <c r="V135"/>
    </row>
    <row r="136" spans="1:22">
      <c r="A136" s="2" t="s">
        <v>159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>
        <v>0</v>
      </c>
      <c r="H136" t="s">
        <v>715</v>
      </c>
      <c r="T136"/>
      <c r="U136"/>
      <c r="V136"/>
    </row>
    <row r="137" spans="1:22">
      <c r="A137" s="2" t="s">
        <v>160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>
        <v>0</v>
      </c>
      <c r="H137" t="s">
        <v>715</v>
      </c>
      <c r="T137"/>
      <c r="U137"/>
      <c r="V137"/>
    </row>
    <row r="138" spans="1:22">
      <c r="A138" s="2" t="s">
        <v>161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>
        <v>0</v>
      </c>
      <c r="H138" t="s">
        <v>715</v>
      </c>
      <c r="T138"/>
      <c r="U138"/>
      <c r="V138"/>
    </row>
    <row r="139" spans="1:22">
      <c r="A139" s="2" t="s">
        <v>162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>
        <v>0</v>
      </c>
      <c r="H139" t="s">
        <v>715</v>
      </c>
      <c r="T139"/>
      <c r="U139"/>
      <c r="V139"/>
    </row>
    <row r="140" spans="1:22">
      <c r="A140" s="2" t="s">
        <v>163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>
        <v>0</v>
      </c>
      <c r="H140" t="s">
        <v>715</v>
      </c>
      <c r="T140"/>
      <c r="U140"/>
      <c r="V140"/>
    </row>
    <row r="141" spans="1:22">
      <c r="A141" s="2" t="s">
        <v>164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>
        <v>0</v>
      </c>
      <c r="H141" t="s">
        <v>715</v>
      </c>
      <c r="T141"/>
      <c r="U141"/>
      <c r="V141"/>
    </row>
    <row r="142" spans="1:22">
      <c r="A142" s="2" t="s">
        <v>165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>
        <v>0</v>
      </c>
      <c r="H142" t="s">
        <v>715</v>
      </c>
      <c r="T142"/>
      <c r="U142"/>
      <c r="V142"/>
    </row>
    <row r="143" spans="1:22">
      <c r="A143" s="2" t="s">
        <v>166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>
        <v>0</v>
      </c>
      <c r="H143" t="s">
        <v>715</v>
      </c>
      <c r="T143"/>
      <c r="U143"/>
      <c r="V143"/>
    </row>
    <row r="144" spans="1:22">
      <c r="A144" s="2" t="s">
        <v>167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>
        <v>0</v>
      </c>
      <c r="H144" t="s">
        <v>715</v>
      </c>
      <c r="T144"/>
      <c r="U144"/>
      <c r="V144"/>
    </row>
    <row r="145" spans="1:22">
      <c r="A145" s="2" t="s">
        <v>168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>
        <v>0</v>
      </c>
      <c r="H145" t="s">
        <v>715</v>
      </c>
      <c r="T145"/>
      <c r="U145"/>
      <c r="V145"/>
    </row>
    <row r="146" spans="1:22">
      <c r="A146" s="2" t="s">
        <v>169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>
        <v>0</v>
      </c>
      <c r="H146" t="s">
        <v>715</v>
      </c>
      <c r="T146"/>
      <c r="U146"/>
      <c r="V146"/>
    </row>
    <row r="147" spans="1:22">
      <c r="A147" s="2" t="s">
        <v>170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>
        <v>0</v>
      </c>
      <c r="H147" t="s">
        <v>715</v>
      </c>
      <c r="T147"/>
      <c r="U147"/>
      <c r="V147"/>
    </row>
    <row r="148" spans="1:22">
      <c r="A148" s="2" t="s">
        <v>171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>
        <v>0</v>
      </c>
      <c r="H148" t="s">
        <v>715</v>
      </c>
      <c r="T148"/>
      <c r="U148"/>
      <c r="V148"/>
    </row>
    <row r="149" spans="1:22">
      <c r="A149" s="2" t="s">
        <v>172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>
        <v>0</v>
      </c>
      <c r="H149" t="s">
        <v>715</v>
      </c>
      <c r="T149"/>
      <c r="U149"/>
      <c r="V149"/>
    </row>
    <row r="150" spans="1:22">
      <c r="A150" s="2" t="s">
        <v>173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>
        <v>0</v>
      </c>
      <c r="H150" t="s">
        <v>715</v>
      </c>
      <c r="T150"/>
      <c r="U150"/>
      <c r="V150"/>
    </row>
    <row r="151" spans="1:22">
      <c r="A151" s="2" t="s">
        <v>174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>
        <v>0</v>
      </c>
      <c r="H151" t="s">
        <v>715</v>
      </c>
      <c r="T151"/>
      <c r="U151"/>
      <c r="V151"/>
    </row>
    <row r="152" spans="1:22">
      <c r="A152" s="2" t="s">
        <v>175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>
        <v>0</v>
      </c>
      <c r="H152" t="s">
        <v>715</v>
      </c>
      <c r="T152"/>
      <c r="U152"/>
      <c r="V152"/>
    </row>
    <row r="153" spans="1:22">
      <c r="A153" s="2" t="s">
        <v>176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>
        <v>0</v>
      </c>
      <c r="H153" t="s">
        <v>715</v>
      </c>
      <c r="T153"/>
      <c r="U153"/>
      <c r="V153"/>
    </row>
    <row r="154" spans="1:22">
      <c r="A154" s="2" t="s">
        <v>177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>
        <v>0</v>
      </c>
      <c r="H154" t="s">
        <v>715</v>
      </c>
      <c r="T154"/>
      <c r="U154"/>
      <c r="V154"/>
    </row>
    <row r="155" spans="1:22">
      <c r="A155" s="2" t="s">
        <v>178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>
        <v>0</v>
      </c>
      <c r="H155" t="s">
        <v>715</v>
      </c>
      <c r="T155"/>
      <c r="U155"/>
      <c r="V155"/>
    </row>
    <row r="156" spans="1:22">
      <c r="A156" s="2" t="s">
        <v>179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>
        <v>0</v>
      </c>
      <c r="H156" t="s">
        <v>715</v>
      </c>
      <c r="T156"/>
      <c r="U156"/>
      <c r="V156"/>
    </row>
    <row r="157" spans="1:22">
      <c r="A157" s="2" t="s">
        <v>180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>
        <v>0</v>
      </c>
      <c r="H157" t="s">
        <v>715</v>
      </c>
      <c r="T157"/>
      <c r="U157"/>
      <c r="V157"/>
    </row>
    <row r="158" spans="1:22">
      <c r="A158" s="2" t="s">
        <v>181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>
        <v>0</v>
      </c>
      <c r="H158" t="s">
        <v>715</v>
      </c>
      <c r="T158"/>
      <c r="U158"/>
      <c r="V158"/>
    </row>
    <row r="159" spans="1:22">
      <c r="A159" s="2" t="s">
        <v>182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>
        <v>0</v>
      </c>
      <c r="H159" t="s">
        <v>715</v>
      </c>
      <c r="T159"/>
      <c r="U159"/>
      <c r="V159"/>
    </row>
    <row r="160" spans="1:22">
      <c r="A160" s="2" t="s">
        <v>183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>
        <v>0</v>
      </c>
      <c r="H160" t="s">
        <v>715</v>
      </c>
      <c r="T160"/>
      <c r="U160"/>
      <c r="V160"/>
    </row>
    <row r="161" spans="1:22">
      <c r="A161" s="2" t="s">
        <v>184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>
        <v>0</v>
      </c>
      <c r="H161" t="s">
        <v>715</v>
      </c>
      <c r="T161"/>
      <c r="U161"/>
      <c r="V161"/>
    </row>
    <row r="162" spans="1:22">
      <c r="A162" s="2" t="s">
        <v>185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>
        <v>0</v>
      </c>
      <c r="H162" t="s">
        <v>715</v>
      </c>
      <c r="T162"/>
      <c r="U162"/>
      <c r="V162"/>
    </row>
    <row r="163" spans="1:22">
      <c r="A163" s="2" t="s">
        <v>186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>
        <v>0</v>
      </c>
      <c r="H163" t="s">
        <v>715</v>
      </c>
      <c r="T163"/>
      <c r="U163"/>
      <c r="V163"/>
    </row>
    <row r="164" spans="1:22">
      <c r="A164" s="2" t="s">
        <v>187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>
        <v>0</v>
      </c>
      <c r="H164" t="s">
        <v>715</v>
      </c>
      <c r="T164"/>
      <c r="U164"/>
      <c r="V164"/>
    </row>
    <row r="165" spans="1:22">
      <c r="A165" s="2" t="s">
        <v>188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>
        <v>0</v>
      </c>
      <c r="H165" t="s">
        <v>715</v>
      </c>
      <c r="T165"/>
      <c r="U165"/>
      <c r="V165"/>
    </row>
    <row r="166" spans="1:22">
      <c r="A166" s="2" t="s">
        <v>189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>
        <v>0</v>
      </c>
      <c r="H166" t="s">
        <v>715</v>
      </c>
      <c r="T166"/>
      <c r="U166"/>
      <c r="V166"/>
    </row>
    <row r="167" spans="1:22">
      <c r="A167" s="2" t="s">
        <v>190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>
        <v>0</v>
      </c>
      <c r="H167" t="s">
        <v>715</v>
      </c>
      <c r="T167"/>
      <c r="U167"/>
      <c r="V167"/>
    </row>
    <row r="168" spans="1:22">
      <c r="A168" s="2" t="s">
        <v>191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>
        <v>0</v>
      </c>
      <c r="H168" t="s">
        <v>715</v>
      </c>
      <c r="T168"/>
      <c r="U168"/>
      <c r="V168"/>
    </row>
    <row r="169" spans="1:22">
      <c r="A169" s="2" t="s">
        <v>192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>
        <v>0</v>
      </c>
      <c r="H169" t="s">
        <v>715</v>
      </c>
      <c r="T169"/>
      <c r="U169"/>
      <c r="V169"/>
    </row>
    <row r="170" spans="1:22">
      <c r="A170" s="2" t="s">
        <v>193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>
        <v>0</v>
      </c>
      <c r="H170" t="s">
        <v>715</v>
      </c>
      <c r="T170"/>
      <c r="U170"/>
      <c r="V170"/>
    </row>
    <row r="171" spans="1:22">
      <c r="A171" s="2" t="s">
        <v>194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>
        <v>0</v>
      </c>
      <c r="H171" t="s">
        <v>715</v>
      </c>
      <c r="T171"/>
      <c r="U171"/>
      <c r="V171"/>
    </row>
    <row r="172" spans="1:22">
      <c r="A172" s="2" t="s">
        <v>195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>
        <v>0</v>
      </c>
      <c r="H172" t="s">
        <v>715</v>
      </c>
      <c r="T172"/>
      <c r="U172"/>
      <c r="V172"/>
    </row>
    <row r="173" spans="1:22">
      <c r="A173" s="2" t="s">
        <v>196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>
        <v>0</v>
      </c>
      <c r="H173" t="s">
        <v>715</v>
      </c>
      <c r="T173"/>
      <c r="U173"/>
      <c r="V173"/>
    </row>
    <row r="174" spans="1:22">
      <c r="A174" s="2" t="s">
        <v>197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>
        <v>0</v>
      </c>
      <c r="H174" t="s">
        <v>715</v>
      </c>
      <c r="T174"/>
      <c r="U174"/>
      <c r="V174"/>
    </row>
    <row r="175" spans="1:22">
      <c r="A175" s="2" t="s">
        <v>198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>
        <v>0</v>
      </c>
      <c r="H175" t="s">
        <v>715</v>
      </c>
      <c r="T175"/>
      <c r="U175"/>
      <c r="V175"/>
    </row>
    <row r="176" spans="1:22">
      <c r="A176" s="2" t="s">
        <v>199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>
        <v>0</v>
      </c>
      <c r="H176" t="s">
        <v>715</v>
      </c>
      <c r="T176"/>
      <c r="U176"/>
      <c r="V176"/>
    </row>
    <row r="177" spans="1:22">
      <c r="A177" s="2" t="s">
        <v>200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>
        <v>0</v>
      </c>
      <c r="H177" t="s">
        <v>715</v>
      </c>
      <c r="T177"/>
      <c r="U177"/>
      <c r="V177"/>
    </row>
    <row r="178" spans="1:22">
      <c r="A178" s="2" t="s">
        <v>201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>
        <v>0</v>
      </c>
      <c r="H178" t="s">
        <v>715</v>
      </c>
      <c r="T178"/>
      <c r="U178"/>
      <c r="V178"/>
    </row>
    <row r="179" spans="1:22">
      <c r="A179" s="2" t="s">
        <v>202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>
        <v>-3</v>
      </c>
      <c r="H179" t="s">
        <v>715</v>
      </c>
      <c r="T179"/>
      <c r="U179"/>
      <c r="V179"/>
    </row>
    <row r="180" spans="1:22">
      <c r="A180" s="2" t="s">
        <v>203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>
        <v>-3</v>
      </c>
      <c r="H180" t="s">
        <v>715</v>
      </c>
      <c r="T180"/>
      <c r="U180"/>
      <c r="V180"/>
    </row>
    <row r="181" spans="1:22">
      <c r="A181" s="2" t="s">
        <v>204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>
        <v>0</v>
      </c>
      <c r="H181" t="s">
        <v>715</v>
      </c>
      <c r="T181"/>
      <c r="U181"/>
      <c r="V181"/>
    </row>
    <row r="182" spans="1:22">
      <c r="A182" s="2" t="s">
        <v>205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>
        <v>0</v>
      </c>
      <c r="H182" t="s">
        <v>715</v>
      </c>
      <c r="T182"/>
      <c r="U182"/>
      <c r="V182"/>
    </row>
    <row r="183" spans="1:22">
      <c r="A183" s="2" t="s">
        <v>206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>
        <v>-3</v>
      </c>
      <c r="H183" t="s">
        <v>715</v>
      </c>
      <c r="T183"/>
      <c r="U183"/>
      <c r="V183"/>
    </row>
    <row r="184" spans="1:22">
      <c r="A184" s="2" t="s">
        <v>207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>
        <v>0</v>
      </c>
      <c r="H184" t="s">
        <v>715</v>
      </c>
      <c r="T184"/>
      <c r="U184"/>
      <c r="V184"/>
    </row>
    <row r="185" spans="1:22">
      <c r="A185" s="2" t="s">
        <v>208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>
        <v>0</v>
      </c>
      <c r="H185" t="s">
        <v>715</v>
      </c>
      <c r="T185"/>
      <c r="U185"/>
      <c r="V185"/>
    </row>
    <row r="186" spans="1:22">
      <c r="A186" s="2" t="s">
        <v>209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>
        <v>0</v>
      </c>
      <c r="H186" t="s">
        <v>715</v>
      </c>
      <c r="T186"/>
      <c r="U186"/>
      <c r="V186"/>
    </row>
    <row r="187" spans="1:22">
      <c r="A187" s="2" t="s">
        <v>210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>
        <v>0</v>
      </c>
      <c r="H187" t="s">
        <v>715</v>
      </c>
      <c r="T187"/>
      <c r="U187"/>
      <c r="V187"/>
    </row>
    <row r="188" spans="1:22">
      <c r="A188" s="2" t="s">
        <v>211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>
        <v>0</v>
      </c>
      <c r="H188" t="s">
        <v>715</v>
      </c>
      <c r="T188"/>
      <c r="U188"/>
      <c r="V188"/>
    </row>
    <row r="189" spans="1:22">
      <c r="A189" s="2" t="s">
        <v>212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>
        <v>-3</v>
      </c>
      <c r="H189" t="s">
        <v>715</v>
      </c>
      <c r="T189"/>
      <c r="U189"/>
      <c r="V189"/>
    </row>
    <row r="190" spans="1:22">
      <c r="A190" s="2" t="s">
        <v>213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>
        <v>0</v>
      </c>
      <c r="H190" t="s">
        <v>715</v>
      </c>
      <c r="T190"/>
      <c r="U190"/>
      <c r="V190"/>
    </row>
    <row r="191" spans="1:22">
      <c r="A191" s="2" t="s">
        <v>214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>
        <v>0</v>
      </c>
      <c r="H191" t="s">
        <v>715</v>
      </c>
      <c r="T191"/>
      <c r="U191"/>
      <c r="V191"/>
    </row>
    <row r="192" spans="1:22">
      <c r="A192" s="2" t="s">
        <v>215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>
        <v>0</v>
      </c>
      <c r="H192" t="s">
        <v>715</v>
      </c>
      <c r="T192"/>
      <c r="U192"/>
      <c r="V192"/>
    </row>
    <row r="193" spans="1:22">
      <c r="A193" s="2" t="s">
        <v>216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>
        <v>0</v>
      </c>
      <c r="H193" t="s">
        <v>715</v>
      </c>
      <c r="T193"/>
      <c r="U193"/>
      <c r="V193"/>
    </row>
    <row r="194" spans="1:22">
      <c r="A194" s="2" t="s">
        <v>217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>
        <v>0</v>
      </c>
      <c r="H194" t="s">
        <v>715</v>
      </c>
      <c r="T194"/>
      <c r="U194"/>
      <c r="V194"/>
    </row>
    <row r="195" spans="1:22">
      <c r="A195" s="2" t="s">
        <v>218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>
        <v>0</v>
      </c>
      <c r="H195" t="s">
        <v>715</v>
      </c>
      <c r="T195"/>
      <c r="U195"/>
      <c r="V195"/>
    </row>
    <row r="196" spans="1:22">
      <c r="A196" s="2" t="s">
        <v>219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>
        <v>0</v>
      </c>
      <c r="H196" t="s">
        <v>715</v>
      </c>
      <c r="T196"/>
      <c r="U196"/>
      <c r="V196"/>
    </row>
    <row r="197" spans="1:22">
      <c r="A197" s="2" t="s">
        <v>220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>
        <v>0</v>
      </c>
      <c r="H197" t="s">
        <v>715</v>
      </c>
      <c r="T197"/>
      <c r="U197"/>
      <c r="V197"/>
    </row>
    <row r="198" spans="1:22">
      <c r="A198" s="2" t="s">
        <v>221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>
        <v>0</v>
      </c>
      <c r="H198" t="s">
        <v>715</v>
      </c>
      <c r="T198"/>
      <c r="U198"/>
      <c r="V198"/>
    </row>
    <row r="199" spans="1:22">
      <c r="A199" s="2" t="s">
        <v>222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>
        <v>0</v>
      </c>
      <c r="H199" t="s">
        <v>715</v>
      </c>
      <c r="T199"/>
      <c r="U199"/>
      <c r="V199"/>
    </row>
    <row r="200" spans="1:22">
      <c r="A200" s="2" t="s">
        <v>223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>
        <v>0</v>
      </c>
      <c r="H200" t="s">
        <v>715</v>
      </c>
      <c r="T200"/>
      <c r="U200"/>
      <c r="V200"/>
    </row>
    <row r="201" spans="1:22">
      <c r="A201" s="2" t="s">
        <v>224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>
        <v>0</v>
      </c>
      <c r="H201" t="s">
        <v>715</v>
      </c>
      <c r="T201"/>
      <c r="U201"/>
      <c r="V201"/>
    </row>
    <row r="202" spans="1:22">
      <c r="A202" s="2" t="s">
        <v>225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>
        <v>0</v>
      </c>
      <c r="H202" t="s">
        <v>715</v>
      </c>
      <c r="T202"/>
      <c r="U202"/>
      <c r="V202"/>
    </row>
    <row r="203" spans="1:22">
      <c r="A203" s="2" t="s">
        <v>226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>
        <v>0</v>
      </c>
      <c r="H203" t="s">
        <v>715</v>
      </c>
      <c r="T203"/>
      <c r="U203"/>
      <c r="V203"/>
    </row>
    <row r="204" spans="1:22">
      <c r="A204" s="2" t="s">
        <v>227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>
        <v>0</v>
      </c>
      <c r="H204" t="s">
        <v>715</v>
      </c>
      <c r="T204"/>
      <c r="U204"/>
      <c r="V204"/>
    </row>
    <row r="205" spans="1:22">
      <c r="A205" s="2" t="s">
        <v>228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>
        <v>0</v>
      </c>
      <c r="H205" t="s">
        <v>715</v>
      </c>
      <c r="T205"/>
      <c r="U205"/>
      <c r="V205"/>
    </row>
    <row r="206" spans="1:22">
      <c r="A206" s="2" t="s">
        <v>229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>
        <v>0</v>
      </c>
      <c r="H206" t="s">
        <v>715</v>
      </c>
      <c r="T206"/>
      <c r="U206"/>
      <c r="V206"/>
    </row>
    <row r="207" spans="1:22">
      <c r="A207" s="2" t="s">
        <v>230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>
        <v>0</v>
      </c>
      <c r="H207" t="s">
        <v>715</v>
      </c>
      <c r="T207"/>
      <c r="U207"/>
      <c r="V207"/>
    </row>
    <row r="208" spans="1:22">
      <c r="A208" s="2" t="s">
        <v>231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>
        <v>0</v>
      </c>
      <c r="H208" t="s">
        <v>715</v>
      </c>
      <c r="T208"/>
      <c r="U208"/>
      <c r="V208"/>
    </row>
    <row r="209" spans="1:22">
      <c r="A209" s="2" t="s">
        <v>232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>
        <v>0</v>
      </c>
      <c r="H209" t="s">
        <v>715</v>
      </c>
      <c r="T209"/>
      <c r="U209"/>
      <c r="V209"/>
    </row>
    <row r="210" spans="1:22">
      <c r="A210" s="2" t="s">
        <v>233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>
        <v>0</v>
      </c>
      <c r="H210" t="s">
        <v>715</v>
      </c>
      <c r="T210"/>
      <c r="U210"/>
      <c r="V210"/>
    </row>
    <row r="211" spans="1:22">
      <c r="A211" s="2" t="s">
        <v>234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>
        <v>0</v>
      </c>
      <c r="H211" t="s">
        <v>715</v>
      </c>
      <c r="T211"/>
      <c r="U211"/>
      <c r="V211"/>
    </row>
    <row r="212" spans="1:22">
      <c r="A212" s="2" t="s">
        <v>235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>
        <v>0</v>
      </c>
      <c r="H212" t="s">
        <v>715</v>
      </c>
      <c r="T212"/>
      <c r="U212"/>
      <c r="V212"/>
    </row>
    <row r="213" spans="1:22">
      <c r="A213" s="2" t="s">
        <v>236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>
        <v>0</v>
      </c>
      <c r="H213" t="s">
        <v>715</v>
      </c>
      <c r="T213"/>
      <c r="U213"/>
      <c r="V213"/>
    </row>
    <row r="214" spans="1:22">
      <c r="A214" s="2" t="s">
        <v>237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>
        <v>0</v>
      </c>
      <c r="H214" t="s">
        <v>715</v>
      </c>
      <c r="T214"/>
      <c r="U214"/>
      <c r="V214"/>
    </row>
    <row r="215" spans="1:22">
      <c r="A215" s="2" t="s">
        <v>927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>
        <v>-3</v>
      </c>
      <c r="H215" t="s">
        <v>715</v>
      </c>
      <c r="T215"/>
      <c r="U215"/>
      <c r="V215"/>
    </row>
    <row r="216" spans="1:22">
      <c r="A216" s="2" t="s">
        <v>238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>
        <v>0</v>
      </c>
      <c r="H216" t="s">
        <v>715</v>
      </c>
      <c r="T216"/>
      <c r="U216"/>
      <c r="V216"/>
    </row>
    <row r="217" spans="1:22">
      <c r="A217" s="2" t="s">
        <v>239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>
        <v>0</v>
      </c>
      <c r="H217" t="s">
        <v>715</v>
      </c>
      <c r="T217"/>
      <c r="U217"/>
      <c r="V217"/>
    </row>
    <row r="218" spans="1:22">
      <c r="A218" s="2" t="s">
        <v>240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>
        <v>0</v>
      </c>
      <c r="H218" t="s">
        <v>715</v>
      </c>
      <c r="T218"/>
      <c r="U218"/>
      <c r="V218"/>
    </row>
    <row r="219" spans="1:22">
      <c r="A219" s="2" t="s">
        <v>241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>
        <v>0</v>
      </c>
      <c r="H219" t="s">
        <v>715</v>
      </c>
      <c r="T219"/>
      <c r="U219"/>
      <c r="V219"/>
    </row>
    <row r="220" spans="1:22">
      <c r="A220" s="2" t="s">
        <v>242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>
        <v>0</v>
      </c>
      <c r="H220" t="s">
        <v>715</v>
      </c>
      <c r="T220"/>
      <c r="U220"/>
      <c r="V220"/>
    </row>
    <row r="221" spans="1:22">
      <c r="A221" s="2" t="s">
        <v>243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>
        <v>0</v>
      </c>
      <c r="H221" t="s">
        <v>715</v>
      </c>
      <c r="T221"/>
      <c r="U221"/>
      <c r="V221"/>
    </row>
    <row r="222" spans="1:22">
      <c r="A222" s="2" t="s">
        <v>244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>
        <v>0</v>
      </c>
      <c r="H222" t="s">
        <v>715</v>
      </c>
      <c r="T222"/>
      <c r="U222"/>
      <c r="V222"/>
    </row>
    <row r="223" spans="1:22">
      <c r="A223" s="2" t="s">
        <v>245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>
        <v>0</v>
      </c>
      <c r="H223" t="s">
        <v>715</v>
      </c>
      <c r="T223"/>
      <c r="U223"/>
      <c r="V223"/>
    </row>
    <row r="224" spans="1:22">
      <c r="A224" s="2" t="s">
        <v>246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>
        <v>0</v>
      </c>
      <c r="H224" t="s">
        <v>715</v>
      </c>
      <c r="T224"/>
      <c r="U224"/>
      <c r="V224"/>
    </row>
    <row r="225" spans="1:22">
      <c r="A225" s="2" t="s">
        <v>247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>
        <v>0</v>
      </c>
      <c r="H225" t="s">
        <v>715</v>
      </c>
      <c r="T225"/>
      <c r="U225"/>
      <c r="V225"/>
    </row>
    <row r="226" spans="1:22">
      <c r="A226" s="2" t="s">
        <v>248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>
        <v>0</v>
      </c>
      <c r="H226" t="s">
        <v>715</v>
      </c>
      <c r="T226"/>
      <c r="U226"/>
      <c r="V226"/>
    </row>
    <row r="227" spans="1:22">
      <c r="A227" s="2" t="s">
        <v>249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>
        <v>0</v>
      </c>
      <c r="H227" t="s">
        <v>715</v>
      </c>
      <c r="T227"/>
      <c r="U227"/>
      <c r="V227"/>
    </row>
    <row r="228" spans="1:22">
      <c r="A228" s="2" t="s">
        <v>250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>
        <v>0</v>
      </c>
      <c r="H228" t="s">
        <v>715</v>
      </c>
      <c r="T228"/>
      <c r="U228"/>
      <c r="V228"/>
    </row>
    <row r="229" spans="1:22">
      <c r="A229" s="2" t="s">
        <v>251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>
        <v>0</v>
      </c>
      <c r="H229" t="s">
        <v>715</v>
      </c>
      <c r="T229"/>
      <c r="U229"/>
      <c r="V229"/>
    </row>
    <row r="230" spans="1:22">
      <c r="A230" s="2" t="s">
        <v>252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>
        <v>0</v>
      </c>
      <c r="H230" t="s">
        <v>715</v>
      </c>
      <c r="T230"/>
      <c r="U230"/>
      <c r="V230"/>
    </row>
    <row r="231" spans="1:22">
      <c r="A231" s="2" t="s">
        <v>253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>
        <v>0</v>
      </c>
      <c r="H231" t="s">
        <v>715</v>
      </c>
      <c r="T231"/>
      <c r="U231"/>
      <c r="V231"/>
    </row>
    <row r="232" spans="1:22">
      <c r="A232" s="2" t="s">
        <v>254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>
        <v>0</v>
      </c>
      <c r="H232" t="s">
        <v>715</v>
      </c>
      <c r="T232"/>
      <c r="U232"/>
      <c r="V232"/>
    </row>
    <row r="233" spans="1:22">
      <c r="A233" s="2" t="s">
        <v>255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>
        <v>0</v>
      </c>
      <c r="H233" t="s">
        <v>715</v>
      </c>
      <c r="T233"/>
      <c r="U233"/>
      <c r="V233"/>
    </row>
    <row r="234" spans="1:22">
      <c r="A234" s="2" t="s">
        <v>256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>
        <v>0</v>
      </c>
      <c r="H234" t="s">
        <v>715</v>
      </c>
      <c r="T234"/>
      <c r="U234"/>
      <c r="V234"/>
    </row>
    <row r="235" spans="1:22">
      <c r="A235" s="2" t="s">
        <v>257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>
        <v>0</v>
      </c>
      <c r="H235" t="s">
        <v>715</v>
      </c>
      <c r="T235"/>
      <c r="U235"/>
      <c r="V235"/>
    </row>
    <row r="236" spans="1:22">
      <c r="A236" s="2" t="s">
        <v>258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>
        <v>0</v>
      </c>
      <c r="H236" t="s">
        <v>715</v>
      </c>
      <c r="T236"/>
      <c r="U236"/>
      <c r="V236"/>
    </row>
    <row r="237" spans="1:22">
      <c r="A237" s="2" t="s">
        <v>259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>
        <v>0</v>
      </c>
      <c r="H237" t="s">
        <v>715</v>
      </c>
      <c r="T237"/>
      <c r="U237"/>
      <c r="V237"/>
    </row>
    <row r="238" spans="1:22">
      <c r="A238" s="2" t="s">
        <v>260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>
        <v>0</v>
      </c>
      <c r="H238" t="s">
        <v>715</v>
      </c>
      <c r="T238"/>
      <c r="U238"/>
      <c r="V238"/>
    </row>
    <row r="239" spans="1:22">
      <c r="A239" s="2" t="s">
        <v>261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>
        <v>0</v>
      </c>
      <c r="H239" t="s">
        <v>715</v>
      </c>
      <c r="T239"/>
      <c r="U239"/>
      <c r="V239"/>
    </row>
    <row r="240" spans="1:22">
      <c r="A240" s="2" t="s">
        <v>262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>
        <v>0</v>
      </c>
      <c r="H240" t="s">
        <v>715</v>
      </c>
      <c r="T240"/>
      <c r="U240"/>
      <c r="V240"/>
    </row>
    <row r="241" spans="1:22">
      <c r="A241" s="2" t="s">
        <v>263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>
        <v>0</v>
      </c>
      <c r="H241" t="s">
        <v>715</v>
      </c>
      <c r="T241"/>
      <c r="U241"/>
      <c r="V241"/>
    </row>
    <row r="242" spans="1:22">
      <c r="A242" s="2" t="s">
        <v>264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>
        <v>0</v>
      </c>
      <c r="H242" t="s">
        <v>715</v>
      </c>
      <c r="T242"/>
      <c r="U242"/>
      <c r="V242"/>
    </row>
    <row r="243" spans="1:22">
      <c r="A243" s="2" t="s">
        <v>265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>
        <v>0</v>
      </c>
      <c r="H243" t="s">
        <v>715</v>
      </c>
      <c r="T243"/>
      <c r="U243"/>
      <c r="V243"/>
    </row>
    <row r="244" spans="1:22">
      <c r="A244" s="2" t="s">
        <v>266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>
        <v>0</v>
      </c>
      <c r="H244" t="s">
        <v>715</v>
      </c>
      <c r="T244"/>
      <c r="U244"/>
      <c r="V244"/>
    </row>
    <row r="245" spans="1:22">
      <c r="A245" s="2" t="s">
        <v>267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>
        <v>0</v>
      </c>
      <c r="H245" t="s">
        <v>715</v>
      </c>
      <c r="T245"/>
      <c r="U245"/>
      <c r="V245"/>
    </row>
    <row r="246" spans="1:22">
      <c r="A246" s="2" t="s">
        <v>268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>
        <v>0</v>
      </c>
      <c r="H246" t="s">
        <v>715</v>
      </c>
      <c r="T246"/>
      <c r="U246"/>
      <c r="V246"/>
    </row>
    <row r="247" spans="1:22">
      <c r="A247" s="2" t="s">
        <v>269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>
        <v>0</v>
      </c>
      <c r="H247" t="s">
        <v>715</v>
      </c>
      <c r="T247"/>
      <c r="U247"/>
      <c r="V247"/>
    </row>
    <row r="248" spans="1:22">
      <c r="A248" s="2" t="s">
        <v>270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>
        <v>0</v>
      </c>
      <c r="H248" t="s">
        <v>715</v>
      </c>
      <c r="T248"/>
      <c r="U248"/>
      <c r="V248"/>
    </row>
    <row r="249" spans="1:22">
      <c r="A249" s="2" t="s">
        <v>271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>
        <v>0</v>
      </c>
      <c r="H249" t="s">
        <v>715</v>
      </c>
      <c r="T249"/>
      <c r="U249"/>
      <c r="V249"/>
    </row>
    <row r="250" spans="1:22">
      <c r="A250" s="2" t="s">
        <v>272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>
        <v>0</v>
      </c>
      <c r="H250" t="s">
        <v>715</v>
      </c>
      <c r="T250"/>
      <c r="U250"/>
      <c r="V250"/>
    </row>
    <row r="251" spans="1:22">
      <c r="A251" s="2" t="s">
        <v>273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>
        <v>0</v>
      </c>
      <c r="H251" t="s">
        <v>715</v>
      </c>
      <c r="T251"/>
      <c r="U251"/>
      <c r="V251"/>
    </row>
    <row r="252" spans="1:22">
      <c r="A252" s="2" t="s">
        <v>274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>
        <v>0</v>
      </c>
      <c r="H252" t="s">
        <v>715</v>
      </c>
      <c r="T252"/>
      <c r="U252"/>
      <c r="V252"/>
    </row>
    <row r="253" spans="1:22">
      <c r="A253" s="2" t="s">
        <v>275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>
        <v>0</v>
      </c>
      <c r="H253" t="s">
        <v>715</v>
      </c>
      <c r="T253"/>
      <c r="U253"/>
      <c r="V253"/>
    </row>
    <row r="254" spans="1:22">
      <c r="A254" s="2" t="s">
        <v>276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>
        <v>0</v>
      </c>
      <c r="H254" t="s">
        <v>715</v>
      </c>
      <c r="T254"/>
      <c r="U254"/>
      <c r="V254"/>
    </row>
    <row r="255" spans="1:22">
      <c r="A255" s="2" t="s">
        <v>277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>
        <v>0</v>
      </c>
      <c r="H255" t="s">
        <v>715</v>
      </c>
      <c r="T255"/>
      <c r="U255"/>
      <c r="V255"/>
    </row>
    <row r="256" spans="1:22">
      <c r="A256" s="2" t="s">
        <v>278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>
        <v>0</v>
      </c>
      <c r="H256" t="s">
        <v>715</v>
      </c>
      <c r="T256"/>
      <c r="U256"/>
      <c r="V256"/>
    </row>
    <row r="257" spans="1:22">
      <c r="A257" s="2" t="s">
        <v>279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>
        <v>0</v>
      </c>
      <c r="H257" t="s">
        <v>715</v>
      </c>
      <c r="T257"/>
      <c r="U257"/>
      <c r="V257"/>
    </row>
    <row r="258" spans="1:22">
      <c r="A258" s="2" t="s">
        <v>280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>
        <v>0</v>
      </c>
      <c r="H258" t="s">
        <v>715</v>
      </c>
      <c r="T258"/>
      <c r="U258"/>
      <c r="V258"/>
    </row>
    <row r="259" spans="1:22">
      <c r="A259" s="2" t="s">
        <v>281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>
        <v>0</v>
      </c>
      <c r="H259" t="s">
        <v>715</v>
      </c>
      <c r="T259"/>
      <c r="U259"/>
      <c r="V259"/>
    </row>
    <row r="260" spans="1:22">
      <c r="A260" s="2" t="s">
        <v>282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>
        <v>0</v>
      </c>
      <c r="H260" t="s">
        <v>715</v>
      </c>
      <c r="T260"/>
      <c r="U260"/>
      <c r="V260"/>
    </row>
    <row r="261" spans="1:22">
      <c r="A261" s="2" t="s">
        <v>283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>
        <v>0</v>
      </c>
      <c r="H261" t="s">
        <v>715</v>
      </c>
      <c r="T261"/>
      <c r="U261"/>
      <c r="V261"/>
    </row>
    <row r="262" spans="1:22">
      <c r="A262" s="2" t="s">
        <v>284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>
        <v>0</v>
      </c>
      <c r="H262" t="s">
        <v>715</v>
      </c>
      <c r="T262"/>
      <c r="U262"/>
      <c r="V262"/>
    </row>
    <row r="263" spans="1:22">
      <c r="A263" s="2" t="s">
        <v>285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>
        <v>0</v>
      </c>
      <c r="H263" t="s">
        <v>715</v>
      </c>
      <c r="T263"/>
      <c r="U263"/>
      <c r="V263"/>
    </row>
    <row r="264" spans="1:22">
      <c r="A264" s="2" t="s">
        <v>286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>
        <v>0</v>
      </c>
      <c r="H264" t="s">
        <v>715</v>
      </c>
      <c r="T264"/>
      <c r="U264"/>
      <c r="V264"/>
    </row>
    <row r="265" spans="1:22">
      <c r="A265" s="2" t="s">
        <v>287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>
        <v>0</v>
      </c>
      <c r="H265" t="s">
        <v>715</v>
      </c>
      <c r="T265"/>
      <c r="U265"/>
      <c r="V265"/>
    </row>
    <row r="266" spans="1:22">
      <c r="A266" s="2" t="s">
        <v>288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>
        <v>0</v>
      </c>
      <c r="H266" t="s">
        <v>715</v>
      </c>
      <c r="T266"/>
      <c r="U266"/>
      <c r="V266"/>
    </row>
    <row r="267" spans="1:22">
      <c r="A267" s="2" t="s">
        <v>289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>
        <v>0</v>
      </c>
      <c r="H267" t="s">
        <v>715</v>
      </c>
      <c r="T267"/>
      <c r="U267"/>
      <c r="V267"/>
    </row>
    <row r="268" spans="1:22">
      <c r="A268" s="2" t="s">
        <v>290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>
        <v>0</v>
      </c>
      <c r="H268" t="s">
        <v>715</v>
      </c>
      <c r="T268"/>
      <c r="U268"/>
      <c r="V268"/>
    </row>
    <row r="269" spans="1:22">
      <c r="A269" s="2" t="s">
        <v>291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>
        <v>0</v>
      </c>
      <c r="H269" t="s">
        <v>715</v>
      </c>
      <c r="T269"/>
      <c r="U269"/>
      <c r="V269"/>
    </row>
    <row r="270" spans="1:22">
      <c r="A270" s="2" t="s">
        <v>292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>
        <v>0</v>
      </c>
      <c r="H270" t="s">
        <v>715</v>
      </c>
      <c r="T270"/>
      <c r="U270"/>
      <c r="V270"/>
    </row>
    <row r="271" spans="1:22">
      <c r="A271" s="2" t="s">
        <v>293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>
        <v>0</v>
      </c>
      <c r="H271" t="s">
        <v>715</v>
      </c>
      <c r="T271"/>
      <c r="U271"/>
      <c r="V271"/>
    </row>
    <row r="272" spans="1:22">
      <c r="A272" s="2" t="s">
        <v>294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>
        <v>0</v>
      </c>
      <c r="H272" t="s">
        <v>715</v>
      </c>
      <c r="T272"/>
      <c r="U272"/>
      <c r="V272"/>
    </row>
    <row r="273" spans="1:22">
      <c r="A273" s="2" t="s">
        <v>295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>
        <v>0</v>
      </c>
      <c r="H273" t="s">
        <v>715</v>
      </c>
      <c r="T273"/>
      <c r="U273"/>
      <c r="V273"/>
    </row>
    <row r="274" spans="1:22">
      <c r="A274" s="2" t="s">
        <v>296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>
        <v>0</v>
      </c>
      <c r="H274" t="s">
        <v>715</v>
      </c>
      <c r="T274"/>
      <c r="U274"/>
      <c r="V274"/>
    </row>
    <row r="275" spans="1:22">
      <c r="A275" s="2" t="s">
        <v>297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>
        <v>0</v>
      </c>
      <c r="H275" t="s">
        <v>715</v>
      </c>
      <c r="T275"/>
      <c r="U275"/>
      <c r="V275"/>
    </row>
    <row r="276" spans="1:22">
      <c r="A276" s="2" t="s">
        <v>298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>
        <v>0</v>
      </c>
      <c r="H276" t="s">
        <v>715</v>
      </c>
      <c r="T276"/>
      <c r="U276"/>
      <c r="V276"/>
    </row>
    <row r="277" spans="1:22">
      <c r="A277" s="2" t="s">
        <v>299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>
        <v>0</v>
      </c>
      <c r="H277" t="s">
        <v>715</v>
      </c>
      <c r="T277"/>
      <c r="U277"/>
      <c r="V277"/>
    </row>
    <row r="278" spans="1:22">
      <c r="A278" s="2" t="s">
        <v>300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>
        <v>0</v>
      </c>
      <c r="H278" t="s">
        <v>715</v>
      </c>
      <c r="T278"/>
      <c r="U278"/>
      <c r="V278"/>
    </row>
    <row r="279" spans="1:22">
      <c r="A279" s="2" t="s">
        <v>301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>
        <v>0</v>
      </c>
      <c r="H279" t="s">
        <v>715</v>
      </c>
      <c r="T279"/>
      <c r="U279"/>
      <c r="V279"/>
    </row>
    <row r="280" spans="1:22">
      <c r="A280" s="2" t="s">
        <v>302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>
        <v>0</v>
      </c>
      <c r="H280" t="s">
        <v>715</v>
      </c>
      <c r="T280"/>
      <c r="U280"/>
      <c r="V280"/>
    </row>
    <row r="281" spans="1:22">
      <c r="A281" s="2" t="s">
        <v>303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>
        <v>0</v>
      </c>
      <c r="H281" t="s">
        <v>715</v>
      </c>
      <c r="T281"/>
      <c r="U281"/>
      <c r="V281"/>
    </row>
    <row r="282" spans="1:22">
      <c r="A282" s="2" t="s">
        <v>304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>
        <v>0</v>
      </c>
      <c r="H282" t="s">
        <v>715</v>
      </c>
      <c r="T282"/>
      <c r="U282"/>
      <c r="V282"/>
    </row>
    <row r="283" spans="1:22">
      <c r="A283" s="2" t="s">
        <v>305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>
        <v>0</v>
      </c>
      <c r="H283" t="s">
        <v>715</v>
      </c>
      <c r="T283"/>
      <c r="U283"/>
      <c r="V283"/>
    </row>
    <row r="284" spans="1:22">
      <c r="A284" s="2" t="s">
        <v>306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>
        <v>0</v>
      </c>
      <c r="H284" t="s">
        <v>715</v>
      </c>
      <c r="T284"/>
      <c r="U284"/>
      <c r="V284"/>
    </row>
    <row r="285" spans="1:22">
      <c r="A285" s="2" t="s">
        <v>307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>
        <v>0</v>
      </c>
      <c r="H285" t="s">
        <v>715</v>
      </c>
      <c r="T285"/>
      <c r="U285"/>
      <c r="V285"/>
    </row>
    <row r="286" spans="1:22">
      <c r="A286" s="2" t="s">
        <v>308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>
        <v>0</v>
      </c>
      <c r="H286" t="s">
        <v>715</v>
      </c>
      <c r="T286"/>
      <c r="U286"/>
      <c r="V286"/>
    </row>
    <row r="287" spans="1:22">
      <c r="A287" s="2" t="s">
        <v>309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>
        <v>0</v>
      </c>
      <c r="H287" t="s">
        <v>715</v>
      </c>
      <c r="T287"/>
      <c r="U287"/>
      <c r="V287"/>
    </row>
    <row r="288" spans="1:22">
      <c r="A288" s="2" t="s">
        <v>310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>
        <v>0</v>
      </c>
      <c r="H288" t="s">
        <v>715</v>
      </c>
      <c r="T288"/>
      <c r="U288"/>
      <c r="V288"/>
    </row>
    <row r="289" spans="1:22">
      <c r="A289" s="2" t="s">
        <v>311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>
        <v>0</v>
      </c>
      <c r="H289" t="s">
        <v>715</v>
      </c>
      <c r="T289"/>
      <c r="U289"/>
      <c r="V289"/>
    </row>
    <row r="290" spans="1:22">
      <c r="A290" s="2" t="s">
        <v>312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>
        <v>0</v>
      </c>
      <c r="H290" t="s">
        <v>715</v>
      </c>
      <c r="T290"/>
      <c r="U290"/>
      <c r="V290"/>
    </row>
    <row r="291" spans="1:22">
      <c r="A291" s="2" t="s">
        <v>313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>
        <v>0</v>
      </c>
      <c r="H291" t="s">
        <v>715</v>
      </c>
      <c r="T291"/>
      <c r="U291"/>
      <c r="V291"/>
    </row>
    <row r="292" spans="1:22">
      <c r="A292" s="2" t="s">
        <v>314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>
        <v>0</v>
      </c>
      <c r="H292" t="s">
        <v>715</v>
      </c>
      <c r="T292"/>
      <c r="U292"/>
      <c r="V292"/>
    </row>
    <row r="293" spans="1:22">
      <c r="A293" s="2" t="s">
        <v>315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>
        <v>0</v>
      </c>
      <c r="H293" t="s">
        <v>715</v>
      </c>
      <c r="T293"/>
      <c r="U293"/>
      <c r="V293"/>
    </row>
    <row r="294" spans="1:22">
      <c r="A294" s="2" t="s">
        <v>316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>
        <v>0</v>
      </c>
      <c r="H294" t="s">
        <v>715</v>
      </c>
      <c r="T294"/>
      <c r="U294"/>
      <c r="V294"/>
    </row>
    <row r="295" spans="1:22">
      <c r="A295" s="2" t="s">
        <v>317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>
        <v>0</v>
      </c>
      <c r="H295" t="s">
        <v>715</v>
      </c>
      <c r="T295"/>
      <c r="U295"/>
      <c r="V295"/>
    </row>
    <row r="296" spans="1:22">
      <c r="A296" s="2" t="s">
        <v>318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>
        <v>0</v>
      </c>
      <c r="H296" t="s">
        <v>715</v>
      </c>
      <c r="T296"/>
      <c r="U296"/>
      <c r="V296"/>
    </row>
    <row r="297" spans="1:22">
      <c r="A297" s="2" t="s">
        <v>319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>
        <v>0</v>
      </c>
      <c r="H297" t="s">
        <v>715</v>
      </c>
      <c r="T297"/>
      <c r="U297"/>
      <c r="V297"/>
    </row>
    <row r="298" spans="1:22">
      <c r="A298" s="2" t="s">
        <v>320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>
        <v>0</v>
      </c>
      <c r="H298" t="s">
        <v>715</v>
      </c>
      <c r="T298"/>
      <c r="U298"/>
      <c r="V298"/>
    </row>
    <row r="299" spans="1:22">
      <c r="A299" s="2" t="s">
        <v>321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>
        <v>0</v>
      </c>
      <c r="H299" t="s">
        <v>715</v>
      </c>
      <c r="T299"/>
      <c r="U299"/>
      <c r="V299"/>
    </row>
    <row r="300" spans="1:22">
      <c r="A300" s="2" t="s">
        <v>322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>
        <v>0</v>
      </c>
      <c r="H300" t="s">
        <v>715</v>
      </c>
      <c r="T300"/>
      <c r="U300"/>
      <c r="V300"/>
    </row>
    <row r="301" spans="1:22">
      <c r="A301" s="2" t="s">
        <v>323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>
        <v>0</v>
      </c>
      <c r="H301" t="s">
        <v>715</v>
      </c>
      <c r="T301"/>
      <c r="U301"/>
      <c r="V301"/>
    </row>
    <row r="302" spans="1:22">
      <c r="A302" s="2" t="s">
        <v>326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>
        <v>0</v>
      </c>
      <c r="H302" t="s">
        <v>715</v>
      </c>
      <c r="T302"/>
      <c r="U302"/>
      <c r="V302"/>
    </row>
    <row r="303" spans="1:22">
      <c r="A303" s="2" t="s">
        <v>327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>
        <v>0</v>
      </c>
      <c r="H303" t="s">
        <v>715</v>
      </c>
      <c r="T303"/>
      <c r="U303"/>
      <c r="V303"/>
    </row>
    <row r="304" spans="1:22">
      <c r="A304" s="2" t="s">
        <v>328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>
        <v>0</v>
      </c>
      <c r="H304" t="s">
        <v>715</v>
      </c>
      <c r="T304"/>
      <c r="U304"/>
      <c r="V304"/>
    </row>
    <row r="305" spans="1:22">
      <c r="A305" s="2" t="s">
        <v>329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>
        <v>0</v>
      </c>
      <c r="H305" t="s">
        <v>715</v>
      </c>
      <c r="T305"/>
      <c r="U305"/>
      <c r="V305"/>
    </row>
    <row r="306" spans="1:22">
      <c r="A306" s="2" t="s">
        <v>330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>
        <v>0</v>
      </c>
      <c r="H306" t="s">
        <v>715</v>
      </c>
      <c r="T306"/>
      <c r="U306"/>
      <c r="V306"/>
    </row>
    <row r="307" spans="1:22">
      <c r="A307" s="2" t="s">
        <v>331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>
        <v>0</v>
      </c>
      <c r="H307" t="s">
        <v>715</v>
      </c>
      <c r="T307"/>
      <c r="U307"/>
      <c r="V307"/>
    </row>
    <row r="308" spans="1:22">
      <c r="A308" s="2" t="s">
        <v>332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>
        <v>0</v>
      </c>
      <c r="H308" t="s">
        <v>715</v>
      </c>
      <c r="T308"/>
      <c r="U308"/>
      <c r="V308"/>
    </row>
    <row r="309" spans="1:22">
      <c r="A309" s="2" t="s">
        <v>333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>
        <v>0</v>
      </c>
      <c r="H309" t="s">
        <v>715</v>
      </c>
      <c r="T309"/>
      <c r="U309"/>
      <c r="V309"/>
    </row>
    <row r="310" spans="1:22">
      <c r="A310" s="2" t="s">
        <v>334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>
        <v>0</v>
      </c>
      <c r="H310" t="s">
        <v>715</v>
      </c>
      <c r="T310"/>
      <c r="U310"/>
      <c r="V310"/>
    </row>
    <row r="311" spans="1:22">
      <c r="A311" s="2" t="s">
        <v>335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>
        <v>0</v>
      </c>
      <c r="H311" t="s">
        <v>715</v>
      </c>
      <c r="T311"/>
      <c r="U311"/>
      <c r="V311"/>
    </row>
    <row r="312" spans="1:22">
      <c r="A312" s="2" t="s">
        <v>336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>
        <v>0</v>
      </c>
      <c r="H312" t="s">
        <v>715</v>
      </c>
      <c r="T312"/>
      <c r="U312"/>
      <c r="V312"/>
    </row>
    <row r="313" spans="1:22">
      <c r="A313" s="2" t="s">
        <v>337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>
        <v>0</v>
      </c>
      <c r="H313" t="s">
        <v>715</v>
      </c>
      <c r="T313"/>
      <c r="U313"/>
      <c r="V313"/>
    </row>
    <row r="314" spans="1:22">
      <c r="A314" s="2" t="s">
        <v>338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>
        <v>0</v>
      </c>
      <c r="H314" t="s">
        <v>715</v>
      </c>
      <c r="T314"/>
      <c r="U314"/>
      <c r="V314"/>
    </row>
    <row r="315" spans="1:22">
      <c r="A315" s="2" t="s">
        <v>339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>
        <v>0</v>
      </c>
      <c r="H315" t="s">
        <v>715</v>
      </c>
      <c r="T315"/>
      <c r="U315"/>
      <c r="V315"/>
    </row>
    <row r="316" spans="1:22">
      <c r="A316" s="2" t="s">
        <v>340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>
        <v>0</v>
      </c>
      <c r="H316" t="s">
        <v>715</v>
      </c>
      <c r="T316"/>
      <c r="U316"/>
      <c r="V316"/>
    </row>
    <row r="317" spans="1:22">
      <c r="A317" s="2" t="s">
        <v>341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>
        <v>0</v>
      </c>
      <c r="H317" t="s">
        <v>715</v>
      </c>
      <c r="T317"/>
      <c r="U317"/>
      <c r="V317"/>
    </row>
    <row r="318" spans="1:22">
      <c r="A318" s="2" t="s">
        <v>342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>
        <v>0</v>
      </c>
      <c r="H318" t="s">
        <v>715</v>
      </c>
      <c r="T318"/>
      <c r="U318"/>
      <c r="V318"/>
    </row>
    <row r="319" spans="1:22">
      <c r="A319" s="2" t="s">
        <v>343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>
        <v>0</v>
      </c>
      <c r="H319" t="s">
        <v>715</v>
      </c>
      <c r="T319"/>
      <c r="U319"/>
      <c r="V319"/>
    </row>
    <row r="320" spans="1:22">
      <c r="A320" s="2" t="s">
        <v>344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>
        <v>0</v>
      </c>
      <c r="H320" t="s">
        <v>715</v>
      </c>
      <c r="T320"/>
      <c r="U320"/>
      <c r="V320"/>
    </row>
    <row r="321" spans="1:22">
      <c r="A321" s="2" t="s">
        <v>345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>
        <v>0</v>
      </c>
      <c r="H321" t="s">
        <v>715</v>
      </c>
      <c r="T321"/>
      <c r="U321"/>
      <c r="V321"/>
    </row>
    <row r="322" spans="1:22">
      <c r="A322" s="2" t="s">
        <v>346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>
        <v>0</v>
      </c>
      <c r="H322" t="s">
        <v>715</v>
      </c>
      <c r="T322"/>
      <c r="U322"/>
      <c r="V322"/>
    </row>
    <row r="323" spans="1:22">
      <c r="A323" s="2" t="s">
        <v>347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>
        <v>0</v>
      </c>
      <c r="H323" t="s">
        <v>715</v>
      </c>
      <c r="T323"/>
      <c r="U323"/>
      <c r="V323"/>
    </row>
    <row r="324" spans="1:22">
      <c r="A324" s="2" t="s">
        <v>348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>
        <v>0</v>
      </c>
      <c r="H324" t="s">
        <v>715</v>
      </c>
      <c r="T324"/>
      <c r="U324"/>
      <c r="V324"/>
    </row>
    <row r="325" spans="1:22">
      <c r="A325" s="2" t="s">
        <v>349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>
        <v>0</v>
      </c>
      <c r="H325" t="s">
        <v>715</v>
      </c>
      <c r="T325"/>
      <c r="U325"/>
      <c r="V325"/>
    </row>
    <row r="326" spans="1:22">
      <c r="A326" s="2" t="s">
        <v>350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>
        <v>0</v>
      </c>
      <c r="H326" t="s">
        <v>715</v>
      </c>
      <c r="T326"/>
      <c r="U326"/>
      <c r="V326"/>
    </row>
    <row r="327" spans="1:22">
      <c r="A327" s="2" t="s">
        <v>351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>
        <v>0</v>
      </c>
      <c r="H327" t="s">
        <v>715</v>
      </c>
      <c r="T327"/>
      <c r="U327"/>
      <c r="V327"/>
    </row>
    <row r="328" spans="1:22">
      <c r="A328" s="2" t="s">
        <v>352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>
        <v>0</v>
      </c>
      <c r="H328" t="s">
        <v>715</v>
      </c>
      <c r="T328"/>
      <c r="U328"/>
      <c r="V328"/>
    </row>
    <row r="329" spans="1:22">
      <c r="A329" s="2" t="s">
        <v>353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>
        <v>0</v>
      </c>
      <c r="H329" t="s">
        <v>715</v>
      </c>
      <c r="T329"/>
      <c r="U329"/>
      <c r="V329"/>
    </row>
    <row r="330" spans="1:22">
      <c r="A330" s="2" t="s">
        <v>354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>
        <v>0</v>
      </c>
      <c r="H330" t="s">
        <v>715</v>
      </c>
      <c r="T330"/>
      <c r="U330"/>
      <c r="V330"/>
    </row>
    <row r="331" spans="1:22">
      <c r="A331" s="2" t="s">
        <v>355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>
        <v>0</v>
      </c>
      <c r="H331" t="s">
        <v>715</v>
      </c>
      <c r="T331"/>
      <c r="U331"/>
      <c r="V331"/>
    </row>
    <row r="332" spans="1:22">
      <c r="A332" s="2" t="s">
        <v>356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>
        <v>0</v>
      </c>
      <c r="H332" t="s">
        <v>715</v>
      </c>
      <c r="T332"/>
      <c r="U332"/>
      <c r="V332"/>
    </row>
    <row r="333" spans="1:22">
      <c r="A333" s="2" t="s">
        <v>357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>
        <v>0</v>
      </c>
      <c r="H333" t="s">
        <v>715</v>
      </c>
      <c r="T333"/>
      <c r="U333"/>
      <c r="V333"/>
    </row>
    <row r="334" spans="1:22">
      <c r="A334" s="2" t="s">
        <v>358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>
        <v>0</v>
      </c>
      <c r="H334" t="s">
        <v>715</v>
      </c>
      <c r="T334"/>
      <c r="U334"/>
      <c r="V334"/>
    </row>
    <row r="335" spans="1:22">
      <c r="A335" s="2" t="s">
        <v>359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>
        <v>0</v>
      </c>
      <c r="H335" t="s">
        <v>715</v>
      </c>
      <c r="T335"/>
      <c r="U335"/>
      <c r="V335"/>
    </row>
    <row r="336" spans="1:22">
      <c r="A336" s="2" t="s">
        <v>360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>
        <v>0</v>
      </c>
      <c r="H336" t="s">
        <v>715</v>
      </c>
      <c r="T336"/>
      <c r="U336"/>
      <c r="V336"/>
    </row>
    <row r="337" spans="1:22">
      <c r="A337" s="2" t="s">
        <v>361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>
        <v>0</v>
      </c>
      <c r="H337" t="s">
        <v>715</v>
      </c>
      <c r="T337"/>
      <c r="U337"/>
      <c r="V337"/>
    </row>
    <row r="338" spans="1:22">
      <c r="A338" s="2" t="s">
        <v>362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>
        <v>0</v>
      </c>
      <c r="H338" t="s">
        <v>715</v>
      </c>
      <c r="T338"/>
      <c r="U338"/>
      <c r="V338"/>
    </row>
    <row r="339" spans="1:22">
      <c r="A339" s="2" t="s">
        <v>363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>
        <v>0</v>
      </c>
      <c r="H339" t="s">
        <v>715</v>
      </c>
      <c r="T339"/>
      <c r="U339"/>
      <c r="V339"/>
    </row>
    <row r="340" spans="1:22">
      <c r="A340" s="2" t="s">
        <v>364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>
        <v>0</v>
      </c>
      <c r="H340" t="s">
        <v>715</v>
      </c>
      <c r="T340"/>
      <c r="U340"/>
      <c r="V340"/>
    </row>
    <row r="341" spans="1:22">
      <c r="A341" s="2" t="s">
        <v>365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>
        <v>0</v>
      </c>
      <c r="H341" t="s">
        <v>715</v>
      </c>
      <c r="T341"/>
      <c r="U341"/>
      <c r="V341"/>
    </row>
    <row r="342" spans="1:22">
      <c r="A342" s="2" t="s">
        <v>366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>
        <v>0</v>
      </c>
      <c r="H342" t="s">
        <v>715</v>
      </c>
      <c r="T342"/>
      <c r="U342"/>
      <c r="V342"/>
    </row>
    <row r="343" spans="1:22">
      <c r="A343" s="2" t="s">
        <v>367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>
        <v>0</v>
      </c>
      <c r="H343" t="s">
        <v>715</v>
      </c>
      <c r="T343"/>
      <c r="U343"/>
      <c r="V343"/>
    </row>
    <row r="344" spans="1:22">
      <c r="A344" s="2" t="s">
        <v>368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>
        <v>0</v>
      </c>
      <c r="H344" t="s">
        <v>715</v>
      </c>
      <c r="T344"/>
      <c r="U344"/>
      <c r="V344"/>
    </row>
    <row r="345" spans="1:22">
      <c r="A345" s="2" t="s">
        <v>369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>
        <v>0</v>
      </c>
      <c r="H345" t="s">
        <v>715</v>
      </c>
      <c r="T345"/>
      <c r="U345"/>
      <c r="V345"/>
    </row>
    <row r="346" spans="1:22">
      <c r="A346" s="2" t="s">
        <v>370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>
        <v>0</v>
      </c>
      <c r="H346" t="s">
        <v>715</v>
      </c>
      <c r="T346"/>
      <c r="U346"/>
      <c r="V346"/>
    </row>
    <row r="347" spans="1:22">
      <c r="A347" s="2" t="s">
        <v>371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>
        <v>0</v>
      </c>
      <c r="H347" t="s">
        <v>715</v>
      </c>
      <c r="T347"/>
      <c r="U347"/>
      <c r="V347"/>
    </row>
    <row r="348" spans="1:22">
      <c r="A348" s="2" t="s">
        <v>372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>
        <v>0</v>
      </c>
      <c r="H348" t="s">
        <v>715</v>
      </c>
      <c r="T348"/>
      <c r="U348"/>
      <c r="V348"/>
    </row>
    <row r="349" spans="1:22">
      <c r="A349" s="2" t="s">
        <v>373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>
        <v>0</v>
      </c>
      <c r="H349" t="s">
        <v>715</v>
      </c>
      <c r="T349"/>
      <c r="U349"/>
      <c r="V349"/>
    </row>
    <row r="350" spans="1:22">
      <c r="A350" s="2" t="s">
        <v>374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>
        <v>0</v>
      </c>
      <c r="H350" t="s">
        <v>715</v>
      </c>
      <c r="T350"/>
      <c r="U350"/>
      <c r="V350"/>
    </row>
    <row r="351" spans="1:22">
      <c r="A351" s="2" t="s">
        <v>375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>
        <v>0</v>
      </c>
      <c r="H351" t="s">
        <v>715</v>
      </c>
      <c r="T351"/>
      <c r="U351"/>
      <c r="V351"/>
    </row>
    <row r="352" spans="1:22">
      <c r="A352" s="2" t="s">
        <v>376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>
        <v>0</v>
      </c>
      <c r="H352" t="s">
        <v>715</v>
      </c>
      <c r="T352"/>
      <c r="U352"/>
      <c r="V352"/>
    </row>
    <row r="353" spans="1:22">
      <c r="A353" s="2" t="s">
        <v>377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>
        <v>-3</v>
      </c>
      <c r="H353" t="s">
        <v>715</v>
      </c>
      <c r="T353"/>
      <c r="U353"/>
      <c r="V353"/>
    </row>
    <row r="354" spans="1:22">
      <c r="A354" s="2" t="s">
        <v>378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>
        <v>-3</v>
      </c>
      <c r="H354" t="s">
        <v>715</v>
      </c>
      <c r="T354"/>
      <c r="U354"/>
      <c r="V354"/>
    </row>
    <row r="355" spans="1:22">
      <c r="A355" s="2" t="s">
        <v>379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>
        <v>-3</v>
      </c>
      <c r="H355" t="s">
        <v>715</v>
      </c>
      <c r="T355"/>
      <c r="U355"/>
      <c r="V355"/>
    </row>
    <row r="356" spans="1:22">
      <c r="A356" s="2" t="s">
        <v>380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>
        <v>-3</v>
      </c>
      <c r="H356" t="s">
        <v>715</v>
      </c>
      <c r="T356"/>
      <c r="U356"/>
      <c r="V356"/>
    </row>
    <row r="357" spans="1:22">
      <c r="A357" s="2" t="s">
        <v>381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>
        <v>-3</v>
      </c>
      <c r="H357" t="s">
        <v>715</v>
      </c>
      <c r="T357"/>
      <c r="U357"/>
      <c r="V357"/>
    </row>
    <row r="358" spans="1:22">
      <c r="A358" s="2" t="s">
        <v>382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>
        <v>0</v>
      </c>
      <c r="H358" t="s">
        <v>715</v>
      </c>
      <c r="T358"/>
      <c r="U358"/>
      <c r="V358"/>
    </row>
    <row r="359" spans="1:22">
      <c r="A359" s="2" t="s">
        <v>383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>
        <v>0</v>
      </c>
      <c r="H359" t="s">
        <v>715</v>
      </c>
      <c r="T359"/>
      <c r="U359"/>
      <c r="V359"/>
    </row>
    <row r="360" spans="1:22">
      <c r="A360" s="2" t="s">
        <v>384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>
        <v>0</v>
      </c>
      <c r="H360" t="s">
        <v>715</v>
      </c>
      <c r="T360"/>
      <c r="U360"/>
      <c r="V360"/>
    </row>
    <row r="361" spans="1:22">
      <c r="A361" s="2" t="s">
        <v>385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>
        <v>0</v>
      </c>
      <c r="H361" t="s">
        <v>715</v>
      </c>
      <c r="T361"/>
      <c r="U361"/>
      <c r="V361"/>
    </row>
    <row r="362" spans="1:22">
      <c r="A362" s="2" t="s">
        <v>386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>
        <v>-3</v>
      </c>
      <c r="H362" t="s">
        <v>715</v>
      </c>
      <c r="T362"/>
      <c r="U362"/>
      <c r="V362"/>
    </row>
    <row r="363" spans="1:22">
      <c r="A363" s="2" t="s">
        <v>387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>
        <v>-3</v>
      </c>
      <c r="H363" t="s">
        <v>715</v>
      </c>
      <c r="T363"/>
      <c r="U363"/>
      <c r="V363"/>
    </row>
    <row r="364" spans="1:22">
      <c r="A364" s="2" t="s">
        <v>388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>
        <v>0</v>
      </c>
      <c r="H364" t="s">
        <v>715</v>
      </c>
      <c r="T364"/>
      <c r="U364"/>
      <c r="V364"/>
    </row>
    <row r="365" spans="1:22">
      <c r="A365" s="2" t="s">
        <v>389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>
        <v>-3</v>
      </c>
      <c r="H365" t="s">
        <v>715</v>
      </c>
      <c r="T365"/>
      <c r="U365"/>
      <c r="V365"/>
    </row>
    <row r="366" spans="1:22">
      <c r="A366" s="2" t="s">
        <v>390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>
        <v>0</v>
      </c>
      <c r="H366" t="s">
        <v>715</v>
      </c>
      <c r="T366"/>
      <c r="U366"/>
      <c r="V366"/>
    </row>
    <row r="367" spans="1:22">
      <c r="A367" s="2" t="s">
        <v>391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>
        <v>-3</v>
      </c>
      <c r="H367" t="s">
        <v>715</v>
      </c>
      <c r="T367"/>
      <c r="U367"/>
      <c r="V367"/>
    </row>
    <row r="368" spans="1:22">
      <c r="A368" s="2" t="s">
        <v>392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>
        <v>0</v>
      </c>
      <c r="H368" t="s">
        <v>715</v>
      </c>
      <c r="T368"/>
      <c r="U368"/>
      <c r="V368"/>
    </row>
    <row r="369" spans="1:22">
      <c r="A369" s="2" t="s">
        <v>393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>
        <v>-3</v>
      </c>
      <c r="H369" t="s">
        <v>715</v>
      </c>
      <c r="T369"/>
      <c r="U369"/>
      <c r="V369"/>
    </row>
    <row r="370" spans="1:22">
      <c r="A370" s="2" t="s">
        <v>394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>
        <v>-3</v>
      </c>
      <c r="H370" t="s">
        <v>715</v>
      </c>
      <c r="T370"/>
      <c r="U370"/>
      <c r="V370"/>
    </row>
    <row r="371" spans="1:22">
      <c r="A371" s="2" t="s">
        <v>395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>
        <v>-3</v>
      </c>
      <c r="H371" t="s">
        <v>715</v>
      </c>
      <c r="T371"/>
      <c r="U371"/>
      <c r="V371"/>
    </row>
    <row r="372" spans="1:22">
      <c r="A372" s="2" t="s">
        <v>396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>
        <v>0</v>
      </c>
      <c r="H372" t="s">
        <v>715</v>
      </c>
      <c r="T372"/>
      <c r="U372"/>
      <c r="V372"/>
    </row>
    <row r="373" spans="1:22">
      <c r="A373" s="2" t="s">
        <v>397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>
        <v>0</v>
      </c>
      <c r="H373" t="s">
        <v>715</v>
      </c>
      <c r="T373"/>
      <c r="U373"/>
      <c r="V373"/>
    </row>
    <row r="374" spans="1:22">
      <c r="A374" s="2" t="s">
        <v>398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>
        <v>0</v>
      </c>
      <c r="H374" t="s">
        <v>715</v>
      </c>
      <c r="T374"/>
      <c r="U374"/>
      <c r="V374"/>
    </row>
    <row r="375" spans="1:22">
      <c r="A375" s="2" t="s">
        <v>399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>
        <v>0</v>
      </c>
      <c r="H375" t="s">
        <v>715</v>
      </c>
      <c r="T375"/>
      <c r="U375"/>
      <c r="V375"/>
    </row>
    <row r="376" spans="1:22">
      <c r="A376" s="2" t="s">
        <v>400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>
        <v>0</v>
      </c>
      <c r="H376" t="s">
        <v>715</v>
      </c>
      <c r="T376"/>
      <c r="U376"/>
      <c r="V376"/>
    </row>
    <row r="377" spans="1:22">
      <c r="A377" s="2" t="s">
        <v>401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>
        <v>0</v>
      </c>
      <c r="H377" t="s">
        <v>715</v>
      </c>
      <c r="T377"/>
      <c r="U377"/>
      <c r="V377"/>
    </row>
    <row r="378" spans="1:22">
      <c r="A378" s="2" t="s">
        <v>402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>
        <v>0</v>
      </c>
      <c r="H378" t="s">
        <v>715</v>
      </c>
      <c r="T378"/>
      <c r="U378"/>
      <c r="V378"/>
    </row>
    <row r="379" spans="1:22">
      <c r="A379" s="2" t="s">
        <v>403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>
        <v>0</v>
      </c>
      <c r="H379" t="s">
        <v>715</v>
      </c>
      <c r="T379"/>
      <c r="U379"/>
      <c r="V379"/>
    </row>
    <row r="380" spans="1:22">
      <c r="A380" s="2" t="s">
        <v>404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>
        <v>0</v>
      </c>
      <c r="H380" t="s">
        <v>715</v>
      </c>
      <c r="T380"/>
      <c r="U380"/>
      <c r="V380"/>
    </row>
    <row r="381" spans="1:22">
      <c r="A381" s="2" t="s">
        <v>405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>
        <v>0</v>
      </c>
      <c r="H381" t="s">
        <v>715</v>
      </c>
      <c r="T381"/>
      <c r="U381"/>
      <c r="V381"/>
    </row>
    <row r="382" spans="1:22">
      <c r="A382" s="2" t="s">
        <v>406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>
        <v>0</v>
      </c>
      <c r="H382" t="s">
        <v>715</v>
      </c>
      <c r="T382"/>
      <c r="U382"/>
      <c r="V382"/>
    </row>
    <row r="383" spans="1:22">
      <c r="A383" s="2" t="s">
        <v>407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>
        <v>0</v>
      </c>
      <c r="H383" t="s">
        <v>715</v>
      </c>
      <c r="T383"/>
      <c r="U383"/>
      <c r="V383"/>
    </row>
    <row r="384" spans="1:22">
      <c r="A384" s="2" t="s">
        <v>408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>
        <v>0</v>
      </c>
      <c r="H384" t="s">
        <v>715</v>
      </c>
      <c r="T384"/>
      <c r="U384"/>
      <c r="V384"/>
    </row>
    <row r="385" spans="1:22">
      <c r="A385" s="2" t="s">
        <v>409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>
        <v>-3</v>
      </c>
      <c r="H385" t="s">
        <v>715</v>
      </c>
      <c r="T385"/>
      <c r="U385"/>
      <c r="V385"/>
    </row>
    <row r="386" spans="1:22">
      <c r="A386" s="2" t="s">
        <v>410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>
        <v>0</v>
      </c>
      <c r="H386" t="s">
        <v>715</v>
      </c>
      <c r="T386"/>
      <c r="U386"/>
      <c r="V386"/>
    </row>
    <row r="387" spans="1:22">
      <c r="A387" s="2" t="s">
        <v>411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>
        <v>0</v>
      </c>
      <c r="H387" t="s">
        <v>715</v>
      </c>
      <c r="T387"/>
      <c r="U387"/>
      <c r="V387"/>
    </row>
    <row r="388" spans="1:22">
      <c r="A388" s="2" t="s">
        <v>412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>
        <v>0</v>
      </c>
      <c r="H388" t="s">
        <v>715</v>
      </c>
      <c r="T388"/>
      <c r="U388"/>
      <c r="V388"/>
    </row>
    <row r="389" spans="1:22">
      <c r="A389" s="2" t="s">
        <v>413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>
        <v>-3</v>
      </c>
      <c r="H389" t="s">
        <v>715</v>
      </c>
      <c r="T389"/>
      <c r="U389"/>
      <c r="V389"/>
    </row>
    <row r="390" spans="1:22">
      <c r="A390" s="2" t="s">
        <v>414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>
        <v>0</v>
      </c>
      <c r="H390" t="s">
        <v>715</v>
      </c>
      <c r="T390"/>
      <c r="U390"/>
      <c r="V390"/>
    </row>
    <row r="391" spans="1:22">
      <c r="A391" s="2" t="s">
        <v>415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>
        <v>-3</v>
      </c>
      <c r="H391" t="s">
        <v>715</v>
      </c>
      <c r="T391"/>
      <c r="U391"/>
      <c r="V391"/>
    </row>
    <row r="392" spans="1:22">
      <c r="A392" s="2" t="s">
        <v>416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>
        <v>-3</v>
      </c>
      <c r="H392" t="s">
        <v>715</v>
      </c>
      <c r="T392"/>
      <c r="U392"/>
      <c r="V392"/>
    </row>
    <row r="393" spans="1:22">
      <c r="A393" s="2" t="s">
        <v>417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>
        <v>-3</v>
      </c>
      <c r="H393" t="s">
        <v>715</v>
      </c>
      <c r="T393"/>
      <c r="U393"/>
      <c r="V393"/>
    </row>
    <row r="394" spans="1:22">
      <c r="A394" s="2" t="s">
        <v>418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>
        <v>-3</v>
      </c>
      <c r="H394" t="s">
        <v>715</v>
      </c>
      <c r="T394"/>
      <c r="U394"/>
      <c r="V394"/>
    </row>
    <row r="395" spans="1:22">
      <c r="A395" s="2" t="s">
        <v>419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>
        <v>0</v>
      </c>
      <c r="H395" t="s">
        <v>715</v>
      </c>
      <c r="T395"/>
      <c r="U395"/>
      <c r="V395"/>
    </row>
    <row r="396" spans="1:22">
      <c r="A396" s="2" t="s">
        <v>420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>
        <v>-3</v>
      </c>
      <c r="H396" t="s">
        <v>715</v>
      </c>
      <c r="T396"/>
      <c r="U396"/>
      <c r="V396"/>
    </row>
    <row r="397" spans="1:22">
      <c r="A397" s="2" t="s">
        <v>421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>
        <v>-3</v>
      </c>
      <c r="H397" t="s">
        <v>715</v>
      </c>
      <c r="T397"/>
      <c r="U397"/>
      <c r="V397"/>
    </row>
    <row r="398" spans="1:22">
      <c r="A398" s="2" t="s">
        <v>422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>
        <v>0</v>
      </c>
      <c r="H398" t="s">
        <v>715</v>
      </c>
      <c r="T398"/>
      <c r="U398"/>
      <c r="V398"/>
    </row>
    <row r="399" spans="1:22">
      <c r="A399" s="2" t="s">
        <v>423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>
        <v>-3</v>
      </c>
      <c r="H399" t="s">
        <v>715</v>
      </c>
      <c r="T399"/>
      <c r="U399"/>
      <c r="V399"/>
    </row>
    <row r="400" spans="1:22">
      <c r="A400" s="2" t="s">
        <v>424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>
        <v>-3</v>
      </c>
      <c r="H400" t="s">
        <v>715</v>
      </c>
      <c r="T400"/>
      <c r="U400"/>
      <c r="V400"/>
    </row>
    <row r="401" spans="1:22">
      <c r="A401" s="2" t="s">
        <v>425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>
        <v>-3</v>
      </c>
      <c r="H401" t="s">
        <v>715</v>
      </c>
      <c r="T401"/>
      <c r="U401"/>
      <c r="V401"/>
    </row>
    <row r="402" spans="1:22">
      <c r="A402" s="2" t="s">
        <v>426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>
        <v>-3</v>
      </c>
      <c r="H402" t="s">
        <v>715</v>
      </c>
      <c r="T402"/>
      <c r="U402"/>
      <c r="V402"/>
    </row>
    <row r="403" spans="1:22">
      <c r="A403" s="2" t="s">
        <v>427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>
        <v>-3</v>
      </c>
      <c r="H403" t="s">
        <v>715</v>
      </c>
      <c r="T403"/>
      <c r="U403"/>
      <c r="V403"/>
    </row>
    <row r="404" spans="1:22">
      <c r="A404" s="2" t="s">
        <v>428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>
        <v>-3</v>
      </c>
      <c r="H404" t="s">
        <v>715</v>
      </c>
      <c r="T404"/>
      <c r="U404"/>
      <c r="V404"/>
    </row>
    <row r="405" spans="1:22">
      <c r="A405" s="2" t="s">
        <v>429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>
        <v>0</v>
      </c>
      <c r="H405" t="s">
        <v>715</v>
      </c>
      <c r="T405"/>
      <c r="U405"/>
      <c r="V405"/>
    </row>
    <row r="406" spans="1:22">
      <c r="A406" s="2" t="s">
        <v>430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>
        <v>0</v>
      </c>
      <c r="H406" t="s">
        <v>715</v>
      </c>
      <c r="T406"/>
      <c r="U406"/>
      <c r="V406"/>
    </row>
    <row r="407" spans="1:22">
      <c r="A407" s="2" t="s">
        <v>431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>
        <v>0</v>
      </c>
      <c r="H407" t="s">
        <v>715</v>
      </c>
      <c r="T407"/>
      <c r="U407"/>
      <c r="V407"/>
    </row>
    <row r="408" spans="1:22">
      <c r="A408" s="2" t="s">
        <v>432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>
        <v>0</v>
      </c>
      <c r="H408" t="s">
        <v>715</v>
      </c>
      <c r="T408"/>
      <c r="U408"/>
      <c r="V408"/>
    </row>
    <row r="409" spans="1:22">
      <c r="A409" s="2" t="s">
        <v>433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>
        <v>0</v>
      </c>
      <c r="H409" t="s">
        <v>715</v>
      </c>
      <c r="T409"/>
      <c r="U409"/>
      <c r="V409"/>
    </row>
    <row r="410" spans="1:22">
      <c r="A410" s="2" t="s">
        <v>434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>
        <v>-3</v>
      </c>
      <c r="H410" t="s">
        <v>715</v>
      </c>
      <c r="T410"/>
      <c r="U410"/>
      <c r="V410"/>
    </row>
    <row r="411" spans="1:22">
      <c r="A411" s="2" t="s">
        <v>435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>
        <v>0</v>
      </c>
      <c r="H411" t="s">
        <v>715</v>
      </c>
      <c r="T411"/>
      <c r="U411"/>
      <c r="V411"/>
    </row>
    <row r="412" spans="1:22">
      <c r="A412" s="2" t="s">
        <v>436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>
        <v>0</v>
      </c>
      <c r="H412" t="s">
        <v>715</v>
      </c>
      <c r="T412"/>
      <c r="U412"/>
      <c r="V412"/>
    </row>
    <row r="413" spans="1:22">
      <c r="A413" s="2" t="s">
        <v>437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>
        <v>0</v>
      </c>
      <c r="H413" t="s">
        <v>715</v>
      </c>
      <c r="T413"/>
      <c r="U413"/>
      <c r="V413"/>
    </row>
    <row r="414" spans="1:22">
      <c r="A414" s="2" t="s">
        <v>438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>
        <v>0</v>
      </c>
      <c r="H414" t="s">
        <v>715</v>
      </c>
      <c r="T414"/>
      <c r="U414"/>
      <c r="V414"/>
    </row>
    <row r="415" spans="1:22">
      <c r="A415" s="2" t="s">
        <v>439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>
        <v>-3</v>
      </c>
      <c r="H415" t="s">
        <v>715</v>
      </c>
      <c r="T415"/>
      <c r="U415"/>
      <c r="V415"/>
    </row>
    <row r="416" spans="1:22">
      <c r="A416" s="2" t="s">
        <v>440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>
        <v>0</v>
      </c>
      <c r="H416" t="s">
        <v>715</v>
      </c>
      <c r="T416"/>
      <c r="U416"/>
      <c r="V416"/>
    </row>
    <row r="417" spans="1:22">
      <c r="A417" s="2" t="s">
        <v>441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>
        <v>-3</v>
      </c>
      <c r="H417" t="s">
        <v>715</v>
      </c>
      <c r="T417"/>
      <c r="U417"/>
      <c r="V417"/>
    </row>
    <row r="418" spans="1:22">
      <c r="A418" s="2" t="s">
        <v>442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>
        <v>0</v>
      </c>
      <c r="H418" t="s">
        <v>715</v>
      </c>
      <c r="T418"/>
      <c r="U418"/>
      <c r="V418"/>
    </row>
    <row r="419" spans="1:22">
      <c r="A419" s="2" t="s">
        <v>443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>
        <v>-3</v>
      </c>
      <c r="H419" t="s">
        <v>715</v>
      </c>
      <c r="T419"/>
      <c r="U419"/>
      <c r="V419"/>
    </row>
    <row r="420" spans="1:22">
      <c r="A420" s="2" t="s">
        <v>444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>
        <v>0</v>
      </c>
      <c r="H420" t="s">
        <v>715</v>
      </c>
      <c r="T420"/>
      <c r="U420"/>
      <c r="V420"/>
    </row>
    <row r="421" spans="1:22">
      <c r="A421" s="2" t="s">
        <v>445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>
        <v>-3</v>
      </c>
      <c r="H421" t="s">
        <v>715</v>
      </c>
      <c r="T421"/>
      <c r="U421"/>
      <c r="V421"/>
    </row>
    <row r="422" spans="1:22">
      <c r="A422" s="2" t="s">
        <v>446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>
        <v>0</v>
      </c>
      <c r="H422" t="s">
        <v>715</v>
      </c>
      <c r="T422"/>
      <c r="U422"/>
      <c r="V422"/>
    </row>
    <row r="423" spans="1:22">
      <c r="A423" s="2" t="s">
        <v>447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>
        <v>-3</v>
      </c>
      <c r="H423" t="s">
        <v>715</v>
      </c>
      <c r="T423"/>
      <c r="U423"/>
      <c r="V423"/>
    </row>
    <row r="424" spans="1:22">
      <c r="A424" s="2" t="s">
        <v>448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>
        <v>0</v>
      </c>
      <c r="H424" t="s">
        <v>715</v>
      </c>
      <c r="T424"/>
      <c r="U424"/>
      <c r="V424"/>
    </row>
    <row r="425" spans="1:22">
      <c r="A425" s="2" t="s">
        <v>449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>
        <v>0</v>
      </c>
      <c r="H425" t="s">
        <v>715</v>
      </c>
      <c r="T425"/>
      <c r="U425"/>
      <c r="V425"/>
    </row>
    <row r="426" spans="1:22">
      <c r="A426" s="2" t="s">
        <v>450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>
        <v>-3</v>
      </c>
      <c r="H426" t="s">
        <v>715</v>
      </c>
      <c r="T426"/>
      <c r="U426"/>
      <c r="V426"/>
    </row>
    <row r="427" spans="1:22">
      <c r="A427" s="2" t="s">
        <v>451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>
        <v>-3</v>
      </c>
      <c r="H427" t="s">
        <v>715</v>
      </c>
      <c r="T427"/>
      <c r="U427"/>
      <c r="V427"/>
    </row>
    <row r="428" spans="1:22">
      <c r="A428" s="2" t="s">
        <v>452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>
        <v>0</v>
      </c>
      <c r="H428" t="s">
        <v>715</v>
      </c>
      <c r="T428"/>
      <c r="U428"/>
      <c r="V428"/>
    </row>
    <row r="429" spans="1:22">
      <c r="A429" s="2" t="s">
        <v>453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>
        <v>0</v>
      </c>
      <c r="H429" t="s">
        <v>715</v>
      </c>
      <c r="T429"/>
      <c r="U429"/>
      <c r="V429"/>
    </row>
    <row r="430" spans="1:22">
      <c r="A430" s="2" t="s">
        <v>454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>
        <v>0</v>
      </c>
      <c r="H430" t="s">
        <v>715</v>
      </c>
      <c r="T430"/>
      <c r="U430"/>
      <c r="V430"/>
    </row>
    <row r="431" spans="1:22">
      <c r="A431" s="2" t="s">
        <v>455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>
        <v>0</v>
      </c>
      <c r="H431" t="s">
        <v>715</v>
      </c>
      <c r="T431"/>
      <c r="U431"/>
      <c r="V431"/>
    </row>
    <row r="432" spans="1:22">
      <c r="A432" s="2" t="s">
        <v>456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>
        <v>0</v>
      </c>
      <c r="H432" t="s">
        <v>715</v>
      </c>
      <c r="T432"/>
      <c r="U432"/>
      <c r="V432"/>
    </row>
    <row r="433" spans="1:22">
      <c r="A433" s="2" t="s">
        <v>457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>
        <v>0</v>
      </c>
      <c r="H433" t="s">
        <v>715</v>
      </c>
      <c r="T433"/>
      <c r="U433"/>
      <c r="V433"/>
    </row>
    <row r="434" spans="1:22">
      <c r="A434" s="2" t="s">
        <v>458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>
        <v>0</v>
      </c>
      <c r="H434" t="s">
        <v>715</v>
      </c>
      <c r="T434"/>
      <c r="U434"/>
      <c r="V434"/>
    </row>
    <row r="435" spans="1:22">
      <c r="A435" s="2" t="s">
        <v>459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>
        <v>0</v>
      </c>
      <c r="H435" t="s">
        <v>715</v>
      </c>
      <c r="T435"/>
      <c r="U435"/>
      <c r="V435"/>
    </row>
    <row r="436" spans="1:22">
      <c r="A436" s="2" t="s">
        <v>460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>
        <v>0</v>
      </c>
      <c r="H436" t="s">
        <v>715</v>
      </c>
      <c r="T436"/>
      <c r="U436"/>
      <c r="V436"/>
    </row>
    <row r="437" spans="1:22">
      <c r="A437" s="2" t="s">
        <v>461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>
        <v>-3</v>
      </c>
      <c r="H437" t="s">
        <v>715</v>
      </c>
      <c r="T437"/>
      <c r="U437"/>
      <c r="V437"/>
    </row>
    <row r="438" spans="1:22">
      <c r="A438" s="2" t="s">
        <v>462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>
        <v>-3</v>
      </c>
      <c r="H438" t="s">
        <v>715</v>
      </c>
      <c r="T438"/>
      <c r="U438"/>
      <c r="V438"/>
    </row>
    <row r="439" spans="1:22">
      <c r="A439" s="2" t="s">
        <v>463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>
        <v>0</v>
      </c>
      <c r="H439" t="s">
        <v>715</v>
      </c>
      <c r="T439"/>
      <c r="U439"/>
      <c r="V439"/>
    </row>
    <row r="440" spans="1:22">
      <c r="A440" s="2" t="s">
        <v>464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>
        <v>-3</v>
      </c>
      <c r="H440" t="s">
        <v>715</v>
      </c>
      <c r="T440"/>
      <c r="U440"/>
      <c r="V440"/>
    </row>
    <row r="441" spans="1:22">
      <c r="A441" s="2" t="s">
        <v>465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>
        <v>0</v>
      </c>
      <c r="H441" t="s">
        <v>715</v>
      </c>
      <c r="T441"/>
      <c r="U441"/>
      <c r="V441"/>
    </row>
    <row r="442" spans="1:22">
      <c r="A442" s="2" t="s">
        <v>466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>
        <v>0</v>
      </c>
      <c r="H442" t="s">
        <v>715</v>
      </c>
      <c r="T442"/>
      <c r="U442"/>
      <c r="V442"/>
    </row>
    <row r="443" spans="1:22">
      <c r="A443" s="2" t="s">
        <v>467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>
        <v>0</v>
      </c>
      <c r="H443" t="s">
        <v>715</v>
      </c>
      <c r="T443"/>
      <c r="U443"/>
      <c r="V443"/>
    </row>
    <row r="444" spans="1:22">
      <c r="A444" s="2" t="s">
        <v>468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>
        <v>0</v>
      </c>
      <c r="H444" t="s">
        <v>715</v>
      </c>
      <c r="T444"/>
      <c r="U444"/>
      <c r="V444"/>
    </row>
    <row r="445" spans="1:22">
      <c r="A445" s="2" t="s">
        <v>469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>
        <v>-3</v>
      </c>
      <c r="H445" t="s">
        <v>715</v>
      </c>
      <c r="T445"/>
      <c r="U445"/>
      <c r="V445"/>
    </row>
    <row r="446" spans="1:22">
      <c r="A446" s="2" t="s">
        <v>470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>
        <v>-3</v>
      </c>
      <c r="H446" t="s">
        <v>715</v>
      </c>
      <c r="T446"/>
      <c r="U446"/>
      <c r="V446"/>
    </row>
    <row r="447" spans="1:22">
      <c r="A447" s="2" t="s">
        <v>471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>
        <v>0</v>
      </c>
      <c r="H447" t="s">
        <v>715</v>
      </c>
      <c r="T447"/>
      <c r="U447"/>
      <c r="V447"/>
    </row>
    <row r="448" spans="1:22">
      <c r="A448" s="2" t="s">
        <v>472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>
        <v>0</v>
      </c>
      <c r="H448" t="s">
        <v>715</v>
      </c>
      <c r="T448"/>
      <c r="U448"/>
      <c r="V448"/>
    </row>
    <row r="449" spans="1:22">
      <c r="A449" s="2" t="s">
        <v>473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>
        <v>-3</v>
      </c>
      <c r="H449" t="s">
        <v>715</v>
      </c>
      <c r="T449"/>
      <c r="U449"/>
      <c r="V449"/>
    </row>
    <row r="450" spans="1:22">
      <c r="A450" s="2" t="s">
        <v>474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>
        <v>0</v>
      </c>
      <c r="H450" t="s">
        <v>715</v>
      </c>
      <c r="T450"/>
      <c r="U450"/>
      <c r="V450"/>
    </row>
    <row r="451" spans="1:22">
      <c r="A451" s="2" t="s">
        <v>475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>
        <v>-3</v>
      </c>
      <c r="H451" t="s">
        <v>715</v>
      </c>
      <c r="T451"/>
      <c r="U451"/>
      <c r="V451"/>
    </row>
    <row r="452" spans="1:22">
      <c r="A452" s="2" t="s">
        <v>476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>
        <v>-3</v>
      </c>
      <c r="H452" t="s">
        <v>715</v>
      </c>
      <c r="T452"/>
      <c r="U452"/>
      <c r="V452"/>
    </row>
    <row r="453" spans="1:22">
      <c r="A453" s="2" t="s">
        <v>477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>
        <v>0</v>
      </c>
      <c r="H453" t="s">
        <v>715</v>
      </c>
      <c r="T453"/>
      <c r="U453"/>
      <c r="V453"/>
    </row>
    <row r="454" spans="1:22">
      <c r="A454" s="2" t="s">
        <v>479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>
        <v>0</v>
      </c>
      <c r="H454" t="s">
        <v>715</v>
      </c>
      <c r="T454"/>
      <c r="U454"/>
      <c r="V454"/>
    </row>
    <row r="455" spans="1:22">
      <c r="A455" s="2" t="s">
        <v>480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>
        <v>0</v>
      </c>
      <c r="H455" t="s">
        <v>715</v>
      </c>
      <c r="T455"/>
      <c r="U455"/>
      <c r="V455"/>
    </row>
    <row r="456" spans="1:22">
      <c r="A456" s="2" t="s">
        <v>481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>
        <v>0</v>
      </c>
      <c r="H456" t="s">
        <v>715</v>
      </c>
      <c r="T456"/>
      <c r="U456"/>
      <c r="V456"/>
    </row>
    <row r="457" spans="1:22">
      <c r="A457" s="2" t="s">
        <v>482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>
        <v>0</v>
      </c>
      <c r="H457" t="s">
        <v>715</v>
      </c>
      <c r="T457"/>
      <c r="U457"/>
      <c r="V457"/>
    </row>
    <row r="458" spans="1:22">
      <c r="A458" s="2" t="s">
        <v>483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>
        <v>0</v>
      </c>
      <c r="H458" t="s">
        <v>715</v>
      </c>
      <c r="T458"/>
      <c r="U458"/>
      <c r="V458"/>
    </row>
    <row r="459" spans="1:22">
      <c r="A459" s="2" t="s">
        <v>484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>
        <v>0</v>
      </c>
      <c r="H459" t="s">
        <v>715</v>
      </c>
      <c r="T459"/>
      <c r="U459"/>
      <c r="V459"/>
    </row>
    <row r="460" spans="1:22">
      <c r="A460" s="2" t="s">
        <v>485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>
        <v>0</v>
      </c>
      <c r="H460" t="s">
        <v>715</v>
      </c>
      <c r="T460"/>
      <c r="U460"/>
      <c r="V460"/>
    </row>
    <row r="461" spans="1:22">
      <c r="A461" s="2" t="s">
        <v>486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>
        <v>0</v>
      </c>
      <c r="H461" t="s">
        <v>715</v>
      </c>
      <c r="T461"/>
      <c r="U461"/>
      <c r="V461"/>
    </row>
    <row r="462" spans="1:22">
      <c r="A462" s="2" t="s">
        <v>487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>
        <v>0</v>
      </c>
      <c r="H462" t="s">
        <v>715</v>
      </c>
      <c r="T462"/>
      <c r="U462"/>
      <c r="V462"/>
    </row>
    <row r="463" spans="1:22">
      <c r="A463" s="2" t="s">
        <v>488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>
        <v>0</v>
      </c>
      <c r="H463" t="s">
        <v>715</v>
      </c>
      <c r="T463"/>
      <c r="U463"/>
      <c r="V463"/>
    </row>
    <row r="464" spans="1:22">
      <c r="A464" s="2" t="s">
        <v>489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>
        <v>0</v>
      </c>
      <c r="H464" t="s">
        <v>715</v>
      </c>
      <c r="T464"/>
      <c r="U464"/>
      <c r="V464"/>
    </row>
    <row r="465" spans="1:22">
      <c r="A465" s="2" t="s">
        <v>490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>
        <v>0</v>
      </c>
      <c r="H465" t="s">
        <v>715</v>
      </c>
      <c r="T465"/>
      <c r="U465"/>
      <c r="V465"/>
    </row>
    <row r="466" spans="1:22">
      <c r="A466" s="2" t="s">
        <v>491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>
        <v>0</v>
      </c>
      <c r="H466" t="s">
        <v>715</v>
      </c>
      <c r="T466"/>
      <c r="U466"/>
      <c r="V466"/>
    </row>
    <row r="467" spans="1:22">
      <c r="A467" s="2" t="s">
        <v>492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>
        <v>0</v>
      </c>
      <c r="H467" t="s">
        <v>715</v>
      </c>
      <c r="T467"/>
      <c r="U467"/>
      <c r="V467"/>
    </row>
    <row r="468" spans="1:22">
      <c r="A468" s="2" t="s">
        <v>493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>
        <v>0</v>
      </c>
      <c r="H468" t="s">
        <v>715</v>
      </c>
      <c r="T468"/>
      <c r="U468"/>
      <c r="V468"/>
    </row>
    <row r="469" spans="1:22">
      <c r="A469" s="2" t="s">
        <v>494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>
        <v>0</v>
      </c>
      <c r="H469" t="s">
        <v>715</v>
      </c>
      <c r="T469"/>
      <c r="U469"/>
      <c r="V469"/>
    </row>
    <row r="470" spans="1:22">
      <c r="A470" s="2" t="s">
        <v>495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>
        <v>0</v>
      </c>
      <c r="H470" t="s">
        <v>715</v>
      </c>
      <c r="T470"/>
      <c r="U470"/>
      <c r="V470"/>
    </row>
    <row r="471" spans="1:22">
      <c r="A471" s="2" t="s">
        <v>496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>
        <v>0</v>
      </c>
      <c r="H471" t="s">
        <v>715</v>
      </c>
      <c r="T471"/>
      <c r="U471"/>
      <c r="V471"/>
    </row>
    <row r="472" spans="1:22">
      <c r="A472" s="2" t="s">
        <v>497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>
        <v>0</v>
      </c>
      <c r="H472" t="s">
        <v>715</v>
      </c>
      <c r="T472"/>
      <c r="U472"/>
      <c r="V472"/>
    </row>
    <row r="473" spans="1:22">
      <c r="A473" s="2" t="s">
        <v>498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>
        <v>0</v>
      </c>
      <c r="H473" t="s">
        <v>715</v>
      </c>
      <c r="T473"/>
      <c r="U473"/>
      <c r="V473"/>
    </row>
    <row r="474" spans="1:22">
      <c r="A474" s="2" t="s">
        <v>499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>
        <v>0</v>
      </c>
      <c r="H474" t="s">
        <v>715</v>
      </c>
      <c r="T474"/>
      <c r="U474"/>
      <c r="V474"/>
    </row>
    <row r="475" spans="1:22">
      <c r="A475" s="2" t="s">
        <v>500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>
        <v>0</v>
      </c>
      <c r="H475" t="s">
        <v>715</v>
      </c>
      <c r="T475"/>
      <c r="U475"/>
      <c r="V475"/>
    </row>
    <row r="476" spans="1:22">
      <c r="A476" s="2" t="s">
        <v>501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>
        <v>0</v>
      </c>
      <c r="H476" t="s">
        <v>715</v>
      </c>
      <c r="T476"/>
      <c r="U476"/>
      <c r="V476"/>
    </row>
    <row r="477" spans="1:22">
      <c r="A477" s="2" t="s">
        <v>502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>
        <v>0</v>
      </c>
      <c r="H477" t="s">
        <v>715</v>
      </c>
      <c r="T477"/>
      <c r="U477"/>
      <c r="V477"/>
    </row>
    <row r="478" spans="1:22">
      <c r="A478" s="2" t="s">
        <v>503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>
        <v>0</v>
      </c>
      <c r="H478" t="s">
        <v>715</v>
      </c>
      <c r="T478"/>
      <c r="U478"/>
      <c r="V478"/>
    </row>
    <row r="479" spans="1:22">
      <c r="A479" s="2" t="s">
        <v>504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>
        <v>0</v>
      </c>
      <c r="H479" t="s">
        <v>715</v>
      </c>
      <c r="T479"/>
      <c r="U479"/>
      <c r="V479"/>
    </row>
    <row r="480" spans="1:22">
      <c r="A480" s="2" t="s">
        <v>505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>
        <v>0</v>
      </c>
      <c r="H480" t="s">
        <v>715</v>
      </c>
      <c r="T480"/>
      <c r="U480"/>
      <c r="V480"/>
    </row>
    <row r="481" spans="1:22">
      <c r="A481" s="2" t="s">
        <v>506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>
        <v>0</v>
      </c>
      <c r="H481" t="s">
        <v>715</v>
      </c>
      <c r="T481"/>
      <c r="U481"/>
      <c r="V481"/>
    </row>
    <row r="482" spans="1:22">
      <c r="A482" s="2" t="s">
        <v>507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>
        <v>0</v>
      </c>
      <c r="H482" t="s">
        <v>715</v>
      </c>
      <c r="T482"/>
      <c r="U482"/>
      <c r="V482"/>
    </row>
    <row r="483" spans="1:22">
      <c r="A483" s="2" t="s">
        <v>508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>
        <v>0</v>
      </c>
      <c r="H483" t="s">
        <v>715</v>
      </c>
      <c r="T483"/>
      <c r="U483"/>
      <c r="V483"/>
    </row>
    <row r="484" spans="1:22">
      <c r="A484" s="2" t="s">
        <v>509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>
        <v>0</v>
      </c>
      <c r="H484" t="s">
        <v>715</v>
      </c>
      <c r="T484"/>
      <c r="U484"/>
      <c r="V484"/>
    </row>
    <row r="485" spans="1:22">
      <c r="A485" s="2" t="s">
        <v>510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>
        <v>0</v>
      </c>
      <c r="H485" t="s">
        <v>715</v>
      </c>
      <c r="T485"/>
      <c r="U485"/>
      <c r="V485"/>
    </row>
    <row r="486" spans="1:22">
      <c r="A486" s="2" t="s">
        <v>511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>
        <v>0</v>
      </c>
      <c r="H486" t="s">
        <v>715</v>
      </c>
      <c r="T486"/>
      <c r="U486"/>
      <c r="V486"/>
    </row>
    <row r="487" spans="1:22">
      <c r="A487" s="2" t="s">
        <v>512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>
        <v>0</v>
      </c>
      <c r="H487" t="s">
        <v>715</v>
      </c>
      <c r="T487"/>
      <c r="U487"/>
      <c r="V487"/>
    </row>
    <row r="488" spans="1:22">
      <c r="A488" s="2" t="s">
        <v>513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>
        <v>0</v>
      </c>
      <c r="H488" t="s">
        <v>715</v>
      </c>
      <c r="T488"/>
      <c r="U488"/>
      <c r="V488"/>
    </row>
    <row r="489" spans="1:22">
      <c r="A489" s="2" t="s">
        <v>514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>
        <v>0</v>
      </c>
      <c r="H489" t="s">
        <v>715</v>
      </c>
      <c r="T489"/>
      <c r="U489"/>
      <c r="V489"/>
    </row>
    <row r="490" spans="1:22">
      <c r="A490" s="2" t="s">
        <v>515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>
        <v>0</v>
      </c>
      <c r="H490" t="s">
        <v>715</v>
      </c>
      <c r="T490"/>
      <c r="U490"/>
      <c r="V490"/>
    </row>
    <row r="491" spans="1:22">
      <c r="A491" s="2" t="s">
        <v>516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>
        <v>0</v>
      </c>
      <c r="H491" t="s">
        <v>715</v>
      </c>
      <c r="T491"/>
      <c r="U491"/>
      <c r="V491"/>
    </row>
    <row r="492" spans="1:22">
      <c r="A492" s="2" t="s">
        <v>517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>
        <v>0</v>
      </c>
      <c r="H492" t="s">
        <v>715</v>
      </c>
      <c r="T492"/>
      <c r="U492"/>
      <c r="V492"/>
    </row>
    <row r="493" spans="1:22">
      <c r="A493" s="2" t="s">
        <v>518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>
        <v>0</v>
      </c>
      <c r="H493" t="s">
        <v>715</v>
      </c>
      <c r="T493"/>
      <c r="U493"/>
      <c r="V493"/>
    </row>
    <row r="494" spans="1:22">
      <c r="A494" s="2" t="s">
        <v>519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>
        <v>0</v>
      </c>
      <c r="H494" t="s">
        <v>715</v>
      </c>
      <c r="T494"/>
      <c r="U494"/>
      <c r="V494"/>
    </row>
    <row r="495" spans="1:22">
      <c r="A495" s="2" t="s">
        <v>520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>
        <v>0</v>
      </c>
      <c r="H495" t="s">
        <v>715</v>
      </c>
      <c r="T495"/>
      <c r="U495"/>
      <c r="V495"/>
    </row>
    <row r="496" spans="1:22">
      <c r="A496" s="2" t="s">
        <v>521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>
        <v>0</v>
      </c>
      <c r="H496" t="s">
        <v>715</v>
      </c>
      <c r="T496"/>
      <c r="U496"/>
      <c r="V496"/>
    </row>
    <row r="497" spans="1:22">
      <c r="A497" s="2" t="s">
        <v>522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>
        <v>0</v>
      </c>
      <c r="H497" t="s">
        <v>715</v>
      </c>
      <c r="T497"/>
      <c r="U497"/>
      <c r="V497"/>
    </row>
    <row r="498" spans="1:22">
      <c r="A498" s="2" t="s">
        <v>523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>
        <v>0</v>
      </c>
      <c r="H498" t="s">
        <v>715</v>
      </c>
      <c r="T498"/>
      <c r="U498"/>
      <c r="V498"/>
    </row>
    <row r="499" spans="1:22">
      <c r="A499" s="2" t="s">
        <v>524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>
        <v>0</v>
      </c>
      <c r="H499" t="s">
        <v>715</v>
      </c>
      <c r="T499"/>
      <c r="U499"/>
      <c r="V499"/>
    </row>
    <row r="500" spans="1:22">
      <c r="A500" s="2" t="s">
        <v>525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>
        <v>0</v>
      </c>
      <c r="H500" t="s">
        <v>715</v>
      </c>
      <c r="T500"/>
      <c r="U500"/>
      <c r="V500"/>
    </row>
    <row r="501" spans="1:22">
      <c r="A501" s="2" t="s">
        <v>526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>
        <v>0</v>
      </c>
      <c r="H501" t="s">
        <v>715</v>
      </c>
      <c r="T501"/>
      <c r="U501"/>
      <c r="V501"/>
    </row>
    <row r="502" spans="1:22">
      <c r="A502" s="2" t="s">
        <v>527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>
        <v>0</v>
      </c>
      <c r="H502" t="s">
        <v>715</v>
      </c>
      <c r="T502"/>
      <c r="U502"/>
      <c r="V502"/>
    </row>
    <row r="503" spans="1:22">
      <c r="A503" s="2" t="s">
        <v>528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>
        <v>0</v>
      </c>
      <c r="H503" t="s">
        <v>715</v>
      </c>
      <c r="T503"/>
      <c r="U503"/>
      <c r="V503"/>
    </row>
    <row r="504" spans="1:22">
      <c r="A504" s="2" t="s">
        <v>529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>
        <v>0</v>
      </c>
      <c r="H504" t="s">
        <v>715</v>
      </c>
      <c r="T504"/>
      <c r="U504"/>
      <c r="V504"/>
    </row>
    <row r="505" spans="1:22">
      <c r="A505" s="2" t="s">
        <v>530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>
        <v>0</v>
      </c>
      <c r="H505" t="s">
        <v>715</v>
      </c>
      <c r="T505"/>
      <c r="U505"/>
      <c r="V505"/>
    </row>
    <row r="506" spans="1:22">
      <c r="A506" s="2" t="s">
        <v>532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>
        <v>0</v>
      </c>
      <c r="H506" t="s">
        <v>715</v>
      </c>
      <c r="T506"/>
      <c r="U506"/>
      <c r="V506"/>
    </row>
    <row r="507" spans="1:22">
      <c r="A507" s="2" t="s">
        <v>533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>
        <v>0</v>
      </c>
      <c r="H507" t="s">
        <v>715</v>
      </c>
      <c r="T507"/>
      <c r="U507"/>
      <c r="V507"/>
    </row>
    <row r="508" spans="1:22">
      <c r="A508" s="2" t="s">
        <v>534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>
        <v>0</v>
      </c>
      <c r="H508" t="s">
        <v>715</v>
      </c>
      <c r="T508"/>
      <c r="U508"/>
      <c r="V508"/>
    </row>
    <row r="509" spans="1:22">
      <c r="A509" s="2" t="s">
        <v>535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>
        <v>0</v>
      </c>
      <c r="H509" t="s">
        <v>715</v>
      </c>
      <c r="T509"/>
      <c r="U509"/>
      <c r="V509"/>
    </row>
    <row r="510" spans="1:22">
      <c r="A510" s="2" t="s">
        <v>536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>
        <v>0</v>
      </c>
      <c r="H510" t="s">
        <v>715</v>
      </c>
      <c r="T510"/>
      <c r="U510"/>
      <c r="V510"/>
    </row>
    <row r="511" spans="1:22">
      <c r="A511" s="2" t="s">
        <v>537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>
        <v>0</v>
      </c>
      <c r="H511" t="s">
        <v>715</v>
      </c>
      <c r="T511"/>
      <c r="U511"/>
      <c r="V511"/>
    </row>
    <row r="512" spans="1:22">
      <c r="A512" s="2" t="s">
        <v>538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>
        <v>0</v>
      </c>
      <c r="H512" t="s">
        <v>715</v>
      </c>
      <c r="T512"/>
      <c r="U512"/>
      <c r="V512"/>
    </row>
    <row r="513" spans="1:22">
      <c r="A513" s="2" t="s">
        <v>539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>
        <v>0</v>
      </c>
      <c r="H513" t="s">
        <v>715</v>
      </c>
      <c r="T513"/>
      <c r="U513"/>
      <c r="V513"/>
    </row>
    <row r="514" spans="1:22">
      <c r="A514" s="2" t="s">
        <v>540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>
        <v>0</v>
      </c>
      <c r="H514" t="s">
        <v>715</v>
      </c>
      <c r="T514"/>
      <c r="U514"/>
      <c r="V514"/>
    </row>
    <row r="515" spans="1:22">
      <c r="A515" s="2" t="s">
        <v>541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>
        <v>0</v>
      </c>
      <c r="H515" t="s">
        <v>715</v>
      </c>
      <c r="T515"/>
      <c r="U515"/>
      <c r="V515"/>
    </row>
    <row r="516" spans="1:22">
      <c r="A516" s="2" t="s">
        <v>542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>
        <v>0</v>
      </c>
      <c r="H516" t="s">
        <v>715</v>
      </c>
      <c r="T516"/>
      <c r="U516"/>
      <c r="V516"/>
    </row>
    <row r="517" spans="1:22">
      <c r="A517" s="2" t="s">
        <v>543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>
        <v>0</v>
      </c>
      <c r="H517" t="s">
        <v>715</v>
      </c>
      <c r="T517"/>
      <c r="U517"/>
      <c r="V517"/>
    </row>
    <row r="518" spans="1:22">
      <c r="A518" s="2" t="s">
        <v>544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>
        <v>0</v>
      </c>
      <c r="H518" t="s">
        <v>715</v>
      </c>
      <c r="T518"/>
      <c r="U518"/>
      <c r="V518"/>
    </row>
    <row r="519" spans="1:22">
      <c r="A519" s="2" t="s">
        <v>545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>
        <v>0</v>
      </c>
      <c r="H519" t="s">
        <v>715</v>
      </c>
      <c r="T519"/>
      <c r="U519"/>
      <c r="V519"/>
    </row>
    <row r="520" spans="1:22">
      <c r="A520" s="2" t="s">
        <v>546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>
        <v>0</v>
      </c>
      <c r="H520" t="s">
        <v>715</v>
      </c>
      <c r="T520"/>
      <c r="U520"/>
      <c r="V520"/>
    </row>
    <row r="521" spans="1:22">
      <c r="A521" s="2" t="s">
        <v>547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>
        <v>0</v>
      </c>
      <c r="H521" t="s">
        <v>715</v>
      </c>
      <c r="T521"/>
      <c r="U521"/>
      <c r="V521"/>
    </row>
    <row r="522" spans="1:22">
      <c r="A522" s="2" t="s">
        <v>548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>
        <v>0</v>
      </c>
      <c r="H522" t="s">
        <v>715</v>
      </c>
      <c r="T522"/>
      <c r="U522"/>
      <c r="V522"/>
    </row>
    <row r="523" spans="1:22">
      <c r="A523" s="2" t="s">
        <v>549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>
        <v>0</v>
      </c>
      <c r="H523" t="s">
        <v>715</v>
      </c>
      <c r="T523"/>
      <c r="U523"/>
      <c r="V523"/>
    </row>
    <row r="524" spans="1:22">
      <c r="A524" s="2" t="s">
        <v>550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>
        <v>0</v>
      </c>
      <c r="H524" t="s">
        <v>715</v>
      </c>
      <c r="T524"/>
      <c r="U524"/>
      <c r="V524"/>
    </row>
    <row r="525" spans="1:22">
      <c r="A525" s="2" t="s">
        <v>551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>
        <v>0</v>
      </c>
      <c r="H525" t="s">
        <v>715</v>
      </c>
      <c r="T525"/>
      <c r="U525"/>
      <c r="V525"/>
    </row>
    <row r="526" spans="1:22">
      <c r="A526" s="2" t="s">
        <v>552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>
        <v>0</v>
      </c>
      <c r="H526" t="s">
        <v>715</v>
      </c>
      <c r="T526"/>
      <c r="U526"/>
      <c r="V526"/>
    </row>
    <row r="527" spans="1:22">
      <c r="A527" s="2" t="s">
        <v>553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>
        <v>0</v>
      </c>
      <c r="H527" t="s">
        <v>715</v>
      </c>
      <c r="T527"/>
      <c r="U527"/>
      <c r="V527"/>
    </row>
    <row r="528" spans="1:22">
      <c r="A528" s="2" t="s">
        <v>554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>
        <v>0</v>
      </c>
      <c r="H528" t="s">
        <v>715</v>
      </c>
      <c r="T528"/>
      <c r="U528"/>
      <c r="V528"/>
    </row>
    <row r="529" spans="1:22">
      <c r="A529" s="2" t="s">
        <v>555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>
        <v>0</v>
      </c>
      <c r="H529" t="s">
        <v>715</v>
      </c>
      <c r="T529"/>
      <c r="U529"/>
      <c r="V529"/>
    </row>
    <row r="530" spans="1:22">
      <c r="A530" s="2" t="s">
        <v>556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>
        <v>0</v>
      </c>
      <c r="H530" t="s">
        <v>715</v>
      </c>
      <c r="T530"/>
      <c r="U530"/>
      <c r="V530"/>
    </row>
    <row r="531" spans="1:22">
      <c r="A531" s="2" t="s">
        <v>557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>
        <v>0</v>
      </c>
      <c r="H531" t="s">
        <v>715</v>
      </c>
      <c r="T531"/>
      <c r="U531"/>
      <c r="V531"/>
    </row>
    <row r="532" spans="1:22">
      <c r="A532" s="2" t="s">
        <v>558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>
        <v>0</v>
      </c>
      <c r="H532" t="s">
        <v>715</v>
      </c>
      <c r="T532"/>
      <c r="U532"/>
      <c r="V532"/>
    </row>
    <row r="533" spans="1:22">
      <c r="A533" s="2" t="s">
        <v>559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>
        <v>0</v>
      </c>
      <c r="H533" t="s">
        <v>715</v>
      </c>
      <c r="T533"/>
      <c r="U533"/>
      <c r="V533"/>
    </row>
    <row r="534" spans="1:22">
      <c r="A534" s="2" t="s">
        <v>560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>
        <v>0</v>
      </c>
      <c r="H534" t="s">
        <v>715</v>
      </c>
      <c r="T534"/>
      <c r="U534"/>
      <c r="V534"/>
    </row>
    <row r="535" spans="1:22">
      <c r="A535" s="2" t="s">
        <v>561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>
        <v>0</v>
      </c>
      <c r="H535" t="s">
        <v>715</v>
      </c>
      <c r="T535"/>
      <c r="U535"/>
      <c r="V535"/>
    </row>
    <row r="536" spans="1:22">
      <c r="A536" s="2" t="s">
        <v>562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>
        <v>0</v>
      </c>
      <c r="H536" t="s">
        <v>715</v>
      </c>
      <c r="T536"/>
      <c r="U536"/>
      <c r="V536"/>
    </row>
    <row r="537" spans="1:22">
      <c r="A537" s="2" t="s">
        <v>563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>
        <v>0</v>
      </c>
      <c r="H537" t="s">
        <v>715</v>
      </c>
      <c r="T537"/>
      <c r="U537"/>
      <c r="V537"/>
    </row>
    <row r="538" spans="1:22">
      <c r="A538" s="2" t="s">
        <v>564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>
        <v>0</v>
      </c>
      <c r="H538" t="s">
        <v>715</v>
      </c>
      <c r="T538"/>
      <c r="U538"/>
      <c r="V538"/>
    </row>
    <row r="539" spans="1:22">
      <c r="A539" s="2" t="s">
        <v>565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>
        <v>0</v>
      </c>
      <c r="H539" t="s">
        <v>715</v>
      </c>
      <c r="T539"/>
      <c r="U539"/>
      <c r="V539"/>
    </row>
    <row r="540" spans="1:22">
      <c r="A540" s="2" t="s">
        <v>566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>
        <v>0</v>
      </c>
      <c r="H540" t="s">
        <v>715</v>
      </c>
      <c r="T540"/>
      <c r="U540"/>
      <c r="V540"/>
    </row>
    <row r="541" spans="1:22">
      <c r="A541" s="2" t="s">
        <v>567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>
        <v>0</v>
      </c>
      <c r="H541" t="s">
        <v>715</v>
      </c>
      <c r="T541"/>
      <c r="U541"/>
      <c r="V541"/>
    </row>
    <row r="542" spans="1:22">
      <c r="A542" s="2" t="s">
        <v>568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>
        <v>-3</v>
      </c>
      <c r="H542" t="s">
        <v>715</v>
      </c>
      <c r="T542"/>
      <c r="U542"/>
      <c r="V542"/>
    </row>
    <row r="543" spans="1:22">
      <c r="A543" s="2" t="s">
        <v>569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>
        <v>0</v>
      </c>
      <c r="H543" t="s">
        <v>715</v>
      </c>
      <c r="T543"/>
      <c r="U543"/>
      <c r="V543"/>
    </row>
    <row r="544" spans="1:22">
      <c r="A544" s="2" t="s">
        <v>570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>
        <v>0</v>
      </c>
      <c r="H544" t="s">
        <v>715</v>
      </c>
      <c r="T544"/>
      <c r="U544"/>
      <c r="V544"/>
    </row>
    <row r="545" spans="1:22">
      <c r="A545" s="2" t="s">
        <v>571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>
        <v>0</v>
      </c>
      <c r="H545" t="s">
        <v>715</v>
      </c>
      <c r="T545"/>
      <c r="U545"/>
      <c r="V545"/>
    </row>
    <row r="546" spans="1:22">
      <c r="A546" s="2" t="s">
        <v>572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>
        <v>0</v>
      </c>
      <c r="H546" t="s">
        <v>715</v>
      </c>
      <c r="T546"/>
      <c r="U546"/>
      <c r="V546"/>
    </row>
    <row r="547" spans="1:22">
      <c r="A547" s="2" t="s">
        <v>573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>
        <v>0</v>
      </c>
      <c r="H547" t="s">
        <v>715</v>
      </c>
      <c r="T547"/>
      <c r="U547"/>
      <c r="V547"/>
    </row>
    <row r="548" spans="1:22">
      <c r="A548" s="2" t="s">
        <v>574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>
        <v>0</v>
      </c>
      <c r="H548" t="s">
        <v>715</v>
      </c>
      <c r="T548"/>
      <c r="U548"/>
      <c r="V548"/>
    </row>
    <row r="549" spans="1:22">
      <c r="A549" s="2" t="s">
        <v>575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>
        <v>0</v>
      </c>
      <c r="H549" t="s">
        <v>715</v>
      </c>
      <c r="T549"/>
      <c r="U549"/>
      <c r="V549"/>
    </row>
    <row r="550" spans="1:22">
      <c r="A550" s="2" t="s">
        <v>576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>
        <v>0</v>
      </c>
      <c r="H550" t="s">
        <v>715</v>
      </c>
      <c r="T550"/>
      <c r="U550"/>
      <c r="V550"/>
    </row>
    <row r="551" spans="1:22">
      <c r="A551" s="2" t="s">
        <v>577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>
        <v>0</v>
      </c>
      <c r="H551" t="s">
        <v>715</v>
      </c>
      <c r="T551"/>
      <c r="U551"/>
      <c r="V551"/>
    </row>
    <row r="552" spans="1:22">
      <c r="A552" s="2" t="s">
        <v>578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>
        <v>0</v>
      </c>
      <c r="H552" t="s">
        <v>715</v>
      </c>
      <c r="T552"/>
      <c r="U552"/>
      <c r="V552"/>
    </row>
    <row r="553" spans="1:22">
      <c r="A553" s="2" t="s">
        <v>579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>
        <v>0</v>
      </c>
      <c r="H553" t="s">
        <v>715</v>
      </c>
      <c r="T553"/>
      <c r="U553"/>
      <c r="V553"/>
    </row>
    <row r="554" spans="1:22">
      <c r="A554" s="2" t="s">
        <v>580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>
        <v>0</v>
      </c>
      <c r="H554" t="s">
        <v>715</v>
      </c>
      <c r="T554"/>
      <c r="U554"/>
      <c r="V554"/>
    </row>
    <row r="555" spans="1:22">
      <c r="A555" s="2" t="s">
        <v>581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>
        <v>0</v>
      </c>
      <c r="H555" t="s">
        <v>715</v>
      </c>
      <c r="T555"/>
      <c r="U555"/>
      <c r="V555"/>
    </row>
    <row r="556" spans="1:22">
      <c r="A556" s="2" t="s">
        <v>582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>
        <v>0</v>
      </c>
      <c r="H556" t="s">
        <v>715</v>
      </c>
      <c r="T556"/>
      <c r="U556"/>
      <c r="V556"/>
    </row>
    <row r="557" spans="1:22">
      <c r="A557" s="2" t="s">
        <v>583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>
        <v>0</v>
      </c>
      <c r="H557" t="s">
        <v>715</v>
      </c>
      <c r="T557"/>
      <c r="U557"/>
      <c r="V557"/>
    </row>
    <row r="558" spans="1:22">
      <c r="A558" s="2" t="s">
        <v>584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>
        <v>0</v>
      </c>
      <c r="H558" t="s">
        <v>715</v>
      </c>
      <c r="T558"/>
      <c r="U558"/>
      <c r="V558"/>
    </row>
    <row r="559" spans="1:22">
      <c r="A559" s="2" t="s">
        <v>585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>
        <v>-3</v>
      </c>
      <c r="H559" t="s">
        <v>715</v>
      </c>
      <c r="T559"/>
      <c r="U559"/>
      <c r="V559"/>
    </row>
    <row r="560" spans="1:22">
      <c r="A560" s="2" t="s">
        <v>586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>
        <v>0</v>
      </c>
      <c r="H560" t="s">
        <v>715</v>
      </c>
      <c r="T560"/>
      <c r="U560"/>
      <c r="V560"/>
    </row>
    <row r="561" spans="1:22">
      <c r="A561" s="2" t="s">
        <v>587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>
        <v>0</v>
      </c>
      <c r="H561" t="s">
        <v>715</v>
      </c>
      <c r="T561"/>
      <c r="U561"/>
      <c r="V561"/>
    </row>
    <row r="562" spans="1:22">
      <c r="A562" s="2" t="s">
        <v>588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>
        <v>0</v>
      </c>
      <c r="H562" t="s">
        <v>715</v>
      </c>
      <c r="T562"/>
      <c r="U562"/>
      <c r="V562"/>
    </row>
    <row r="563" spans="1:22">
      <c r="A563" s="2" t="s">
        <v>589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>
        <v>0</v>
      </c>
      <c r="H563" t="s">
        <v>715</v>
      </c>
      <c r="T563"/>
      <c r="U563"/>
      <c r="V563"/>
    </row>
    <row r="564" spans="1:22">
      <c r="A564" s="2" t="s">
        <v>590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>
        <v>0</v>
      </c>
      <c r="H564" t="s">
        <v>715</v>
      </c>
      <c r="T564"/>
      <c r="U564"/>
      <c r="V564"/>
    </row>
    <row r="565" spans="1:22">
      <c r="A565" s="2" t="s">
        <v>591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>
        <v>0</v>
      </c>
      <c r="H565" t="s">
        <v>715</v>
      </c>
      <c r="T565"/>
      <c r="U565"/>
      <c r="V565"/>
    </row>
    <row r="566" spans="1:22">
      <c r="A566" s="2" t="s">
        <v>592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>
        <v>0</v>
      </c>
      <c r="H566" t="s">
        <v>715</v>
      </c>
      <c r="T566"/>
      <c r="U566"/>
      <c r="V566"/>
    </row>
    <row r="567" spans="1:22">
      <c r="A567" s="2" t="s">
        <v>593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>
        <v>0</v>
      </c>
      <c r="H567" t="s">
        <v>715</v>
      </c>
      <c r="T567"/>
      <c r="U567"/>
      <c r="V567"/>
    </row>
    <row r="568" spans="1:22">
      <c r="A568" s="2" t="s">
        <v>594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>
        <v>0</v>
      </c>
      <c r="H568" t="s">
        <v>715</v>
      </c>
      <c r="T568"/>
      <c r="U568"/>
      <c r="V568"/>
    </row>
    <row r="569" spans="1:22">
      <c r="A569" s="2" t="s">
        <v>595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>
        <v>0</v>
      </c>
      <c r="H569" t="s">
        <v>715</v>
      </c>
      <c r="T569"/>
      <c r="U569"/>
      <c r="V569"/>
    </row>
    <row r="570" spans="1:22">
      <c r="A570" s="2" t="s">
        <v>596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>
        <v>0</v>
      </c>
      <c r="H570" t="s">
        <v>715</v>
      </c>
      <c r="T570"/>
      <c r="U570"/>
      <c r="V570"/>
    </row>
    <row r="571" spans="1:22">
      <c r="A571" s="2" t="s">
        <v>597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>
        <v>0</v>
      </c>
      <c r="H571" t="s">
        <v>715</v>
      </c>
      <c r="T571"/>
      <c r="U571"/>
      <c r="V571"/>
    </row>
    <row r="572" spans="1:22">
      <c r="A572" s="2" t="s">
        <v>901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>
        <v>0</v>
      </c>
      <c r="H572" t="s">
        <v>715</v>
      </c>
      <c r="T572"/>
      <c r="U572"/>
      <c r="V572"/>
    </row>
    <row r="573" spans="1:22">
      <c r="A573" s="2" t="s">
        <v>884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>
        <v>0</v>
      </c>
      <c r="H573" t="s">
        <v>715</v>
      </c>
      <c r="T573"/>
      <c r="U573"/>
      <c r="V573"/>
    </row>
    <row r="574" spans="1:22">
      <c r="A574" s="2" t="s">
        <v>885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>
        <v>0</v>
      </c>
      <c r="H574" t="s">
        <v>715</v>
      </c>
      <c r="T574"/>
      <c r="U574"/>
      <c r="V574"/>
    </row>
    <row r="575" spans="1:22">
      <c r="A575" s="2" t="s">
        <v>886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>
        <v>0</v>
      </c>
      <c r="H575" t="s">
        <v>715</v>
      </c>
      <c r="T575"/>
      <c r="U575"/>
      <c r="V575"/>
    </row>
    <row r="576" spans="1:22">
      <c r="A576" s="2" t="s">
        <v>887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>
        <v>0</v>
      </c>
      <c r="H576" t="s">
        <v>715</v>
      </c>
      <c r="T576"/>
      <c r="U576"/>
      <c r="V576"/>
    </row>
    <row r="577" spans="1:22">
      <c r="A577" s="2" t="s">
        <v>888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>
        <v>0</v>
      </c>
      <c r="H577" t="s">
        <v>715</v>
      </c>
      <c r="T577"/>
      <c r="U577"/>
      <c r="V577"/>
    </row>
    <row r="578" spans="1:22">
      <c r="A578" s="2" t="s">
        <v>889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>
        <v>0</v>
      </c>
      <c r="H578" t="s">
        <v>715</v>
      </c>
      <c r="T578"/>
      <c r="U578"/>
      <c r="V578"/>
    </row>
    <row r="579" spans="1:22">
      <c r="A579" s="2" t="s">
        <v>890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>
        <v>0</v>
      </c>
      <c r="H579" t="s">
        <v>715</v>
      </c>
      <c r="T579"/>
      <c r="U579"/>
      <c r="V579"/>
    </row>
    <row r="580" spans="1:22">
      <c r="A580" s="2" t="s">
        <v>891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>
        <v>0</v>
      </c>
      <c r="H580" t="s">
        <v>715</v>
      </c>
      <c r="T580"/>
      <c r="U580"/>
      <c r="V580"/>
    </row>
    <row r="581" spans="1:22">
      <c r="A581" s="2" t="s">
        <v>892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>
        <v>0</v>
      </c>
      <c r="H581" t="s">
        <v>715</v>
      </c>
      <c r="T581"/>
      <c r="U581"/>
      <c r="V581"/>
    </row>
    <row r="582" spans="1:22">
      <c r="A582" s="2" t="s">
        <v>893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>
        <v>0</v>
      </c>
      <c r="H582" t="s">
        <v>715</v>
      </c>
      <c r="T582"/>
      <c r="U582"/>
      <c r="V582"/>
    </row>
    <row r="583" spans="1:22">
      <c r="A583" s="2" t="s">
        <v>894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>
        <v>0</v>
      </c>
      <c r="H583" t="s">
        <v>715</v>
      </c>
      <c r="T583"/>
      <c r="U583"/>
      <c r="V583"/>
    </row>
    <row r="584" spans="1:22">
      <c r="A584" s="2" t="s">
        <v>895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>
        <v>0</v>
      </c>
      <c r="H584" t="s">
        <v>715</v>
      </c>
      <c r="T584"/>
      <c r="U584"/>
      <c r="V584"/>
    </row>
    <row r="585" spans="1:22">
      <c r="A585" s="2" t="s">
        <v>896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>
        <v>0</v>
      </c>
      <c r="H585" t="s">
        <v>715</v>
      </c>
      <c r="T585"/>
      <c r="U585"/>
      <c r="V585"/>
    </row>
    <row r="586" spans="1:22">
      <c r="A586" s="2" t="s">
        <v>897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>
        <v>0</v>
      </c>
      <c r="H586" t="s">
        <v>715</v>
      </c>
      <c r="T586"/>
      <c r="U586"/>
      <c r="V586"/>
    </row>
    <row r="587" spans="1:22">
      <c r="A587" s="2" t="s">
        <v>609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>
        <v>0</v>
      </c>
      <c r="H587" t="s">
        <v>715</v>
      </c>
      <c r="T587"/>
      <c r="U587"/>
      <c r="V587"/>
    </row>
    <row r="588" spans="1:22">
      <c r="A588" s="2" t="s">
        <v>610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>
        <v>0</v>
      </c>
      <c r="H588" t="s">
        <v>715</v>
      </c>
      <c r="T588"/>
      <c r="U588"/>
      <c r="V588"/>
    </row>
    <row r="589" spans="1:22">
      <c r="A589" s="2" t="s">
        <v>611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>
        <v>0</v>
      </c>
      <c r="H589" t="s">
        <v>715</v>
      </c>
      <c r="T589"/>
      <c r="U589"/>
      <c r="V589"/>
    </row>
    <row r="590" spans="1:22">
      <c r="A590" s="2" t="s">
        <v>612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>
        <v>0</v>
      </c>
      <c r="H590" t="s">
        <v>715</v>
      </c>
      <c r="T590"/>
      <c r="U590"/>
      <c r="V590"/>
    </row>
    <row r="591" spans="1:22">
      <c r="A591" s="2" t="s">
        <v>613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>
        <v>0</v>
      </c>
      <c r="H591" t="s">
        <v>715</v>
      </c>
      <c r="T591"/>
      <c r="U591"/>
      <c r="V591"/>
    </row>
    <row r="592" spans="1:22">
      <c r="A592" s="2" t="s">
        <v>614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>
        <v>-3</v>
      </c>
      <c r="H592" t="s">
        <v>715</v>
      </c>
      <c r="T592"/>
      <c r="U592"/>
      <c r="V592"/>
    </row>
    <row r="593" spans="1:22">
      <c r="A593" s="2" t="s">
        <v>615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>
        <v>0</v>
      </c>
      <c r="H593" t="s">
        <v>715</v>
      </c>
      <c r="T593"/>
      <c r="U593"/>
      <c r="V593"/>
    </row>
    <row r="594" spans="1:22">
      <c r="A594" s="2" t="s">
        <v>616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>
        <v>0</v>
      </c>
      <c r="H594" t="s">
        <v>715</v>
      </c>
      <c r="T594"/>
      <c r="U594"/>
      <c r="V594"/>
    </row>
    <row r="595" spans="1:22">
      <c r="A595" s="2" t="s">
        <v>617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>
        <v>0</v>
      </c>
      <c r="H595" t="s">
        <v>715</v>
      </c>
      <c r="T595"/>
      <c r="U595"/>
      <c r="V595"/>
    </row>
    <row r="596" spans="1:22">
      <c r="A596" s="2" t="s">
        <v>618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>
        <v>0</v>
      </c>
      <c r="H596" t="s">
        <v>715</v>
      </c>
      <c r="T596"/>
      <c r="U596"/>
      <c r="V596"/>
    </row>
    <row r="597" spans="1:22">
      <c r="A597" s="2" t="s">
        <v>619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>
        <v>0</v>
      </c>
      <c r="H597" t="s">
        <v>715</v>
      </c>
      <c r="T597"/>
      <c r="U597"/>
      <c r="V597"/>
    </row>
    <row r="598" spans="1:22">
      <c r="A598" s="2" t="s">
        <v>620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>
        <v>0</v>
      </c>
      <c r="H598" t="s">
        <v>715</v>
      </c>
      <c r="T598"/>
      <c r="U598"/>
      <c r="V598"/>
    </row>
    <row r="599" spans="1:22">
      <c r="A599" s="2" t="s">
        <v>621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>
        <v>0</v>
      </c>
      <c r="H599" t="s">
        <v>715</v>
      </c>
      <c r="T599"/>
      <c r="U599"/>
      <c r="V599"/>
    </row>
    <row r="600" spans="1:22">
      <c r="A600" s="2" t="s">
        <v>622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>
        <v>0</v>
      </c>
      <c r="H600" t="s">
        <v>715</v>
      </c>
      <c r="T600"/>
      <c r="U600"/>
      <c r="V600"/>
    </row>
    <row r="601" spans="1:22">
      <c r="A601" s="2" t="s">
        <v>623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>
        <v>0</v>
      </c>
      <c r="H601" t="s">
        <v>715</v>
      </c>
      <c r="T601"/>
      <c r="U601"/>
      <c r="V601"/>
    </row>
    <row r="602" spans="1:22">
      <c r="A602" s="2" t="s">
        <v>624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>
        <v>0</v>
      </c>
      <c r="H602" t="s">
        <v>715</v>
      </c>
      <c r="T602"/>
      <c r="U602"/>
      <c r="V602"/>
    </row>
    <row r="603" spans="1:22">
      <c r="A603" s="2" t="s">
        <v>625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>
        <v>0</v>
      </c>
      <c r="H603" t="s">
        <v>715</v>
      </c>
      <c r="T603"/>
      <c r="U603"/>
      <c r="V603"/>
    </row>
    <row r="604" spans="1:22">
      <c r="A604" s="2" t="s">
        <v>626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>
        <v>-3</v>
      </c>
      <c r="H604" t="s">
        <v>715</v>
      </c>
      <c r="T604"/>
      <c r="U604"/>
      <c r="V604"/>
    </row>
    <row r="605" spans="1:22">
      <c r="A605" s="2" t="s">
        <v>627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>
        <v>0</v>
      </c>
      <c r="H605" t="s">
        <v>715</v>
      </c>
      <c r="T605"/>
      <c r="U605"/>
      <c r="V605"/>
    </row>
    <row r="606" spans="1:22">
      <c r="A606" s="2" t="s">
        <v>628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>
        <v>-3</v>
      </c>
      <c r="H606" t="s">
        <v>715</v>
      </c>
      <c r="T606"/>
      <c r="U606"/>
      <c r="V606"/>
    </row>
    <row r="607" spans="1:22">
      <c r="A607" s="2" t="s">
        <v>629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>
        <v>0</v>
      </c>
      <c r="H607" t="s">
        <v>715</v>
      </c>
      <c r="T607"/>
      <c r="U607"/>
      <c r="V607"/>
    </row>
    <row r="608" spans="1:22">
      <c r="A608" s="2" t="s">
        <v>630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>
        <v>0</v>
      </c>
      <c r="H608" t="s">
        <v>715</v>
      </c>
      <c r="T608"/>
      <c r="U608"/>
      <c r="V608"/>
    </row>
    <row r="609" spans="1:22">
      <c r="A609" s="2" t="s">
        <v>631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>
        <v>0</v>
      </c>
      <c r="H609" t="s">
        <v>715</v>
      </c>
      <c r="T609"/>
      <c r="U609"/>
      <c r="V609"/>
    </row>
    <row r="610" spans="1:22">
      <c r="A610" s="2" t="s">
        <v>632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>
        <v>0</v>
      </c>
      <c r="H610" t="s">
        <v>715</v>
      </c>
      <c r="T610"/>
      <c r="U610"/>
      <c r="V610"/>
    </row>
    <row r="611" spans="1:22">
      <c r="A611" s="2" t="s">
        <v>633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>
        <v>-3</v>
      </c>
      <c r="H611" t="s">
        <v>715</v>
      </c>
      <c r="T611"/>
      <c r="U611"/>
      <c r="V611"/>
    </row>
    <row r="612" spans="1:22">
      <c r="A612" s="2" t="s">
        <v>634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>
        <v>0</v>
      </c>
      <c r="H612" t="s">
        <v>715</v>
      </c>
      <c r="T612"/>
      <c r="U612"/>
      <c r="V612"/>
    </row>
    <row r="613" spans="1:22">
      <c r="A613" s="2" t="s">
        <v>635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>
        <v>0</v>
      </c>
      <c r="H613" t="s">
        <v>715</v>
      </c>
      <c r="T613"/>
      <c r="U613"/>
      <c r="V613"/>
    </row>
    <row r="614" spans="1:22">
      <c r="A614" s="2" t="s">
        <v>636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>
        <v>0</v>
      </c>
      <c r="H614" t="s">
        <v>715</v>
      </c>
      <c r="T614"/>
      <c r="U614"/>
      <c r="V614"/>
    </row>
    <row r="615" spans="1:22">
      <c r="A615" s="2" t="s">
        <v>637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>
        <v>0</v>
      </c>
      <c r="H615" t="s">
        <v>715</v>
      </c>
      <c r="T615"/>
      <c r="U615"/>
      <c r="V615"/>
    </row>
    <row r="616" spans="1:22">
      <c r="A616" s="2" t="s">
        <v>638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>
        <v>0</v>
      </c>
      <c r="H616" t="s">
        <v>715</v>
      </c>
      <c r="T616"/>
      <c r="U616"/>
      <c r="V616"/>
    </row>
    <row r="617" spans="1:22">
      <c r="A617" s="2" t="s">
        <v>639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>
        <v>0</v>
      </c>
      <c r="H617" t="s">
        <v>715</v>
      </c>
      <c r="T617"/>
      <c r="U617"/>
      <c r="V617"/>
    </row>
    <row r="618" spans="1:22">
      <c r="A618" s="2" t="s">
        <v>640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>
        <v>0</v>
      </c>
      <c r="H618" t="s">
        <v>715</v>
      </c>
      <c r="T618"/>
      <c r="U618"/>
      <c r="V618"/>
    </row>
    <row r="619" spans="1:22">
      <c r="A619" s="2" t="s">
        <v>641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>
        <v>0</v>
      </c>
      <c r="H619" t="s">
        <v>715</v>
      </c>
      <c r="T619"/>
      <c r="U619"/>
      <c r="V619"/>
    </row>
    <row r="620" spans="1:22">
      <c r="A620" s="2" t="s">
        <v>642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>
        <v>-3</v>
      </c>
      <c r="H620" t="s">
        <v>715</v>
      </c>
      <c r="T620"/>
      <c r="U620"/>
      <c r="V620"/>
    </row>
    <row r="621" spans="1:22">
      <c r="A621" s="2" t="s">
        <v>643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>
        <v>0</v>
      </c>
      <c r="H621" t="s">
        <v>715</v>
      </c>
      <c r="T621"/>
      <c r="U621"/>
      <c r="V621"/>
    </row>
    <row r="622" spans="1:22">
      <c r="A622" s="2" t="s">
        <v>644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>
        <v>0</v>
      </c>
      <c r="H622" t="s">
        <v>715</v>
      </c>
      <c r="T622"/>
      <c r="U622"/>
      <c r="V622"/>
    </row>
    <row r="623" spans="1:22">
      <c r="A623" s="2" t="s">
        <v>645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>
        <v>0</v>
      </c>
      <c r="H623" t="s">
        <v>715</v>
      </c>
      <c r="T623"/>
      <c r="U623"/>
      <c r="V623"/>
    </row>
    <row r="624" spans="1:22">
      <c r="A624" s="2" t="s">
        <v>646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>
        <v>0</v>
      </c>
      <c r="H624" t="s">
        <v>715</v>
      </c>
      <c r="T624"/>
      <c r="U624"/>
      <c r="V624"/>
    </row>
    <row r="625" spans="1:22">
      <c r="A625" s="2" t="s">
        <v>647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>
        <v>0</v>
      </c>
      <c r="H625" t="s">
        <v>715</v>
      </c>
      <c r="T625"/>
      <c r="U625"/>
      <c r="V625"/>
    </row>
    <row r="626" spans="1:22">
      <c r="A626" s="2" t="s">
        <v>648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>
        <v>0</v>
      </c>
      <c r="H626" t="s">
        <v>715</v>
      </c>
      <c r="T626"/>
      <c r="U626"/>
      <c r="V626"/>
    </row>
    <row r="627" spans="1:22">
      <c r="A627" s="2" t="s">
        <v>649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>
        <v>0</v>
      </c>
      <c r="H627" t="s">
        <v>715</v>
      </c>
      <c r="T627"/>
      <c r="U627"/>
      <c r="V627"/>
    </row>
    <row r="628" spans="1:22">
      <c r="A628" s="2" t="s">
        <v>650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>
        <v>0</v>
      </c>
      <c r="H628" t="s">
        <v>715</v>
      </c>
      <c r="T628"/>
      <c r="U628"/>
      <c r="V628"/>
    </row>
    <row r="629" spans="1:22">
      <c r="A629" s="2" t="s">
        <v>651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>
        <v>0</v>
      </c>
      <c r="H629" t="s">
        <v>715</v>
      </c>
      <c r="T629"/>
      <c r="U629"/>
      <c r="V629"/>
    </row>
    <row r="630" spans="1:22">
      <c r="A630" s="2" t="s">
        <v>652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>
        <v>0</v>
      </c>
      <c r="H630" t="s">
        <v>715</v>
      </c>
      <c r="T630"/>
      <c r="U630"/>
      <c r="V630"/>
    </row>
    <row r="631" spans="1:22">
      <c r="A631" s="2" t="s">
        <v>653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>
        <v>-3</v>
      </c>
      <c r="H631" t="s">
        <v>715</v>
      </c>
      <c r="T631"/>
      <c r="U631"/>
      <c r="V631"/>
    </row>
    <row r="632" spans="1:22">
      <c r="A632" s="2" t="s">
        <v>654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>
        <v>0</v>
      </c>
      <c r="H632" t="s">
        <v>715</v>
      </c>
      <c r="T632"/>
      <c r="U632"/>
      <c r="V632"/>
    </row>
    <row r="633" spans="1:22">
      <c r="A633" s="2" t="s">
        <v>655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>
        <v>0</v>
      </c>
      <c r="H633" t="s">
        <v>715</v>
      </c>
      <c r="T633"/>
      <c r="U633"/>
      <c r="V633"/>
    </row>
    <row r="634" spans="1:22">
      <c r="A634" s="2" t="s">
        <v>656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>
        <v>0</v>
      </c>
      <c r="H634" t="s">
        <v>715</v>
      </c>
      <c r="T634"/>
      <c r="U634"/>
      <c r="V634"/>
    </row>
    <row r="635" spans="1:22">
      <c r="A635" s="2" t="s">
        <v>657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>
        <v>0</v>
      </c>
      <c r="H635" t="s">
        <v>715</v>
      </c>
      <c r="T635"/>
      <c r="U635"/>
      <c r="V635"/>
    </row>
    <row r="636" spans="1:22">
      <c r="A636" s="2" t="s">
        <v>658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>
        <v>0</v>
      </c>
      <c r="H636" t="s">
        <v>715</v>
      </c>
      <c r="T636"/>
      <c r="U636"/>
      <c r="V636"/>
    </row>
    <row r="637" spans="1:22">
      <c r="A637" s="2" t="s">
        <v>659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>
        <v>-3</v>
      </c>
      <c r="H637" t="s">
        <v>715</v>
      </c>
      <c r="T637"/>
      <c r="U637"/>
      <c r="V637"/>
    </row>
    <row r="638" spans="1:22">
      <c r="A638" s="2" t="s">
        <v>660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>
        <v>-3</v>
      </c>
      <c r="H638" t="s">
        <v>715</v>
      </c>
      <c r="T638"/>
      <c r="U638"/>
      <c r="V638"/>
    </row>
    <row r="639" spans="1:22">
      <c r="A639" s="2" t="s">
        <v>661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>
        <v>-3</v>
      </c>
      <c r="H639" t="s">
        <v>715</v>
      </c>
      <c r="T639"/>
      <c r="U639"/>
      <c r="V639"/>
    </row>
    <row r="640" spans="1:22">
      <c r="A640" s="2" t="s">
        <v>662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>
        <v>-3</v>
      </c>
      <c r="H640" t="s">
        <v>715</v>
      </c>
      <c r="T640"/>
      <c r="U640"/>
      <c r="V640"/>
    </row>
    <row r="641" spans="1:22">
      <c r="A641" s="2" t="s">
        <v>663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>
        <v>0</v>
      </c>
      <c r="H641" t="s">
        <v>715</v>
      </c>
      <c r="T641"/>
      <c r="U641"/>
      <c r="V641"/>
    </row>
    <row r="642" spans="1:22">
      <c r="A642" s="2" t="s">
        <v>664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>
        <v>0</v>
      </c>
      <c r="H642" t="s">
        <v>715</v>
      </c>
      <c r="T642"/>
      <c r="U642"/>
      <c r="V642"/>
    </row>
    <row r="643" spans="1:22">
      <c r="A643" s="2" t="s">
        <v>665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>
        <v>-3</v>
      </c>
      <c r="H643" t="s">
        <v>715</v>
      </c>
      <c r="T643"/>
      <c r="U643"/>
      <c r="V643"/>
    </row>
    <row r="644" spans="1:22">
      <c r="A644" s="2" t="s">
        <v>666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>
        <v>-3</v>
      </c>
      <c r="H644" t="s">
        <v>715</v>
      </c>
      <c r="T644"/>
      <c r="U644"/>
      <c r="V644"/>
    </row>
    <row r="645" spans="1:22">
      <c r="A645" s="2" t="s">
        <v>667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>
        <v>0</v>
      </c>
      <c r="H645" t="s">
        <v>715</v>
      </c>
      <c r="T645"/>
      <c r="U645"/>
      <c r="V645"/>
    </row>
    <row r="646" spans="1:22">
      <c r="A646" s="2" t="s">
        <v>668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>
        <v>0</v>
      </c>
      <c r="H646" t="s">
        <v>715</v>
      </c>
      <c r="T646"/>
      <c r="U646"/>
      <c r="V646"/>
    </row>
    <row r="647" spans="1:22">
      <c r="A647" s="2" t="s">
        <v>669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>
        <v>0</v>
      </c>
      <c r="H647" t="s">
        <v>715</v>
      </c>
      <c r="T647"/>
      <c r="U647"/>
      <c r="V647"/>
    </row>
    <row r="648" spans="1:22">
      <c r="A648" s="2" t="s">
        <v>670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>
        <v>0</v>
      </c>
      <c r="H648" t="s">
        <v>715</v>
      </c>
      <c r="T648"/>
      <c r="U648"/>
      <c r="V648"/>
    </row>
    <row r="649" spans="1:22">
      <c r="A649" s="2" t="s">
        <v>745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>
        <v>0</v>
      </c>
      <c r="H649" t="s">
        <v>715</v>
      </c>
      <c r="T649"/>
      <c r="U649"/>
      <c r="V649"/>
    </row>
    <row r="650" spans="1:22">
      <c r="A650" s="2" t="s">
        <v>744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>
        <v>0</v>
      </c>
      <c r="H650" t="s">
        <v>715</v>
      </c>
      <c r="T650"/>
      <c r="U650"/>
      <c r="V650"/>
    </row>
    <row r="651" spans="1:22">
      <c r="A651" s="2" t="s">
        <v>746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>
        <v>0</v>
      </c>
      <c r="H651" t="s">
        <v>715</v>
      </c>
      <c r="T651"/>
      <c r="U651"/>
      <c r="V651"/>
    </row>
    <row r="652" spans="1:22">
      <c r="A652" s="2" t="s">
        <v>747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>
        <v>0</v>
      </c>
      <c r="H652" t="s">
        <v>715</v>
      </c>
      <c r="T652"/>
      <c r="U652"/>
      <c r="V652"/>
    </row>
    <row r="653" spans="1:22">
      <c r="A653" s="2" t="s">
        <v>748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>
        <v>0</v>
      </c>
      <c r="H653" t="s">
        <v>715</v>
      </c>
      <c r="T653"/>
      <c r="U653"/>
      <c r="V653"/>
    </row>
    <row r="654" spans="1:22">
      <c r="A654" s="2" t="s">
        <v>749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>
        <v>0</v>
      </c>
      <c r="H654" t="s">
        <v>715</v>
      </c>
      <c r="T654"/>
      <c r="U654"/>
      <c r="V654"/>
    </row>
    <row r="655" spans="1:22">
      <c r="A655" s="2" t="s">
        <v>751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>
        <v>0</v>
      </c>
      <c r="H655" t="s">
        <v>715</v>
      </c>
      <c r="T655"/>
      <c r="U655"/>
      <c r="V655"/>
    </row>
    <row r="656" spans="1:22">
      <c r="A656" s="2" t="s">
        <v>752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>
        <v>0</v>
      </c>
      <c r="H656" t="s">
        <v>715</v>
      </c>
      <c r="T656"/>
      <c r="U656"/>
      <c r="V656"/>
    </row>
    <row r="657" spans="1:22">
      <c r="A657" s="2" t="s">
        <v>753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>
        <v>0</v>
      </c>
      <c r="H657" t="s">
        <v>715</v>
      </c>
      <c r="T657"/>
      <c r="U657"/>
      <c r="V657"/>
    </row>
    <row r="658" spans="1:22">
      <c r="A658" s="2" t="s">
        <v>754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>
        <v>0</v>
      </c>
      <c r="H658" t="s">
        <v>715</v>
      </c>
      <c r="T658"/>
      <c r="U658"/>
      <c r="V658"/>
    </row>
    <row r="659" spans="1:22">
      <c r="A659" s="2" t="s">
        <v>826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>
        <v>0</v>
      </c>
      <c r="H659" t="s">
        <v>715</v>
      </c>
      <c r="T659"/>
      <c r="U659"/>
      <c r="V659"/>
    </row>
    <row r="660" spans="1:22">
      <c r="A660" s="2" t="s">
        <v>827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>
        <v>0</v>
      </c>
      <c r="H660" t="s">
        <v>715</v>
      </c>
      <c r="T660"/>
      <c r="U660"/>
      <c r="V660"/>
    </row>
    <row r="661" spans="1:22">
      <c r="A661" s="2" t="s">
        <v>828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>
        <v>0</v>
      </c>
      <c r="H661" t="s">
        <v>715</v>
      </c>
      <c r="T661"/>
      <c r="U661"/>
      <c r="V661"/>
    </row>
    <row r="662" spans="1:22">
      <c r="A662" s="2" t="s">
        <v>829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>
        <v>0</v>
      </c>
      <c r="H662" t="s">
        <v>715</v>
      </c>
      <c r="T662"/>
      <c r="U662"/>
      <c r="V662"/>
    </row>
    <row r="663" spans="1:22">
      <c r="A663" s="2" t="s">
        <v>830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>
        <v>0</v>
      </c>
      <c r="H663" t="s">
        <v>715</v>
      </c>
      <c r="T663"/>
      <c r="U663"/>
      <c r="V663"/>
    </row>
    <row r="664" spans="1:22">
      <c r="A664" s="2" t="s">
        <v>831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>
        <v>0</v>
      </c>
      <c r="H664" t="s">
        <v>715</v>
      </c>
      <c r="T664"/>
      <c r="U664"/>
      <c r="V664"/>
    </row>
    <row r="665" spans="1:22">
      <c r="A665" s="2" t="s">
        <v>832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>
        <v>0</v>
      </c>
      <c r="H665" t="s">
        <v>715</v>
      </c>
      <c r="T665"/>
      <c r="U665"/>
      <c r="V665"/>
    </row>
    <row r="666" spans="1:22">
      <c r="A666" s="2" t="s">
        <v>833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>
        <v>0</v>
      </c>
      <c r="H666" t="s">
        <v>715</v>
      </c>
      <c r="T666"/>
      <c r="U666"/>
      <c r="V666"/>
    </row>
    <row r="667" spans="1:22">
      <c r="A667" s="2" t="s">
        <v>834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>
        <v>0</v>
      </c>
      <c r="H667" t="s">
        <v>715</v>
      </c>
      <c r="T667"/>
      <c r="U667"/>
      <c r="V667"/>
    </row>
    <row r="668" spans="1:22">
      <c r="A668" s="2" t="s">
        <v>835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>
        <v>0</v>
      </c>
      <c r="H668" t="s">
        <v>715</v>
      </c>
      <c r="T668"/>
      <c r="U668"/>
      <c r="V668"/>
    </row>
    <row r="669" spans="1:22">
      <c r="A669" s="2" t="s">
        <v>836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>
        <v>0</v>
      </c>
      <c r="H669" t="s">
        <v>715</v>
      </c>
      <c r="T669"/>
      <c r="U669"/>
      <c r="V669"/>
    </row>
    <row r="670" spans="1:22">
      <c r="A670" s="2" t="s">
        <v>837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>
        <v>0</v>
      </c>
      <c r="H670" t="s">
        <v>715</v>
      </c>
      <c r="T670"/>
      <c r="U670"/>
      <c r="V670"/>
    </row>
    <row r="671" spans="1:22">
      <c r="A671" s="2" t="s">
        <v>838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>
        <v>0</v>
      </c>
      <c r="H671" t="s">
        <v>715</v>
      </c>
      <c r="T671"/>
      <c r="U671"/>
      <c r="V671"/>
    </row>
    <row r="672" spans="1:22">
      <c r="A672" s="2" t="s">
        <v>839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>
        <v>0</v>
      </c>
      <c r="H672" t="s">
        <v>715</v>
      </c>
      <c r="T672"/>
      <c r="U672"/>
      <c r="V672"/>
    </row>
    <row r="673" spans="1:22">
      <c r="A673" s="2" t="s">
        <v>840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>
        <v>0</v>
      </c>
      <c r="H673" t="s">
        <v>715</v>
      </c>
      <c r="T673"/>
      <c r="U673"/>
      <c r="V673"/>
    </row>
    <row r="674" spans="1:22">
      <c r="A674" s="2" t="s">
        <v>841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>
        <v>0</v>
      </c>
      <c r="H674" t="s">
        <v>715</v>
      </c>
      <c r="T674"/>
      <c r="U674"/>
      <c r="V674"/>
    </row>
    <row r="675" spans="1:22">
      <c r="A675" s="2" t="s">
        <v>842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>
        <v>0</v>
      </c>
      <c r="H675" t="s">
        <v>715</v>
      </c>
      <c r="T675"/>
      <c r="U675"/>
      <c r="V675"/>
    </row>
    <row r="676" spans="1:22">
      <c r="A676" s="2" t="s">
        <v>843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>
        <v>0</v>
      </c>
      <c r="H676" t="s">
        <v>715</v>
      </c>
      <c r="T676"/>
      <c r="U676"/>
      <c r="V676"/>
    </row>
    <row r="677" spans="1:22">
      <c r="A677" s="2" t="s">
        <v>844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>
        <v>0</v>
      </c>
      <c r="H677" t="s">
        <v>715</v>
      </c>
      <c r="T677"/>
      <c r="U677"/>
      <c r="V677"/>
    </row>
    <row r="678" spans="1:22">
      <c r="A678" s="2" t="s">
        <v>845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>
        <v>0</v>
      </c>
      <c r="H678" t="s">
        <v>715</v>
      </c>
      <c r="T678"/>
      <c r="U678"/>
      <c r="V678"/>
    </row>
    <row r="679" spans="1:22">
      <c r="A679" s="2" t="s">
        <v>846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>
        <v>0</v>
      </c>
      <c r="H679" t="s">
        <v>715</v>
      </c>
      <c r="T679"/>
      <c r="U679"/>
      <c r="V679"/>
    </row>
    <row r="680" spans="1:22">
      <c r="A680" s="2" t="s">
        <v>847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>
        <v>0</v>
      </c>
      <c r="H680" t="s">
        <v>715</v>
      </c>
      <c r="T680"/>
      <c r="U680"/>
      <c r="V680"/>
    </row>
    <row r="681" spans="1:22">
      <c r="A681" s="2" t="s">
        <v>848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>
        <v>0</v>
      </c>
      <c r="H681" t="s">
        <v>715</v>
      </c>
      <c r="T681"/>
      <c r="U681"/>
      <c r="V681"/>
    </row>
    <row r="682" spans="1:22">
      <c r="A682" s="2" t="s">
        <v>849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>
        <v>0</v>
      </c>
      <c r="H682" t="s">
        <v>715</v>
      </c>
      <c r="T682"/>
      <c r="U682"/>
      <c r="V682"/>
    </row>
    <row r="683" spans="1:22">
      <c r="A683" s="2" t="s">
        <v>850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>
        <v>0</v>
      </c>
      <c r="H683" t="s">
        <v>715</v>
      </c>
      <c r="T683"/>
      <c r="U683"/>
      <c r="V683"/>
    </row>
    <row r="684" spans="1:22">
      <c r="A684" s="2" t="s">
        <v>851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>
        <v>0</v>
      </c>
      <c r="H684" t="s">
        <v>715</v>
      </c>
      <c r="T684"/>
      <c r="U684"/>
      <c r="V684"/>
    </row>
    <row r="685" spans="1:22">
      <c r="A685" s="2" t="s">
        <v>852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>
        <v>0</v>
      </c>
      <c r="H685" t="s">
        <v>715</v>
      </c>
      <c r="T685"/>
      <c r="U685"/>
      <c r="V685"/>
    </row>
    <row r="686" spans="1:22">
      <c r="A686" s="2" t="s">
        <v>853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>
        <v>0</v>
      </c>
      <c r="H686" t="s">
        <v>715</v>
      </c>
      <c r="T686"/>
      <c r="U686"/>
      <c r="V686"/>
    </row>
    <row r="687" spans="1:22">
      <c r="A687" s="2" t="s">
        <v>854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>
        <v>0</v>
      </c>
      <c r="H687" t="s">
        <v>715</v>
      </c>
      <c r="T687"/>
      <c r="U687"/>
      <c r="V687"/>
    </row>
    <row r="688" spans="1:22">
      <c r="A688" s="2" t="s">
        <v>855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>
        <v>0</v>
      </c>
      <c r="H688" t="s">
        <v>715</v>
      </c>
      <c r="T688"/>
      <c r="U688"/>
      <c r="V688"/>
    </row>
    <row r="689" spans="1:22">
      <c r="A689" s="2" t="s">
        <v>856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>
        <v>0</v>
      </c>
      <c r="H689" t="s">
        <v>715</v>
      </c>
      <c r="T689"/>
      <c r="U689"/>
      <c r="V689"/>
    </row>
    <row r="690" spans="1:22">
      <c r="A690" s="2" t="s">
        <v>857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>
        <v>0</v>
      </c>
      <c r="H690" t="s">
        <v>715</v>
      </c>
      <c r="T690"/>
      <c r="U690"/>
      <c r="V690"/>
    </row>
    <row r="691" spans="1:22">
      <c r="A691" s="2" t="s">
        <v>858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>
        <v>0</v>
      </c>
      <c r="H691" t="s">
        <v>715</v>
      </c>
      <c r="T691"/>
      <c r="U691"/>
      <c r="V691"/>
    </row>
    <row r="692" spans="1:22">
      <c r="A692" s="2" t="s">
        <v>859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>
        <v>0</v>
      </c>
      <c r="H692" t="s">
        <v>715</v>
      </c>
      <c r="T692"/>
      <c r="U692"/>
      <c r="V692"/>
    </row>
    <row r="693" spans="1:22">
      <c r="A693" s="2" t="s">
        <v>860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>
        <v>0</v>
      </c>
      <c r="H693" t="s">
        <v>715</v>
      </c>
      <c r="T693"/>
      <c r="U693"/>
      <c r="V693"/>
    </row>
    <row r="694" spans="1:22">
      <c r="A694" s="2" t="s">
        <v>861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>
        <v>0</v>
      </c>
      <c r="H694" t="s">
        <v>715</v>
      </c>
      <c r="T694"/>
      <c r="U694"/>
      <c r="V694"/>
    </row>
    <row r="695" spans="1:22">
      <c r="A695" s="2" t="s">
        <v>862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>
        <v>0</v>
      </c>
      <c r="H695" t="s">
        <v>715</v>
      </c>
      <c r="T695"/>
      <c r="U695"/>
      <c r="V695"/>
    </row>
    <row r="696" spans="1:22">
      <c r="A696" s="2" t="s">
        <v>863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>
        <v>0</v>
      </c>
      <c r="H696" t="s">
        <v>715</v>
      </c>
      <c r="T696"/>
      <c r="U696"/>
      <c r="V696"/>
    </row>
    <row r="697" spans="1:22">
      <c r="A697" s="2" t="s">
        <v>864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>
        <v>0</v>
      </c>
      <c r="H697" t="s">
        <v>715</v>
      </c>
      <c r="T697"/>
      <c r="U697"/>
      <c r="V697"/>
    </row>
    <row r="698" spans="1:22">
      <c r="A698" s="2" t="s">
        <v>865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>
        <v>0</v>
      </c>
      <c r="H698" t="s">
        <v>715</v>
      </c>
      <c r="T698"/>
      <c r="U698"/>
      <c r="V698"/>
    </row>
    <row r="699" spans="1:22">
      <c r="A699" s="2" t="s">
        <v>866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>
        <v>0</v>
      </c>
      <c r="H699" t="s">
        <v>715</v>
      </c>
      <c r="T699"/>
      <c r="U699"/>
      <c r="V699"/>
    </row>
    <row r="700" spans="1:22">
      <c r="A700" s="2" t="s">
        <v>867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>
        <v>0</v>
      </c>
      <c r="H700" t="s">
        <v>715</v>
      </c>
      <c r="T700"/>
      <c r="U700"/>
      <c r="V700"/>
    </row>
    <row r="701" spans="1:22">
      <c r="A701" s="2" t="s">
        <v>868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>
        <v>0</v>
      </c>
      <c r="H701" t="s">
        <v>715</v>
      </c>
      <c r="T701"/>
      <c r="U701"/>
      <c r="V701"/>
    </row>
    <row r="702" spans="1:22">
      <c r="A702" s="2" t="s">
        <v>869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>
        <v>0</v>
      </c>
      <c r="H702" t="s">
        <v>715</v>
      </c>
      <c r="T702"/>
      <c r="U702"/>
      <c r="V702"/>
    </row>
    <row r="703" spans="1:22">
      <c r="A703" s="2" t="s">
        <v>870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>
        <v>0</v>
      </c>
      <c r="H703" t="s">
        <v>715</v>
      </c>
      <c r="T703"/>
      <c r="U703"/>
      <c r="V703"/>
    </row>
    <row r="704" spans="1:22">
      <c r="A704" s="2" t="s">
        <v>871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>
        <v>0</v>
      </c>
      <c r="H704" t="s">
        <v>715</v>
      </c>
      <c r="T704"/>
      <c r="U704"/>
      <c r="V704"/>
    </row>
    <row r="705" spans="1:22">
      <c r="A705" s="2" t="s">
        <v>872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>
        <v>0</v>
      </c>
      <c r="H705" t="s">
        <v>715</v>
      </c>
      <c r="T705"/>
      <c r="U705"/>
      <c r="V705"/>
    </row>
    <row r="706" spans="1:22">
      <c r="A706" s="2" t="s">
        <v>873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>
        <v>0</v>
      </c>
      <c r="H706" t="s">
        <v>715</v>
      </c>
      <c r="T706"/>
      <c r="U706"/>
      <c r="V706"/>
    </row>
    <row r="707" spans="1:22">
      <c r="A707" s="2" t="s">
        <v>874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>
        <v>0</v>
      </c>
      <c r="H707" t="s">
        <v>715</v>
      </c>
      <c r="T707"/>
      <c r="U707"/>
      <c r="V707"/>
    </row>
    <row r="708" spans="1:22">
      <c r="A708" s="2" t="s">
        <v>875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>
        <v>0</v>
      </c>
      <c r="H708" t="s">
        <v>715</v>
      </c>
      <c r="T708"/>
      <c r="U708"/>
      <c r="V708"/>
    </row>
    <row r="709" spans="1:22">
      <c r="A709" s="2" t="s">
        <v>876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>
        <v>0</v>
      </c>
      <c r="H709" t="s">
        <v>715</v>
      </c>
      <c r="T709"/>
      <c r="U709"/>
      <c r="V709"/>
    </row>
    <row r="710" spans="1:22">
      <c r="A710" s="2" t="s">
        <v>877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>
        <v>0</v>
      </c>
      <c r="H710" t="s">
        <v>715</v>
      </c>
      <c r="T710"/>
      <c r="U710"/>
      <c r="V710"/>
    </row>
    <row r="711" spans="1:22">
      <c r="A711" s="2" t="s">
        <v>878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>
        <v>0</v>
      </c>
      <c r="H711" t="s">
        <v>715</v>
      </c>
      <c r="T711"/>
      <c r="U711"/>
      <c r="V711"/>
    </row>
    <row r="712" spans="1:22">
      <c r="A712" s="2" t="s">
        <v>879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>
        <v>0</v>
      </c>
      <c r="H712" t="s">
        <v>715</v>
      </c>
      <c r="T712"/>
      <c r="U712"/>
      <c r="V712"/>
    </row>
    <row r="713" spans="1:22">
      <c r="A713" s="2" t="s">
        <v>880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>
        <v>0</v>
      </c>
      <c r="H713" t="s">
        <v>715</v>
      </c>
      <c r="T713"/>
      <c r="U713"/>
      <c r="V713"/>
    </row>
    <row r="714" spans="1:22">
      <c r="A714" s="2" t="s">
        <v>881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>
        <v>0</v>
      </c>
      <c r="H714" t="s">
        <v>715</v>
      </c>
      <c r="T714"/>
      <c r="U714"/>
      <c r="V714"/>
    </row>
    <row r="715" spans="1:22">
      <c r="A715" s="2" t="s">
        <v>882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>
        <v>0</v>
      </c>
      <c r="H715" t="s">
        <v>715</v>
      </c>
      <c r="T715"/>
      <c r="U715"/>
      <c r="V715"/>
    </row>
    <row r="716" spans="1:22">
      <c r="A716" s="2" t="s">
        <v>883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>
        <v>0</v>
      </c>
      <c r="H716" t="s">
        <v>715</v>
      </c>
      <c r="T716"/>
      <c r="U716"/>
      <c r="V716"/>
    </row>
    <row r="717" spans="1:22">
      <c r="A717" s="2" t="s">
        <v>898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>
        <v>0</v>
      </c>
      <c r="H717" t="s">
        <v>715</v>
      </c>
      <c r="T717"/>
      <c r="U717"/>
      <c r="V717"/>
    </row>
    <row r="718" spans="1:22">
      <c r="A718" s="2" t="s">
        <v>899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>
        <v>0</v>
      </c>
      <c r="H718" t="s">
        <v>715</v>
      </c>
      <c r="T718"/>
      <c r="U718"/>
      <c r="V718"/>
    </row>
    <row r="719" spans="1:22">
      <c r="A719" s="2" t="s">
        <v>755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>
        <v>0</v>
      </c>
      <c r="H719" t="s">
        <v>715</v>
      </c>
      <c r="T719"/>
      <c r="U719"/>
      <c r="V719"/>
    </row>
    <row r="720" spans="1:22">
      <c r="A720" s="2" t="s">
        <v>756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>
        <v>0</v>
      </c>
      <c r="H720" t="s">
        <v>715</v>
      </c>
      <c r="T720"/>
      <c r="U720"/>
      <c r="V720"/>
    </row>
    <row r="721" spans="1:22">
      <c r="A721" s="2" t="s">
        <v>757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>
        <v>0</v>
      </c>
      <c r="H721" t="s">
        <v>715</v>
      </c>
      <c r="T721"/>
      <c r="U721"/>
      <c r="V721"/>
    </row>
    <row r="722" spans="1:22">
      <c r="A722" s="2" t="s">
        <v>758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>
        <v>0</v>
      </c>
      <c r="H722" t="s">
        <v>715</v>
      </c>
      <c r="T722"/>
      <c r="U722"/>
      <c r="V722"/>
    </row>
    <row r="723" spans="1:22">
      <c r="A723" s="2" t="s">
        <v>759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>
        <v>0</v>
      </c>
      <c r="H723" t="s">
        <v>715</v>
      </c>
      <c r="T723"/>
      <c r="U723"/>
      <c r="V723"/>
    </row>
    <row r="724" spans="1:22">
      <c r="A724" s="2" t="s">
        <v>760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>
        <v>0</v>
      </c>
      <c r="H724" t="s">
        <v>715</v>
      </c>
      <c r="T724"/>
      <c r="U724"/>
      <c r="V724"/>
    </row>
    <row r="725" spans="1:22">
      <c r="A725" s="2" t="s">
        <v>761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>
        <v>0</v>
      </c>
      <c r="H725" t="s">
        <v>715</v>
      </c>
      <c r="T725"/>
      <c r="U725"/>
      <c r="V725"/>
    </row>
    <row r="726" spans="1:22">
      <c r="A726" s="2" t="s">
        <v>762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>
        <v>0</v>
      </c>
      <c r="H726" t="s">
        <v>715</v>
      </c>
      <c r="T726"/>
      <c r="U726"/>
      <c r="V726"/>
    </row>
    <row r="727" spans="1:22">
      <c r="A727" s="2" t="s">
        <v>763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>
        <v>0</v>
      </c>
      <c r="H727" t="s">
        <v>715</v>
      </c>
      <c r="T727"/>
      <c r="U727"/>
      <c r="V727"/>
    </row>
    <row r="728" spans="1:22">
      <c r="A728" s="2" t="s">
        <v>764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>
        <v>0</v>
      </c>
      <c r="H728" t="s">
        <v>715</v>
      </c>
      <c r="T728"/>
      <c r="U728"/>
      <c r="V728"/>
    </row>
    <row r="729" spans="1:22">
      <c r="A729" s="2" t="s">
        <v>765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>
        <v>0</v>
      </c>
      <c r="H729" t="s">
        <v>715</v>
      </c>
      <c r="T729"/>
      <c r="U729"/>
      <c r="V729"/>
    </row>
    <row r="730" spans="1:22">
      <c r="A730" s="2" t="s">
        <v>766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>
        <v>0</v>
      </c>
      <c r="H730" t="s">
        <v>715</v>
      </c>
      <c r="T730"/>
      <c r="U730"/>
      <c r="V730"/>
    </row>
    <row r="731" spans="1:22">
      <c r="A731" s="2" t="s">
        <v>767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>
        <v>0</v>
      </c>
      <c r="H731" t="s">
        <v>715</v>
      </c>
      <c r="T731"/>
      <c r="U731"/>
      <c r="V731"/>
    </row>
    <row r="732" spans="1:22">
      <c r="A732" s="2" t="s">
        <v>768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>
        <v>0</v>
      </c>
      <c r="H732" t="s">
        <v>715</v>
      </c>
      <c r="T732"/>
      <c r="U732"/>
      <c r="V732"/>
    </row>
    <row r="733" spans="1:22">
      <c r="A733" s="2" t="s">
        <v>769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>
        <v>0</v>
      </c>
      <c r="H733" t="s">
        <v>715</v>
      </c>
      <c r="T733"/>
      <c r="U733"/>
      <c r="V733"/>
    </row>
    <row r="734" spans="1:22">
      <c r="A734" s="2" t="s">
        <v>770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>
        <v>0</v>
      </c>
      <c r="H734" t="s">
        <v>715</v>
      </c>
      <c r="T734"/>
      <c r="U734"/>
      <c r="V734"/>
    </row>
    <row r="735" spans="1:22">
      <c r="A735" s="2" t="s">
        <v>771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>
        <v>0</v>
      </c>
      <c r="H735" t="s">
        <v>715</v>
      </c>
      <c r="T735"/>
      <c r="U735"/>
      <c r="V735"/>
    </row>
    <row r="736" spans="1:22">
      <c r="A736" s="2" t="s">
        <v>772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>
        <v>0</v>
      </c>
      <c r="H736" t="s">
        <v>715</v>
      </c>
      <c r="T736"/>
      <c r="U736"/>
      <c r="V736"/>
    </row>
    <row r="737" spans="1:22">
      <c r="A737" s="2" t="s">
        <v>773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>
        <v>0</v>
      </c>
      <c r="H737" t="s">
        <v>715</v>
      </c>
      <c r="T737"/>
      <c r="U737"/>
      <c r="V737"/>
    </row>
    <row r="738" spans="1:22">
      <c r="A738" s="2" t="s">
        <v>774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>
        <v>0</v>
      </c>
      <c r="H738" t="s">
        <v>715</v>
      </c>
      <c r="T738"/>
      <c r="U738"/>
      <c r="V738"/>
    </row>
    <row r="739" spans="1:22">
      <c r="A739" s="2" t="s">
        <v>775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>
        <v>0</v>
      </c>
      <c r="H739" t="s">
        <v>715</v>
      </c>
      <c r="T739"/>
      <c r="U739"/>
      <c r="V739"/>
    </row>
    <row r="740" spans="1:22">
      <c r="A740" s="2" t="s">
        <v>776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>
        <v>0</v>
      </c>
      <c r="H740" t="s">
        <v>715</v>
      </c>
      <c r="T740"/>
      <c r="U740"/>
      <c r="V740"/>
    </row>
    <row r="741" spans="1:22">
      <c r="A741" s="2" t="s">
        <v>777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>
        <v>0</v>
      </c>
      <c r="H741" t="s">
        <v>715</v>
      </c>
      <c r="T741"/>
      <c r="U741"/>
      <c r="V741"/>
    </row>
    <row r="742" spans="1:22">
      <c r="A742" s="2" t="s">
        <v>778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>
        <v>0</v>
      </c>
      <c r="H742" t="s">
        <v>715</v>
      </c>
      <c r="T742"/>
      <c r="U742"/>
      <c r="V742"/>
    </row>
    <row r="743" spans="1:22">
      <c r="A743" s="2" t="s">
        <v>779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>
        <v>0</v>
      </c>
      <c r="H743" t="s">
        <v>715</v>
      </c>
      <c r="T743"/>
      <c r="U743"/>
      <c r="V743"/>
    </row>
    <row r="744" spans="1:22">
      <c r="A744" s="2" t="s">
        <v>780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>
        <v>0</v>
      </c>
      <c r="H744" t="s">
        <v>715</v>
      </c>
      <c r="T744"/>
      <c r="U744"/>
      <c r="V744"/>
    </row>
    <row r="745" spans="1:22">
      <c r="A745" s="2" t="s">
        <v>781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>
        <v>0</v>
      </c>
      <c r="H745" t="s">
        <v>715</v>
      </c>
      <c r="T745"/>
      <c r="U745"/>
      <c r="V745"/>
    </row>
    <row r="746" spans="1:22">
      <c r="A746" s="2" t="s">
        <v>782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>
        <v>0</v>
      </c>
      <c r="H746" t="s">
        <v>715</v>
      </c>
      <c r="T746"/>
      <c r="U746"/>
      <c r="V746"/>
    </row>
    <row r="747" spans="1:22">
      <c r="A747" s="2" t="s">
        <v>783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>
        <v>0</v>
      </c>
      <c r="H747" t="s">
        <v>715</v>
      </c>
      <c r="T747"/>
      <c r="U747"/>
      <c r="V747"/>
    </row>
    <row r="748" spans="1:22">
      <c r="A748" s="2" t="s">
        <v>784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>
        <v>0</v>
      </c>
      <c r="H748" t="s">
        <v>715</v>
      </c>
      <c r="T748"/>
      <c r="U748"/>
      <c r="V748"/>
    </row>
    <row r="749" spans="1:22">
      <c r="A749" s="2" t="s">
        <v>785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>
        <v>0</v>
      </c>
      <c r="H749" t="s">
        <v>715</v>
      </c>
      <c r="T749"/>
      <c r="U749"/>
      <c r="V749"/>
    </row>
    <row r="750" spans="1:22">
      <c r="A750" s="2" t="s">
        <v>786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>
        <v>0</v>
      </c>
      <c r="H750" t="s">
        <v>715</v>
      </c>
      <c r="T750"/>
      <c r="U750"/>
      <c r="V750"/>
    </row>
    <row r="751" spans="1:22">
      <c r="A751" s="2" t="s">
        <v>787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>
        <v>0</v>
      </c>
      <c r="H751" t="s">
        <v>715</v>
      </c>
      <c r="T751"/>
      <c r="U751"/>
      <c r="V751"/>
    </row>
    <row r="752" spans="1:22">
      <c r="A752" s="2" t="s">
        <v>788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>
        <v>0</v>
      </c>
      <c r="H752" t="s">
        <v>715</v>
      </c>
      <c r="T752"/>
      <c r="U752"/>
      <c r="V752"/>
    </row>
    <row r="753" spans="1:22">
      <c r="A753" s="2" t="s">
        <v>789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>
        <v>0</v>
      </c>
      <c r="H753" t="s">
        <v>715</v>
      </c>
      <c r="T753"/>
      <c r="U753"/>
      <c r="V753"/>
    </row>
    <row r="754" spans="1:22">
      <c r="A754" s="2" t="s">
        <v>790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>
        <v>0</v>
      </c>
      <c r="H754" t="s">
        <v>715</v>
      </c>
      <c r="T754"/>
      <c r="U754"/>
      <c r="V754"/>
    </row>
    <row r="755" spans="1:22">
      <c r="A755" s="2" t="s">
        <v>791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>
        <v>0</v>
      </c>
      <c r="H755" t="s">
        <v>715</v>
      </c>
      <c r="T755"/>
      <c r="U755"/>
      <c r="V755"/>
    </row>
    <row r="756" spans="1:22">
      <c r="A756" s="2" t="s">
        <v>792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>
        <v>0</v>
      </c>
      <c r="H756" t="s">
        <v>715</v>
      </c>
      <c r="T756"/>
      <c r="U756"/>
      <c r="V756"/>
    </row>
    <row r="757" spans="1:22">
      <c r="A757" s="2" t="s">
        <v>793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>
        <v>0</v>
      </c>
      <c r="H757" t="s">
        <v>715</v>
      </c>
      <c r="T757"/>
      <c r="U757"/>
      <c r="V757"/>
    </row>
    <row r="758" spans="1:22">
      <c r="A758" s="2" t="s">
        <v>794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>
        <v>0</v>
      </c>
      <c r="H758" t="s">
        <v>715</v>
      </c>
      <c r="T758"/>
      <c r="U758"/>
      <c r="V758"/>
    </row>
    <row r="759" spans="1:22">
      <c r="A759" s="2" t="s">
        <v>795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>
        <v>0</v>
      </c>
      <c r="H759" t="s">
        <v>715</v>
      </c>
      <c r="T759"/>
      <c r="U759"/>
      <c r="V759"/>
    </row>
    <row r="760" spans="1:22">
      <c r="A760" s="2" t="s">
        <v>796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>
        <v>0</v>
      </c>
      <c r="H760" t="s">
        <v>715</v>
      </c>
      <c r="T760"/>
      <c r="U760"/>
      <c r="V760"/>
    </row>
    <row r="761" spans="1:22">
      <c r="A761" s="2" t="s">
        <v>797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>
        <v>0</v>
      </c>
      <c r="H761" t="s">
        <v>715</v>
      </c>
      <c r="T761"/>
      <c r="U761"/>
      <c r="V761"/>
    </row>
    <row r="762" spans="1:22">
      <c r="A762" s="2" t="s">
        <v>798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>
        <v>0</v>
      </c>
      <c r="H762" t="s">
        <v>715</v>
      </c>
      <c r="T762"/>
      <c r="U762"/>
      <c r="V762"/>
    </row>
    <row r="763" spans="1:22">
      <c r="A763" s="2" t="s">
        <v>799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>
        <v>0</v>
      </c>
      <c r="H763" t="s">
        <v>715</v>
      </c>
      <c r="T763"/>
      <c r="U763"/>
      <c r="V763"/>
    </row>
    <row r="764" spans="1:22">
      <c r="A764" s="2" t="s">
        <v>800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>
        <v>0</v>
      </c>
      <c r="H764" t="s">
        <v>715</v>
      </c>
      <c r="T764"/>
      <c r="U764"/>
      <c r="V764"/>
    </row>
    <row r="765" spans="1:22">
      <c r="A765" s="2" t="s">
        <v>801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>
        <v>0</v>
      </c>
      <c r="H765" t="s">
        <v>715</v>
      </c>
      <c r="T765"/>
      <c r="U765"/>
      <c r="V765"/>
    </row>
    <row r="766" spans="1:22">
      <c r="A766" s="2" t="s">
        <v>802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>
        <v>0</v>
      </c>
      <c r="H766" t="s">
        <v>715</v>
      </c>
      <c r="T766"/>
      <c r="U766"/>
      <c r="V766"/>
    </row>
    <row r="767" spans="1:22">
      <c r="A767" s="2" t="s">
        <v>803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>
        <v>0</v>
      </c>
      <c r="H767" t="s">
        <v>715</v>
      </c>
      <c r="T767"/>
      <c r="U767"/>
      <c r="V767"/>
    </row>
    <row r="768" spans="1:22">
      <c r="A768" s="2" t="s">
        <v>804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>
        <v>0</v>
      </c>
      <c r="H768" t="s">
        <v>715</v>
      </c>
      <c r="T768"/>
      <c r="U768"/>
      <c r="V768"/>
    </row>
    <row r="769" spans="1:22">
      <c r="A769" s="2" t="s">
        <v>805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>
        <v>0</v>
      </c>
      <c r="H769" t="s">
        <v>715</v>
      </c>
      <c r="T769"/>
      <c r="U769"/>
      <c r="V769"/>
    </row>
    <row r="770" spans="1:22">
      <c r="A770" s="2" t="s">
        <v>806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>
        <v>0</v>
      </c>
      <c r="H770" t="s">
        <v>715</v>
      </c>
      <c r="T770"/>
      <c r="U770"/>
      <c r="V770"/>
    </row>
    <row r="771" spans="1:22">
      <c r="A771" s="2" t="s">
        <v>807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>
        <v>0</v>
      </c>
      <c r="H771" t="s">
        <v>715</v>
      </c>
      <c r="T771"/>
      <c r="U771"/>
      <c r="V771"/>
    </row>
    <row r="772" spans="1:22">
      <c r="A772" s="2" t="s">
        <v>808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>
        <v>0</v>
      </c>
      <c r="H772" t="s">
        <v>715</v>
      </c>
      <c r="T772"/>
      <c r="U772"/>
      <c r="V772"/>
    </row>
    <row r="773" spans="1:22">
      <c r="A773" s="2" t="s">
        <v>809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>
        <v>0</v>
      </c>
      <c r="H773" t="s">
        <v>715</v>
      </c>
      <c r="T773"/>
      <c r="U773"/>
      <c r="V773"/>
    </row>
    <row r="774" spans="1:22">
      <c r="A774" s="2" t="s">
        <v>810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>
        <v>0</v>
      </c>
      <c r="H774" t="s">
        <v>715</v>
      </c>
      <c r="T774"/>
      <c r="U774"/>
      <c r="V774"/>
    </row>
    <row r="775" spans="1:22">
      <c r="A775" s="2" t="s">
        <v>811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>
        <v>0</v>
      </c>
      <c r="H775" t="s">
        <v>715</v>
      </c>
      <c r="T775"/>
      <c r="U775"/>
      <c r="V775"/>
    </row>
    <row r="776" spans="1:22">
      <c r="A776" s="2" t="s">
        <v>812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>
        <v>0</v>
      </c>
      <c r="H776" t="s">
        <v>715</v>
      </c>
      <c r="T776"/>
      <c r="U776"/>
      <c r="V776"/>
    </row>
    <row r="777" spans="1:22">
      <c r="A777" s="2" t="s">
        <v>813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>
        <v>0</v>
      </c>
      <c r="H777" t="s">
        <v>715</v>
      </c>
      <c r="T777"/>
      <c r="U777"/>
      <c r="V777"/>
    </row>
    <row r="778" spans="1:22">
      <c r="A778" s="2" t="s">
        <v>814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>
        <v>0</v>
      </c>
      <c r="H778" t="s">
        <v>715</v>
      </c>
      <c r="T778"/>
      <c r="U778"/>
      <c r="V778"/>
    </row>
    <row r="779" spans="1:22">
      <c r="A779" s="2" t="s">
        <v>815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>
        <v>0</v>
      </c>
      <c r="H779" t="s">
        <v>715</v>
      </c>
      <c r="T779"/>
      <c r="U779"/>
      <c r="V779"/>
    </row>
    <row r="780" spans="1:22">
      <c r="A780" s="2" t="s">
        <v>816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>
        <v>0</v>
      </c>
      <c r="H780" t="s">
        <v>715</v>
      </c>
      <c r="T780"/>
      <c r="U780"/>
      <c r="V780"/>
    </row>
    <row r="781" spans="1:22">
      <c r="A781" s="2" t="s">
        <v>817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>
        <v>0</v>
      </c>
      <c r="H781" t="s">
        <v>715</v>
      </c>
      <c r="T781"/>
      <c r="U781"/>
      <c r="V781"/>
    </row>
    <row r="782" spans="1:22">
      <c r="A782" s="2" t="s">
        <v>818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>
        <v>0</v>
      </c>
      <c r="H782" t="s">
        <v>715</v>
      </c>
      <c r="T782"/>
      <c r="U782"/>
      <c r="V782"/>
    </row>
    <row r="783" spans="1:22">
      <c r="A783" s="2" t="s">
        <v>819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>
        <v>0</v>
      </c>
      <c r="H783" t="s">
        <v>715</v>
      </c>
      <c r="T783"/>
      <c r="U783"/>
      <c r="V783"/>
    </row>
    <row r="784" spans="1:22">
      <c r="A784" s="2" t="s">
        <v>820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>
        <v>0</v>
      </c>
      <c r="H784" t="s">
        <v>715</v>
      </c>
      <c r="T784"/>
      <c r="U784"/>
      <c r="V784"/>
    </row>
    <row r="785" spans="1:22">
      <c r="A785" s="2" t="s">
        <v>821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>
        <v>0</v>
      </c>
      <c r="H785" t="s">
        <v>715</v>
      </c>
      <c r="T785"/>
      <c r="U785"/>
      <c r="V785"/>
    </row>
    <row r="786" spans="1:22">
      <c r="A786" s="2" t="s">
        <v>822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>
        <v>0</v>
      </c>
      <c r="H786" t="s">
        <v>715</v>
      </c>
      <c r="T786"/>
      <c r="U786"/>
      <c r="V786"/>
    </row>
    <row r="787" spans="1:22">
      <c r="A787" s="2" t="s">
        <v>823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>
        <v>0</v>
      </c>
      <c r="H787" t="s">
        <v>715</v>
      </c>
      <c r="T787"/>
      <c r="U787"/>
      <c r="V787"/>
    </row>
    <row r="788" spans="1:22">
      <c r="A788" s="2" t="s">
        <v>824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>
        <v>0</v>
      </c>
      <c r="H788" t="s">
        <v>715</v>
      </c>
      <c r="T788"/>
      <c r="U788"/>
      <c r="V788"/>
    </row>
    <row r="789" spans="1:22">
      <c r="A789" s="2" t="s">
        <v>825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>
        <v>0</v>
      </c>
      <c r="H789" t="s">
        <v>715</v>
      </c>
      <c r="T789"/>
      <c r="U789"/>
      <c r="V789"/>
    </row>
    <row r="790" spans="1:22">
      <c r="A790" s="2" t="s">
        <v>1744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>
        <v>0</v>
      </c>
      <c r="H790" t="s">
        <v>715</v>
      </c>
    </row>
    <row r="791" spans="1:22">
      <c r="A791" s="2" t="s">
        <v>1746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>
        <v>0</v>
      </c>
      <c r="H791" t="s">
        <v>715</v>
      </c>
    </row>
    <row r="792" spans="1:22">
      <c r="A792" s="2" t="s">
        <v>2795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>
        <v>0</v>
      </c>
      <c r="H792" t="s">
        <v>715</v>
      </c>
    </row>
    <row r="793" spans="1:22">
      <c r="A793" s="2" t="s">
        <v>2939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>
        <v>0</v>
      </c>
      <c r="H793" t="s">
        <v>715</v>
      </c>
    </row>
    <row r="794" spans="1:22">
      <c r="A794" s="2" t="s">
        <v>2941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>
        <v>0</v>
      </c>
      <c r="H794" t="s">
        <v>715</v>
      </c>
    </row>
    <row r="795" spans="1:22">
      <c r="A795" t="s">
        <v>2943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>
        <v>0</v>
      </c>
      <c r="H795" t="s">
        <v>715</v>
      </c>
    </row>
    <row r="796" spans="1:22">
      <c r="A796" t="s">
        <v>2945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>
        <v>0</v>
      </c>
      <c r="H796" t="s">
        <v>715</v>
      </c>
    </row>
    <row r="797" spans="1:22">
      <c r="A797" s="2" t="s">
        <v>2959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>
        <v>0</v>
      </c>
      <c r="H797" t="s">
        <v>715</v>
      </c>
    </row>
    <row r="798" spans="1:22">
      <c r="A798" s="2" t="s">
        <v>2961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>
        <v>0</v>
      </c>
      <c r="H798" t="s">
        <v>715</v>
      </c>
    </row>
    <row r="799" spans="1:22">
      <c r="A799" s="2" t="s">
        <v>2964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>
        <v>0</v>
      </c>
      <c r="H799" t="s">
        <v>715</v>
      </c>
    </row>
    <row r="800" spans="1:22">
      <c r="A800" s="2" t="s">
        <v>2967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>
        <v>0</v>
      </c>
      <c r="H800" t="s">
        <v>715</v>
      </c>
    </row>
    <row r="801" spans="1:8">
      <c r="A801" s="2" t="s">
        <v>2969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>
        <v>0</v>
      </c>
      <c r="H801" t="s">
        <v>715</v>
      </c>
    </row>
    <row r="802" spans="1:8">
      <c r="A802" s="2" t="s">
        <v>2971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>
        <v>0</v>
      </c>
      <c r="H802" t="s">
        <v>715</v>
      </c>
    </row>
    <row r="803" spans="1:8">
      <c r="A803" s="2" t="s">
        <v>2973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>
        <v>0</v>
      </c>
      <c r="H803" t="s">
        <v>715</v>
      </c>
    </row>
    <row r="804" spans="1:8">
      <c r="A804" s="2" t="s">
        <v>2977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>
        <v>0</v>
      </c>
      <c r="H804" t="s">
        <v>715</v>
      </c>
    </row>
    <row r="805" spans="1:8">
      <c r="A805" s="2" t="s">
        <v>3108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>
        <v>0</v>
      </c>
      <c r="H805" t="s">
        <v>715</v>
      </c>
    </row>
    <row r="806" spans="1:8">
      <c r="A806" s="2" t="s">
        <v>3109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>
        <v>0</v>
      </c>
      <c r="H806" t="s">
        <v>715</v>
      </c>
    </row>
    <row r="807" spans="1:8">
      <c r="A807" s="2" t="s">
        <v>3081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>
        <v>0</v>
      </c>
      <c r="H807" t="s">
        <v>715</v>
      </c>
    </row>
    <row r="808" spans="1:8">
      <c r="A808" s="2" t="s">
        <v>3076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>
        <v>0</v>
      </c>
      <c r="H808" t="s">
        <v>715</v>
      </c>
    </row>
    <row r="809" spans="1:8">
      <c r="A809" s="2" t="s">
        <v>3077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>
        <v>0</v>
      </c>
      <c r="H809" t="s">
        <v>715</v>
      </c>
    </row>
    <row r="810" spans="1:8">
      <c r="A810" s="2" t="s">
        <v>3078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>
        <v>0</v>
      </c>
      <c r="H810" t="s">
        <v>715</v>
      </c>
    </row>
    <row r="811" spans="1:8">
      <c r="A811" s="2" t="s">
        <v>3079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>
        <v>0</v>
      </c>
      <c r="H811" t="s">
        <v>715</v>
      </c>
    </row>
    <row r="812" spans="1:8">
      <c r="A812" s="2" t="s">
        <v>3080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>
        <v>0</v>
      </c>
      <c r="H812" t="s">
        <v>715</v>
      </c>
    </row>
    <row r="813" spans="1:8">
      <c r="A813" s="2" t="s">
        <v>3116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>
        <v>0</v>
      </c>
      <c r="H813" t="s">
        <v>715</v>
      </c>
    </row>
    <row r="814" spans="1:8">
      <c r="A814" s="2" t="s">
        <v>3092</v>
      </c>
      <c r="B814" t="b">
        <v>1</v>
      </c>
      <c r="C814" t="b"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>
        <v>0</v>
      </c>
      <c r="H814" t="s">
        <v>715</v>
      </c>
    </row>
    <row r="815" spans="1:8">
      <c r="A815" s="2" t="s">
        <v>3110</v>
      </c>
      <c r="B815" t="b">
        <v>1</v>
      </c>
      <c r="C815" t="b"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>
        <v>0</v>
      </c>
      <c r="H815" t="s">
        <v>715</v>
      </c>
    </row>
    <row r="816" spans="1:8">
      <c r="A816" s="2" t="s">
        <v>3113</v>
      </c>
      <c r="B816" t="b">
        <v>1</v>
      </c>
      <c r="C816" t="b"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>
        <v>0</v>
      </c>
      <c r="H816" t="s">
        <v>715</v>
      </c>
    </row>
    <row r="817" spans="1:8">
      <c r="A817" s="2" t="s">
        <v>3117</v>
      </c>
      <c r="B817" t="b">
        <v>1</v>
      </c>
      <c r="C817" t="b">
        <v>1</v>
      </c>
      <c r="D817" s="2" t="b">
        <v>0</v>
      </c>
      <c r="E817" s="2" t="b">
        <v>0</v>
      </c>
      <c r="F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7">
        <v>0</v>
      </c>
      <c r="H817" t="s">
        <v>715</v>
      </c>
    </row>
  </sheetData>
  <conditionalFormatting sqref="B1:E1048576">
    <cfRule type="cellIs" dxfId="11" priority="1" operator="equal">
      <formula>FALSE</formula>
    </cfRule>
  </conditionalFormatting>
  <conditionalFormatting sqref="J790:L1048576">
    <cfRule type="cellIs" dxfId="10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17"/>
  <sheetViews>
    <sheetView zoomScaleNormal="100" workbookViewId="0">
      <pane xSplit="1" ySplit="1" topLeftCell="B793" activePane="bottomRight" state="frozen"/>
      <selection activeCell="Q19" sqref="Q19"/>
      <selection pane="topRight" activeCell="Q19" sqref="Q19"/>
      <selection pane="bottomLeft" activeCell="Q19" sqref="Q19"/>
      <selection pane="bottomRight" activeCell="B817" sqref="B817:D817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1739</v>
      </c>
      <c r="C1" s="1" t="s">
        <v>1711</v>
      </c>
      <c r="D1" s="1" t="s">
        <v>1721</v>
      </c>
    </row>
    <row r="2" spans="1:13">
      <c r="A2" s="2" t="s">
        <v>530</v>
      </c>
      <c r="B2" t="s">
        <v>1740</v>
      </c>
      <c r="C2" t="s">
        <v>1712</v>
      </c>
      <c r="D2" t="s">
        <v>1722</v>
      </c>
      <c r="K2"/>
      <c r="L2"/>
      <c r="M2"/>
    </row>
    <row r="3" spans="1:13">
      <c r="A3" s="2" t="s">
        <v>299</v>
      </c>
      <c r="B3" t="s">
        <v>1740</v>
      </c>
      <c r="C3" t="s">
        <v>1713</v>
      </c>
      <c r="D3" t="s">
        <v>1722</v>
      </c>
      <c r="K3"/>
      <c r="L3"/>
      <c r="M3"/>
    </row>
    <row r="4" spans="1:13">
      <c r="A4" s="2" t="s">
        <v>265</v>
      </c>
      <c r="B4" t="s">
        <v>1740</v>
      </c>
      <c r="C4" t="s">
        <v>1713</v>
      </c>
      <c r="D4" t="s">
        <v>1722</v>
      </c>
      <c r="K4"/>
      <c r="L4"/>
      <c r="M4"/>
    </row>
    <row r="5" spans="1:13">
      <c r="A5" s="2" t="s">
        <v>290</v>
      </c>
      <c r="B5" t="s">
        <v>1740</v>
      </c>
      <c r="C5" t="s">
        <v>1713</v>
      </c>
      <c r="D5" t="s">
        <v>1722</v>
      </c>
      <c r="K5"/>
      <c r="L5"/>
      <c r="M5"/>
    </row>
    <row r="6" spans="1:13">
      <c r="A6" s="2" t="s">
        <v>246</v>
      </c>
      <c r="B6" t="s">
        <v>1740</v>
      </c>
      <c r="C6" t="s">
        <v>1713</v>
      </c>
      <c r="D6" t="s">
        <v>1722</v>
      </c>
      <c r="K6"/>
      <c r="L6"/>
      <c r="M6"/>
    </row>
    <row r="7" spans="1:13">
      <c r="A7" s="2" t="s">
        <v>229</v>
      </c>
      <c r="B7" t="s">
        <v>1740</v>
      </c>
      <c r="C7" t="s">
        <v>1713</v>
      </c>
      <c r="D7" t="s">
        <v>1722</v>
      </c>
      <c r="K7"/>
      <c r="L7"/>
      <c r="M7"/>
    </row>
    <row r="8" spans="1:13">
      <c r="A8" s="2" t="s">
        <v>296</v>
      </c>
      <c r="B8" t="s">
        <v>1740</v>
      </c>
      <c r="C8" t="s">
        <v>1713</v>
      </c>
      <c r="D8" t="s">
        <v>1722</v>
      </c>
      <c r="K8"/>
      <c r="L8"/>
      <c r="M8"/>
    </row>
    <row r="9" spans="1:13">
      <c r="A9" s="2" t="s">
        <v>297</v>
      </c>
      <c r="B9" t="s">
        <v>1740</v>
      </c>
      <c r="C9" t="s">
        <v>1713</v>
      </c>
      <c r="D9" t="s">
        <v>1722</v>
      </c>
      <c r="K9"/>
      <c r="L9"/>
      <c r="M9"/>
    </row>
    <row r="10" spans="1:13">
      <c r="A10" s="2" t="s">
        <v>243</v>
      </c>
      <c r="B10" t="s">
        <v>1740</v>
      </c>
      <c r="C10" t="s">
        <v>1713</v>
      </c>
      <c r="D10" t="s">
        <v>1722</v>
      </c>
      <c r="K10"/>
      <c r="L10"/>
      <c r="M10"/>
    </row>
    <row r="11" spans="1:13">
      <c r="A11" s="2" t="s">
        <v>231</v>
      </c>
      <c r="B11" t="s">
        <v>1740</v>
      </c>
      <c r="C11" t="s">
        <v>1713</v>
      </c>
      <c r="D11" t="s">
        <v>1722</v>
      </c>
      <c r="K11"/>
      <c r="L11"/>
      <c r="M11"/>
    </row>
    <row r="12" spans="1:13">
      <c r="A12" s="2" t="s">
        <v>273</v>
      </c>
      <c r="B12" t="s">
        <v>1740</v>
      </c>
      <c r="C12" t="s">
        <v>1713</v>
      </c>
      <c r="D12" t="s">
        <v>1722</v>
      </c>
      <c r="K12"/>
      <c r="L12"/>
      <c r="M12"/>
    </row>
    <row r="13" spans="1:13">
      <c r="A13" s="2" t="s">
        <v>200</v>
      </c>
      <c r="B13" t="s">
        <v>1740</v>
      </c>
      <c r="C13" t="s">
        <v>1713</v>
      </c>
      <c r="D13" t="s">
        <v>1722</v>
      </c>
      <c r="K13"/>
      <c r="L13"/>
      <c r="M13"/>
    </row>
    <row r="14" spans="1:13">
      <c r="A14" s="2" t="s">
        <v>320</v>
      </c>
      <c r="B14" t="s">
        <v>1740</v>
      </c>
      <c r="C14" t="s">
        <v>1713</v>
      </c>
      <c r="D14" t="s">
        <v>1722</v>
      </c>
      <c r="K14"/>
      <c r="L14"/>
      <c r="M14"/>
    </row>
    <row r="15" spans="1:13">
      <c r="A15" s="2" t="s">
        <v>279</v>
      </c>
      <c r="B15" t="s">
        <v>1740</v>
      </c>
      <c r="C15" t="s">
        <v>1713</v>
      </c>
      <c r="D15" t="s">
        <v>1722</v>
      </c>
      <c r="K15"/>
      <c r="L15"/>
      <c r="M15"/>
    </row>
    <row r="16" spans="1:13">
      <c r="A16" s="2" t="s">
        <v>318</v>
      </c>
      <c r="B16" t="s">
        <v>1740</v>
      </c>
      <c r="C16" t="s">
        <v>1714</v>
      </c>
      <c r="D16" t="s">
        <v>1723</v>
      </c>
      <c r="K16"/>
      <c r="L16"/>
      <c r="M16"/>
    </row>
    <row r="17" spans="1:13">
      <c r="A17" s="2" t="s">
        <v>234</v>
      </c>
      <c r="B17" t="s">
        <v>1740</v>
      </c>
      <c r="C17" t="s">
        <v>1713</v>
      </c>
      <c r="D17" t="s">
        <v>1722</v>
      </c>
      <c r="K17"/>
      <c r="L17"/>
      <c r="M17"/>
    </row>
    <row r="18" spans="1:13">
      <c r="A18" s="2" t="s">
        <v>263</v>
      </c>
      <c r="B18" t="s">
        <v>1740</v>
      </c>
      <c r="C18" t="s">
        <v>1720</v>
      </c>
      <c r="D18" t="s">
        <v>1723</v>
      </c>
      <c r="K18"/>
      <c r="L18"/>
      <c r="M18"/>
    </row>
    <row r="19" spans="1:13">
      <c r="A19" s="2" t="s">
        <v>269</v>
      </c>
      <c r="B19" t="s">
        <v>1740</v>
      </c>
      <c r="C19" t="s">
        <v>1713</v>
      </c>
      <c r="D19" t="s">
        <v>1722</v>
      </c>
      <c r="K19"/>
      <c r="L19"/>
      <c r="M19"/>
    </row>
    <row r="20" spans="1:13">
      <c r="A20" s="2" t="s">
        <v>281</v>
      </c>
      <c r="B20" t="s">
        <v>1740</v>
      </c>
      <c r="C20" t="s">
        <v>1713</v>
      </c>
      <c r="D20" t="s">
        <v>1722</v>
      </c>
      <c r="K20"/>
      <c r="L20"/>
      <c r="M20"/>
    </row>
    <row r="21" spans="1:13">
      <c r="A21" s="2" t="s">
        <v>210</v>
      </c>
      <c r="B21" t="s">
        <v>1740</v>
      </c>
      <c r="C21" t="s">
        <v>1713</v>
      </c>
      <c r="D21" t="s">
        <v>1722</v>
      </c>
      <c r="K21"/>
      <c r="L21"/>
      <c r="M21"/>
    </row>
    <row r="22" spans="1:13">
      <c r="A22" s="2" t="s">
        <v>305</v>
      </c>
      <c r="B22" t="s">
        <v>1740</v>
      </c>
      <c r="C22" t="s">
        <v>1714</v>
      </c>
      <c r="D22" t="s">
        <v>1722</v>
      </c>
      <c r="K22"/>
      <c r="L22"/>
      <c r="M22"/>
    </row>
    <row r="23" spans="1:13">
      <c r="A23" s="2" t="s">
        <v>224</v>
      </c>
      <c r="B23" t="s">
        <v>1740</v>
      </c>
      <c r="C23" t="s">
        <v>1713</v>
      </c>
      <c r="D23" t="s">
        <v>1722</v>
      </c>
      <c r="K23"/>
      <c r="L23"/>
      <c r="M23"/>
    </row>
    <row r="24" spans="1:13">
      <c r="A24" s="2" t="s">
        <v>247</v>
      </c>
      <c r="B24" t="s">
        <v>1740</v>
      </c>
      <c r="C24" t="s">
        <v>1713</v>
      </c>
      <c r="D24" t="s">
        <v>1722</v>
      </c>
      <c r="K24"/>
      <c r="L24"/>
      <c r="M24"/>
    </row>
    <row r="25" spans="1:13">
      <c r="A25" s="2" t="s">
        <v>215</v>
      </c>
      <c r="B25" t="s">
        <v>1740</v>
      </c>
      <c r="C25" t="s">
        <v>1720</v>
      </c>
      <c r="D25" t="s">
        <v>1723</v>
      </c>
      <c r="K25"/>
      <c r="L25"/>
      <c r="M25"/>
    </row>
    <row r="26" spans="1:13">
      <c r="A26" s="2" t="s">
        <v>221</v>
      </c>
      <c r="B26" t="s">
        <v>1740</v>
      </c>
      <c r="C26" t="s">
        <v>1720</v>
      </c>
      <c r="D26" t="s">
        <v>1727</v>
      </c>
      <c r="K26"/>
      <c r="L26"/>
      <c r="M26"/>
    </row>
    <row r="27" spans="1:13">
      <c r="A27" s="2" t="s">
        <v>291</v>
      </c>
      <c r="B27" t="s">
        <v>1740</v>
      </c>
      <c r="C27" t="s">
        <v>1713</v>
      </c>
      <c r="D27" t="s">
        <v>1722</v>
      </c>
      <c r="K27"/>
      <c r="L27"/>
      <c r="M27"/>
    </row>
    <row r="28" spans="1:13">
      <c r="A28" s="2" t="s">
        <v>267</v>
      </c>
      <c r="B28" t="s">
        <v>1740</v>
      </c>
      <c r="C28" t="s">
        <v>1713</v>
      </c>
      <c r="D28" t="s">
        <v>1722</v>
      </c>
      <c r="K28"/>
      <c r="L28"/>
      <c r="M28"/>
    </row>
    <row r="29" spans="1:13">
      <c r="A29" s="2" t="s">
        <v>204</v>
      </c>
      <c r="B29" t="s">
        <v>1740</v>
      </c>
      <c r="C29" t="s">
        <v>1713</v>
      </c>
      <c r="D29" t="s">
        <v>1722</v>
      </c>
      <c r="K29"/>
      <c r="L29"/>
      <c r="M29"/>
    </row>
    <row r="30" spans="1:13">
      <c r="A30" s="2" t="s">
        <v>294</v>
      </c>
      <c r="B30" t="s">
        <v>1740</v>
      </c>
      <c r="C30" t="s">
        <v>1713</v>
      </c>
      <c r="D30" t="s">
        <v>1722</v>
      </c>
      <c r="K30"/>
      <c r="L30"/>
      <c r="M30"/>
    </row>
    <row r="31" spans="1:13">
      <c r="A31" s="2" t="s">
        <v>222</v>
      </c>
      <c r="B31" t="s">
        <v>1740</v>
      </c>
      <c r="C31" t="s">
        <v>1713</v>
      </c>
      <c r="D31" t="s">
        <v>1722</v>
      </c>
      <c r="K31"/>
      <c r="L31"/>
      <c r="M31"/>
    </row>
    <row r="32" spans="1:13">
      <c r="A32" s="2" t="s">
        <v>258</v>
      </c>
      <c r="B32" t="s">
        <v>1740</v>
      </c>
      <c r="C32" t="s">
        <v>1720</v>
      </c>
      <c r="D32" t="s">
        <v>1726</v>
      </c>
      <c r="K32"/>
      <c r="L32"/>
      <c r="M32"/>
    </row>
    <row r="33" spans="1:13">
      <c r="A33" s="2" t="s">
        <v>237</v>
      </c>
      <c r="B33" t="s">
        <v>1740</v>
      </c>
      <c r="C33" t="s">
        <v>1713</v>
      </c>
      <c r="D33" t="s">
        <v>1722</v>
      </c>
      <c r="K33"/>
      <c r="L33"/>
      <c r="M33"/>
    </row>
    <row r="34" spans="1:13">
      <c r="A34" s="2" t="s">
        <v>211</v>
      </c>
      <c r="B34" t="s">
        <v>1740</v>
      </c>
      <c r="C34" t="s">
        <v>1713</v>
      </c>
      <c r="D34" t="s">
        <v>1722</v>
      </c>
      <c r="K34"/>
      <c r="L34"/>
      <c r="M34"/>
    </row>
    <row r="35" spans="1:13">
      <c r="A35" s="2" t="s">
        <v>208</v>
      </c>
      <c r="B35" t="s">
        <v>1740</v>
      </c>
      <c r="C35" t="s">
        <v>1713</v>
      </c>
      <c r="D35" t="s">
        <v>1722</v>
      </c>
      <c r="K35"/>
      <c r="L35"/>
      <c r="M35"/>
    </row>
    <row r="36" spans="1:13">
      <c r="A36" s="2" t="s">
        <v>287</v>
      </c>
      <c r="B36" t="s">
        <v>1740</v>
      </c>
      <c r="C36" t="s">
        <v>1713</v>
      </c>
      <c r="D36" t="s">
        <v>1722</v>
      </c>
      <c r="K36"/>
      <c r="L36"/>
      <c r="M36"/>
    </row>
    <row r="37" spans="1:13">
      <c r="A37" s="2" t="s">
        <v>212</v>
      </c>
      <c r="B37" t="s">
        <v>1740</v>
      </c>
      <c r="C37" t="s">
        <v>1714</v>
      </c>
      <c r="D37" t="s">
        <v>1723</v>
      </c>
      <c r="K37"/>
      <c r="L37"/>
      <c r="M37"/>
    </row>
    <row r="38" spans="1:13">
      <c r="A38" s="2" t="s">
        <v>292</v>
      </c>
      <c r="B38" t="s">
        <v>1740</v>
      </c>
      <c r="C38" t="s">
        <v>1713</v>
      </c>
      <c r="D38" t="s">
        <v>1722</v>
      </c>
      <c r="K38"/>
      <c r="L38"/>
      <c r="M38"/>
    </row>
    <row r="39" spans="1:13">
      <c r="A39" s="2" t="s">
        <v>278</v>
      </c>
      <c r="B39" t="s">
        <v>1740</v>
      </c>
      <c r="C39" t="s">
        <v>1713</v>
      </c>
      <c r="D39" t="s">
        <v>1722</v>
      </c>
      <c r="K39"/>
      <c r="L39"/>
      <c r="M39"/>
    </row>
    <row r="40" spans="1:13">
      <c r="A40" s="2" t="s">
        <v>238</v>
      </c>
      <c r="B40" t="s">
        <v>1740</v>
      </c>
      <c r="C40" t="s">
        <v>1713</v>
      </c>
      <c r="D40" t="s">
        <v>1722</v>
      </c>
      <c r="K40"/>
      <c r="L40"/>
      <c r="M40"/>
    </row>
    <row r="41" spans="1:13">
      <c r="A41" s="2" t="s">
        <v>252</v>
      </c>
      <c r="B41" t="s">
        <v>1740</v>
      </c>
      <c r="C41" t="s">
        <v>1713</v>
      </c>
      <c r="D41" t="s">
        <v>1722</v>
      </c>
      <c r="K41"/>
      <c r="L41"/>
      <c r="M41"/>
    </row>
    <row r="42" spans="1:13">
      <c r="A42" s="2" t="s">
        <v>255</v>
      </c>
      <c r="B42" t="s">
        <v>1740</v>
      </c>
      <c r="C42" t="s">
        <v>1713</v>
      </c>
      <c r="D42" t="s">
        <v>1722</v>
      </c>
      <c r="K42"/>
      <c r="L42"/>
      <c r="M42"/>
    </row>
    <row r="43" spans="1:13">
      <c r="A43" s="2" t="s">
        <v>235</v>
      </c>
      <c r="B43" t="s">
        <v>1740</v>
      </c>
      <c r="C43" t="s">
        <v>1713</v>
      </c>
      <c r="D43" t="s">
        <v>1722</v>
      </c>
      <c r="K43"/>
      <c r="L43"/>
      <c r="M43"/>
    </row>
    <row r="44" spans="1:13">
      <c r="A44" s="2" t="s">
        <v>218</v>
      </c>
      <c r="B44" t="s">
        <v>1740</v>
      </c>
      <c r="C44" t="s">
        <v>1713</v>
      </c>
      <c r="D44" t="s">
        <v>1722</v>
      </c>
      <c r="K44"/>
      <c r="L44"/>
      <c r="M44"/>
    </row>
    <row r="45" spans="1:13">
      <c r="A45" s="2" t="s">
        <v>225</v>
      </c>
      <c r="B45" t="s">
        <v>1740</v>
      </c>
      <c r="C45" t="s">
        <v>1713</v>
      </c>
      <c r="D45" t="s">
        <v>1722</v>
      </c>
      <c r="K45"/>
      <c r="L45"/>
      <c r="M45"/>
    </row>
    <row r="46" spans="1:13">
      <c r="A46" s="2" t="s">
        <v>315</v>
      </c>
      <c r="B46" t="s">
        <v>1740</v>
      </c>
      <c r="C46" t="s">
        <v>1713</v>
      </c>
      <c r="D46" t="s">
        <v>1722</v>
      </c>
      <c r="K46"/>
      <c r="L46"/>
      <c r="M46"/>
    </row>
    <row r="47" spans="1:13">
      <c r="A47" s="2" t="s">
        <v>232</v>
      </c>
      <c r="B47" t="s">
        <v>1740</v>
      </c>
      <c r="C47" t="s">
        <v>1713</v>
      </c>
      <c r="D47" t="s">
        <v>1722</v>
      </c>
      <c r="K47"/>
      <c r="L47"/>
      <c r="M47"/>
    </row>
    <row r="48" spans="1:13">
      <c r="A48" s="2" t="s">
        <v>301</v>
      </c>
      <c r="B48" t="s">
        <v>1740</v>
      </c>
      <c r="C48" t="s">
        <v>1713</v>
      </c>
      <c r="D48" t="s">
        <v>1722</v>
      </c>
      <c r="K48"/>
      <c r="L48"/>
      <c r="M48"/>
    </row>
    <row r="49" spans="1:13">
      <c r="A49" s="2" t="s">
        <v>219</v>
      </c>
      <c r="B49" t="s">
        <v>1740</v>
      </c>
      <c r="C49" t="s">
        <v>1713</v>
      </c>
      <c r="D49" t="s">
        <v>1722</v>
      </c>
      <c r="K49"/>
      <c r="L49"/>
      <c r="M49"/>
    </row>
    <row r="50" spans="1:13">
      <c r="A50" s="2" t="s">
        <v>241</v>
      </c>
      <c r="B50" t="s">
        <v>1740</v>
      </c>
      <c r="C50" t="s">
        <v>1713</v>
      </c>
      <c r="D50" t="s">
        <v>1722</v>
      </c>
      <c r="K50"/>
      <c r="L50"/>
      <c r="M50"/>
    </row>
    <row r="51" spans="1:13">
      <c r="A51" s="2" t="s">
        <v>285</v>
      </c>
      <c r="B51" t="s">
        <v>1740</v>
      </c>
      <c r="C51" t="s">
        <v>1713</v>
      </c>
      <c r="D51" t="s">
        <v>1722</v>
      </c>
      <c r="K51"/>
      <c r="L51"/>
      <c r="M51"/>
    </row>
    <row r="52" spans="1:13">
      <c r="A52" s="2" t="s">
        <v>313</v>
      </c>
      <c r="B52" t="s">
        <v>1740</v>
      </c>
      <c r="C52" t="s">
        <v>1713</v>
      </c>
      <c r="D52" t="s">
        <v>1722</v>
      </c>
      <c r="K52"/>
      <c r="L52"/>
      <c r="M52"/>
    </row>
    <row r="53" spans="1:13">
      <c r="A53" s="2" t="s">
        <v>216</v>
      </c>
      <c r="B53" t="s">
        <v>1740</v>
      </c>
      <c r="C53" t="s">
        <v>1713</v>
      </c>
      <c r="D53" t="s">
        <v>1722</v>
      </c>
      <c r="K53"/>
      <c r="L53"/>
      <c r="M53"/>
    </row>
    <row r="54" spans="1:13">
      <c r="A54" s="2" t="s">
        <v>253</v>
      </c>
      <c r="B54" t="s">
        <v>1740</v>
      </c>
      <c r="C54" t="s">
        <v>1713</v>
      </c>
      <c r="D54" t="s">
        <v>1722</v>
      </c>
      <c r="K54"/>
      <c r="L54"/>
      <c r="M54"/>
    </row>
    <row r="55" spans="1:13">
      <c r="A55" s="2" t="s">
        <v>198</v>
      </c>
      <c r="B55" t="s">
        <v>1740</v>
      </c>
      <c r="C55" t="s">
        <v>1720</v>
      </c>
      <c r="D55" t="s">
        <v>1723</v>
      </c>
      <c r="K55"/>
      <c r="L55"/>
      <c r="M55"/>
    </row>
    <row r="56" spans="1:13">
      <c r="A56" s="2" t="s">
        <v>195</v>
      </c>
      <c r="B56" t="s">
        <v>1740</v>
      </c>
      <c r="C56" t="s">
        <v>1713</v>
      </c>
      <c r="D56" t="s">
        <v>1722</v>
      </c>
      <c r="K56"/>
      <c r="L56"/>
      <c r="M56"/>
    </row>
    <row r="57" spans="1:13">
      <c r="A57" s="2" t="s">
        <v>256</v>
      </c>
      <c r="B57" t="s">
        <v>1740</v>
      </c>
      <c r="C57" t="s">
        <v>1713</v>
      </c>
      <c r="D57" t="s">
        <v>1722</v>
      </c>
      <c r="K57"/>
      <c r="L57"/>
      <c r="M57"/>
    </row>
    <row r="58" spans="1:13">
      <c r="A58" s="2" t="s">
        <v>214</v>
      </c>
      <c r="B58" t="s">
        <v>1740</v>
      </c>
      <c r="C58" t="s">
        <v>1713</v>
      </c>
      <c r="D58" t="s">
        <v>1722</v>
      </c>
      <c r="K58"/>
      <c r="L58"/>
      <c r="M58"/>
    </row>
    <row r="59" spans="1:13">
      <c r="A59" s="2" t="s">
        <v>213</v>
      </c>
      <c r="B59" t="s">
        <v>1740</v>
      </c>
      <c r="C59" t="s">
        <v>1713</v>
      </c>
      <c r="D59" t="s">
        <v>1722</v>
      </c>
      <c r="K59"/>
      <c r="L59"/>
      <c r="M59"/>
    </row>
    <row r="60" spans="1:13">
      <c r="A60" s="2" t="s">
        <v>226</v>
      </c>
      <c r="B60" t="s">
        <v>1740</v>
      </c>
      <c r="C60" t="s">
        <v>1713</v>
      </c>
      <c r="D60" t="s">
        <v>1722</v>
      </c>
      <c r="K60"/>
      <c r="L60"/>
      <c r="M60"/>
    </row>
    <row r="61" spans="1:13">
      <c r="A61" s="2" t="s">
        <v>289</v>
      </c>
      <c r="B61" t="s">
        <v>1740</v>
      </c>
      <c r="C61" t="s">
        <v>1713</v>
      </c>
      <c r="D61" t="s">
        <v>1722</v>
      </c>
      <c r="K61"/>
      <c r="L61"/>
      <c r="M61"/>
    </row>
    <row r="62" spans="1:13">
      <c r="A62" s="2" t="s">
        <v>250</v>
      </c>
      <c r="B62" t="s">
        <v>1740</v>
      </c>
      <c r="C62" t="s">
        <v>1713</v>
      </c>
      <c r="D62" t="s">
        <v>1722</v>
      </c>
      <c r="K62"/>
      <c r="L62"/>
      <c r="M62"/>
    </row>
    <row r="63" spans="1:13">
      <c r="A63" s="2" t="s">
        <v>271</v>
      </c>
      <c r="B63" t="s">
        <v>1740</v>
      </c>
      <c r="C63" t="s">
        <v>1713</v>
      </c>
      <c r="D63" t="s">
        <v>1722</v>
      </c>
      <c r="K63"/>
      <c r="L63"/>
      <c r="M63"/>
    </row>
    <row r="64" spans="1:13">
      <c r="A64" s="2" t="s">
        <v>266</v>
      </c>
      <c r="B64" t="s">
        <v>1740</v>
      </c>
      <c r="C64" t="s">
        <v>1713</v>
      </c>
      <c r="D64" t="s">
        <v>1722</v>
      </c>
      <c r="K64"/>
      <c r="L64"/>
      <c r="M64"/>
    </row>
    <row r="65" spans="1:13">
      <c r="A65" s="2" t="s">
        <v>283</v>
      </c>
      <c r="B65" t="s">
        <v>1740</v>
      </c>
      <c r="C65" t="s">
        <v>1713</v>
      </c>
      <c r="D65" t="s">
        <v>1722</v>
      </c>
      <c r="K65"/>
      <c r="L65"/>
      <c r="M65"/>
    </row>
    <row r="66" spans="1:13">
      <c r="A66" s="2" t="s">
        <v>286</v>
      </c>
      <c r="B66" t="s">
        <v>1740</v>
      </c>
      <c r="C66" t="s">
        <v>1713</v>
      </c>
      <c r="D66" t="s">
        <v>1722</v>
      </c>
      <c r="K66"/>
      <c r="L66"/>
      <c r="M66"/>
    </row>
    <row r="67" spans="1:13">
      <c r="A67" s="2" t="s">
        <v>310</v>
      </c>
      <c r="B67" t="s">
        <v>1740</v>
      </c>
      <c r="C67" t="s">
        <v>1713</v>
      </c>
      <c r="D67" t="s">
        <v>1722</v>
      </c>
      <c r="K67"/>
      <c r="L67"/>
      <c r="M67"/>
    </row>
    <row r="68" spans="1:13">
      <c r="A68" s="2" t="s">
        <v>272</v>
      </c>
      <c r="B68" t="s">
        <v>1740</v>
      </c>
      <c r="C68" t="s">
        <v>1713</v>
      </c>
      <c r="D68" t="s">
        <v>1722</v>
      </c>
      <c r="K68"/>
      <c r="L68"/>
      <c r="M68"/>
    </row>
    <row r="69" spans="1:13">
      <c r="A69" s="2" t="s">
        <v>276</v>
      </c>
      <c r="B69" t="s">
        <v>1740</v>
      </c>
      <c r="C69" t="s">
        <v>1713</v>
      </c>
      <c r="D69" t="s">
        <v>1722</v>
      </c>
      <c r="K69"/>
      <c r="L69"/>
      <c r="M69"/>
    </row>
    <row r="70" spans="1:13">
      <c r="A70" s="2" t="s">
        <v>625</v>
      </c>
      <c r="B70" t="s">
        <v>1740</v>
      </c>
      <c r="C70" t="s">
        <v>1713</v>
      </c>
      <c r="D70" t="s">
        <v>1722</v>
      </c>
      <c r="K70"/>
      <c r="L70"/>
      <c r="M70"/>
    </row>
    <row r="71" spans="1:13">
      <c r="A71" s="2" t="s">
        <v>209</v>
      </c>
      <c r="B71" t="s">
        <v>1740</v>
      </c>
      <c r="C71" t="s">
        <v>1720</v>
      </c>
      <c r="D71" t="s">
        <v>1723</v>
      </c>
      <c r="K71"/>
      <c r="L71"/>
      <c r="M71"/>
    </row>
    <row r="72" spans="1:13">
      <c r="A72" s="2" t="s">
        <v>268</v>
      </c>
      <c r="B72" t="s">
        <v>1740</v>
      </c>
      <c r="C72" t="s">
        <v>1713</v>
      </c>
      <c r="D72" t="s">
        <v>1722</v>
      </c>
      <c r="K72"/>
      <c r="L72"/>
      <c r="M72"/>
    </row>
    <row r="73" spans="1:13">
      <c r="A73" s="2" t="s">
        <v>303</v>
      </c>
      <c r="B73" t="s">
        <v>1740</v>
      </c>
      <c r="C73" t="s">
        <v>1713</v>
      </c>
      <c r="D73" t="s">
        <v>1722</v>
      </c>
      <c r="K73"/>
      <c r="L73"/>
      <c r="M73"/>
    </row>
    <row r="74" spans="1:13">
      <c r="A74" s="2" t="s">
        <v>197</v>
      </c>
      <c r="B74" t="s">
        <v>1740</v>
      </c>
      <c r="C74" t="s">
        <v>1713</v>
      </c>
      <c r="D74" t="s">
        <v>1722</v>
      </c>
      <c r="K74"/>
      <c r="L74"/>
      <c r="M74"/>
    </row>
    <row r="75" spans="1:13">
      <c r="A75" s="2" t="s">
        <v>205</v>
      </c>
      <c r="B75" t="s">
        <v>1740</v>
      </c>
      <c r="C75" t="s">
        <v>1720</v>
      </c>
      <c r="D75" t="s">
        <v>1723</v>
      </c>
      <c r="K75"/>
      <c r="L75"/>
      <c r="M75"/>
    </row>
    <row r="76" spans="1:13">
      <c r="A76" s="2" t="s">
        <v>314</v>
      </c>
      <c r="B76" t="s">
        <v>1740</v>
      </c>
      <c r="C76" t="s">
        <v>1713</v>
      </c>
      <c r="D76" t="s">
        <v>1722</v>
      </c>
      <c r="K76"/>
      <c r="L76"/>
      <c r="M76"/>
    </row>
    <row r="77" spans="1:13">
      <c r="A77" s="2" t="s">
        <v>319</v>
      </c>
      <c r="B77" t="s">
        <v>1740</v>
      </c>
      <c r="C77" t="s">
        <v>1713</v>
      </c>
      <c r="D77" t="s">
        <v>1722</v>
      </c>
      <c r="K77"/>
      <c r="L77"/>
      <c r="M77"/>
    </row>
    <row r="78" spans="1:13">
      <c r="A78" s="2" t="s">
        <v>277</v>
      </c>
      <c r="B78" t="s">
        <v>1740</v>
      </c>
      <c r="C78" t="s">
        <v>1713</v>
      </c>
      <c r="D78" t="s">
        <v>1722</v>
      </c>
      <c r="K78"/>
      <c r="L78"/>
      <c r="M78"/>
    </row>
    <row r="79" spans="1:13">
      <c r="A79" s="2" t="s">
        <v>239</v>
      </c>
      <c r="B79" t="s">
        <v>1740</v>
      </c>
      <c r="C79" t="s">
        <v>1714</v>
      </c>
      <c r="D79" t="s">
        <v>1722</v>
      </c>
      <c r="K79"/>
      <c r="L79"/>
      <c r="M79"/>
    </row>
    <row r="80" spans="1:13">
      <c r="A80" s="2" t="s">
        <v>293</v>
      </c>
      <c r="B80" t="s">
        <v>1740</v>
      </c>
      <c r="C80" t="s">
        <v>1713</v>
      </c>
      <c r="D80" t="s">
        <v>1722</v>
      </c>
      <c r="K80"/>
      <c r="L80"/>
      <c r="M80"/>
    </row>
    <row r="81" spans="1:13">
      <c r="A81" s="2" t="s">
        <v>295</v>
      </c>
      <c r="B81" t="s">
        <v>1740</v>
      </c>
      <c r="C81" t="s">
        <v>1713</v>
      </c>
      <c r="D81" t="s">
        <v>1722</v>
      </c>
      <c r="K81"/>
      <c r="L81"/>
      <c r="M81"/>
    </row>
    <row r="82" spans="1:13">
      <c r="A82" s="2" t="s">
        <v>306</v>
      </c>
      <c r="B82" t="s">
        <v>1740</v>
      </c>
      <c r="C82" t="s">
        <v>1713</v>
      </c>
      <c r="D82" t="s">
        <v>1722</v>
      </c>
      <c r="K82"/>
      <c r="L82"/>
      <c r="M82"/>
    </row>
    <row r="83" spans="1:13">
      <c r="A83" s="2" t="s">
        <v>312</v>
      </c>
      <c r="B83" t="s">
        <v>1740</v>
      </c>
      <c r="C83" t="s">
        <v>1713</v>
      </c>
      <c r="D83" t="s">
        <v>1722</v>
      </c>
      <c r="K83"/>
      <c r="L83"/>
      <c r="M83"/>
    </row>
    <row r="84" spans="1:13">
      <c r="A84" s="2" t="s">
        <v>240</v>
      </c>
      <c r="B84" t="s">
        <v>1740</v>
      </c>
      <c r="C84" t="s">
        <v>1713</v>
      </c>
      <c r="D84" t="s">
        <v>1722</v>
      </c>
      <c r="K84"/>
      <c r="L84"/>
      <c r="M84"/>
    </row>
    <row r="85" spans="1:13">
      <c r="A85" s="2" t="s">
        <v>220</v>
      </c>
      <c r="B85" t="s">
        <v>1740</v>
      </c>
      <c r="C85" t="s">
        <v>1713</v>
      </c>
      <c r="D85" t="s">
        <v>1722</v>
      </c>
      <c r="K85"/>
      <c r="L85"/>
      <c r="M85"/>
    </row>
    <row r="86" spans="1:13">
      <c r="A86" s="2" t="s">
        <v>228</v>
      </c>
      <c r="B86" t="s">
        <v>1740</v>
      </c>
      <c r="C86" t="s">
        <v>1713</v>
      </c>
      <c r="D86" t="s">
        <v>1722</v>
      </c>
      <c r="K86"/>
      <c r="L86"/>
      <c r="M86"/>
    </row>
    <row r="87" spans="1:13">
      <c r="A87" s="2" t="s">
        <v>311</v>
      </c>
      <c r="B87" t="s">
        <v>1740</v>
      </c>
      <c r="C87" t="s">
        <v>1713</v>
      </c>
      <c r="D87" t="s">
        <v>1722</v>
      </c>
      <c r="K87"/>
      <c r="L87"/>
      <c r="M87"/>
    </row>
    <row r="88" spans="1:13">
      <c r="A88" s="2" t="s">
        <v>257</v>
      </c>
      <c r="B88" t="s">
        <v>1740</v>
      </c>
      <c r="C88" t="s">
        <v>1720</v>
      </c>
      <c r="D88" t="s">
        <v>1723</v>
      </c>
      <c r="K88"/>
      <c r="L88"/>
      <c r="M88"/>
    </row>
    <row r="89" spans="1:13">
      <c r="A89" s="2" t="s">
        <v>254</v>
      </c>
      <c r="B89" t="s">
        <v>1740</v>
      </c>
      <c r="C89" t="s">
        <v>1720</v>
      </c>
      <c r="D89" t="s">
        <v>1726</v>
      </c>
      <c r="K89"/>
      <c r="L89"/>
      <c r="M89"/>
    </row>
    <row r="90" spans="1:13">
      <c r="A90" s="2" t="s">
        <v>230</v>
      </c>
      <c r="B90" t="s">
        <v>1740</v>
      </c>
      <c r="C90" t="s">
        <v>1713</v>
      </c>
      <c r="D90" t="s">
        <v>1722</v>
      </c>
      <c r="K90"/>
      <c r="L90"/>
      <c r="M90"/>
    </row>
    <row r="91" spans="1:13">
      <c r="A91" s="2" t="s">
        <v>223</v>
      </c>
      <c r="B91" t="s">
        <v>1740</v>
      </c>
      <c r="C91" t="s">
        <v>1713</v>
      </c>
      <c r="D91" t="s">
        <v>1722</v>
      </c>
      <c r="K91"/>
      <c r="L91"/>
      <c r="M91"/>
    </row>
    <row r="92" spans="1:13">
      <c r="A92" s="2" t="s">
        <v>242</v>
      </c>
      <c r="B92" t="s">
        <v>1740</v>
      </c>
      <c r="C92" t="s">
        <v>1713</v>
      </c>
      <c r="D92" t="s">
        <v>1722</v>
      </c>
      <c r="K92"/>
      <c r="L92"/>
      <c r="M92"/>
    </row>
    <row r="93" spans="1:13">
      <c r="A93" s="2" t="s">
        <v>282</v>
      </c>
      <c r="B93" t="s">
        <v>1740</v>
      </c>
      <c r="C93" t="s">
        <v>1713</v>
      </c>
      <c r="D93" t="s">
        <v>1722</v>
      </c>
      <c r="K93"/>
      <c r="L93"/>
      <c r="M93"/>
    </row>
    <row r="94" spans="1:13">
      <c r="A94" s="2" t="s">
        <v>309</v>
      </c>
      <c r="B94" t="s">
        <v>1740</v>
      </c>
      <c r="C94" t="s">
        <v>1713</v>
      </c>
      <c r="D94" t="s">
        <v>1722</v>
      </c>
      <c r="K94"/>
      <c r="L94"/>
      <c r="M94"/>
    </row>
    <row r="95" spans="1:13">
      <c r="A95" s="2" t="s">
        <v>316</v>
      </c>
      <c r="B95" t="s">
        <v>1740</v>
      </c>
      <c r="C95" t="s">
        <v>1713</v>
      </c>
      <c r="D95" t="s">
        <v>1722</v>
      </c>
      <c r="K95"/>
      <c r="L95"/>
      <c r="M95"/>
    </row>
    <row r="96" spans="1:13">
      <c r="A96" s="2" t="s">
        <v>298</v>
      </c>
      <c r="B96" t="s">
        <v>1740</v>
      </c>
      <c r="C96" t="s">
        <v>1713</v>
      </c>
      <c r="D96" t="s">
        <v>1722</v>
      </c>
      <c r="K96"/>
      <c r="L96"/>
      <c r="M96"/>
    </row>
    <row r="97" spans="1:13">
      <c r="A97" s="2" t="s">
        <v>275</v>
      </c>
      <c r="B97" t="s">
        <v>1740</v>
      </c>
      <c r="C97" t="s">
        <v>1713</v>
      </c>
      <c r="D97" t="s">
        <v>1722</v>
      </c>
      <c r="K97"/>
      <c r="L97"/>
      <c r="M97"/>
    </row>
    <row r="98" spans="1:13">
      <c r="A98" s="2" t="s">
        <v>317</v>
      </c>
      <c r="B98" t="s">
        <v>1740</v>
      </c>
      <c r="C98" t="s">
        <v>1713</v>
      </c>
      <c r="D98" t="s">
        <v>1722</v>
      </c>
      <c r="K98"/>
      <c r="L98"/>
      <c r="M98"/>
    </row>
    <row r="99" spans="1:13">
      <c r="A99" s="2" t="s">
        <v>288</v>
      </c>
      <c r="B99" t="s">
        <v>1740</v>
      </c>
      <c r="C99" t="s">
        <v>1713</v>
      </c>
      <c r="D99" t="s">
        <v>1722</v>
      </c>
      <c r="K99"/>
      <c r="L99"/>
      <c r="M99"/>
    </row>
    <row r="100" spans="1:13">
      <c r="A100" s="2" t="s">
        <v>270</v>
      </c>
      <c r="B100" t="s">
        <v>1740</v>
      </c>
      <c r="C100" t="s">
        <v>1713</v>
      </c>
      <c r="D100" t="s">
        <v>1722</v>
      </c>
      <c r="K100"/>
      <c r="L100"/>
      <c r="M100"/>
    </row>
    <row r="101" spans="1:13">
      <c r="A101" s="2" t="s">
        <v>236</v>
      </c>
      <c r="B101" t="s">
        <v>1740</v>
      </c>
      <c r="C101" t="s">
        <v>1713</v>
      </c>
      <c r="D101" t="s">
        <v>1722</v>
      </c>
      <c r="K101"/>
      <c r="L101"/>
      <c r="M101"/>
    </row>
    <row r="102" spans="1:13">
      <c r="A102" s="2" t="s">
        <v>199</v>
      </c>
      <c r="B102" t="s">
        <v>1740</v>
      </c>
      <c r="C102" t="s">
        <v>1713</v>
      </c>
      <c r="D102" t="s">
        <v>1722</v>
      </c>
      <c r="K102"/>
      <c r="L102"/>
      <c r="M102"/>
    </row>
    <row r="103" spans="1:13">
      <c r="A103" s="2" t="s">
        <v>300</v>
      </c>
      <c r="B103" t="s">
        <v>1740</v>
      </c>
      <c r="C103" t="s">
        <v>1713</v>
      </c>
      <c r="D103" t="s">
        <v>1722</v>
      </c>
      <c r="K103"/>
      <c r="L103"/>
      <c r="M103"/>
    </row>
    <row r="104" spans="1:13">
      <c r="A104" s="2" t="s">
        <v>302</v>
      </c>
      <c r="B104" t="s">
        <v>1740</v>
      </c>
      <c r="C104" t="s">
        <v>1713</v>
      </c>
      <c r="D104" t="s">
        <v>1722</v>
      </c>
      <c r="K104"/>
      <c r="L104"/>
      <c r="M104"/>
    </row>
    <row r="105" spans="1:13">
      <c r="A105" s="2" t="s">
        <v>245</v>
      </c>
      <c r="B105" t="s">
        <v>1740</v>
      </c>
      <c r="C105" t="s">
        <v>1713</v>
      </c>
      <c r="D105" t="s">
        <v>1722</v>
      </c>
      <c r="K105"/>
      <c r="L105"/>
      <c r="M105"/>
    </row>
    <row r="106" spans="1:13">
      <c r="A106" s="2" t="s">
        <v>227</v>
      </c>
      <c r="B106" t="s">
        <v>1740</v>
      </c>
      <c r="C106" t="s">
        <v>1720</v>
      </c>
      <c r="D106" t="s">
        <v>1723</v>
      </c>
      <c r="K106"/>
      <c r="L106"/>
      <c r="M106"/>
    </row>
    <row r="107" spans="1:13">
      <c r="A107" s="2" t="s">
        <v>280</v>
      </c>
      <c r="B107" t="s">
        <v>1740</v>
      </c>
      <c r="C107" t="s">
        <v>1713</v>
      </c>
      <c r="D107" t="s">
        <v>1722</v>
      </c>
      <c r="K107"/>
      <c r="L107"/>
      <c r="M107"/>
    </row>
    <row r="108" spans="1:13">
      <c r="A108" s="2" t="s">
        <v>248</v>
      </c>
      <c r="B108" t="s">
        <v>1740</v>
      </c>
      <c r="C108" t="s">
        <v>1713</v>
      </c>
      <c r="D108" t="s">
        <v>1722</v>
      </c>
      <c r="K108"/>
      <c r="L108"/>
      <c r="M108"/>
    </row>
    <row r="109" spans="1:13">
      <c r="A109" s="2" t="s">
        <v>249</v>
      </c>
      <c r="B109" t="s">
        <v>1740</v>
      </c>
      <c r="C109" t="s">
        <v>1713</v>
      </c>
      <c r="D109" t="s">
        <v>1722</v>
      </c>
      <c r="K109"/>
      <c r="L109"/>
      <c r="M109"/>
    </row>
    <row r="110" spans="1:13">
      <c r="A110" s="2" t="s">
        <v>321</v>
      </c>
      <c r="B110" t="s">
        <v>1740</v>
      </c>
      <c r="C110" t="s">
        <v>1713</v>
      </c>
      <c r="D110" t="s">
        <v>1722</v>
      </c>
      <c r="K110"/>
      <c r="L110"/>
      <c r="M110"/>
    </row>
    <row r="111" spans="1:13">
      <c r="A111" s="2" t="s">
        <v>262</v>
      </c>
      <c r="B111" t="s">
        <v>1740</v>
      </c>
      <c r="C111" t="s">
        <v>1720</v>
      </c>
      <c r="D111" t="s">
        <v>1723</v>
      </c>
      <c r="K111"/>
      <c r="L111"/>
      <c r="M111"/>
    </row>
    <row r="112" spans="1:13">
      <c r="A112" s="2" t="s">
        <v>259</v>
      </c>
      <c r="B112" t="s">
        <v>1740</v>
      </c>
      <c r="C112" t="s">
        <v>1720</v>
      </c>
      <c r="D112" t="s">
        <v>1723</v>
      </c>
      <c r="K112"/>
      <c r="L112"/>
      <c r="M112"/>
    </row>
    <row r="113" spans="1:13">
      <c r="A113" s="2" t="s">
        <v>308</v>
      </c>
      <c r="B113" t="s">
        <v>1740</v>
      </c>
      <c r="C113" t="s">
        <v>1714</v>
      </c>
      <c r="D113" t="s">
        <v>1722</v>
      </c>
      <c r="K113"/>
      <c r="L113"/>
      <c r="M113"/>
    </row>
    <row r="114" spans="1:13">
      <c r="A114" s="2" t="s">
        <v>307</v>
      </c>
      <c r="B114" t="s">
        <v>1740</v>
      </c>
      <c r="C114" t="s">
        <v>1715</v>
      </c>
      <c r="D114" t="s">
        <v>1722</v>
      </c>
      <c r="K114"/>
      <c r="L114"/>
      <c r="M114"/>
    </row>
    <row r="115" spans="1:13">
      <c r="A115" s="2" t="s">
        <v>304</v>
      </c>
      <c r="B115" t="s">
        <v>1740</v>
      </c>
      <c r="C115" t="s">
        <v>1713</v>
      </c>
      <c r="D115" t="s">
        <v>1722</v>
      </c>
      <c r="K115"/>
      <c r="L115"/>
      <c r="M115"/>
    </row>
    <row r="116" spans="1:13">
      <c r="A116" s="2" t="s">
        <v>251</v>
      </c>
      <c r="B116" t="s">
        <v>1740</v>
      </c>
      <c r="C116" t="s">
        <v>1713</v>
      </c>
      <c r="D116" t="s">
        <v>1722</v>
      </c>
      <c r="K116"/>
      <c r="L116"/>
      <c r="M116"/>
    </row>
    <row r="117" spans="1:13">
      <c r="A117" s="2" t="s">
        <v>207</v>
      </c>
      <c r="B117" t="s">
        <v>1740</v>
      </c>
      <c r="C117" t="s">
        <v>1713</v>
      </c>
      <c r="D117" t="s">
        <v>1722</v>
      </c>
      <c r="K117"/>
      <c r="L117"/>
      <c r="M117"/>
    </row>
    <row r="118" spans="1:13">
      <c r="A118" s="2" t="s">
        <v>322</v>
      </c>
      <c r="B118" t="s">
        <v>1740</v>
      </c>
      <c r="C118" t="s">
        <v>1713</v>
      </c>
      <c r="D118" t="s">
        <v>1722</v>
      </c>
      <c r="K118"/>
      <c r="L118"/>
      <c r="M118"/>
    </row>
    <row r="119" spans="1:13">
      <c r="A119" s="2" t="s">
        <v>217</v>
      </c>
      <c r="B119" t="s">
        <v>1740</v>
      </c>
      <c r="C119" t="s">
        <v>1713</v>
      </c>
      <c r="D119" t="s">
        <v>1722</v>
      </c>
      <c r="K119"/>
      <c r="L119"/>
      <c r="M119"/>
    </row>
    <row r="120" spans="1:13">
      <c r="A120" s="2" t="s">
        <v>244</v>
      </c>
      <c r="B120" t="s">
        <v>1740</v>
      </c>
      <c r="C120" t="s">
        <v>1720</v>
      </c>
      <c r="D120" t="s">
        <v>1727</v>
      </c>
      <c r="K120"/>
      <c r="L120"/>
      <c r="M120"/>
    </row>
    <row r="121" spans="1:13">
      <c r="A121" s="2" t="s">
        <v>927</v>
      </c>
      <c r="B121" t="s">
        <v>1740</v>
      </c>
      <c r="C121" t="s">
        <v>1720</v>
      </c>
      <c r="D121" t="s">
        <v>1727</v>
      </c>
      <c r="K121"/>
      <c r="L121"/>
      <c r="M121"/>
    </row>
    <row r="122" spans="1:13">
      <c r="A122" s="2" t="s">
        <v>202</v>
      </c>
      <c r="B122" t="s">
        <v>1740</v>
      </c>
      <c r="C122" t="s">
        <v>1714</v>
      </c>
      <c r="D122" t="s">
        <v>1723</v>
      </c>
      <c r="K122"/>
      <c r="L122"/>
      <c r="M122"/>
    </row>
    <row r="123" spans="1:13">
      <c r="A123" s="2" t="s">
        <v>196</v>
      </c>
      <c r="B123" t="s">
        <v>1740</v>
      </c>
      <c r="C123" t="s">
        <v>1713</v>
      </c>
      <c r="D123" t="s">
        <v>1722</v>
      </c>
      <c r="K123"/>
      <c r="L123"/>
      <c r="M123"/>
    </row>
    <row r="124" spans="1:13">
      <c r="A124" s="2" t="s">
        <v>284</v>
      </c>
      <c r="B124" t="s">
        <v>1740</v>
      </c>
      <c r="C124" t="s">
        <v>1713</v>
      </c>
      <c r="D124" t="s">
        <v>1722</v>
      </c>
      <c r="K124"/>
      <c r="L124"/>
      <c r="M124"/>
    </row>
    <row r="125" spans="1:13">
      <c r="A125" s="2" t="s">
        <v>261</v>
      </c>
      <c r="B125" t="s">
        <v>1740</v>
      </c>
      <c r="C125" t="s">
        <v>1713</v>
      </c>
      <c r="D125" t="s">
        <v>1722</v>
      </c>
      <c r="K125"/>
      <c r="L125"/>
      <c r="M125"/>
    </row>
    <row r="126" spans="1:13">
      <c r="A126" s="2" t="s">
        <v>206</v>
      </c>
      <c r="B126" t="s">
        <v>1740</v>
      </c>
      <c r="C126" t="s">
        <v>1714</v>
      </c>
      <c r="D126" t="s">
        <v>1723</v>
      </c>
      <c r="K126"/>
      <c r="L126"/>
      <c r="M126"/>
    </row>
    <row r="127" spans="1:13">
      <c r="A127" s="2" t="s">
        <v>264</v>
      </c>
      <c r="B127" t="s">
        <v>1740</v>
      </c>
      <c r="C127" t="s">
        <v>1713</v>
      </c>
      <c r="D127" t="s">
        <v>1722</v>
      </c>
      <c r="K127"/>
      <c r="L127"/>
      <c r="M127"/>
    </row>
    <row r="128" spans="1:13">
      <c r="A128" s="2" t="s">
        <v>260</v>
      </c>
      <c r="B128" t="s">
        <v>1740</v>
      </c>
      <c r="C128" t="s">
        <v>1713</v>
      </c>
      <c r="D128" t="s">
        <v>1722</v>
      </c>
      <c r="K128"/>
      <c r="L128"/>
      <c r="M128"/>
    </row>
    <row r="129" spans="1:13">
      <c r="A129" s="2" t="s">
        <v>233</v>
      </c>
      <c r="B129" t="s">
        <v>1740</v>
      </c>
      <c r="C129" t="s">
        <v>1716</v>
      </c>
      <c r="D129" t="s">
        <v>1722</v>
      </c>
      <c r="K129"/>
      <c r="L129"/>
      <c r="M129"/>
    </row>
    <row r="130" spans="1:13">
      <c r="A130" s="2" t="s">
        <v>203</v>
      </c>
      <c r="B130" t="s">
        <v>1740</v>
      </c>
      <c r="C130" t="s">
        <v>1714</v>
      </c>
      <c r="D130" t="s">
        <v>1723</v>
      </c>
      <c r="K130"/>
      <c r="L130"/>
      <c r="M130"/>
    </row>
    <row r="131" spans="1:13">
      <c r="A131" s="2" t="s">
        <v>201</v>
      </c>
      <c r="B131" t="s">
        <v>1740</v>
      </c>
      <c r="C131" t="s">
        <v>1713</v>
      </c>
      <c r="D131" t="s">
        <v>1722</v>
      </c>
      <c r="K131"/>
      <c r="L131"/>
      <c r="M131"/>
    </row>
    <row r="132" spans="1:13">
      <c r="A132" s="2" t="s">
        <v>274</v>
      </c>
      <c r="B132" t="s">
        <v>1740</v>
      </c>
      <c r="C132" t="s">
        <v>1713</v>
      </c>
      <c r="D132" t="s">
        <v>1722</v>
      </c>
      <c r="K132"/>
      <c r="L132"/>
      <c r="M132"/>
    </row>
    <row r="133" spans="1:13">
      <c r="A133" s="2" t="s">
        <v>520</v>
      </c>
      <c r="B133" t="s">
        <v>1740</v>
      </c>
      <c r="C133" t="s">
        <v>1717</v>
      </c>
      <c r="D133" t="s">
        <v>1722</v>
      </c>
      <c r="K133"/>
      <c r="L133"/>
      <c r="M133"/>
    </row>
    <row r="134" spans="1:13">
      <c r="A134" s="2" t="s">
        <v>525</v>
      </c>
      <c r="B134" t="s">
        <v>1740</v>
      </c>
      <c r="C134" t="s">
        <v>1717</v>
      </c>
      <c r="D134" t="s">
        <v>1722</v>
      </c>
      <c r="K134"/>
      <c r="L134"/>
      <c r="M134"/>
    </row>
    <row r="135" spans="1:13">
      <c r="A135" s="2" t="s">
        <v>497</v>
      </c>
      <c r="B135" t="s">
        <v>1740</v>
      </c>
      <c r="C135" t="s">
        <v>1717</v>
      </c>
      <c r="D135" t="s">
        <v>1722</v>
      </c>
      <c r="K135"/>
      <c r="L135"/>
      <c r="M135"/>
    </row>
    <row r="136" spans="1:13">
      <c r="A136" s="2" t="s">
        <v>479</v>
      </c>
      <c r="B136" t="s">
        <v>1740</v>
      </c>
      <c r="C136" t="s">
        <v>1717</v>
      </c>
      <c r="D136" t="s">
        <v>1722</v>
      </c>
      <c r="K136"/>
      <c r="L136"/>
      <c r="M136"/>
    </row>
    <row r="137" spans="1:13">
      <c r="A137" s="2" t="s">
        <v>508</v>
      </c>
      <c r="B137" t="s">
        <v>1740</v>
      </c>
      <c r="C137" t="s">
        <v>1717</v>
      </c>
      <c r="D137" t="s">
        <v>1722</v>
      </c>
      <c r="K137"/>
      <c r="L137"/>
      <c r="M137"/>
    </row>
    <row r="138" spans="1:13">
      <c r="A138" s="2" t="s">
        <v>482</v>
      </c>
      <c r="B138" t="s">
        <v>1740</v>
      </c>
      <c r="C138" t="s">
        <v>1717</v>
      </c>
      <c r="D138" t="s">
        <v>1722</v>
      </c>
      <c r="K138"/>
      <c r="L138"/>
      <c r="M138"/>
    </row>
    <row r="139" spans="1:13">
      <c r="A139" s="2" t="s">
        <v>523</v>
      </c>
      <c r="B139" t="s">
        <v>1740</v>
      </c>
      <c r="C139" t="s">
        <v>1717</v>
      </c>
      <c r="D139" t="s">
        <v>1722</v>
      </c>
      <c r="K139"/>
      <c r="L139"/>
      <c r="M139"/>
    </row>
    <row r="140" spans="1:13">
      <c r="A140" s="2" t="s">
        <v>507</v>
      </c>
      <c r="B140" t="s">
        <v>1740</v>
      </c>
      <c r="C140" t="s">
        <v>1717</v>
      </c>
      <c r="D140" t="s">
        <v>1722</v>
      </c>
      <c r="K140"/>
      <c r="L140"/>
      <c r="M140"/>
    </row>
    <row r="141" spans="1:13">
      <c r="A141" s="2" t="s">
        <v>496</v>
      </c>
      <c r="B141" t="s">
        <v>1740</v>
      </c>
      <c r="C141" t="s">
        <v>1717</v>
      </c>
      <c r="D141" t="s">
        <v>1722</v>
      </c>
      <c r="K141"/>
      <c r="L141"/>
      <c r="M141"/>
    </row>
    <row r="142" spans="1:13">
      <c r="A142" s="2" t="s">
        <v>515</v>
      </c>
      <c r="B142" t="s">
        <v>1740</v>
      </c>
      <c r="C142" t="s">
        <v>1717</v>
      </c>
      <c r="D142" t="s">
        <v>1722</v>
      </c>
      <c r="K142"/>
      <c r="L142"/>
      <c r="M142"/>
    </row>
    <row r="143" spans="1:13">
      <c r="A143" s="2" t="s">
        <v>513</v>
      </c>
      <c r="B143" t="s">
        <v>1740</v>
      </c>
      <c r="C143" t="s">
        <v>1717</v>
      </c>
      <c r="D143" t="s">
        <v>1722</v>
      </c>
      <c r="K143"/>
      <c r="L143"/>
      <c r="M143"/>
    </row>
    <row r="144" spans="1:13">
      <c r="A144" s="2" t="s">
        <v>485</v>
      </c>
      <c r="B144" t="s">
        <v>1740</v>
      </c>
      <c r="C144" t="s">
        <v>1717</v>
      </c>
      <c r="D144" t="s">
        <v>1722</v>
      </c>
      <c r="K144"/>
      <c r="L144"/>
      <c r="M144"/>
    </row>
    <row r="145" spans="1:13">
      <c r="A145" s="2" t="s">
        <v>524</v>
      </c>
      <c r="B145" t="s">
        <v>1740</v>
      </c>
      <c r="C145" t="s">
        <v>1717</v>
      </c>
      <c r="D145" t="s">
        <v>1722</v>
      </c>
      <c r="K145"/>
      <c r="L145"/>
      <c r="M145"/>
    </row>
    <row r="146" spans="1:13">
      <c r="A146" s="2" t="s">
        <v>488</v>
      </c>
      <c r="B146" t="s">
        <v>1740</v>
      </c>
      <c r="C146" t="s">
        <v>1717</v>
      </c>
      <c r="D146" t="s">
        <v>1722</v>
      </c>
      <c r="K146"/>
      <c r="L146"/>
      <c r="M146"/>
    </row>
    <row r="147" spans="1:13">
      <c r="A147" s="2" t="s">
        <v>512</v>
      </c>
      <c r="B147" t="s">
        <v>1740</v>
      </c>
      <c r="C147" t="s">
        <v>1717</v>
      </c>
      <c r="D147" t="s">
        <v>1722</v>
      </c>
      <c r="K147"/>
      <c r="L147"/>
      <c r="M147"/>
    </row>
    <row r="148" spans="1:13">
      <c r="A148" s="2" t="s">
        <v>500</v>
      </c>
      <c r="B148" t="s">
        <v>1740</v>
      </c>
      <c r="C148" t="s">
        <v>1717</v>
      </c>
      <c r="D148" t="s">
        <v>1722</v>
      </c>
      <c r="K148"/>
      <c r="L148"/>
      <c r="M148"/>
    </row>
    <row r="149" spans="1:13">
      <c r="A149" s="2" t="s">
        <v>503</v>
      </c>
      <c r="B149" t="s">
        <v>1740</v>
      </c>
      <c r="C149" t="s">
        <v>1717</v>
      </c>
      <c r="D149" t="s">
        <v>1722</v>
      </c>
      <c r="K149"/>
      <c r="L149"/>
      <c r="M149"/>
    </row>
    <row r="150" spans="1:13">
      <c r="A150" s="2" t="s">
        <v>480</v>
      </c>
      <c r="B150" t="s">
        <v>1740</v>
      </c>
      <c r="C150" t="s">
        <v>1717</v>
      </c>
      <c r="D150" t="s">
        <v>1722</v>
      </c>
      <c r="K150"/>
      <c r="L150"/>
      <c r="M150"/>
    </row>
    <row r="151" spans="1:13">
      <c r="A151" s="2" t="s">
        <v>494</v>
      </c>
      <c r="B151" t="s">
        <v>1740</v>
      </c>
      <c r="C151" t="s">
        <v>1717</v>
      </c>
      <c r="D151" t="s">
        <v>1722</v>
      </c>
      <c r="K151"/>
      <c r="L151"/>
      <c r="M151"/>
    </row>
    <row r="152" spans="1:13">
      <c r="A152" s="2" t="s">
        <v>499</v>
      </c>
      <c r="B152" t="s">
        <v>1740</v>
      </c>
      <c r="C152" t="s">
        <v>1717</v>
      </c>
      <c r="D152" t="s">
        <v>1722</v>
      </c>
      <c r="K152"/>
      <c r="L152"/>
      <c r="M152"/>
    </row>
    <row r="153" spans="1:13">
      <c r="A153" s="2" t="s">
        <v>517</v>
      </c>
      <c r="B153" t="s">
        <v>1740</v>
      </c>
      <c r="C153" t="s">
        <v>1717</v>
      </c>
      <c r="D153" t="s">
        <v>1722</v>
      </c>
      <c r="K153"/>
      <c r="L153"/>
      <c r="M153"/>
    </row>
    <row r="154" spans="1:13">
      <c r="A154" s="2" t="s">
        <v>516</v>
      </c>
      <c r="B154" t="s">
        <v>1740</v>
      </c>
      <c r="C154" t="s">
        <v>1717</v>
      </c>
      <c r="D154" t="s">
        <v>1722</v>
      </c>
      <c r="K154"/>
      <c r="L154"/>
      <c r="M154"/>
    </row>
    <row r="155" spans="1:13">
      <c r="A155" s="2" t="s">
        <v>492</v>
      </c>
      <c r="B155" t="s">
        <v>1740</v>
      </c>
      <c r="C155" t="s">
        <v>1717</v>
      </c>
      <c r="D155" t="s">
        <v>1722</v>
      </c>
      <c r="K155"/>
      <c r="L155"/>
      <c r="M155"/>
    </row>
    <row r="156" spans="1:13">
      <c r="A156" s="2" t="s">
        <v>519</v>
      </c>
      <c r="B156" t="s">
        <v>1740</v>
      </c>
      <c r="C156" t="s">
        <v>1717</v>
      </c>
      <c r="D156" t="s">
        <v>1722</v>
      </c>
      <c r="K156"/>
      <c r="L156"/>
      <c r="M156"/>
    </row>
    <row r="157" spans="1:13">
      <c r="A157" s="2" t="s">
        <v>493</v>
      </c>
      <c r="B157" t="s">
        <v>1740</v>
      </c>
      <c r="C157" t="s">
        <v>1717</v>
      </c>
      <c r="D157" t="s">
        <v>1722</v>
      </c>
      <c r="K157"/>
      <c r="L157"/>
      <c r="M157"/>
    </row>
    <row r="158" spans="1:13">
      <c r="A158" s="2" t="s">
        <v>477</v>
      </c>
      <c r="B158" t="s">
        <v>1740</v>
      </c>
      <c r="C158" t="s">
        <v>1717</v>
      </c>
      <c r="D158" t="s">
        <v>1722</v>
      </c>
      <c r="K158"/>
      <c r="L158"/>
      <c r="M158"/>
    </row>
    <row r="159" spans="1:13">
      <c r="A159" s="2" t="s">
        <v>481</v>
      </c>
      <c r="B159" t="s">
        <v>1740</v>
      </c>
      <c r="C159" t="s">
        <v>1717</v>
      </c>
      <c r="D159" t="s">
        <v>1722</v>
      </c>
      <c r="K159"/>
      <c r="L159"/>
      <c r="M159"/>
    </row>
    <row r="160" spans="1:13">
      <c r="A160" s="2" t="s">
        <v>483</v>
      </c>
      <c r="B160" t="s">
        <v>1740</v>
      </c>
      <c r="C160" t="s">
        <v>1717</v>
      </c>
      <c r="D160" t="s">
        <v>1722</v>
      </c>
      <c r="K160"/>
      <c r="L160"/>
      <c r="M160"/>
    </row>
    <row r="161" spans="1:13">
      <c r="A161" s="2" t="s">
        <v>522</v>
      </c>
      <c r="B161" t="s">
        <v>1740</v>
      </c>
      <c r="C161" t="s">
        <v>1717</v>
      </c>
      <c r="D161" t="s">
        <v>1722</v>
      </c>
      <c r="K161"/>
      <c r="L161"/>
      <c r="M161"/>
    </row>
    <row r="162" spans="1:13">
      <c r="A162" s="2" t="s">
        <v>505</v>
      </c>
      <c r="B162" t="s">
        <v>1740</v>
      </c>
      <c r="C162" t="s">
        <v>1717</v>
      </c>
      <c r="D162" t="s">
        <v>1722</v>
      </c>
      <c r="K162"/>
      <c r="L162"/>
      <c r="M162"/>
    </row>
    <row r="163" spans="1:13">
      <c r="A163" s="2" t="s">
        <v>506</v>
      </c>
      <c r="B163" t="s">
        <v>1740</v>
      </c>
      <c r="C163" t="s">
        <v>1717</v>
      </c>
      <c r="D163" t="s">
        <v>1722</v>
      </c>
      <c r="K163"/>
      <c r="L163"/>
      <c r="M163"/>
    </row>
    <row r="164" spans="1:13">
      <c r="A164" s="2" t="s">
        <v>526</v>
      </c>
      <c r="B164" t="s">
        <v>1740</v>
      </c>
      <c r="C164" t="s">
        <v>1717</v>
      </c>
      <c r="D164" t="s">
        <v>1722</v>
      </c>
      <c r="K164"/>
      <c r="L164"/>
      <c r="M164"/>
    </row>
    <row r="165" spans="1:13">
      <c r="A165" s="2" t="s">
        <v>502</v>
      </c>
      <c r="B165" t="s">
        <v>1740</v>
      </c>
      <c r="C165" t="s">
        <v>1717</v>
      </c>
      <c r="D165" t="s">
        <v>1722</v>
      </c>
      <c r="K165"/>
      <c r="L165"/>
      <c r="M165"/>
    </row>
    <row r="166" spans="1:13">
      <c r="A166" s="2" t="s">
        <v>509</v>
      </c>
      <c r="B166" t="s">
        <v>1740</v>
      </c>
      <c r="C166" t="s">
        <v>1717</v>
      </c>
      <c r="D166" t="s">
        <v>1722</v>
      </c>
      <c r="K166"/>
      <c r="L166"/>
      <c r="M166"/>
    </row>
    <row r="167" spans="1:13">
      <c r="A167" s="2" t="s">
        <v>518</v>
      </c>
      <c r="B167" t="s">
        <v>1740</v>
      </c>
      <c r="C167" t="s">
        <v>1717</v>
      </c>
      <c r="D167" t="s">
        <v>1722</v>
      </c>
      <c r="K167"/>
      <c r="L167"/>
      <c r="M167"/>
    </row>
    <row r="168" spans="1:13">
      <c r="A168" s="2" t="s">
        <v>484</v>
      </c>
      <c r="B168" t="s">
        <v>1740</v>
      </c>
      <c r="C168" t="s">
        <v>1717</v>
      </c>
      <c r="D168" t="s">
        <v>1722</v>
      </c>
      <c r="K168"/>
      <c r="L168"/>
      <c r="M168"/>
    </row>
    <row r="169" spans="1:13">
      <c r="A169" s="2" t="s">
        <v>495</v>
      </c>
      <c r="B169" t="s">
        <v>1740</v>
      </c>
      <c r="C169" t="s">
        <v>1717</v>
      </c>
      <c r="D169" t="s">
        <v>1722</v>
      </c>
      <c r="K169"/>
      <c r="L169"/>
      <c r="M169"/>
    </row>
    <row r="170" spans="1:13">
      <c r="A170" s="2" t="s">
        <v>527</v>
      </c>
      <c r="B170" t="s">
        <v>1740</v>
      </c>
      <c r="C170" t="s">
        <v>1717</v>
      </c>
      <c r="D170" t="s">
        <v>1722</v>
      </c>
      <c r="K170"/>
      <c r="L170"/>
      <c r="M170"/>
    </row>
    <row r="171" spans="1:13">
      <c r="A171" s="2" t="s">
        <v>528</v>
      </c>
      <c r="B171" t="s">
        <v>1740</v>
      </c>
      <c r="C171" t="s">
        <v>1717</v>
      </c>
      <c r="D171" t="s">
        <v>1722</v>
      </c>
      <c r="K171"/>
      <c r="L171"/>
      <c r="M171"/>
    </row>
    <row r="172" spans="1:13">
      <c r="A172" s="2" t="s">
        <v>498</v>
      </c>
      <c r="B172" t="s">
        <v>1740</v>
      </c>
      <c r="C172" t="s">
        <v>1717</v>
      </c>
      <c r="D172" t="s">
        <v>1722</v>
      </c>
      <c r="K172"/>
      <c r="L172"/>
      <c r="M172"/>
    </row>
    <row r="173" spans="1:13">
      <c r="A173" s="2" t="s">
        <v>486</v>
      </c>
      <c r="B173" t="s">
        <v>1740</v>
      </c>
      <c r="C173" t="s">
        <v>1717</v>
      </c>
      <c r="D173" t="s">
        <v>1722</v>
      </c>
      <c r="K173"/>
      <c r="L173"/>
      <c r="M173"/>
    </row>
    <row r="174" spans="1:13">
      <c r="A174" s="2" t="s">
        <v>511</v>
      </c>
      <c r="B174" t="s">
        <v>1740</v>
      </c>
      <c r="C174" t="s">
        <v>1717</v>
      </c>
      <c r="D174" t="s">
        <v>1722</v>
      </c>
      <c r="K174"/>
      <c r="L174"/>
      <c r="M174"/>
    </row>
    <row r="175" spans="1:13">
      <c r="A175" s="2" t="s">
        <v>529</v>
      </c>
      <c r="B175" t="s">
        <v>1740</v>
      </c>
      <c r="C175" t="s">
        <v>1717</v>
      </c>
      <c r="D175" t="s">
        <v>1722</v>
      </c>
      <c r="K175"/>
      <c r="L175"/>
      <c r="M175"/>
    </row>
    <row r="176" spans="1:13">
      <c r="A176" s="2" t="s">
        <v>490</v>
      </c>
      <c r="B176" t="s">
        <v>1740</v>
      </c>
      <c r="C176" t="s">
        <v>1717</v>
      </c>
      <c r="D176" t="s">
        <v>1722</v>
      </c>
      <c r="K176"/>
      <c r="L176"/>
      <c r="M176"/>
    </row>
    <row r="177" spans="1:13">
      <c r="A177" s="2" t="s">
        <v>510</v>
      </c>
      <c r="B177" t="s">
        <v>1740</v>
      </c>
      <c r="C177" t="s">
        <v>1717</v>
      </c>
      <c r="D177" t="s">
        <v>1722</v>
      </c>
      <c r="K177"/>
      <c r="L177"/>
      <c r="M177"/>
    </row>
    <row r="178" spans="1:13">
      <c r="A178" s="2" t="s">
        <v>489</v>
      </c>
      <c r="B178" t="s">
        <v>1740</v>
      </c>
      <c r="C178" t="s">
        <v>1717</v>
      </c>
      <c r="D178" t="s">
        <v>1722</v>
      </c>
      <c r="K178"/>
      <c r="L178"/>
      <c r="M178"/>
    </row>
    <row r="179" spans="1:13">
      <c r="A179" s="2" t="s">
        <v>521</v>
      </c>
      <c r="B179" t="s">
        <v>1740</v>
      </c>
      <c r="C179" t="s">
        <v>1717</v>
      </c>
      <c r="D179" t="s">
        <v>1722</v>
      </c>
      <c r="K179"/>
      <c r="L179"/>
      <c r="M179"/>
    </row>
    <row r="180" spans="1:13">
      <c r="A180" s="2" t="s">
        <v>501</v>
      </c>
      <c r="B180" t="s">
        <v>1740</v>
      </c>
      <c r="C180" t="s">
        <v>1717</v>
      </c>
      <c r="D180" t="s">
        <v>1722</v>
      </c>
      <c r="K180"/>
      <c r="L180"/>
      <c r="M180"/>
    </row>
    <row r="181" spans="1:13">
      <c r="A181" s="2" t="s">
        <v>504</v>
      </c>
      <c r="B181" t="s">
        <v>1740</v>
      </c>
      <c r="C181" t="s">
        <v>1717</v>
      </c>
      <c r="D181" t="s">
        <v>1722</v>
      </c>
      <c r="K181"/>
      <c r="L181"/>
      <c r="M181"/>
    </row>
    <row r="182" spans="1:13">
      <c r="A182" s="2" t="s">
        <v>491</v>
      </c>
      <c r="B182" t="s">
        <v>1740</v>
      </c>
      <c r="C182" t="s">
        <v>1717</v>
      </c>
      <c r="D182" t="s">
        <v>1722</v>
      </c>
      <c r="K182"/>
      <c r="L182"/>
      <c r="M182"/>
    </row>
    <row r="183" spans="1:13">
      <c r="A183" s="2" t="s">
        <v>514</v>
      </c>
      <c r="B183" t="s">
        <v>1740</v>
      </c>
      <c r="C183" t="s">
        <v>1717</v>
      </c>
      <c r="D183" t="s">
        <v>1722</v>
      </c>
      <c r="K183"/>
      <c r="L183"/>
      <c r="M183"/>
    </row>
    <row r="184" spans="1:13">
      <c r="A184" s="2" t="s">
        <v>487</v>
      </c>
      <c r="B184" t="s">
        <v>1740</v>
      </c>
      <c r="C184" t="s">
        <v>1717</v>
      </c>
      <c r="D184" t="s">
        <v>1722</v>
      </c>
      <c r="K184"/>
      <c r="L184"/>
      <c r="M184"/>
    </row>
    <row r="185" spans="1:13">
      <c r="A185" s="2" t="s">
        <v>438</v>
      </c>
      <c r="B185" t="s">
        <v>1741</v>
      </c>
      <c r="C185" t="s">
        <v>1713</v>
      </c>
      <c r="D185" t="s">
        <v>1722</v>
      </c>
      <c r="K185"/>
      <c r="L185"/>
      <c r="M185"/>
    </row>
    <row r="186" spans="1:13">
      <c r="A186" s="2" t="s">
        <v>630</v>
      </c>
      <c r="B186" t="s">
        <v>1741</v>
      </c>
      <c r="C186" t="s">
        <v>1713</v>
      </c>
      <c r="D186" t="s">
        <v>1722</v>
      </c>
      <c r="K186"/>
      <c r="L186"/>
      <c r="M186"/>
    </row>
    <row r="187" spans="1:13">
      <c r="A187" s="2" t="s">
        <v>382</v>
      </c>
      <c r="B187" t="s">
        <v>1741</v>
      </c>
      <c r="C187" t="s">
        <v>1713</v>
      </c>
      <c r="D187" t="s">
        <v>1722</v>
      </c>
      <c r="K187"/>
      <c r="L187"/>
      <c r="M187"/>
    </row>
    <row r="188" spans="1:13">
      <c r="A188" s="2" t="s">
        <v>420</v>
      </c>
      <c r="B188" t="s">
        <v>1741</v>
      </c>
      <c r="C188" t="s">
        <v>1713</v>
      </c>
      <c r="D188" t="s">
        <v>1722</v>
      </c>
      <c r="K188"/>
      <c r="L188"/>
      <c r="M188"/>
    </row>
    <row r="189" spans="1:13">
      <c r="A189" s="2" t="s">
        <v>427</v>
      </c>
      <c r="B189" t="s">
        <v>1741</v>
      </c>
      <c r="C189" t="s">
        <v>1713</v>
      </c>
      <c r="D189" t="s">
        <v>1722</v>
      </c>
      <c r="K189"/>
      <c r="L189"/>
      <c r="M189"/>
    </row>
    <row r="190" spans="1:13">
      <c r="A190" s="2" t="s">
        <v>428</v>
      </c>
      <c r="B190" t="s">
        <v>1741</v>
      </c>
      <c r="C190" t="s">
        <v>1713</v>
      </c>
      <c r="D190" t="s">
        <v>1722</v>
      </c>
      <c r="K190"/>
      <c r="L190"/>
      <c r="M190"/>
    </row>
    <row r="191" spans="1:13">
      <c r="A191" s="2" t="s">
        <v>415</v>
      </c>
      <c r="B191" t="s">
        <v>1741</v>
      </c>
      <c r="C191" t="s">
        <v>1720</v>
      </c>
      <c r="D191" t="s">
        <v>1723</v>
      </c>
      <c r="K191"/>
      <c r="L191"/>
      <c r="M191"/>
    </row>
    <row r="192" spans="1:13">
      <c r="A192" s="2" t="s">
        <v>404</v>
      </c>
      <c r="B192" t="s">
        <v>1741</v>
      </c>
      <c r="C192" t="s">
        <v>1713</v>
      </c>
      <c r="D192" t="s">
        <v>1722</v>
      </c>
      <c r="K192"/>
      <c r="L192"/>
      <c r="M192"/>
    </row>
    <row r="193" spans="1:13">
      <c r="A193" s="2" t="s">
        <v>476</v>
      </c>
      <c r="B193" t="s">
        <v>1741</v>
      </c>
      <c r="C193" t="s">
        <v>1713</v>
      </c>
      <c r="D193" t="s">
        <v>1722</v>
      </c>
      <c r="K193"/>
      <c r="L193"/>
      <c r="M193"/>
    </row>
    <row r="194" spans="1:13">
      <c r="A194" s="2" t="s">
        <v>636</v>
      </c>
      <c r="B194" t="s">
        <v>1741</v>
      </c>
      <c r="C194" t="s">
        <v>1713</v>
      </c>
      <c r="D194" t="s">
        <v>1722</v>
      </c>
      <c r="K194"/>
      <c r="L194"/>
      <c r="M194"/>
    </row>
    <row r="195" spans="1:13">
      <c r="A195" s="2" t="s">
        <v>657</v>
      </c>
      <c r="B195" t="s">
        <v>1741</v>
      </c>
      <c r="C195" t="s">
        <v>1713</v>
      </c>
      <c r="D195" t="s">
        <v>1722</v>
      </c>
      <c r="K195"/>
      <c r="L195"/>
      <c r="M195"/>
    </row>
    <row r="196" spans="1:13">
      <c r="A196" s="2" t="s">
        <v>460</v>
      </c>
      <c r="B196" t="s">
        <v>1741</v>
      </c>
      <c r="C196" t="s">
        <v>1713</v>
      </c>
      <c r="D196" t="s">
        <v>1722</v>
      </c>
      <c r="K196"/>
      <c r="L196"/>
      <c r="M196"/>
    </row>
    <row r="197" spans="1:13">
      <c r="A197" s="2" t="s">
        <v>407</v>
      </c>
      <c r="B197" t="s">
        <v>1741</v>
      </c>
      <c r="C197" t="s">
        <v>1713</v>
      </c>
      <c r="D197" t="s">
        <v>1722</v>
      </c>
      <c r="K197"/>
      <c r="L197"/>
      <c r="M197"/>
    </row>
    <row r="198" spans="1:13">
      <c r="A198" s="2" t="s">
        <v>411</v>
      </c>
      <c r="B198" t="s">
        <v>1741</v>
      </c>
      <c r="C198" t="s">
        <v>1713</v>
      </c>
      <c r="D198" t="s">
        <v>1722</v>
      </c>
      <c r="K198"/>
      <c r="L198"/>
      <c r="M198"/>
    </row>
    <row r="199" spans="1:13">
      <c r="A199" s="2" t="s">
        <v>393</v>
      </c>
      <c r="B199" t="s">
        <v>1741</v>
      </c>
      <c r="C199" t="s">
        <v>1713</v>
      </c>
      <c r="D199" t="s">
        <v>1722</v>
      </c>
      <c r="K199"/>
      <c r="L199"/>
      <c r="M199"/>
    </row>
    <row r="200" spans="1:13">
      <c r="A200" s="2" t="s">
        <v>406</v>
      </c>
      <c r="B200" t="s">
        <v>1741</v>
      </c>
      <c r="C200" t="s">
        <v>1716</v>
      </c>
      <c r="D200" t="s">
        <v>1722</v>
      </c>
      <c r="K200"/>
      <c r="L200"/>
      <c r="M200"/>
    </row>
    <row r="201" spans="1:13">
      <c r="A201" s="2" t="s">
        <v>443</v>
      </c>
      <c r="B201" t="s">
        <v>1741</v>
      </c>
      <c r="C201" t="s">
        <v>1713</v>
      </c>
      <c r="D201" t="s">
        <v>1722</v>
      </c>
      <c r="K201"/>
      <c r="L201"/>
      <c r="M201"/>
    </row>
    <row r="202" spans="1:13">
      <c r="A202" s="2" t="s">
        <v>442</v>
      </c>
      <c r="B202" t="s">
        <v>1741</v>
      </c>
      <c r="C202" t="s">
        <v>1713</v>
      </c>
      <c r="D202" t="s">
        <v>1722</v>
      </c>
      <c r="K202"/>
      <c r="L202"/>
      <c r="M202"/>
    </row>
    <row r="203" spans="1:13">
      <c r="A203" s="2" t="s">
        <v>441</v>
      </c>
      <c r="B203" t="s">
        <v>1741</v>
      </c>
      <c r="C203" t="s">
        <v>1713</v>
      </c>
      <c r="D203" t="s">
        <v>1722</v>
      </c>
      <c r="K203"/>
      <c r="L203"/>
      <c r="M203"/>
    </row>
    <row r="204" spans="1:13">
      <c r="A204" s="2" t="s">
        <v>440</v>
      </c>
      <c r="B204" t="s">
        <v>1741</v>
      </c>
      <c r="C204" t="s">
        <v>1713</v>
      </c>
      <c r="D204" t="s">
        <v>1722</v>
      </c>
      <c r="K204"/>
      <c r="L204"/>
      <c r="M204"/>
    </row>
    <row r="205" spans="1:13">
      <c r="A205" s="2" t="s">
        <v>439</v>
      </c>
      <c r="B205" t="s">
        <v>1741</v>
      </c>
      <c r="C205" t="s">
        <v>1713</v>
      </c>
      <c r="D205" t="s">
        <v>1722</v>
      </c>
      <c r="K205"/>
      <c r="L205"/>
      <c r="M205"/>
    </row>
    <row r="206" spans="1:13">
      <c r="A206" s="2" t="s">
        <v>445</v>
      </c>
      <c r="B206" t="s">
        <v>1741</v>
      </c>
      <c r="C206" t="s">
        <v>1713</v>
      </c>
      <c r="D206" t="s">
        <v>1722</v>
      </c>
      <c r="K206"/>
      <c r="L206"/>
      <c r="M206"/>
    </row>
    <row r="207" spans="1:13">
      <c r="A207" s="2" t="s">
        <v>412</v>
      </c>
      <c r="B207" t="s">
        <v>1741</v>
      </c>
      <c r="C207" t="s">
        <v>1713</v>
      </c>
      <c r="D207" t="s">
        <v>1722</v>
      </c>
      <c r="K207"/>
      <c r="L207"/>
      <c r="M207"/>
    </row>
    <row r="208" spans="1:13">
      <c r="A208" s="2" t="s">
        <v>468</v>
      </c>
      <c r="B208" t="s">
        <v>1741</v>
      </c>
      <c r="C208" t="s">
        <v>1713</v>
      </c>
      <c r="D208" t="s">
        <v>1722</v>
      </c>
      <c r="K208"/>
      <c r="L208"/>
      <c r="M208"/>
    </row>
    <row r="209" spans="1:13">
      <c r="A209" s="2" t="s">
        <v>452</v>
      </c>
      <c r="B209" t="s">
        <v>1741</v>
      </c>
      <c r="C209" t="s">
        <v>1713</v>
      </c>
      <c r="D209" t="s">
        <v>1722</v>
      </c>
      <c r="K209"/>
      <c r="L209"/>
      <c r="M209"/>
    </row>
    <row r="210" spans="1:13">
      <c r="A210" s="2" t="s">
        <v>661</v>
      </c>
      <c r="B210" t="s">
        <v>1741</v>
      </c>
      <c r="C210" t="s">
        <v>1713</v>
      </c>
      <c r="D210" t="s">
        <v>1722</v>
      </c>
      <c r="K210"/>
      <c r="L210"/>
      <c r="M210"/>
    </row>
    <row r="211" spans="1:13">
      <c r="A211" s="2" t="s">
        <v>461</v>
      </c>
      <c r="B211" t="s">
        <v>1741</v>
      </c>
      <c r="C211" t="s">
        <v>1713</v>
      </c>
      <c r="D211" t="s">
        <v>1722</v>
      </c>
      <c r="K211"/>
      <c r="L211"/>
      <c r="M211"/>
    </row>
    <row r="212" spans="1:13">
      <c r="A212" s="2" t="s">
        <v>463</v>
      </c>
      <c r="B212" t="s">
        <v>1741</v>
      </c>
      <c r="C212" t="s">
        <v>1713</v>
      </c>
      <c r="D212" t="s">
        <v>1722</v>
      </c>
      <c r="K212"/>
      <c r="L212"/>
      <c r="M212"/>
    </row>
    <row r="213" spans="1:13">
      <c r="A213" s="2" t="s">
        <v>462</v>
      </c>
      <c r="B213" t="s">
        <v>1741</v>
      </c>
      <c r="C213" t="s">
        <v>1713</v>
      </c>
      <c r="D213" t="s">
        <v>1722</v>
      </c>
      <c r="K213"/>
      <c r="L213"/>
      <c r="M213"/>
    </row>
    <row r="214" spans="1:13">
      <c r="A214" s="2" t="s">
        <v>387</v>
      </c>
      <c r="B214" t="s">
        <v>1741</v>
      </c>
      <c r="C214" t="s">
        <v>1713</v>
      </c>
      <c r="D214" t="s">
        <v>1722</v>
      </c>
      <c r="K214"/>
      <c r="L214"/>
      <c r="M214"/>
    </row>
    <row r="215" spans="1:13">
      <c r="A215" s="2" t="s">
        <v>475</v>
      </c>
      <c r="B215" t="s">
        <v>1741</v>
      </c>
      <c r="C215" t="s">
        <v>1713</v>
      </c>
      <c r="D215" t="s">
        <v>1722</v>
      </c>
      <c r="K215"/>
      <c r="L215"/>
      <c r="M215"/>
    </row>
    <row r="216" spans="1:13">
      <c r="A216" s="2" t="s">
        <v>421</v>
      </c>
      <c r="B216" t="s">
        <v>1741</v>
      </c>
      <c r="C216" t="s">
        <v>1713</v>
      </c>
      <c r="D216" t="s">
        <v>1722</v>
      </c>
      <c r="K216"/>
      <c r="L216"/>
      <c r="M216"/>
    </row>
    <row r="217" spans="1:13">
      <c r="A217" s="2" t="s">
        <v>418</v>
      </c>
      <c r="B217" t="s">
        <v>1741</v>
      </c>
      <c r="C217" t="s">
        <v>1713</v>
      </c>
      <c r="D217" t="s">
        <v>1722</v>
      </c>
      <c r="K217"/>
      <c r="L217"/>
      <c r="M217"/>
    </row>
    <row r="218" spans="1:13">
      <c r="A218" s="2" t="s">
        <v>416</v>
      </c>
      <c r="B218" t="s">
        <v>1741</v>
      </c>
      <c r="C218" t="s">
        <v>1713</v>
      </c>
      <c r="D218" t="s">
        <v>1722</v>
      </c>
      <c r="K218"/>
      <c r="L218"/>
      <c r="M218"/>
    </row>
    <row r="219" spans="1:13">
      <c r="A219" s="2" t="s">
        <v>464</v>
      </c>
      <c r="B219" t="s">
        <v>1741</v>
      </c>
      <c r="C219" t="s">
        <v>1713</v>
      </c>
      <c r="D219" t="s">
        <v>1722</v>
      </c>
      <c r="K219"/>
      <c r="L219"/>
      <c r="M219"/>
    </row>
    <row r="220" spans="1:13">
      <c r="A220" s="2" t="s">
        <v>470</v>
      </c>
      <c r="B220" t="s">
        <v>1741</v>
      </c>
      <c r="C220" t="s">
        <v>1713</v>
      </c>
      <c r="D220" t="s">
        <v>1722</v>
      </c>
      <c r="K220"/>
      <c r="L220"/>
      <c r="M220"/>
    </row>
    <row r="221" spans="1:13">
      <c r="A221" s="2" t="s">
        <v>422</v>
      </c>
      <c r="B221" t="s">
        <v>1741</v>
      </c>
      <c r="C221" t="s">
        <v>1713</v>
      </c>
      <c r="D221" t="s">
        <v>1722</v>
      </c>
      <c r="K221"/>
      <c r="L221"/>
      <c r="M221"/>
    </row>
    <row r="222" spans="1:13">
      <c r="A222" s="2" t="s">
        <v>434</v>
      </c>
      <c r="B222" t="s">
        <v>1741</v>
      </c>
      <c r="C222" t="s">
        <v>1720</v>
      </c>
      <c r="D222" t="s">
        <v>1723</v>
      </c>
      <c r="K222"/>
      <c r="L222"/>
      <c r="M222"/>
    </row>
    <row r="223" spans="1:13">
      <c r="A223" s="2" t="s">
        <v>446</v>
      </c>
      <c r="B223" t="s">
        <v>1741</v>
      </c>
      <c r="C223" t="s">
        <v>1713</v>
      </c>
      <c r="D223" t="s">
        <v>1722</v>
      </c>
      <c r="K223"/>
      <c r="L223"/>
      <c r="M223"/>
    </row>
    <row r="224" spans="1:13">
      <c r="A224" s="2" t="s">
        <v>660</v>
      </c>
      <c r="B224" t="s">
        <v>1741</v>
      </c>
      <c r="C224" t="s">
        <v>1713</v>
      </c>
      <c r="D224" t="s">
        <v>1722</v>
      </c>
      <c r="K224"/>
      <c r="L224"/>
      <c r="M224"/>
    </row>
    <row r="225" spans="1:13">
      <c r="A225" s="2" t="s">
        <v>386</v>
      </c>
      <c r="B225" t="s">
        <v>1741</v>
      </c>
      <c r="C225" t="s">
        <v>1720</v>
      </c>
      <c r="D225" t="s">
        <v>1723</v>
      </c>
      <c r="K225"/>
      <c r="L225"/>
      <c r="M225"/>
    </row>
    <row r="226" spans="1:13">
      <c r="A226" s="2" t="s">
        <v>409</v>
      </c>
      <c r="B226" t="s">
        <v>1741</v>
      </c>
      <c r="C226" t="s">
        <v>1713</v>
      </c>
      <c r="D226" t="s">
        <v>1722</v>
      </c>
      <c r="K226"/>
      <c r="L226"/>
      <c r="M226"/>
    </row>
    <row r="227" spans="1:13">
      <c r="A227" s="2" t="s">
        <v>388</v>
      </c>
      <c r="B227" t="s">
        <v>1741</v>
      </c>
      <c r="C227" t="s">
        <v>1713</v>
      </c>
      <c r="D227" t="s">
        <v>1722</v>
      </c>
      <c r="K227"/>
      <c r="L227"/>
      <c r="M227"/>
    </row>
    <row r="228" spans="1:13">
      <c r="A228" s="2" t="s">
        <v>401</v>
      </c>
      <c r="B228" t="s">
        <v>1741</v>
      </c>
      <c r="C228" t="s">
        <v>1713</v>
      </c>
      <c r="D228" t="s">
        <v>1722</v>
      </c>
      <c r="K228"/>
      <c r="L228"/>
      <c r="M228"/>
    </row>
    <row r="229" spans="1:13">
      <c r="A229" s="2" t="s">
        <v>394</v>
      </c>
      <c r="B229" t="s">
        <v>1741</v>
      </c>
      <c r="C229" t="s">
        <v>1713</v>
      </c>
      <c r="D229" t="s">
        <v>1722</v>
      </c>
      <c r="K229"/>
      <c r="L229"/>
      <c r="M229"/>
    </row>
    <row r="230" spans="1:13">
      <c r="A230" s="2" t="s">
        <v>402</v>
      </c>
      <c r="B230" t="s">
        <v>1741</v>
      </c>
      <c r="C230" t="s">
        <v>1713</v>
      </c>
      <c r="D230" t="s">
        <v>1722</v>
      </c>
      <c r="K230"/>
      <c r="L230"/>
      <c r="M230"/>
    </row>
    <row r="231" spans="1:13">
      <c r="A231" s="2" t="s">
        <v>453</v>
      </c>
      <c r="B231" t="s">
        <v>1741</v>
      </c>
      <c r="C231" t="s">
        <v>1713</v>
      </c>
      <c r="D231" t="s">
        <v>1722</v>
      </c>
      <c r="K231"/>
      <c r="L231"/>
      <c r="M231"/>
    </row>
    <row r="232" spans="1:13">
      <c r="A232" s="2" t="s">
        <v>471</v>
      </c>
      <c r="B232" t="s">
        <v>1741</v>
      </c>
      <c r="C232" t="s">
        <v>1720</v>
      </c>
      <c r="D232" t="s">
        <v>1723</v>
      </c>
      <c r="K232"/>
      <c r="L232"/>
      <c r="M232"/>
    </row>
    <row r="233" spans="1:13">
      <c r="A233" s="2" t="s">
        <v>403</v>
      </c>
      <c r="B233" t="s">
        <v>1741</v>
      </c>
      <c r="C233" t="s">
        <v>1713</v>
      </c>
      <c r="D233" t="s">
        <v>1722</v>
      </c>
      <c r="K233"/>
      <c r="L233"/>
      <c r="M233"/>
    </row>
    <row r="234" spans="1:13">
      <c r="A234" s="2" t="s">
        <v>400</v>
      </c>
      <c r="B234" t="s">
        <v>1741</v>
      </c>
      <c r="C234" t="s">
        <v>1720</v>
      </c>
      <c r="D234" t="s">
        <v>1726</v>
      </c>
      <c r="K234"/>
      <c r="L234"/>
      <c r="M234"/>
    </row>
    <row r="235" spans="1:13">
      <c r="A235" s="2" t="s">
        <v>385</v>
      </c>
      <c r="B235" t="s">
        <v>1741</v>
      </c>
      <c r="C235" t="s">
        <v>1713</v>
      </c>
      <c r="D235" t="s">
        <v>1722</v>
      </c>
      <c r="K235"/>
      <c r="L235"/>
      <c r="M235"/>
    </row>
    <row r="236" spans="1:13">
      <c r="A236" s="2" t="s">
        <v>378</v>
      </c>
      <c r="B236" t="s">
        <v>1741</v>
      </c>
      <c r="C236" t="s">
        <v>1713</v>
      </c>
      <c r="D236" t="s">
        <v>1722</v>
      </c>
      <c r="K236"/>
      <c r="L236"/>
      <c r="M236"/>
    </row>
    <row r="237" spans="1:13">
      <c r="A237" s="2" t="s">
        <v>379</v>
      </c>
      <c r="B237" t="s">
        <v>1741</v>
      </c>
      <c r="C237" t="s">
        <v>1713</v>
      </c>
      <c r="D237" t="s">
        <v>1722</v>
      </c>
      <c r="K237"/>
      <c r="L237"/>
      <c r="M237"/>
    </row>
    <row r="238" spans="1:13">
      <c r="A238" s="2" t="s">
        <v>628</v>
      </c>
      <c r="B238" t="s">
        <v>1741</v>
      </c>
      <c r="C238" t="s">
        <v>1713</v>
      </c>
      <c r="D238" t="s">
        <v>1722</v>
      </c>
      <c r="K238"/>
      <c r="L238"/>
      <c r="M238"/>
    </row>
    <row r="239" spans="1:13">
      <c r="A239" s="2" t="s">
        <v>472</v>
      </c>
      <c r="B239" t="s">
        <v>1741</v>
      </c>
      <c r="C239" t="s">
        <v>1713</v>
      </c>
      <c r="D239" t="s">
        <v>1722</v>
      </c>
      <c r="K239"/>
      <c r="L239"/>
      <c r="M239"/>
    </row>
    <row r="240" spans="1:13">
      <c r="A240" s="2" t="s">
        <v>627</v>
      </c>
      <c r="B240" t="s">
        <v>1741</v>
      </c>
      <c r="C240" t="s">
        <v>1720</v>
      </c>
      <c r="D240" t="s">
        <v>1726</v>
      </c>
      <c r="K240"/>
      <c r="L240"/>
      <c r="M240"/>
    </row>
    <row r="241" spans="1:13">
      <c r="A241" s="2" t="s">
        <v>465</v>
      </c>
      <c r="B241" t="s">
        <v>1741</v>
      </c>
      <c r="C241" t="s">
        <v>1720</v>
      </c>
      <c r="D241" t="s">
        <v>1726</v>
      </c>
      <c r="K241"/>
      <c r="L241"/>
      <c r="M241"/>
    </row>
    <row r="242" spans="1:13">
      <c r="A242" s="2" t="s">
        <v>662</v>
      </c>
      <c r="B242" t="s">
        <v>1741</v>
      </c>
      <c r="C242" t="s">
        <v>1713</v>
      </c>
      <c r="D242" t="s">
        <v>1722</v>
      </c>
      <c r="K242"/>
      <c r="L242"/>
      <c r="M242"/>
    </row>
    <row r="243" spans="1:13">
      <c r="A243" s="2" t="s">
        <v>663</v>
      </c>
      <c r="B243" t="s">
        <v>1741</v>
      </c>
      <c r="C243" t="s">
        <v>1720</v>
      </c>
      <c r="D243" t="s">
        <v>1726</v>
      </c>
      <c r="K243"/>
      <c r="L243"/>
      <c r="M243"/>
    </row>
    <row r="244" spans="1:13">
      <c r="A244" s="2" t="s">
        <v>454</v>
      </c>
      <c r="B244" t="s">
        <v>1741</v>
      </c>
      <c r="C244" t="s">
        <v>1713</v>
      </c>
      <c r="D244" t="s">
        <v>1722</v>
      </c>
      <c r="K244"/>
      <c r="L244"/>
      <c r="M244"/>
    </row>
    <row r="245" spans="1:13">
      <c r="A245" s="2" t="s">
        <v>457</v>
      </c>
      <c r="B245" t="s">
        <v>1741</v>
      </c>
      <c r="C245" t="s">
        <v>1713</v>
      </c>
      <c r="D245" t="s">
        <v>1722</v>
      </c>
      <c r="K245"/>
      <c r="L245"/>
      <c r="M245"/>
    </row>
    <row r="246" spans="1:13">
      <c r="A246" s="2" t="s">
        <v>458</v>
      </c>
      <c r="B246" t="s">
        <v>1741</v>
      </c>
      <c r="C246" t="s">
        <v>1713</v>
      </c>
      <c r="D246" t="s">
        <v>1722</v>
      </c>
      <c r="K246"/>
      <c r="L246"/>
      <c r="M246"/>
    </row>
    <row r="247" spans="1:13">
      <c r="A247" s="2" t="s">
        <v>408</v>
      </c>
      <c r="B247" t="s">
        <v>1741</v>
      </c>
      <c r="C247" t="s">
        <v>1713</v>
      </c>
      <c r="D247" t="s">
        <v>1722</v>
      </c>
      <c r="K247"/>
      <c r="L247"/>
      <c r="M247"/>
    </row>
    <row r="248" spans="1:13">
      <c r="A248" s="2" t="s">
        <v>455</v>
      </c>
      <c r="B248" t="s">
        <v>1741</v>
      </c>
      <c r="C248" t="s">
        <v>1713</v>
      </c>
      <c r="D248" t="s">
        <v>1722</v>
      </c>
      <c r="K248"/>
      <c r="L248"/>
      <c r="M248"/>
    </row>
    <row r="249" spans="1:13">
      <c r="A249" s="2" t="s">
        <v>380</v>
      </c>
      <c r="B249" t="s">
        <v>1741</v>
      </c>
      <c r="C249" t="s">
        <v>1713</v>
      </c>
      <c r="D249" t="s">
        <v>1722</v>
      </c>
      <c r="K249"/>
      <c r="L249"/>
      <c r="M249"/>
    </row>
    <row r="250" spans="1:13">
      <c r="A250" s="2" t="s">
        <v>381</v>
      </c>
      <c r="B250" t="s">
        <v>1741</v>
      </c>
      <c r="C250" t="s">
        <v>1713</v>
      </c>
      <c r="D250" t="s">
        <v>1722</v>
      </c>
      <c r="K250"/>
      <c r="L250"/>
      <c r="M250"/>
    </row>
    <row r="251" spans="1:13">
      <c r="A251" s="2" t="s">
        <v>459</v>
      </c>
      <c r="B251" t="s">
        <v>1741</v>
      </c>
      <c r="C251" t="s">
        <v>1713</v>
      </c>
      <c r="D251" t="s">
        <v>1722</v>
      </c>
      <c r="K251"/>
      <c r="L251"/>
      <c r="M251"/>
    </row>
    <row r="252" spans="1:13">
      <c r="A252" s="2" t="s">
        <v>629</v>
      </c>
      <c r="B252" t="s">
        <v>1741</v>
      </c>
      <c r="C252" t="s">
        <v>1713</v>
      </c>
      <c r="D252" t="s">
        <v>1722</v>
      </c>
      <c r="K252"/>
      <c r="L252"/>
      <c r="M252"/>
    </row>
    <row r="253" spans="1:13">
      <c r="A253" s="2" t="s">
        <v>639</v>
      </c>
      <c r="B253" t="s">
        <v>1741</v>
      </c>
      <c r="C253" t="s">
        <v>1713</v>
      </c>
      <c r="D253" t="s">
        <v>1722</v>
      </c>
      <c r="K253"/>
      <c r="L253"/>
      <c r="M253"/>
    </row>
    <row r="254" spans="1:13">
      <c r="A254" s="2" t="s">
        <v>417</v>
      </c>
      <c r="B254" t="s">
        <v>1741</v>
      </c>
      <c r="C254" t="s">
        <v>1713</v>
      </c>
      <c r="D254" t="s">
        <v>1722</v>
      </c>
      <c r="K254"/>
      <c r="L254"/>
      <c r="M254"/>
    </row>
    <row r="255" spans="1:13">
      <c r="A255" s="2" t="s">
        <v>433</v>
      </c>
      <c r="B255" t="s">
        <v>1741</v>
      </c>
      <c r="C255" t="s">
        <v>1713</v>
      </c>
      <c r="D255" t="s">
        <v>1722</v>
      </c>
      <c r="K255"/>
      <c r="L255"/>
      <c r="M255"/>
    </row>
    <row r="256" spans="1:13">
      <c r="A256" s="2" t="s">
        <v>413</v>
      </c>
      <c r="B256" t="s">
        <v>1741</v>
      </c>
      <c r="C256" t="s">
        <v>1713</v>
      </c>
      <c r="D256" t="s">
        <v>1722</v>
      </c>
      <c r="K256"/>
      <c r="L256"/>
      <c r="M256"/>
    </row>
    <row r="257" spans="1:13">
      <c r="A257" s="2" t="s">
        <v>398</v>
      </c>
      <c r="B257" t="s">
        <v>1741</v>
      </c>
      <c r="C257" t="s">
        <v>1713</v>
      </c>
      <c r="D257" t="s">
        <v>1722</v>
      </c>
      <c r="K257"/>
      <c r="L257"/>
      <c r="M257"/>
    </row>
    <row r="258" spans="1:13">
      <c r="A258" s="2" t="s">
        <v>397</v>
      </c>
      <c r="B258" t="s">
        <v>1741</v>
      </c>
      <c r="C258" t="s">
        <v>1720</v>
      </c>
      <c r="D258" t="s">
        <v>1726</v>
      </c>
      <c r="K258"/>
      <c r="L258"/>
      <c r="M258"/>
    </row>
    <row r="259" spans="1:13">
      <c r="A259" s="2" t="s">
        <v>396</v>
      </c>
      <c r="B259" t="s">
        <v>1741</v>
      </c>
      <c r="C259" t="s">
        <v>1713</v>
      </c>
      <c r="D259" t="s">
        <v>1722</v>
      </c>
      <c r="K259"/>
      <c r="L259"/>
      <c r="M259"/>
    </row>
    <row r="260" spans="1:13">
      <c r="A260" s="2" t="s">
        <v>447</v>
      </c>
      <c r="B260" t="s">
        <v>1741</v>
      </c>
      <c r="C260" t="s">
        <v>1713</v>
      </c>
      <c r="D260" t="s">
        <v>1722</v>
      </c>
      <c r="K260"/>
      <c r="L260"/>
      <c r="M260"/>
    </row>
    <row r="261" spans="1:13">
      <c r="A261" s="2" t="s">
        <v>448</v>
      </c>
      <c r="B261" t="s">
        <v>1741</v>
      </c>
      <c r="C261" t="s">
        <v>1713</v>
      </c>
      <c r="D261" t="s">
        <v>1722</v>
      </c>
      <c r="K261"/>
      <c r="L261"/>
      <c r="M261"/>
    </row>
    <row r="262" spans="1:13">
      <c r="A262" s="2" t="s">
        <v>655</v>
      </c>
      <c r="B262" t="s">
        <v>1741</v>
      </c>
      <c r="C262" t="s">
        <v>1713</v>
      </c>
      <c r="D262" t="s">
        <v>1722</v>
      </c>
      <c r="K262"/>
      <c r="L262"/>
      <c r="M262"/>
    </row>
    <row r="263" spans="1:13">
      <c r="A263" s="2" t="s">
        <v>664</v>
      </c>
      <c r="B263" t="s">
        <v>1741</v>
      </c>
      <c r="C263" t="s">
        <v>1713</v>
      </c>
      <c r="D263" t="s">
        <v>1722</v>
      </c>
      <c r="K263"/>
      <c r="L263"/>
      <c r="M263"/>
    </row>
    <row r="264" spans="1:13">
      <c r="A264" s="2" t="s">
        <v>652</v>
      </c>
      <c r="B264" t="s">
        <v>1741</v>
      </c>
      <c r="C264" t="s">
        <v>1720</v>
      </c>
      <c r="D264" t="s">
        <v>1726</v>
      </c>
      <c r="K264"/>
      <c r="L264"/>
      <c r="M264"/>
    </row>
    <row r="265" spans="1:13">
      <c r="A265" s="2" t="s">
        <v>651</v>
      </c>
      <c r="B265" t="s">
        <v>1741</v>
      </c>
      <c r="C265" t="s">
        <v>1720</v>
      </c>
      <c r="D265" t="s">
        <v>1726</v>
      </c>
      <c r="K265"/>
      <c r="L265"/>
      <c r="M265"/>
    </row>
    <row r="266" spans="1:13">
      <c r="A266" s="2" t="s">
        <v>653</v>
      </c>
      <c r="B266" t="s">
        <v>1741</v>
      </c>
      <c r="C266" t="s">
        <v>1713</v>
      </c>
      <c r="D266" t="s">
        <v>1722</v>
      </c>
      <c r="K266"/>
      <c r="L266"/>
      <c r="M266"/>
    </row>
    <row r="267" spans="1:13">
      <c r="A267" s="2" t="s">
        <v>659</v>
      </c>
      <c r="B267" t="s">
        <v>1741</v>
      </c>
      <c r="C267" t="s">
        <v>1713</v>
      </c>
      <c r="D267" t="s">
        <v>1722</v>
      </c>
      <c r="K267"/>
      <c r="L267"/>
      <c r="M267"/>
    </row>
    <row r="268" spans="1:13">
      <c r="A268" s="2" t="s">
        <v>658</v>
      </c>
      <c r="B268" t="s">
        <v>1741</v>
      </c>
      <c r="C268" t="s">
        <v>1720</v>
      </c>
      <c r="D268" t="s">
        <v>1726</v>
      </c>
      <c r="K268"/>
      <c r="L268"/>
      <c r="M268"/>
    </row>
    <row r="269" spans="1:13">
      <c r="A269" s="2" t="s">
        <v>399</v>
      </c>
      <c r="B269" t="s">
        <v>1741</v>
      </c>
      <c r="C269" t="s">
        <v>1713</v>
      </c>
      <c r="D269" t="s">
        <v>1722</v>
      </c>
      <c r="K269"/>
      <c r="L269"/>
      <c r="M269"/>
    </row>
    <row r="270" spans="1:13">
      <c r="A270" s="2" t="s">
        <v>638</v>
      </c>
      <c r="B270" t="s">
        <v>1741</v>
      </c>
      <c r="C270" t="s">
        <v>1713</v>
      </c>
      <c r="D270" t="s">
        <v>1722</v>
      </c>
      <c r="K270"/>
      <c r="L270"/>
      <c r="M270"/>
    </row>
    <row r="271" spans="1:13">
      <c r="A271" s="2" t="s">
        <v>449</v>
      </c>
      <c r="B271" t="s">
        <v>1741</v>
      </c>
      <c r="C271" t="s">
        <v>1713</v>
      </c>
      <c r="D271" t="s">
        <v>1722</v>
      </c>
      <c r="K271"/>
      <c r="L271"/>
      <c r="M271"/>
    </row>
    <row r="272" spans="1:13">
      <c r="A272" s="2" t="s">
        <v>631</v>
      </c>
      <c r="B272" t="s">
        <v>1741</v>
      </c>
      <c r="C272" t="s">
        <v>1713</v>
      </c>
      <c r="D272" t="s">
        <v>1722</v>
      </c>
      <c r="K272"/>
      <c r="L272"/>
      <c r="M272"/>
    </row>
    <row r="273" spans="1:13">
      <c r="A273" s="2" t="s">
        <v>632</v>
      </c>
      <c r="B273" t="s">
        <v>1741</v>
      </c>
      <c r="C273" t="s">
        <v>1713</v>
      </c>
      <c r="D273" t="s">
        <v>1722</v>
      </c>
      <c r="K273"/>
      <c r="L273"/>
      <c r="M273"/>
    </row>
    <row r="274" spans="1:13">
      <c r="A274" s="2" t="s">
        <v>633</v>
      </c>
      <c r="B274" t="s">
        <v>1741</v>
      </c>
      <c r="C274" t="s">
        <v>1713</v>
      </c>
      <c r="D274" t="s">
        <v>1722</v>
      </c>
      <c r="K274"/>
      <c r="L274"/>
      <c r="M274"/>
    </row>
    <row r="275" spans="1:13">
      <c r="A275" s="2" t="s">
        <v>637</v>
      </c>
      <c r="B275" t="s">
        <v>1741</v>
      </c>
      <c r="C275" t="s">
        <v>1713</v>
      </c>
      <c r="D275" t="s">
        <v>1722</v>
      </c>
      <c r="K275"/>
      <c r="L275"/>
      <c r="M275"/>
    </row>
    <row r="276" spans="1:13">
      <c r="A276" s="2" t="s">
        <v>410</v>
      </c>
      <c r="B276" t="s">
        <v>1741</v>
      </c>
      <c r="C276" t="s">
        <v>1713</v>
      </c>
      <c r="D276" t="s">
        <v>1722</v>
      </c>
      <c r="K276"/>
      <c r="L276"/>
      <c r="M276"/>
    </row>
    <row r="277" spans="1:13">
      <c r="A277" s="2" t="s">
        <v>395</v>
      </c>
      <c r="B277" t="s">
        <v>1741</v>
      </c>
      <c r="C277" t="s">
        <v>1713</v>
      </c>
      <c r="D277" t="s">
        <v>1722</v>
      </c>
      <c r="K277"/>
      <c r="L277"/>
      <c r="M277"/>
    </row>
    <row r="278" spans="1:13">
      <c r="A278" s="2" t="s">
        <v>450</v>
      </c>
      <c r="B278" t="s">
        <v>1741</v>
      </c>
      <c r="C278" t="s">
        <v>1713</v>
      </c>
      <c r="D278" t="s">
        <v>1722</v>
      </c>
      <c r="K278"/>
      <c r="L278"/>
      <c r="M278"/>
    </row>
    <row r="279" spans="1:13">
      <c r="A279" s="2" t="s">
        <v>405</v>
      </c>
      <c r="B279" t="s">
        <v>1741</v>
      </c>
      <c r="C279" t="s">
        <v>1713</v>
      </c>
      <c r="D279" t="s">
        <v>1722</v>
      </c>
      <c r="K279"/>
      <c r="L279"/>
      <c r="M279"/>
    </row>
    <row r="280" spans="1:13">
      <c r="A280" s="2" t="s">
        <v>469</v>
      </c>
      <c r="B280" t="s">
        <v>1741</v>
      </c>
      <c r="C280" t="s">
        <v>1713</v>
      </c>
      <c r="D280" t="s">
        <v>1722</v>
      </c>
      <c r="K280"/>
      <c r="L280"/>
      <c r="M280"/>
    </row>
    <row r="281" spans="1:13">
      <c r="A281" s="2" t="s">
        <v>429</v>
      </c>
      <c r="B281" t="s">
        <v>1741</v>
      </c>
      <c r="C281" t="s">
        <v>1714</v>
      </c>
      <c r="D281" t="s">
        <v>1726</v>
      </c>
      <c r="K281"/>
      <c r="L281"/>
      <c r="M281"/>
    </row>
    <row r="282" spans="1:13">
      <c r="A282" s="2" t="s">
        <v>430</v>
      </c>
      <c r="B282" t="s">
        <v>1741</v>
      </c>
      <c r="C282" t="s">
        <v>1720</v>
      </c>
      <c r="D282" t="s">
        <v>1726</v>
      </c>
      <c r="K282"/>
      <c r="L282"/>
      <c r="M282"/>
    </row>
    <row r="283" spans="1:13">
      <c r="A283" s="2" t="s">
        <v>432</v>
      </c>
      <c r="B283" t="s">
        <v>1741</v>
      </c>
      <c r="C283" t="s">
        <v>1713</v>
      </c>
      <c r="D283" t="s">
        <v>1722</v>
      </c>
      <c r="K283"/>
      <c r="L283"/>
      <c r="M283"/>
    </row>
    <row r="284" spans="1:13">
      <c r="A284" s="2" t="s">
        <v>431</v>
      </c>
      <c r="B284" t="s">
        <v>1741</v>
      </c>
      <c r="C284" t="s">
        <v>1714</v>
      </c>
      <c r="D284" t="s">
        <v>1725</v>
      </c>
      <c r="K284"/>
      <c r="L284"/>
      <c r="M284"/>
    </row>
    <row r="285" spans="1:13">
      <c r="A285" s="2" t="s">
        <v>423</v>
      </c>
      <c r="B285" t="s">
        <v>1741</v>
      </c>
      <c r="C285" t="s">
        <v>1713</v>
      </c>
      <c r="D285" t="s">
        <v>1722</v>
      </c>
      <c r="K285"/>
      <c r="L285"/>
      <c r="M285"/>
    </row>
    <row r="286" spans="1:13">
      <c r="A286" s="2" t="s">
        <v>626</v>
      </c>
      <c r="B286" t="s">
        <v>1741</v>
      </c>
      <c r="C286" t="s">
        <v>1713</v>
      </c>
      <c r="D286" t="s">
        <v>1722</v>
      </c>
      <c r="K286"/>
      <c r="L286"/>
      <c r="M286"/>
    </row>
    <row r="287" spans="1:13">
      <c r="A287" s="2" t="s">
        <v>634</v>
      </c>
      <c r="B287" t="s">
        <v>1741</v>
      </c>
      <c r="C287" t="s">
        <v>1713</v>
      </c>
      <c r="D287" t="s">
        <v>1722</v>
      </c>
      <c r="K287"/>
      <c r="L287"/>
      <c r="M287"/>
    </row>
    <row r="288" spans="1:13">
      <c r="A288" s="2" t="s">
        <v>635</v>
      </c>
      <c r="B288" t="s">
        <v>1741</v>
      </c>
      <c r="C288" t="s">
        <v>1720</v>
      </c>
      <c r="D288" t="s">
        <v>1723</v>
      </c>
      <c r="K288"/>
      <c r="L288"/>
      <c r="M288"/>
    </row>
    <row r="289" spans="1:13">
      <c r="A289" s="2" t="s">
        <v>424</v>
      </c>
      <c r="B289" t="s">
        <v>1741</v>
      </c>
      <c r="C289" t="s">
        <v>1713</v>
      </c>
      <c r="D289" t="s">
        <v>1722</v>
      </c>
      <c r="K289"/>
      <c r="L289"/>
      <c r="M289"/>
    </row>
    <row r="290" spans="1:13">
      <c r="A290" s="2" t="s">
        <v>426</v>
      </c>
      <c r="B290" t="s">
        <v>1741</v>
      </c>
      <c r="C290" t="s">
        <v>1713</v>
      </c>
      <c r="D290" t="s">
        <v>1722</v>
      </c>
      <c r="K290"/>
      <c r="L290"/>
      <c r="M290"/>
    </row>
    <row r="291" spans="1:13">
      <c r="A291" s="2" t="s">
        <v>425</v>
      </c>
      <c r="B291" t="s">
        <v>1741</v>
      </c>
      <c r="C291" t="s">
        <v>1713</v>
      </c>
      <c r="D291" t="s">
        <v>1722</v>
      </c>
      <c r="K291"/>
      <c r="L291"/>
      <c r="M291"/>
    </row>
    <row r="292" spans="1:13">
      <c r="A292" s="2" t="s">
        <v>389</v>
      </c>
      <c r="B292" t="s">
        <v>1741</v>
      </c>
      <c r="C292" t="s">
        <v>1713</v>
      </c>
      <c r="D292" t="s">
        <v>1722</v>
      </c>
      <c r="K292"/>
      <c r="L292"/>
      <c r="M292"/>
    </row>
    <row r="293" spans="1:13">
      <c r="A293" s="2" t="s">
        <v>456</v>
      </c>
      <c r="B293" t="s">
        <v>1741</v>
      </c>
      <c r="C293" t="s">
        <v>1713</v>
      </c>
      <c r="D293" t="s">
        <v>1722</v>
      </c>
      <c r="K293"/>
      <c r="L293"/>
      <c r="M293"/>
    </row>
    <row r="294" spans="1:13">
      <c r="A294" s="2" t="s">
        <v>473</v>
      </c>
      <c r="B294" t="s">
        <v>1741</v>
      </c>
      <c r="C294" t="s">
        <v>1713</v>
      </c>
      <c r="D294" t="s">
        <v>1722</v>
      </c>
      <c r="K294"/>
      <c r="L294"/>
      <c r="M294"/>
    </row>
    <row r="295" spans="1:13">
      <c r="A295" s="2" t="s">
        <v>390</v>
      </c>
      <c r="B295" t="s">
        <v>1741</v>
      </c>
      <c r="C295" t="s">
        <v>1713</v>
      </c>
      <c r="D295" t="s">
        <v>1722</v>
      </c>
      <c r="K295"/>
      <c r="L295"/>
      <c r="M295"/>
    </row>
    <row r="296" spans="1:13">
      <c r="A296" s="2" t="s">
        <v>377</v>
      </c>
      <c r="B296" t="s">
        <v>1741</v>
      </c>
      <c r="C296" t="s">
        <v>1713</v>
      </c>
      <c r="D296" t="s">
        <v>1722</v>
      </c>
      <c r="K296"/>
      <c r="L296"/>
      <c r="M296"/>
    </row>
    <row r="297" spans="1:13">
      <c r="A297" s="2" t="s">
        <v>383</v>
      </c>
      <c r="B297" t="s">
        <v>1741</v>
      </c>
      <c r="C297" t="s">
        <v>1713</v>
      </c>
      <c r="D297" t="s">
        <v>1722</v>
      </c>
      <c r="K297"/>
      <c r="L297"/>
      <c r="M297"/>
    </row>
    <row r="298" spans="1:13">
      <c r="A298" s="2" t="s">
        <v>656</v>
      </c>
      <c r="B298" t="s">
        <v>1741</v>
      </c>
      <c r="C298" t="s">
        <v>1714</v>
      </c>
      <c r="D298" t="s">
        <v>1722</v>
      </c>
      <c r="K298"/>
      <c r="L298"/>
      <c r="M298"/>
    </row>
    <row r="299" spans="1:13">
      <c r="A299" s="2" t="s">
        <v>654</v>
      </c>
      <c r="B299" t="s">
        <v>1741</v>
      </c>
      <c r="C299" t="s">
        <v>1714</v>
      </c>
      <c r="D299" t="s">
        <v>1722</v>
      </c>
      <c r="K299"/>
      <c r="L299"/>
      <c r="M299"/>
    </row>
    <row r="300" spans="1:13">
      <c r="A300" s="2" t="s">
        <v>451</v>
      </c>
      <c r="B300" t="s">
        <v>1741</v>
      </c>
      <c r="C300" t="s">
        <v>1713</v>
      </c>
      <c r="D300" t="s">
        <v>1722</v>
      </c>
      <c r="K300"/>
      <c r="L300"/>
      <c r="M300"/>
    </row>
    <row r="301" spans="1:13">
      <c r="A301" s="2" t="s">
        <v>474</v>
      </c>
      <c r="B301" t="s">
        <v>1741</v>
      </c>
      <c r="C301" t="s">
        <v>1713</v>
      </c>
      <c r="D301" t="s">
        <v>1722</v>
      </c>
      <c r="K301"/>
      <c r="L301"/>
      <c r="M301"/>
    </row>
    <row r="302" spans="1:13">
      <c r="A302" s="2" t="s">
        <v>466</v>
      </c>
      <c r="B302" t="s">
        <v>1741</v>
      </c>
      <c r="C302" t="s">
        <v>1713</v>
      </c>
      <c r="D302" t="s">
        <v>1722</v>
      </c>
      <c r="K302"/>
      <c r="L302"/>
      <c r="M302"/>
    </row>
    <row r="303" spans="1:13">
      <c r="A303" s="2" t="s">
        <v>467</v>
      </c>
      <c r="B303" t="s">
        <v>1741</v>
      </c>
      <c r="C303" t="s">
        <v>1713</v>
      </c>
      <c r="D303" t="s">
        <v>1722</v>
      </c>
      <c r="K303"/>
      <c r="L303"/>
      <c r="M303"/>
    </row>
    <row r="304" spans="1:13">
      <c r="A304" s="2" t="s">
        <v>436</v>
      </c>
      <c r="B304" t="s">
        <v>1741</v>
      </c>
      <c r="C304" t="s">
        <v>1716</v>
      </c>
      <c r="D304" t="s">
        <v>1722</v>
      </c>
      <c r="K304"/>
      <c r="L304"/>
      <c r="M304"/>
    </row>
    <row r="305" spans="1:13">
      <c r="A305" s="2" t="s">
        <v>392</v>
      </c>
      <c r="B305" t="s">
        <v>1741</v>
      </c>
      <c r="C305" t="s">
        <v>1716</v>
      </c>
      <c r="D305" t="s">
        <v>1722</v>
      </c>
      <c r="K305"/>
      <c r="L305"/>
      <c r="M305"/>
    </row>
    <row r="306" spans="1:13">
      <c r="A306" s="2" t="s">
        <v>391</v>
      </c>
      <c r="B306" t="s">
        <v>1741</v>
      </c>
      <c r="C306" t="s">
        <v>1713</v>
      </c>
      <c r="D306" t="s">
        <v>1722</v>
      </c>
      <c r="K306"/>
      <c r="L306"/>
      <c r="M306"/>
    </row>
    <row r="307" spans="1:13">
      <c r="A307" s="2" t="s">
        <v>384</v>
      </c>
      <c r="B307" t="s">
        <v>1741</v>
      </c>
      <c r="C307" t="s">
        <v>1713</v>
      </c>
      <c r="D307" t="s">
        <v>1722</v>
      </c>
      <c r="K307"/>
      <c r="L307"/>
      <c r="M307"/>
    </row>
    <row r="308" spans="1:13">
      <c r="A308" s="2" t="s">
        <v>414</v>
      </c>
      <c r="B308" t="s">
        <v>1741</v>
      </c>
      <c r="C308" t="s">
        <v>1715</v>
      </c>
      <c r="D308" t="s">
        <v>1724</v>
      </c>
      <c r="K308"/>
      <c r="L308"/>
      <c r="M308"/>
    </row>
    <row r="309" spans="1:13">
      <c r="A309" s="2" t="s">
        <v>419</v>
      </c>
      <c r="B309" t="s">
        <v>1741</v>
      </c>
      <c r="C309" t="s">
        <v>1716</v>
      </c>
      <c r="D309" t="s">
        <v>1722</v>
      </c>
      <c r="K309"/>
      <c r="L309"/>
      <c r="M309"/>
    </row>
    <row r="310" spans="1:13">
      <c r="A310" s="2" t="s">
        <v>437</v>
      </c>
      <c r="B310" t="s">
        <v>1741</v>
      </c>
      <c r="C310" t="s">
        <v>1713</v>
      </c>
      <c r="D310" t="s">
        <v>1722</v>
      </c>
      <c r="K310"/>
      <c r="L310"/>
      <c r="M310"/>
    </row>
    <row r="311" spans="1:13">
      <c r="A311" s="2" t="s">
        <v>444</v>
      </c>
      <c r="B311" t="s">
        <v>1741</v>
      </c>
      <c r="C311" t="s">
        <v>1713</v>
      </c>
      <c r="D311" t="s">
        <v>1722</v>
      </c>
      <c r="K311"/>
      <c r="L311"/>
      <c r="M311"/>
    </row>
    <row r="312" spans="1:13">
      <c r="A312" s="2" t="s">
        <v>435</v>
      </c>
      <c r="B312" t="s">
        <v>1741</v>
      </c>
      <c r="C312" t="s">
        <v>1714</v>
      </c>
      <c r="D312" t="s">
        <v>1722</v>
      </c>
      <c r="K312"/>
      <c r="L312"/>
      <c r="M312"/>
    </row>
    <row r="313" spans="1:13">
      <c r="A313" s="2" t="s">
        <v>650</v>
      </c>
      <c r="B313" t="s">
        <v>1742</v>
      </c>
      <c r="C313" t="s">
        <v>1717</v>
      </c>
      <c r="D313" t="s">
        <v>1726</v>
      </c>
      <c r="K313"/>
      <c r="L313"/>
      <c r="M313"/>
    </row>
    <row r="314" spans="1:13">
      <c r="A314" s="2" t="s">
        <v>532</v>
      </c>
      <c r="B314" t="s">
        <v>1741</v>
      </c>
      <c r="C314" t="s">
        <v>1717</v>
      </c>
      <c r="D314" t="s">
        <v>1722</v>
      </c>
      <c r="K314"/>
      <c r="L314"/>
      <c r="M314"/>
    </row>
    <row r="315" spans="1:13">
      <c r="A315" s="2" t="s">
        <v>643</v>
      </c>
      <c r="B315" t="s">
        <v>1741</v>
      </c>
      <c r="C315" t="s">
        <v>1717</v>
      </c>
      <c r="D315" t="s">
        <v>1722</v>
      </c>
      <c r="K315"/>
      <c r="L315"/>
      <c r="M315"/>
    </row>
    <row r="316" spans="1:13">
      <c r="A316" s="2" t="s">
        <v>642</v>
      </c>
      <c r="B316" t="s">
        <v>1741</v>
      </c>
      <c r="C316" t="s">
        <v>1717</v>
      </c>
      <c r="D316" t="s">
        <v>1722</v>
      </c>
      <c r="K316"/>
      <c r="L316"/>
      <c r="M316"/>
    </row>
    <row r="317" spans="1:13">
      <c r="A317" s="2" t="s">
        <v>644</v>
      </c>
      <c r="B317" t="s">
        <v>1741</v>
      </c>
      <c r="C317" t="s">
        <v>1717</v>
      </c>
      <c r="D317" t="s">
        <v>1722</v>
      </c>
      <c r="K317"/>
      <c r="L317"/>
      <c r="M317"/>
    </row>
    <row r="318" spans="1:13">
      <c r="A318" s="2" t="s">
        <v>551</v>
      </c>
      <c r="B318" t="s">
        <v>1741</v>
      </c>
      <c r="C318" t="s">
        <v>1717</v>
      </c>
      <c r="D318" t="s">
        <v>1722</v>
      </c>
      <c r="K318"/>
      <c r="L318"/>
      <c r="M318"/>
    </row>
    <row r="319" spans="1:13">
      <c r="A319" s="2" t="s">
        <v>552</v>
      </c>
      <c r="B319" t="s">
        <v>1741</v>
      </c>
      <c r="C319" t="s">
        <v>1717</v>
      </c>
      <c r="D319" t="s">
        <v>1722</v>
      </c>
      <c r="K319"/>
      <c r="L319"/>
      <c r="M319"/>
    </row>
    <row r="320" spans="1:13">
      <c r="A320" s="2" t="s">
        <v>553</v>
      </c>
      <c r="B320" t="s">
        <v>1741</v>
      </c>
      <c r="C320" t="s">
        <v>1717</v>
      </c>
      <c r="D320" t="s">
        <v>1722</v>
      </c>
      <c r="K320"/>
      <c r="L320"/>
      <c r="M320"/>
    </row>
    <row r="321" spans="1:13">
      <c r="A321" s="2" t="s">
        <v>563</v>
      </c>
      <c r="B321" t="s">
        <v>1741</v>
      </c>
      <c r="C321" t="s">
        <v>1717</v>
      </c>
      <c r="D321" t="s">
        <v>1722</v>
      </c>
      <c r="K321"/>
      <c r="L321"/>
      <c r="M321"/>
    </row>
    <row r="322" spans="1:13">
      <c r="A322" s="2" t="s">
        <v>648</v>
      </c>
      <c r="B322" t="s">
        <v>1741</v>
      </c>
      <c r="C322" t="s">
        <v>1717</v>
      </c>
      <c r="D322" t="s">
        <v>1722</v>
      </c>
      <c r="K322"/>
      <c r="L322"/>
      <c r="M322"/>
    </row>
    <row r="323" spans="1:13">
      <c r="A323" s="2" t="s">
        <v>647</v>
      </c>
      <c r="B323" t="s">
        <v>1741</v>
      </c>
      <c r="C323" t="s">
        <v>1717</v>
      </c>
      <c r="D323" t="s">
        <v>1722</v>
      </c>
      <c r="K323"/>
      <c r="L323"/>
      <c r="M323"/>
    </row>
    <row r="324" spans="1:13">
      <c r="A324" s="2" t="s">
        <v>576</v>
      </c>
      <c r="B324" t="s">
        <v>1742</v>
      </c>
      <c r="C324" t="s">
        <v>1717</v>
      </c>
      <c r="D324" t="s">
        <v>1726</v>
      </c>
      <c r="K324"/>
      <c r="L324"/>
      <c r="M324"/>
    </row>
    <row r="325" spans="1:13">
      <c r="A325" s="2" t="s">
        <v>669</v>
      </c>
      <c r="B325" t="s">
        <v>1741</v>
      </c>
      <c r="C325" t="s">
        <v>1717</v>
      </c>
      <c r="D325" t="s">
        <v>1722</v>
      </c>
      <c r="K325"/>
      <c r="L325"/>
      <c r="M325"/>
    </row>
    <row r="326" spans="1:13">
      <c r="A326" s="2" t="s">
        <v>587</v>
      </c>
      <c r="B326" t="s">
        <v>1741</v>
      </c>
      <c r="C326" t="s">
        <v>1717</v>
      </c>
      <c r="D326" t="s">
        <v>1722</v>
      </c>
      <c r="K326"/>
      <c r="L326"/>
      <c r="M326"/>
    </row>
    <row r="327" spans="1:13">
      <c r="A327" s="2" t="s">
        <v>533</v>
      </c>
      <c r="B327" t="s">
        <v>1742</v>
      </c>
      <c r="C327" t="s">
        <v>1717</v>
      </c>
      <c r="D327" t="s">
        <v>1726</v>
      </c>
      <c r="K327"/>
      <c r="L327"/>
      <c r="M327"/>
    </row>
    <row r="328" spans="1:13">
      <c r="A328" s="2" t="s">
        <v>534</v>
      </c>
      <c r="B328" t="s">
        <v>1742</v>
      </c>
      <c r="C328" t="s">
        <v>1717</v>
      </c>
      <c r="D328" t="s">
        <v>1726</v>
      </c>
      <c r="K328"/>
      <c r="L328"/>
      <c r="M328"/>
    </row>
    <row r="329" spans="1:13">
      <c r="A329" s="2" t="s">
        <v>567</v>
      </c>
      <c r="B329" t="s">
        <v>1741</v>
      </c>
      <c r="C329" t="s">
        <v>1717</v>
      </c>
      <c r="D329" t="s">
        <v>1727</v>
      </c>
      <c r="K329"/>
      <c r="L329"/>
      <c r="M329"/>
    </row>
    <row r="330" spans="1:13">
      <c r="A330" s="2" t="s">
        <v>564</v>
      </c>
      <c r="B330" t="s">
        <v>1741</v>
      </c>
      <c r="C330" t="s">
        <v>1717</v>
      </c>
      <c r="D330" t="s">
        <v>1722</v>
      </c>
      <c r="K330"/>
      <c r="L330"/>
      <c r="M330"/>
    </row>
    <row r="331" spans="1:13">
      <c r="A331" s="2" t="s">
        <v>565</v>
      </c>
      <c r="B331" t="s">
        <v>1741</v>
      </c>
      <c r="C331" t="s">
        <v>1717</v>
      </c>
      <c r="D331" t="s">
        <v>1722</v>
      </c>
      <c r="K331"/>
      <c r="L331"/>
      <c r="M331"/>
    </row>
    <row r="332" spans="1:13">
      <c r="A332" s="2" t="s">
        <v>585</v>
      </c>
      <c r="B332" t="s">
        <v>1741</v>
      </c>
      <c r="C332" t="s">
        <v>1717</v>
      </c>
      <c r="D332" t="s">
        <v>1727</v>
      </c>
      <c r="K332"/>
      <c r="L332"/>
      <c r="M332"/>
    </row>
    <row r="333" spans="1:13">
      <c r="A333" s="2" t="s">
        <v>584</v>
      </c>
      <c r="B333" t="s">
        <v>1742</v>
      </c>
      <c r="C333" t="s">
        <v>1717</v>
      </c>
      <c r="D333" t="s">
        <v>1725</v>
      </c>
      <c r="K333"/>
      <c r="L333"/>
      <c r="M333"/>
    </row>
    <row r="334" spans="1:13">
      <c r="A334" s="2" t="s">
        <v>586</v>
      </c>
      <c r="B334" t="s">
        <v>1742</v>
      </c>
      <c r="C334" t="s">
        <v>1717</v>
      </c>
      <c r="D334" t="s">
        <v>1725</v>
      </c>
      <c r="K334"/>
      <c r="L334"/>
      <c r="M334"/>
    </row>
    <row r="335" spans="1:13">
      <c r="A335" s="2" t="s">
        <v>562</v>
      </c>
      <c r="B335" t="s">
        <v>1742</v>
      </c>
      <c r="C335" t="s">
        <v>1717</v>
      </c>
      <c r="D335" t="s">
        <v>1726</v>
      </c>
      <c r="K335"/>
      <c r="L335"/>
      <c r="M335"/>
    </row>
    <row r="336" spans="1:13">
      <c r="A336" s="2" t="s">
        <v>554</v>
      </c>
      <c r="B336" t="s">
        <v>1742</v>
      </c>
      <c r="C336" t="s">
        <v>1717</v>
      </c>
      <c r="D336" t="s">
        <v>1726</v>
      </c>
      <c r="K336"/>
      <c r="L336"/>
      <c r="M336"/>
    </row>
    <row r="337" spans="1:13">
      <c r="A337" s="2" t="s">
        <v>566</v>
      </c>
      <c r="B337" t="s">
        <v>1741</v>
      </c>
      <c r="C337" t="s">
        <v>1717</v>
      </c>
      <c r="D337" t="s">
        <v>1722</v>
      </c>
      <c r="K337"/>
      <c r="L337"/>
      <c r="M337"/>
    </row>
    <row r="338" spans="1:13">
      <c r="A338" s="2" t="s">
        <v>535</v>
      </c>
      <c r="B338" t="s">
        <v>1741</v>
      </c>
      <c r="C338" t="s">
        <v>1717</v>
      </c>
      <c r="D338" t="s">
        <v>1722</v>
      </c>
      <c r="K338"/>
      <c r="L338"/>
      <c r="M338"/>
    </row>
    <row r="339" spans="1:13">
      <c r="A339" s="2" t="s">
        <v>550</v>
      </c>
      <c r="B339" t="s">
        <v>1741</v>
      </c>
      <c r="C339" t="s">
        <v>1717</v>
      </c>
      <c r="D339" t="s">
        <v>1722</v>
      </c>
      <c r="K339"/>
      <c r="L339"/>
      <c r="M339"/>
    </row>
    <row r="340" spans="1:13">
      <c r="A340" s="2" t="s">
        <v>547</v>
      </c>
      <c r="B340" t="s">
        <v>1741</v>
      </c>
      <c r="C340" t="s">
        <v>1717</v>
      </c>
      <c r="D340" t="s">
        <v>1722</v>
      </c>
      <c r="K340"/>
      <c r="L340"/>
      <c r="M340"/>
    </row>
    <row r="341" spans="1:13">
      <c r="A341" s="2" t="s">
        <v>544</v>
      </c>
      <c r="B341" t="s">
        <v>1741</v>
      </c>
      <c r="C341" t="s">
        <v>1717</v>
      </c>
      <c r="D341" t="s">
        <v>1722</v>
      </c>
      <c r="K341"/>
      <c r="L341"/>
      <c r="M341"/>
    </row>
    <row r="342" spans="1:13">
      <c r="A342" s="2" t="s">
        <v>545</v>
      </c>
      <c r="B342" t="s">
        <v>1742</v>
      </c>
      <c r="C342" t="s">
        <v>1717</v>
      </c>
      <c r="D342" t="s">
        <v>1726</v>
      </c>
      <c r="K342"/>
      <c r="L342"/>
      <c r="M342"/>
    </row>
    <row r="343" spans="1:13">
      <c r="A343" s="2" t="s">
        <v>546</v>
      </c>
      <c r="B343" t="s">
        <v>1741</v>
      </c>
      <c r="C343" t="s">
        <v>1717</v>
      </c>
      <c r="D343" t="s">
        <v>1722</v>
      </c>
      <c r="K343"/>
      <c r="L343"/>
      <c r="M343"/>
    </row>
    <row r="344" spans="1:13">
      <c r="A344" s="2" t="s">
        <v>578</v>
      </c>
      <c r="B344" t="s">
        <v>1742</v>
      </c>
      <c r="C344" t="s">
        <v>1717</v>
      </c>
      <c r="D344" t="s">
        <v>1725</v>
      </c>
      <c r="K344"/>
      <c r="L344"/>
      <c r="M344"/>
    </row>
    <row r="345" spans="1:13">
      <c r="A345" s="2" t="s">
        <v>579</v>
      </c>
      <c r="B345" t="s">
        <v>1742</v>
      </c>
      <c r="C345" t="s">
        <v>1717</v>
      </c>
      <c r="D345" t="s">
        <v>1725</v>
      </c>
      <c r="K345"/>
      <c r="L345"/>
      <c r="M345"/>
    </row>
    <row r="346" spans="1:13">
      <c r="A346" s="2" t="s">
        <v>568</v>
      </c>
      <c r="B346" t="s">
        <v>1742</v>
      </c>
      <c r="C346" t="s">
        <v>1717</v>
      </c>
      <c r="D346" t="s">
        <v>1726</v>
      </c>
      <c r="K346"/>
      <c r="L346"/>
      <c r="M346"/>
    </row>
    <row r="347" spans="1:13">
      <c r="A347" s="2" t="s">
        <v>569</v>
      </c>
      <c r="B347" t="s">
        <v>1742</v>
      </c>
      <c r="C347" t="s">
        <v>1717</v>
      </c>
      <c r="D347" t="s">
        <v>1726</v>
      </c>
      <c r="K347"/>
      <c r="L347"/>
      <c r="M347"/>
    </row>
    <row r="348" spans="1:13">
      <c r="A348" s="2" t="s">
        <v>570</v>
      </c>
      <c r="B348" t="s">
        <v>1742</v>
      </c>
      <c r="C348" t="s">
        <v>1717</v>
      </c>
      <c r="D348" t="s">
        <v>1726</v>
      </c>
      <c r="K348"/>
      <c r="L348"/>
      <c r="M348"/>
    </row>
    <row r="349" spans="1:13">
      <c r="A349" s="2" t="s">
        <v>641</v>
      </c>
      <c r="B349" t="s">
        <v>1742</v>
      </c>
      <c r="C349" t="s">
        <v>1717</v>
      </c>
      <c r="D349" t="s">
        <v>1726</v>
      </c>
      <c r="K349"/>
      <c r="L349"/>
      <c r="M349"/>
    </row>
    <row r="350" spans="1:13">
      <c r="A350" s="2" t="s">
        <v>640</v>
      </c>
      <c r="B350" t="s">
        <v>1742</v>
      </c>
      <c r="C350" t="s">
        <v>1717</v>
      </c>
      <c r="D350" t="s">
        <v>1726</v>
      </c>
      <c r="K350"/>
      <c r="L350"/>
      <c r="M350"/>
    </row>
    <row r="351" spans="1:13">
      <c r="A351" s="2" t="s">
        <v>571</v>
      </c>
      <c r="B351" t="s">
        <v>1741</v>
      </c>
      <c r="C351" t="s">
        <v>1717</v>
      </c>
      <c r="D351" t="s">
        <v>1722</v>
      </c>
      <c r="K351"/>
      <c r="L351"/>
      <c r="M351"/>
    </row>
    <row r="352" spans="1:13">
      <c r="A352" s="2" t="s">
        <v>572</v>
      </c>
      <c r="B352" t="s">
        <v>1741</v>
      </c>
      <c r="C352" t="s">
        <v>1717</v>
      </c>
      <c r="D352" t="s">
        <v>1722</v>
      </c>
      <c r="K352"/>
      <c r="L352"/>
      <c r="M352"/>
    </row>
    <row r="353" spans="1:13">
      <c r="A353" s="2" t="s">
        <v>548</v>
      </c>
      <c r="B353" t="s">
        <v>1741</v>
      </c>
      <c r="C353" t="s">
        <v>1717</v>
      </c>
      <c r="D353" t="s">
        <v>1722</v>
      </c>
      <c r="K353"/>
      <c r="L353"/>
      <c r="M353"/>
    </row>
    <row r="354" spans="1:13">
      <c r="A354" s="2" t="s">
        <v>581</v>
      </c>
      <c r="B354" t="s">
        <v>1742</v>
      </c>
      <c r="C354" t="s">
        <v>1717</v>
      </c>
      <c r="D354" t="s">
        <v>1725</v>
      </c>
      <c r="K354"/>
      <c r="L354"/>
      <c r="M354"/>
    </row>
    <row r="355" spans="1:13">
      <c r="A355" s="2" t="s">
        <v>541</v>
      </c>
      <c r="B355" t="s">
        <v>1741</v>
      </c>
      <c r="C355" t="s">
        <v>1717</v>
      </c>
      <c r="D355" t="s">
        <v>1722</v>
      </c>
      <c r="K355"/>
      <c r="L355"/>
      <c r="M355"/>
    </row>
    <row r="356" spans="1:13">
      <c r="A356" s="2" t="s">
        <v>580</v>
      </c>
      <c r="B356" t="s">
        <v>1741</v>
      </c>
      <c r="C356" t="s">
        <v>1717</v>
      </c>
      <c r="D356" t="s">
        <v>1722</v>
      </c>
      <c r="K356"/>
      <c r="L356"/>
      <c r="M356"/>
    </row>
    <row r="357" spans="1:13">
      <c r="A357" s="2" t="s">
        <v>540</v>
      </c>
      <c r="B357" t="s">
        <v>1741</v>
      </c>
      <c r="C357" t="s">
        <v>1717</v>
      </c>
      <c r="D357" t="s">
        <v>1722</v>
      </c>
      <c r="K357"/>
      <c r="L357"/>
      <c r="M357"/>
    </row>
    <row r="358" spans="1:13">
      <c r="A358" s="2" t="s">
        <v>536</v>
      </c>
      <c r="B358" t="s">
        <v>1741</v>
      </c>
      <c r="C358" t="s">
        <v>1717</v>
      </c>
      <c r="D358" t="s">
        <v>1722</v>
      </c>
      <c r="K358"/>
      <c r="L358"/>
      <c r="M358"/>
    </row>
    <row r="359" spans="1:13">
      <c r="A359" s="2" t="s">
        <v>537</v>
      </c>
      <c r="B359" t="s">
        <v>1741</v>
      </c>
      <c r="C359" t="s">
        <v>1717</v>
      </c>
      <c r="D359" t="s">
        <v>1722</v>
      </c>
      <c r="K359"/>
      <c r="L359"/>
      <c r="M359"/>
    </row>
    <row r="360" spans="1:13">
      <c r="A360" s="2" t="s">
        <v>538</v>
      </c>
      <c r="B360" t="s">
        <v>1741</v>
      </c>
      <c r="C360" t="s">
        <v>1717</v>
      </c>
      <c r="D360" t="s">
        <v>1722</v>
      </c>
      <c r="K360"/>
      <c r="L360"/>
      <c r="M360"/>
    </row>
    <row r="361" spans="1:13">
      <c r="A361" s="2" t="s">
        <v>542</v>
      </c>
      <c r="B361" t="s">
        <v>1741</v>
      </c>
      <c r="C361" t="s">
        <v>1717</v>
      </c>
      <c r="D361" t="s">
        <v>1722</v>
      </c>
      <c r="K361"/>
      <c r="L361"/>
      <c r="M361"/>
    </row>
    <row r="362" spans="1:13">
      <c r="A362" s="2" t="s">
        <v>539</v>
      </c>
      <c r="B362" t="s">
        <v>1741</v>
      </c>
      <c r="C362" t="s">
        <v>1717</v>
      </c>
      <c r="D362" t="s">
        <v>1722</v>
      </c>
      <c r="K362"/>
      <c r="L362"/>
      <c r="M362"/>
    </row>
    <row r="363" spans="1:13">
      <c r="A363" s="2" t="s">
        <v>645</v>
      </c>
      <c r="B363" t="s">
        <v>1741</v>
      </c>
      <c r="C363" t="s">
        <v>1717</v>
      </c>
      <c r="D363" t="s">
        <v>1722</v>
      </c>
      <c r="K363"/>
      <c r="L363"/>
      <c r="M363"/>
    </row>
    <row r="364" spans="1:13">
      <c r="A364" s="2" t="s">
        <v>556</v>
      </c>
      <c r="B364" t="s">
        <v>1741</v>
      </c>
      <c r="C364" t="s">
        <v>1717</v>
      </c>
      <c r="D364" t="s">
        <v>1722</v>
      </c>
      <c r="K364"/>
      <c r="L364"/>
      <c r="M364"/>
    </row>
    <row r="365" spans="1:13">
      <c r="A365" s="2" t="s">
        <v>555</v>
      </c>
      <c r="B365" t="s">
        <v>1742</v>
      </c>
      <c r="C365" t="s">
        <v>1717</v>
      </c>
      <c r="D365" t="s">
        <v>1726</v>
      </c>
      <c r="K365"/>
      <c r="L365"/>
      <c r="M365"/>
    </row>
    <row r="366" spans="1:13">
      <c r="A366" s="2" t="s">
        <v>549</v>
      </c>
      <c r="B366" t="s">
        <v>1742</v>
      </c>
      <c r="C366" t="s">
        <v>1717</v>
      </c>
      <c r="D366" t="s">
        <v>1726</v>
      </c>
      <c r="K366"/>
      <c r="L366"/>
      <c r="M366"/>
    </row>
    <row r="367" spans="1:13">
      <c r="A367" s="2" t="s">
        <v>543</v>
      </c>
      <c r="B367" t="s">
        <v>1741</v>
      </c>
      <c r="C367" t="s">
        <v>1717</v>
      </c>
      <c r="D367" t="s">
        <v>1722</v>
      </c>
      <c r="K367"/>
      <c r="L367"/>
      <c r="M367"/>
    </row>
    <row r="368" spans="1:13">
      <c r="A368" s="2" t="s">
        <v>573</v>
      </c>
      <c r="B368" t="s">
        <v>1741</v>
      </c>
      <c r="C368" t="s">
        <v>1717</v>
      </c>
      <c r="D368" t="s">
        <v>1722</v>
      </c>
      <c r="K368"/>
      <c r="L368"/>
      <c r="M368"/>
    </row>
    <row r="369" spans="1:13">
      <c r="A369" s="2" t="s">
        <v>667</v>
      </c>
      <c r="B369" t="s">
        <v>1742</v>
      </c>
      <c r="C369" t="s">
        <v>1717</v>
      </c>
      <c r="D369" t="s">
        <v>1726</v>
      </c>
      <c r="K369"/>
      <c r="L369"/>
      <c r="M369"/>
    </row>
    <row r="370" spans="1:13">
      <c r="A370" s="2" t="s">
        <v>670</v>
      </c>
      <c r="B370" t="s">
        <v>1742</v>
      </c>
      <c r="C370" t="s">
        <v>1717</v>
      </c>
      <c r="D370" t="s">
        <v>1726</v>
      </c>
      <c r="K370"/>
      <c r="L370"/>
      <c r="M370"/>
    </row>
    <row r="371" spans="1:13">
      <c r="A371" s="2" t="s">
        <v>668</v>
      </c>
      <c r="B371" t="s">
        <v>1741</v>
      </c>
      <c r="C371" t="s">
        <v>1717</v>
      </c>
      <c r="D371" t="s">
        <v>1722</v>
      </c>
      <c r="K371"/>
      <c r="L371"/>
      <c r="M371"/>
    </row>
    <row r="372" spans="1:13">
      <c r="A372" s="2" t="s">
        <v>574</v>
      </c>
      <c r="B372" t="s">
        <v>1741</v>
      </c>
      <c r="C372" t="s">
        <v>1717</v>
      </c>
      <c r="D372" t="s">
        <v>1722</v>
      </c>
      <c r="K372"/>
      <c r="L372"/>
      <c r="M372"/>
    </row>
    <row r="373" spans="1:13">
      <c r="A373" s="2" t="s">
        <v>646</v>
      </c>
      <c r="B373" t="s">
        <v>1741</v>
      </c>
      <c r="C373" t="s">
        <v>1717</v>
      </c>
      <c r="D373" t="s">
        <v>1722</v>
      </c>
      <c r="K373"/>
      <c r="L373"/>
      <c r="M373"/>
    </row>
    <row r="374" spans="1:13">
      <c r="A374" s="2" t="s">
        <v>588</v>
      </c>
      <c r="B374" t="s">
        <v>1741</v>
      </c>
      <c r="C374" t="s">
        <v>1717</v>
      </c>
      <c r="D374" t="s">
        <v>1722</v>
      </c>
      <c r="K374"/>
      <c r="L374"/>
      <c r="M374"/>
    </row>
    <row r="375" spans="1:13">
      <c r="A375" s="2" t="s">
        <v>557</v>
      </c>
      <c r="B375" t="s">
        <v>1741</v>
      </c>
      <c r="C375" t="s">
        <v>1717</v>
      </c>
      <c r="D375" t="s">
        <v>1722</v>
      </c>
      <c r="K375"/>
      <c r="L375"/>
      <c r="M375"/>
    </row>
    <row r="376" spans="1:13">
      <c r="A376" s="2" t="s">
        <v>558</v>
      </c>
      <c r="B376" t="s">
        <v>1742</v>
      </c>
      <c r="C376" t="s">
        <v>1717</v>
      </c>
      <c r="D376" t="s">
        <v>1726</v>
      </c>
      <c r="K376"/>
      <c r="L376"/>
      <c r="M376"/>
    </row>
    <row r="377" spans="1:13">
      <c r="A377" s="2" t="s">
        <v>560</v>
      </c>
      <c r="B377" t="s">
        <v>1741</v>
      </c>
      <c r="C377" t="s">
        <v>1717</v>
      </c>
      <c r="D377" t="s">
        <v>1722</v>
      </c>
      <c r="K377"/>
      <c r="L377"/>
      <c r="M377"/>
    </row>
    <row r="378" spans="1:13">
      <c r="A378" s="2" t="s">
        <v>582</v>
      </c>
      <c r="B378" t="s">
        <v>1742</v>
      </c>
      <c r="C378" t="s">
        <v>1717</v>
      </c>
      <c r="D378" t="s">
        <v>1726</v>
      </c>
      <c r="K378"/>
      <c r="L378"/>
      <c r="M378"/>
    </row>
    <row r="379" spans="1:13">
      <c r="A379" s="2" t="s">
        <v>559</v>
      </c>
      <c r="B379" t="s">
        <v>1741</v>
      </c>
      <c r="C379" t="s">
        <v>1717</v>
      </c>
      <c r="D379" t="s">
        <v>1722</v>
      </c>
      <c r="K379"/>
      <c r="L379"/>
      <c r="M379"/>
    </row>
    <row r="380" spans="1:13">
      <c r="A380" s="2" t="s">
        <v>649</v>
      </c>
      <c r="B380" t="s">
        <v>1742</v>
      </c>
      <c r="C380" t="s">
        <v>1717</v>
      </c>
      <c r="D380" t="s">
        <v>1726</v>
      </c>
      <c r="K380"/>
      <c r="L380"/>
      <c r="M380"/>
    </row>
    <row r="381" spans="1:13">
      <c r="A381" s="2" t="s">
        <v>575</v>
      </c>
      <c r="B381" t="s">
        <v>1741</v>
      </c>
      <c r="C381" t="s">
        <v>1717</v>
      </c>
      <c r="D381" t="s">
        <v>1722</v>
      </c>
      <c r="K381"/>
      <c r="L381"/>
      <c r="M381"/>
    </row>
    <row r="382" spans="1:13">
      <c r="A382" s="2" t="s">
        <v>589</v>
      </c>
      <c r="B382" t="s">
        <v>1741</v>
      </c>
      <c r="C382" t="s">
        <v>1717</v>
      </c>
      <c r="D382" t="s">
        <v>1722</v>
      </c>
      <c r="K382"/>
      <c r="L382"/>
      <c r="M382"/>
    </row>
    <row r="383" spans="1:13">
      <c r="A383" s="2" t="s">
        <v>561</v>
      </c>
      <c r="B383" t="s">
        <v>1741</v>
      </c>
      <c r="C383" t="s">
        <v>1717</v>
      </c>
      <c r="D383" t="s">
        <v>1722</v>
      </c>
      <c r="K383"/>
      <c r="L383"/>
      <c r="M383"/>
    </row>
    <row r="384" spans="1:13">
      <c r="A384" s="2" t="s">
        <v>583</v>
      </c>
      <c r="B384" t="s">
        <v>1741</v>
      </c>
      <c r="C384" t="s">
        <v>1717</v>
      </c>
      <c r="D384" t="s">
        <v>1722</v>
      </c>
      <c r="K384"/>
      <c r="L384"/>
      <c r="M384"/>
    </row>
    <row r="385" spans="1:13">
      <c r="A385" s="2" t="s">
        <v>577</v>
      </c>
      <c r="B385" t="s">
        <v>1741</v>
      </c>
      <c r="C385" t="s">
        <v>1717</v>
      </c>
      <c r="D385" t="s">
        <v>1722</v>
      </c>
      <c r="K385"/>
      <c r="L385"/>
      <c r="M385"/>
    </row>
    <row r="386" spans="1:13">
      <c r="A386" s="2" t="s">
        <v>596</v>
      </c>
      <c r="B386" t="s">
        <v>1740</v>
      </c>
      <c r="C386" t="s">
        <v>1717</v>
      </c>
      <c r="D386" t="s">
        <v>1722</v>
      </c>
      <c r="K386"/>
      <c r="L386"/>
      <c r="M386"/>
    </row>
    <row r="387" spans="1:13">
      <c r="A387" s="2" t="s">
        <v>595</v>
      </c>
      <c r="B387" t="s">
        <v>1740</v>
      </c>
      <c r="C387" t="s">
        <v>1713</v>
      </c>
      <c r="D387" t="s">
        <v>1722</v>
      </c>
      <c r="K387"/>
      <c r="L387"/>
      <c r="M387"/>
    </row>
    <row r="388" spans="1:13">
      <c r="A388" s="2" t="s">
        <v>597</v>
      </c>
      <c r="B388" t="s">
        <v>1740</v>
      </c>
      <c r="C388" t="s">
        <v>1717</v>
      </c>
      <c r="D388" t="s">
        <v>1722</v>
      </c>
      <c r="K388"/>
      <c r="L388"/>
      <c r="M388"/>
    </row>
    <row r="389" spans="1:13">
      <c r="A389" s="2" t="s">
        <v>742</v>
      </c>
      <c r="B389" t="s">
        <v>1740</v>
      </c>
      <c r="C389" t="s">
        <v>1713</v>
      </c>
      <c r="D389" t="s">
        <v>1727</v>
      </c>
      <c r="K389"/>
      <c r="L389"/>
      <c r="M389"/>
    </row>
    <row r="390" spans="1:13">
      <c r="A390" s="2" t="s">
        <v>743</v>
      </c>
      <c r="B390" t="s">
        <v>1740</v>
      </c>
      <c r="C390" t="s">
        <v>1713</v>
      </c>
      <c r="D390" t="s">
        <v>1727</v>
      </c>
      <c r="K390"/>
      <c r="L390"/>
      <c r="M390"/>
    </row>
    <row r="391" spans="1:13">
      <c r="A391" s="2" t="s">
        <v>901</v>
      </c>
      <c r="B391" t="s">
        <v>1740</v>
      </c>
      <c r="C391" t="s">
        <v>1719</v>
      </c>
      <c r="D391" t="s">
        <v>1724</v>
      </c>
      <c r="K391"/>
      <c r="L391"/>
      <c r="M391"/>
    </row>
    <row r="392" spans="1:13">
      <c r="A392" s="2" t="s">
        <v>884</v>
      </c>
      <c r="B392" t="s">
        <v>1740</v>
      </c>
      <c r="C392" t="s">
        <v>1719</v>
      </c>
      <c r="D392" t="s">
        <v>1726</v>
      </c>
      <c r="K392"/>
      <c r="L392"/>
      <c r="M392"/>
    </row>
    <row r="393" spans="1:13">
      <c r="A393" s="2" t="s">
        <v>885</v>
      </c>
      <c r="B393" t="s">
        <v>1740</v>
      </c>
      <c r="C393" t="s">
        <v>1719</v>
      </c>
      <c r="D393" t="s">
        <v>1723</v>
      </c>
      <c r="K393"/>
      <c r="L393"/>
      <c r="M393"/>
    </row>
    <row r="394" spans="1:13">
      <c r="A394" s="2" t="s">
        <v>886</v>
      </c>
      <c r="B394" t="s">
        <v>1740</v>
      </c>
      <c r="C394" t="s">
        <v>1719</v>
      </c>
      <c r="D394" t="s">
        <v>1725</v>
      </c>
      <c r="K394"/>
      <c r="L394"/>
      <c r="M394"/>
    </row>
    <row r="395" spans="1:13">
      <c r="A395" s="2" t="s">
        <v>887</v>
      </c>
      <c r="B395" t="s">
        <v>1740</v>
      </c>
      <c r="C395" t="s">
        <v>1719</v>
      </c>
      <c r="D395" t="s">
        <v>1727</v>
      </c>
      <c r="K395"/>
      <c r="L395"/>
      <c r="M395"/>
    </row>
    <row r="396" spans="1:13">
      <c r="A396" s="2" t="s">
        <v>888</v>
      </c>
      <c r="B396" t="s">
        <v>1740</v>
      </c>
      <c r="C396" t="s">
        <v>1719</v>
      </c>
      <c r="D396" t="s">
        <v>1728</v>
      </c>
      <c r="K396"/>
      <c r="L396"/>
      <c r="M396"/>
    </row>
    <row r="397" spans="1:13">
      <c r="A397" s="2" t="s">
        <v>889</v>
      </c>
      <c r="B397" t="s">
        <v>1740</v>
      </c>
      <c r="C397" t="s">
        <v>1719</v>
      </c>
      <c r="D397" t="s">
        <v>1730</v>
      </c>
      <c r="K397"/>
      <c r="L397"/>
      <c r="M397"/>
    </row>
    <row r="398" spans="1:13">
      <c r="A398" s="2" t="s">
        <v>890</v>
      </c>
      <c r="B398" t="s">
        <v>1740</v>
      </c>
      <c r="C398" t="s">
        <v>1719</v>
      </c>
      <c r="D398" t="s">
        <v>1735</v>
      </c>
      <c r="K398"/>
      <c r="L398"/>
      <c r="M398"/>
    </row>
    <row r="399" spans="1:13">
      <c r="A399" s="2" t="s">
        <v>891</v>
      </c>
      <c r="B399" t="s">
        <v>1740</v>
      </c>
      <c r="C399" t="s">
        <v>1719</v>
      </c>
      <c r="D399" t="s">
        <v>1736</v>
      </c>
      <c r="K399"/>
      <c r="L399"/>
      <c r="M399"/>
    </row>
    <row r="400" spans="1:13">
      <c r="A400" s="2" t="s">
        <v>892</v>
      </c>
      <c r="B400" t="s">
        <v>1740</v>
      </c>
      <c r="C400" t="s">
        <v>1719</v>
      </c>
      <c r="D400" t="s">
        <v>1729</v>
      </c>
      <c r="K400"/>
      <c r="L400"/>
      <c r="M400"/>
    </row>
    <row r="401" spans="1:13">
      <c r="A401" s="2" t="s">
        <v>893</v>
      </c>
      <c r="B401" t="s">
        <v>1740</v>
      </c>
      <c r="C401" t="s">
        <v>1719</v>
      </c>
      <c r="D401" t="s">
        <v>1729</v>
      </c>
      <c r="K401"/>
      <c r="L401"/>
      <c r="M401"/>
    </row>
    <row r="402" spans="1:13">
      <c r="A402" s="2" t="s">
        <v>894</v>
      </c>
      <c r="B402" t="s">
        <v>1740</v>
      </c>
      <c r="C402" t="s">
        <v>1719</v>
      </c>
      <c r="D402" t="s">
        <v>1723</v>
      </c>
      <c r="K402"/>
      <c r="L402"/>
      <c r="M402"/>
    </row>
    <row r="403" spans="1:13">
      <c r="A403" s="2" t="s">
        <v>895</v>
      </c>
      <c r="B403" t="s">
        <v>1740</v>
      </c>
      <c r="C403" t="s">
        <v>1719</v>
      </c>
      <c r="D403" t="s">
        <v>1723</v>
      </c>
      <c r="K403"/>
      <c r="L403"/>
      <c r="M403"/>
    </row>
    <row r="404" spans="1:13">
      <c r="A404" s="2" t="s">
        <v>896</v>
      </c>
      <c r="B404" t="s">
        <v>1740</v>
      </c>
      <c r="C404" t="s">
        <v>1718</v>
      </c>
      <c r="D404" t="s">
        <v>1722</v>
      </c>
      <c r="K404"/>
      <c r="L404"/>
      <c r="M404"/>
    </row>
    <row r="405" spans="1:13">
      <c r="A405" s="2" t="s">
        <v>897</v>
      </c>
      <c r="B405" t="s">
        <v>1740</v>
      </c>
      <c r="C405" t="s">
        <v>1719</v>
      </c>
      <c r="D405" t="s">
        <v>1731</v>
      </c>
      <c r="K405"/>
      <c r="L405"/>
      <c r="M405"/>
    </row>
    <row r="406" spans="1:13">
      <c r="A406" s="2" t="s">
        <v>372</v>
      </c>
      <c r="B406" t="s">
        <v>1740</v>
      </c>
      <c r="C406" t="s">
        <v>1717</v>
      </c>
      <c r="D406" t="s">
        <v>1724</v>
      </c>
      <c r="K406"/>
      <c r="L406"/>
      <c r="M406"/>
    </row>
    <row r="407" spans="1:13">
      <c r="A407" s="2" t="s">
        <v>366</v>
      </c>
      <c r="B407" t="s">
        <v>1740</v>
      </c>
      <c r="C407" t="s">
        <v>1717</v>
      </c>
      <c r="D407" t="s">
        <v>1724</v>
      </c>
      <c r="K407"/>
      <c r="L407"/>
      <c r="M407"/>
    </row>
    <row r="408" spans="1:13">
      <c r="A408" s="2" t="s">
        <v>323</v>
      </c>
      <c r="B408" t="s">
        <v>1740</v>
      </c>
      <c r="C408" t="s">
        <v>1717</v>
      </c>
      <c r="D408" t="s">
        <v>1724</v>
      </c>
      <c r="K408"/>
      <c r="L408"/>
      <c r="M408"/>
    </row>
    <row r="409" spans="1:13">
      <c r="A409" s="2" t="s">
        <v>369</v>
      </c>
      <c r="B409" t="s">
        <v>1740</v>
      </c>
      <c r="C409" t="s">
        <v>1717</v>
      </c>
      <c r="D409" t="s">
        <v>1724</v>
      </c>
      <c r="K409"/>
      <c r="L409"/>
      <c r="M409"/>
    </row>
    <row r="410" spans="1:13">
      <c r="A410" s="2" t="s">
        <v>339</v>
      </c>
      <c r="B410" t="s">
        <v>1740</v>
      </c>
      <c r="C410" t="s">
        <v>1717</v>
      </c>
      <c r="D410" t="s">
        <v>1724</v>
      </c>
      <c r="K410"/>
      <c r="L410"/>
      <c r="M410"/>
    </row>
    <row r="411" spans="1:13">
      <c r="A411" s="2" t="s">
        <v>332</v>
      </c>
      <c r="B411" t="s">
        <v>1740</v>
      </c>
      <c r="C411" t="s">
        <v>1717</v>
      </c>
      <c r="D411" t="s">
        <v>1724</v>
      </c>
      <c r="K411"/>
      <c r="L411"/>
      <c r="M411"/>
    </row>
    <row r="412" spans="1:13">
      <c r="A412" s="2" t="s">
        <v>368</v>
      </c>
      <c r="B412" t="s">
        <v>1740</v>
      </c>
      <c r="C412" t="s">
        <v>1717</v>
      </c>
      <c r="D412" t="s">
        <v>1724</v>
      </c>
      <c r="K412"/>
      <c r="L412"/>
      <c r="M412"/>
    </row>
    <row r="413" spans="1:13">
      <c r="A413" s="2" t="s">
        <v>367</v>
      </c>
      <c r="B413" t="s">
        <v>1740</v>
      </c>
      <c r="C413" t="s">
        <v>1717</v>
      </c>
      <c r="D413" t="s">
        <v>1724</v>
      </c>
      <c r="K413"/>
      <c r="L413"/>
      <c r="M413"/>
    </row>
    <row r="414" spans="1:13">
      <c r="A414" s="2" t="s">
        <v>365</v>
      </c>
      <c r="B414" t="s">
        <v>1740</v>
      </c>
      <c r="C414" t="s">
        <v>1717</v>
      </c>
      <c r="D414" t="s">
        <v>1724</v>
      </c>
      <c r="K414"/>
      <c r="L414"/>
      <c r="M414"/>
    </row>
    <row r="415" spans="1:13">
      <c r="A415" s="2" t="s">
        <v>342</v>
      </c>
      <c r="B415" t="s">
        <v>1740</v>
      </c>
      <c r="C415" t="s">
        <v>1717</v>
      </c>
      <c r="D415" t="s">
        <v>1724</v>
      </c>
      <c r="K415"/>
      <c r="L415"/>
      <c r="M415"/>
    </row>
    <row r="416" spans="1:13">
      <c r="A416" s="2" t="s">
        <v>338</v>
      </c>
      <c r="B416" t="s">
        <v>1740</v>
      </c>
      <c r="C416" t="s">
        <v>1717</v>
      </c>
      <c r="D416" t="s">
        <v>1724</v>
      </c>
      <c r="K416"/>
      <c r="L416"/>
      <c r="M416"/>
    </row>
    <row r="417" spans="1:13">
      <c r="A417" s="2" t="s">
        <v>328</v>
      </c>
      <c r="B417" t="s">
        <v>1740</v>
      </c>
      <c r="C417" t="s">
        <v>1717</v>
      </c>
      <c r="D417" t="s">
        <v>1724</v>
      </c>
      <c r="K417"/>
      <c r="L417"/>
      <c r="M417"/>
    </row>
    <row r="418" spans="1:13">
      <c r="A418" s="2" t="s">
        <v>349</v>
      </c>
      <c r="B418" t="s">
        <v>1740</v>
      </c>
      <c r="C418" t="s">
        <v>1717</v>
      </c>
      <c r="D418" t="s">
        <v>1724</v>
      </c>
      <c r="K418"/>
      <c r="L418"/>
      <c r="M418"/>
    </row>
    <row r="419" spans="1:13">
      <c r="A419" s="2" t="s">
        <v>357</v>
      </c>
      <c r="B419" t="s">
        <v>1740</v>
      </c>
      <c r="C419" t="s">
        <v>1717</v>
      </c>
      <c r="D419" t="s">
        <v>1724</v>
      </c>
      <c r="K419"/>
      <c r="L419"/>
      <c r="M419"/>
    </row>
    <row r="420" spans="1:13">
      <c r="A420" s="2" t="s">
        <v>373</v>
      </c>
      <c r="B420" t="s">
        <v>1740</v>
      </c>
      <c r="C420" t="s">
        <v>1717</v>
      </c>
      <c r="D420" t="s">
        <v>1724</v>
      </c>
      <c r="K420"/>
      <c r="L420"/>
      <c r="M420"/>
    </row>
    <row r="421" spans="1:13">
      <c r="A421" s="2" t="s">
        <v>327</v>
      </c>
      <c r="B421" t="s">
        <v>1740</v>
      </c>
      <c r="C421" t="s">
        <v>1717</v>
      </c>
      <c r="D421" t="s">
        <v>1724</v>
      </c>
      <c r="K421"/>
      <c r="L421"/>
      <c r="M421"/>
    </row>
    <row r="422" spans="1:13">
      <c r="A422" s="2" t="s">
        <v>333</v>
      </c>
      <c r="B422" t="s">
        <v>1740</v>
      </c>
      <c r="C422" t="s">
        <v>1717</v>
      </c>
      <c r="D422" t="s">
        <v>1724</v>
      </c>
      <c r="K422"/>
      <c r="L422"/>
      <c r="M422"/>
    </row>
    <row r="423" spans="1:13">
      <c r="A423" s="2" t="s">
        <v>356</v>
      </c>
      <c r="B423" t="s">
        <v>1740</v>
      </c>
      <c r="C423" t="s">
        <v>1717</v>
      </c>
      <c r="D423" t="s">
        <v>1724</v>
      </c>
      <c r="K423"/>
      <c r="L423"/>
      <c r="M423"/>
    </row>
    <row r="424" spans="1:13">
      <c r="A424" s="2" t="s">
        <v>330</v>
      </c>
      <c r="B424" t="s">
        <v>1740</v>
      </c>
      <c r="C424" t="s">
        <v>1717</v>
      </c>
      <c r="D424" t="s">
        <v>1724</v>
      </c>
      <c r="K424"/>
      <c r="L424"/>
      <c r="M424"/>
    </row>
    <row r="425" spans="1:13">
      <c r="A425" s="2" t="s">
        <v>362</v>
      </c>
      <c r="B425" t="s">
        <v>1740</v>
      </c>
      <c r="C425" t="s">
        <v>1717</v>
      </c>
      <c r="D425" t="s">
        <v>1724</v>
      </c>
      <c r="K425"/>
      <c r="L425"/>
      <c r="M425"/>
    </row>
    <row r="426" spans="1:13">
      <c r="A426" s="2" t="s">
        <v>371</v>
      </c>
      <c r="B426" t="s">
        <v>1740</v>
      </c>
      <c r="C426" t="s">
        <v>1717</v>
      </c>
      <c r="D426" t="s">
        <v>1724</v>
      </c>
      <c r="K426"/>
      <c r="L426"/>
      <c r="M426"/>
    </row>
    <row r="427" spans="1:13">
      <c r="A427" s="2" t="s">
        <v>359</v>
      </c>
      <c r="B427" t="s">
        <v>1740</v>
      </c>
      <c r="C427" t="s">
        <v>1717</v>
      </c>
      <c r="D427" t="s">
        <v>1724</v>
      </c>
      <c r="K427"/>
      <c r="L427"/>
      <c r="M427"/>
    </row>
    <row r="428" spans="1:13">
      <c r="A428" s="2" t="s">
        <v>353</v>
      </c>
      <c r="B428" t="s">
        <v>1740</v>
      </c>
      <c r="C428" t="s">
        <v>1717</v>
      </c>
      <c r="D428" t="s">
        <v>1724</v>
      </c>
      <c r="K428"/>
      <c r="L428"/>
      <c r="M428"/>
    </row>
    <row r="429" spans="1:13">
      <c r="A429" s="2" t="s">
        <v>341</v>
      </c>
      <c r="B429" t="s">
        <v>1740</v>
      </c>
      <c r="C429" t="s">
        <v>1717</v>
      </c>
      <c r="D429" t="s">
        <v>1724</v>
      </c>
      <c r="K429"/>
      <c r="L429"/>
      <c r="M429"/>
    </row>
    <row r="430" spans="1:13">
      <c r="A430" s="2" t="s">
        <v>745</v>
      </c>
      <c r="B430" t="s">
        <v>1740</v>
      </c>
      <c r="C430" t="s">
        <v>1713</v>
      </c>
      <c r="D430" t="s">
        <v>1727</v>
      </c>
      <c r="K430"/>
      <c r="L430"/>
      <c r="M430"/>
    </row>
    <row r="431" spans="1:13">
      <c r="A431" s="2" t="s">
        <v>744</v>
      </c>
      <c r="B431" t="s">
        <v>1740</v>
      </c>
      <c r="C431" t="s">
        <v>1713</v>
      </c>
      <c r="D431" t="s">
        <v>1727</v>
      </c>
      <c r="K431"/>
      <c r="L431"/>
      <c r="M431"/>
    </row>
    <row r="432" spans="1:13">
      <c r="A432" s="2" t="s">
        <v>348</v>
      </c>
      <c r="B432" t="s">
        <v>1740</v>
      </c>
      <c r="C432" t="s">
        <v>1717</v>
      </c>
      <c r="D432" t="s">
        <v>1724</v>
      </c>
      <c r="K432"/>
      <c r="L432"/>
      <c r="M432"/>
    </row>
    <row r="433" spans="1:13">
      <c r="A433" s="2" t="s">
        <v>335</v>
      </c>
      <c r="B433" t="s">
        <v>1740</v>
      </c>
      <c r="C433" t="s">
        <v>1717</v>
      </c>
      <c r="D433" t="s">
        <v>1724</v>
      </c>
      <c r="K433"/>
      <c r="L433"/>
      <c r="M433"/>
    </row>
    <row r="434" spans="1:13">
      <c r="A434" s="2" t="s">
        <v>364</v>
      </c>
      <c r="B434" t="s">
        <v>1740</v>
      </c>
      <c r="C434" t="s">
        <v>1717</v>
      </c>
      <c r="D434" t="s">
        <v>1724</v>
      </c>
      <c r="K434"/>
      <c r="L434"/>
      <c r="M434"/>
    </row>
    <row r="435" spans="1:13">
      <c r="A435" s="2" t="s">
        <v>337</v>
      </c>
      <c r="B435" t="s">
        <v>1740</v>
      </c>
      <c r="C435" t="s">
        <v>1717</v>
      </c>
      <c r="D435" t="s">
        <v>1724</v>
      </c>
      <c r="K435"/>
      <c r="L435"/>
      <c r="M435"/>
    </row>
    <row r="436" spans="1:13">
      <c r="A436" s="2" t="s">
        <v>352</v>
      </c>
      <c r="B436" t="s">
        <v>1740</v>
      </c>
      <c r="C436" t="s">
        <v>1717</v>
      </c>
      <c r="D436" t="s">
        <v>1724</v>
      </c>
      <c r="K436"/>
      <c r="L436"/>
      <c r="M436"/>
    </row>
    <row r="437" spans="1:13">
      <c r="A437" s="2" t="s">
        <v>331</v>
      </c>
      <c r="B437" t="s">
        <v>1740</v>
      </c>
      <c r="C437" t="s">
        <v>1717</v>
      </c>
      <c r="D437" t="s">
        <v>1724</v>
      </c>
      <c r="K437"/>
      <c r="L437"/>
      <c r="M437"/>
    </row>
    <row r="438" spans="1:13">
      <c r="A438" s="2" t="s">
        <v>329</v>
      </c>
      <c r="B438" t="s">
        <v>1740</v>
      </c>
      <c r="C438" t="s">
        <v>1717</v>
      </c>
      <c r="D438" t="s">
        <v>1724</v>
      </c>
      <c r="K438"/>
      <c r="L438"/>
      <c r="M438"/>
    </row>
    <row r="439" spans="1:13">
      <c r="A439" s="2" t="s">
        <v>344</v>
      </c>
      <c r="B439" t="s">
        <v>1740</v>
      </c>
      <c r="C439" t="s">
        <v>1717</v>
      </c>
      <c r="D439" t="s">
        <v>1724</v>
      </c>
      <c r="K439"/>
      <c r="L439"/>
      <c r="M439"/>
    </row>
    <row r="440" spans="1:13">
      <c r="A440" s="2" t="s">
        <v>340</v>
      </c>
      <c r="B440" t="s">
        <v>1740</v>
      </c>
      <c r="C440" t="s">
        <v>1717</v>
      </c>
      <c r="D440" t="s">
        <v>1724</v>
      </c>
      <c r="K440"/>
      <c r="L440"/>
      <c r="M440"/>
    </row>
    <row r="441" spans="1:13">
      <c r="A441" s="2" t="s">
        <v>350</v>
      </c>
      <c r="B441" t="s">
        <v>1740</v>
      </c>
      <c r="C441" t="s">
        <v>1717</v>
      </c>
      <c r="D441" t="s">
        <v>1724</v>
      </c>
      <c r="K441"/>
      <c r="L441"/>
      <c r="M441"/>
    </row>
    <row r="442" spans="1:13">
      <c r="A442" s="2" t="s">
        <v>360</v>
      </c>
      <c r="B442" t="s">
        <v>1740</v>
      </c>
      <c r="C442" t="s">
        <v>1717</v>
      </c>
      <c r="D442" t="s">
        <v>1724</v>
      </c>
      <c r="K442"/>
      <c r="L442"/>
      <c r="M442"/>
    </row>
    <row r="443" spans="1:13">
      <c r="A443" s="2" t="s">
        <v>363</v>
      </c>
      <c r="B443" t="s">
        <v>1740</v>
      </c>
      <c r="C443" t="s">
        <v>1717</v>
      </c>
      <c r="D443" t="s">
        <v>1724</v>
      </c>
      <c r="K443"/>
      <c r="L443"/>
      <c r="M443"/>
    </row>
    <row r="444" spans="1:13">
      <c r="A444" s="2" t="s">
        <v>354</v>
      </c>
      <c r="B444" t="s">
        <v>1740</v>
      </c>
      <c r="C444" t="s">
        <v>1717</v>
      </c>
      <c r="D444" t="s">
        <v>1724</v>
      </c>
      <c r="K444"/>
      <c r="L444"/>
      <c r="M444"/>
    </row>
    <row r="445" spans="1:13">
      <c r="A445" s="2" t="s">
        <v>351</v>
      </c>
      <c r="B445" t="s">
        <v>1740</v>
      </c>
      <c r="C445" t="s">
        <v>1717</v>
      </c>
      <c r="D445" t="s">
        <v>1724</v>
      </c>
      <c r="K445"/>
      <c r="L445"/>
      <c r="M445"/>
    </row>
    <row r="446" spans="1:13">
      <c r="A446" s="2" t="s">
        <v>370</v>
      </c>
      <c r="B446" t="s">
        <v>1740</v>
      </c>
      <c r="C446" t="s">
        <v>1717</v>
      </c>
      <c r="D446" t="s">
        <v>1724</v>
      </c>
      <c r="K446"/>
      <c r="L446"/>
      <c r="M446"/>
    </row>
    <row r="447" spans="1:13">
      <c r="A447" s="2" t="s">
        <v>336</v>
      </c>
      <c r="B447" t="s">
        <v>1740</v>
      </c>
      <c r="C447" t="s">
        <v>1717</v>
      </c>
      <c r="D447" t="s">
        <v>1724</v>
      </c>
      <c r="K447"/>
      <c r="L447"/>
      <c r="M447"/>
    </row>
    <row r="448" spans="1:13">
      <c r="A448" s="2" t="s">
        <v>347</v>
      </c>
      <c r="B448" t="s">
        <v>1740</v>
      </c>
      <c r="C448" t="s">
        <v>1717</v>
      </c>
      <c r="D448" t="s">
        <v>1724</v>
      </c>
      <c r="K448"/>
      <c r="L448"/>
      <c r="M448"/>
    </row>
    <row r="449" spans="1:13">
      <c r="A449" s="2" t="s">
        <v>343</v>
      </c>
      <c r="B449" t="s">
        <v>1740</v>
      </c>
      <c r="C449" t="s">
        <v>1717</v>
      </c>
      <c r="D449" t="s">
        <v>1724</v>
      </c>
      <c r="K449"/>
      <c r="L449"/>
      <c r="M449"/>
    </row>
    <row r="450" spans="1:13">
      <c r="A450" s="2" t="s">
        <v>375</v>
      </c>
      <c r="B450" t="s">
        <v>1740</v>
      </c>
      <c r="C450" t="s">
        <v>1717</v>
      </c>
      <c r="D450" t="s">
        <v>1724</v>
      </c>
      <c r="K450"/>
      <c r="L450"/>
      <c r="M450"/>
    </row>
    <row r="451" spans="1:13">
      <c r="A451" s="2" t="s">
        <v>376</v>
      </c>
      <c r="B451" t="s">
        <v>1740</v>
      </c>
      <c r="C451" t="s">
        <v>1717</v>
      </c>
      <c r="D451" t="s">
        <v>1724</v>
      </c>
      <c r="K451"/>
      <c r="L451"/>
      <c r="M451"/>
    </row>
    <row r="452" spans="1:13">
      <c r="A452" s="2" t="s">
        <v>345</v>
      </c>
      <c r="B452" t="s">
        <v>1740</v>
      </c>
      <c r="C452" t="s">
        <v>1717</v>
      </c>
      <c r="D452" t="s">
        <v>1724</v>
      </c>
      <c r="K452"/>
      <c r="L452"/>
      <c r="M452"/>
    </row>
    <row r="453" spans="1:13">
      <c r="A453" s="2" t="s">
        <v>374</v>
      </c>
      <c r="B453" t="s">
        <v>1740</v>
      </c>
      <c r="C453" t="s">
        <v>1717</v>
      </c>
      <c r="D453" t="s">
        <v>1724</v>
      </c>
      <c r="K453"/>
      <c r="L453"/>
      <c r="M453"/>
    </row>
    <row r="454" spans="1:13">
      <c r="A454" s="2" t="s">
        <v>346</v>
      </c>
      <c r="B454" t="s">
        <v>1740</v>
      </c>
      <c r="C454" t="s">
        <v>1717</v>
      </c>
      <c r="D454" t="s">
        <v>1724</v>
      </c>
      <c r="K454"/>
      <c r="L454"/>
      <c r="M454"/>
    </row>
    <row r="455" spans="1:13">
      <c r="A455" s="2" t="s">
        <v>358</v>
      </c>
      <c r="B455" t="s">
        <v>1740</v>
      </c>
      <c r="C455" t="s">
        <v>1717</v>
      </c>
      <c r="D455" t="s">
        <v>1724</v>
      </c>
      <c r="K455"/>
      <c r="L455"/>
      <c r="M455"/>
    </row>
    <row r="456" spans="1:13">
      <c r="A456" s="2" t="s">
        <v>326</v>
      </c>
      <c r="B456" t="s">
        <v>1740</v>
      </c>
      <c r="C456" t="s">
        <v>1717</v>
      </c>
      <c r="D456" t="s">
        <v>1724</v>
      </c>
      <c r="K456"/>
      <c r="L456"/>
      <c r="M456"/>
    </row>
    <row r="457" spans="1:13">
      <c r="A457" s="2" t="s">
        <v>361</v>
      </c>
      <c r="B457" t="s">
        <v>1740</v>
      </c>
      <c r="C457" t="s">
        <v>1717</v>
      </c>
      <c r="D457" t="s">
        <v>1724</v>
      </c>
      <c r="K457"/>
      <c r="L457"/>
      <c r="M457"/>
    </row>
    <row r="458" spans="1:13">
      <c r="A458" s="2" t="s">
        <v>334</v>
      </c>
      <c r="B458" t="s">
        <v>1740</v>
      </c>
      <c r="C458" t="s">
        <v>1717</v>
      </c>
      <c r="D458" t="s">
        <v>1724</v>
      </c>
      <c r="K458"/>
      <c r="L458"/>
      <c r="M458"/>
    </row>
    <row r="459" spans="1:13">
      <c r="A459" s="2" t="s">
        <v>355</v>
      </c>
      <c r="B459" t="s">
        <v>1740</v>
      </c>
      <c r="C459" t="s">
        <v>1717</v>
      </c>
      <c r="D459" t="s">
        <v>1724</v>
      </c>
      <c r="K459"/>
      <c r="L459"/>
      <c r="M459"/>
    </row>
    <row r="460" spans="1:13">
      <c r="A460" s="2" t="s">
        <v>758</v>
      </c>
      <c r="B460" t="s">
        <v>1740</v>
      </c>
      <c r="C460" t="s">
        <v>1719</v>
      </c>
      <c r="D460" t="s">
        <v>1722</v>
      </c>
      <c r="K460"/>
      <c r="L460"/>
      <c r="M460"/>
    </row>
    <row r="461" spans="1:13">
      <c r="A461" s="2" t="s">
        <v>760</v>
      </c>
      <c r="B461" t="s">
        <v>1740</v>
      </c>
      <c r="C461" t="s">
        <v>1719</v>
      </c>
      <c r="D461" t="s">
        <v>1722</v>
      </c>
      <c r="K461"/>
      <c r="L461"/>
      <c r="M461"/>
    </row>
    <row r="462" spans="1:13">
      <c r="A462" s="2" t="s">
        <v>759</v>
      </c>
      <c r="B462" t="s">
        <v>1740</v>
      </c>
      <c r="C462" t="s">
        <v>1719</v>
      </c>
      <c r="D462" t="s">
        <v>1722</v>
      </c>
      <c r="K462"/>
      <c r="L462"/>
      <c r="M462"/>
    </row>
    <row r="463" spans="1:13">
      <c r="A463" s="2" t="s">
        <v>755</v>
      </c>
      <c r="B463" t="s">
        <v>1740</v>
      </c>
      <c r="C463" t="s">
        <v>1719</v>
      </c>
      <c r="D463" t="s">
        <v>1722</v>
      </c>
      <c r="K463"/>
      <c r="L463"/>
      <c r="M463"/>
    </row>
    <row r="464" spans="1:13">
      <c r="A464" s="2" t="s">
        <v>757</v>
      </c>
      <c r="B464" t="s">
        <v>1740</v>
      </c>
      <c r="C464" t="s">
        <v>1719</v>
      </c>
      <c r="D464" t="s">
        <v>1722</v>
      </c>
      <c r="K464"/>
      <c r="L464"/>
      <c r="M464"/>
    </row>
    <row r="465" spans="1:13">
      <c r="A465" s="2" t="s">
        <v>756</v>
      </c>
      <c r="B465" t="s">
        <v>1740</v>
      </c>
      <c r="C465" t="s">
        <v>1719</v>
      </c>
      <c r="D465" t="s">
        <v>1722</v>
      </c>
      <c r="K465"/>
      <c r="L465"/>
      <c r="M465"/>
    </row>
    <row r="466" spans="1:13">
      <c r="A466" s="2" t="s">
        <v>761</v>
      </c>
      <c r="B466" t="s">
        <v>1740</v>
      </c>
      <c r="C466" t="s">
        <v>1719</v>
      </c>
      <c r="D466" t="s">
        <v>1722</v>
      </c>
      <c r="K466"/>
      <c r="L466"/>
      <c r="M466"/>
    </row>
    <row r="467" spans="1:13">
      <c r="A467" s="2" t="s">
        <v>763</v>
      </c>
      <c r="B467" t="s">
        <v>1740</v>
      </c>
      <c r="C467" t="s">
        <v>1719</v>
      </c>
      <c r="D467" t="s">
        <v>1722</v>
      </c>
      <c r="K467"/>
      <c r="L467"/>
      <c r="M467"/>
    </row>
    <row r="468" spans="1:13">
      <c r="A468" s="2" t="s">
        <v>762</v>
      </c>
      <c r="B468" t="s">
        <v>1740</v>
      </c>
      <c r="C468" t="s">
        <v>1719</v>
      </c>
      <c r="D468" t="s">
        <v>1722</v>
      </c>
      <c r="K468"/>
      <c r="L468"/>
      <c r="M468"/>
    </row>
    <row r="469" spans="1:13">
      <c r="A469" s="2" t="s">
        <v>764</v>
      </c>
      <c r="B469" t="s">
        <v>1740</v>
      </c>
      <c r="C469" t="s">
        <v>1719</v>
      </c>
      <c r="D469" t="s">
        <v>1722</v>
      </c>
      <c r="K469"/>
      <c r="L469"/>
      <c r="M469"/>
    </row>
    <row r="470" spans="1:13">
      <c r="A470" s="2" t="s">
        <v>765</v>
      </c>
      <c r="B470" t="s">
        <v>1740</v>
      </c>
      <c r="C470" t="s">
        <v>1719</v>
      </c>
      <c r="D470" t="s">
        <v>1722</v>
      </c>
      <c r="K470"/>
      <c r="L470"/>
      <c r="M470"/>
    </row>
    <row r="471" spans="1:13">
      <c r="A471" s="2" t="s">
        <v>770</v>
      </c>
      <c r="B471" t="s">
        <v>1740</v>
      </c>
      <c r="C471" t="s">
        <v>1719</v>
      </c>
      <c r="D471" t="s">
        <v>1722</v>
      </c>
      <c r="K471"/>
      <c r="L471"/>
      <c r="M471"/>
    </row>
    <row r="472" spans="1:13">
      <c r="A472" s="2" t="s">
        <v>772</v>
      </c>
      <c r="B472" t="s">
        <v>1740</v>
      </c>
      <c r="C472" t="s">
        <v>1719</v>
      </c>
      <c r="D472" t="s">
        <v>1722</v>
      </c>
      <c r="K472"/>
      <c r="L472"/>
      <c r="M472"/>
    </row>
    <row r="473" spans="1:13">
      <c r="A473" s="2" t="s">
        <v>771</v>
      </c>
      <c r="B473" t="s">
        <v>1740</v>
      </c>
      <c r="C473" t="s">
        <v>1719</v>
      </c>
      <c r="D473" t="s">
        <v>1722</v>
      </c>
      <c r="K473"/>
      <c r="L473"/>
      <c r="M473"/>
    </row>
    <row r="474" spans="1:13">
      <c r="A474" s="2" t="s">
        <v>773</v>
      </c>
      <c r="B474" t="s">
        <v>1740</v>
      </c>
      <c r="C474" t="s">
        <v>1719</v>
      </c>
      <c r="D474" t="s">
        <v>1722</v>
      </c>
      <c r="K474"/>
      <c r="L474"/>
      <c r="M474"/>
    </row>
    <row r="475" spans="1:13">
      <c r="A475" s="2" t="s">
        <v>775</v>
      </c>
      <c r="B475" t="s">
        <v>1740</v>
      </c>
      <c r="C475" t="s">
        <v>1719</v>
      </c>
      <c r="D475" t="s">
        <v>1722</v>
      </c>
      <c r="K475"/>
      <c r="L475"/>
      <c r="M475"/>
    </row>
    <row r="476" spans="1:13">
      <c r="A476" s="2" t="s">
        <v>774</v>
      </c>
      <c r="B476" t="s">
        <v>1740</v>
      </c>
      <c r="C476" t="s">
        <v>1719</v>
      </c>
      <c r="D476" t="s">
        <v>1722</v>
      </c>
      <c r="K476"/>
      <c r="L476"/>
      <c r="M476"/>
    </row>
    <row r="477" spans="1:13">
      <c r="A477" s="2" t="s">
        <v>767</v>
      </c>
      <c r="B477" t="s">
        <v>1740</v>
      </c>
      <c r="C477" t="s">
        <v>1719</v>
      </c>
      <c r="D477" t="s">
        <v>1722</v>
      </c>
      <c r="K477"/>
      <c r="L477"/>
      <c r="M477"/>
    </row>
    <row r="478" spans="1:13">
      <c r="A478" s="2" t="s">
        <v>766</v>
      </c>
      <c r="B478" t="s">
        <v>1740</v>
      </c>
      <c r="C478" t="s">
        <v>1719</v>
      </c>
      <c r="D478" t="s">
        <v>1722</v>
      </c>
      <c r="K478"/>
      <c r="L478"/>
      <c r="M478"/>
    </row>
    <row r="479" spans="1:13">
      <c r="A479" s="2" t="s">
        <v>769</v>
      </c>
      <c r="B479" t="s">
        <v>1740</v>
      </c>
      <c r="C479" t="s">
        <v>1719</v>
      </c>
      <c r="D479" t="s">
        <v>1722</v>
      </c>
      <c r="K479"/>
      <c r="L479"/>
      <c r="M479"/>
    </row>
    <row r="480" spans="1:13">
      <c r="A480" s="2" t="s">
        <v>768</v>
      </c>
      <c r="B480" t="s">
        <v>1740</v>
      </c>
      <c r="C480" t="s">
        <v>1719</v>
      </c>
      <c r="D480" t="s">
        <v>1722</v>
      </c>
      <c r="K480"/>
      <c r="L480"/>
      <c r="M480"/>
    </row>
    <row r="481" spans="1:13">
      <c r="A481" s="2" t="s">
        <v>779</v>
      </c>
      <c r="B481" t="s">
        <v>1740</v>
      </c>
      <c r="C481" t="s">
        <v>1719</v>
      </c>
      <c r="D481" t="s">
        <v>1722</v>
      </c>
      <c r="K481"/>
      <c r="L481"/>
      <c r="M481"/>
    </row>
    <row r="482" spans="1:13">
      <c r="A482" s="2" t="s">
        <v>781</v>
      </c>
      <c r="B482" t="s">
        <v>1740</v>
      </c>
      <c r="C482" t="s">
        <v>1719</v>
      </c>
      <c r="D482" t="s">
        <v>1722</v>
      </c>
      <c r="K482"/>
      <c r="L482"/>
      <c r="M482"/>
    </row>
    <row r="483" spans="1:13">
      <c r="A483" s="2" t="s">
        <v>780</v>
      </c>
      <c r="B483" t="s">
        <v>1740</v>
      </c>
      <c r="C483" t="s">
        <v>1719</v>
      </c>
      <c r="D483" t="s">
        <v>1722</v>
      </c>
      <c r="K483"/>
      <c r="L483"/>
      <c r="M483"/>
    </row>
    <row r="484" spans="1:13">
      <c r="A484" s="2" t="s">
        <v>790</v>
      </c>
      <c r="B484" t="s">
        <v>1740</v>
      </c>
      <c r="C484" t="s">
        <v>1719</v>
      </c>
      <c r="D484" t="s">
        <v>3029</v>
      </c>
      <c r="K484"/>
      <c r="L484"/>
      <c r="M484"/>
    </row>
    <row r="485" spans="1:13">
      <c r="A485" s="2" t="s">
        <v>782</v>
      </c>
      <c r="B485" t="s">
        <v>1740</v>
      </c>
      <c r="C485" t="s">
        <v>1719</v>
      </c>
      <c r="D485" t="s">
        <v>3029</v>
      </c>
      <c r="K485"/>
      <c r="L485"/>
      <c r="M485"/>
    </row>
    <row r="486" spans="1:13">
      <c r="A486" s="2" t="s">
        <v>792</v>
      </c>
      <c r="B486" t="s">
        <v>1740</v>
      </c>
      <c r="C486" t="s">
        <v>1719</v>
      </c>
      <c r="D486" t="s">
        <v>1722</v>
      </c>
      <c r="K486"/>
      <c r="L486"/>
      <c r="M486"/>
    </row>
    <row r="487" spans="1:13">
      <c r="A487" s="2" t="s">
        <v>793</v>
      </c>
      <c r="B487" t="s">
        <v>1740</v>
      </c>
      <c r="C487" t="s">
        <v>1719</v>
      </c>
      <c r="D487" t="s">
        <v>1723</v>
      </c>
      <c r="K487"/>
      <c r="L487"/>
      <c r="M487"/>
    </row>
    <row r="488" spans="1:13">
      <c r="A488" s="2" t="s">
        <v>795</v>
      </c>
      <c r="B488" t="s">
        <v>1740</v>
      </c>
      <c r="C488" t="s">
        <v>1719</v>
      </c>
      <c r="D488" t="s">
        <v>1722</v>
      </c>
      <c r="K488"/>
      <c r="L488"/>
      <c r="M488"/>
    </row>
    <row r="489" spans="1:13">
      <c r="A489" s="2" t="s">
        <v>794</v>
      </c>
      <c r="B489" t="s">
        <v>1740</v>
      </c>
      <c r="C489" t="s">
        <v>1719</v>
      </c>
      <c r="D489" t="s">
        <v>1723</v>
      </c>
      <c r="K489"/>
      <c r="L489"/>
      <c r="M489"/>
    </row>
    <row r="490" spans="1:13">
      <c r="A490" s="2" t="s">
        <v>783</v>
      </c>
      <c r="B490" t="s">
        <v>1740</v>
      </c>
      <c r="C490" t="s">
        <v>1719</v>
      </c>
      <c r="D490" t="s">
        <v>1722</v>
      </c>
      <c r="K490"/>
      <c r="L490"/>
      <c r="M490"/>
    </row>
    <row r="491" spans="1:13">
      <c r="A491" s="2" t="s">
        <v>785</v>
      </c>
      <c r="B491" t="s">
        <v>1740</v>
      </c>
      <c r="C491" t="s">
        <v>1719</v>
      </c>
      <c r="D491" t="s">
        <v>1722</v>
      </c>
      <c r="K491"/>
      <c r="L491"/>
      <c r="M491"/>
    </row>
    <row r="492" spans="1:13">
      <c r="A492" s="2" t="s">
        <v>784</v>
      </c>
      <c r="B492" t="s">
        <v>1740</v>
      </c>
      <c r="C492" t="s">
        <v>1719</v>
      </c>
      <c r="D492" t="s">
        <v>1722</v>
      </c>
      <c r="K492"/>
      <c r="L492"/>
      <c r="M492"/>
    </row>
    <row r="493" spans="1:13">
      <c r="A493" s="2" t="s">
        <v>776</v>
      </c>
      <c r="B493" t="s">
        <v>1740</v>
      </c>
      <c r="C493" t="s">
        <v>1719</v>
      </c>
      <c r="D493" t="s">
        <v>1722</v>
      </c>
      <c r="K493"/>
      <c r="L493"/>
      <c r="M493"/>
    </row>
    <row r="494" spans="1:13">
      <c r="A494" s="2" t="s">
        <v>778</v>
      </c>
      <c r="B494" t="s">
        <v>1740</v>
      </c>
      <c r="C494" t="s">
        <v>1719</v>
      </c>
      <c r="D494" t="s">
        <v>1722</v>
      </c>
      <c r="K494"/>
      <c r="L494"/>
      <c r="M494"/>
    </row>
    <row r="495" spans="1:13">
      <c r="A495" s="2" t="s">
        <v>777</v>
      </c>
      <c r="B495" t="s">
        <v>1740</v>
      </c>
      <c r="C495" t="s">
        <v>1719</v>
      </c>
      <c r="D495" t="s">
        <v>1722</v>
      </c>
      <c r="K495"/>
      <c r="L495"/>
      <c r="M495"/>
    </row>
    <row r="496" spans="1:13">
      <c r="A496" s="2" t="s">
        <v>787</v>
      </c>
      <c r="B496" t="s">
        <v>1740</v>
      </c>
      <c r="C496" t="s">
        <v>1719</v>
      </c>
      <c r="D496" t="s">
        <v>1722</v>
      </c>
      <c r="K496"/>
      <c r="L496"/>
      <c r="M496"/>
    </row>
    <row r="497" spans="1:13">
      <c r="A497" s="2" t="s">
        <v>786</v>
      </c>
      <c r="B497" t="s">
        <v>1740</v>
      </c>
      <c r="C497" t="s">
        <v>1719</v>
      </c>
      <c r="D497" t="s">
        <v>1722</v>
      </c>
      <c r="K497"/>
      <c r="L497"/>
      <c r="M497"/>
    </row>
    <row r="498" spans="1:13">
      <c r="A498" s="2" t="s">
        <v>791</v>
      </c>
      <c r="B498" t="s">
        <v>1740</v>
      </c>
      <c r="C498" t="s">
        <v>1719</v>
      </c>
      <c r="D498" t="s">
        <v>1722</v>
      </c>
      <c r="K498"/>
      <c r="L498"/>
      <c r="M498"/>
    </row>
    <row r="499" spans="1:13">
      <c r="A499" s="2" t="s">
        <v>788</v>
      </c>
      <c r="B499" t="s">
        <v>1740</v>
      </c>
      <c r="C499" t="s">
        <v>1719</v>
      </c>
      <c r="D499" t="s">
        <v>3029</v>
      </c>
      <c r="K499"/>
      <c r="L499"/>
      <c r="M499"/>
    </row>
    <row r="500" spans="1:13">
      <c r="A500" s="2" t="s">
        <v>789</v>
      </c>
      <c r="B500" t="s">
        <v>1740</v>
      </c>
      <c r="C500" t="s">
        <v>1719</v>
      </c>
      <c r="D500" t="s">
        <v>1722</v>
      </c>
      <c r="K500"/>
      <c r="L500"/>
      <c r="M500"/>
    </row>
    <row r="501" spans="1:13">
      <c r="A501" s="2" t="s">
        <v>807</v>
      </c>
      <c r="B501" t="s">
        <v>1740</v>
      </c>
      <c r="C501" t="s">
        <v>1719</v>
      </c>
      <c r="D501" t="s">
        <v>1722</v>
      </c>
      <c r="K501"/>
      <c r="L501"/>
      <c r="M501"/>
    </row>
    <row r="502" spans="1:13">
      <c r="A502" s="2" t="s">
        <v>806</v>
      </c>
      <c r="B502" t="s">
        <v>1740</v>
      </c>
      <c r="C502" t="s">
        <v>1719</v>
      </c>
      <c r="D502" t="s">
        <v>3029</v>
      </c>
      <c r="K502"/>
      <c r="L502"/>
      <c r="M502"/>
    </row>
    <row r="503" spans="1:13">
      <c r="A503" s="2" t="s">
        <v>811</v>
      </c>
      <c r="B503" t="s">
        <v>1740</v>
      </c>
      <c r="C503" t="s">
        <v>1719</v>
      </c>
      <c r="D503" t="s">
        <v>3029</v>
      </c>
      <c r="K503"/>
      <c r="L503"/>
      <c r="M503"/>
    </row>
    <row r="504" spans="1:13">
      <c r="A504" s="2" t="s">
        <v>808</v>
      </c>
      <c r="B504" t="s">
        <v>1740</v>
      </c>
      <c r="C504" t="s">
        <v>1719</v>
      </c>
      <c r="D504" t="s">
        <v>3029</v>
      </c>
      <c r="K504"/>
      <c r="L504"/>
      <c r="M504"/>
    </row>
    <row r="505" spans="1:13">
      <c r="A505" s="2" t="s">
        <v>800</v>
      </c>
      <c r="B505" t="s">
        <v>1740</v>
      </c>
      <c r="C505" t="s">
        <v>1719</v>
      </c>
      <c r="D505" t="s">
        <v>3029</v>
      </c>
      <c r="K505"/>
      <c r="L505"/>
      <c r="M505"/>
    </row>
    <row r="506" spans="1:13">
      <c r="A506" s="2" t="s">
        <v>796</v>
      </c>
      <c r="B506" t="s">
        <v>1740</v>
      </c>
      <c r="C506" t="s">
        <v>1719</v>
      </c>
      <c r="D506" t="s">
        <v>1722</v>
      </c>
      <c r="K506"/>
      <c r="L506"/>
      <c r="M506"/>
    </row>
    <row r="507" spans="1:13">
      <c r="A507" s="2" t="s">
        <v>799</v>
      </c>
      <c r="B507" t="s">
        <v>1740</v>
      </c>
      <c r="C507" t="s">
        <v>1719</v>
      </c>
      <c r="D507" t="s">
        <v>1722</v>
      </c>
      <c r="K507"/>
      <c r="L507"/>
      <c r="M507"/>
    </row>
    <row r="508" spans="1:13">
      <c r="A508" s="2" t="s">
        <v>810</v>
      </c>
      <c r="B508" t="s">
        <v>1740</v>
      </c>
      <c r="C508" t="s">
        <v>1719</v>
      </c>
      <c r="D508" t="s">
        <v>1722</v>
      </c>
      <c r="K508"/>
      <c r="L508"/>
      <c r="M508"/>
    </row>
    <row r="509" spans="1:13">
      <c r="A509" s="2" t="s">
        <v>809</v>
      </c>
      <c r="B509" t="s">
        <v>1740</v>
      </c>
      <c r="C509" t="s">
        <v>1719</v>
      </c>
      <c r="D509" t="s">
        <v>1722</v>
      </c>
      <c r="K509"/>
      <c r="L509"/>
      <c r="M509"/>
    </row>
    <row r="510" spans="1:13">
      <c r="A510" s="2" t="s">
        <v>797</v>
      </c>
      <c r="B510" t="s">
        <v>1740</v>
      </c>
      <c r="C510" t="s">
        <v>1719</v>
      </c>
      <c r="D510" t="s">
        <v>1722</v>
      </c>
      <c r="K510"/>
      <c r="L510"/>
      <c r="M510"/>
    </row>
    <row r="511" spans="1:13">
      <c r="A511" s="2" t="s">
        <v>801</v>
      </c>
      <c r="B511" t="s">
        <v>1740</v>
      </c>
      <c r="C511" t="s">
        <v>1719</v>
      </c>
      <c r="D511" t="s">
        <v>1722</v>
      </c>
      <c r="K511"/>
      <c r="L511"/>
      <c r="M511"/>
    </row>
    <row r="512" spans="1:13">
      <c r="A512" s="2" t="s">
        <v>803</v>
      </c>
      <c r="B512" t="s">
        <v>1740</v>
      </c>
      <c r="C512" t="s">
        <v>1719</v>
      </c>
      <c r="D512" t="s">
        <v>1722</v>
      </c>
      <c r="K512"/>
      <c r="L512"/>
      <c r="M512"/>
    </row>
    <row r="513" spans="1:13">
      <c r="A513" s="2" t="s">
        <v>802</v>
      </c>
      <c r="B513" t="s">
        <v>1740</v>
      </c>
      <c r="C513" t="s">
        <v>1719</v>
      </c>
      <c r="D513" t="s">
        <v>1722</v>
      </c>
      <c r="K513"/>
      <c r="L513"/>
      <c r="M513"/>
    </row>
    <row r="514" spans="1:13">
      <c r="A514" s="2" t="s">
        <v>798</v>
      </c>
      <c r="B514" t="s">
        <v>1740</v>
      </c>
      <c r="C514" t="s">
        <v>1719</v>
      </c>
      <c r="D514" t="s">
        <v>3029</v>
      </c>
      <c r="K514"/>
      <c r="L514"/>
      <c r="M514"/>
    </row>
    <row r="515" spans="1:13">
      <c r="A515" s="2" t="s">
        <v>805</v>
      </c>
      <c r="B515" t="s">
        <v>1740</v>
      </c>
      <c r="C515" t="s">
        <v>1719</v>
      </c>
      <c r="D515" t="s">
        <v>3029</v>
      </c>
      <c r="K515"/>
      <c r="L515"/>
      <c r="M515"/>
    </row>
    <row r="516" spans="1:13">
      <c r="A516" s="2" t="s">
        <v>804</v>
      </c>
      <c r="B516" t="s">
        <v>1740</v>
      </c>
      <c r="C516" t="s">
        <v>1719</v>
      </c>
      <c r="D516" t="s">
        <v>1722</v>
      </c>
      <c r="K516"/>
      <c r="L516"/>
      <c r="M516"/>
    </row>
    <row r="517" spans="1:13">
      <c r="A517" s="2" t="s">
        <v>812</v>
      </c>
      <c r="B517" t="s">
        <v>1740</v>
      </c>
      <c r="C517" t="s">
        <v>1719</v>
      </c>
      <c r="D517" t="s">
        <v>3029</v>
      </c>
      <c r="K517"/>
      <c r="L517"/>
      <c r="M517"/>
    </row>
    <row r="518" spans="1:13">
      <c r="A518" s="2" t="s">
        <v>816</v>
      </c>
      <c r="B518" t="s">
        <v>1740</v>
      </c>
      <c r="C518" t="s">
        <v>1719</v>
      </c>
      <c r="D518" t="s">
        <v>3029</v>
      </c>
      <c r="K518"/>
      <c r="L518"/>
      <c r="M518"/>
    </row>
    <row r="519" spans="1:13">
      <c r="A519" s="2" t="s">
        <v>817</v>
      </c>
      <c r="B519" t="s">
        <v>1740</v>
      </c>
      <c r="C519" t="s">
        <v>1719</v>
      </c>
      <c r="D519" t="s">
        <v>3029</v>
      </c>
      <c r="K519"/>
      <c r="L519"/>
      <c r="M519"/>
    </row>
    <row r="520" spans="1:13">
      <c r="A520" s="2" t="s">
        <v>814</v>
      </c>
      <c r="B520" t="s">
        <v>1740</v>
      </c>
      <c r="C520" t="s">
        <v>1719</v>
      </c>
      <c r="D520" t="s">
        <v>3029</v>
      </c>
      <c r="K520"/>
      <c r="L520"/>
      <c r="M520"/>
    </row>
    <row r="521" spans="1:13">
      <c r="A521" s="2" t="s">
        <v>815</v>
      </c>
      <c r="B521" t="s">
        <v>1740</v>
      </c>
      <c r="C521" t="s">
        <v>1719</v>
      </c>
      <c r="D521" t="s">
        <v>3029</v>
      </c>
      <c r="K521"/>
      <c r="L521"/>
      <c r="M521"/>
    </row>
    <row r="522" spans="1:13">
      <c r="A522" s="2" t="s">
        <v>813</v>
      </c>
      <c r="B522" t="s">
        <v>1740</v>
      </c>
      <c r="C522" t="s">
        <v>1719</v>
      </c>
      <c r="D522" t="s">
        <v>3029</v>
      </c>
      <c r="K522"/>
      <c r="L522"/>
      <c r="M522"/>
    </row>
    <row r="523" spans="1:13">
      <c r="A523" s="2" t="s">
        <v>818</v>
      </c>
      <c r="B523" t="s">
        <v>1740</v>
      </c>
      <c r="C523" t="s">
        <v>1719</v>
      </c>
      <c r="D523" t="s">
        <v>1722</v>
      </c>
      <c r="K523"/>
      <c r="L523"/>
      <c r="M523"/>
    </row>
    <row r="524" spans="1:13">
      <c r="A524" s="2" t="s">
        <v>819</v>
      </c>
      <c r="B524" t="s">
        <v>1740</v>
      </c>
      <c r="C524" t="s">
        <v>1719</v>
      </c>
      <c r="D524" t="s">
        <v>1722</v>
      </c>
      <c r="K524"/>
      <c r="L524"/>
      <c r="M524"/>
    </row>
    <row r="525" spans="1:13">
      <c r="A525" s="2" t="s">
        <v>821</v>
      </c>
      <c r="B525" t="s">
        <v>1740</v>
      </c>
      <c r="C525" t="s">
        <v>1719</v>
      </c>
      <c r="D525" t="s">
        <v>1722</v>
      </c>
      <c r="K525"/>
      <c r="L525"/>
      <c r="M525"/>
    </row>
    <row r="526" spans="1:13">
      <c r="A526" s="2" t="s">
        <v>820</v>
      </c>
      <c r="B526" t="s">
        <v>1740</v>
      </c>
      <c r="C526" t="s">
        <v>1719</v>
      </c>
      <c r="D526" t="s">
        <v>1722</v>
      </c>
      <c r="K526"/>
      <c r="L526"/>
      <c r="M526"/>
    </row>
    <row r="527" spans="1:13">
      <c r="A527" s="2" t="s">
        <v>822</v>
      </c>
      <c r="B527" t="s">
        <v>1740</v>
      </c>
      <c r="C527" t="s">
        <v>1719</v>
      </c>
      <c r="D527" t="s">
        <v>1722</v>
      </c>
      <c r="K527"/>
      <c r="L527"/>
      <c r="M527"/>
    </row>
    <row r="528" spans="1:13">
      <c r="A528" s="2" t="s">
        <v>823</v>
      </c>
      <c r="B528" t="s">
        <v>1740</v>
      </c>
      <c r="C528" t="s">
        <v>1719</v>
      </c>
      <c r="D528" t="s">
        <v>1722</v>
      </c>
      <c r="K528"/>
      <c r="L528"/>
      <c r="M528"/>
    </row>
    <row r="529" spans="1:13">
      <c r="A529" s="2" t="s">
        <v>824</v>
      </c>
      <c r="B529" t="s">
        <v>1740</v>
      </c>
      <c r="C529" t="s">
        <v>1719</v>
      </c>
      <c r="D529" t="s">
        <v>1722</v>
      </c>
      <c r="K529"/>
      <c r="L529"/>
      <c r="M529"/>
    </row>
    <row r="530" spans="1:13">
      <c r="A530" s="2" t="s">
        <v>825</v>
      </c>
      <c r="B530" t="s">
        <v>1740</v>
      </c>
      <c r="C530" t="s">
        <v>1719</v>
      </c>
      <c r="D530" t="s">
        <v>1722</v>
      </c>
      <c r="K530"/>
      <c r="L530"/>
      <c r="M530"/>
    </row>
    <row r="531" spans="1:13">
      <c r="A531" s="2" t="s">
        <v>746</v>
      </c>
      <c r="B531" t="s">
        <v>1740</v>
      </c>
      <c r="C531" t="s">
        <v>1713</v>
      </c>
      <c r="D531" t="s">
        <v>1727</v>
      </c>
      <c r="K531"/>
      <c r="L531"/>
      <c r="M531"/>
    </row>
    <row r="532" spans="1:13">
      <c r="A532" s="2" t="s">
        <v>747</v>
      </c>
      <c r="B532" t="s">
        <v>1740</v>
      </c>
      <c r="C532" t="s">
        <v>1713</v>
      </c>
      <c r="D532" t="s">
        <v>1727</v>
      </c>
      <c r="K532"/>
      <c r="L532"/>
      <c r="M532"/>
    </row>
    <row r="533" spans="1:13">
      <c r="A533" s="2" t="s">
        <v>748</v>
      </c>
      <c r="B533" t="s">
        <v>1740</v>
      </c>
      <c r="C533" t="s">
        <v>1713</v>
      </c>
      <c r="D533" t="s">
        <v>1727</v>
      </c>
      <c r="K533"/>
      <c r="L533"/>
      <c r="M533"/>
    </row>
    <row r="534" spans="1:13">
      <c r="A534" s="2" t="s">
        <v>749</v>
      </c>
      <c r="B534" t="s">
        <v>1740</v>
      </c>
      <c r="C534" t="s">
        <v>1713</v>
      </c>
      <c r="D534" t="s">
        <v>1727</v>
      </c>
      <c r="K534"/>
      <c r="L534"/>
      <c r="M534"/>
    </row>
    <row r="535" spans="1:13">
      <c r="A535" s="2" t="s">
        <v>752</v>
      </c>
      <c r="B535" t="s">
        <v>1740</v>
      </c>
      <c r="C535" t="s">
        <v>1719</v>
      </c>
      <c r="D535" t="s">
        <v>1724</v>
      </c>
      <c r="K535"/>
      <c r="L535"/>
      <c r="M535"/>
    </row>
    <row r="536" spans="1:13">
      <c r="A536" s="2" t="s">
        <v>751</v>
      </c>
      <c r="B536" t="s">
        <v>1740</v>
      </c>
      <c r="C536" t="s">
        <v>1719</v>
      </c>
      <c r="D536" t="s">
        <v>1730</v>
      </c>
      <c r="K536"/>
      <c r="L536"/>
      <c r="M536"/>
    </row>
    <row r="537" spans="1:13">
      <c r="A537" s="2" t="s">
        <v>754</v>
      </c>
      <c r="B537" t="s">
        <v>1740</v>
      </c>
      <c r="C537" t="s">
        <v>1719</v>
      </c>
      <c r="D537" t="s">
        <v>1738</v>
      </c>
      <c r="K537"/>
      <c r="L537"/>
      <c r="M537"/>
    </row>
    <row r="538" spans="1:13">
      <c r="A538" s="2" t="s">
        <v>753</v>
      </c>
      <c r="B538" t="s">
        <v>1740</v>
      </c>
      <c r="C538" t="s">
        <v>1719</v>
      </c>
      <c r="D538" t="s">
        <v>1731</v>
      </c>
      <c r="K538"/>
      <c r="L538"/>
      <c r="M538"/>
    </row>
    <row r="539" spans="1:13">
      <c r="A539" s="2" t="s">
        <v>827</v>
      </c>
      <c r="B539" t="s">
        <v>1740</v>
      </c>
      <c r="C539" t="s">
        <v>1719</v>
      </c>
      <c r="D539" t="s">
        <v>1724</v>
      </c>
      <c r="K539"/>
      <c r="L539"/>
      <c r="M539"/>
    </row>
    <row r="540" spans="1:13">
      <c r="A540" s="2" t="s">
        <v>828</v>
      </c>
      <c r="B540" t="s">
        <v>1740</v>
      </c>
      <c r="C540" t="s">
        <v>1719</v>
      </c>
      <c r="D540" t="s">
        <v>1737</v>
      </c>
      <c r="K540"/>
      <c r="L540"/>
      <c r="M540"/>
    </row>
    <row r="541" spans="1:13">
      <c r="A541" s="2" t="s">
        <v>826</v>
      </c>
      <c r="B541" t="s">
        <v>1740</v>
      </c>
      <c r="C541" t="s">
        <v>1719</v>
      </c>
      <c r="D541" t="s">
        <v>1730</v>
      </c>
      <c r="K541"/>
      <c r="L541"/>
      <c r="M541"/>
    </row>
    <row r="542" spans="1:13">
      <c r="A542" s="2" t="s">
        <v>832</v>
      </c>
      <c r="B542" t="s">
        <v>1740</v>
      </c>
      <c r="C542" t="s">
        <v>1719</v>
      </c>
      <c r="D542" t="s">
        <v>1729</v>
      </c>
      <c r="K542"/>
      <c r="L542"/>
      <c r="M542"/>
    </row>
    <row r="543" spans="1:13">
      <c r="A543" s="2" t="s">
        <v>830</v>
      </c>
      <c r="B543" t="s">
        <v>1740</v>
      </c>
      <c r="C543" t="s">
        <v>1719</v>
      </c>
      <c r="D543" t="s">
        <v>1733</v>
      </c>
      <c r="K543"/>
      <c r="L543"/>
      <c r="M543"/>
    </row>
    <row r="544" spans="1:13">
      <c r="A544" s="2" t="s">
        <v>831</v>
      </c>
      <c r="B544" t="s">
        <v>1740</v>
      </c>
      <c r="C544" t="s">
        <v>1719</v>
      </c>
      <c r="D544" t="s">
        <v>1723</v>
      </c>
      <c r="K544"/>
      <c r="L544"/>
      <c r="M544"/>
    </row>
    <row r="545" spans="1:13">
      <c r="A545" s="2" t="s">
        <v>829</v>
      </c>
      <c r="B545" t="s">
        <v>1740</v>
      </c>
      <c r="C545" t="s">
        <v>1719</v>
      </c>
      <c r="D545" t="s">
        <v>1732</v>
      </c>
      <c r="K545"/>
      <c r="L545"/>
      <c r="M545"/>
    </row>
    <row r="546" spans="1:13">
      <c r="A546" s="2" t="s">
        <v>834</v>
      </c>
      <c r="B546" t="s">
        <v>1740</v>
      </c>
      <c r="C546" t="s">
        <v>1719</v>
      </c>
      <c r="D546" t="s">
        <v>1724</v>
      </c>
      <c r="K546"/>
      <c r="L546"/>
      <c r="M546"/>
    </row>
    <row r="547" spans="1:13">
      <c r="A547" s="2" t="s">
        <v>835</v>
      </c>
      <c r="B547" t="s">
        <v>1740</v>
      </c>
      <c r="C547" t="s">
        <v>1719</v>
      </c>
      <c r="D547" t="s">
        <v>1734</v>
      </c>
      <c r="K547"/>
      <c r="L547"/>
      <c r="M547"/>
    </row>
    <row r="548" spans="1:13">
      <c r="A548" s="2" t="s">
        <v>833</v>
      </c>
      <c r="B548" t="s">
        <v>1740</v>
      </c>
      <c r="C548" t="s">
        <v>1719</v>
      </c>
      <c r="D548" t="s">
        <v>1730</v>
      </c>
      <c r="K548"/>
      <c r="L548"/>
      <c r="M548"/>
    </row>
    <row r="549" spans="1:13">
      <c r="A549" s="2" t="s">
        <v>840</v>
      </c>
      <c r="B549" t="s">
        <v>1740</v>
      </c>
      <c r="C549" t="s">
        <v>1719</v>
      </c>
      <c r="D549" t="s">
        <v>1729</v>
      </c>
      <c r="K549"/>
      <c r="L549"/>
      <c r="M549"/>
    </row>
    <row r="550" spans="1:13">
      <c r="A550" s="2" t="s">
        <v>837</v>
      </c>
      <c r="B550" t="s">
        <v>1740</v>
      </c>
      <c r="C550" t="s">
        <v>1719</v>
      </c>
      <c r="D550" t="s">
        <v>1733</v>
      </c>
      <c r="K550"/>
      <c r="L550"/>
      <c r="M550"/>
    </row>
    <row r="551" spans="1:13">
      <c r="A551" s="2" t="s">
        <v>838</v>
      </c>
      <c r="B551" t="s">
        <v>1740</v>
      </c>
      <c r="C551" t="s">
        <v>1719</v>
      </c>
      <c r="D551" t="s">
        <v>1723</v>
      </c>
      <c r="K551"/>
      <c r="L551"/>
      <c r="M551"/>
    </row>
    <row r="552" spans="1:13">
      <c r="A552" s="2" t="s">
        <v>839</v>
      </c>
      <c r="B552" t="s">
        <v>1740</v>
      </c>
      <c r="C552" t="s">
        <v>1719</v>
      </c>
      <c r="D552" t="s">
        <v>1723</v>
      </c>
      <c r="K552"/>
      <c r="L552"/>
      <c r="M552"/>
    </row>
    <row r="553" spans="1:13">
      <c r="A553" s="2" t="s">
        <v>836</v>
      </c>
      <c r="B553" t="s">
        <v>1740</v>
      </c>
      <c r="C553" t="s">
        <v>1719</v>
      </c>
      <c r="D553" t="s">
        <v>1731</v>
      </c>
      <c r="K553"/>
      <c r="L553"/>
      <c r="M553"/>
    </row>
    <row r="554" spans="1:13">
      <c r="A554" s="2" t="s">
        <v>843</v>
      </c>
      <c r="B554" t="s">
        <v>1740</v>
      </c>
      <c r="C554" t="s">
        <v>1719</v>
      </c>
      <c r="D554" t="s">
        <v>1724</v>
      </c>
      <c r="K554"/>
      <c r="L554"/>
      <c r="M554"/>
    </row>
    <row r="555" spans="1:13">
      <c r="A555" s="2" t="s">
        <v>844</v>
      </c>
      <c r="B555" t="s">
        <v>1740</v>
      </c>
      <c r="C555" t="s">
        <v>1719</v>
      </c>
      <c r="D555" t="s">
        <v>1734</v>
      </c>
      <c r="K555"/>
      <c r="L555"/>
      <c r="M555"/>
    </row>
    <row r="556" spans="1:13">
      <c r="A556" s="2" t="s">
        <v>851</v>
      </c>
      <c r="B556" t="s">
        <v>1740</v>
      </c>
      <c r="C556" t="s">
        <v>1719</v>
      </c>
      <c r="D556" t="s">
        <v>1723</v>
      </c>
      <c r="K556"/>
      <c r="L556"/>
      <c r="M556"/>
    </row>
    <row r="557" spans="1:13">
      <c r="A557" s="2" t="s">
        <v>853</v>
      </c>
      <c r="B557" t="s">
        <v>1740</v>
      </c>
      <c r="C557" t="s">
        <v>1719</v>
      </c>
      <c r="D557" t="s">
        <v>1725</v>
      </c>
      <c r="K557"/>
      <c r="L557"/>
      <c r="M557"/>
    </row>
    <row r="558" spans="1:13">
      <c r="A558" s="2" t="s">
        <v>852</v>
      </c>
      <c r="B558" t="s">
        <v>1740</v>
      </c>
      <c r="C558" t="s">
        <v>1719</v>
      </c>
      <c r="D558" t="s">
        <v>1727</v>
      </c>
      <c r="K558"/>
      <c r="L558"/>
      <c r="M558"/>
    </row>
    <row r="559" spans="1:13">
      <c r="A559" s="2" t="s">
        <v>841</v>
      </c>
      <c r="B559" t="s">
        <v>1740</v>
      </c>
      <c r="C559" t="s">
        <v>1719</v>
      </c>
      <c r="D559" t="s">
        <v>1730</v>
      </c>
      <c r="K559"/>
      <c r="L559"/>
      <c r="M559"/>
    </row>
    <row r="560" spans="1:13">
      <c r="A560" s="2" t="s">
        <v>846</v>
      </c>
      <c r="B560" t="s">
        <v>1740</v>
      </c>
      <c r="C560" t="s">
        <v>1719</v>
      </c>
      <c r="D560" t="s">
        <v>1735</v>
      </c>
      <c r="K560"/>
      <c r="L560"/>
      <c r="M560"/>
    </row>
    <row r="561" spans="1:13">
      <c r="A561" s="2" t="s">
        <v>842</v>
      </c>
      <c r="B561" t="s">
        <v>1740</v>
      </c>
      <c r="C561" t="s">
        <v>1719</v>
      </c>
      <c r="D561" t="s">
        <v>1736</v>
      </c>
      <c r="K561"/>
      <c r="L561"/>
      <c r="M561"/>
    </row>
    <row r="562" spans="1:13">
      <c r="A562" s="2" t="s">
        <v>849</v>
      </c>
      <c r="B562" t="s">
        <v>1740</v>
      </c>
      <c r="C562" t="s">
        <v>1719</v>
      </c>
      <c r="D562" t="s">
        <v>1729</v>
      </c>
      <c r="K562"/>
      <c r="L562"/>
      <c r="M562"/>
    </row>
    <row r="563" spans="1:13">
      <c r="A563" s="2" t="s">
        <v>850</v>
      </c>
      <c r="B563" t="s">
        <v>1740</v>
      </c>
      <c r="C563" t="s">
        <v>1719</v>
      </c>
      <c r="D563" t="s">
        <v>1729</v>
      </c>
      <c r="K563"/>
      <c r="L563"/>
      <c r="M563"/>
    </row>
    <row r="564" spans="1:13">
      <c r="A564" s="2" t="s">
        <v>847</v>
      </c>
      <c r="B564" t="s">
        <v>1740</v>
      </c>
      <c r="C564" t="s">
        <v>1719</v>
      </c>
      <c r="D564" t="s">
        <v>1723</v>
      </c>
      <c r="K564"/>
      <c r="L564"/>
      <c r="M564"/>
    </row>
    <row r="565" spans="1:13">
      <c r="A565" s="2" t="s">
        <v>848</v>
      </c>
      <c r="B565" t="s">
        <v>1740</v>
      </c>
      <c r="C565" t="s">
        <v>1719</v>
      </c>
      <c r="D565" t="s">
        <v>1723</v>
      </c>
      <c r="K565"/>
      <c r="L565"/>
      <c r="M565"/>
    </row>
    <row r="566" spans="1:13">
      <c r="A566" s="2" t="s">
        <v>845</v>
      </c>
      <c r="B566" t="s">
        <v>1740</v>
      </c>
      <c r="C566" t="s">
        <v>1719</v>
      </c>
      <c r="D566" t="s">
        <v>1731</v>
      </c>
      <c r="K566"/>
      <c r="L566"/>
      <c r="M566"/>
    </row>
    <row r="567" spans="1:13">
      <c r="A567" s="2" t="s">
        <v>856</v>
      </c>
      <c r="B567" t="s">
        <v>1740</v>
      </c>
      <c r="C567" t="s">
        <v>1719</v>
      </c>
      <c r="D567" t="s">
        <v>1724</v>
      </c>
      <c r="K567"/>
      <c r="L567"/>
      <c r="M567"/>
    </row>
    <row r="568" spans="1:13">
      <c r="A568" s="2" t="s">
        <v>857</v>
      </c>
      <c r="B568" t="s">
        <v>1740</v>
      </c>
      <c r="C568" t="s">
        <v>1719</v>
      </c>
      <c r="D568" t="s">
        <v>1726</v>
      </c>
      <c r="K568"/>
      <c r="L568"/>
      <c r="M568"/>
    </row>
    <row r="569" spans="1:13">
      <c r="A569" s="2" t="s">
        <v>864</v>
      </c>
      <c r="B569" t="s">
        <v>1740</v>
      </c>
      <c r="C569" t="s">
        <v>1719</v>
      </c>
      <c r="D569" t="s">
        <v>1723</v>
      </c>
      <c r="K569"/>
      <c r="L569"/>
      <c r="M569"/>
    </row>
    <row r="570" spans="1:13">
      <c r="A570" s="2" t="s">
        <v>866</v>
      </c>
      <c r="B570" t="s">
        <v>1740</v>
      </c>
      <c r="C570" t="s">
        <v>1719</v>
      </c>
      <c r="D570" t="s">
        <v>1725</v>
      </c>
      <c r="K570"/>
      <c r="L570"/>
      <c r="M570"/>
    </row>
    <row r="571" spans="1:13">
      <c r="A571" s="2" t="s">
        <v>865</v>
      </c>
      <c r="B571" t="s">
        <v>1740</v>
      </c>
      <c r="C571" t="s">
        <v>1719</v>
      </c>
      <c r="D571" t="s">
        <v>1727</v>
      </c>
      <c r="K571"/>
      <c r="L571"/>
      <c r="M571"/>
    </row>
    <row r="572" spans="1:13">
      <c r="A572" s="2" t="s">
        <v>867</v>
      </c>
      <c r="B572" t="s">
        <v>1740</v>
      </c>
      <c r="C572" t="s">
        <v>1719</v>
      </c>
      <c r="D572" t="s">
        <v>1728</v>
      </c>
      <c r="K572"/>
      <c r="L572"/>
      <c r="M572"/>
    </row>
    <row r="573" spans="1:13">
      <c r="A573" s="2" t="s">
        <v>854</v>
      </c>
      <c r="B573" t="s">
        <v>1740</v>
      </c>
      <c r="C573" t="s">
        <v>1719</v>
      </c>
      <c r="D573" t="s">
        <v>1730</v>
      </c>
      <c r="K573"/>
      <c r="L573"/>
      <c r="M573"/>
    </row>
    <row r="574" spans="1:13">
      <c r="A574" s="2" t="s">
        <v>859</v>
      </c>
      <c r="B574" t="s">
        <v>1740</v>
      </c>
      <c r="C574" t="s">
        <v>1719</v>
      </c>
      <c r="D574" t="s">
        <v>1735</v>
      </c>
      <c r="K574"/>
      <c r="L574"/>
      <c r="M574"/>
    </row>
    <row r="575" spans="1:13">
      <c r="A575" s="2" t="s">
        <v>855</v>
      </c>
      <c r="B575" t="s">
        <v>1740</v>
      </c>
      <c r="C575" t="s">
        <v>1719</v>
      </c>
      <c r="D575" t="s">
        <v>1736</v>
      </c>
      <c r="K575"/>
      <c r="L575"/>
      <c r="M575"/>
    </row>
    <row r="576" spans="1:13">
      <c r="A576" s="2" t="s">
        <v>862</v>
      </c>
      <c r="B576" t="s">
        <v>1740</v>
      </c>
      <c r="C576" t="s">
        <v>1719</v>
      </c>
      <c r="D576" t="s">
        <v>1729</v>
      </c>
      <c r="K576"/>
      <c r="L576"/>
      <c r="M576"/>
    </row>
    <row r="577" spans="1:13">
      <c r="A577" s="2" t="s">
        <v>863</v>
      </c>
      <c r="B577" t="s">
        <v>1740</v>
      </c>
      <c r="C577" t="s">
        <v>1719</v>
      </c>
      <c r="D577" t="s">
        <v>1729</v>
      </c>
      <c r="K577"/>
      <c r="L577"/>
      <c r="M577"/>
    </row>
    <row r="578" spans="1:13">
      <c r="A578" s="2" t="s">
        <v>860</v>
      </c>
      <c r="B578" t="s">
        <v>1740</v>
      </c>
      <c r="C578" t="s">
        <v>1719</v>
      </c>
      <c r="D578" t="s">
        <v>1723</v>
      </c>
      <c r="K578"/>
      <c r="L578"/>
      <c r="M578"/>
    </row>
    <row r="579" spans="1:13">
      <c r="A579" s="2" t="s">
        <v>861</v>
      </c>
      <c r="B579" t="s">
        <v>1740</v>
      </c>
      <c r="C579" t="s">
        <v>1719</v>
      </c>
      <c r="D579" t="s">
        <v>1723</v>
      </c>
      <c r="K579"/>
      <c r="L579"/>
      <c r="M579"/>
    </row>
    <row r="580" spans="1:13">
      <c r="A580" s="2" t="s">
        <v>868</v>
      </c>
      <c r="B580" t="s">
        <v>1740</v>
      </c>
      <c r="C580" t="s">
        <v>1718</v>
      </c>
      <c r="D580" t="s">
        <v>1722</v>
      </c>
      <c r="K580"/>
      <c r="L580"/>
      <c r="M580"/>
    </row>
    <row r="581" spans="1:13">
      <c r="A581" s="2" t="s">
        <v>858</v>
      </c>
      <c r="B581" t="s">
        <v>1740</v>
      </c>
      <c r="C581" t="s">
        <v>1719</v>
      </c>
      <c r="D581" t="s">
        <v>1731</v>
      </c>
      <c r="K581"/>
      <c r="L581"/>
      <c r="M581"/>
    </row>
    <row r="582" spans="1:13">
      <c r="A582" s="2" t="s">
        <v>871</v>
      </c>
      <c r="B582" t="s">
        <v>1740</v>
      </c>
      <c r="C582" t="s">
        <v>1719</v>
      </c>
      <c r="D582" t="s">
        <v>1724</v>
      </c>
      <c r="K582"/>
      <c r="L582"/>
      <c r="M582"/>
    </row>
    <row r="583" spans="1:13">
      <c r="A583" s="2" t="s">
        <v>872</v>
      </c>
      <c r="B583" t="s">
        <v>1740</v>
      </c>
      <c r="C583" t="s">
        <v>1719</v>
      </c>
      <c r="D583" t="s">
        <v>1726</v>
      </c>
      <c r="K583"/>
      <c r="L583"/>
      <c r="M583"/>
    </row>
    <row r="584" spans="1:13">
      <c r="A584" s="2" t="s">
        <v>879</v>
      </c>
      <c r="B584" t="s">
        <v>1740</v>
      </c>
      <c r="C584" t="s">
        <v>1719</v>
      </c>
      <c r="D584" t="s">
        <v>1723</v>
      </c>
      <c r="K584"/>
      <c r="L584"/>
      <c r="M584"/>
    </row>
    <row r="585" spans="1:13">
      <c r="A585" s="2" t="s">
        <v>881</v>
      </c>
      <c r="B585" t="s">
        <v>1740</v>
      </c>
      <c r="C585" t="s">
        <v>1719</v>
      </c>
      <c r="D585" t="s">
        <v>1725</v>
      </c>
      <c r="K585"/>
      <c r="L585"/>
      <c r="M585"/>
    </row>
    <row r="586" spans="1:13">
      <c r="A586" s="2" t="s">
        <v>880</v>
      </c>
      <c r="B586" t="s">
        <v>1740</v>
      </c>
      <c r="C586" t="s">
        <v>1719</v>
      </c>
      <c r="D586" t="s">
        <v>1727</v>
      </c>
      <c r="K586"/>
      <c r="L586"/>
      <c r="M586"/>
    </row>
    <row r="587" spans="1:13">
      <c r="A587" s="2" t="s">
        <v>882</v>
      </c>
      <c r="B587" t="s">
        <v>1740</v>
      </c>
      <c r="C587" t="s">
        <v>1719</v>
      </c>
      <c r="D587" t="s">
        <v>1728</v>
      </c>
      <c r="K587"/>
      <c r="L587"/>
      <c r="M587"/>
    </row>
    <row r="588" spans="1:13">
      <c r="A588" s="2" t="s">
        <v>869</v>
      </c>
      <c r="B588" t="s">
        <v>1740</v>
      </c>
      <c r="C588" t="s">
        <v>1719</v>
      </c>
      <c r="D588" t="s">
        <v>1730</v>
      </c>
      <c r="K588"/>
      <c r="L588"/>
      <c r="M588"/>
    </row>
    <row r="589" spans="1:13">
      <c r="A589" s="2" t="s">
        <v>874</v>
      </c>
      <c r="B589" t="s">
        <v>1740</v>
      </c>
      <c r="C589" t="s">
        <v>1719</v>
      </c>
      <c r="D589" t="s">
        <v>1735</v>
      </c>
      <c r="K589"/>
      <c r="L589"/>
      <c r="M589"/>
    </row>
    <row r="590" spans="1:13">
      <c r="A590" s="2" t="s">
        <v>870</v>
      </c>
      <c r="B590" t="s">
        <v>1740</v>
      </c>
      <c r="C590" t="s">
        <v>1719</v>
      </c>
      <c r="D590" t="s">
        <v>1736</v>
      </c>
      <c r="K590"/>
      <c r="L590"/>
      <c r="M590"/>
    </row>
    <row r="591" spans="1:13">
      <c r="A591" s="2" t="s">
        <v>877</v>
      </c>
      <c r="B591" t="s">
        <v>1740</v>
      </c>
      <c r="C591" t="s">
        <v>1719</v>
      </c>
      <c r="D591" t="s">
        <v>1729</v>
      </c>
      <c r="K591"/>
      <c r="L591"/>
      <c r="M591"/>
    </row>
    <row r="592" spans="1:13">
      <c r="A592" s="2" t="s">
        <v>878</v>
      </c>
      <c r="B592" t="s">
        <v>1740</v>
      </c>
      <c r="C592" t="s">
        <v>1719</v>
      </c>
      <c r="D592" t="s">
        <v>1729</v>
      </c>
      <c r="K592"/>
      <c r="L592"/>
      <c r="M592"/>
    </row>
    <row r="593" spans="1:13">
      <c r="A593" s="2" t="s">
        <v>875</v>
      </c>
      <c r="B593" t="s">
        <v>1740</v>
      </c>
      <c r="C593" t="s">
        <v>1719</v>
      </c>
      <c r="D593" t="s">
        <v>1723</v>
      </c>
      <c r="K593"/>
      <c r="L593"/>
      <c r="M593"/>
    </row>
    <row r="594" spans="1:13">
      <c r="A594" s="2" t="s">
        <v>876</v>
      </c>
      <c r="B594" t="s">
        <v>1740</v>
      </c>
      <c r="C594" t="s">
        <v>1719</v>
      </c>
      <c r="D594" t="s">
        <v>1723</v>
      </c>
      <c r="K594"/>
      <c r="L594"/>
      <c r="M594"/>
    </row>
    <row r="595" spans="1:13">
      <c r="A595" s="2" t="s">
        <v>883</v>
      </c>
      <c r="B595" t="s">
        <v>1740</v>
      </c>
      <c r="C595" t="s">
        <v>1718</v>
      </c>
      <c r="D595" t="s">
        <v>1722</v>
      </c>
      <c r="K595"/>
      <c r="L595"/>
      <c r="M595"/>
    </row>
    <row r="596" spans="1:13">
      <c r="A596" s="2" t="s">
        <v>873</v>
      </c>
      <c r="B596" t="s">
        <v>1740</v>
      </c>
      <c r="C596" t="s">
        <v>1719</v>
      </c>
      <c r="D596" t="s">
        <v>1731</v>
      </c>
      <c r="K596"/>
      <c r="L596"/>
      <c r="M596"/>
    </row>
    <row r="597" spans="1:13">
      <c r="A597" s="2" t="s">
        <v>898</v>
      </c>
      <c r="B597" t="s">
        <v>1740</v>
      </c>
      <c r="C597" t="s">
        <v>1719</v>
      </c>
      <c r="D597" t="s">
        <v>1743</v>
      </c>
      <c r="K597"/>
      <c r="L597"/>
      <c r="M597"/>
    </row>
    <row r="598" spans="1:13">
      <c r="A598" s="2" t="s">
        <v>899</v>
      </c>
      <c r="B598" t="s">
        <v>1740</v>
      </c>
      <c r="C598" t="s">
        <v>1719</v>
      </c>
      <c r="D598" t="s">
        <v>1743</v>
      </c>
      <c r="K598"/>
      <c r="L598"/>
      <c r="M598"/>
    </row>
    <row r="599" spans="1:13">
      <c r="A599" s="2" t="s">
        <v>612</v>
      </c>
      <c r="B599" t="s">
        <v>1740</v>
      </c>
      <c r="C599" t="s">
        <v>1713</v>
      </c>
      <c r="D599" t="s">
        <v>1723</v>
      </c>
      <c r="K599"/>
      <c r="L599"/>
      <c r="M599"/>
    </row>
    <row r="600" spans="1:13">
      <c r="A600" s="2" t="s">
        <v>62</v>
      </c>
      <c r="B600" t="s">
        <v>1740</v>
      </c>
      <c r="C600" t="s">
        <v>1713</v>
      </c>
      <c r="D600" t="s">
        <v>1723</v>
      </c>
      <c r="K600"/>
      <c r="L600"/>
      <c r="M600"/>
    </row>
    <row r="601" spans="1:13">
      <c r="A601" s="2" t="s">
        <v>33</v>
      </c>
      <c r="B601" t="s">
        <v>1740</v>
      </c>
      <c r="C601" t="s">
        <v>1713</v>
      </c>
      <c r="D601" t="s">
        <v>1723</v>
      </c>
      <c r="K601"/>
      <c r="L601"/>
      <c r="M601"/>
    </row>
    <row r="602" spans="1:13">
      <c r="A602" s="2" t="s">
        <v>55</v>
      </c>
      <c r="B602" t="s">
        <v>1740</v>
      </c>
      <c r="C602" t="s">
        <v>1713</v>
      </c>
      <c r="D602" t="s">
        <v>1723</v>
      </c>
      <c r="K602"/>
      <c r="L602"/>
      <c r="M602"/>
    </row>
    <row r="603" spans="1:13">
      <c r="A603" s="2" t="s">
        <v>50</v>
      </c>
      <c r="B603" t="s">
        <v>1740</v>
      </c>
      <c r="C603" t="s">
        <v>1713</v>
      </c>
      <c r="D603" t="s">
        <v>1723</v>
      </c>
      <c r="K603"/>
      <c r="L603"/>
      <c r="M603"/>
    </row>
    <row r="604" spans="1:13">
      <c r="A604" s="2" t="s">
        <v>37</v>
      </c>
      <c r="B604" t="s">
        <v>1740</v>
      </c>
      <c r="C604" t="s">
        <v>1713</v>
      </c>
      <c r="D604" t="s">
        <v>1723</v>
      </c>
      <c r="K604"/>
      <c r="L604"/>
      <c r="M604"/>
    </row>
    <row r="605" spans="1:13">
      <c r="A605" s="2" t="s">
        <v>45</v>
      </c>
      <c r="B605" t="s">
        <v>1740</v>
      </c>
      <c r="C605" t="s">
        <v>1713</v>
      </c>
      <c r="D605" t="s">
        <v>1723</v>
      </c>
      <c r="K605"/>
      <c r="L605"/>
      <c r="M605"/>
    </row>
    <row r="606" spans="1:13">
      <c r="A606" s="2" t="s">
        <v>64</v>
      </c>
      <c r="B606" t="s">
        <v>1740</v>
      </c>
      <c r="C606" t="s">
        <v>1713</v>
      </c>
      <c r="D606" t="s">
        <v>1723</v>
      </c>
      <c r="K606"/>
      <c r="L606"/>
      <c r="M606"/>
    </row>
    <row r="607" spans="1:13">
      <c r="A607" s="2" t="s">
        <v>65</v>
      </c>
      <c r="B607" t="s">
        <v>1740</v>
      </c>
      <c r="C607" t="s">
        <v>1713</v>
      </c>
      <c r="D607" t="s">
        <v>1723</v>
      </c>
      <c r="K607"/>
      <c r="L607"/>
      <c r="M607"/>
    </row>
    <row r="608" spans="1:13">
      <c r="A608" s="2" t="s">
        <v>611</v>
      </c>
      <c r="B608" t="s">
        <v>1740</v>
      </c>
      <c r="C608" t="s">
        <v>1713</v>
      </c>
      <c r="D608" t="s">
        <v>1723</v>
      </c>
      <c r="K608"/>
      <c r="L608"/>
      <c r="M608"/>
    </row>
    <row r="609" spans="1:13">
      <c r="A609" s="2" t="s">
        <v>47</v>
      </c>
      <c r="B609" t="s">
        <v>1740</v>
      </c>
      <c r="C609" t="s">
        <v>1713</v>
      </c>
      <c r="D609" t="s">
        <v>1723</v>
      </c>
      <c r="K609"/>
      <c r="L609"/>
      <c r="M609"/>
    </row>
    <row r="610" spans="1:13">
      <c r="A610" s="2" t="s">
        <v>70</v>
      </c>
      <c r="B610" t="s">
        <v>1740</v>
      </c>
      <c r="C610" t="s">
        <v>1713</v>
      </c>
      <c r="D610" t="s">
        <v>1723</v>
      </c>
      <c r="K610"/>
      <c r="L610"/>
      <c r="M610"/>
    </row>
    <row r="611" spans="1:13">
      <c r="A611" s="2" t="s">
        <v>56</v>
      </c>
      <c r="B611" t="s">
        <v>1740</v>
      </c>
      <c r="C611" t="s">
        <v>1713</v>
      </c>
      <c r="D611" t="s">
        <v>1723</v>
      </c>
      <c r="K611"/>
      <c r="L611"/>
      <c r="M611"/>
    </row>
    <row r="612" spans="1:13">
      <c r="A612" s="2" t="s">
        <v>60</v>
      </c>
      <c r="B612" t="s">
        <v>1740</v>
      </c>
      <c r="C612" t="s">
        <v>1713</v>
      </c>
      <c r="D612" t="s">
        <v>1723</v>
      </c>
      <c r="K612"/>
      <c r="L612"/>
      <c r="M612"/>
    </row>
    <row r="613" spans="1:13">
      <c r="A613" s="2" t="s">
        <v>58</v>
      </c>
      <c r="B613" t="s">
        <v>1740</v>
      </c>
      <c r="C613" t="s">
        <v>1713</v>
      </c>
      <c r="D613" t="s">
        <v>1723</v>
      </c>
      <c r="K613"/>
      <c r="L613"/>
      <c r="M613"/>
    </row>
    <row r="614" spans="1:13">
      <c r="A614" s="2" t="s">
        <v>613</v>
      </c>
      <c r="B614" t="s">
        <v>1740</v>
      </c>
      <c r="C614" t="s">
        <v>1713</v>
      </c>
      <c r="D614" t="s">
        <v>1723</v>
      </c>
      <c r="K614"/>
      <c r="L614"/>
      <c r="M614"/>
    </row>
    <row r="615" spans="1:13">
      <c r="A615" s="2" t="s">
        <v>69</v>
      </c>
      <c r="B615" t="s">
        <v>1740</v>
      </c>
      <c r="C615" t="s">
        <v>1713</v>
      </c>
      <c r="D615" t="s">
        <v>1723</v>
      </c>
      <c r="K615"/>
      <c r="L615"/>
      <c r="M615"/>
    </row>
    <row r="616" spans="1:13">
      <c r="A616" s="2" t="s">
        <v>665</v>
      </c>
      <c r="B616" t="s">
        <v>1740</v>
      </c>
      <c r="C616" t="s">
        <v>1713</v>
      </c>
      <c r="D616" t="s">
        <v>1723</v>
      </c>
      <c r="K616"/>
      <c r="L616"/>
      <c r="M616"/>
    </row>
    <row r="617" spans="1:13">
      <c r="A617" s="2" t="s">
        <v>54</v>
      </c>
      <c r="B617" t="s">
        <v>1740</v>
      </c>
      <c r="C617" t="s">
        <v>1713</v>
      </c>
      <c r="D617" t="s">
        <v>1723</v>
      </c>
      <c r="K617"/>
      <c r="L617"/>
      <c r="M617"/>
    </row>
    <row r="618" spans="1:13">
      <c r="A618" s="2" t="s">
        <v>48</v>
      </c>
      <c r="B618" t="s">
        <v>1740</v>
      </c>
      <c r="C618" t="s">
        <v>1713</v>
      </c>
      <c r="D618" t="s">
        <v>1723</v>
      </c>
      <c r="K618"/>
      <c r="L618"/>
      <c r="M618"/>
    </row>
    <row r="619" spans="1:13">
      <c r="A619" s="2" t="s">
        <v>35</v>
      </c>
      <c r="B619" t="s">
        <v>1740</v>
      </c>
      <c r="C619" t="s">
        <v>1713</v>
      </c>
      <c r="D619" t="s">
        <v>1723</v>
      </c>
      <c r="K619"/>
      <c r="L619"/>
      <c r="M619"/>
    </row>
    <row r="620" spans="1:13">
      <c r="A620" s="2" t="s">
        <v>41</v>
      </c>
      <c r="B620" t="s">
        <v>1740</v>
      </c>
      <c r="C620" t="s">
        <v>1713</v>
      </c>
      <c r="D620" t="s">
        <v>1723</v>
      </c>
      <c r="K620"/>
      <c r="L620"/>
      <c r="M620"/>
    </row>
    <row r="621" spans="1:13">
      <c r="A621" s="2" t="s">
        <v>42</v>
      </c>
      <c r="B621" t="s">
        <v>1740</v>
      </c>
      <c r="C621" t="s">
        <v>1713</v>
      </c>
      <c r="D621" t="s">
        <v>1723</v>
      </c>
      <c r="K621"/>
      <c r="L621"/>
      <c r="M621"/>
    </row>
    <row r="622" spans="1:13">
      <c r="A622" s="2" t="s">
        <v>52</v>
      </c>
      <c r="B622" t="s">
        <v>1740</v>
      </c>
      <c r="C622" t="s">
        <v>1716</v>
      </c>
      <c r="D622" t="s">
        <v>1722</v>
      </c>
      <c r="K622"/>
      <c r="L622"/>
      <c r="M622"/>
    </row>
    <row r="623" spans="1:13">
      <c r="A623" s="2" t="s">
        <v>57</v>
      </c>
      <c r="B623" t="s">
        <v>1740</v>
      </c>
      <c r="C623" t="s">
        <v>1720</v>
      </c>
      <c r="D623" t="s">
        <v>1723</v>
      </c>
      <c r="K623"/>
      <c r="L623"/>
      <c r="M623"/>
    </row>
    <row r="624" spans="1:13">
      <c r="A624" s="2" t="s">
        <v>66</v>
      </c>
      <c r="B624" t="s">
        <v>1740</v>
      </c>
      <c r="C624" t="s">
        <v>1713</v>
      </c>
      <c r="D624" t="s">
        <v>1723</v>
      </c>
      <c r="K624"/>
      <c r="L624"/>
      <c r="M624"/>
    </row>
    <row r="625" spans="1:13">
      <c r="A625" s="2" t="s">
        <v>71</v>
      </c>
      <c r="B625" t="s">
        <v>1740</v>
      </c>
      <c r="C625" t="s">
        <v>1713</v>
      </c>
      <c r="D625" t="s">
        <v>1723</v>
      </c>
      <c r="K625"/>
      <c r="L625"/>
      <c r="M625"/>
    </row>
    <row r="626" spans="1:13">
      <c r="A626" s="2" t="s">
        <v>610</v>
      </c>
      <c r="B626" t="s">
        <v>1740</v>
      </c>
      <c r="C626" t="s">
        <v>1713</v>
      </c>
      <c r="D626" t="s">
        <v>1723</v>
      </c>
      <c r="K626"/>
      <c r="L626"/>
      <c r="M626"/>
    </row>
    <row r="627" spans="1:13">
      <c r="A627" s="2" t="s">
        <v>609</v>
      </c>
      <c r="B627" t="s">
        <v>1740</v>
      </c>
      <c r="C627" t="s">
        <v>1713</v>
      </c>
      <c r="D627" t="s">
        <v>1723</v>
      </c>
      <c r="K627"/>
      <c r="L627"/>
      <c r="M627"/>
    </row>
    <row r="628" spans="1:13">
      <c r="A628" s="2" t="s">
        <v>49</v>
      </c>
      <c r="B628" t="s">
        <v>1740</v>
      </c>
      <c r="C628" t="s">
        <v>1713</v>
      </c>
      <c r="D628" t="s">
        <v>1723</v>
      </c>
      <c r="K628"/>
      <c r="L628"/>
      <c r="M628"/>
    </row>
    <row r="629" spans="1:13">
      <c r="A629" s="2" t="s">
        <v>43</v>
      </c>
      <c r="B629" t="s">
        <v>1740</v>
      </c>
      <c r="C629" t="s">
        <v>1713</v>
      </c>
      <c r="D629" t="s">
        <v>1723</v>
      </c>
      <c r="K629"/>
      <c r="L629"/>
      <c r="M629"/>
    </row>
    <row r="630" spans="1:13">
      <c r="A630" s="2" t="s">
        <v>44</v>
      </c>
      <c r="B630" t="s">
        <v>1740</v>
      </c>
      <c r="C630" t="s">
        <v>1713</v>
      </c>
      <c r="D630" t="s">
        <v>1723</v>
      </c>
      <c r="K630"/>
      <c r="L630"/>
      <c r="M630"/>
    </row>
    <row r="631" spans="1:13">
      <c r="A631" s="2" t="s">
        <v>61</v>
      </c>
      <c r="B631" t="s">
        <v>1740</v>
      </c>
      <c r="C631" t="s">
        <v>1713</v>
      </c>
      <c r="D631" t="s">
        <v>1723</v>
      </c>
      <c r="K631"/>
      <c r="L631"/>
      <c r="M631"/>
    </row>
    <row r="632" spans="1:13">
      <c r="A632" s="2" t="s">
        <v>38</v>
      </c>
      <c r="B632" t="s">
        <v>1740</v>
      </c>
      <c r="C632" t="s">
        <v>1713</v>
      </c>
      <c r="D632" t="s">
        <v>1723</v>
      </c>
      <c r="K632"/>
      <c r="L632"/>
      <c r="M632"/>
    </row>
    <row r="633" spans="1:13">
      <c r="A633" s="2" t="s">
        <v>59</v>
      </c>
      <c r="B633" t="s">
        <v>1740</v>
      </c>
      <c r="C633" t="s">
        <v>1713</v>
      </c>
      <c r="D633" t="s">
        <v>1723</v>
      </c>
      <c r="K633"/>
      <c r="L633"/>
      <c r="M633"/>
    </row>
    <row r="634" spans="1:13">
      <c r="A634" s="2" t="s">
        <v>39</v>
      </c>
      <c r="B634" t="s">
        <v>1740</v>
      </c>
      <c r="C634" t="s">
        <v>1713</v>
      </c>
      <c r="D634" t="s">
        <v>1723</v>
      </c>
      <c r="K634"/>
      <c r="L634"/>
      <c r="M634"/>
    </row>
    <row r="635" spans="1:13">
      <c r="A635" s="2" t="s">
        <v>63</v>
      </c>
      <c r="B635" t="s">
        <v>1740</v>
      </c>
      <c r="C635" t="s">
        <v>1713</v>
      </c>
      <c r="D635" t="s">
        <v>1723</v>
      </c>
      <c r="K635"/>
      <c r="L635"/>
      <c r="M635"/>
    </row>
    <row r="636" spans="1:13">
      <c r="A636" s="2" t="s">
        <v>666</v>
      </c>
      <c r="B636" t="s">
        <v>1740</v>
      </c>
      <c r="C636" t="s">
        <v>1713</v>
      </c>
      <c r="D636" t="s">
        <v>1723</v>
      </c>
      <c r="K636"/>
      <c r="L636"/>
      <c r="M636"/>
    </row>
    <row r="637" spans="1:13">
      <c r="A637" s="2" t="s">
        <v>67</v>
      </c>
      <c r="B637" t="s">
        <v>1740</v>
      </c>
      <c r="C637" t="s">
        <v>1713</v>
      </c>
      <c r="D637" t="s">
        <v>1723</v>
      </c>
      <c r="K637"/>
      <c r="L637"/>
      <c r="M637"/>
    </row>
    <row r="638" spans="1:13">
      <c r="A638" s="2" t="s">
        <v>53</v>
      </c>
      <c r="B638" t="s">
        <v>1740</v>
      </c>
      <c r="C638" t="s">
        <v>1713</v>
      </c>
      <c r="D638" t="s">
        <v>1723</v>
      </c>
      <c r="K638"/>
      <c r="L638"/>
      <c r="M638"/>
    </row>
    <row r="639" spans="1:13">
      <c r="A639" s="2" t="s">
        <v>46</v>
      </c>
      <c r="B639" t="s">
        <v>1740</v>
      </c>
      <c r="C639" t="s">
        <v>1713</v>
      </c>
      <c r="D639" t="s">
        <v>1723</v>
      </c>
      <c r="K639"/>
      <c r="L639"/>
      <c r="M639"/>
    </row>
    <row r="640" spans="1:13">
      <c r="A640" s="2" t="s">
        <v>36</v>
      </c>
      <c r="B640" t="s">
        <v>1740</v>
      </c>
      <c r="C640" t="s">
        <v>1713</v>
      </c>
      <c r="D640" t="s">
        <v>1723</v>
      </c>
      <c r="K640"/>
      <c r="L640"/>
      <c r="M640"/>
    </row>
    <row r="641" spans="1:13">
      <c r="A641" s="2" t="s">
        <v>40</v>
      </c>
      <c r="B641" t="s">
        <v>1740</v>
      </c>
      <c r="C641" t="s">
        <v>1713</v>
      </c>
      <c r="D641" t="s">
        <v>1723</v>
      </c>
      <c r="K641"/>
      <c r="L641"/>
      <c r="M641"/>
    </row>
    <row r="642" spans="1:13">
      <c r="A642" s="2" t="s">
        <v>68</v>
      </c>
      <c r="B642" t="s">
        <v>1740</v>
      </c>
      <c r="C642" t="s">
        <v>1713</v>
      </c>
      <c r="D642" t="s">
        <v>1723</v>
      </c>
      <c r="K642"/>
      <c r="L642"/>
      <c r="M642"/>
    </row>
    <row r="643" spans="1:13">
      <c r="A643" s="2" t="s">
        <v>51</v>
      </c>
      <c r="B643" t="s">
        <v>1740</v>
      </c>
      <c r="C643" t="s">
        <v>1713</v>
      </c>
      <c r="D643" t="s">
        <v>1723</v>
      </c>
      <c r="K643"/>
      <c r="L643"/>
      <c r="M643"/>
    </row>
    <row r="644" spans="1:13">
      <c r="A644" s="2" t="s">
        <v>84</v>
      </c>
      <c r="B644" t="s">
        <v>1740</v>
      </c>
      <c r="C644" t="s">
        <v>1713</v>
      </c>
      <c r="D644" t="s">
        <v>1723</v>
      </c>
      <c r="K644"/>
      <c r="L644"/>
      <c r="M644"/>
    </row>
    <row r="645" spans="1:13">
      <c r="A645" s="2" t="s">
        <v>83</v>
      </c>
      <c r="B645" t="s">
        <v>1740</v>
      </c>
      <c r="C645" t="s">
        <v>1713</v>
      </c>
      <c r="D645" t="s">
        <v>1723</v>
      </c>
      <c r="K645"/>
      <c r="L645"/>
      <c r="M645"/>
    </row>
    <row r="646" spans="1:13">
      <c r="A646" s="2" t="s">
        <v>72</v>
      </c>
      <c r="B646" t="s">
        <v>1740</v>
      </c>
      <c r="C646" t="s">
        <v>1713</v>
      </c>
      <c r="D646" t="s">
        <v>1723</v>
      </c>
      <c r="K646"/>
      <c r="L646"/>
      <c r="M646"/>
    </row>
    <row r="647" spans="1:13">
      <c r="A647" s="2" t="s">
        <v>74</v>
      </c>
      <c r="B647" t="s">
        <v>1740</v>
      </c>
      <c r="C647" t="s">
        <v>1713</v>
      </c>
      <c r="D647" t="s">
        <v>1723</v>
      </c>
      <c r="K647"/>
      <c r="L647"/>
      <c r="M647"/>
    </row>
    <row r="648" spans="1:13">
      <c r="A648" s="2" t="s">
        <v>75</v>
      </c>
      <c r="B648" t="s">
        <v>1740</v>
      </c>
      <c r="C648" t="s">
        <v>1713</v>
      </c>
      <c r="D648" t="s">
        <v>1723</v>
      </c>
      <c r="K648"/>
      <c r="L648"/>
      <c r="M648"/>
    </row>
    <row r="649" spans="1:13">
      <c r="A649" s="2" t="s">
        <v>76</v>
      </c>
      <c r="B649" t="s">
        <v>1740</v>
      </c>
      <c r="C649" t="s">
        <v>1713</v>
      </c>
      <c r="D649" t="s">
        <v>1723</v>
      </c>
      <c r="K649"/>
      <c r="L649"/>
      <c r="M649"/>
    </row>
    <row r="650" spans="1:13">
      <c r="A650" s="2" t="s">
        <v>85</v>
      </c>
      <c r="B650" t="s">
        <v>1740</v>
      </c>
      <c r="C650" t="s">
        <v>1713</v>
      </c>
      <c r="D650" t="s">
        <v>1723</v>
      </c>
      <c r="K650"/>
      <c r="L650"/>
      <c r="M650"/>
    </row>
    <row r="651" spans="1:13">
      <c r="A651" s="2" t="s">
        <v>79</v>
      </c>
      <c r="B651" t="s">
        <v>1740</v>
      </c>
      <c r="C651" t="s">
        <v>1713</v>
      </c>
      <c r="D651" t="s">
        <v>1723</v>
      </c>
      <c r="K651"/>
      <c r="L651"/>
      <c r="M651"/>
    </row>
    <row r="652" spans="1:13">
      <c r="A652" s="2" t="s">
        <v>78</v>
      </c>
      <c r="B652" t="s">
        <v>1740</v>
      </c>
      <c r="C652" t="s">
        <v>1713</v>
      </c>
      <c r="D652" t="s">
        <v>1723</v>
      </c>
      <c r="K652"/>
      <c r="L652"/>
      <c r="M652"/>
    </row>
    <row r="653" spans="1:13">
      <c r="A653" s="2" t="s">
        <v>80</v>
      </c>
      <c r="B653" t="s">
        <v>1740</v>
      </c>
      <c r="C653" t="s">
        <v>1713</v>
      </c>
      <c r="D653" t="s">
        <v>1723</v>
      </c>
      <c r="K653"/>
      <c r="L653"/>
      <c r="M653"/>
    </row>
    <row r="654" spans="1:13">
      <c r="A654" s="2" t="s">
        <v>618</v>
      </c>
      <c r="B654" t="s">
        <v>1740</v>
      </c>
      <c r="C654" t="s">
        <v>1713</v>
      </c>
      <c r="D654" t="s">
        <v>1723</v>
      </c>
      <c r="K654"/>
      <c r="L654"/>
      <c r="M654"/>
    </row>
    <row r="655" spans="1:13">
      <c r="A655" s="2" t="s">
        <v>81</v>
      </c>
      <c r="B655" t="s">
        <v>1740</v>
      </c>
      <c r="C655" t="s">
        <v>1713</v>
      </c>
      <c r="D655" t="s">
        <v>1723</v>
      </c>
      <c r="K655"/>
      <c r="L655"/>
      <c r="M655"/>
    </row>
    <row r="656" spans="1:13">
      <c r="A656" s="2" t="s">
        <v>82</v>
      </c>
      <c r="B656" t="s">
        <v>1740</v>
      </c>
      <c r="C656" t="s">
        <v>1713</v>
      </c>
      <c r="D656" t="s">
        <v>1723</v>
      </c>
      <c r="K656"/>
      <c r="L656"/>
      <c r="M656"/>
    </row>
    <row r="657" spans="1:13">
      <c r="A657" s="2" t="s">
        <v>77</v>
      </c>
      <c r="B657" t="s">
        <v>1740</v>
      </c>
      <c r="C657" t="s">
        <v>1713</v>
      </c>
      <c r="D657" t="s">
        <v>1723</v>
      </c>
      <c r="K657"/>
      <c r="L657"/>
      <c r="M657"/>
    </row>
    <row r="658" spans="1:13">
      <c r="A658" s="2" t="s">
        <v>617</v>
      </c>
      <c r="B658" t="s">
        <v>1740</v>
      </c>
      <c r="C658" t="s">
        <v>1713</v>
      </c>
      <c r="D658" t="s">
        <v>1723</v>
      </c>
      <c r="K658"/>
      <c r="L658"/>
      <c r="M658"/>
    </row>
    <row r="659" spans="1:13">
      <c r="A659" s="2" t="s">
        <v>86</v>
      </c>
      <c r="B659" t="s">
        <v>1740</v>
      </c>
      <c r="C659" t="s">
        <v>1713</v>
      </c>
      <c r="D659" t="s">
        <v>1723</v>
      </c>
      <c r="K659"/>
      <c r="L659"/>
      <c r="M659"/>
    </row>
    <row r="660" spans="1:13">
      <c r="A660" s="2" t="s">
        <v>614</v>
      </c>
      <c r="B660" t="s">
        <v>1740</v>
      </c>
      <c r="C660" t="s">
        <v>1713</v>
      </c>
      <c r="D660" t="s">
        <v>1723</v>
      </c>
      <c r="K660"/>
      <c r="L660"/>
      <c r="M660"/>
    </row>
    <row r="661" spans="1:13">
      <c r="A661" s="2" t="s">
        <v>616</v>
      </c>
      <c r="B661" t="s">
        <v>1740</v>
      </c>
      <c r="C661" t="s">
        <v>1713</v>
      </c>
      <c r="D661" t="s">
        <v>1723</v>
      </c>
      <c r="K661"/>
      <c r="L661"/>
      <c r="M661"/>
    </row>
    <row r="662" spans="1:13">
      <c r="A662" s="2" t="s">
        <v>615</v>
      </c>
      <c r="B662" t="s">
        <v>1740</v>
      </c>
      <c r="C662" t="s">
        <v>1713</v>
      </c>
      <c r="D662" t="s">
        <v>1723</v>
      </c>
      <c r="K662"/>
      <c r="L662"/>
      <c r="M662"/>
    </row>
    <row r="663" spans="1:13">
      <c r="A663" s="2" t="s">
        <v>87</v>
      </c>
      <c r="B663" t="s">
        <v>1740</v>
      </c>
      <c r="C663" t="s">
        <v>1713</v>
      </c>
      <c r="D663" t="s">
        <v>1723</v>
      </c>
      <c r="K663"/>
      <c r="L663"/>
      <c r="M663"/>
    </row>
    <row r="664" spans="1:13">
      <c r="A664" s="2" t="s">
        <v>88</v>
      </c>
      <c r="B664" t="s">
        <v>1740</v>
      </c>
      <c r="C664" t="s">
        <v>1713</v>
      </c>
      <c r="D664" t="s">
        <v>1723</v>
      </c>
      <c r="K664"/>
      <c r="L664"/>
      <c r="M664"/>
    </row>
    <row r="665" spans="1:13">
      <c r="A665" s="2" t="s">
        <v>594</v>
      </c>
      <c r="B665" t="s">
        <v>1740</v>
      </c>
      <c r="C665" t="s">
        <v>1716</v>
      </c>
      <c r="D665" t="s">
        <v>1723</v>
      </c>
      <c r="K665"/>
      <c r="L665"/>
      <c r="M665"/>
    </row>
    <row r="666" spans="1:13">
      <c r="A666" s="2" t="s">
        <v>29</v>
      </c>
      <c r="B666" t="s">
        <v>1740</v>
      </c>
      <c r="C666" t="s">
        <v>1720</v>
      </c>
      <c r="D666" t="s">
        <v>1723</v>
      </c>
      <c r="K666"/>
      <c r="L666"/>
      <c r="M666"/>
    </row>
    <row r="667" spans="1:13">
      <c r="A667" s="2" t="s">
        <v>25</v>
      </c>
      <c r="B667" t="s">
        <v>1740</v>
      </c>
      <c r="C667" t="s">
        <v>1720</v>
      </c>
      <c r="D667" t="s">
        <v>1723</v>
      </c>
      <c r="K667"/>
      <c r="L667"/>
      <c r="M667"/>
    </row>
    <row r="668" spans="1:13">
      <c r="A668" s="2" t="s">
        <v>30</v>
      </c>
      <c r="B668" t="s">
        <v>1740</v>
      </c>
      <c r="C668" t="s">
        <v>1720</v>
      </c>
      <c r="D668" t="s">
        <v>1723</v>
      </c>
      <c r="K668"/>
      <c r="L668"/>
      <c r="M668"/>
    </row>
    <row r="669" spans="1:13">
      <c r="A669" s="2" t="s">
        <v>21</v>
      </c>
      <c r="B669" t="s">
        <v>1740</v>
      </c>
      <c r="C669" t="s">
        <v>1713</v>
      </c>
      <c r="D669" t="s">
        <v>1723</v>
      </c>
      <c r="K669"/>
      <c r="L669"/>
      <c r="M669"/>
    </row>
    <row r="670" spans="1:13">
      <c r="A670" s="2" t="s">
        <v>27</v>
      </c>
      <c r="B670" t="s">
        <v>1740</v>
      </c>
      <c r="C670" t="s">
        <v>1713</v>
      </c>
      <c r="D670" t="s">
        <v>1723</v>
      </c>
      <c r="K670"/>
      <c r="L670"/>
      <c r="M670"/>
    </row>
    <row r="671" spans="1:13">
      <c r="A671" s="2" t="s">
        <v>24</v>
      </c>
      <c r="B671" t="s">
        <v>1740</v>
      </c>
      <c r="C671" t="s">
        <v>1720</v>
      </c>
      <c r="D671" t="s">
        <v>1723</v>
      </c>
      <c r="K671"/>
      <c r="L671"/>
      <c r="M671"/>
    </row>
    <row r="672" spans="1:13">
      <c r="A672" s="2" t="s">
        <v>28</v>
      </c>
      <c r="B672" t="s">
        <v>1740</v>
      </c>
      <c r="C672" t="s">
        <v>1715</v>
      </c>
      <c r="D672" t="s">
        <v>1723</v>
      </c>
      <c r="K672"/>
      <c r="L672"/>
      <c r="M672"/>
    </row>
    <row r="673" spans="1:13">
      <c r="A673" s="2" t="s">
        <v>26</v>
      </c>
      <c r="B673" t="s">
        <v>1740</v>
      </c>
      <c r="C673" t="s">
        <v>1720</v>
      </c>
      <c r="D673" t="s">
        <v>1723</v>
      </c>
      <c r="K673"/>
      <c r="L673"/>
      <c r="M673"/>
    </row>
    <row r="674" spans="1:13">
      <c r="A674" s="2" t="s">
        <v>593</v>
      </c>
      <c r="B674" t="s">
        <v>1740</v>
      </c>
      <c r="C674" t="s">
        <v>1713</v>
      </c>
      <c r="D674" t="s">
        <v>1726</v>
      </c>
      <c r="K674"/>
      <c r="L674"/>
      <c r="M674"/>
    </row>
    <row r="675" spans="1:13">
      <c r="A675" s="2" t="s">
        <v>591</v>
      </c>
      <c r="B675" t="s">
        <v>1740</v>
      </c>
      <c r="C675" t="s">
        <v>1713</v>
      </c>
      <c r="D675" t="s">
        <v>1726</v>
      </c>
      <c r="K675"/>
      <c r="L675"/>
      <c r="M675"/>
    </row>
    <row r="676" spans="1:13">
      <c r="A676" s="2" t="s">
        <v>590</v>
      </c>
      <c r="B676" t="s">
        <v>1740</v>
      </c>
      <c r="C676" t="s">
        <v>1713</v>
      </c>
      <c r="D676" t="s">
        <v>1726</v>
      </c>
      <c r="K676"/>
      <c r="L676"/>
      <c r="M676"/>
    </row>
    <row r="677" spans="1:13">
      <c r="A677" s="2" t="s">
        <v>592</v>
      </c>
      <c r="B677" t="s">
        <v>1740</v>
      </c>
      <c r="C677" t="s">
        <v>1713</v>
      </c>
      <c r="D677" t="s">
        <v>1725</v>
      </c>
      <c r="K677"/>
      <c r="L677"/>
      <c r="M677"/>
    </row>
    <row r="678" spans="1:13">
      <c r="A678" s="2" t="s">
        <v>178</v>
      </c>
      <c r="B678" t="s">
        <v>1740</v>
      </c>
      <c r="C678" t="s">
        <v>1720</v>
      </c>
      <c r="D678" t="s">
        <v>1725</v>
      </c>
      <c r="K678"/>
      <c r="L678"/>
      <c r="M678"/>
    </row>
    <row r="679" spans="1:13">
      <c r="A679" s="2" t="s">
        <v>141</v>
      </c>
      <c r="B679" t="s">
        <v>1740</v>
      </c>
      <c r="C679" t="s">
        <v>1720</v>
      </c>
      <c r="D679" t="s">
        <v>1722</v>
      </c>
      <c r="K679"/>
      <c r="L679"/>
      <c r="M679"/>
    </row>
    <row r="680" spans="1:13">
      <c r="A680" s="2" t="s">
        <v>160</v>
      </c>
      <c r="B680" t="s">
        <v>1740</v>
      </c>
      <c r="C680" t="s">
        <v>1720</v>
      </c>
      <c r="D680" t="s">
        <v>1722</v>
      </c>
      <c r="K680"/>
      <c r="L680"/>
      <c r="M680"/>
    </row>
    <row r="681" spans="1:13">
      <c r="A681" s="2" t="s">
        <v>190</v>
      </c>
      <c r="B681" t="s">
        <v>1740</v>
      </c>
      <c r="C681" t="s">
        <v>1720</v>
      </c>
      <c r="D681" t="s">
        <v>1724</v>
      </c>
      <c r="K681"/>
      <c r="L681"/>
      <c r="M681"/>
    </row>
    <row r="682" spans="1:13">
      <c r="A682" s="2" t="s">
        <v>103</v>
      </c>
      <c r="B682" t="s">
        <v>1740</v>
      </c>
      <c r="C682" t="s">
        <v>1720</v>
      </c>
      <c r="D682" t="s">
        <v>1722</v>
      </c>
      <c r="K682"/>
      <c r="L682"/>
      <c r="M682"/>
    </row>
    <row r="683" spans="1:13">
      <c r="A683" s="2" t="s">
        <v>158</v>
      </c>
      <c r="B683" t="s">
        <v>1740</v>
      </c>
      <c r="C683" t="s">
        <v>1714</v>
      </c>
      <c r="D683" t="s">
        <v>1724</v>
      </c>
      <c r="K683"/>
      <c r="L683"/>
      <c r="M683"/>
    </row>
    <row r="684" spans="1:13">
      <c r="A684" s="2" t="s">
        <v>191</v>
      </c>
      <c r="B684" t="s">
        <v>1740</v>
      </c>
      <c r="C684" t="s">
        <v>1720</v>
      </c>
      <c r="D684" t="s">
        <v>1722</v>
      </c>
      <c r="K684"/>
      <c r="L684"/>
      <c r="M684"/>
    </row>
    <row r="685" spans="1:13">
      <c r="A685" s="2" t="s">
        <v>156</v>
      </c>
      <c r="B685" t="s">
        <v>1740</v>
      </c>
      <c r="C685" t="s">
        <v>1720</v>
      </c>
      <c r="D685" t="s">
        <v>1722</v>
      </c>
      <c r="K685"/>
      <c r="L685"/>
      <c r="M685"/>
    </row>
    <row r="686" spans="1:13">
      <c r="A686" s="2" t="s">
        <v>131</v>
      </c>
      <c r="B686" t="s">
        <v>1740</v>
      </c>
      <c r="C686" t="s">
        <v>1720</v>
      </c>
      <c r="D686" t="s">
        <v>1722</v>
      </c>
      <c r="K686"/>
      <c r="L686"/>
      <c r="M686"/>
    </row>
    <row r="687" spans="1:13">
      <c r="A687" s="2" t="s">
        <v>127</v>
      </c>
      <c r="B687" t="s">
        <v>1740</v>
      </c>
      <c r="C687" t="s">
        <v>1720</v>
      </c>
      <c r="D687" t="s">
        <v>1722</v>
      </c>
      <c r="K687"/>
      <c r="L687"/>
      <c r="M687"/>
    </row>
    <row r="688" spans="1:13">
      <c r="A688" s="2" t="s">
        <v>157</v>
      </c>
      <c r="B688" t="s">
        <v>1740</v>
      </c>
      <c r="C688" t="s">
        <v>1720</v>
      </c>
      <c r="D688" t="s">
        <v>1722</v>
      </c>
      <c r="K688"/>
      <c r="L688"/>
      <c r="M688"/>
    </row>
    <row r="689" spans="1:13">
      <c r="A689" s="2" t="s">
        <v>152</v>
      </c>
      <c r="B689" t="s">
        <v>1740</v>
      </c>
      <c r="C689" t="s">
        <v>1720</v>
      </c>
      <c r="D689" t="s">
        <v>1722</v>
      </c>
      <c r="K689"/>
      <c r="L689"/>
      <c r="M689"/>
    </row>
    <row r="690" spans="1:13">
      <c r="A690" s="2" t="s">
        <v>99</v>
      </c>
      <c r="B690" t="s">
        <v>1740</v>
      </c>
      <c r="C690" t="s">
        <v>1720</v>
      </c>
      <c r="D690" t="s">
        <v>1724</v>
      </c>
      <c r="K690"/>
      <c r="L690"/>
      <c r="M690"/>
    </row>
    <row r="691" spans="1:13">
      <c r="A691" s="2" t="s">
        <v>186</v>
      </c>
      <c r="B691" t="s">
        <v>1740</v>
      </c>
      <c r="C691" t="s">
        <v>1720</v>
      </c>
      <c r="D691" t="s">
        <v>1722</v>
      </c>
      <c r="K691"/>
      <c r="L691"/>
      <c r="M691"/>
    </row>
    <row r="692" spans="1:13">
      <c r="A692" s="2" t="s">
        <v>95</v>
      </c>
      <c r="B692" t="s">
        <v>1740</v>
      </c>
      <c r="C692" t="s">
        <v>1720</v>
      </c>
      <c r="D692" t="s">
        <v>1724</v>
      </c>
      <c r="K692"/>
      <c r="L692"/>
      <c r="M692"/>
    </row>
    <row r="693" spans="1:13">
      <c r="A693" s="2" t="s">
        <v>89</v>
      </c>
      <c r="B693" t="s">
        <v>1740</v>
      </c>
      <c r="C693" t="s">
        <v>1720</v>
      </c>
      <c r="D693" t="s">
        <v>1724</v>
      </c>
      <c r="K693"/>
      <c r="L693"/>
      <c r="M693"/>
    </row>
    <row r="694" spans="1:13">
      <c r="A694" s="2" t="s">
        <v>192</v>
      </c>
      <c r="B694" t="s">
        <v>1740</v>
      </c>
      <c r="C694" t="s">
        <v>1720</v>
      </c>
      <c r="D694" t="s">
        <v>1722</v>
      </c>
      <c r="K694"/>
      <c r="L694"/>
      <c r="M694"/>
    </row>
    <row r="695" spans="1:13">
      <c r="A695" s="2" t="s">
        <v>144</v>
      </c>
      <c r="B695" t="s">
        <v>1740</v>
      </c>
      <c r="C695" t="s">
        <v>1720</v>
      </c>
      <c r="D695" t="s">
        <v>1722</v>
      </c>
      <c r="K695"/>
      <c r="L695"/>
      <c r="M695"/>
    </row>
    <row r="696" spans="1:13">
      <c r="A696" s="2" t="s">
        <v>132</v>
      </c>
      <c r="B696" t="s">
        <v>1740</v>
      </c>
      <c r="C696" t="s">
        <v>1720</v>
      </c>
      <c r="D696" t="s">
        <v>1722</v>
      </c>
      <c r="K696"/>
      <c r="L696"/>
      <c r="M696"/>
    </row>
    <row r="697" spans="1:13">
      <c r="A697" s="2" t="s">
        <v>147</v>
      </c>
      <c r="B697" t="s">
        <v>1740</v>
      </c>
      <c r="C697" t="s">
        <v>1720</v>
      </c>
      <c r="D697" t="s">
        <v>1722</v>
      </c>
      <c r="K697"/>
      <c r="L697"/>
      <c r="M697"/>
    </row>
    <row r="698" spans="1:13">
      <c r="A698" s="2" t="s">
        <v>114</v>
      </c>
      <c r="B698" t="s">
        <v>1740</v>
      </c>
      <c r="C698" t="s">
        <v>1720</v>
      </c>
      <c r="D698" t="s">
        <v>1722</v>
      </c>
      <c r="K698"/>
      <c r="L698"/>
      <c r="M698"/>
    </row>
    <row r="699" spans="1:13">
      <c r="A699" s="2" t="s">
        <v>193</v>
      </c>
      <c r="B699" t="s">
        <v>1740</v>
      </c>
      <c r="C699" t="s">
        <v>1720</v>
      </c>
      <c r="D699" t="s">
        <v>1722</v>
      </c>
      <c r="K699"/>
      <c r="L699"/>
      <c r="M699"/>
    </row>
    <row r="700" spans="1:13">
      <c r="A700" s="2" t="s">
        <v>171</v>
      </c>
      <c r="B700" t="s">
        <v>1740</v>
      </c>
      <c r="C700" t="s">
        <v>1720</v>
      </c>
      <c r="D700" t="s">
        <v>1722</v>
      </c>
      <c r="K700"/>
      <c r="L700"/>
      <c r="M700"/>
    </row>
    <row r="701" spans="1:13">
      <c r="A701" s="2" t="s">
        <v>194</v>
      </c>
      <c r="B701" t="s">
        <v>1740</v>
      </c>
      <c r="C701" t="s">
        <v>1720</v>
      </c>
      <c r="D701" t="s">
        <v>1722</v>
      </c>
      <c r="K701"/>
      <c r="L701"/>
      <c r="M701"/>
    </row>
    <row r="702" spans="1:13">
      <c r="A702" s="2" t="s">
        <v>182</v>
      </c>
      <c r="B702" t="s">
        <v>1740</v>
      </c>
      <c r="C702" t="s">
        <v>1720</v>
      </c>
      <c r="D702" t="s">
        <v>1722</v>
      </c>
      <c r="K702"/>
      <c r="L702"/>
      <c r="M702"/>
    </row>
    <row r="703" spans="1:13">
      <c r="A703" s="2" t="s">
        <v>101</v>
      </c>
      <c r="B703" t="s">
        <v>1740</v>
      </c>
      <c r="C703" t="s">
        <v>1720</v>
      </c>
      <c r="D703" t="s">
        <v>1724</v>
      </c>
      <c r="K703"/>
      <c r="L703"/>
      <c r="M703"/>
    </row>
    <row r="704" spans="1:13">
      <c r="A704" s="2" t="s">
        <v>184</v>
      </c>
      <c r="B704" t="s">
        <v>1740</v>
      </c>
      <c r="C704" t="s">
        <v>1720</v>
      </c>
      <c r="D704" t="s">
        <v>1722</v>
      </c>
      <c r="K704"/>
      <c r="L704"/>
      <c r="M704"/>
    </row>
    <row r="705" spans="1:13">
      <c r="A705" s="2" t="s">
        <v>180</v>
      </c>
      <c r="B705" t="s">
        <v>1740</v>
      </c>
      <c r="C705" t="s">
        <v>1720</v>
      </c>
      <c r="D705" t="s">
        <v>1722</v>
      </c>
      <c r="K705"/>
      <c r="L705"/>
      <c r="M705"/>
    </row>
    <row r="706" spans="1:13">
      <c r="A706" s="2" t="s">
        <v>115</v>
      </c>
      <c r="B706" t="s">
        <v>1740</v>
      </c>
      <c r="C706" t="s">
        <v>1720</v>
      </c>
      <c r="D706" t="s">
        <v>1722</v>
      </c>
      <c r="K706"/>
      <c r="L706"/>
      <c r="M706"/>
    </row>
    <row r="707" spans="1:13">
      <c r="A707" s="2" t="s">
        <v>150</v>
      </c>
      <c r="B707" t="s">
        <v>1740</v>
      </c>
      <c r="C707" t="s">
        <v>1720</v>
      </c>
      <c r="D707" t="s">
        <v>1724</v>
      </c>
      <c r="K707"/>
      <c r="L707"/>
      <c r="M707"/>
    </row>
    <row r="708" spans="1:13">
      <c r="A708" s="2" t="s">
        <v>163</v>
      </c>
      <c r="B708" t="s">
        <v>1740</v>
      </c>
      <c r="C708" t="s">
        <v>1720</v>
      </c>
      <c r="D708" t="s">
        <v>1725</v>
      </c>
      <c r="K708"/>
      <c r="L708"/>
      <c r="M708"/>
    </row>
    <row r="709" spans="1:13">
      <c r="A709" s="2" t="s">
        <v>104</v>
      </c>
      <c r="B709" t="s">
        <v>1740</v>
      </c>
      <c r="C709" t="s">
        <v>1720</v>
      </c>
      <c r="D709" t="s">
        <v>1722</v>
      </c>
      <c r="K709"/>
      <c r="L709"/>
      <c r="M709"/>
    </row>
    <row r="710" spans="1:13">
      <c r="A710" s="2" t="s">
        <v>105</v>
      </c>
      <c r="B710" t="s">
        <v>1740</v>
      </c>
      <c r="C710" t="s">
        <v>1720</v>
      </c>
      <c r="D710" t="s">
        <v>1724</v>
      </c>
      <c r="K710"/>
      <c r="L710"/>
      <c r="M710"/>
    </row>
    <row r="711" spans="1:13">
      <c r="A711" s="2" t="s">
        <v>120</v>
      </c>
      <c r="B711" t="s">
        <v>1740</v>
      </c>
      <c r="C711" t="s">
        <v>1720</v>
      </c>
      <c r="D711" t="s">
        <v>1722</v>
      </c>
      <c r="K711"/>
      <c r="L711"/>
      <c r="M711"/>
    </row>
    <row r="712" spans="1:13">
      <c r="A712" s="2" t="s">
        <v>154</v>
      </c>
      <c r="B712" t="s">
        <v>1740</v>
      </c>
      <c r="C712" t="s">
        <v>1720</v>
      </c>
      <c r="D712" t="s">
        <v>1722</v>
      </c>
      <c r="K712"/>
      <c r="L712"/>
      <c r="M712"/>
    </row>
    <row r="713" spans="1:13">
      <c r="A713" s="2" t="s">
        <v>116</v>
      </c>
      <c r="B713" t="s">
        <v>1740</v>
      </c>
      <c r="C713" t="s">
        <v>1720</v>
      </c>
      <c r="D713" t="s">
        <v>1722</v>
      </c>
      <c r="K713"/>
      <c r="L713"/>
      <c r="M713"/>
    </row>
    <row r="714" spans="1:13">
      <c r="A714" s="2" t="s">
        <v>153</v>
      </c>
      <c r="B714" t="s">
        <v>1740</v>
      </c>
      <c r="C714" t="s">
        <v>1720</v>
      </c>
      <c r="D714" t="s">
        <v>1724</v>
      </c>
      <c r="K714"/>
      <c r="L714"/>
      <c r="M714"/>
    </row>
    <row r="715" spans="1:13">
      <c r="A715" s="2" t="s">
        <v>136</v>
      </c>
      <c r="B715" t="s">
        <v>1740</v>
      </c>
      <c r="C715" t="s">
        <v>1720</v>
      </c>
      <c r="D715" t="s">
        <v>1722</v>
      </c>
      <c r="K715"/>
      <c r="L715"/>
      <c r="M715"/>
    </row>
    <row r="716" spans="1:13">
      <c r="A716" s="2" t="s">
        <v>110</v>
      </c>
      <c r="B716" t="s">
        <v>1740</v>
      </c>
      <c r="C716" t="s">
        <v>1720</v>
      </c>
      <c r="D716" t="s">
        <v>1722</v>
      </c>
      <c r="K716"/>
      <c r="L716"/>
      <c r="M716"/>
    </row>
    <row r="717" spans="1:13">
      <c r="A717" s="2" t="s">
        <v>135</v>
      </c>
      <c r="B717" t="s">
        <v>1740</v>
      </c>
      <c r="C717" t="s">
        <v>1720</v>
      </c>
      <c r="D717" t="s">
        <v>1724</v>
      </c>
      <c r="K717"/>
      <c r="L717"/>
      <c r="M717"/>
    </row>
    <row r="718" spans="1:13">
      <c r="A718" s="2" t="s">
        <v>143</v>
      </c>
      <c r="B718" t="s">
        <v>1740</v>
      </c>
      <c r="C718" t="s">
        <v>1720</v>
      </c>
      <c r="D718" t="s">
        <v>1722</v>
      </c>
      <c r="K718"/>
      <c r="L718"/>
      <c r="M718"/>
    </row>
    <row r="719" spans="1:13">
      <c r="A719" s="2" t="s">
        <v>177</v>
      </c>
      <c r="B719" t="s">
        <v>1740</v>
      </c>
      <c r="C719" t="s">
        <v>1720</v>
      </c>
      <c r="D719" t="s">
        <v>1722</v>
      </c>
      <c r="K719"/>
      <c r="L719"/>
      <c r="M719"/>
    </row>
    <row r="720" spans="1:13">
      <c r="A720" s="2" t="s">
        <v>183</v>
      </c>
      <c r="B720" t="s">
        <v>1740</v>
      </c>
      <c r="C720" t="s">
        <v>1720</v>
      </c>
      <c r="D720" t="s">
        <v>1725</v>
      </c>
      <c r="K720"/>
      <c r="L720"/>
      <c r="M720"/>
    </row>
    <row r="721" spans="1:13">
      <c r="A721" s="2" t="s">
        <v>94</v>
      </c>
      <c r="B721" t="s">
        <v>1740</v>
      </c>
      <c r="C721" t="s">
        <v>1720</v>
      </c>
      <c r="D721" t="s">
        <v>1724</v>
      </c>
      <c r="K721"/>
      <c r="L721"/>
      <c r="M721"/>
    </row>
    <row r="722" spans="1:13">
      <c r="A722" s="2" t="s">
        <v>170</v>
      </c>
      <c r="B722" t="s">
        <v>1740</v>
      </c>
      <c r="C722" t="s">
        <v>1720</v>
      </c>
      <c r="D722" t="s">
        <v>1722</v>
      </c>
      <c r="K722"/>
      <c r="L722"/>
      <c r="M722"/>
    </row>
    <row r="723" spans="1:13">
      <c r="A723" s="2" t="s">
        <v>169</v>
      </c>
      <c r="B723" t="s">
        <v>1740</v>
      </c>
      <c r="C723" t="s">
        <v>1720</v>
      </c>
      <c r="D723" t="s">
        <v>1725</v>
      </c>
      <c r="K723"/>
      <c r="L723"/>
      <c r="M723"/>
    </row>
    <row r="724" spans="1:13">
      <c r="A724" s="2" t="s">
        <v>148</v>
      </c>
      <c r="B724" t="s">
        <v>1740</v>
      </c>
      <c r="C724" t="s">
        <v>1720</v>
      </c>
      <c r="D724" t="s">
        <v>1722</v>
      </c>
      <c r="K724"/>
      <c r="L724"/>
      <c r="M724"/>
    </row>
    <row r="725" spans="1:13">
      <c r="A725" s="2" t="s">
        <v>149</v>
      </c>
      <c r="B725" t="s">
        <v>1740</v>
      </c>
      <c r="C725" t="s">
        <v>1720</v>
      </c>
      <c r="D725" t="s">
        <v>1722</v>
      </c>
      <c r="K725"/>
      <c r="L725"/>
      <c r="M725"/>
    </row>
    <row r="726" spans="1:13">
      <c r="A726" s="2" t="s">
        <v>145</v>
      </c>
      <c r="B726" t="s">
        <v>1740</v>
      </c>
      <c r="C726" t="s">
        <v>1720</v>
      </c>
      <c r="D726" t="s">
        <v>1722</v>
      </c>
      <c r="K726"/>
      <c r="L726"/>
      <c r="M726"/>
    </row>
    <row r="727" spans="1:13">
      <c r="A727" s="2" t="s">
        <v>188</v>
      </c>
      <c r="B727" t="s">
        <v>1740</v>
      </c>
      <c r="C727" t="s">
        <v>1720</v>
      </c>
      <c r="D727" t="s">
        <v>1722</v>
      </c>
      <c r="K727"/>
      <c r="L727"/>
      <c r="M727"/>
    </row>
    <row r="728" spans="1:13">
      <c r="A728" s="2" t="s">
        <v>174</v>
      </c>
      <c r="B728" t="s">
        <v>1740</v>
      </c>
      <c r="C728" t="s">
        <v>1720</v>
      </c>
      <c r="D728" t="s">
        <v>1722</v>
      </c>
      <c r="K728"/>
      <c r="L728"/>
      <c r="M728"/>
    </row>
    <row r="729" spans="1:13">
      <c r="A729" s="2" t="s">
        <v>175</v>
      </c>
      <c r="B729" t="s">
        <v>1740</v>
      </c>
      <c r="C729" t="s">
        <v>1720</v>
      </c>
      <c r="D729" t="s">
        <v>1722</v>
      </c>
      <c r="K729"/>
      <c r="L729"/>
      <c r="M729"/>
    </row>
    <row r="730" spans="1:13">
      <c r="A730" s="2" t="s">
        <v>176</v>
      </c>
      <c r="B730" t="s">
        <v>1740</v>
      </c>
      <c r="C730" t="s">
        <v>1720</v>
      </c>
      <c r="D730" t="s">
        <v>1722</v>
      </c>
      <c r="K730"/>
      <c r="L730"/>
      <c r="M730"/>
    </row>
    <row r="731" spans="1:13">
      <c r="A731" s="2" t="s">
        <v>102</v>
      </c>
      <c r="B731" t="s">
        <v>1740</v>
      </c>
      <c r="C731" t="s">
        <v>1720</v>
      </c>
      <c r="D731" t="s">
        <v>1724</v>
      </c>
      <c r="K731"/>
      <c r="L731"/>
      <c r="M731"/>
    </row>
    <row r="732" spans="1:13">
      <c r="A732" s="2" t="s">
        <v>121</v>
      </c>
      <c r="B732" t="s">
        <v>1740</v>
      </c>
      <c r="C732" t="s">
        <v>1720</v>
      </c>
      <c r="D732" t="s">
        <v>1724</v>
      </c>
      <c r="K732"/>
      <c r="L732"/>
      <c r="M732"/>
    </row>
    <row r="733" spans="1:13">
      <c r="A733" s="2" t="s">
        <v>621</v>
      </c>
      <c r="B733" t="s">
        <v>1740</v>
      </c>
      <c r="C733" t="s">
        <v>1720</v>
      </c>
      <c r="D733" t="s">
        <v>1722</v>
      </c>
      <c r="K733"/>
      <c r="L733"/>
      <c r="M733"/>
    </row>
    <row r="734" spans="1:13">
      <c r="A734" s="2" t="s">
        <v>622</v>
      </c>
      <c r="B734" t="s">
        <v>1740</v>
      </c>
      <c r="C734" t="s">
        <v>1720</v>
      </c>
      <c r="D734" t="s">
        <v>1725</v>
      </c>
      <c r="K734"/>
      <c r="L734"/>
      <c r="M734"/>
    </row>
    <row r="735" spans="1:13">
      <c r="A735" s="2" t="s">
        <v>623</v>
      </c>
      <c r="B735" t="s">
        <v>1740</v>
      </c>
      <c r="C735" t="s">
        <v>1720</v>
      </c>
      <c r="D735" t="s">
        <v>1722</v>
      </c>
      <c r="K735"/>
      <c r="L735"/>
      <c r="M735"/>
    </row>
    <row r="736" spans="1:13">
      <c r="A736" s="2" t="s">
        <v>620</v>
      </c>
      <c r="B736" t="s">
        <v>1740</v>
      </c>
      <c r="C736" t="s">
        <v>1720</v>
      </c>
      <c r="D736" t="s">
        <v>1724</v>
      </c>
      <c r="K736"/>
      <c r="L736"/>
      <c r="M736"/>
    </row>
    <row r="737" spans="1:13">
      <c r="A737" s="2" t="s">
        <v>624</v>
      </c>
      <c r="B737" t="s">
        <v>1740</v>
      </c>
      <c r="C737" t="s">
        <v>1720</v>
      </c>
      <c r="D737" t="s">
        <v>1722</v>
      </c>
      <c r="K737"/>
      <c r="L737"/>
      <c r="M737"/>
    </row>
    <row r="738" spans="1:13">
      <c r="A738" s="2" t="s">
        <v>165</v>
      </c>
      <c r="B738" t="s">
        <v>1740</v>
      </c>
      <c r="C738" t="s">
        <v>1720</v>
      </c>
      <c r="D738" t="s">
        <v>1722</v>
      </c>
      <c r="K738"/>
      <c r="L738"/>
      <c r="M738"/>
    </row>
    <row r="739" spans="1:13">
      <c r="A739" s="2" t="s">
        <v>164</v>
      </c>
      <c r="B739" t="s">
        <v>1740</v>
      </c>
      <c r="C739" t="s">
        <v>1720</v>
      </c>
      <c r="D739" t="s">
        <v>1722</v>
      </c>
      <c r="K739"/>
      <c r="L739"/>
      <c r="M739"/>
    </row>
    <row r="740" spans="1:13">
      <c r="A740" s="2" t="s">
        <v>168</v>
      </c>
      <c r="B740" t="s">
        <v>1740</v>
      </c>
      <c r="C740" t="s">
        <v>1720</v>
      </c>
      <c r="D740" t="s">
        <v>1722</v>
      </c>
      <c r="K740"/>
      <c r="L740"/>
      <c r="M740"/>
    </row>
    <row r="741" spans="1:13">
      <c r="A741" s="2" t="s">
        <v>162</v>
      </c>
      <c r="B741" t="s">
        <v>1740</v>
      </c>
      <c r="C741" t="s">
        <v>1720</v>
      </c>
      <c r="D741" t="s">
        <v>1722</v>
      </c>
      <c r="K741"/>
      <c r="L741"/>
      <c r="M741"/>
    </row>
    <row r="742" spans="1:13">
      <c r="A742" s="2" t="s">
        <v>125</v>
      </c>
      <c r="B742" t="s">
        <v>1740</v>
      </c>
      <c r="C742" t="s">
        <v>1720</v>
      </c>
      <c r="D742" t="s">
        <v>1722</v>
      </c>
      <c r="K742"/>
      <c r="L742"/>
      <c r="M742"/>
    </row>
    <row r="743" spans="1:13">
      <c r="A743" s="2" t="s">
        <v>108</v>
      </c>
      <c r="B743" t="s">
        <v>1740</v>
      </c>
      <c r="C743" t="s">
        <v>1720</v>
      </c>
      <c r="D743" t="s">
        <v>1724</v>
      </c>
      <c r="K743"/>
      <c r="L743"/>
      <c r="M743"/>
    </row>
    <row r="744" spans="1:13">
      <c r="A744" s="2" t="s">
        <v>129</v>
      </c>
      <c r="B744" t="s">
        <v>1740</v>
      </c>
      <c r="C744" t="s">
        <v>1720</v>
      </c>
      <c r="D744" t="s">
        <v>1722</v>
      </c>
      <c r="K744"/>
      <c r="L744"/>
      <c r="M744"/>
    </row>
    <row r="745" spans="1:13">
      <c r="A745" s="2" t="s">
        <v>139</v>
      </c>
      <c r="B745" t="s">
        <v>1740</v>
      </c>
      <c r="C745" t="s">
        <v>1720</v>
      </c>
      <c r="D745" t="s">
        <v>1724</v>
      </c>
      <c r="K745"/>
      <c r="L745"/>
      <c r="M745"/>
    </row>
    <row r="746" spans="1:13">
      <c r="A746" s="2" t="s">
        <v>155</v>
      </c>
      <c r="B746" t="s">
        <v>1740</v>
      </c>
      <c r="C746" t="s">
        <v>1720</v>
      </c>
      <c r="D746" t="s">
        <v>1725</v>
      </c>
      <c r="K746"/>
      <c r="L746"/>
      <c r="M746"/>
    </row>
    <row r="747" spans="1:13">
      <c r="A747" s="2" t="s">
        <v>100</v>
      </c>
      <c r="B747" t="s">
        <v>1740</v>
      </c>
      <c r="C747" t="s">
        <v>1720</v>
      </c>
      <c r="D747" t="s">
        <v>1722</v>
      </c>
      <c r="K747"/>
      <c r="L747"/>
      <c r="M747"/>
    </row>
    <row r="748" spans="1:13">
      <c r="A748" s="2" t="s">
        <v>137</v>
      </c>
      <c r="B748" t="s">
        <v>1740</v>
      </c>
      <c r="C748" t="s">
        <v>1720</v>
      </c>
      <c r="D748" t="s">
        <v>1724</v>
      </c>
      <c r="K748"/>
      <c r="L748"/>
      <c r="M748"/>
    </row>
    <row r="749" spans="1:13">
      <c r="A749" s="2" t="s">
        <v>185</v>
      </c>
      <c r="B749" t="s">
        <v>1740</v>
      </c>
      <c r="C749" t="s">
        <v>1720</v>
      </c>
      <c r="D749" t="s">
        <v>1722</v>
      </c>
      <c r="K749"/>
      <c r="L749"/>
      <c r="M749"/>
    </row>
    <row r="750" spans="1:13">
      <c r="A750" s="2" t="s">
        <v>181</v>
      </c>
      <c r="B750" t="s">
        <v>1740</v>
      </c>
      <c r="C750" t="s">
        <v>1720</v>
      </c>
      <c r="D750" t="s">
        <v>1722</v>
      </c>
      <c r="K750"/>
      <c r="L750"/>
      <c r="M750"/>
    </row>
    <row r="751" spans="1:13">
      <c r="A751" s="2" t="s">
        <v>122</v>
      </c>
      <c r="B751" t="s">
        <v>1740</v>
      </c>
      <c r="C751" t="s">
        <v>1720</v>
      </c>
      <c r="D751" t="s">
        <v>1724</v>
      </c>
      <c r="K751"/>
      <c r="L751"/>
      <c r="M751"/>
    </row>
    <row r="752" spans="1:13">
      <c r="A752" s="2" t="s">
        <v>112</v>
      </c>
      <c r="B752" t="s">
        <v>1740</v>
      </c>
      <c r="C752" t="s">
        <v>1720</v>
      </c>
      <c r="D752" t="s">
        <v>1724</v>
      </c>
      <c r="K752"/>
      <c r="L752"/>
      <c r="M752"/>
    </row>
    <row r="753" spans="1:13">
      <c r="A753" s="2" t="s">
        <v>173</v>
      </c>
      <c r="B753" t="s">
        <v>1740</v>
      </c>
      <c r="C753" t="s">
        <v>1720</v>
      </c>
      <c r="D753" t="s">
        <v>1722</v>
      </c>
      <c r="K753"/>
      <c r="L753"/>
      <c r="M753"/>
    </row>
    <row r="754" spans="1:13">
      <c r="A754" s="2" t="s">
        <v>119</v>
      </c>
      <c r="B754" t="s">
        <v>1740</v>
      </c>
      <c r="C754" t="s">
        <v>1720</v>
      </c>
      <c r="D754" t="s">
        <v>1722</v>
      </c>
      <c r="K754"/>
      <c r="L754"/>
      <c r="M754"/>
    </row>
    <row r="755" spans="1:13">
      <c r="A755" s="2" t="s">
        <v>172</v>
      </c>
      <c r="B755" t="s">
        <v>1740</v>
      </c>
      <c r="C755" t="s">
        <v>1720</v>
      </c>
      <c r="D755" t="s">
        <v>1722</v>
      </c>
      <c r="K755"/>
      <c r="L755"/>
      <c r="M755"/>
    </row>
    <row r="756" spans="1:13">
      <c r="A756" s="2" t="s">
        <v>161</v>
      </c>
      <c r="B756" t="s">
        <v>1740</v>
      </c>
      <c r="C756" t="s">
        <v>1720</v>
      </c>
      <c r="D756" t="s">
        <v>1725</v>
      </c>
      <c r="K756"/>
      <c r="L756"/>
      <c r="M756"/>
    </row>
    <row r="757" spans="1:13">
      <c r="A757" s="2" t="s">
        <v>130</v>
      </c>
      <c r="B757" t="s">
        <v>1740</v>
      </c>
      <c r="C757" t="s">
        <v>1720</v>
      </c>
      <c r="D757" t="s">
        <v>1724</v>
      </c>
      <c r="K757"/>
      <c r="L757"/>
      <c r="M757"/>
    </row>
    <row r="758" spans="1:13">
      <c r="A758" s="2" t="s">
        <v>133</v>
      </c>
      <c r="B758" t="s">
        <v>1740</v>
      </c>
      <c r="C758" t="s">
        <v>1720</v>
      </c>
      <c r="D758" t="s">
        <v>1724</v>
      </c>
      <c r="K758"/>
      <c r="L758"/>
      <c r="M758"/>
    </row>
    <row r="759" spans="1:13">
      <c r="A759" s="2" t="s">
        <v>118</v>
      </c>
      <c r="B759" t="s">
        <v>1740</v>
      </c>
      <c r="C759" t="s">
        <v>1720</v>
      </c>
      <c r="D759" t="s">
        <v>1722</v>
      </c>
      <c r="K759"/>
      <c r="L759"/>
      <c r="M759"/>
    </row>
    <row r="760" spans="1:13">
      <c r="A760" s="2" t="s">
        <v>167</v>
      </c>
      <c r="B760" t="s">
        <v>1740</v>
      </c>
      <c r="C760" t="s">
        <v>1714</v>
      </c>
      <c r="D760" t="s">
        <v>1724</v>
      </c>
      <c r="K760"/>
      <c r="L760"/>
      <c r="M760"/>
    </row>
    <row r="761" spans="1:13">
      <c r="A761" s="2" t="s">
        <v>140</v>
      </c>
      <c r="B761" t="s">
        <v>1740</v>
      </c>
      <c r="C761" t="s">
        <v>1720</v>
      </c>
      <c r="D761" t="s">
        <v>1722</v>
      </c>
      <c r="K761"/>
      <c r="L761"/>
      <c r="M761"/>
    </row>
    <row r="762" spans="1:13">
      <c r="A762" s="2" t="s">
        <v>179</v>
      </c>
      <c r="B762" t="s">
        <v>1740</v>
      </c>
      <c r="C762" t="s">
        <v>1720</v>
      </c>
      <c r="D762" t="s">
        <v>1722</v>
      </c>
      <c r="K762"/>
      <c r="L762"/>
      <c r="M762"/>
    </row>
    <row r="763" spans="1:13">
      <c r="A763" s="2" t="s">
        <v>134</v>
      </c>
      <c r="B763" t="s">
        <v>1740</v>
      </c>
      <c r="C763" t="s">
        <v>1720</v>
      </c>
      <c r="D763" t="s">
        <v>1722</v>
      </c>
      <c r="K763"/>
      <c r="L763"/>
      <c r="M763"/>
    </row>
    <row r="764" spans="1:13">
      <c r="A764" s="2" t="s">
        <v>619</v>
      </c>
      <c r="B764" t="s">
        <v>1740</v>
      </c>
      <c r="C764" t="s">
        <v>1720</v>
      </c>
      <c r="D764" t="s">
        <v>1724</v>
      </c>
      <c r="K764"/>
      <c r="L764"/>
      <c r="M764"/>
    </row>
    <row r="765" spans="1:13">
      <c r="A765" s="2" t="s">
        <v>97</v>
      </c>
      <c r="B765" t="s">
        <v>1740</v>
      </c>
      <c r="C765" t="s">
        <v>1720</v>
      </c>
      <c r="D765" t="s">
        <v>1722</v>
      </c>
      <c r="K765"/>
      <c r="L765"/>
      <c r="M765"/>
    </row>
    <row r="766" spans="1:13">
      <c r="A766" s="2" t="s">
        <v>123</v>
      </c>
      <c r="B766" t="s">
        <v>1740</v>
      </c>
      <c r="C766" t="s">
        <v>1720</v>
      </c>
      <c r="D766" t="s">
        <v>1722</v>
      </c>
      <c r="K766"/>
      <c r="L766"/>
      <c r="M766"/>
    </row>
    <row r="767" spans="1:13">
      <c r="A767" s="2" t="s">
        <v>98</v>
      </c>
      <c r="B767" t="s">
        <v>1740</v>
      </c>
      <c r="C767" t="s">
        <v>1720</v>
      </c>
      <c r="D767" t="s">
        <v>1724</v>
      </c>
      <c r="K767"/>
      <c r="L767"/>
      <c r="M767"/>
    </row>
    <row r="768" spans="1:13">
      <c r="A768" s="2" t="s">
        <v>91</v>
      </c>
      <c r="B768" t="s">
        <v>1740</v>
      </c>
      <c r="C768" t="s">
        <v>1720</v>
      </c>
      <c r="D768" t="s">
        <v>1724</v>
      </c>
      <c r="K768"/>
      <c r="L768"/>
      <c r="M768"/>
    </row>
    <row r="769" spans="1:13">
      <c r="A769" s="2" t="s">
        <v>96</v>
      </c>
      <c r="B769" t="s">
        <v>1740</v>
      </c>
      <c r="C769" t="s">
        <v>1720</v>
      </c>
      <c r="D769" t="s">
        <v>1724</v>
      </c>
      <c r="K769"/>
      <c r="L769"/>
      <c r="M769"/>
    </row>
    <row r="770" spans="1:13">
      <c r="A770" s="2" t="s">
        <v>151</v>
      </c>
      <c r="B770" t="s">
        <v>1740</v>
      </c>
      <c r="C770" t="s">
        <v>1720</v>
      </c>
      <c r="D770" t="s">
        <v>1724</v>
      </c>
      <c r="K770"/>
      <c r="L770"/>
      <c r="M770"/>
    </row>
    <row r="771" spans="1:13">
      <c r="A771" s="2" t="s">
        <v>106</v>
      </c>
      <c r="B771" t="s">
        <v>1740</v>
      </c>
      <c r="C771" t="s">
        <v>1720</v>
      </c>
      <c r="D771" t="s">
        <v>1722</v>
      </c>
      <c r="K771"/>
      <c r="L771"/>
      <c r="M771"/>
    </row>
    <row r="772" spans="1:13">
      <c r="A772" s="2" t="s">
        <v>107</v>
      </c>
      <c r="B772" t="s">
        <v>1740</v>
      </c>
      <c r="C772" t="s">
        <v>1720</v>
      </c>
      <c r="D772" t="s">
        <v>1724</v>
      </c>
      <c r="K772"/>
      <c r="L772"/>
      <c r="M772"/>
    </row>
    <row r="773" spans="1:13">
      <c r="A773" s="2" t="s">
        <v>126</v>
      </c>
      <c r="B773" t="s">
        <v>1740</v>
      </c>
      <c r="C773" t="s">
        <v>1720</v>
      </c>
      <c r="D773" t="s">
        <v>1722</v>
      </c>
      <c r="K773"/>
      <c r="L773"/>
      <c r="M773"/>
    </row>
    <row r="774" spans="1:13">
      <c r="A774" s="2" t="s">
        <v>111</v>
      </c>
      <c r="B774" t="s">
        <v>1740</v>
      </c>
      <c r="C774" t="s">
        <v>1720</v>
      </c>
      <c r="D774" t="s">
        <v>1722</v>
      </c>
      <c r="K774"/>
      <c r="L774"/>
      <c r="M774"/>
    </row>
    <row r="775" spans="1:13">
      <c r="A775" s="2" t="s">
        <v>117</v>
      </c>
      <c r="B775" t="s">
        <v>1740</v>
      </c>
      <c r="C775" t="s">
        <v>1720</v>
      </c>
      <c r="D775" t="s">
        <v>1722</v>
      </c>
      <c r="K775"/>
      <c r="L775"/>
      <c r="M775"/>
    </row>
    <row r="776" spans="1:13">
      <c r="A776" s="2" t="s">
        <v>113</v>
      </c>
      <c r="B776" t="s">
        <v>1740</v>
      </c>
      <c r="C776" t="s">
        <v>1720</v>
      </c>
      <c r="D776" t="s">
        <v>1722</v>
      </c>
      <c r="K776"/>
      <c r="L776"/>
      <c r="M776"/>
    </row>
    <row r="777" spans="1:13">
      <c r="A777" s="2" t="s">
        <v>142</v>
      </c>
      <c r="B777" t="s">
        <v>1740</v>
      </c>
      <c r="C777" t="s">
        <v>1720</v>
      </c>
      <c r="D777" t="s">
        <v>1724</v>
      </c>
      <c r="K777"/>
      <c r="L777"/>
      <c r="M777"/>
    </row>
    <row r="778" spans="1:13">
      <c r="A778" s="2" t="s">
        <v>159</v>
      </c>
      <c r="B778" t="s">
        <v>1740</v>
      </c>
      <c r="C778" t="s">
        <v>1720</v>
      </c>
      <c r="D778" t="s">
        <v>1722</v>
      </c>
      <c r="K778"/>
      <c r="L778"/>
      <c r="M778"/>
    </row>
    <row r="779" spans="1:13">
      <c r="A779" s="2" t="s">
        <v>93</v>
      </c>
      <c r="B779" t="s">
        <v>1740</v>
      </c>
      <c r="C779" t="s">
        <v>1720</v>
      </c>
      <c r="D779" t="s">
        <v>1722</v>
      </c>
      <c r="K779"/>
      <c r="L779"/>
      <c r="M779"/>
    </row>
    <row r="780" spans="1:13">
      <c r="A780" s="2" t="s">
        <v>90</v>
      </c>
      <c r="B780" t="s">
        <v>1740</v>
      </c>
      <c r="C780" t="s">
        <v>1720</v>
      </c>
      <c r="D780" t="s">
        <v>1722</v>
      </c>
      <c r="K780"/>
      <c r="L780"/>
      <c r="M780"/>
    </row>
    <row r="781" spans="1:13">
      <c r="A781" s="2" t="s">
        <v>92</v>
      </c>
      <c r="B781" t="s">
        <v>1740</v>
      </c>
      <c r="C781" t="s">
        <v>1720</v>
      </c>
      <c r="D781" t="s">
        <v>1722</v>
      </c>
      <c r="K781"/>
      <c r="L781"/>
      <c r="M781"/>
    </row>
    <row r="782" spans="1:13">
      <c r="A782" s="2" t="s">
        <v>109</v>
      </c>
      <c r="B782" t="s">
        <v>1740</v>
      </c>
      <c r="C782" t="s">
        <v>1720</v>
      </c>
      <c r="D782" t="s">
        <v>1722</v>
      </c>
      <c r="K782"/>
      <c r="L782"/>
      <c r="M782"/>
    </row>
    <row r="783" spans="1:13">
      <c r="A783" s="2" t="s">
        <v>128</v>
      </c>
      <c r="B783" t="s">
        <v>1740</v>
      </c>
      <c r="C783" t="s">
        <v>1720</v>
      </c>
      <c r="D783" t="s">
        <v>1722</v>
      </c>
      <c r="K783"/>
      <c r="L783"/>
      <c r="M783"/>
    </row>
    <row r="784" spans="1:13">
      <c r="A784" s="2" t="s">
        <v>189</v>
      </c>
      <c r="B784" t="s">
        <v>1740</v>
      </c>
      <c r="C784" t="s">
        <v>1720</v>
      </c>
      <c r="D784" t="s">
        <v>1722</v>
      </c>
      <c r="K784"/>
      <c r="L784"/>
      <c r="M784"/>
    </row>
    <row r="785" spans="1:13">
      <c r="A785" s="2" t="s">
        <v>138</v>
      </c>
      <c r="B785" t="s">
        <v>1740</v>
      </c>
      <c r="C785" t="s">
        <v>1720</v>
      </c>
      <c r="D785" t="s">
        <v>1722</v>
      </c>
      <c r="K785"/>
      <c r="L785"/>
      <c r="M785"/>
    </row>
    <row r="786" spans="1:13">
      <c r="A786" s="2" t="s">
        <v>146</v>
      </c>
      <c r="B786" t="s">
        <v>1740</v>
      </c>
      <c r="C786" t="s">
        <v>1720</v>
      </c>
      <c r="D786" t="s">
        <v>1722</v>
      </c>
      <c r="K786"/>
      <c r="L786"/>
      <c r="M786"/>
    </row>
    <row r="787" spans="1:13">
      <c r="A787" s="2" t="s">
        <v>187</v>
      </c>
      <c r="B787" t="s">
        <v>1740</v>
      </c>
      <c r="C787" t="s">
        <v>1720</v>
      </c>
      <c r="D787" t="s">
        <v>1722</v>
      </c>
      <c r="K787"/>
      <c r="L787"/>
      <c r="M787"/>
    </row>
    <row r="788" spans="1:13">
      <c r="A788" s="2" t="s">
        <v>124</v>
      </c>
      <c r="B788" t="s">
        <v>1740</v>
      </c>
      <c r="C788" t="s">
        <v>1720</v>
      </c>
      <c r="D788" t="s">
        <v>1728</v>
      </c>
      <c r="K788"/>
      <c r="L788"/>
      <c r="M788"/>
    </row>
    <row r="789" spans="1:13">
      <c r="A789" s="2" t="s">
        <v>166</v>
      </c>
      <c r="B789" t="s">
        <v>1740</v>
      </c>
      <c r="C789" t="s">
        <v>1714</v>
      </c>
      <c r="D789" t="s">
        <v>1724</v>
      </c>
      <c r="K789"/>
      <c r="L789"/>
      <c r="M789"/>
    </row>
    <row r="790" spans="1:13">
      <c r="A790" s="2" t="s">
        <v>1744</v>
      </c>
      <c r="B790" t="s">
        <v>1740</v>
      </c>
      <c r="C790" t="s">
        <v>1713</v>
      </c>
      <c r="D790" t="s">
        <v>1722</v>
      </c>
    </row>
    <row r="791" spans="1:13">
      <c r="A791" s="2" t="s">
        <v>1746</v>
      </c>
      <c r="B791" t="s">
        <v>1740</v>
      </c>
      <c r="C791" t="s">
        <v>1720</v>
      </c>
      <c r="D791" t="s">
        <v>1722</v>
      </c>
    </row>
    <row r="792" spans="1:13">
      <c r="A792" s="2" t="s">
        <v>2795</v>
      </c>
      <c r="B792" t="s">
        <v>1741</v>
      </c>
      <c r="C792" t="s">
        <v>1712</v>
      </c>
      <c r="D792" t="s">
        <v>1723</v>
      </c>
    </row>
    <row r="793" spans="1:13">
      <c r="A793" s="2" t="s">
        <v>2939</v>
      </c>
      <c r="B793" t="s">
        <v>1740</v>
      </c>
      <c r="C793" t="s">
        <v>1720</v>
      </c>
      <c r="D793" t="s">
        <v>1723</v>
      </c>
    </row>
    <row r="794" spans="1:13">
      <c r="A794" s="2" t="s">
        <v>2941</v>
      </c>
      <c r="B794" t="s">
        <v>1740</v>
      </c>
      <c r="C794" t="s">
        <v>1713</v>
      </c>
      <c r="D794" t="s">
        <v>1723</v>
      </c>
    </row>
    <row r="795" spans="1:13">
      <c r="A795" t="s">
        <v>2943</v>
      </c>
      <c r="B795" t="s">
        <v>1740</v>
      </c>
      <c r="C795" t="s">
        <v>1720</v>
      </c>
      <c r="D795" t="s">
        <v>1722</v>
      </c>
    </row>
    <row r="796" spans="1:13">
      <c r="A796" t="s">
        <v>2945</v>
      </c>
      <c r="B796" t="s">
        <v>1740</v>
      </c>
      <c r="C796" t="s">
        <v>1720</v>
      </c>
      <c r="D796" t="s">
        <v>1722</v>
      </c>
    </row>
    <row r="797" spans="1:13">
      <c r="A797" s="2" t="s">
        <v>2959</v>
      </c>
      <c r="B797" t="s">
        <v>1740</v>
      </c>
      <c r="C797" t="s">
        <v>1713</v>
      </c>
      <c r="D797" t="s">
        <v>1722</v>
      </c>
    </row>
    <row r="798" spans="1:13">
      <c r="A798" s="2" t="s">
        <v>2961</v>
      </c>
      <c r="B798" t="s">
        <v>1740</v>
      </c>
      <c r="C798" t="s">
        <v>1716</v>
      </c>
      <c r="D798" t="s">
        <v>1722</v>
      </c>
    </row>
    <row r="799" spans="1:13">
      <c r="A799" s="2" t="s">
        <v>2964</v>
      </c>
      <c r="B799" t="s">
        <v>1741</v>
      </c>
      <c r="C799" t="s">
        <v>1713</v>
      </c>
      <c r="D799" t="s">
        <v>1722</v>
      </c>
    </row>
    <row r="800" spans="1:13">
      <c r="A800" s="2" t="s">
        <v>2967</v>
      </c>
      <c r="B800" t="s">
        <v>1740</v>
      </c>
      <c r="C800" t="s">
        <v>1713</v>
      </c>
      <c r="D800" t="s">
        <v>1722</v>
      </c>
    </row>
    <row r="801" spans="1:4">
      <c r="A801" s="2" t="s">
        <v>2969</v>
      </c>
      <c r="B801" t="s">
        <v>1740</v>
      </c>
      <c r="C801" t="s">
        <v>1713</v>
      </c>
      <c r="D801" t="s">
        <v>1722</v>
      </c>
    </row>
    <row r="802" spans="1:4">
      <c r="A802" s="2" t="s">
        <v>2971</v>
      </c>
      <c r="B802" t="s">
        <v>1740</v>
      </c>
      <c r="C802" t="s">
        <v>1713</v>
      </c>
      <c r="D802" t="s">
        <v>1722</v>
      </c>
    </row>
    <row r="803" spans="1:4">
      <c r="A803" s="2" t="s">
        <v>2973</v>
      </c>
      <c r="B803" t="s">
        <v>1741</v>
      </c>
      <c r="C803" t="s">
        <v>1713</v>
      </c>
      <c r="D803" t="s">
        <v>1722</v>
      </c>
    </row>
    <row r="804" spans="1:4">
      <c r="A804" s="2" t="s">
        <v>2977</v>
      </c>
      <c r="B804" t="s">
        <v>1740</v>
      </c>
      <c r="C804" t="s">
        <v>1717</v>
      </c>
      <c r="D804" t="s">
        <v>1724</v>
      </c>
    </row>
    <row r="805" spans="1:4">
      <c r="A805" s="2" t="s">
        <v>3108</v>
      </c>
      <c r="B805" t="s">
        <v>1740</v>
      </c>
      <c r="C805" t="s">
        <v>1719</v>
      </c>
      <c r="D805" t="s">
        <v>1722</v>
      </c>
    </row>
    <row r="806" spans="1:4">
      <c r="A806" s="2" t="s">
        <v>3109</v>
      </c>
      <c r="B806" t="s">
        <v>1740</v>
      </c>
      <c r="C806" t="s">
        <v>1719</v>
      </c>
      <c r="D806" t="s">
        <v>1722</v>
      </c>
    </row>
    <row r="807" spans="1:4">
      <c r="A807" s="2" t="s">
        <v>3081</v>
      </c>
      <c r="B807" t="s">
        <v>1740</v>
      </c>
      <c r="C807" t="s">
        <v>1719</v>
      </c>
      <c r="D807" t="s">
        <v>3090</v>
      </c>
    </row>
    <row r="808" spans="1:4">
      <c r="A808" s="2" t="s">
        <v>3076</v>
      </c>
      <c r="B808" t="s">
        <v>1740</v>
      </c>
      <c r="C808" t="s">
        <v>1719</v>
      </c>
      <c r="D808" t="s">
        <v>3090</v>
      </c>
    </row>
    <row r="809" spans="1:4">
      <c r="A809" s="2" t="s">
        <v>3077</v>
      </c>
      <c r="B809" t="s">
        <v>1740</v>
      </c>
      <c r="C809" t="s">
        <v>1719</v>
      </c>
      <c r="D809" t="s">
        <v>3090</v>
      </c>
    </row>
    <row r="810" spans="1:4">
      <c r="A810" s="2" t="s">
        <v>3078</v>
      </c>
      <c r="B810" t="s">
        <v>1740</v>
      </c>
      <c r="C810" t="s">
        <v>1719</v>
      </c>
      <c r="D810" t="s">
        <v>3090</v>
      </c>
    </row>
    <row r="811" spans="1:4">
      <c r="A811" s="2" t="s">
        <v>3079</v>
      </c>
      <c r="B811" t="s">
        <v>1740</v>
      </c>
      <c r="C811" t="s">
        <v>1719</v>
      </c>
      <c r="D811" t="s">
        <v>3090</v>
      </c>
    </row>
    <row r="812" spans="1:4">
      <c r="A812" s="2" t="s">
        <v>3080</v>
      </c>
      <c r="B812" t="s">
        <v>1740</v>
      </c>
      <c r="C812" t="s">
        <v>1719</v>
      </c>
      <c r="D812" t="s">
        <v>3090</v>
      </c>
    </row>
    <row r="813" spans="1:4">
      <c r="A813" s="2" t="s">
        <v>3116</v>
      </c>
      <c r="B813" t="s">
        <v>1740</v>
      </c>
      <c r="C813" t="s">
        <v>1719</v>
      </c>
      <c r="D813" t="s">
        <v>3090</v>
      </c>
    </row>
    <row r="814" spans="1:4">
      <c r="A814" s="2" t="s">
        <v>3092</v>
      </c>
      <c r="B814" t="s">
        <v>1741</v>
      </c>
      <c r="C814" t="s">
        <v>1716</v>
      </c>
      <c r="D814" t="s">
        <v>1722</v>
      </c>
    </row>
    <row r="815" spans="1:4">
      <c r="A815" s="2" t="s">
        <v>3110</v>
      </c>
      <c r="B815" t="s">
        <v>1740</v>
      </c>
      <c r="C815" t="s">
        <v>1717</v>
      </c>
      <c r="D815" t="s">
        <v>1724</v>
      </c>
    </row>
    <row r="816" spans="1:4">
      <c r="A816" s="2" t="s">
        <v>3113</v>
      </c>
      <c r="B816" t="s">
        <v>1740</v>
      </c>
      <c r="C816" t="s">
        <v>1717</v>
      </c>
      <c r="D816" t="s">
        <v>1724</v>
      </c>
    </row>
    <row r="817" spans="1:4">
      <c r="A817" s="2" t="s">
        <v>3117</v>
      </c>
      <c r="B817" t="s">
        <v>1740</v>
      </c>
      <c r="C817" t="s">
        <v>1717</v>
      </c>
      <c r="D817" t="s">
        <v>1724</v>
      </c>
    </row>
  </sheetData>
  <conditionalFormatting sqref="B1:C1048576">
    <cfRule type="containsText" dxfId="9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17"/>
  <sheetViews>
    <sheetView tabSelected="1" workbookViewId="0">
      <pane xSplit="1" ySplit="1" topLeftCell="B791" activePane="bottomRight" state="frozen"/>
      <selection pane="topRight" activeCell="B1" sqref="B1"/>
      <selection pane="bottomLeft" activeCell="A2" sqref="A2"/>
      <selection pane="bottomRight" activeCell="B817" sqref="B817:O817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2935</v>
      </c>
      <c r="C1" t="s">
        <v>2268</v>
      </c>
      <c r="D1" s="36" t="s">
        <v>684</v>
      </c>
      <c r="E1" s="36" t="s">
        <v>685</v>
      </c>
      <c r="F1" s="36" t="s">
        <v>2936</v>
      </c>
      <c r="G1" t="s">
        <v>907</v>
      </c>
      <c r="H1" t="s">
        <v>912</v>
      </c>
      <c r="I1" t="s">
        <v>905</v>
      </c>
      <c r="J1" t="s">
        <v>910</v>
      </c>
      <c r="K1" t="s">
        <v>904</v>
      </c>
      <c r="L1" t="s">
        <v>908</v>
      </c>
      <c r="M1" t="s">
        <v>909</v>
      </c>
      <c r="N1" t="s">
        <v>911</v>
      </c>
      <c r="O1" t="s">
        <v>906</v>
      </c>
    </row>
    <row r="2" spans="1:15">
      <c r="A2" t="str" cm="1">
        <f t="array" ref="A2:A817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General Purpose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Metro/Rapid Transit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ALL_REGION</v>
      </c>
      <c r="E572" s="36" t="str">
        <f>_xlfn.XLOOKUP($A572,PROPERTIES[VEHIDCODE],PROPERTIES[REGION2])</f>
        <v>NO_REGION</v>
      </c>
      <c r="F572" s="36" t="str">
        <f t="shared" si="53"/>
        <v>ALL_REGION_NO_REGION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1</v>
      </c>
      <c r="N572" t="b">
        <f t="shared" si="57"/>
        <v>1</v>
      </c>
      <c r="O572" t="b">
        <f t="shared" si="58"/>
        <v>1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ALL_REGION</v>
      </c>
      <c r="E573" s="36" t="str">
        <f>_xlfn.XLOOKUP($A573,PROPERTIES[VEHIDCODE],PROPERTIES[REGION2])</f>
        <v>NO_REGION</v>
      </c>
      <c r="F573" s="36" t="str">
        <f t="shared" si="53"/>
        <v>ALL_REGION_NO_REGION</v>
      </c>
      <c r="G573" t="b">
        <f t="shared" si="54"/>
        <v>1</v>
      </c>
      <c r="H573" t="b">
        <f t="shared" si="55"/>
        <v>1</v>
      </c>
      <c r="I573" t="b">
        <f t="shared" si="56"/>
        <v>1</v>
      </c>
      <c r="J573" t="b">
        <f t="shared" si="52"/>
        <v>1</v>
      </c>
      <c r="K573" t="b">
        <f t="shared" si="52"/>
        <v>1</v>
      </c>
      <c r="L573" t="b">
        <f t="shared" si="52"/>
        <v>1</v>
      </c>
      <c r="M573" t="b">
        <f t="shared" si="57"/>
        <v>1</v>
      </c>
      <c r="N573" t="b">
        <f t="shared" si="57"/>
        <v>1</v>
      </c>
      <c r="O573" t="b">
        <f t="shared" si="58"/>
        <v>1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ALL_REGION</v>
      </c>
      <c r="E581" s="36" t="str">
        <f>_xlfn.XLOOKUP($A581,PROPERTIES[VEHIDCODE],PROPERTIES[REGION2])</f>
        <v>NO_REGION</v>
      </c>
      <c r="F581" s="36" t="str">
        <f t="shared" si="59"/>
        <v>ALL_REGION_NO_REGION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1</v>
      </c>
      <c r="N581" t="b">
        <f t="shared" si="63"/>
        <v>1</v>
      </c>
      <c r="O581" t="b">
        <f t="shared" si="64"/>
        <v>1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ALL_REGION</v>
      </c>
      <c r="E583" s="36" t="str">
        <f>_xlfn.XLOOKUP($A583,PROPERTIES[VEHIDCODE],PROPERTIES[REGION2])</f>
        <v>NO_REGION</v>
      </c>
      <c r="F583" s="36" t="str">
        <f t="shared" si="59"/>
        <v>ALL_REGION_NO_REGION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1</v>
      </c>
      <c r="N583" t="b">
        <f t="shared" si="63"/>
        <v>1</v>
      </c>
      <c r="O583" t="b">
        <f t="shared" si="64"/>
        <v>1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ALL_REGION</v>
      </c>
      <c r="E584" s="36" t="str">
        <f>_xlfn.XLOOKUP($A584,PROPERTIES[VEHIDCODE],PROPERTIES[REGION2])</f>
        <v>NO_REGION</v>
      </c>
      <c r="F584" s="36" t="str">
        <f t="shared" si="59"/>
        <v>ALL_REGION_NO_REGION</v>
      </c>
      <c r="G584" t="b">
        <f t="shared" si="60"/>
        <v>1</v>
      </c>
      <c r="H584" t="b">
        <f t="shared" si="61"/>
        <v>1</v>
      </c>
      <c r="I584" t="b">
        <f t="shared" si="62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3"/>
        <v>1</v>
      </c>
      <c r="N584" t="b">
        <f t="shared" si="63"/>
        <v>1</v>
      </c>
      <c r="O584" t="b">
        <f t="shared" si="64"/>
        <v>1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ALL_REGION</v>
      </c>
      <c r="E660" s="36" t="str">
        <f>_xlfn.XLOOKUP($A660,PROPERTIES[VEHIDCODE],PROPERTIES[REGION2])</f>
        <v>NO_REGION</v>
      </c>
      <c r="F660" s="36" t="str">
        <f t="shared" si="66"/>
        <v>ALL_REGION_NO_REGION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1</v>
      </c>
      <c r="N660" t="b">
        <f t="shared" si="70"/>
        <v>1</v>
      </c>
      <c r="O660" t="b">
        <f t="shared" si="71"/>
        <v>1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ALL_REGION</v>
      </c>
      <c r="E661" s="36" t="str">
        <f>_xlfn.XLOOKUP($A661,PROPERTIES[VEHIDCODE],PROPERTIES[REGION2])</f>
        <v>NO_REGION</v>
      </c>
      <c r="F661" s="36" t="str">
        <f t="shared" si="66"/>
        <v>ALL_REGION_NO_REGION</v>
      </c>
      <c r="G661" t="b">
        <f t="shared" si="67"/>
        <v>1</v>
      </c>
      <c r="H661" t="b">
        <f t="shared" si="68"/>
        <v>1</v>
      </c>
      <c r="I661" t="b">
        <f t="shared" si="69"/>
        <v>1</v>
      </c>
      <c r="J661" t="b">
        <f t="shared" si="65"/>
        <v>1</v>
      </c>
      <c r="K661" t="b">
        <f t="shared" si="65"/>
        <v>1</v>
      </c>
      <c r="L661" t="b">
        <f t="shared" si="65"/>
        <v>1</v>
      </c>
      <c r="M661" t="b">
        <f t="shared" si="70"/>
        <v>1</v>
      </c>
      <c r="N661" t="b">
        <f t="shared" si="70"/>
        <v>1</v>
      </c>
      <c r="O661" t="b">
        <f t="shared" si="71"/>
        <v>1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ALL_REGION</v>
      </c>
      <c r="E667" s="36" t="str">
        <f>_xlfn.XLOOKUP($A667,PROPERTIES[VEHIDCODE],PROPERTIES[REGION2])</f>
        <v>NO_REGION</v>
      </c>
      <c r="F667" s="36" t="str">
        <f t="shared" si="66"/>
        <v>ALL_REGION_NO_REGION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1</v>
      </c>
      <c r="N667" t="b">
        <f t="shared" si="70"/>
        <v>1</v>
      </c>
      <c r="O667" t="b">
        <f t="shared" si="71"/>
        <v>1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ALL_REGION</v>
      </c>
      <c r="E668" s="36" t="str">
        <f>_xlfn.XLOOKUP($A668,PROPERTIES[VEHIDCODE],PROPERTIES[REGION2])</f>
        <v>NO_REGION</v>
      </c>
      <c r="F668" s="36" t="str">
        <f t="shared" si="66"/>
        <v>ALL_REGION_NO_REGION</v>
      </c>
      <c r="G668" t="b">
        <f t="shared" si="67"/>
        <v>1</v>
      </c>
      <c r="H668" t="b">
        <f t="shared" si="68"/>
        <v>1</v>
      </c>
      <c r="I668" t="b">
        <f t="shared" si="69"/>
        <v>1</v>
      </c>
      <c r="J668" t="b">
        <f t="shared" si="65"/>
        <v>1</v>
      </c>
      <c r="K668" t="b">
        <f t="shared" si="65"/>
        <v>1</v>
      </c>
      <c r="L668" t="b">
        <f t="shared" si="65"/>
        <v>1</v>
      </c>
      <c r="M668" t="b">
        <f t="shared" si="70"/>
        <v>1</v>
      </c>
      <c r="N668" t="b">
        <f t="shared" si="70"/>
        <v>1</v>
      </c>
      <c r="O668" t="b">
        <f t="shared" si="71"/>
        <v>1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ALL_REGION</v>
      </c>
      <c r="E671" s="36" t="str">
        <f>_xlfn.XLOOKUP($A671,PROPERTIES[VEHIDCODE],PROPERTIES[REGION2])</f>
        <v>NO_REGION</v>
      </c>
      <c r="F671" s="36" t="str">
        <f t="shared" si="66"/>
        <v>ALL_REGION_NO_REGION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1</v>
      </c>
      <c r="N671" t="b">
        <f t="shared" si="70"/>
        <v>1</v>
      </c>
      <c r="O671" t="b">
        <f t="shared" si="71"/>
        <v>1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ALL_REGION</v>
      </c>
      <c r="E672" s="36" t="str">
        <f>_xlfn.XLOOKUP($A672,PROPERTIES[VEHIDCODE],PROPERTIES[REGION2])</f>
        <v>NO_REGION</v>
      </c>
      <c r="F672" s="36" t="str">
        <f t="shared" si="66"/>
        <v>ALL_REGION_NO_REGION</v>
      </c>
      <c r="G672" t="b">
        <f t="shared" si="67"/>
        <v>1</v>
      </c>
      <c r="H672" t="b">
        <f t="shared" si="68"/>
        <v>1</v>
      </c>
      <c r="I672" t="b">
        <f t="shared" si="69"/>
        <v>1</v>
      </c>
      <c r="J672" t="b">
        <f t="shared" si="65"/>
        <v>1</v>
      </c>
      <c r="K672" t="b">
        <f t="shared" si="65"/>
        <v>1</v>
      </c>
      <c r="L672" t="b">
        <f t="shared" si="65"/>
        <v>1</v>
      </c>
      <c r="M672" t="b">
        <f t="shared" si="70"/>
        <v>1</v>
      </c>
      <c r="N672" t="b">
        <f t="shared" si="70"/>
        <v>1</v>
      </c>
      <c r="O672" t="b">
        <f t="shared" si="71"/>
        <v>1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ALL_REGION</v>
      </c>
      <c r="E676" s="36" t="str">
        <f>_xlfn.XLOOKUP($A676,PROPERTIES[VEHIDCODE],PROPERTIES[REGION2])</f>
        <v>NO_REGION</v>
      </c>
      <c r="F676" s="36" t="str">
        <f t="shared" si="66"/>
        <v>ALL_REGION_NO_REGION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1</v>
      </c>
      <c r="N676" t="b">
        <f t="shared" si="72"/>
        <v>1</v>
      </c>
      <c r="O676" t="b">
        <f t="shared" si="71"/>
        <v>1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ALL_REGION</v>
      </c>
      <c r="E677" s="36" t="str">
        <f>_xlfn.XLOOKUP($A677,PROPERTIES[VEHIDCODE],PROPERTIES[REGION2])</f>
        <v>NO_REGION</v>
      </c>
      <c r="F677" s="36" t="str">
        <f t="shared" si="66"/>
        <v>ALL_REGION_NO_REGION</v>
      </c>
      <c r="G677" t="b">
        <f t="shared" si="67"/>
        <v>1</v>
      </c>
      <c r="H677" t="b">
        <f t="shared" si="68"/>
        <v>1</v>
      </c>
      <c r="I677" t="b">
        <f t="shared" si="69"/>
        <v>1</v>
      </c>
      <c r="J677" t="b">
        <f t="shared" si="65"/>
        <v>1</v>
      </c>
      <c r="K677" t="b">
        <f t="shared" si="65"/>
        <v>1</v>
      </c>
      <c r="L677" t="b">
        <f t="shared" si="65"/>
        <v>1</v>
      </c>
      <c r="M677" t="b">
        <f t="shared" si="72"/>
        <v>1</v>
      </c>
      <c r="N677" t="b">
        <f t="shared" si="72"/>
        <v>1</v>
      </c>
      <c r="O677" t="b">
        <f t="shared" si="71"/>
        <v>1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ALL_REGION</v>
      </c>
      <c r="E680" s="36" t="str">
        <f>_xlfn.XLOOKUP($A680,PROPERTIES[VEHIDCODE],PROPERTIES[REGION2])</f>
        <v>NO_REGION</v>
      </c>
      <c r="F680" s="36" t="str">
        <f t="shared" si="66"/>
        <v>ALL_REGION_NO_REGION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1</v>
      </c>
      <c r="N680" t="b">
        <f t="shared" si="72"/>
        <v>1</v>
      </c>
      <c r="O680" t="b">
        <f t="shared" si="71"/>
        <v>1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ALL_REGION</v>
      </c>
      <c r="E681" s="36" t="str">
        <f>_xlfn.XLOOKUP($A681,PROPERTIES[VEHIDCODE],PROPERTIES[REGION2])</f>
        <v>NO_REGION</v>
      </c>
      <c r="F681" s="36" t="str">
        <f t="shared" si="66"/>
        <v>ALL_REGION_NO_REGION</v>
      </c>
      <c r="G681" t="b">
        <f t="shared" si="67"/>
        <v>1</v>
      </c>
      <c r="H681" t="b">
        <f t="shared" si="68"/>
        <v>1</v>
      </c>
      <c r="I681" t="b">
        <f t="shared" si="69"/>
        <v>1</v>
      </c>
      <c r="J681" t="b">
        <f t="shared" si="65"/>
        <v>1</v>
      </c>
      <c r="K681" t="b">
        <f t="shared" si="65"/>
        <v>1</v>
      </c>
      <c r="L681" t="b">
        <f t="shared" si="65"/>
        <v>1</v>
      </c>
      <c r="M681" t="b">
        <f t="shared" si="72"/>
        <v>1</v>
      </c>
      <c r="N681" t="b">
        <f t="shared" si="72"/>
        <v>1</v>
      </c>
      <c r="O681" t="b">
        <f t="shared" si="71"/>
        <v>1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ALL_REGION</v>
      </c>
      <c r="E682" s="36" t="str">
        <f>_xlfn.XLOOKUP($A682,PROPERTIES[VEHIDCODE],PROPERTIES[REGION2])</f>
        <v>NO_REGION</v>
      </c>
      <c r="F682" s="36" t="str">
        <f t="shared" si="66"/>
        <v>ALL_REGION_NO_REGION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1</v>
      </c>
      <c r="N682" t="b">
        <f t="shared" si="72"/>
        <v>1</v>
      </c>
      <c r="O682" t="b">
        <f t="shared" si="71"/>
        <v>1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ALL_REGION</v>
      </c>
      <c r="E683" s="36" t="str">
        <f>_xlfn.XLOOKUP($A683,PROPERTIES[VEHIDCODE],PROPERTIES[REGION2])</f>
        <v>NO_REGION</v>
      </c>
      <c r="F683" s="36" t="str">
        <f t="shared" si="66"/>
        <v>ALL_REGION_NO_REGION</v>
      </c>
      <c r="G683" t="b">
        <f t="shared" si="67"/>
        <v>1</v>
      </c>
      <c r="H683" t="b">
        <f t="shared" si="68"/>
        <v>1</v>
      </c>
      <c r="I683" t="b">
        <f t="shared" si="69"/>
        <v>1</v>
      </c>
      <c r="J683" t="b">
        <f t="shared" si="65"/>
        <v>1</v>
      </c>
      <c r="K683" t="b">
        <f t="shared" si="65"/>
        <v>1</v>
      </c>
      <c r="L683" t="b">
        <f t="shared" si="65"/>
        <v>1</v>
      </c>
      <c r="M683" t="b">
        <f t="shared" si="72"/>
        <v>1</v>
      </c>
      <c r="N683" t="b">
        <f t="shared" si="72"/>
        <v>1</v>
      </c>
      <c r="O683" t="b">
        <f t="shared" si="71"/>
        <v>1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ALL_REGION</v>
      </c>
      <c r="E689" s="36" t="str">
        <f>_xlfn.XLOOKUP($A689,PROPERTIES[VEHIDCODE],PROPERTIES[REGION2])</f>
        <v>NO_REGION</v>
      </c>
      <c r="F689" s="36" t="str">
        <f t="shared" si="66"/>
        <v>ALL_REGION_NO_REGION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1</v>
      </c>
      <c r="N689" t="b">
        <f t="shared" si="72"/>
        <v>1</v>
      </c>
      <c r="O689" t="b">
        <f t="shared" si="71"/>
        <v>1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ALL_REGION</v>
      </c>
      <c r="E690" s="36" t="str">
        <f>_xlfn.XLOOKUP($A690,PROPERTIES[VEHIDCODE],PROPERTIES[REGION2])</f>
        <v>NO_REGION</v>
      </c>
      <c r="F690" s="36" t="str">
        <f t="shared" si="66"/>
        <v>ALL_REGION_NO_REGION</v>
      </c>
      <c r="G690" t="b">
        <f t="shared" si="67"/>
        <v>1</v>
      </c>
      <c r="H690" t="b">
        <f t="shared" si="68"/>
        <v>1</v>
      </c>
      <c r="I690" t="b">
        <f t="shared" si="69"/>
        <v>1</v>
      </c>
      <c r="J690" t="b">
        <f t="shared" si="65"/>
        <v>1</v>
      </c>
      <c r="K690" t="b">
        <f t="shared" si="65"/>
        <v>1</v>
      </c>
      <c r="L690" t="b">
        <f t="shared" si="65"/>
        <v>1</v>
      </c>
      <c r="M690" t="b">
        <f t="shared" si="72"/>
        <v>1</v>
      </c>
      <c r="N690" t="b">
        <f t="shared" si="72"/>
        <v>1</v>
      </c>
      <c r="O690" t="b">
        <f t="shared" si="71"/>
        <v>1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ALL_REGION</v>
      </c>
      <c r="E693" s="36" t="str">
        <f>_xlfn.XLOOKUP($A693,PROPERTIES[VEHIDCODE],PROPERTIES[REGION2])</f>
        <v>NO_REGION</v>
      </c>
      <c r="F693" s="36" t="str">
        <f t="shared" si="66"/>
        <v>ALL_REGION_NO_REGION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1</v>
      </c>
      <c r="N693" t="b">
        <f t="shared" si="72"/>
        <v>1</v>
      </c>
      <c r="O693" t="b">
        <f t="shared" si="71"/>
        <v>1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ALL_REGION</v>
      </c>
      <c r="E694" s="36" t="str">
        <f>_xlfn.XLOOKUP($A694,PROPERTIES[VEHIDCODE],PROPERTIES[REGION2])</f>
        <v>NO_REGION</v>
      </c>
      <c r="F694" s="36" t="str">
        <f t="shared" si="66"/>
        <v>ALL_REGION_NO_REGION</v>
      </c>
      <c r="G694" t="b">
        <f t="shared" si="67"/>
        <v>1</v>
      </c>
      <c r="H694" t="b">
        <f t="shared" si="68"/>
        <v>1</v>
      </c>
      <c r="I694" t="b">
        <f t="shared" si="69"/>
        <v>1</v>
      </c>
      <c r="J694" t="b">
        <f t="shared" si="65"/>
        <v>1</v>
      </c>
      <c r="K694" t="b">
        <f t="shared" si="65"/>
        <v>1</v>
      </c>
      <c r="L694" t="b">
        <f t="shared" si="65"/>
        <v>1</v>
      </c>
      <c r="M694" t="b">
        <f t="shared" si="72"/>
        <v>1</v>
      </c>
      <c r="N694" t="b">
        <f t="shared" si="72"/>
        <v>1</v>
      </c>
      <c r="O694" t="b">
        <f t="shared" si="71"/>
        <v>1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ALL_REGION</v>
      </c>
      <c r="E695" s="36" t="str">
        <f>_xlfn.XLOOKUP($A695,PROPERTIES[VEHIDCODE],PROPERTIES[REGION2])</f>
        <v>NO_REGION</v>
      </c>
      <c r="F695" s="36" t="str">
        <f t="shared" si="66"/>
        <v>ALL_REGION_NO_REGION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1</v>
      </c>
      <c r="N695" t="b">
        <f t="shared" si="72"/>
        <v>1</v>
      </c>
      <c r="O695" t="b">
        <f t="shared" si="71"/>
        <v>1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ALL_REGION</v>
      </c>
      <c r="E704" s="36" t="str">
        <f>_xlfn.XLOOKUP($A704,PROPERTIES[VEHIDCODE],PROPERTIES[REGION2])</f>
        <v>NO_REGION</v>
      </c>
      <c r="F704" s="36" t="str">
        <f t="shared" si="66"/>
        <v>ALL_REGION_NO_REGION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1</v>
      </c>
      <c r="N704" t="b">
        <f t="shared" si="72"/>
        <v>1</v>
      </c>
      <c r="O704" t="b">
        <f t="shared" si="71"/>
        <v>1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ALL_REGION</v>
      </c>
      <c r="E705" s="36" t="str">
        <f>_xlfn.XLOOKUP($A705,PROPERTIES[VEHIDCODE],PROPERTIES[REGION2])</f>
        <v>NO_REGION</v>
      </c>
      <c r="F705" s="36" t="str">
        <f t="shared" si="66"/>
        <v>ALL_REGION_NO_REGION</v>
      </c>
      <c r="G705" t="b">
        <f t="shared" si="67"/>
        <v>1</v>
      </c>
      <c r="H705" t="b">
        <f t="shared" si="68"/>
        <v>1</v>
      </c>
      <c r="I705" t="b">
        <f t="shared" si="69"/>
        <v>1</v>
      </c>
      <c r="J705" t="b">
        <f t="shared" si="65"/>
        <v>1</v>
      </c>
      <c r="K705" t="b">
        <f t="shared" si="65"/>
        <v>1</v>
      </c>
      <c r="L705" t="b">
        <f t="shared" si="65"/>
        <v>1</v>
      </c>
      <c r="M705" t="b">
        <f t="shared" si="72"/>
        <v>1</v>
      </c>
      <c r="N705" t="b">
        <f t="shared" si="72"/>
        <v>1</v>
      </c>
      <c r="O705" t="b">
        <f t="shared" si="71"/>
        <v>1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ALL_REGION</v>
      </c>
      <c r="E708" s="36" t="str">
        <f>_xlfn.XLOOKUP($A708,PROPERTIES[VEHIDCODE],PROPERTIES[REGION2])</f>
        <v>NO_REGION</v>
      </c>
      <c r="F708" s="36" t="str">
        <f t="shared" si="73"/>
        <v>ALL_REGION_NO_REGION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1</v>
      </c>
      <c r="N708" t="b">
        <f t="shared" si="77"/>
        <v>1</v>
      </c>
      <c r="O708" t="b">
        <f t="shared" si="78"/>
        <v>1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ALL_REGION</v>
      </c>
      <c r="E709" s="36" t="str">
        <f>_xlfn.XLOOKUP($A709,PROPERTIES[VEHIDCODE],PROPERTIES[REGION2])</f>
        <v>NO_REGION</v>
      </c>
      <c r="F709" s="36" t="str">
        <f t="shared" si="73"/>
        <v>ALL_REGION_NO_REGION</v>
      </c>
      <c r="G709" t="b">
        <f t="shared" si="74"/>
        <v>1</v>
      </c>
      <c r="H709" t="b">
        <f t="shared" si="75"/>
        <v>1</v>
      </c>
      <c r="I709" t="b">
        <f t="shared" si="76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7"/>
        <v>1</v>
      </c>
      <c r="N709" t="b">
        <f t="shared" si="77"/>
        <v>1</v>
      </c>
      <c r="O709" t="b">
        <f t="shared" si="78"/>
        <v>1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ALL_REGION</v>
      </c>
      <c r="E710" s="36" t="str">
        <f>_xlfn.XLOOKUP($A710,PROPERTIES[VEHIDCODE],PROPERTIES[REGION2])</f>
        <v>NO_REGION</v>
      </c>
      <c r="F710" s="36" t="str">
        <f t="shared" si="73"/>
        <v>ALL_REGION_NO_REGION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1</v>
      </c>
      <c r="N710" t="b">
        <f t="shared" si="77"/>
        <v>1</v>
      </c>
      <c r="O710" t="b">
        <f t="shared" si="78"/>
        <v>1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ALL_REGION</v>
      </c>
      <c r="E717" s="36" t="str">
        <f>_xlfn.XLOOKUP($A717,PROPERTIES[VEHIDCODE],PROPERTIES[REGION2])</f>
        <v>NO_REGION</v>
      </c>
      <c r="F717" s="36" t="str">
        <f t="shared" si="73"/>
        <v>ALL_REGION_NO_REGION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1</v>
      </c>
      <c r="N717" t="b">
        <f t="shared" si="77"/>
        <v>1</v>
      </c>
      <c r="O717" t="b">
        <f t="shared" si="78"/>
        <v>1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ALL_REGION</v>
      </c>
      <c r="E718" s="36" t="str">
        <f>_xlfn.XLOOKUP($A718,PROPERTIES[VEHIDCODE],PROPERTIES[REGION2])</f>
        <v>NO_REGION</v>
      </c>
      <c r="F718" s="36" t="str">
        <f t="shared" si="73"/>
        <v>ALL_REGION_NO_REGION</v>
      </c>
      <c r="G718" t="b">
        <f t="shared" si="74"/>
        <v>1</v>
      </c>
      <c r="H718" t="b">
        <f t="shared" si="75"/>
        <v>1</v>
      </c>
      <c r="I718" t="b">
        <f t="shared" si="76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7"/>
        <v>1</v>
      </c>
      <c r="N718" t="b">
        <f t="shared" si="77"/>
        <v>1</v>
      </c>
      <c r="O718" t="b">
        <f t="shared" si="78"/>
        <v>1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17" si="81">_xlfn.CONCAT($D771,"_",$E771)</f>
        <v>ALL_AMERICA_OCEANIA</v>
      </c>
      <c r="G771" t="b">
        <f t="shared" ref="G771:G817" si="82">OR(ISNUMBER(SEARCH("ALL_REGION",$F771)),
ISNUMBER(SEARCH("AFRICA",$F771)),
ISNUMBER(SEARCH("REGIONTYPE1",$F771)),
ISNUMBER(SEARCH("REGIONTYPE2",$F771)))</f>
        <v>0</v>
      </c>
      <c r="H771" t="b">
        <f t="shared" ref="H771:H817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17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 / 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 / 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General Purpose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Shunter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General Purpose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General Purpose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General Purpose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General Purpose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General Purpose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 (Universal)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Metro/Rapid Transit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mu_Coach_Gen5_CityNightLine_Sleeper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mu_Coach_Gen4_Trans_Euro_Night_Sleeper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ALL_REGION</v>
      </c>
      <c r="E808" s="36" t="str">
        <f>_xlfn.XLOOKUP($A808,PROPERTIES[VEHIDCODE],PROPERTIES[REGION2])</f>
        <v>NO_REGION</v>
      </c>
      <c r="F808" s="36" t="str">
        <f t="shared" si="81"/>
        <v>ALL_REGION_NO_REGION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1</v>
      </c>
      <c r="N808" t="b">
        <f t="shared" si="88"/>
        <v>1</v>
      </c>
      <c r="O808" t="b">
        <f t="shared" si="86"/>
        <v>1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ALL_REGION</v>
      </c>
      <c r="E809" s="36" t="str">
        <f>_xlfn.XLOOKUP($A809,PROPERTIES[VEHIDCODE],PROPERTIES[REGION2])</f>
        <v>NO_REGION</v>
      </c>
      <c r="F809" s="36" t="str">
        <f t="shared" si="81"/>
        <v>ALL_REGION_NO_REGION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1</v>
      </c>
      <c r="N809" t="b">
        <f t="shared" si="88"/>
        <v>1</v>
      </c>
      <c r="O809" t="b">
        <f t="shared" si="86"/>
        <v>1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ALL_REGION</v>
      </c>
      <c r="E810" s="36" t="str">
        <f>_xlfn.XLOOKUP($A810,PROPERTIES[VEHIDCODE],PROPERTIES[REGION2])</f>
        <v>NO_REGION</v>
      </c>
      <c r="F810" s="36" t="str">
        <f t="shared" si="81"/>
        <v>ALL_REGION_NO_REGION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1</v>
      </c>
      <c r="N810" t="b">
        <f t="shared" si="88"/>
        <v>1</v>
      </c>
      <c r="O810" t="b">
        <f t="shared" si="86"/>
        <v>1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ALL_REGION</v>
      </c>
      <c r="E811" s="36" t="str">
        <f>_xlfn.XLOOKUP($A811,PROPERTIES[VEHIDCODE],PROPERTIES[REGION2])</f>
        <v>NO_REGION</v>
      </c>
      <c r="F811" s="36" t="str">
        <f t="shared" si="81"/>
        <v>ALL_REGION_NO_REGION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1</v>
      </c>
      <c r="N811" t="b">
        <f t="shared" si="88"/>
        <v>1</v>
      </c>
      <c r="O811" t="b">
        <f t="shared" si="86"/>
        <v>1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ALL_REGION</v>
      </c>
      <c r="E812" s="36" t="str">
        <f>_xlfn.XLOOKUP($A812,PROPERTIES[VEHIDCODE],PROPERTIES[REGION2])</f>
        <v>NO_REGION</v>
      </c>
      <c r="F812" s="36" t="str">
        <f t="shared" si="81"/>
        <v>ALL_REGION_NO_REGION</v>
      </c>
      <c r="G812" t="b">
        <f t="shared" si="82"/>
        <v>1</v>
      </c>
      <c r="H812" t="b">
        <f t="shared" si="83"/>
        <v>1</v>
      </c>
      <c r="I812" t="b">
        <f t="shared" ref="I812:L817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17" si="90">OR(ISNUMBER(SEARCH("ALL_REGION",$F812)),
ISNUMBER(SEARCH("ALL_AMERICA",$F812)),
ISNUMBER(SEARCH(M$1,$F812)),
ISNUMBER(SEARCH("REGIONTYPE2",$F812)))</f>
        <v>1</v>
      </c>
      <c r="N812" t="b">
        <f t="shared" si="90"/>
        <v>1</v>
      </c>
      <c r="O812" t="b">
        <f t="shared" si="86"/>
        <v>1</v>
      </c>
    </row>
    <row r="813" spans="1:15">
      <c r="A813" t="str">
        <v>mglv_Wagon_Gen7M_Livestock_Van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ALL_REGION</v>
      </c>
      <c r="E813" s="36" t="str">
        <f>_xlfn.XLOOKUP($A813,PROPERTIES[VEHIDCODE],PROPERTIES[REGION2])</f>
        <v>NO_REGION</v>
      </c>
      <c r="F813" s="36" t="str">
        <f t="shared" si="81"/>
        <v>ALL_REGION_NO_REGION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1</v>
      </c>
      <c r="N813" t="b">
        <f t="shared" si="90"/>
        <v>1</v>
      </c>
      <c r="O813" t="b">
        <f t="shared" si="86"/>
        <v>1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General Purpose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  <row r="815" spans="1:15">
      <c r="A815" t="str">
        <v>mtro_UK_London_1992_Stock</v>
      </c>
      <c r="B815">
        <f>FLOOR(_xlfn.XLOOKUP($A815,PROPERTIES[VEHIDCODE],PROPERTIES[INTRODUCTION_YEAR]),20)</f>
        <v>1980</v>
      </c>
      <c r="C815" t="str">
        <f>_xlfn.XLOOKUP($A815,PROPERTIES[VEHIDCODE],PROPERTIES[ROLE])</f>
        <v>Metro/Rapid Transit</v>
      </c>
      <c r="D815" s="36" t="str">
        <f>_xlfn.XLOOKUP($A815,PROPERTIES[VEHIDCODE],PROPERTIES[REGION1])</f>
        <v>NORTHERN_EUROPE</v>
      </c>
      <c r="E815" s="36" t="str">
        <f>_xlfn.XLOOKUP($A815,PROPERTIES[VEHIDCODE],PROPERTIES[REGION2])</f>
        <v>NO_REGION</v>
      </c>
      <c r="F815" s="36" t="str">
        <f t="shared" si="81"/>
        <v>NORTHERN_EUROPE_NO_REGION</v>
      </c>
      <c r="G815" t="b">
        <f t="shared" si="82"/>
        <v>0</v>
      </c>
      <c r="H815" t="b">
        <f t="shared" si="83"/>
        <v>0</v>
      </c>
      <c r="I815" t="b">
        <f t="shared" si="89"/>
        <v>0</v>
      </c>
      <c r="J815" t="b">
        <f t="shared" si="89"/>
        <v>0</v>
      </c>
      <c r="K815" t="b">
        <f t="shared" si="89"/>
        <v>0</v>
      </c>
      <c r="L815" t="b">
        <f t="shared" si="89"/>
        <v>1</v>
      </c>
      <c r="M815" t="b">
        <f t="shared" si="90"/>
        <v>0</v>
      </c>
      <c r="N815" t="b">
        <f t="shared" si="90"/>
        <v>0</v>
      </c>
      <c r="O815" t="b">
        <f t="shared" si="86"/>
        <v>0</v>
      </c>
    </row>
    <row r="816" spans="1:15">
      <c r="A816" t="str">
        <v>mtro_UK_London_S_Stock</v>
      </c>
      <c r="B816">
        <f>FLOOR(_xlfn.XLOOKUP($A816,PROPERTIES[VEHIDCODE],PROPERTIES[INTRODUCTION_YEAR]),20)</f>
        <v>2000</v>
      </c>
      <c r="C816" t="str">
        <f>_xlfn.XLOOKUP($A816,PROPERTIES[VEHIDCODE],PROPERTIES[ROLE])</f>
        <v>Metro/Rapid Transit</v>
      </c>
      <c r="D816" s="36" t="str">
        <f>_xlfn.XLOOKUP($A816,PROPERTIES[VEHIDCODE],PROPERTIES[REGION1])</f>
        <v>NORTHERN_EUROPE</v>
      </c>
      <c r="E816" s="36" t="str">
        <f>_xlfn.XLOOKUP($A816,PROPERTIES[VEHIDCODE],PROPERTIES[REGION2])</f>
        <v>NO_REGION</v>
      </c>
      <c r="F816" s="36" t="str">
        <f t="shared" si="81"/>
        <v>NORTHERN_EUROPE_NO_REGION</v>
      </c>
      <c r="G816" t="b">
        <f t="shared" si="82"/>
        <v>0</v>
      </c>
      <c r="H816" t="b">
        <f t="shared" si="83"/>
        <v>0</v>
      </c>
      <c r="I816" t="b">
        <f t="shared" si="89"/>
        <v>0</v>
      </c>
      <c r="J816" t="b">
        <f t="shared" si="89"/>
        <v>0</v>
      </c>
      <c r="K816" t="b">
        <f t="shared" si="89"/>
        <v>0</v>
      </c>
      <c r="L816" t="b">
        <f t="shared" si="89"/>
        <v>1</v>
      </c>
      <c r="M816" t="b">
        <f t="shared" si="90"/>
        <v>0</v>
      </c>
      <c r="N816" t="b">
        <f t="shared" si="90"/>
        <v>0</v>
      </c>
      <c r="O816" t="b">
        <f t="shared" si="86"/>
        <v>0</v>
      </c>
    </row>
    <row r="817" spans="1:15">
      <c r="A817" t="str">
        <v>mtro_UK_London_1972_Stock</v>
      </c>
      <c r="B817">
        <f>FLOOR(_xlfn.XLOOKUP($A817,PROPERTIES[VEHIDCODE],PROPERTIES[INTRODUCTION_YEAR]),20)</f>
        <v>1960</v>
      </c>
      <c r="C817" t="str">
        <f>_xlfn.XLOOKUP($A817,PROPERTIES[VEHIDCODE],PROPERTIES[ROLE])</f>
        <v>Metro/Rapid Transit</v>
      </c>
      <c r="D817" s="36" t="str">
        <f>_xlfn.XLOOKUP($A817,PROPERTIES[VEHIDCODE],PROPERTIES[REGION1])</f>
        <v>NORTHERN_EUROPE</v>
      </c>
      <c r="E817" s="36" t="str">
        <f>_xlfn.XLOOKUP($A817,PROPERTIES[VEHIDCODE],PROPERTIES[REGION2])</f>
        <v>NO_REGION</v>
      </c>
      <c r="F817" s="36" t="str">
        <f t="shared" si="81"/>
        <v>NORTHERN_EUROPE_NO_REGION</v>
      </c>
      <c r="G817" t="b">
        <f t="shared" si="82"/>
        <v>0</v>
      </c>
      <c r="H817" t="b">
        <f t="shared" si="83"/>
        <v>0</v>
      </c>
      <c r="I817" t="b">
        <f t="shared" si="89"/>
        <v>0</v>
      </c>
      <c r="J817" t="b">
        <f t="shared" si="89"/>
        <v>0</v>
      </c>
      <c r="K817" t="b">
        <f t="shared" si="89"/>
        <v>0</v>
      </c>
      <c r="L817" t="b">
        <f t="shared" si="89"/>
        <v>1</v>
      </c>
      <c r="M817" t="b">
        <f t="shared" si="90"/>
        <v>0</v>
      </c>
      <c r="N817" t="b">
        <f t="shared" si="90"/>
        <v>0</v>
      </c>
      <c r="O817" t="b">
        <f t="shared" si="86"/>
        <v>0</v>
      </c>
    </row>
  </sheetData>
  <autoFilter ref="A1:O793" xr:uid="{94AF2F1A-9287-4526-9497-B34C300AF4DB}"/>
  <conditionalFormatting sqref="G1:G813 H795:I813 G814:I1048576">
    <cfRule type="containsText" dxfId="8" priority="24" operator="containsText" text="FALSE">
      <formula>NOT(ISERROR(SEARCH("FALSE",G1)))</formula>
    </cfRule>
  </conditionalFormatting>
  <conditionalFormatting sqref="H1:I792">
    <cfRule type="containsText" dxfId="7" priority="23" operator="containsText" text="FALSE">
      <formula>NOT(ISERROR(SEARCH("FALSE",H1)))</formula>
    </cfRule>
  </conditionalFormatting>
  <conditionalFormatting sqref="H2:O816">
    <cfRule type="containsText" dxfId="6" priority="2" operator="containsText" text="FALSE">
      <formula>NOT(ISERROR(SEARCH("FALSE",H2)))</formula>
    </cfRule>
  </conditionalFormatting>
  <conditionalFormatting sqref="H817:O817">
    <cfRule type="containsText" dxfId="0" priority="1" operator="containsText" text="FALSE">
      <formula>NOT(ISERROR(SEARCH("FALSE",H817)))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2926</v>
      </c>
      <c r="C3" s="34" t="s">
        <v>2268</v>
      </c>
    </row>
    <row r="4" spans="1:18">
      <c r="A4" s="34" t="s">
        <v>2935</v>
      </c>
      <c r="B4" s="34" t="s">
        <v>907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2924</v>
      </c>
      <c r="J4" t="s">
        <v>2933</v>
      </c>
      <c r="K4" t="s">
        <v>2925</v>
      </c>
      <c r="L4" t="s">
        <v>2938</v>
      </c>
      <c r="M4" t="s">
        <v>3021</v>
      </c>
      <c r="N4" t="s">
        <v>3022</v>
      </c>
      <c r="O4" t="s">
        <v>3023</v>
      </c>
      <c r="P4" t="s">
        <v>3024</v>
      </c>
      <c r="Q4" t="s">
        <v>3025</v>
      </c>
      <c r="R4" t="s">
        <v>3026</v>
      </c>
    </row>
    <row r="5" spans="1:18">
      <c r="A5">
        <v>1660</v>
      </c>
      <c r="B5" t="s">
        <v>2937</v>
      </c>
      <c r="L5">
        <v>2</v>
      </c>
    </row>
    <row r="6" spans="1:18">
      <c r="A6">
        <v>1820</v>
      </c>
      <c r="B6" t="s">
        <v>2937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2937</v>
      </c>
      <c r="N7">
        <v>2</v>
      </c>
      <c r="O7">
        <v>2</v>
      </c>
      <c r="P7">
        <v>2</v>
      </c>
    </row>
    <row r="8" spans="1:18">
      <c r="A8">
        <v>1860</v>
      </c>
      <c r="B8" t="s">
        <v>2937</v>
      </c>
      <c r="M8">
        <v>2</v>
      </c>
    </row>
    <row r="9" spans="1:18">
      <c r="A9">
        <v>1880</v>
      </c>
      <c r="B9" t="s">
        <v>2937</v>
      </c>
      <c r="L9">
        <v>4</v>
      </c>
      <c r="M9">
        <v>2</v>
      </c>
    </row>
    <row r="10" spans="1:18">
      <c r="A10">
        <v>1900</v>
      </c>
      <c r="B10" t="s">
        <v>2937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2937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2937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2937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2937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2937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2937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2937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2926</v>
      </c>
      <c r="C3" s="34" t="s">
        <v>2268</v>
      </c>
    </row>
    <row r="4" spans="1:18">
      <c r="A4" s="34" t="s">
        <v>2935</v>
      </c>
      <c r="B4" s="34" t="s">
        <v>909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2924</v>
      </c>
      <c r="I4" t="s">
        <v>2933</v>
      </c>
      <c r="J4" t="s">
        <v>2925</v>
      </c>
      <c r="K4" t="s">
        <v>2934</v>
      </c>
      <c r="L4" t="s">
        <v>2938</v>
      </c>
      <c r="M4" t="s">
        <v>3021</v>
      </c>
      <c r="N4" t="s">
        <v>3022</v>
      </c>
      <c r="O4" t="s">
        <v>3023</v>
      </c>
      <c r="P4" t="s">
        <v>3024</v>
      </c>
      <c r="Q4" t="s">
        <v>3025</v>
      </c>
      <c r="R4" t="s">
        <v>3026</v>
      </c>
    </row>
    <row r="5" spans="1:18">
      <c r="A5">
        <v>1660</v>
      </c>
      <c r="B5" t="s">
        <v>2937</v>
      </c>
      <c r="L5">
        <v>1</v>
      </c>
    </row>
    <row r="6" spans="1:18">
      <c r="A6">
        <v>1820</v>
      </c>
      <c r="B6" t="s">
        <v>2937</v>
      </c>
      <c r="L6">
        <v>4</v>
      </c>
      <c r="O6">
        <v>1</v>
      </c>
      <c r="P6">
        <v>1</v>
      </c>
    </row>
    <row r="7" spans="1:18">
      <c r="A7">
        <v>1840</v>
      </c>
      <c r="B7" t="s">
        <v>2937</v>
      </c>
      <c r="F7">
        <v>1</v>
      </c>
      <c r="O7">
        <v>1</v>
      </c>
      <c r="P7">
        <v>1</v>
      </c>
    </row>
    <row r="8" spans="1:18">
      <c r="A8">
        <v>1860</v>
      </c>
      <c r="B8" t="s">
        <v>2937</v>
      </c>
      <c r="F8">
        <v>3</v>
      </c>
    </row>
    <row r="9" spans="1:18">
      <c r="A9">
        <v>1880</v>
      </c>
      <c r="B9" t="s">
        <v>2937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2937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2937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2937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2937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2937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2937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2937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2937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2926</v>
      </c>
      <c r="C3" s="34" t="s">
        <v>2268</v>
      </c>
    </row>
    <row r="4" spans="1:17">
      <c r="A4" s="34" t="s">
        <v>2935</v>
      </c>
      <c r="B4" s="34" t="s">
        <v>911</v>
      </c>
      <c r="C4" t="s">
        <v>2927</v>
      </c>
      <c r="D4" t="s">
        <v>2932</v>
      </c>
      <c r="E4" t="s">
        <v>2929</v>
      </c>
      <c r="F4" t="s">
        <v>2923</v>
      </c>
      <c r="G4" t="s">
        <v>2928</v>
      </c>
      <c r="H4" t="s">
        <v>2924</v>
      </c>
      <c r="I4" t="s">
        <v>2933</v>
      </c>
      <c r="J4" t="s">
        <v>2925</v>
      </c>
      <c r="K4" t="s">
        <v>2938</v>
      </c>
      <c r="L4" t="s">
        <v>3021</v>
      </c>
      <c r="M4" t="s">
        <v>3022</v>
      </c>
      <c r="N4" t="s">
        <v>3023</v>
      </c>
      <c r="O4" t="s">
        <v>3024</v>
      </c>
      <c r="P4" t="s">
        <v>3025</v>
      </c>
      <c r="Q4" t="s">
        <v>3026</v>
      </c>
    </row>
    <row r="5" spans="1:17">
      <c r="A5">
        <v>1660</v>
      </c>
      <c r="B5" t="s">
        <v>2937</v>
      </c>
      <c r="K5">
        <v>1</v>
      </c>
    </row>
    <row r="6" spans="1:17">
      <c r="A6">
        <v>1820</v>
      </c>
      <c r="B6" t="s">
        <v>2937</v>
      </c>
      <c r="K6">
        <v>4</v>
      </c>
      <c r="N6">
        <v>1</v>
      </c>
      <c r="O6">
        <v>1</v>
      </c>
    </row>
    <row r="7" spans="1:17">
      <c r="A7">
        <v>1840</v>
      </c>
      <c r="B7" t="s">
        <v>2937</v>
      </c>
      <c r="N7">
        <v>1</v>
      </c>
      <c r="O7">
        <v>1</v>
      </c>
    </row>
    <row r="8" spans="1:17">
      <c r="A8">
        <v>1860</v>
      </c>
      <c r="B8" t="s">
        <v>2937</v>
      </c>
      <c r="L8">
        <v>1</v>
      </c>
    </row>
    <row r="9" spans="1:17">
      <c r="A9">
        <v>1880</v>
      </c>
      <c r="B9" t="s">
        <v>2937</v>
      </c>
      <c r="K9">
        <v>3</v>
      </c>
    </row>
    <row r="10" spans="1:17">
      <c r="A10">
        <v>1900</v>
      </c>
      <c r="B10" t="s">
        <v>2937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2937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2937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2937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2937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2937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2937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2937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2926</v>
      </c>
      <c r="C3" s="34" t="s">
        <v>2268</v>
      </c>
    </row>
    <row r="4" spans="1:19">
      <c r="A4" s="34" t="s">
        <v>2935</v>
      </c>
      <c r="B4" s="34" t="s">
        <v>912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2924</v>
      </c>
      <c r="J4" t="s">
        <v>2933</v>
      </c>
      <c r="K4" t="s">
        <v>2931</v>
      </c>
      <c r="L4" t="s">
        <v>2925</v>
      </c>
      <c r="M4" t="s">
        <v>2938</v>
      </c>
      <c r="N4" t="s">
        <v>3021</v>
      </c>
      <c r="O4" t="s">
        <v>3022</v>
      </c>
      <c r="P4" t="s">
        <v>3023</v>
      </c>
      <c r="Q4" t="s">
        <v>3024</v>
      </c>
      <c r="R4" t="s">
        <v>3025</v>
      </c>
      <c r="S4" t="s">
        <v>3026</v>
      </c>
    </row>
    <row r="5" spans="1:19">
      <c r="A5">
        <v>1660</v>
      </c>
      <c r="B5" t="s">
        <v>2937</v>
      </c>
      <c r="M5">
        <v>2</v>
      </c>
    </row>
    <row r="6" spans="1:19">
      <c r="A6">
        <v>1820</v>
      </c>
      <c r="B6" t="s">
        <v>2937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2937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2937</v>
      </c>
      <c r="H8">
        <v>1</v>
      </c>
      <c r="M8">
        <v>4</v>
      </c>
      <c r="N8">
        <v>3</v>
      </c>
    </row>
    <row r="9" spans="1:19">
      <c r="A9">
        <v>1900</v>
      </c>
      <c r="B9" t="s">
        <v>2937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2937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2937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2937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2937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2937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2937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2937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2926</v>
      </c>
      <c r="C3" s="34" t="s">
        <v>2268</v>
      </c>
    </row>
    <row r="4" spans="1:17">
      <c r="A4" s="34" t="s">
        <v>2935</v>
      </c>
      <c r="B4" s="34" t="s">
        <v>906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2933</v>
      </c>
      <c r="J4" t="s">
        <v>2925</v>
      </c>
      <c r="K4" t="s">
        <v>2938</v>
      </c>
      <c r="L4" t="s">
        <v>3021</v>
      </c>
      <c r="M4" t="s">
        <v>3022</v>
      </c>
      <c r="N4" t="s">
        <v>3023</v>
      </c>
      <c r="O4" t="s">
        <v>3024</v>
      </c>
      <c r="P4" t="s">
        <v>3025</v>
      </c>
      <c r="Q4" t="s">
        <v>3026</v>
      </c>
    </row>
    <row r="5" spans="1:17">
      <c r="A5">
        <v>1820</v>
      </c>
      <c r="B5" t="s">
        <v>2937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2937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2937</v>
      </c>
      <c r="C7">
        <v>1</v>
      </c>
      <c r="F7">
        <v>1</v>
      </c>
      <c r="K7">
        <v>2</v>
      </c>
    </row>
    <row r="8" spans="1:17">
      <c r="A8">
        <v>1900</v>
      </c>
      <c r="B8" t="s">
        <v>2937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2937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2937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2937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2937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2937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2937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2937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2926</v>
      </c>
      <c r="C3" s="34" t="s">
        <v>2268</v>
      </c>
    </row>
    <row r="4" spans="1:21">
      <c r="A4" s="34" t="s">
        <v>2935</v>
      </c>
      <c r="B4" s="34" t="s">
        <v>904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2924</v>
      </c>
      <c r="J4" t="s">
        <v>2933</v>
      </c>
      <c r="K4" t="s">
        <v>2930</v>
      </c>
      <c r="L4" t="s">
        <v>2931</v>
      </c>
      <c r="M4" t="s">
        <v>2925</v>
      </c>
      <c r="N4" t="s">
        <v>2934</v>
      </c>
      <c r="O4" t="s">
        <v>2938</v>
      </c>
      <c r="P4" t="s">
        <v>3021</v>
      </c>
      <c r="Q4" t="s">
        <v>3022</v>
      </c>
      <c r="R4" t="s">
        <v>3023</v>
      </c>
      <c r="S4" t="s">
        <v>3024</v>
      </c>
      <c r="T4" t="s">
        <v>3025</v>
      </c>
      <c r="U4" t="s">
        <v>3026</v>
      </c>
    </row>
    <row r="5" spans="1:21">
      <c r="A5">
        <v>1660</v>
      </c>
      <c r="B5" t="s">
        <v>2937</v>
      </c>
      <c r="O5">
        <v>1</v>
      </c>
    </row>
    <row r="6" spans="1:21">
      <c r="A6">
        <v>1820</v>
      </c>
      <c r="B6" t="s">
        <v>2937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2937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2937</v>
      </c>
      <c r="F8">
        <v>1</v>
      </c>
    </row>
    <row r="9" spans="1:21">
      <c r="A9">
        <v>1880</v>
      </c>
      <c r="B9" t="s">
        <v>2937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2937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2937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2937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2937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2937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2937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2937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2937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C9" sqref="C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2926</v>
      </c>
      <c r="C3" s="34" t="s">
        <v>2268</v>
      </c>
    </row>
    <row r="4" spans="1:18">
      <c r="A4" s="34" t="s">
        <v>2935</v>
      </c>
      <c r="B4" s="34" t="s">
        <v>910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2924</v>
      </c>
      <c r="J4" t="s">
        <v>2933</v>
      </c>
      <c r="K4" t="s">
        <v>2925</v>
      </c>
      <c r="L4" t="s">
        <v>2938</v>
      </c>
      <c r="M4" t="s">
        <v>3021</v>
      </c>
      <c r="N4" t="s">
        <v>3022</v>
      </c>
      <c r="O4" t="s">
        <v>3023</v>
      </c>
      <c r="P4" t="s">
        <v>3024</v>
      </c>
      <c r="Q4" t="s">
        <v>3025</v>
      </c>
      <c r="R4" t="s">
        <v>3026</v>
      </c>
    </row>
    <row r="5" spans="1:18">
      <c r="A5">
        <v>1660</v>
      </c>
      <c r="B5" t="s">
        <v>2937</v>
      </c>
      <c r="L5">
        <v>1</v>
      </c>
    </row>
    <row r="6" spans="1:18">
      <c r="A6">
        <v>1820</v>
      </c>
      <c r="B6" t="s">
        <v>2937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2937</v>
      </c>
      <c r="N7">
        <v>2</v>
      </c>
      <c r="O7">
        <v>2</v>
      </c>
      <c r="P7">
        <v>2</v>
      </c>
    </row>
    <row r="8" spans="1:18">
      <c r="A8">
        <v>1880</v>
      </c>
      <c r="B8" t="s">
        <v>2937</v>
      </c>
      <c r="L8">
        <v>3</v>
      </c>
      <c r="M8">
        <v>1</v>
      </c>
    </row>
    <row r="9" spans="1:18">
      <c r="A9">
        <v>1900</v>
      </c>
      <c r="B9" t="s">
        <v>2937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2937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2937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2937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2937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2937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2937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2937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2926</v>
      </c>
      <c r="C3" s="34" t="s">
        <v>2268</v>
      </c>
    </row>
    <row r="4" spans="1:18">
      <c r="A4" s="34" t="s">
        <v>2935</v>
      </c>
      <c r="B4" s="34" t="s">
        <v>905</v>
      </c>
      <c r="C4" t="s">
        <v>2927</v>
      </c>
      <c r="D4" t="s">
        <v>2922</v>
      </c>
      <c r="E4" t="s">
        <v>2932</v>
      </c>
      <c r="F4" t="s">
        <v>2929</v>
      </c>
      <c r="G4" t="s">
        <v>2928</v>
      </c>
      <c r="H4" t="s">
        <v>2924</v>
      </c>
      <c r="I4" t="s">
        <v>2933</v>
      </c>
      <c r="J4" t="s">
        <v>2925</v>
      </c>
      <c r="K4" t="s">
        <v>2934</v>
      </c>
      <c r="L4" t="s">
        <v>2938</v>
      </c>
      <c r="M4" t="s">
        <v>3021</v>
      </c>
      <c r="N4" t="s">
        <v>3022</v>
      </c>
      <c r="O4" t="s">
        <v>3023</v>
      </c>
      <c r="P4" t="s">
        <v>3024</v>
      </c>
      <c r="Q4" t="s">
        <v>3025</v>
      </c>
      <c r="R4" t="s">
        <v>3026</v>
      </c>
    </row>
    <row r="5" spans="1:18">
      <c r="A5">
        <v>1660</v>
      </c>
      <c r="B5" t="s">
        <v>2937</v>
      </c>
      <c r="L5">
        <v>1</v>
      </c>
    </row>
    <row r="6" spans="1:18">
      <c r="A6">
        <v>1820</v>
      </c>
      <c r="B6" t="s">
        <v>2937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2937</v>
      </c>
      <c r="N7">
        <v>2</v>
      </c>
      <c r="O7">
        <v>2</v>
      </c>
      <c r="P7">
        <v>2</v>
      </c>
    </row>
    <row r="8" spans="1:18">
      <c r="A8">
        <v>1880</v>
      </c>
      <c r="B8" t="s">
        <v>2937</v>
      </c>
      <c r="L8">
        <v>3</v>
      </c>
      <c r="M8">
        <v>1</v>
      </c>
    </row>
    <row r="9" spans="1:18">
      <c r="A9">
        <v>1900</v>
      </c>
      <c r="B9" t="s">
        <v>2937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2937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2937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2937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2937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2937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2937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2937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topLeftCell="F1" workbookViewId="0">
      <selection activeCell="K14" sqref="K14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919</v>
      </c>
      <c r="C1" t="s">
        <v>920</v>
      </c>
      <c r="E1" s="12" t="s">
        <v>975</v>
      </c>
      <c r="G1" s="12" t="s">
        <v>976</v>
      </c>
      <c r="I1" t="s">
        <v>3</v>
      </c>
      <c r="K1" t="s">
        <v>974</v>
      </c>
      <c r="M1" s="24" t="s">
        <v>2250</v>
      </c>
      <c r="N1" s="24" t="s">
        <v>2251</v>
      </c>
      <c r="O1" s="25" t="s">
        <v>2980</v>
      </c>
    </row>
    <row r="2" spans="1:15">
      <c r="A2" s="16" t="s">
        <v>907</v>
      </c>
      <c r="C2" t="s">
        <v>921</v>
      </c>
      <c r="E2" t="s">
        <v>1003</v>
      </c>
      <c r="G2" t="s">
        <v>1004</v>
      </c>
      <c r="I2" t="s">
        <v>22</v>
      </c>
      <c r="K2" s="22" t="s">
        <v>932</v>
      </c>
      <c r="M2" s="25" t="s">
        <v>2004</v>
      </c>
      <c r="N2" s="25" t="s">
        <v>1753</v>
      </c>
      <c r="O2" s="25">
        <f>COUNTIF(COUNTRIES[COUNTRY_LABEL],COUNTRIES[[#This Row],[COUNTRY_LABEL]])</f>
        <v>1</v>
      </c>
    </row>
    <row r="3" spans="1:15">
      <c r="A3" s="17" t="s">
        <v>916</v>
      </c>
      <c r="C3" t="s">
        <v>922</v>
      </c>
      <c r="E3" t="s">
        <v>987</v>
      </c>
      <c r="G3" t="s">
        <v>988</v>
      </c>
      <c r="I3" t="s">
        <v>34</v>
      </c>
      <c r="K3" s="22" t="s">
        <v>935</v>
      </c>
      <c r="M3" s="25" t="s">
        <v>2016</v>
      </c>
      <c r="N3" s="25" t="s">
        <v>1765</v>
      </c>
      <c r="O3" s="25">
        <f>COUNTIF(COUNTRIES[COUNTRY_LABEL],COUNTRIES[[#This Row],[COUNTRY_LABEL]])</f>
        <v>1</v>
      </c>
    </row>
    <row r="4" spans="1:15">
      <c r="A4" s="16" t="s">
        <v>913</v>
      </c>
      <c r="E4" t="s">
        <v>981</v>
      </c>
      <c r="G4" t="s">
        <v>982</v>
      </c>
      <c r="I4" t="s">
        <v>73</v>
      </c>
      <c r="K4" s="22" t="s">
        <v>936</v>
      </c>
      <c r="M4" s="25" t="s">
        <v>2007</v>
      </c>
      <c r="N4" s="25" t="s">
        <v>1756</v>
      </c>
      <c r="O4" s="25">
        <f>COUNTIF(COUNTRIES[COUNTRY_LABEL],COUNTRIES[[#This Row],[COUNTRY_LABEL]])</f>
        <v>1</v>
      </c>
    </row>
    <row r="5" spans="1:15">
      <c r="A5" s="17" t="s">
        <v>917</v>
      </c>
      <c r="E5" t="s">
        <v>993</v>
      </c>
      <c r="G5" t="s">
        <v>994</v>
      </c>
      <c r="I5" t="s">
        <v>18</v>
      </c>
      <c r="K5" s="22" t="s">
        <v>938</v>
      </c>
      <c r="M5" s="25" t="s">
        <v>2063</v>
      </c>
      <c r="N5" s="25" t="s">
        <v>1812</v>
      </c>
      <c r="O5" s="25">
        <f>COUNTIF(COUNTRIES[COUNTRY_LABEL],COUNTRIES[[#This Row],[COUNTRY_LABEL]])</f>
        <v>1</v>
      </c>
    </row>
    <row r="6" spans="1:15">
      <c r="A6" s="16" t="s">
        <v>912</v>
      </c>
      <c r="E6" t="s">
        <v>991</v>
      </c>
      <c r="G6" t="s">
        <v>992</v>
      </c>
      <c r="K6" s="22" t="s">
        <v>940</v>
      </c>
      <c r="M6" s="25" t="s">
        <v>2012</v>
      </c>
      <c r="N6" s="25" t="s">
        <v>1761</v>
      </c>
      <c r="O6" s="25">
        <f>COUNTIF(COUNTRIES[COUNTRY_LABEL],COUNTRIES[[#This Row],[COUNTRY_LABEL]])</f>
        <v>1</v>
      </c>
    </row>
    <row r="7" spans="1:15">
      <c r="A7" s="17" t="s">
        <v>910</v>
      </c>
      <c r="E7" t="s">
        <v>983</v>
      </c>
      <c r="G7" t="s">
        <v>984</v>
      </c>
      <c r="K7" s="22" t="s">
        <v>942</v>
      </c>
      <c r="M7" s="25" t="s">
        <v>2002</v>
      </c>
      <c r="N7" s="25" t="s">
        <v>1751</v>
      </c>
      <c r="O7" s="25">
        <f>COUNTIF(COUNTRIES[COUNTRY_LABEL],COUNTRIES[[#This Row],[COUNTRY_LABEL]])</f>
        <v>1</v>
      </c>
    </row>
    <row r="8" spans="1:15">
      <c r="A8" s="16" t="s">
        <v>903</v>
      </c>
      <c r="E8" t="s">
        <v>995</v>
      </c>
      <c r="G8" t="s">
        <v>996</v>
      </c>
      <c r="K8" s="23" t="s">
        <v>944</v>
      </c>
      <c r="M8" s="25" t="s">
        <v>2009</v>
      </c>
      <c r="N8" s="25" t="s">
        <v>1758</v>
      </c>
      <c r="O8" s="25">
        <f>COUNTIF(COUNTRIES[COUNTRY_LABEL],COUNTRIES[[#This Row],[COUNTRY_LABEL]])</f>
        <v>1</v>
      </c>
    </row>
    <row r="9" spans="1:15">
      <c r="A9" s="17" t="s">
        <v>909</v>
      </c>
      <c r="E9" t="s">
        <v>977</v>
      </c>
      <c r="G9" t="s">
        <v>978</v>
      </c>
      <c r="K9" s="23" t="s">
        <v>946</v>
      </c>
      <c r="M9" s="25" t="s">
        <v>2006</v>
      </c>
      <c r="N9" s="25" t="s">
        <v>1755</v>
      </c>
      <c r="O9" s="25">
        <f>COUNTIF(COUNTRIES[COUNTRY_LABEL],COUNTRIES[[#This Row],[COUNTRY_LABEL]])</f>
        <v>1</v>
      </c>
    </row>
    <row r="10" spans="1:15">
      <c r="A10" s="16" t="s">
        <v>908</v>
      </c>
      <c r="E10" t="s">
        <v>999</v>
      </c>
      <c r="G10" t="s">
        <v>1000</v>
      </c>
      <c r="K10" s="23" t="s">
        <v>948</v>
      </c>
      <c r="M10" s="25" t="s">
        <v>2010</v>
      </c>
      <c r="N10" s="25" t="s">
        <v>1759</v>
      </c>
      <c r="O10" s="25">
        <f>COUNTIF(COUNTRIES[COUNTRY_LABEL],COUNTRIES[[#This Row],[COUNTRY_LABEL]])</f>
        <v>1</v>
      </c>
    </row>
    <row r="11" spans="1:15">
      <c r="A11" s="17" t="s">
        <v>906</v>
      </c>
      <c r="E11" t="s">
        <v>3071</v>
      </c>
      <c r="G11" t="s">
        <v>3072</v>
      </c>
      <c r="K11" s="23" t="s">
        <v>950</v>
      </c>
      <c r="M11" s="25" t="s">
        <v>2005</v>
      </c>
      <c r="N11" s="25" t="s">
        <v>1754</v>
      </c>
      <c r="O11" s="25">
        <f>COUNTIF(COUNTRIES[COUNTRY_LABEL],COUNTRIES[[#This Row],[COUNTRY_LABEL]])</f>
        <v>1</v>
      </c>
    </row>
    <row r="12" spans="1:15">
      <c r="A12" s="16" t="s">
        <v>914</v>
      </c>
      <c r="E12" t="s">
        <v>989</v>
      </c>
      <c r="G12" t="s">
        <v>990</v>
      </c>
      <c r="K12" s="22" t="s">
        <v>952</v>
      </c>
      <c r="M12" s="25" t="s">
        <v>2011</v>
      </c>
      <c r="N12" s="25" t="s">
        <v>1760</v>
      </c>
      <c r="O12" s="25">
        <f>COUNTIF(COUNTRIES[COUNTRY_LABEL],COUNTRIES[[#This Row],[COUNTRY_LABEL]])</f>
        <v>1</v>
      </c>
    </row>
    <row r="13" spans="1:15">
      <c r="A13" s="17" t="s">
        <v>915</v>
      </c>
      <c r="E13" t="s">
        <v>997</v>
      </c>
      <c r="G13" t="s">
        <v>998</v>
      </c>
      <c r="K13" s="22" t="s">
        <v>954</v>
      </c>
      <c r="M13" s="25" t="s">
        <v>2008</v>
      </c>
      <c r="N13" s="25" t="s">
        <v>1757</v>
      </c>
      <c r="O13" s="25">
        <f>COUNTIF(COUNTRIES[COUNTRY_LABEL],COUNTRIES[[#This Row],[COUNTRY_LABEL]])</f>
        <v>1</v>
      </c>
    </row>
    <row r="14" spans="1:15">
      <c r="A14" s="16" t="s">
        <v>918</v>
      </c>
      <c r="E14" t="s">
        <v>985</v>
      </c>
      <c r="G14" t="s">
        <v>986</v>
      </c>
      <c r="K14" s="23" t="s">
        <v>966</v>
      </c>
      <c r="M14" s="25" t="s">
        <v>2015</v>
      </c>
      <c r="N14" s="25" t="s">
        <v>1764</v>
      </c>
      <c r="O14" s="25">
        <f>COUNTIF(COUNTRIES[COUNTRY_LABEL],COUNTRIES[[#This Row],[COUNTRY_LABEL]])</f>
        <v>1</v>
      </c>
    </row>
    <row r="15" spans="1:15">
      <c r="A15" s="17" t="s">
        <v>911</v>
      </c>
      <c r="E15" t="s">
        <v>979</v>
      </c>
      <c r="G15" t="s">
        <v>980</v>
      </c>
      <c r="K15" s="22" t="s">
        <v>967</v>
      </c>
      <c r="M15" s="25" t="s">
        <v>2014</v>
      </c>
      <c r="N15" s="25" t="s">
        <v>1763</v>
      </c>
      <c r="O15" s="25">
        <f>COUNTIF(COUNTRIES[COUNTRY_LABEL],COUNTRIES[[#This Row],[COUNTRY_LABEL]])</f>
        <v>1</v>
      </c>
    </row>
    <row r="16" spans="1:15">
      <c r="A16" s="16" t="s">
        <v>905</v>
      </c>
      <c r="E16" t="s">
        <v>1001</v>
      </c>
      <c r="G16" t="s">
        <v>1002</v>
      </c>
      <c r="K16" s="22" t="s">
        <v>968</v>
      </c>
      <c r="M16" s="25" t="s">
        <v>2013</v>
      </c>
      <c r="N16" s="25" t="s">
        <v>1762</v>
      </c>
      <c r="O16" s="25">
        <f>COUNTIF(COUNTRIES[COUNTRY_LABEL],COUNTRIES[[#This Row],[COUNTRY_LABEL]])</f>
        <v>1</v>
      </c>
    </row>
    <row r="17" spans="1:15">
      <c r="A17" s="17" t="s">
        <v>904</v>
      </c>
      <c r="K17" s="23" t="s">
        <v>969</v>
      </c>
      <c r="M17" s="25" t="s">
        <v>2017</v>
      </c>
      <c r="N17" s="25" t="s">
        <v>1766</v>
      </c>
      <c r="O17" s="25">
        <f>COUNTIF(COUNTRIES[COUNTRY_LABEL],COUNTRIES[[#This Row],[COUNTRY_LABEL]])</f>
        <v>1</v>
      </c>
    </row>
    <row r="18" spans="1:15">
      <c r="K18" s="23" t="s">
        <v>959</v>
      </c>
      <c r="M18" s="25" t="s">
        <v>2033</v>
      </c>
      <c r="N18" s="25" t="s">
        <v>1782</v>
      </c>
      <c r="O18" s="25">
        <f>COUNTIF(COUNTRIES[COUNTRY_LABEL],COUNTRIES[[#This Row],[COUNTRY_LABEL]])</f>
        <v>1</v>
      </c>
    </row>
    <row r="19" spans="1:15">
      <c r="K19" s="23" t="s">
        <v>961</v>
      </c>
      <c r="M19" s="25" t="s">
        <v>2024</v>
      </c>
      <c r="N19" s="25" t="s">
        <v>1773</v>
      </c>
      <c r="O19" s="25">
        <f>COUNTIF(COUNTRIES[COUNTRY_LABEL],COUNTRIES[[#This Row],[COUNTRY_LABEL]])</f>
        <v>1</v>
      </c>
    </row>
    <row r="20" spans="1:15">
      <c r="K20" s="23" t="s">
        <v>3074</v>
      </c>
      <c r="M20" s="25" t="s">
        <v>2020</v>
      </c>
      <c r="N20" s="25" t="s">
        <v>1769</v>
      </c>
      <c r="O20" s="25">
        <f>COUNTIF(COUNTRIES[COUNTRY_LABEL],COUNTRIES[[#This Row],[COUNTRY_LABEL]])</f>
        <v>1</v>
      </c>
    </row>
    <row r="21" spans="1:15">
      <c r="K21" s="23" t="s">
        <v>962</v>
      </c>
      <c r="M21" s="25" t="s">
        <v>2019</v>
      </c>
      <c r="N21" s="25" t="s">
        <v>1768</v>
      </c>
      <c r="O21" s="25">
        <f>COUNTIF(COUNTRIES[COUNTRY_LABEL],COUNTRIES[[#This Row],[COUNTRY_LABEL]])</f>
        <v>1</v>
      </c>
    </row>
    <row r="22" spans="1:15">
      <c r="K22" s="23" t="s">
        <v>964</v>
      </c>
      <c r="M22" s="25" t="s">
        <v>2037</v>
      </c>
      <c r="N22" s="25" t="s">
        <v>1786</v>
      </c>
      <c r="O22" s="25">
        <f>COUNTIF(COUNTRIES[COUNTRY_LABEL],COUNTRIES[[#This Row],[COUNTRY_LABEL]])</f>
        <v>1</v>
      </c>
    </row>
    <row r="23" spans="1:15">
      <c r="K23" s="23" t="s">
        <v>956</v>
      </c>
      <c r="M23" s="25" t="s">
        <v>2021</v>
      </c>
      <c r="N23" s="25" t="s">
        <v>1770</v>
      </c>
      <c r="O23" s="25">
        <f>COUNTIF(COUNTRIES[COUNTRY_LABEL],COUNTRIES[[#This Row],[COUNTRY_LABEL]])</f>
        <v>1</v>
      </c>
    </row>
    <row r="24" spans="1:15">
      <c r="K24" s="23" t="s">
        <v>2790</v>
      </c>
      <c r="M24" s="25" t="s">
        <v>2038</v>
      </c>
      <c r="N24" s="25" t="s">
        <v>1787</v>
      </c>
      <c r="O24" s="25">
        <f>COUNTIF(COUNTRIES[COUNTRY_LABEL],COUNTRIES[[#This Row],[COUNTRY_LABEL]])</f>
        <v>1</v>
      </c>
    </row>
    <row r="25" spans="1:15">
      <c r="M25" s="25" t="s">
        <v>2026</v>
      </c>
      <c r="N25" s="25" t="s">
        <v>1775</v>
      </c>
      <c r="O25" s="25">
        <f>COUNTIF(COUNTRIES[COUNTRY_LABEL],COUNTRIES[[#This Row],[COUNTRY_LABEL]])</f>
        <v>1</v>
      </c>
    </row>
    <row r="26" spans="1:15">
      <c r="M26" s="25" t="s">
        <v>2028</v>
      </c>
      <c r="N26" s="25" t="s">
        <v>1777</v>
      </c>
      <c r="O26" s="25">
        <f>COUNTIF(COUNTRIES[COUNTRY_LABEL],COUNTRIES[[#This Row],[COUNTRY_LABEL]])</f>
        <v>1</v>
      </c>
    </row>
    <row r="27" spans="1:15">
      <c r="M27" s="25" t="s">
        <v>2034</v>
      </c>
      <c r="N27" s="25" t="s">
        <v>1783</v>
      </c>
      <c r="O27" s="25">
        <f>COUNTIF(COUNTRIES[COUNTRY_LABEL],COUNTRIES[[#This Row],[COUNTRY_LABEL]])</f>
        <v>1</v>
      </c>
    </row>
    <row r="28" spans="1:15">
      <c r="M28" s="25" t="s">
        <v>2030</v>
      </c>
      <c r="N28" s="25" t="s">
        <v>1779</v>
      </c>
      <c r="O28" s="25">
        <f>COUNTIF(COUNTRIES[COUNTRY_LABEL],COUNTRIES[[#This Row],[COUNTRY_LABEL]])</f>
        <v>1</v>
      </c>
    </row>
    <row r="29" spans="1:15">
      <c r="M29" s="25" t="s">
        <v>2018</v>
      </c>
      <c r="N29" s="25" t="s">
        <v>1767</v>
      </c>
      <c r="O29" s="25">
        <f>COUNTIF(COUNTRIES[COUNTRY_LABEL],COUNTRIES[[#This Row],[COUNTRY_LABEL]])</f>
        <v>1</v>
      </c>
    </row>
    <row r="30" spans="1:15">
      <c r="M30" s="25" t="s">
        <v>2036</v>
      </c>
      <c r="N30" s="25" t="s">
        <v>1785</v>
      </c>
      <c r="O30" s="25">
        <f>COUNTIF(COUNTRIES[COUNTRY_LABEL],COUNTRIES[[#This Row],[COUNTRY_LABEL]])</f>
        <v>1</v>
      </c>
    </row>
    <row r="31" spans="1:15">
      <c r="M31" s="25" t="s">
        <v>2035</v>
      </c>
      <c r="N31" s="25" t="s">
        <v>1784</v>
      </c>
      <c r="O31" s="25">
        <f>COUNTIF(COUNTRIES[COUNTRY_LABEL],COUNTRIES[[#This Row],[COUNTRY_LABEL]])</f>
        <v>1</v>
      </c>
    </row>
    <row r="32" spans="1:15">
      <c r="M32" s="25" t="s">
        <v>2032</v>
      </c>
      <c r="N32" s="25" t="s">
        <v>1781</v>
      </c>
      <c r="O32" s="25">
        <f>COUNTIF(COUNTRIES[COUNTRY_LABEL],COUNTRIES[[#This Row],[COUNTRY_LABEL]])</f>
        <v>1</v>
      </c>
    </row>
    <row r="33" spans="13:15">
      <c r="M33" s="25" t="s">
        <v>2107</v>
      </c>
      <c r="N33" s="25" t="s">
        <v>1855</v>
      </c>
      <c r="O33" s="25">
        <f>COUNTIF(COUNTRIES[COUNTRY_LABEL],COUNTRIES[[#This Row],[COUNTRY_LABEL]])</f>
        <v>1</v>
      </c>
    </row>
    <row r="34" spans="13:15">
      <c r="M34" s="25" t="s">
        <v>2029</v>
      </c>
      <c r="N34" s="25" t="s">
        <v>1778</v>
      </c>
      <c r="O34" s="25">
        <f>COUNTIF(COUNTRIES[COUNTRY_LABEL],COUNTRIES[[#This Row],[COUNTRY_LABEL]])</f>
        <v>1</v>
      </c>
    </row>
    <row r="35" spans="13:15">
      <c r="M35" s="25" t="s">
        <v>2023</v>
      </c>
      <c r="N35" s="25" t="s">
        <v>1772</v>
      </c>
      <c r="O35" s="25">
        <f>COUNTIF(COUNTRIES[COUNTRY_LABEL],COUNTRIES[[#This Row],[COUNTRY_LABEL]])</f>
        <v>1</v>
      </c>
    </row>
    <row r="36" spans="13:15">
      <c r="M36" s="25" t="s">
        <v>2022</v>
      </c>
      <c r="N36" s="25" t="s">
        <v>1771</v>
      </c>
      <c r="O36" s="25">
        <f>COUNTIF(COUNTRIES[COUNTRY_LABEL],COUNTRIES[[#This Row],[COUNTRY_LABEL]])</f>
        <v>1</v>
      </c>
    </row>
    <row r="37" spans="13:15">
      <c r="M37" s="25" t="s">
        <v>2025</v>
      </c>
      <c r="N37" s="25" t="s">
        <v>1774</v>
      </c>
      <c r="O37" s="25">
        <f>COUNTIF(COUNTRIES[COUNTRY_LABEL],COUNTRIES[[#This Row],[COUNTRY_LABEL]])</f>
        <v>1</v>
      </c>
    </row>
    <row r="38" spans="13:15">
      <c r="M38" s="25" t="s">
        <v>2118</v>
      </c>
      <c r="N38" s="25" t="s">
        <v>1866</v>
      </c>
      <c r="O38" s="25">
        <f>COUNTIF(COUNTRIES[COUNTRY_LABEL],COUNTRIES[[#This Row],[COUNTRY_LABEL]])</f>
        <v>1</v>
      </c>
    </row>
    <row r="39" spans="13:15">
      <c r="M39" s="25" t="s">
        <v>2048</v>
      </c>
      <c r="N39" s="25" t="s">
        <v>1797</v>
      </c>
      <c r="O39" s="25">
        <f>COUNTIF(COUNTRIES[COUNTRY_LABEL],COUNTRIES[[#This Row],[COUNTRY_LABEL]])</f>
        <v>1</v>
      </c>
    </row>
    <row r="40" spans="13:15">
      <c r="M40" s="25" t="s">
        <v>2039</v>
      </c>
      <c r="N40" s="25" t="s">
        <v>1788</v>
      </c>
      <c r="O40" s="25">
        <f>COUNTIF(COUNTRIES[COUNTRY_LABEL],COUNTRIES[[#This Row],[COUNTRY_LABEL]])</f>
        <v>1</v>
      </c>
    </row>
    <row r="41" spans="13:15">
      <c r="M41" s="25" t="s">
        <v>2053</v>
      </c>
      <c r="N41" s="25" t="s">
        <v>1802</v>
      </c>
      <c r="O41" s="25">
        <f>COUNTIF(COUNTRIES[COUNTRY_LABEL],COUNTRIES[[#This Row],[COUNTRY_LABEL]])</f>
        <v>1</v>
      </c>
    </row>
    <row r="42" spans="13:15">
      <c r="M42" s="25" t="s">
        <v>2031</v>
      </c>
      <c r="N42" s="25" t="s">
        <v>1780</v>
      </c>
      <c r="O42" s="25">
        <f>COUNTIF(COUNTRIES[COUNTRY_LABEL],COUNTRIES[[#This Row],[COUNTRY_LABEL]])</f>
        <v>1</v>
      </c>
    </row>
    <row r="43" spans="13:15">
      <c r="M43" s="25" t="s">
        <v>2125</v>
      </c>
      <c r="N43" s="25" t="s">
        <v>1873</v>
      </c>
      <c r="O43" s="25">
        <f>COUNTIF(COUNTRIES[COUNTRY_LABEL],COUNTRIES[[#This Row],[COUNTRY_LABEL]])</f>
        <v>1</v>
      </c>
    </row>
    <row r="44" spans="13:15">
      <c r="M44" s="25" t="s">
        <v>2042</v>
      </c>
      <c r="N44" s="25" t="s">
        <v>1791</v>
      </c>
      <c r="O44" s="25">
        <f>COUNTIF(COUNTRIES[COUNTRY_LABEL],COUNTRIES[[#This Row],[COUNTRY_LABEL]])</f>
        <v>1</v>
      </c>
    </row>
    <row r="45" spans="13:15">
      <c r="M45" s="25" t="s">
        <v>2215</v>
      </c>
      <c r="N45" s="25" t="s">
        <v>1964</v>
      </c>
      <c r="O45" s="25">
        <f>COUNTIF(COUNTRIES[COUNTRY_LABEL],COUNTRIES[[#This Row],[COUNTRY_LABEL]])</f>
        <v>1</v>
      </c>
    </row>
    <row r="46" spans="13:15">
      <c r="M46" s="25" t="s">
        <v>2047</v>
      </c>
      <c r="N46" s="25" t="s">
        <v>1796</v>
      </c>
      <c r="O46" s="25">
        <f>COUNTIF(COUNTRIES[COUNTRY_LABEL],COUNTRIES[[#This Row],[COUNTRY_LABEL]])</f>
        <v>1</v>
      </c>
    </row>
    <row r="47" spans="13:15">
      <c r="M47" s="25" t="s">
        <v>2049</v>
      </c>
      <c r="N47" s="25" t="s">
        <v>1798</v>
      </c>
      <c r="O47" s="25">
        <f>COUNTIF(COUNTRIES[COUNTRY_LABEL],COUNTRIES[[#This Row],[COUNTRY_LABEL]])</f>
        <v>1</v>
      </c>
    </row>
    <row r="48" spans="13:15">
      <c r="M48" s="25" t="s">
        <v>2055</v>
      </c>
      <c r="N48" s="25" t="s">
        <v>1804</v>
      </c>
      <c r="O48" s="25">
        <f>COUNTIF(COUNTRIES[COUNTRY_LABEL],COUNTRIES[[#This Row],[COUNTRY_LABEL]])</f>
        <v>1</v>
      </c>
    </row>
    <row r="49" spans="13:15">
      <c r="M49" s="25" t="s">
        <v>2040</v>
      </c>
      <c r="N49" s="25" t="s">
        <v>1789</v>
      </c>
      <c r="O49" s="25">
        <f>COUNTIF(COUNTRIES[COUNTRY_LABEL],COUNTRIES[[#This Row],[COUNTRY_LABEL]])</f>
        <v>1</v>
      </c>
    </row>
    <row r="50" spans="13:15">
      <c r="M50" s="25" t="s">
        <v>2050</v>
      </c>
      <c r="N50" s="25" t="s">
        <v>1799</v>
      </c>
      <c r="O50" s="25">
        <f>COUNTIF(COUNTRIES[COUNTRY_LABEL],COUNTRIES[[#This Row],[COUNTRY_LABEL]])</f>
        <v>1</v>
      </c>
    </row>
    <row r="51" spans="13:15">
      <c r="M51" s="25" t="s">
        <v>2120</v>
      </c>
      <c r="N51" s="25" t="s">
        <v>1868</v>
      </c>
      <c r="O51" s="25">
        <f>COUNTIF(COUNTRIES[COUNTRY_LABEL],COUNTRIES[[#This Row],[COUNTRY_LABEL]])</f>
        <v>1</v>
      </c>
    </row>
    <row r="52" spans="13:15">
      <c r="M52" s="25" t="s">
        <v>2046</v>
      </c>
      <c r="N52" s="25" t="s">
        <v>1795</v>
      </c>
      <c r="O52" s="25">
        <f>COUNTIF(COUNTRIES[COUNTRY_LABEL],COUNTRIES[[#This Row],[COUNTRY_LABEL]])</f>
        <v>1</v>
      </c>
    </row>
    <row r="53" spans="13:15">
      <c r="M53" s="25" t="s">
        <v>2051</v>
      </c>
      <c r="N53" s="25" t="s">
        <v>1800</v>
      </c>
      <c r="O53" s="25">
        <f>COUNTIF(COUNTRIES[COUNTRY_LABEL],COUNTRIES[[#This Row],[COUNTRY_LABEL]])</f>
        <v>1</v>
      </c>
    </row>
    <row r="54" spans="13:15">
      <c r="M54" s="25" t="s">
        <v>2099</v>
      </c>
      <c r="N54" s="25" t="s">
        <v>1847</v>
      </c>
      <c r="O54" s="25">
        <f>COUNTIF(COUNTRIES[COUNTRY_LABEL],COUNTRIES[[#This Row],[COUNTRY_LABEL]])</f>
        <v>1</v>
      </c>
    </row>
    <row r="55" spans="13:15">
      <c r="M55" s="25" t="s">
        <v>2052</v>
      </c>
      <c r="N55" s="25" t="s">
        <v>1801</v>
      </c>
      <c r="O55" s="25">
        <f>COUNTIF(COUNTRIES[COUNTRY_LABEL],COUNTRIES[[#This Row],[COUNTRY_LABEL]])</f>
        <v>1</v>
      </c>
    </row>
    <row r="56" spans="13:15">
      <c r="M56" s="25" t="s">
        <v>2054</v>
      </c>
      <c r="N56" s="25" t="s">
        <v>1803</v>
      </c>
      <c r="O56" s="25">
        <f>COUNTIF(COUNTRIES[COUNTRY_LABEL],COUNTRIES[[#This Row],[COUNTRY_LABEL]])</f>
        <v>1</v>
      </c>
    </row>
    <row r="57" spans="13:15">
      <c r="M57" s="25" t="s">
        <v>2056</v>
      </c>
      <c r="N57" s="25" t="s">
        <v>1805</v>
      </c>
      <c r="O57" s="25">
        <f>COUNTIF(COUNTRIES[COUNTRY_LABEL],COUNTRIES[[#This Row],[COUNTRY_LABEL]])</f>
        <v>1</v>
      </c>
    </row>
    <row r="58" spans="13:15">
      <c r="M58" s="25" t="s">
        <v>2057</v>
      </c>
      <c r="N58" s="25" t="s">
        <v>1806</v>
      </c>
      <c r="O58" s="25">
        <f>COUNTIF(COUNTRIES[COUNTRY_LABEL],COUNTRIES[[#This Row],[COUNTRY_LABEL]])</f>
        <v>1</v>
      </c>
    </row>
    <row r="59" spans="13:15">
      <c r="M59" s="25" t="s">
        <v>2041</v>
      </c>
      <c r="N59" s="25" t="s">
        <v>1790</v>
      </c>
      <c r="O59" s="25">
        <f>COUNTIF(COUNTRIES[COUNTRY_LABEL],COUNTRIES[[#This Row],[COUNTRY_LABEL]])</f>
        <v>1</v>
      </c>
    </row>
    <row r="60" spans="13:15">
      <c r="M60" s="25" t="s">
        <v>2060</v>
      </c>
      <c r="N60" s="25" t="s">
        <v>1809</v>
      </c>
      <c r="O60" s="25">
        <f>COUNTIF(COUNTRIES[COUNTRY_LABEL],COUNTRIES[[#This Row],[COUNTRY_LABEL]])</f>
        <v>1</v>
      </c>
    </row>
    <row r="61" spans="13:15">
      <c r="M61" s="25" t="s">
        <v>2059</v>
      </c>
      <c r="N61" s="25" t="s">
        <v>1808</v>
      </c>
      <c r="O61" s="25">
        <f>COUNTIF(COUNTRIES[COUNTRY_LABEL],COUNTRIES[[#This Row],[COUNTRY_LABEL]])</f>
        <v>1</v>
      </c>
    </row>
    <row r="62" spans="13:15">
      <c r="M62" s="25" t="s">
        <v>2061</v>
      </c>
      <c r="N62" s="25" t="s">
        <v>1810</v>
      </c>
      <c r="O62" s="25">
        <f>COUNTIF(COUNTRIES[COUNTRY_LABEL],COUNTRIES[[#This Row],[COUNTRY_LABEL]])</f>
        <v>1</v>
      </c>
    </row>
    <row r="63" spans="13:15">
      <c r="M63" s="25" t="s">
        <v>2062</v>
      </c>
      <c r="N63" s="25" t="s">
        <v>1811</v>
      </c>
      <c r="O63" s="25">
        <f>COUNTIF(COUNTRIES[COUNTRY_LABEL],COUNTRIES[[#This Row],[COUNTRY_LABEL]])</f>
        <v>1</v>
      </c>
    </row>
    <row r="64" spans="13:15">
      <c r="M64" s="25" t="s">
        <v>2266</v>
      </c>
      <c r="N64" s="25" t="s">
        <v>1998</v>
      </c>
      <c r="O64" s="25">
        <f>COUNTIF(COUNTRIES[COUNTRY_LABEL],COUNTRIES[[#This Row],[COUNTRY_LABEL]])</f>
        <v>1</v>
      </c>
    </row>
    <row r="65" spans="13:15">
      <c r="M65" s="25" t="s">
        <v>2064</v>
      </c>
      <c r="N65" s="25" t="s">
        <v>1813</v>
      </c>
      <c r="O65" s="25">
        <f>COUNTIF(COUNTRIES[COUNTRY_LABEL],COUNTRIES[[#This Row],[COUNTRY_LABEL]])</f>
        <v>1</v>
      </c>
    </row>
    <row r="66" spans="13:15">
      <c r="M66" s="25" t="s">
        <v>2066</v>
      </c>
      <c r="N66" s="25" t="s">
        <v>1815</v>
      </c>
      <c r="O66" s="25">
        <f>COUNTIF(COUNTRIES[COUNTRY_LABEL],COUNTRIES[[#This Row],[COUNTRY_LABEL]])</f>
        <v>1</v>
      </c>
    </row>
    <row r="67" spans="13:15">
      <c r="M67" s="25" t="s">
        <v>2210</v>
      </c>
      <c r="N67" s="25" t="s">
        <v>1959</v>
      </c>
      <c r="O67" s="25">
        <f>COUNTIF(COUNTRIES[COUNTRY_LABEL],COUNTRIES[[#This Row],[COUNTRY_LABEL]])</f>
        <v>1</v>
      </c>
    </row>
    <row r="68" spans="13:15">
      <c r="M68" s="25" t="s">
        <v>2089</v>
      </c>
      <c r="N68" s="25" t="s">
        <v>1837</v>
      </c>
      <c r="O68" s="25">
        <f>COUNTIF(COUNTRIES[COUNTRY_LABEL],COUNTRIES[[#This Row],[COUNTRY_LABEL]])</f>
        <v>1</v>
      </c>
    </row>
    <row r="69" spans="13:15">
      <c r="M69" s="25" t="s">
        <v>2068</v>
      </c>
      <c r="N69" s="25" t="s">
        <v>1817</v>
      </c>
      <c r="O69" s="25">
        <f>COUNTIF(COUNTRIES[COUNTRY_LABEL],COUNTRIES[[#This Row],[COUNTRY_LABEL]])</f>
        <v>1</v>
      </c>
    </row>
    <row r="70" spans="13:15">
      <c r="M70" s="25" t="s">
        <v>2065</v>
      </c>
      <c r="N70" s="25" t="s">
        <v>1814</v>
      </c>
      <c r="O70" s="25">
        <f>COUNTIF(COUNTRIES[COUNTRY_LABEL],COUNTRIES[[#This Row],[COUNTRY_LABEL]])</f>
        <v>1</v>
      </c>
    </row>
    <row r="71" spans="13:15">
      <c r="M71" s="25" t="s">
        <v>2213</v>
      </c>
      <c r="N71" s="25" t="s">
        <v>1962</v>
      </c>
      <c r="O71" s="25">
        <f>COUNTIF(COUNTRIES[COUNTRY_LABEL],COUNTRIES[[#This Row],[COUNTRY_LABEL]])</f>
        <v>1</v>
      </c>
    </row>
    <row r="72" spans="13:15">
      <c r="M72" s="25" t="s">
        <v>2070</v>
      </c>
      <c r="N72" s="25" t="s">
        <v>1819</v>
      </c>
      <c r="O72" s="25">
        <f>COUNTIF(COUNTRIES[COUNTRY_LABEL],COUNTRIES[[#This Row],[COUNTRY_LABEL]])</f>
        <v>1</v>
      </c>
    </row>
    <row r="73" spans="13:15">
      <c r="M73" s="25" t="s">
        <v>2265</v>
      </c>
      <c r="N73" s="25" t="s">
        <v>1999</v>
      </c>
      <c r="O73" s="25">
        <f>COUNTIF(COUNTRIES[COUNTRY_LABEL],COUNTRIES[[#This Row],[COUNTRY_LABEL]])</f>
        <v>1</v>
      </c>
    </row>
    <row r="74" spans="13:15">
      <c r="M74" s="25" t="s">
        <v>2073</v>
      </c>
      <c r="N74" s="25" t="s">
        <v>1822</v>
      </c>
      <c r="O74" s="25">
        <f>COUNTIF(COUNTRIES[COUNTRY_LABEL],COUNTRIES[[#This Row],[COUNTRY_LABEL]])</f>
        <v>1</v>
      </c>
    </row>
    <row r="75" spans="13:15">
      <c r="M75" s="25" t="s">
        <v>2075</v>
      </c>
      <c r="N75" s="25" t="s">
        <v>1824</v>
      </c>
      <c r="O75" s="25">
        <f>COUNTIF(COUNTRIES[COUNTRY_LABEL],COUNTRIES[[#This Row],[COUNTRY_LABEL]])</f>
        <v>1</v>
      </c>
    </row>
    <row r="76" spans="13:15">
      <c r="M76" s="25" t="s">
        <v>2072</v>
      </c>
      <c r="N76" s="25" t="s">
        <v>1821</v>
      </c>
      <c r="O76" s="25">
        <f>COUNTIF(COUNTRIES[COUNTRY_LABEL],COUNTRIES[[#This Row],[COUNTRY_LABEL]])</f>
        <v>1</v>
      </c>
    </row>
    <row r="77" spans="13:15">
      <c r="M77" s="25" t="s">
        <v>2071</v>
      </c>
      <c r="N77" s="25" t="s">
        <v>1820</v>
      </c>
      <c r="O77" s="25">
        <f>COUNTIF(COUNTRIES[COUNTRY_LABEL],COUNTRIES[[#This Row],[COUNTRY_LABEL]])</f>
        <v>1</v>
      </c>
    </row>
    <row r="78" spans="13:15">
      <c r="M78" s="25" t="s">
        <v>2076</v>
      </c>
      <c r="N78" s="25" t="s">
        <v>1825</v>
      </c>
      <c r="O78" s="25">
        <f>COUNTIF(COUNTRIES[COUNTRY_LABEL],COUNTRIES[[#This Row],[COUNTRY_LABEL]])</f>
        <v>1</v>
      </c>
    </row>
    <row r="79" spans="13:15">
      <c r="M79" s="25" t="s">
        <v>2081</v>
      </c>
      <c r="N79" s="25" t="s">
        <v>1829</v>
      </c>
      <c r="O79" s="25">
        <f>COUNTIF(COUNTRIES[COUNTRY_LABEL],COUNTRIES[[#This Row],[COUNTRY_LABEL]])</f>
        <v>1</v>
      </c>
    </row>
    <row r="80" spans="13:15">
      <c r="M80" s="25" t="s">
        <v>2175</v>
      </c>
      <c r="N80" s="25" t="s">
        <v>1924</v>
      </c>
      <c r="O80" s="25">
        <f>COUNTIF(COUNTRIES[COUNTRY_LABEL],COUNTRIES[[#This Row],[COUNTRY_LABEL]])</f>
        <v>1</v>
      </c>
    </row>
    <row r="81" spans="13:15">
      <c r="M81" s="25" t="s">
        <v>2216</v>
      </c>
      <c r="N81" s="25" t="s">
        <v>1965</v>
      </c>
      <c r="O81" s="25">
        <f>COUNTIF(COUNTRIES[COUNTRY_LABEL],COUNTRIES[[#This Row],[COUNTRY_LABEL]])</f>
        <v>1</v>
      </c>
    </row>
    <row r="82" spans="13:15">
      <c r="M82" s="25" t="s">
        <v>2077</v>
      </c>
      <c r="N82" s="25" t="s">
        <v>2254</v>
      </c>
      <c r="O82" s="25">
        <f>COUNTIF(COUNTRIES[COUNTRY_LABEL],COUNTRIES[[#This Row],[COUNTRY_LABEL]])</f>
        <v>1</v>
      </c>
    </row>
    <row r="83" spans="13:15">
      <c r="M83" s="25" t="s">
        <v>2086</v>
      </c>
      <c r="N83" s="25" t="s">
        <v>1834</v>
      </c>
      <c r="O83" s="25">
        <f>COUNTIF(COUNTRIES[COUNTRY_LABEL],COUNTRIES[[#This Row],[COUNTRY_LABEL]])</f>
        <v>1</v>
      </c>
    </row>
    <row r="84" spans="13:15">
      <c r="M84" s="25" t="s">
        <v>2092</v>
      </c>
      <c r="N84" s="25" t="s">
        <v>1840</v>
      </c>
      <c r="O84" s="25">
        <f>COUNTIF(COUNTRIES[COUNTRY_LABEL],COUNTRIES[[#This Row],[COUNTRY_LABEL]])</f>
        <v>1</v>
      </c>
    </row>
    <row r="85" spans="13:15">
      <c r="M85" s="25" t="s">
        <v>2080</v>
      </c>
      <c r="N85" s="25" t="s">
        <v>1828</v>
      </c>
      <c r="O85" s="25">
        <f>COUNTIF(COUNTRIES[COUNTRY_LABEL],COUNTRIES[[#This Row],[COUNTRY_LABEL]])</f>
        <v>1</v>
      </c>
    </row>
    <row r="86" spans="13:15">
      <c r="M86" s="25" t="s">
        <v>2058</v>
      </c>
      <c r="N86" s="25" t="s">
        <v>1807</v>
      </c>
      <c r="O86" s="25">
        <f>COUNTIF(COUNTRIES[COUNTRY_LABEL],COUNTRIES[[#This Row],[COUNTRY_LABEL]])</f>
        <v>1</v>
      </c>
    </row>
    <row r="87" spans="13:15">
      <c r="M87" s="25" t="s">
        <v>2083</v>
      </c>
      <c r="N87" s="25" t="s">
        <v>1831</v>
      </c>
      <c r="O87" s="25">
        <f>COUNTIF(COUNTRIES[COUNTRY_LABEL],COUNTRIES[[#This Row],[COUNTRY_LABEL]])</f>
        <v>1</v>
      </c>
    </row>
    <row r="88" spans="13:15">
      <c r="M88" s="25" t="s">
        <v>2084</v>
      </c>
      <c r="N88" s="25" t="s">
        <v>1832</v>
      </c>
      <c r="O88" s="25">
        <f>COUNTIF(COUNTRIES[COUNTRY_LABEL],COUNTRIES[[#This Row],[COUNTRY_LABEL]])</f>
        <v>1</v>
      </c>
    </row>
    <row r="89" spans="13:15">
      <c r="M89" s="25" t="s">
        <v>2090</v>
      </c>
      <c r="N89" s="25" t="s">
        <v>1838</v>
      </c>
      <c r="O89" s="25">
        <f>COUNTIF(COUNTRIES[COUNTRY_LABEL],COUNTRIES[[#This Row],[COUNTRY_LABEL]])</f>
        <v>1</v>
      </c>
    </row>
    <row r="90" spans="13:15">
      <c r="M90" s="25" t="s">
        <v>2085</v>
      </c>
      <c r="N90" s="25" t="s">
        <v>1833</v>
      </c>
      <c r="O90" s="25">
        <f>COUNTIF(COUNTRIES[COUNTRY_LABEL],COUNTRIES[[#This Row],[COUNTRY_LABEL]])</f>
        <v>1</v>
      </c>
    </row>
    <row r="91" spans="13:15">
      <c r="M91" s="25" t="s">
        <v>2079</v>
      </c>
      <c r="N91" s="25" t="s">
        <v>1827</v>
      </c>
      <c r="O91" s="25">
        <f>COUNTIF(COUNTRIES[COUNTRY_LABEL],COUNTRIES[[#This Row],[COUNTRY_LABEL]])</f>
        <v>1</v>
      </c>
    </row>
    <row r="92" spans="13:15">
      <c r="M92" s="25" t="s">
        <v>2088</v>
      </c>
      <c r="N92" s="25" t="s">
        <v>1836</v>
      </c>
      <c r="O92" s="25">
        <f>COUNTIF(COUNTRIES[COUNTRY_LABEL],COUNTRIES[[#This Row],[COUNTRY_LABEL]])</f>
        <v>1</v>
      </c>
    </row>
    <row r="93" spans="13:15">
      <c r="M93" s="25" t="s">
        <v>2093</v>
      </c>
      <c r="N93" s="25" t="s">
        <v>1841</v>
      </c>
      <c r="O93" s="25">
        <f>COUNTIF(COUNTRIES[COUNTRY_LABEL],COUNTRIES[[#This Row],[COUNTRY_LABEL]])</f>
        <v>1</v>
      </c>
    </row>
    <row r="94" spans="13:15">
      <c r="M94" s="25" t="s">
        <v>2082</v>
      </c>
      <c r="N94" s="25" t="s">
        <v>1830</v>
      </c>
      <c r="O94" s="25">
        <f>COUNTIF(COUNTRIES[COUNTRY_LABEL],COUNTRIES[[#This Row],[COUNTRY_LABEL]])</f>
        <v>1</v>
      </c>
    </row>
    <row r="95" spans="13:15">
      <c r="M95" s="25" t="s">
        <v>2087</v>
      </c>
      <c r="N95" s="25" t="s">
        <v>1835</v>
      </c>
      <c r="O95" s="25">
        <f>COUNTIF(COUNTRIES[COUNTRY_LABEL],COUNTRIES[[#This Row],[COUNTRY_LABEL]])</f>
        <v>1</v>
      </c>
    </row>
    <row r="96" spans="13:15">
      <c r="M96" s="25" t="s">
        <v>2094</v>
      </c>
      <c r="N96" s="25" t="s">
        <v>1842</v>
      </c>
      <c r="O96" s="25">
        <f>COUNTIF(COUNTRIES[COUNTRY_LABEL],COUNTRIES[[#This Row],[COUNTRY_LABEL]])</f>
        <v>1</v>
      </c>
    </row>
    <row r="97" spans="13:15">
      <c r="M97" s="25" t="s">
        <v>2095</v>
      </c>
      <c r="N97" s="25" t="s">
        <v>1843</v>
      </c>
      <c r="O97" s="25">
        <f>COUNTIF(COUNTRIES[COUNTRY_LABEL],COUNTRIES[[#This Row],[COUNTRY_LABEL]])</f>
        <v>1</v>
      </c>
    </row>
    <row r="98" spans="13:15">
      <c r="M98" s="25" t="s">
        <v>2100</v>
      </c>
      <c r="N98" s="25" t="s">
        <v>1848</v>
      </c>
      <c r="O98" s="25">
        <f>COUNTIF(COUNTRIES[COUNTRY_LABEL],COUNTRIES[[#This Row],[COUNTRY_LABEL]])</f>
        <v>1</v>
      </c>
    </row>
    <row r="99" spans="13:15">
      <c r="M99" s="25" t="s">
        <v>2097</v>
      </c>
      <c r="N99" s="25" t="s">
        <v>1845</v>
      </c>
      <c r="O99" s="25">
        <f>COUNTIF(COUNTRIES[COUNTRY_LABEL],COUNTRIES[[#This Row],[COUNTRY_LABEL]])</f>
        <v>1</v>
      </c>
    </row>
    <row r="100" spans="13:15">
      <c r="M100" s="25" t="s">
        <v>2236</v>
      </c>
      <c r="N100" s="25" t="s">
        <v>1984</v>
      </c>
      <c r="O100" s="25">
        <f>COUNTIF(COUNTRIES[COUNTRY_LABEL],COUNTRIES[[#This Row],[COUNTRY_LABEL]])</f>
        <v>1</v>
      </c>
    </row>
    <row r="101" spans="13:15">
      <c r="M101" s="25" t="s">
        <v>2098</v>
      </c>
      <c r="N101" s="25" t="s">
        <v>1846</v>
      </c>
      <c r="O101" s="25">
        <f>COUNTIF(COUNTRIES[COUNTRY_LABEL],COUNTRIES[[#This Row],[COUNTRY_LABEL]])</f>
        <v>1</v>
      </c>
    </row>
    <row r="102" spans="13:15">
      <c r="M102" s="25" t="s">
        <v>2096</v>
      </c>
      <c r="N102" s="25" t="s">
        <v>1844</v>
      </c>
      <c r="O102" s="25">
        <f>COUNTIF(COUNTRIES[COUNTRY_LABEL],COUNTRIES[[#This Row],[COUNTRY_LABEL]])</f>
        <v>1</v>
      </c>
    </row>
    <row r="103" spans="13:15">
      <c r="M103" s="25" t="s">
        <v>2101</v>
      </c>
      <c r="N103" s="25" t="s">
        <v>1849</v>
      </c>
      <c r="O103" s="25">
        <f>COUNTIF(COUNTRIES[COUNTRY_LABEL],COUNTRIES[[#This Row],[COUNTRY_LABEL]])</f>
        <v>1</v>
      </c>
    </row>
    <row r="104" spans="13:15">
      <c r="M104" s="25" t="s">
        <v>2110</v>
      </c>
      <c r="N104" s="25" t="s">
        <v>1858</v>
      </c>
      <c r="O104" s="25">
        <f>COUNTIF(COUNTRIES[COUNTRY_LABEL],COUNTRIES[[#This Row],[COUNTRY_LABEL]])</f>
        <v>1</v>
      </c>
    </row>
    <row r="105" spans="13:15">
      <c r="M105" s="25" t="s">
        <v>2106</v>
      </c>
      <c r="N105" s="25" t="s">
        <v>1854</v>
      </c>
      <c r="O105" s="25">
        <f>COUNTIF(COUNTRIES[COUNTRY_LABEL],COUNTRIES[[#This Row],[COUNTRY_LABEL]])</f>
        <v>1</v>
      </c>
    </row>
    <row r="106" spans="13:15">
      <c r="M106" s="25" t="s">
        <v>2102</v>
      </c>
      <c r="N106" s="25" t="s">
        <v>1850</v>
      </c>
      <c r="O106" s="25">
        <f>COUNTIF(COUNTRIES[COUNTRY_LABEL],COUNTRIES[[#This Row],[COUNTRY_LABEL]])</f>
        <v>1</v>
      </c>
    </row>
    <row r="107" spans="13:15">
      <c r="M107" s="25" t="s">
        <v>2109</v>
      </c>
      <c r="N107" s="25" t="s">
        <v>1857</v>
      </c>
      <c r="O107" s="25">
        <f>COUNTIF(COUNTRIES[COUNTRY_LABEL],COUNTRIES[[#This Row],[COUNTRY_LABEL]])</f>
        <v>1</v>
      </c>
    </row>
    <row r="108" spans="13:15">
      <c r="M108" s="25" t="s">
        <v>2108</v>
      </c>
      <c r="N108" s="25" t="s">
        <v>1856</v>
      </c>
      <c r="O108" s="25">
        <f>COUNTIF(COUNTRIES[COUNTRY_LABEL],COUNTRIES[[#This Row],[COUNTRY_LABEL]])</f>
        <v>1</v>
      </c>
    </row>
    <row r="109" spans="13:15">
      <c r="M109" s="25" t="s">
        <v>2103</v>
      </c>
      <c r="N109" s="25" t="s">
        <v>1851</v>
      </c>
      <c r="O109" s="25">
        <f>COUNTIF(COUNTRIES[COUNTRY_LABEL],COUNTRIES[[#This Row],[COUNTRY_LABEL]])</f>
        <v>1</v>
      </c>
    </row>
    <row r="110" spans="13:15">
      <c r="M110" s="25" t="s">
        <v>2105</v>
      </c>
      <c r="N110" s="25" t="s">
        <v>1853</v>
      </c>
      <c r="O110" s="25">
        <f>COUNTIF(COUNTRIES[COUNTRY_LABEL],COUNTRIES[[#This Row],[COUNTRY_LABEL]])</f>
        <v>1</v>
      </c>
    </row>
    <row r="111" spans="13:15">
      <c r="M111" s="25" t="s">
        <v>2104</v>
      </c>
      <c r="N111" s="25" t="s">
        <v>1852</v>
      </c>
      <c r="O111" s="25">
        <f>COUNTIF(COUNTRIES[COUNTRY_LABEL],COUNTRIES[[#This Row],[COUNTRY_LABEL]])</f>
        <v>1</v>
      </c>
    </row>
    <row r="112" spans="13:15">
      <c r="M112" s="25" t="s">
        <v>2111</v>
      </c>
      <c r="N112" s="25" t="s">
        <v>1859</v>
      </c>
      <c r="O112" s="25">
        <f>COUNTIF(COUNTRIES[COUNTRY_LABEL],COUNTRIES[[#This Row],[COUNTRY_LABEL]])</f>
        <v>1</v>
      </c>
    </row>
    <row r="113" spans="13:15">
      <c r="M113" s="25" t="s">
        <v>2045</v>
      </c>
      <c r="N113" s="25" t="s">
        <v>1794</v>
      </c>
      <c r="O113" s="25">
        <f>COUNTIF(COUNTRIES[COUNTRY_LABEL],COUNTRIES[[#This Row],[COUNTRY_LABEL]])</f>
        <v>1</v>
      </c>
    </row>
    <row r="114" spans="13:15">
      <c r="M114" s="25" t="s">
        <v>2113</v>
      </c>
      <c r="N114" s="25" t="s">
        <v>1861</v>
      </c>
      <c r="O114" s="25">
        <f>COUNTIF(COUNTRIES[COUNTRY_LABEL],COUNTRIES[[#This Row],[COUNTRY_LABEL]])</f>
        <v>1</v>
      </c>
    </row>
    <row r="115" spans="13:15">
      <c r="M115" s="25" t="s">
        <v>2115</v>
      </c>
      <c r="N115" s="25" t="s">
        <v>1863</v>
      </c>
      <c r="O115" s="25">
        <f>COUNTIF(COUNTRIES[COUNTRY_LABEL],COUNTRIES[[#This Row],[COUNTRY_LABEL]])</f>
        <v>1</v>
      </c>
    </row>
    <row r="116" spans="13:15">
      <c r="M116" s="25" t="s">
        <v>2112</v>
      </c>
      <c r="N116" s="25" t="s">
        <v>1860</v>
      </c>
      <c r="O116" s="25">
        <f>COUNTIF(COUNTRIES[COUNTRY_LABEL],COUNTRIES[[#This Row],[COUNTRY_LABEL]])</f>
        <v>1</v>
      </c>
    </row>
    <row r="117" spans="13:15">
      <c r="M117" s="25" t="s">
        <v>2114</v>
      </c>
      <c r="N117" s="25" t="s">
        <v>1862</v>
      </c>
      <c r="O117" s="25">
        <f>COUNTIF(COUNTRIES[COUNTRY_LABEL],COUNTRIES[[#This Row],[COUNTRY_LABEL]])</f>
        <v>1</v>
      </c>
    </row>
    <row r="118" spans="13:15">
      <c r="M118" s="25" t="s">
        <v>2126</v>
      </c>
      <c r="N118" s="25" t="s">
        <v>1874</v>
      </c>
      <c r="O118" s="25">
        <f>COUNTIF(COUNTRIES[COUNTRY_LABEL],COUNTRIES[[#This Row],[COUNTRY_LABEL]])</f>
        <v>1</v>
      </c>
    </row>
    <row r="119" spans="13:15">
      <c r="M119" s="25" t="s">
        <v>2116</v>
      </c>
      <c r="N119" s="25" t="s">
        <v>1864</v>
      </c>
      <c r="O119" s="25">
        <f>COUNTIF(COUNTRIES[COUNTRY_LABEL],COUNTRIES[[#This Row],[COUNTRY_LABEL]])</f>
        <v>1</v>
      </c>
    </row>
    <row r="120" spans="13:15">
      <c r="M120" s="25" t="s">
        <v>2119</v>
      </c>
      <c r="N120" s="25" t="s">
        <v>1867</v>
      </c>
      <c r="O120" s="25">
        <f>COUNTIF(COUNTRIES[COUNTRY_LABEL],COUNTRIES[[#This Row],[COUNTRY_LABEL]])</f>
        <v>1</v>
      </c>
    </row>
    <row r="121" spans="13:15">
      <c r="M121" s="25" t="s">
        <v>2124</v>
      </c>
      <c r="N121" s="25" t="s">
        <v>1872</v>
      </c>
      <c r="O121" s="25">
        <f>COUNTIF(COUNTRIES[COUNTRY_LABEL],COUNTRIES[[#This Row],[COUNTRY_LABEL]])</f>
        <v>1</v>
      </c>
    </row>
    <row r="122" spans="13:15">
      <c r="M122" s="25" t="s">
        <v>2117</v>
      </c>
      <c r="N122" s="25" t="s">
        <v>1865</v>
      </c>
      <c r="O122" s="25">
        <f>COUNTIF(COUNTRIES[COUNTRY_LABEL],COUNTRIES[[#This Row],[COUNTRY_LABEL]])</f>
        <v>1</v>
      </c>
    </row>
    <row r="123" spans="13:15">
      <c r="M123" s="25" t="s">
        <v>2127</v>
      </c>
      <c r="N123" s="25" t="s">
        <v>1875</v>
      </c>
      <c r="O123" s="25">
        <f>COUNTIF(COUNTRIES[COUNTRY_LABEL],COUNTRIES[[#This Row],[COUNTRY_LABEL]])</f>
        <v>1</v>
      </c>
    </row>
    <row r="124" spans="13:15">
      <c r="M124" s="25" t="s">
        <v>2136</v>
      </c>
      <c r="N124" s="25" t="s">
        <v>1884</v>
      </c>
      <c r="O124" s="25">
        <f>COUNTIF(COUNTRIES[COUNTRY_LABEL],COUNTRIES[[#This Row],[COUNTRY_LABEL]])</f>
        <v>1</v>
      </c>
    </row>
    <row r="125" spans="13:15">
      <c r="M125" s="25" t="s">
        <v>2128</v>
      </c>
      <c r="N125" s="25" t="s">
        <v>1876</v>
      </c>
      <c r="O125" s="25">
        <f>COUNTIF(COUNTRIES[COUNTRY_LABEL],COUNTRIES[[#This Row],[COUNTRY_LABEL]])</f>
        <v>1</v>
      </c>
    </row>
    <row r="126" spans="13:15">
      <c r="M126" s="25" t="s">
        <v>2133</v>
      </c>
      <c r="N126" s="25" t="s">
        <v>1881</v>
      </c>
      <c r="O126" s="25">
        <f>COUNTIF(COUNTRIES[COUNTRY_LABEL],COUNTRIES[[#This Row],[COUNTRY_LABEL]])</f>
        <v>1</v>
      </c>
    </row>
    <row r="127" spans="13:15">
      <c r="M127" s="25" t="s">
        <v>2132</v>
      </c>
      <c r="N127" s="25" t="s">
        <v>1880</v>
      </c>
      <c r="O127" s="25">
        <f>COUNTIF(COUNTRIES[COUNTRY_LABEL],COUNTRIES[[#This Row],[COUNTRY_LABEL]])</f>
        <v>1</v>
      </c>
    </row>
    <row r="128" spans="13:15">
      <c r="M128" s="25" t="s">
        <v>2137</v>
      </c>
      <c r="N128" s="25" t="s">
        <v>1885</v>
      </c>
      <c r="O128" s="25">
        <f>COUNTIF(COUNTRIES[COUNTRY_LABEL],COUNTRIES[[#This Row],[COUNTRY_LABEL]])</f>
        <v>1</v>
      </c>
    </row>
    <row r="129" spans="13:15">
      <c r="M129" s="25" t="s">
        <v>2130</v>
      </c>
      <c r="N129" s="25" t="s">
        <v>1878</v>
      </c>
      <c r="O129" s="25">
        <f>COUNTIF(COUNTRIES[COUNTRY_LABEL],COUNTRIES[[#This Row],[COUNTRY_LABEL]])</f>
        <v>1</v>
      </c>
    </row>
    <row r="130" spans="13:15">
      <c r="M130" s="25" t="s">
        <v>2134</v>
      </c>
      <c r="N130" s="25" t="s">
        <v>1882</v>
      </c>
      <c r="O130" s="25">
        <f>COUNTIF(COUNTRIES[COUNTRY_LABEL],COUNTRIES[[#This Row],[COUNTRY_LABEL]])</f>
        <v>1</v>
      </c>
    </row>
    <row r="131" spans="13:15">
      <c r="M131" s="25" t="s">
        <v>2135</v>
      </c>
      <c r="N131" s="25" t="s">
        <v>1883</v>
      </c>
      <c r="O131" s="25">
        <f>COUNTIF(COUNTRIES[COUNTRY_LABEL],COUNTRIES[[#This Row],[COUNTRY_LABEL]])</f>
        <v>1</v>
      </c>
    </row>
    <row r="132" spans="13:15">
      <c r="M132" s="25" t="s">
        <v>2149</v>
      </c>
      <c r="N132" s="25" t="s">
        <v>1897</v>
      </c>
      <c r="O132" s="25">
        <f>COUNTIF(COUNTRIES[COUNTRY_LABEL],COUNTRIES[[#This Row],[COUNTRY_LABEL]])</f>
        <v>1</v>
      </c>
    </row>
    <row r="133" spans="13:15">
      <c r="M133" s="25" t="s">
        <v>2143</v>
      </c>
      <c r="N133" s="25" t="s">
        <v>1891</v>
      </c>
      <c r="O133" s="25">
        <f>COUNTIF(COUNTRIES[COUNTRY_LABEL],COUNTRIES[[#This Row],[COUNTRY_LABEL]])</f>
        <v>1</v>
      </c>
    </row>
    <row r="134" spans="13:15">
      <c r="M134" s="25" t="s">
        <v>2157</v>
      </c>
      <c r="N134" s="25" t="s">
        <v>1905</v>
      </c>
      <c r="O134" s="25">
        <f>COUNTIF(COUNTRIES[COUNTRY_LABEL],COUNTRIES[[#This Row],[COUNTRY_LABEL]])</f>
        <v>1</v>
      </c>
    </row>
    <row r="135" spans="13:15">
      <c r="M135" s="25" t="s">
        <v>2159</v>
      </c>
      <c r="N135" s="25" t="s">
        <v>1907</v>
      </c>
      <c r="O135" s="25">
        <f>COUNTIF(COUNTRIES[COUNTRY_LABEL],COUNTRIES[[#This Row],[COUNTRY_LABEL]])</f>
        <v>1</v>
      </c>
    </row>
    <row r="136" spans="13:15">
      <c r="M136" s="25" t="s">
        <v>2156</v>
      </c>
      <c r="N136" s="25" t="s">
        <v>1904</v>
      </c>
      <c r="O136" s="25">
        <f>COUNTIF(COUNTRIES[COUNTRY_LABEL],COUNTRIES[[#This Row],[COUNTRY_LABEL]])</f>
        <v>1</v>
      </c>
    </row>
    <row r="137" spans="13:15">
      <c r="M137" s="25" t="s">
        <v>2146</v>
      </c>
      <c r="N137" s="25" t="s">
        <v>1894</v>
      </c>
      <c r="O137" s="25">
        <f>COUNTIF(COUNTRIES[COUNTRY_LABEL],COUNTRIES[[#This Row],[COUNTRY_LABEL]])</f>
        <v>1</v>
      </c>
    </row>
    <row r="138" spans="13:15">
      <c r="M138" s="25" t="s">
        <v>2154</v>
      </c>
      <c r="N138" s="25" t="s">
        <v>1902</v>
      </c>
      <c r="O138" s="25">
        <f>COUNTIF(COUNTRIES[COUNTRY_LABEL],COUNTRIES[[#This Row],[COUNTRY_LABEL]])</f>
        <v>1</v>
      </c>
    </row>
    <row r="139" spans="13:15">
      <c r="M139" s="25" t="s">
        <v>2144</v>
      </c>
      <c r="N139" s="25" t="s">
        <v>1892</v>
      </c>
      <c r="O139" s="25">
        <f>COUNTIF(COUNTRIES[COUNTRY_LABEL],COUNTRIES[[#This Row],[COUNTRY_LABEL]])</f>
        <v>1</v>
      </c>
    </row>
    <row r="140" spans="13:15">
      <c r="M140" s="25" t="s">
        <v>2151</v>
      </c>
      <c r="N140" s="25" t="s">
        <v>1899</v>
      </c>
      <c r="O140" s="25">
        <f>COUNTIF(COUNTRIES[COUNTRY_LABEL],COUNTRIES[[#This Row],[COUNTRY_LABEL]])</f>
        <v>1</v>
      </c>
    </row>
    <row r="141" spans="13:15">
      <c r="M141" s="25" t="s">
        <v>2152</v>
      </c>
      <c r="N141" s="25" t="s">
        <v>1900</v>
      </c>
      <c r="O141" s="25">
        <f>COUNTIF(COUNTRIES[COUNTRY_LABEL],COUNTRIES[[#This Row],[COUNTRY_LABEL]])</f>
        <v>1</v>
      </c>
    </row>
    <row r="142" spans="13:15">
      <c r="M142" s="25" t="s">
        <v>2155</v>
      </c>
      <c r="N142" s="25" t="s">
        <v>1903</v>
      </c>
      <c r="O142" s="25">
        <f>COUNTIF(COUNTRIES[COUNTRY_LABEL],COUNTRIES[[#This Row],[COUNTRY_LABEL]])</f>
        <v>1</v>
      </c>
    </row>
    <row r="143" spans="13:15">
      <c r="M143" s="25" t="s">
        <v>2246</v>
      </c>
      <c r="N143" s="25" t="s">
        <v>1994</v>
      </c>
      <c r="O143" s="25">
        <f>COUNTIF(COUNTRIES[COUNTRY_LABEL],COUNTRIES[[#This Row],[COUNTRY_LABEL]])</f>
        <v>1</v>
      </c>
    </row>
    <row r="144" spans="13:15">
      <c r="M144" s="25" t="s">
        <v>2158</v>
      </c>
      <c r="N144" s="25" t="s">
        <v>1906</v>
      </c>
      <c r="O144" s="25">
        <f>COUNTIF(COUNTRIES[COUNTRY_LABEL],COUNTRIES[[#This Row],[COUNTRY_LABEL]])</f>
        <v>1</v>
      </c>
    </row>
    <row r="145" spans="13:15">
      <c r="M145" s="25" t="s">
        <v>2074</v>
      </c>
      <c r="N145" s="25" t="s">
        <v>1823</v>
      </c>
      <c r="O145" s="25">
        <f>COUNTIF(COUNTRIES[COUNTRY_LABEL],COUNTRIES[[#This Row],[COUNTRY_LABEL]])</f>
        <v>1</v>
      </c>
    </row>
    <row r="146" spans="13:15">
      <c r="M146" s="25" t="s">
        <v>2140</v>
      </c>
      <c r="N146" s="25" t="s">
        <v>1888</v>
      </c>
      <c r="O146" s="25">
        <f>COUNTIF(COUNTRIES[COUNTRY_LABEL],COUNTRIES[[#This Row],[COUNTRY_LABEL]])</f>
        <v>1</v>
      </c>
    </row>
    <row r="147" spans="13:15">
      <c r="M147" s="25" t="s">
        <v>2139</v>
      </c>
      <c r="N147" s="25" t="s">
        <v>1887</v>
      </c>
      <c r="O147" s="25">
        <f>COUNTIF(COUNTRIES[COUNTRY_LABEL],COUNTRIES[[#This Row],[COUNTRY_LABEL]])</f>
        <v>1</v>
      </c>
    </row>
    <row r="148" spans="13:15">
      <c r="M148" s="25" t="s">
        <v>2148</v>
      </c>
      <c r="N148" s="25" t="s">
        <v>1896</v>
      </c>
      <c r="O148" s="25">
        <f>COUNTIF(COUNTRIES[COUNTRY_LABEL],COUNTRIES[[#This Row],[COUNTRY_LABEL]])</f>
        <v>1</v>
      </c>
    </row>
    <row r="149" spans="13:15">
      <c r="M149" s="25" t="s">
        <v>2141</v>
      </c>
      <c r="N149" s="25" t="s">
        <v>1889</v>
      </c>
      <c r="O149" s="25">
        <f>COUNTIF(COUNTRIES[COUNTRY_LABEL],COUNTRIES[[#This Row],[COUNTRY_LABEL]])</f>
        <v>1</v>
      </c>
    </row>
    <row r="150" spans="13:15">
      <c r="M150" s="25" t="s">
        <v>2153</v>
      </c>
      <c r="N150" s="25" t="s">
        <v>1901</v>
      </c>
      <c r="O150" s="25">
        <f>COUNTIF(COUNTRIES[COUNTRY_LABEL],COUNTRIES[[#This Row],[COUNTRY_LABEL]])</f>
        <v>1</v>
      </c>
    </row>
    <row r="151" spans="13:15">
      <c r="M151" s="25" t="s">
        <v>2138</v>
      </c>
      <c r="N151" s="25" t="s">
        <v>1886</v>
      </c>
      <c r="O151" s="25">
        <f>COUNTIF(COUNTRIES[COUNTRY_LABEL],COUNTRIES[[#This Row],[COUNTRY_LABEL]])</f>
        <v>1</v>
      </c>
    </row>
    <row r="152" spans="13:15">
      <c r="M152" s="25" t="s">
        <v>2160</v>
      </c>
      <c r="N152" s="25" t="s">
        <v>1908</v>
      </c>
      <c r="O152" s="25">
        <f>COUNTIF(COUNTRIES[COUNTRY_LABEL],COUNTRIES[[#This Row],[COUNTRY_LABEL]])</f>
        <v>1</v>
      </c>
    </row>
    <row r="153" spans="13:15">
      <c r="M153" s="25" t="s">
        <v>2147</v>
      </c>
      <c r="N153" s="25" t="s">
        <v>1895</v>
      </c>
      <c r="O153" s="25">
        <f>COUNTIF(COUNTRIES[COUNTRY_LABEL],COUNTRIES[[#This Row],[COUNTRY_LABEL]])</f>
        <v>1</v>
      </c>
    </row>
    <row r="154" spans="13:15">
      <c r="M154" s="25" t="s">
        <v>1740</v>
      </c>
      <c r="N154" s="25" t="s">
        <v>1909</v>
      </c>
      <c r="O154" s="25">
        <f>COUNTIF(COUNTRIES[COUNTRY_LABEL],COUNTRIES[[#This Row],[COUNTRY_LABEL]])</f>
        <v>1</v>
      </c>
    </row>
    <row r="155" spans="13:15">
      <c r="M155" s="25" t="s">
        <v>2169</v>
      </c>
      <c r="N155" s="25" t="s">
        <v>1918</v>
      </c>
      <c r="O155" s="25">
        <f>COUNTIF(COUNTRIES[COUNTRY_LABEL],COUNTRIES[[#This Row],[COUNTRY_LABEL]])</f>
        <v>1</v>
      </c>
    </row>
    <row r="156" spans="13:15">
      <c r="M156" s="25" t="s">
        <v>2168</v>
      </c>
      <c r="N156" s="25" t="s">
        <v>1917</v>
      </c>
      <c r="O156" s="25">
        <f>COUNTIF(COUNTRIES[COUNTRY_LABEL],COUNTRIES[[#This Row],[COUNTRY_LABEL]])</f>
        <v>1</v>
      </c>
    </row>
    <row r="157" spans="13:15">
      <c r="M157" s="25" t="s">
        <v>2166</v>
      </c>
      <c r="N157" s="25" t="s">
        <v>1915</v>
      </c>
      <c r="O157" s="25">
        <f>COUNTIF(COUNTRIES[COUNTRY_LABEL],COUNTRIES[[#This Row],[COUNTRY_LABEL]])</f>
        <v>1</v>
      </c>
    </row>
    <row r="158" spans="13:15">
      <c r="M158" s="25" t="s">
        <v>2161</v>
      </c>
      <c r="N158" s="25" t="s">
        <v>1910</v>
      </c>
      <c r="O158" s="25">
        <f>COUNTIF(COUNTRIES[COUNTRY_LABEL],COUNTRIES[[#This Row],[COUNTRY_LABEL]])</f>
        <v>1</v>
      </c>
    </row>
    <row r="159" spans="13:15">
      <c r="M159" s="25" t="s">
        <v>2171</v>
      </c>
      <c r="N159" s="25" t="s">
        <v>1920</v>
      </c>
      <c r="O159" s="25">
        <f>COUNTIF(COUNTRIES[COUNTRY_LABEL],COUNTRIES[[#This Row],[COUNTRY_LABEL]])</f>
        <v>1</v>
      </c>
    </row>
    <row r="160" spans="13:15">
      <c r="M160" s="25" t="s">
        <v>2165</v>
      </c>
      <c r="N160" s="25" t="s">
        <v>1914</v>
      </c>
      <c r="O160" s="25">
        <f>COUNTIF(COUNTRIES[COUNTRY_LABEL],COUNTRIES[[#This Row],[COUNTRY_LABEL]])</f>
        <v>1</v>
      </c>
    </row>
    <row r="161" spans="13:15">
      <c r="M161" s="25" t="s">
        <v>2162</v>
      </c>
      <c r="N161" s="25" t="s">
        <v>1911</v>
      </c>
      <c r="O161" s="25">
        <f>COUNTIF(COUNTRIES[COUNTRY_LABEL],COUNTRIES[[#This Row],[COUNTRY_LABEL]])</f>
        <v>1</v>
      </c>
    </row>
    <row r="162" spans="13:15">
      <c r="M162" s="25" t="s">
        <v>2164</v>
      </c>
      <c r="N162" s="25" t="s">
        <v>1913</v>
      </c>
      <c r="O162" s="25">
        <f>COUNTIF(COUNTRIES[COUNTRY_LABEL],COUNTRIES[[#This Row],[COUNTRY_LABEL]])</f>
        <v>1</v>
      </c>
    </row>
    <row r="163" spans="13:15">
      <c r="M163" s="25" t="s">
        <v>2170</v>
      </c>
      <c r="N163" s="25" t="s">
        <v>1919</v>
      </c>
      <c r="O163" s="25">
        <f>COUNTIF(COUNTRIES[COUNTRY_LABEL],COUNTRIES[[#This Row],[COUNTRY_LABEL]])</f>
        <v>1</v>
      </c>
    </row>
    <row r="164" spans="13:15">
      <c r="M164" s="25" t="s">
        <v>2163</v>
      </c>
      <c r="N164" s="25" t="s">
        <v>1912</v>
      </c>
      <c r="O164" s="25">
        <f>COUNTIF(COUNTRIES[COUNTRY_LABEL],COUNTRIES[[#This Row],[COUNTRY_LABEL]])</f>
        <v>1</v>
      </c>
    </row>
    <row r="165" spans="13:15">
      <c r="M165" s="25" t="s">
        <v>2122</v>
      </c>
      <c r="N165" s="25" t="s">
        <v>1870</v>
      </c>
      <c r="O165" s="25">
        <f>COUNTIF(COUNTRIES[COUNTRY_LABEL],COUNTRIES[[#This Row],[COUNTRY_LABEL]])</f>
        <v>1</v>
      </c>
    </row>
    <row r="166" spans="13:15">
      <c r="M166" s="25" t="s">
        <v>2145</v>
      </c>
      <c r="N166" s="25" t="s">
        <v>1893</v>
      </c>
      <c r="O166" s="25">
        <f>COUNTIF(COUNTRIES[COUNTRY_LABEL],COUNTRIES[[#This Row],[COUNTRY_LABEL]])</f>
        <v>1</v>
      </c>
    </row>
    <row r="167" spans="13:15">
      <c r="M167" s="25" t="s">
        <v>2150</v>
      </c>
      <c r="N167" s="25" t="s">
        <v>1898</v>
      </c>
      <c r="O167" s="25">
        <f>COUNTIF(COUNTRIES[COUNTRY_LABEL],COUNTRIES[[#This Row],[COUNTRY_LABEL]])</f>
        <v>1</v>
      </c>
    </row>
    <row r="168" spans="13:15">
      <c r="M168" s="25" t="s">
        <v>2167</v>
      </c>
      <c r="N168" s="25" t="s">
        <v>1916</v>
      </c>
      <c r="O168" s="25">
        <f>COUNTIF(COUNTRIES[COUNTRY_LABEL],COUNTRIES[[#This Row],[COUNTRY_LABEL]])</f>
        <v>1</v>
      </c>
    </row>
    <row r="169" spans="13:15">
      <c r="M169" s="25" t="s">
        <v>2172</v>
      </c>
      <c r="N169" s="25" t="s">
        <v>1921</v>
      </c>
      <c r="O169" s="25">
        <f>COUNTIF(COUNTRIES[COUNTRY_LABEL],COUNTRIES[[#This Row],[COUNTRY_LABEL]])</f>
        <v>1</v>
      </c>
    </row>
    <row r="170" spans="13:15">
      <c r="M170" s="25" t="s">
        <v>2178</v>
      </c>
      <c r="N170" s="25" t="s">
        <v>1927</v>
      </c>
      <c r="O170" s="25">
        <f>COUNTIF(COUNTRIES[COUNTRY_LABEL],COUNTRIES[[#This Row],[COUNTRY_LABEL]])</f>
        <v>1</v>
      </c>
    </row>
    <row r="171" spans="13:15">
      <c r="M171" s="25" t="s">
        <v>2185</v>
      </c>
      <c r="N171" s="25" t="s">
        <v>1934</v>
      </c>
      <c r="O171" s="25">
        <f>COUNTIF(COUNTRIES[COUNTRY_LABEL],COUNTRIES[[#This Row],[COUNTRY_LABEL]])</f>
        <v>1</v>
      </c>
    </row>
    <row r="172" spans="13:15">
      <c r="M172" s="25" t="s">
        <v>2183</v>
      </c>
      <c r="N172" s="25" t="s">
        <v>1932</v>
      </c>
      <c r="O172" s="25">
        <f>COUNTIF(COUNTRIES[COUNTRY_LABEL],COUNTRIES[[#This Row],[COUNTRY_LABEL]])</f>
        <v>1</v>
      </c>
    </row>
    <row r="173" spans="13:15">
      <c r="M173" s="25" t="s">
        <v>2173</v>
      </c>
      <c r="N173" s="25" t="s">
        <v>1922</v>
      </c>
      <c r="O173" s="25">
        <f>COUNTIF(COUNTRIES[COUNTRY_LABEL],COUNTRIES[[#This Row],[COUNTRY_LABEL]])</f>
        <v>1</v>
      </c>
    </row>
    <row r="174" spans="13:15">
      <c r="M174" s="25" t="s">
        <v>2176</v>
      </c>
      <c r="N174" s="25" t="s">
        <v>1925</v>
      </c>
      <c r="O174" s="25">
        <f>COUNTIF(COUNTRIES[COUNTRY_LABEL],COUNTRIES[[#This Row],[COUNTRY_LABEL]])</f>
        <v>1</v>
      </c>
    </row>
    <row r="175" spans="13:15">
      <c r="M175" s="25" t="s">
        <v>2186</v>
      </c>
      <c r="N175" s="25" t="s">
        <v>1935</v>
      </c>
      <c r="O175" s="25">
        <f>COUNTIF(COUNTRIES[COUNTRY_LABEL],COUNTRIES[[#This Row],[COUNTRY_LABEL]])</f>
        <v>1</v>
      </c>
    </row>
    <row r="176" spans="13:15">
      <c r="M176" s="25" t="s">
        <v>2174</v>
      </c>
      <c r="N176" s="25" t="s">
        <v>1923</v>
      </c>
      <c r="O176" s="25">
        <f>COUNTIF(COUNTRIES[COUNTRY_LABEL],COUNTRIES[[#This Row],[COUNTRY_LABEL]])</f>
        <v>1</v>
      </c>
    </row>
    <row r="177" spans="13:15">
      <c r="M177" s="25" t="s">
        <v>2177</v>
      </c>
      <c r="N177" s="25" t="s">
        <v>1926</v>
      </c>
      <c r="O177" s="25">
        <f>COUNTIF(COUNTRIES[COUNTRY_LABEL],COUNTRIES[[#This Row],[COUNTRY_LABEL]])</f>
        <v>1</v>
      </c>
    </row>
    <row r="178" spans="13:15">
      <c r="M178" s="25" t="s">
        <v>2181</v>
      </c>
      <c r="N178" s="25" t="s">
        <v>1930</v>
      </c>
      <c r="O178" s="25">
        <f>COUNTIF(COUNTRIES[COUNTRY_LABEL],COUNTRIES[[#This Row],[COUNTRY_LABEL]])</f>
        <v>1</v>
      </c>
    </row>
    <row r="179" spans="13:15">
      <c r="M179" s="25" t="s">
        <v>2179</v>
      </c>
      <c r="N179" s="25" t="s">
        <v>1928</v>
      </c>
      <c r="O179" s="25">
        <f>COUNTIF(COUNTRIES[COUNTRY_LABEL],COUNTRIES[[#This Row],[COUNTRY_LABEL]])</f>
        <v>1</v>
      </c>
    </row>
    <row r="180" spans="13:15">
      <c r="M180" s="25" t="s">
        <v>2184</v>
      </c>
      <c r="N180" s="25" t="s">
        <v>1933</v>
      </c>
      <c r="O180" s="25">
        <f>COUNTIF(COUNTRIES[COUNTRY_LABEL],COUNTRIES[[#This Row],[COUNTRY_LABEL]])</f>
        <v>1</v>
      </c>
    </row>
    <row r="181" spans="13:15">
      <c r="M181" s="25" t="s">
        <v>2182</v>
      </c>
      <c r="N181" s="25" t="s">
        <v>1931</v>
      </c>
      <c r="O181" s="25">
        <f>COUNTIF(COUNTRIES[COUNTRY_LABEL],COUNTRIES[[#This Row],[COUNTRY_LABEL]])</f>
        <v>1</v>
      </c>
    </row>
    <row r="182" spans="13:15">
      <c r="M182" s="25" t="s">
        <v>2187</v>
      </c>
      <c r="N182" s="25" t="s">
        <v>1936</v>
      </c>
      <c r="O182" s="25">
        <f>COUNTIF(COUNTRIES[COUNTRY_LABEL],COUNTRIES[[#This Row],[COUNTRY_LABEL]])</f>
        <v>1</v>
      </c>
    </row>
    <row r="183" spans="13:15">
      <c r="M183" s="25" t="s">
        <v>2043</v>
      </c>
      <c r="N183" s="25" t="s">
        <v>1792</v>
      </c>
      <c r="O183" s="25">
        <f>COUNTIF(COUNTRIES[COUNTRY_LABEL],COUNTRIES[[#This Row],[COUNTRY_LABEL]])</f>
        <v>1</v>
      </c>
    </row>
    <row r="184" spans="13:15">
      <c r="M184" s="25" t="s">
        <v>2188</v>
      </c>
      <c r="N184" s="25" t="s">
        <v>1937</v>
      </c>
      <c r="O184" s="25">
        <f>COUNTIF(COUNTRIES[COUNTRY_LABEL],COUNTRIES[[#This Row],[COUNTRY_LABEL]])</f>
        <v>1</v>
      </c>
    </row>
    <row r="185" spans="13:15">
      <c r="M185" s="25" t="s">
        <v>2189</v>
      </c>
      <c r="N185" s="25" t="s">
        <v>1938</v>
      </c>
      <c r="O185" s="25">
        <f>COUNTIF(COUNTRIES[COUNTRY_LABEL],COUNTRIES[[#This Row],[COUNTRY_LABEL]])</f>
        <v>1</v>
      </c>
    </row>
    <row r="186" spans="13:15">
      <c r="M186" s="25" t="s">
        <v>2191</v>
      </c>
      <c r="N186" s="25" t="s">
        <v>1940</v>
      </c>
      <c r="O186" s="25">
        <f>COUNTIF(COUNTRIES[COUNTRY_LABEL],COUNTRIES[[#This Row],[COUNTRY_LABEL]])</f>
        <v>1</v>
      </c>
    </row>
    <row r="187" spans="13:15">
      <c r="M187" s="25" t="s">
        <v>2192</v>
      </c>
      <c r="N187" s="25" t="s">
        <v>1941</v>
      </c>
      <c r="O187" s="25">
        <f>COUNTIF(COUNTRIES[COUNTRY_LABEL],COUNTRIES[[#This Row],[COUNTRY_LABEL]])</f>
        <v>1</v>
      </c>
    </row>
    <row r="188" spans="13:15">
      <c r="M188" s="25" t="s">
        <v>2027</v>
      </c>
      <c r="N188" s="25" t="s">
        <v>1776</v>
      </c>
      <c r="O188" s="25">
        <f>COUNTIF(COUNTRIES[COUNTRY_LABEL],COUNTRIES[[#This Row],[COUNTRY_LABEL]])</f>
        <v>1</v>
      </c>
    </row>
    <row r="189" spans="13:15">
      <c r="M189" s="25" t="s">
        <v>2199</v>
      </c>
      <c r="N189" s="25" t="s">
        <v>1948</v>
      </c>
      <c r="O189" s="25">
        <f>COUNTIF(COUNTRIES[COUNTRY_LABEL],COUNTRIES[[#This Row],[COUNTRY_LABEL]])</f>
        <v>1</v>
      </c>
    </row>
    <row r="190" spans="13:15">
      <c r="M190" s="25" t="s">
        <v>2121</v>
      </c>
      <c r="N190" s="25" t="s">
        <v>1869</v>
      </c>
      <c r="O190" s="25">
        <f>COUNTIF(COUNTRIES[COUNTRY_LABEL],COUNTRIES[[#This Row],[COUNTRY_LABEL]])</f>
        <v>1</v>
      </c>
    </row>
    <row r="191" spans="13:15">
      <c r="M191" s="25" t="s">
        <v>2129</v>
      </c>
      <c r="N191" s="25" t="s">
        <v>1877</v>
      </c>
      <c r="O191" s="25">
        <f>COUNTIF(COUNTRIES[COUNTRY_LABEL],COUNTRIES[[#This Row],[COUNTRY_LABEL]])</f>
        <v>1</v>
      </c>
    </row>
    <row r="192" spans="13:15">
      <c r="M192" s="25" t="s">
        <v>2142</v>
      </c>
      <c r="N192" s="25" t="s">
        <v>1890</v>
      </c>
      <c r="O192" s="25">
        <f>COUNTIF(COUNTRIES[COUNTRY_LABEL],COUNTRIES[[#This Row],[COUNTRY_LABEL]])</f>
        <v>1</v>
      </c>
    </row>
    <row r="193" spans="13:15">
      <c r="M193" s="25" t="s">
        <v>2180</v>
      </c>
      <c r="N193" s="25" t="s">
        <v>1929</v>
      </c>
      <c r="O193" s="25">
        <f>COUNTIF(COUNTRIES[COUNTRY_LABEL],COUNTRIES[[#This Row],[COUNTRY_LABEL]])</f>
        <v>1</v>
      </c>
    </row>
    <row r="194" spans="13:15">
      <c r="M194" s="25" t="s">
        <v>2237</v>
      </c>
      <c r="N194" s="25" t="s">
        <v>1985</v>
      </c>
      <c r="O194" s="25">
        <f>COUNTIF(COUNTRIES[COUNTRY_LABEL],COUNTRIES[[#This Row],[COUNTRY_LABEL]])</f>
        <v>1</v>
      </c>
    </row>
    <row r="195" spans="13:15">
      <c r="M195" s="25" t="s">
        <v>2244</v>
      </c>
      <c r="N195" s="25" t="s">
        <v>1992</v>
      </c>
      <c r="O195" s="25">
        <f>COUNTIF(COUNTRIES[COUNTRY_LABEL],COUNTRIES[[#This Row],[COUNTRY_LABEL]])</f>
        <v>1</v>
      </c>
    </row>
    <row r="196" spans="13:15">
      <c r="M196" s="25" t="s">
        <v>2204</v>
      </c>
      <c r="N196" s="25" t="s">
        <v>1953</v>
      </c>
      <c r="O196" s="25">
        <f>COUNTIF(COUNTRIES[COUNTRY_LABEL],COUNTRIES[[#This Row],[COUNTRY_LABEL]])</f>
        <v>1</v>
      </c>
    </row>
    <row r="197" spans="13:15">
      <c r="M197" s="25" t="s">
        <v>2209</v>
      </c>
      <c r="N197" s="25" t="s">
        <v>1958</v>
      </c>
      <c r="O197" s="25">
        <f>COUNTIF(COUNTRIES[COUNTRY_LABEL],COUNTRIES[[#This Row],[COUNTRY_LABEL]])</f>
        <v>1</v>
      </c>
    </row>
    <row r="198" spans="13:15">
      <c r="M198" s="25" t="s">
        <v>2193</v>
      </c>
      <c r="N198" s="25" t="s">
        <v>1942</v>
      </c>
      <c r="O198" s="25">
        <f>COUNTIF(COUNTRIES[COUNTRY_LABEL],COUNTRIES[[#This Row],[COUNTRY_LABEL]])</f>
        <v>1</v>
      </c>
    </row>
    <row r="199" spans="13:15">
      <c r="M199" s="25" t="s">
        <v>2205</v>
      </c>
      <c r="N199" s="25" t="s">
        <v>1954</v>
      </c>
      <c r="O199" s="25">
        <f>COUNTIF(COUNTRIES[COUNTRY_LABEL],COUNTRIES[[#This Row],[COUNTRY_LABEL]])</f>
        <v>1</v>
      </c>
    </row>
    <row r="200" spans="13:15">
      <c r="M200" s="25" t="s">
        <v>2190</v>
      </c>
      <c r="N200" s="25" t="s">
        <v>1939</v>
      </c>
      <c r="O200" s="25">
        <f>COUNTIF(COUNTRIES[COUNTRY_LABEL],COUNTRIES[[#This Row],[COUNTRY_LABEL]])</f>
        <v>1</v>
      </c>
    </row>
    <row r="201" spans="13:15">
      <c r="M201" s="25" t="s">
        <v>2195</v>
      </c>
      <c r="N201" s="25" t="s">
        <v>1944</v>
      </c>
      <c r="O201" s="25">
        <f>COUNTIF(COUNTRIES[COUNTRY_LABEL],COUNTRIES[[#This Row],[COUNTRY_LABEL]])</f>
        <v>1</v>
      </c>
    </row>
    <row r="202" spans="13:15">
      <c r="M202" s="25" t="s">
        <v>2203</v>
      </c>
      <c r="N202" s="25" t="s">
        <v>1952</v>
      </c>
      <c r="O202" s="25">
        <f>COUNTIF(COUNTRIES[COUNTRY_LABEL],COUNTRIES[[#This Row],[COUNTRY_LABEL]])</f>
        <v>1</v>
      </c>
    </row>
    <row r="203" spans="13:15">
      <c r="M203" s="25" t="s">
        <v>2198</v>
      </c>
      <c r="N203" s="25" t="s">
        <v>1947</v>
      </c>
      <c r="O203" s="25">
        <f>COUNTIF(COUNTRIES[COUNTRY_LABEL],COUNTRIES[[#This Row],[COUNTRY_LABEL]])</f>
        <v>1</v>
      </c>
    </row>
    <row r="204" spans="13:15">
      <c r="M204" s="25" t="s">
        <v>2211</v>
      </c>
      <c r="N204" s="25" t="s">
        <v>1960</v>
      </c>
      <c r="O204" s="25">
        <f>COUNTIF(COUNTRIES[COUNTRY_LABEL],COUNTRIES[[#This Row],[COUNTRY_LABEL]])</f>
        <v>1</v>
      </c>
    </row>
    <row r="205" spans="13:15">
      <c r="M205" s="25" t="s">
        <v>2202</v>
      </c>
      <c r="N205" s="25" t="s">
        <v>1951</v>
      </c>
      <c r="O205" s="25">
        <f>COUNTIF(COUNTRIES[COUNTRY_LABEL],COUNTRIES[[#This Row],[COUNTRY_LABEL]])</f>
        <v>1</v>
      </c>
    </row>
    <row r="206" spans="13:15">
      <c r="M206" s="25" t="s">
        <v>2200</v>
      </c>
      <c r="N206" s="25" t="s">
        <v>1949</v>
      </c>
      <c r="O206" s="25">
        <f>COUNTIF(COUNTRIES[COUNTRY_LABEL],COUNTRIES[[#This Row],[COUNTRY_LABEL]])</f>
        <v>1</v>
      </c>
    </row>
    <row r="207" spans="13:15">
      <c r="M207" s="25" t="s">
        <v>2194</v>
      </c>
      <c r="N207" s="25" t="s">
        <v>1943</v>
      </c>
      <c r="O207" s="25">
        <f>COUNTIF(COUNTRIES[COUNTRY_LABEL],COUNTRIES[[#This Row],[COUNTRY_LABEL]])</f>
        <v>1</v>
      </c>
    </row>
    <row r="208" spans="13:15">
      <c r="M208" s="25" t="s">
        <v>2206</v>
      </c>
      <c r="N208" s="25" t="s">
        <v>1955</v>
      </c>
      <c r="O208" s="25">
        <f>COUNTIF(COUNTRIES[COUNTRY_LABEL],COUNTRIES[[#This Row],[COUNTRY_LABEL]])</f>
        <v>1</v>
      </c>
    </row>
    <row r="209" spans="13:15">
      <c r="M209" s="25" t="s">
        <v>2247</v>
      </c>
      <c r="N209" s="25" t="s">
        <v>1995</v>
      </c>
      <c r="O209" s="25">
        <f>COUNTIF(COUNTRIES[COUNTRY_LABEL],COUNTRIES[[#This Row],[COUNTRY_LABEL]])</f>
        <v>1</v>
      </c>
    </row>
    <row r="210" spans="13:15">
      <c r="M210" s="25" t="s">
        <v>2091</v>
      </c>
      <c r="N210" s="25" t="s">
        <v>1839</v>
      </c>
      <c r="O210" s="25">
        <f>COUNTIF(COUNTRIES[COUNTRY_LABEL],COUNTRIES[[#This Row],[COUNTRY_LABEL]])</f>
        <v>1</v>
      </c>
    </row>
    <row r="211" spans="13:15">
      <c r="M211" s="25" t="s">
        <v>2123</v>
      </c>
      <c r="N211" s="25" t="s">
        <v>1871</v>
      </c>
      <c r="O211" s="25">
        <f>COUNTIF(COUNTRIES[COUNTRY_LABEL],COUNTRIES[[#This Row],[COUNTRY_LABEL]])</f>
        <v>1</v>
      </c>
    </row>
    <row r="212" spans="13:15">
      <c r="M212" s="25" t="s">
        <v>2208</v>
      </c>
      <c r="N212" s="25" t="s">
        <v>1957</v>
      </c>
      <c r="O212" s="25">
        <f>COUNTIF(COUNTRIES[COUNTRY_LABEL],COUNTRIES[[#This Row],[COUNTRY_LABEL]])</f>
        <v>1</v>
      </c>
    </row>
    <row r="213" spans="13:15">
      <c r="M213" s="25" t="s">
        <v>2069</v>
      </c>
      <c r="N213" s="25" t="s">
        <v>1818</v>
      </c>
      <c r="O213" s="25">
        <f>COUNTIF(COUNTRIES[COUNTRY_LABEL],COUNTRIES[[#This Row],[COUNTRY_LABEL]])</f>
        <v>1</v>
      </c>
    </row>
    <row r="214" spans="13:15">
      <c r="M214" s="25" t="s">
        <v>2131</v>
      </c>
      <c r="N214" s="25" t="s">
        <v>1879</v>
      </c>
      <c r="O214" s="25">
        <f>COUNTIF(COUNTRIES[COUNTRY_LABEL],COUNTRIES[[#This Row],[COUNTRY_LABEL]])</f>
        <v>1</v>
      </c>
    </row>
    <row r="215" spans="13:15">
      <c r="M215" s="25" t="s">
        <v>2196</v>
      </c>
      <c r="N215" s="25" t="s">
        <v>1945</v>
      </c>
      <c r="O215" s="25">
        <f>COUNTIF(COUNTRIES[COUNTRY_LABEL],COUNTRIES[[#This Row],[COUNTRY_LABEL]])</f>
        <v>1</v>
      </c>
    </row>
    <row r="216" spans="13:15">
      <c r="M216" s="25" t="s">
        <v>2207</v>
      </c>
      <c r="N216" s="25" t="s">
        <v>1956</v>
      </c>
      <c r="O216" s="25">
        <f>COUNTIF(COUNTRIES[COUNTRY_LABEL],COUNTRIES[[#This Row],[COUNTRY_LABEL]])</f>
        <v>1</v>
      </c>
    </row>
    <row r="217" spans="13:15">
      <c r="M217" s="25" t="s">
        <v>2201</v>
      </c>
      <c r="N217" s="25" t="s">
        <v>1950</v>
      </c>
      <c r="O217" s="25">
        <f>COUNTIF(COUNTRIES[COUNTRY_LABEL],COUNTRIES[[#This Row],[COUNTRY_LABEL]])</f>
        <v>1</v>
      </c>
    </row>
    <row r="218" spans="13:15">
      <c r="M218" s="25" t="s">
        <v>2197</v>
      </c>
      <c r="N218" s="25" t="s">
        <v>1946</v>
      </c>
      <c r="O218" s="25">
        <f>COUNTIF(COUNTRIES[COUNTRY_LABEL],COUNTRIES[[#This Row],[COUNTRY_LABEL]])</f>
        <v>1</v>
      </c>
    </row>
    <row r="219" spans="13:15">
      <c r="M219" s="25" t="s">
        <v>2044</v>
      </c>
      <c r="N219" s="25" t="s">
        <v>1793</v>
      </c>
      <c r="O219" s="25">
        <f>COUNTIF(COUNTRIES[COUNTRY_LABEL],COUNTRIES[[#This Row],[COUNTRY_LABEL]])</f>
        <v>1</v>
      </c>
    </row>
    <row r="220" spans="13:15">
      <c r="M220" s="25" t="s">
        <v>2212</v>
      </c>
      <c r="N220" s="25" t="s">
        <v>1961</v>
      </c>
      <c r="O220" s="25">
        <f>COUNTIF(COUNTRIES[COUNTRY_LABEL],COUNTRIES[[#This Row],[COUNTRY_LABEL]])</f>
        <v>1</v>
      </c>
    </row>
    <row r="221" spans="13:15">
      <c r="M221" s="25" t="s">
        <v>2228</v>
      </c>
      <c r="N221" s="25" t="s">
        <v>1976</v>
      </c>
      <c r="O221" s="25">
        <f>COUNTIF(COUNTRIES[COUNTRY_LABEL],COUNTRIES[[#This Row],[COUNTRY_LABEL]])</f>
        <v>1</v>
      </c>
    </row>
    <row r="222" spans="13:15">
      <c r="M222" s="25" t="s">
        <v>2219</v>
      </c>
      <c r="N222" s="25" t="s">
        <v>1968</v>
      </c>
      <c r="O222" s="25">
        <f>COUNTIF(COUNTRIES[COUNTRY_LABEL],COUNTRIES[[#This Row],[COUNTRY_LABEL]])</f>
        <v>1</v>
      </c>
    </row>
    <row r="223" spans="13:15">
      <c r="M223" s="25" t="s">
        <v>2229</v>
      </c>
      <c r="N223" s="25" t="s">
        <v>1977</v>
      </c>
      <c r="O223" s="25">
        <f>COUNTIF(COUNTRIES[COUNTRY_LABEL],COUNTRIES[[#This Row],[COUNTRY_LABEL]])</f>
        <v>1</v>
      </c>
    </row>
    <row r="224" spans="13:15">
      <c r="M224" s="25" t="s">
        <v>2218</v>
      </c>
      <c r="N224" s="25" t="s">
        <v>1967</v>
      </c>
      <c r="O224" s="25">
        <f>COUNTIF(COUNTRIES[COUNTRY_LABEL],COUNTRIES[[#This Row],[COUNTRY_LABEL]])</f>
        <v>1</v>
      </c>
    </row>
    <row r="225" spans="13:15">
      <c r="M225" s="25" t="s">
        <v>2221</v>
      </c>
      <c r="N225" s="25" t="s">
        <v>1970</v>
      </c>
      <c r="O225" s="25">
        <f>COUNTIF(COUNTRIES[COUNTRY_LABEL],COUNTRIES[[#This Row],[COUNTRY_LABEL]])</f>
        <v>1</v>
      </c>
    </row>
    <row r="226" spans="13:15">
      <c r="M226" s="25" t="s">
        <v>2217</v>
      </c>
      <c r="N226" s="25" t="s">
        <v>1966</v>
      </c>
      <c r="O226" s="25">
        <f>COUNTIF(COUNTRIES[COUNTRY_LABEL],COUNTRIES[[#This Row],[COUNTRY_LABEL]])</f>
        <v>1</v>
      </c>
    </row>
    <row r="227" spans="13:15">
      <c r="M227" s="25" t="s">
        <v>2220</v>
      </c>
      <c r="N227" s="25" t="s">
        <v>1969</v>
      </c>
      <c r="O227" s="25">
        <f>COUNTIF(COUNTRIES[COUNTRY_LABEL],COUNTRIES[[#This Row],[COUNTRY_LABEL]])</f>
        <v>1</v>
      </c>
    </row>
    <row r="228" spans="13:15">
      <c r="M228" s="25" t="s">
        <v>2224</v>
      </c>
      <c r="N228" s="25" t="s">
        <v>1973</v>
      </c>
      <c r="O228" s="25">
        <f>COUNTIF(COUNTRIES[COUNTRY_LABEL],COUNTRIES[[#This Row],[COUNTRY_LABEL]])</f>
        <v>1</v>
      </c>
    </row>
    <row r="229" spans="13:15">
      <c r="M229" s="25" t="s">
        <v>2226</v>
      </c>
      <c r="N229" s="25" t="s">
        <v>1974</v>
      </c>
      <c r="O229" s="25">
        <f>COUNTIF(COUNTRIES[COUNTRY_LABEL],COUNTRIES[[#This Row],[COUNTRY_LABEL]])</f>
        <v>1</v>
      </c>
    </row>
    <row r="230" spans="13:15">
      <c r="M230" s="25" t="s">
        <v>2223</v>
      </c>
      <c r="N230" s="25" t="s">
        <v>1972</v>
      </c>
      <c r="O230" s="25">
        <f>COUNTIF(COUNTRIES[COUNTRY_LABEL],COUNTRIES[[#This Row],[COUNTRY_LABEL]])</f>
        <v>1</v>
      </c>
    </row>
    <row r="231" spans="13:15">
      <c r="M231" s="25" t="s">
        <v>2225</v>
      </c>
      <c r="N231" s="25" t="s">
        <v>2252</v>
      </c>
      <c r="O231" s="25">
        <f>COUNTIF(COUNTRIES[COUNTRY_LABEL],COUNTRIES[[#This Row],[COUNTRY_LABEL]])</f>
        <v>1</v>
      </c>
    </row>
    <row r="232" spans="13:15">
      <c r="M232" s="25" t="s">
        <v>2222</v>
      </c>
      <c r="N232" s="25" t="s">
        <v>1971</v>
      </c>
      <c r="O232" s="25">
        <f>COUNTIF(COUNTRIES[COUNTRY_LABEL],COUNTRIES[[#This Row],[COUNTRY_LABEL]])</f>
        <v>1</v>
      </c>
    </row>
    <row r="233" spans="13:15">
      <c r="M233" s="25" t="s">
        <v>2214</v>
      </c>
      <c r="N233" s="25" t="s">
        <v>1963</v>
      </c>
      <c r="O233" s="25">
        <f>COUNTIF(COUNTRIES[COUNTRY_LABEL],COUNTRIES[[#This Row],[COUNTRY_LABEL]])</f>
        <v>1</v>
      </c>
    </row>
    <row r="234" spans="13:15">
      <c r="M234" s="25" t="s">
        <v>2227</v>
      </c>
      <c r="N234" s="25" t="s">
        <v>1975</v>
      </c>
      <c r="O234" s="25">
        <f>COUNTIF(COUNTRIES[COUNTRY_LABEL],COUNTRIES[[#This Row],[COUNTRY_LABEL]])</f>
        <v>1</v>
      </c>
    </row>
    <row r="235" spans="13:15">
      <c r="M235" s="25" t="s">
        <v>2231</v>
      </c>
      <c r="N235" s="25" t="s">
        <v>1979</v>
      </c>
      <c r="O235" s="25">
        <f>COUNTIF(COUNTRIES[COUNTRY_LABEL],COUNTRIES[[#This Row],[COUNTRY_LABEL]])</f>
        <v>1</v>
      </c>
    </row>
    <row r="236" spans="13:15">
      <c r="M236" s="25" t="s">
        <v>2230</v>
      </c>
      <c r="N236" s="25" t="s">
        <v>1978</v>
      </c>
      <c r="O236" s="25">
        <f>COUNTIF(COUNTRIES[COUNTRY_LABEL],COUNTRIES[[#This Row],[COUNTRY_LABEL]])</f>
        <v>1</v>
      </c>
    </row>
    <row r="237" spans="13:15">
      <c r="M237" s="25" t="s">
        <v>2003</v>
      </c>
      <c r="N237" s="25" t="s">
        <v>1752</v>
      </c>
      <c r="O237" s="25">
        <f>COUNTIF(COUNTRIES[COUNTRY_LABEL],COUNTRIES[[#This Row],[COUNTRY_LABEL]])</f>
        <v>1</v>
      </c>
    </row>
    <row r="238" spans="13:15">
      <c r="M238" s="25" t="s">
        <v>2078</v>
      </c>
      <c r="N238" s="25" t="s">
        <v>1826</v>
      </c>
      <c r="O238" s="25">
        <f>COUNTIF(COUNTRIES[COUNTRY_LABEL],COUNTRIES[[#This Row],[COUNTRY_LABEL]])</f>
        <v>1</v>
      </c>
    </row>
    <row r="239" spans="13:15">
      <c r="M239" s="25" t="s">
        <v>2233</v>
      </c>
      <c r="N239" s="25" t="s">
        <v>1981</v>
      </c>
      <c r="O239" s="25">
        <f>COUNTIF(COUNTRIES[COUNTRY_LABEL],COUNTRIES[[#This Row],[COUNTRY_LABEL]])</f>
        <v>1</v>
      </c>
    </row>
    <row r="240" spans="13:15">
      <c r="M240" s="25" t="s">
        <v>2232</v>
      </c>
      <c r="N240" s="25" t="s">
        <v>1980</v>
      </c>
      <c r="O240" s="25">
        <f>COUNTIF(COUNTRIES[COUNTRY_LABEL],COUNTRIES[[#This Row],[COUNTRY_LABEL]])</f>
        <v>1</v>
      </c>
    </row>
    <row r="241" spans="13:15">
      <c r="M241" s="25" t="s">
        <v>2234</v>
      </c>
      <c r="N241" s="25" t="s">
        <v>1982</v>
      </c>
      <c r="O241" s="25">
        <f>COUNTIF(COUNTRIES[COUNTRY_LABEL],COUNTRIES[[#This Row],[COUNTRY_LABEL]])</f>
        <v>1</v>
      </c>
    </row>
    <row r="242" spans="13:15">
      <c r="M242" s="25" t="s">
        <v>2264</v>
      </c>
      <c r="N242" s="25" t="s">
        <v>2000</v>
      </c>
      <c r="O242" s="25">
        <f>COUNTIF(COUNTRIES[COUNTRY_LABEL],COUNTRIES[[#This Row],[COUNTRY_LABEL]])</f>
        <v>1</v>
      </c>
    </row>
    <row r="243" spans="13:15">
      <c r="M243" s="25" t="s">
        <v>2235</v>
      </c>
      <c r="N243" s="25" t="s">
        <v>1983</v>
      </c>
      <c r="O243" s="25">
        <f>COUNTIF(COUNTRIES[COUNTRY_LABEL],COUNTRIES[[#This Row],[COUNTRY_LABEL]])</f>
        <v>1</v>
      </c>
    </row>
    <row r="244" spans="13:15">
      <c r="M244" s="25" t="s">
        <v>2242</v>
      </c>
      <c r="N244" s="25" t="s">
        <v>1990</v>
      </c>
      <c r="O244" s="25">
        <f>COUNTIF(COUNTRIES[COUNTRY_LABEL],COUNTRIES[[#This Row],[COUNTRY_LABEL]])</f>
        <v>1</v>
      </c>
    </row>
    <row r="245" spans="13:15">
      <c r="M245" s="25" t="s">
        <v>2238</v>
      </c>
      <c r="N245" s="25" t="s">
        <v>1986</v>
      </c>
      <c r="O245" s="25">
        <f>COUNTIF(COUNTRIES[COUNTRY_LABEL],COUNTRIES[[#This Row],[COUNTRY_LABEL]])</f>
        <v>1</v>
      </c>
    </row>
    <row r="246" spans="13:15">
      <c r="M246" s="25" t="s">
        <v>2241</v>
      </c>
      <c r="N246" s="25" t="s">
        <v>1989</v>
      </c>
      <c r="O246" s="25">
        <f>COUNTIF(COUNTRIES[COUNTRY_LABEL],COUNTRIES[[#This Row],[COUNTRY_LABEL]])</f>
        <v>1</v>
      </c>
    </row>
    <row r="247" spans="13:15">
      <c r="M247" s="25" t="s">
        <v>2239</v>
      </c>
      <c r="N247" s="25" t="s">
        <v>1987</v>
      </c>
      <c r="O247" s="25">
        <f>COUNTIF(COUNTRIES[COUNTRY_LABEL],COUNTRIES[[#This Row],[COUNTRY_LABEL]])</f>
        <v>1</v>
      </c>
    </row>
    <row r="248" spans="13:15">
      <c r="M248" s="25" t="s">
        <v>2240</v>
      </c>
      <c r="N248" s="25" t="s">
        <v>1988</v>
      </c>
      <c r="O248" s="25">
        <f>COUNTIF(COUNTRIES[COUNTRY_LABEL],COUNTRIES[[#This Row],[COUNTRY_LABEL]])</f>
        <v>1</v>
      </c>
    </row>
    <row r="249" spans="13:15">
      <c r="M249" s="25" t="s">
        <v>2243</v>
      </c>
      <c r="N249" s="25" t="s">
        <v>1991</v>
      </c>
      <c r="O249" s="25">
        <f>COUNTIF(COUNTRIES[COUNTRY_LABEL],COUNTRIES[[#This Row],[COUNTRY_LABEL]])</f>
        <v>1</v>
      </c>
    </row>
    <row r="250" spans="13:15">
      <c r="M250" s="25" t="s">
        <v>2067</v>
      </c>
      <c r="N250" s="25" t="s">
        <v>1816</v>
      </c>
      <c r="O250" s="25">
        <f>COUNTIF(COUNTRIES[COUNTRY_LABEL],COUNTRIES[[#This Row],[COUNTRY_LABEL]])</f>
        <v>1</v>
      </c>
    </row>
    <row r="251" spans="13:15">
      <c r="M251" s="25" t="s">
        <v>2245</v>
      </c>
      <c r="N251" s="25" t="s">
        <v>1993</v>
      </c>
      <c r="O251" s="25">
        <f>COUNTIF(COUNTRIES[COUNTRY_LABEL],COUNTRIES[[#This Row],[COUNTRY_LABEL]])</f>
        <v>1</v>
      </c>
    </row>
    <row r="252" spans="13:15">
      <c r="M252" s="25" t="s">
        <v>2263</v>
      </c>
      <c r="N252" s="25" t="s">
        <v>2001</v>
      </c>
      <c r="O252" s="25">
        <f>COUNTIF(COUNTRIES[COUNTRY_LABEL],COUNTRIES[[#This Row],[COUNTRY_LABEL]])</f>
        <v>1</v>
      </c>
    </row>
    <row r="253" spans="13:15">
      <c r="M253" s="25" t="s">
        <v>2248</v>
      </c>
      <c r="N253" s="25" t="s">
        <v>1996</v>
      </c>
      <c r="O253" s="25">
        <f>COUNTIF(COUNTRIES[COUNTRY_LABEL],COUNTRIES[[#This Row],[COUNTRY_LABEL]])</f>
        <v>1</v>
      </c>
    </row>
    <row r="254" spans="13:15">
      <c r="M254" s="25" t="s">
        <v>2249</v>
      </c>
      <c r="N254" s="25" t="s">
        <v>1997</v>
      </c>
      <c r="O254" s="25">
        <f>COUNTIF(COUNTRIES[COUNTRY_LABEL],COUNTRIES[[#This Row],[COUNTRY_LABEL]])</f>
        <v>1</v>
      </c>
    </row>
    <row r="255" spans="13:15">
      <c r="M255" s="25" t="s">
        <v>2267</v>
      </c>
      <c r="N255" s="25" t="s">
        <v>2253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>
      <selection activeCell="A14" sqref="A14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928</v>
      </c>
      <c r="B1" t="s">
        <v>929</v>
      </c>
      <c r="C1" s="9" t="s">
        <v>930</v>
      </c>
      <c r="D1" s="9" t="s">
        <v>931</v>
      </c>
    </row>
    <row r="2" spans="1:4">
      <c r="A2" t="s">
        <v>932</v>
      </c>
      <c r="B2" t="s">
        <v>933</v>
      </c>
      <c r="C2" s="9">
        <v>1000</v>
      </c>
      <c r="D2" s="9">
        <v>1499</v>
      </c>
    </row>
    <row r="3" spans="1:4">
      <c r="A3" t="s">
        <v>935</v>
      </c>
      <c r="B3" t="s">
        <v>934</v>
      </c>
      <c r="C3" s="9">
        <v>2000</v>
      </c>
      <c r="D3" s="9">
        <v>2499</v>
      </c>
    </row>
    <row r="4" spans="1:4">
      <c r="A4" t="s">
        <v>936</v>
      </c>
      <c r="B4" t="s">
        <v>937</v>
      </c>
      <c r="C4" s="9">
        <v>3000</v>
      </c>
      <c r="D4" s="9">
        <v>3499</v>
      </c>
    </row>
    <row r="5" spans="1:4">
      <c r="A5" t="s">
        <v>938</v>
      </c>
      <c r="B5" t="s">
        <v>939</v>
      </c>
      <c r="C5" s="9">
        <v>4000</v>
      </c>
      <c r="D5" s="9">
        <v>4999</v>
      </c>
    </row>
    <row r="6" spans="1:4">
      <c r="A6" t="s">
        <v>940</v>
      </c>
      <c r="B6" t="s">
        <v>941</v>
      </c>
      <c r="C6" s="9">
        <v>5000</v>
      </c>
      <c r="D6" s="9">
        <v>5999</v>
      </c>
    </row>
    <row r="7" spans="1:4">
      <c r="A7" t="s">
        <v>942</v>
      </c>
      <c r="B7" t="s">
        <v>943</v>
      </c>
      <c r="C7" s="9">
        <v>6000</v>
      </c>
      <c r="D7" s="9">
        <v>6999</v>
      </c>
    </row>
    <row r="8" spans="1:4">
      <c r="A8" t="s">
        <v>944</v>
      </c>
      <c r="B8" t="s">
        <v>945</v>
      </c>
      <c r="C8" s="9">
        <v>7000</v>
      </c>
      <c r="D8" s="9">
        <v>7999</v>
      </c>
    </row>
    <row r="9" spans="1:4">
      <c r="A9" t="s">
        <v>946</v>
      </c>
      <c r="B9" t="s">
        <v>947</v>
      </c>
      <c r="C9" s="9">
        <v>8000</v>
      </c>
      <c r="D9" s="9">
        <v>8999</v>
      </c>
    </row>
    <row r="10" spans="1:4">
      <c r="A10" t="s">
        <v>948</v>
      </c>
      <c r="B10" t="s">
        <v>949</v>
      </c>
      <c r="C10" s="9">
        <v>9000</v>
      </c>
      <c r="D10" s="9">
        <v>9999</v>
      </c>
    </row>
    <row r="11" spans="1:4">
      <c r="A11" t="s">
        <v>950</v>
      </c>
      <c r="B11" t="s">
        <v>951</v>
      </c>
      <c r="C11" s="9">
        <v>10000</v>
      </c>
      <c r="D11" s="9">
        <v>10499</v>
      </c>
    </row>
    <row r="12" spans="1:4">
      <c r="A12" t="s">
        <v>952</v>
      </c>
      <c r="B12" t="s">
        <v>953</v>
      </c>
      <c r="C12" s="9">
        <v>11000</v>
      </c>
      <c r="D12" s="9">
        <v>11999</v>
      </c>
    </row>
    <row r="13" spans="1:4">
      <c r="A13" t="s">
        <v>954</v>
      </c>
      <c r="B13" t="s">
        <v>955</v>
      </c>
      <c r="C13" s="9">
        <v>12000</v>
      </c>
      <c r="D13" s="9">
        <v>12999</v>
      </c>
    </row>
    <row r="14" spans="1:4">
      <c r="A14" t="s">
        <v>966</v>
      </c>
      <c r="B14" t="s">
        <v>970</v>
      </c>
      <c r="C14" s="9">
        <v>13000</v>
      </c>
      <c r="D14" s="9">
        <v>13001</v>
      </c>
    </row>
    <row r="15" spans="1:4">
      <c r="A15" t="s">
        <v>967</v>
      </c>
      <c r="B15" t="s">
        <v>971</v>
      </c>
      <c r="C15" s="9">
        <v>13002</v>
      </c>
      <c r="D15" s="9">
        <v>13003</v>
      </c>
    </row>
    <row r="16" spans="1:4">
      <c r="A16" t="s">
        <v>968</v>
      </c>
      <c r="B16" t="s">
        <v>972</v>
      </c>
      <c r="C16" s="9">
        <v>13004</v>
      </c>
      <c r="D16" s="9">
        <v>13005</v>
      </c>
    </row>
    <row r="17" spans="1:4">
      <c r="A17" t="s">
        <v>969</v>
      </c>
      <c r="B17" t="s">
        <v>973</v>
      </c>
      <c r="C17" s="9">
        <v>13006</v>
      </c>
      <c r="D17" s="9">
        <v>13007</v>
      </c>
    </row>
    <row r="18" spans="1:4">
      <c r="A18" t="s">
        <v>959</v>
      </c>
      <c r="B18" t="s">
        <v>958</v>
      </c>
      <c r="C18" s="9">
        <v>14000</v>
      </c>
      <c r="D18" s="9">
        <v>14499</v>
      </c>
    </row>
    <row r="19" spans="1:4">
      <c r="A19" t="s">
        <v>961</v>
      </c>
      <c r="B19" t="s">
        <v>960</v>
      </c>
      <c r="C19" s="9">
        <v>14500</v>
      </c>
      <c r="D19" s="9">
        <v>14999</v>
      </c>
    </row>
    <row r="20" spans="1:4">
      <c r="A20" t="s">
        <v>3074</v>
      </c>
      <c r="B20" t="s">
        <v>3075</v>
      </c>
      <c r="C20" s="9">
        <v>15000</v>
      </c>
      <c r="D20" s="9">
        <v>15499</v>
      </c>
    </row>
    <row r="21" spans="1:4">
      <c r="A21" t="s">
        <v>962</v>
      </c>
      <c r="B21" t="s">
        <v>963</v>
      </c>
      <c r="C21" s="9">
        <v>15500</v>
      </c>
      <c r="D21" s="9">
        <v>15999</v>
      </c>
    </row>
    <row r="22" spans="1:4">
      <c r="A22" t="s">
        <v>964</v>
      </c>
      <c r="B22" t="s">
        <v>965</v>
      </c>
      <c r="C22" s="9">
        <v>16000</v>
      </c>
      <c r="D22" s="9">
        <v>16499</v>
      </c>
    </row>
    <row r="23" spans="1:4">
      <c r="A23" t="s">
        <v>956</v>
      </c>
      <c r="B23" t="s">
        <v>957</v>
      </c>
      <c r="C23" s="9">
        <v>18000</v>
      </c>
      <c r="D23" s="9">
        <v>18999</v>
      </c>
    </row>
    <row r="24" spans="1:4">
      <c r="A24" t="s">
        <v>2790</v>
      </c>
      <c r="B24" t="s">
        <v>2791</v>
      </c>
      <c r="C24" s="9">
        <v>19000</v>
      </c>
      <c r="D24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1022</v>
      </c>
      <c r="B1" s="13" t="s">
        <v>1007</v>
      </c>
      <c r="C1" s="13" t="s">
        <v>1008</v>
      </c>
      <c r="D1" s="13" t="s">
        <v>1009</v>
      </c>
      <c r="E1" s="13" t="s">
        <v>1010</v>
      </c>
      <c r="F1" s="13" t="s">
        <v>1011</v>
      </c>
      <c r="G1" s="13" t="s">
        <v>1012</v>
      </c>
      <c r="H1" s="13" t="s">
        <v>1013</v>
      </c>
      <c r="I1" s="13" t="s">
        <v>1014</v>
      </c>
      <c r="J1" s="13" t="s">
        <v>1015</v>
      </c>
      <c r="K1" s="13" t="s">
        <v>1016</v>
      </c>
      <c r="L1" s="13" t="s">
        <v>1017</v>
      </c>
      <c r="M1" s="13" t="s">
        <v>1018</v>
      </c>
      <c r="N1" s="13" t="s">
        <v>1019</v>
      </c>
    </row>
    <row r="2" spans="1:14">
      <c r="A2" s="13" t="s">
        <v>1048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1049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1050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945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947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325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1032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1020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1021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1023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1024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1025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1026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1027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3073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1028</v>
      </c>
    </row>
    <row r="25" spans="1:1">
      <c r="A25" s="19" t="s">
        <v>1029</v>
      </c>
    </row>
    <row r="27" spans="1:1">
      <c r="A27" s="19" t="s">
        <v>1030</v>
      </c>
    </row>
    <row r="29" spans="1:1">
      <c r="A29" s="19" t="s">
        <v>1031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1033</v>
      </c>
      <c r="B1" t="s">
        <v>11</v>
      </c>
      <c r="C1" t="s">
        <v>1034</v>
      </c>
    </row>
    <row r="2" spans="1:3">
      <c r="A2" t="s">
        <v>1045</v>
      </c>
      <c r="B2">
        <v>20</v>
      </c>
      <c r="C2" t="s">
        <v>1039</v>
      </c>
    </row>
    <row r="3" spans="1:3">
      <c r="A3" t="s">
        <v>1043</v>
      </c>
      <c r="B3">
        <v>40</v>
      </c>
      <c r="C3" t="s">
        <v>1037</v>
      </c>
    </row>
    <row r="4" spans="1:3">
      <c r="A4" t="s">
        <v>1042</v>
      </c>
      <c r="B4">
        <v>16</v>
      </c>
      <c r="C4" t="s">
        <v>1036</v>
      </c>
    </row>
    <row r="5" spans="1:3">
      <c r="A5" t="s">
        <v>1046</v>
      </c>
      <c r="B5">
        <v>15</v>
      </c>
      <c r="C5" t="s">
        <v>1040</v>
      </c>
    </row>
    <row r="6" spans="1:3">
      <c r="A6" t="s">
        <v>1044</v>
      </c>
      <c r="B6">
        <v>120</v>
      </c>
      <c r="C6" t="s">
        <v>1038</v>
      </c>
    </row>
    <row r="7" spans="1:3">
      <c r="A7" t="s">
        <v>1041</v>
      </c>
      <c r="B7">
        <v>0</v>
      </c>
      <c r="C7" t="s">
        <v>1035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2026-04-29T16:11:03Z</dcterms:modified>
</cp:coreProperties>
</file>