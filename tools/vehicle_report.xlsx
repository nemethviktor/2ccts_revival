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E9B8ED2D-8F01-4415-BC96-CA93D23C6DA5}" xr6:coauthVersionLast="47" xr6:coauthVersionMax="47" xr10:uidLastSave="{00000000-0000-0000-0000-000000000000}"/>
  <bookViews>
    <workbookView xWindow="-103" yWindow="-103" windowWidth="22149" windowHeight="13320" tabRatio="739" activeTab="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pivot" sheetId="26" r:id="rId6"/>
    <sheet name="roster" sheetId="24" r:id="rId7"/>
    <sheet name="item_validation" sheetId="7" r:id="rId8"/>
    <sheet name="vehicle_id_ranges" sheetId="8" r:id="rId9"/>
    <sheet name="cost_lookup" sheetId="9" r:id="rId10"/>
    <sheet name="loadingspeed_lookup" sheetId="11" r:id="rId11"/>
    <sheet name="copyright_text" sheetId="6" r:id="rId12"/>
  </sheets>
  <definedNames>
    <definedName name="_xlnm._FilterDatabase" localSheetId="6" hidden="1">roster!$A$1:$O$792</definedName>
  </definedNames>
  <calcPr calcId="191029"/>
  <pivotCaches>
    <pivotCache cacheId="53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4" l="1"/>
  <c r="F4" i="24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5" i="24"/>
  <c r="F46" i="24"/>
  <c r="F47" i="24"/>
  <c r="F48" i="24"/>
  <c r="F49" i="24"/>
  <c r="F50" i="24"/>
  <c r="F51" i="24"/>
  <c r="F52" i="24"/>
  <c r="F53" i="24"/>
  <c r="F54" i="24"/>
  <c r="F55" i="24"/>
  <c r="F56" i="24"/>
  <c r="F57" i="24"/>
  <c r="F58" i="24"/>
  <c r="F59" i="24"/>
  <c r="F60" i="24"/>
  <c r="F61" i="24"/>
  <c r="F62" i="24"/>
  <c r="F63" i="24"/>
  <c r="F64" i="24"/>
  <c r="F65" i="24"/>
  <c r="F66" i="24"/>
  <c r="F67" i="24"/>
  <c r="F68" i="24"/>
  <c r="F69" i="24"/>
  <c r="F70" i="24"/>
  <c r="F71" i="24"/>
  <c r="F72" i="24"/>
  <c r="F73" i="24"/>
  <c r="F74" i="24"/>
  <c r="F75" i="24"/>
  <c r="F76" i="24"/>
  <c r="F77" i="24"/>
  <c r="F78" i="24"/>
  <c r="F79" i="24"/>
  <c r="F80" i="24"/>
  <c r="F81" i="24"/>
  <c r="F82" i="24"/>
  <c r="F83" i="24"/>
  <c r="F84" i="24"/>
  <c r="F85" i="24"/>
  <c r="F86" i="24"/>
  <c r="F87" i="24"/>
  <c r="F88" i="24"/>
  <c r="F89" i="24"/>
  <c r="F90" i="24"/>
  <c r="F91" i="24"/>
  <c r="F92" i="24"/>
  <c r="F93" i="24"/>
  <c r="F94" i="24"/>
  <c r="F95" i="24"/>
  <c r="F96" i="24"/>
  <c r="F97" i="24"/>
  <c r="F98" i="24"/>
  <c r="F99" i="24"/>
  <c r="F100" i="24"/>
  <c r="F101" i="24"/>
  <c r="F102" i="24"/>
  <c r="F103" i="24"/>
  <c r="F104" i="24"/>
  <c r="F105" i="24"/>
  <c r="F106" i="24"/>
  <c r="F107" i="24"/>
  <c r="F108" i="24"/>
  <c r="F109" i="24"/>
  <c r="F110" i="24"/>
  <c r="F111" i="24"/>
  <c r="F112" i="24"/>
  <c r="F113" i="24"/>
  <c r="F114" i="24"/>
  <c r="F115" i="24"/>
  <c r="F116" i="24"/>
  <c r="F117" i="24"/>
  <c r="F118" i="24"/>
  <c r="F119" i="24"/>
  <c r="F120" i="24"/>
  <c r="F121" i="24"/>
  <c r="F122" i="24"/>
  <c r="F123" i="24"/>
  <c r="F124" i="24"/>
  <c r="F125" i="24"/>
  <c r="F126" i="24"/>
  <c r="F127" i="24"/>
  <c r="F128" i="24"/>
  <c r="F129" i="24"/>
  <c r="F130" i="24"/>
  <c r="F131" i="24"/>
  <c r="F132" i="24"/>
  <c r="F133" i="24"/>
  <c r="F134" i="24"/>
  <c r="F135" i="24"/>
  <c r="F136" i="24"/>
  <c r="F137" i="24"/>
  <c r="F138" i="24"/>
  <c r="F139" i="24"/>
  <c r="F140" i="24"/>
  <c r="F141" i="24"/>
  <c r="F142" i="24"/>
  <c r="F143" i="24"/>
  <c r="F144" i="24"/>
  <c r="F145" i="24"/>
  <c r="F146" i="24"/>
  <c r="F147" i="24"/>
  <c r="F148" i="24"/>
  <c r="F149" i="24"/>
  <c r="F150" i="24"/>
  <c r="F151" i="24"/>
  <c r="F152" i="24"/>
  <c r="F153" i="24"/>
  <c r="F154" i="24"/>
  <c r="F155" i="24"/>
  <c r="F156" i="24"/>
  <c r="F157" i="24"/>
  <c r="F158" i="24"/>
  <c r="F159" i="24"/>
  <c r="F160" i="24"/>
  <c r="F161" i="24"/>
  <c r="F162" i="24"/>
  <c r="F163" i="24"/>
  <c r="F164" i="24"/>
  <c r="F165" i="24"/>
  <c r="F166" i="24"/>
  <c r="F167" i="24"/>
  <c r="F168" i="24"/>
  <c r="F169" i="24"/>
  <c r="F170" i="24"/>
  <c r="F171" i="24"/>
  <c r="F172" i="24"/>
  <c r="F173" i="24"/>
  <c r="F174" i="24"/>
  <c r="F175" i="24"/>
  <c r="F176" i="24"/>
  <c r="F177" i="24"/>
  <c r="F178" i="24"/>
  <c r="F179" i="24"/>
  <c r="F180" i="24"/>
  <c r="F181" i="24"/>
  <c r="F182" i="24"/>
  <c r="F183" i="24"/>
  <c r="F184" i="24"/>
  <c r="F185" i="24"/>
  <c r="F186" i="24"/>
  <c r="F187" i="24"/>
  <c r="F188" i="24"/>
  <c r="F189" i="24"/>
  <c r="F190" i="24"/>
  <c r="F191" i="24"/>
  <c r="F192" i="24"/>
  <c r="F193" i="24"/>
  <c r="F194" i="24"/>
  <c r="F195" i="24"/>
  <c r="F196" i="24"/>
  <c r="F197" i="24"/>
  <c r="F198" i="24"/>
  <c r="F199" i="24"/>
  <c r="F200" i="24"/>
  <c r="F201" i="24"/>
  <c r="F202" i="24"/>
  <c r="F203" i="24"/>
  <c r="F204" i="24"/>
  <c r="F205" i="24"/>
  <c r="F206" i="24"/>
  <c r="F207" i="24"/>
  <c r="F208" i="24"/>
  <c r="F209" i="24"/>
  <c r="F210" i="24"/>
  <c r="F211" i="24"/>
  <c r="F212" i="24"/>
  <c r="F213" i="24"/>
  <c r="F214" i="24"/>
  <c r="F215" i="24"/>
  <c r="F216" i="24"/>
  <c r="F217" i="24"/>
  <c r="F218" i="24"/>
  <c r="F219" i="24"/>
  <c r="F220" i="24"/>
  <c r="F221" i="24"/>
  <c r="F222" i="24"/>
  <c r="F223" i="24"/>
  <c r="F224" i="24"/>
  <c r="F225" i="24"/>
  <c r="F226" i="24"/>
  <c r="F227" i="24"/>
  <c r="F228" i="24"/>
  <c r="F229" i="24"/>
  <c r="F230" i="24"/>
  <c r="F231" i="24"/>
  <c r="F232" i="24"/>
  <c r="F233" i="24"/>
  <c r="F234" i="24"/>
  <c r="F235" i="24"/>
  <c r="F236" i="24"/>
  <c r="F237" i="24"/>
  <c r="F238" i="24"/>
  <c r="F239" i="24"/>
  <c r="F240" i="24"/>
  <c r="F241" i="24"/>
  <c r="F242" i="24"/>
  <c r="F243" i="24"/>
  <c r="F244" i="24"/>
  <c r="F245" i="24"/>
  <c r="F246" i="24"/>
  <c r="F247" i="24"/>
  <c r="F248" i="24"/>
  <c r="F249" i="24"/>
  <c r="F250" i="24"/>
  <c r="F251" i="24"/>
  <c r="F252" i="24"/>
  <c r="F253" i="24"/>
  <c r="F254" i="24"/>
  <c r="F255" i="24"/>
  <c r="F256" i="24"/>
  <c r="F257" i="24"/>
  <c r="F258" i="24"/>
  <c r="F259" i="24"/>
  <c r="F260" i="24"/>
  <c r="F261" i="24"/>
  <c r="F262" i="24"/>
  <c r="F263" i="24"/>
  <c r="F264" i="24"/>
  <c r="F265" i="24"/>
  <c r="F266" i="24"/>
  <c r="F267" i="24"/>
  <c r="F268" i="24"/>
  <c r="F269" i="24"/>
  <c r="F270" i="24"/>
  <c r="F271" i="24"/>
  <c r="F272" i="24"/>
  <c r="F273" i="24"/>
  <c r="F274" i="24"/>
  <c r="F275" i="24"/>
  <c r="F276" i="24"/>
  <c r="F277" i="24"/>
  <c r="F278" i="24"/>
  <c r="F279" i="24"/>
  <c r="F280" i="24"/>
  <c r="F281" i="24"/>
  <c r="F282" i="24"/>
  <c r="F283" i="24"/>
  <c r="F284" i="24"/>
  <c r="F285" i="24"/>
  <c r="F286" i="24"/>
  <c r="F287" i="24"/>
  <c r="F288" i="24"/>
  <c r="F289" i="24"/>
  <c r="F290" i="24"/>
  <c r="F291" i="24"/>
  <c r="F292" i="24"/>
  <c r="F293" i="24"/>
  <c r="F294" i="24"/>
  <c r="F295" i="24"/>
  <c r="F296" i="24"/>
  <c r="F297" i="24"/>
  <c r="F298" i="24"/>
  <c r="F299" i="24"/>
  <c r="F300" i="24"/>
  <c r="F301" i="24"/>
  <c r="F302" i="24"/>
  <c r="F303" i="24"/>
  <c r="F304" i="24"/>
  <c r="F305" i="24"/>
  <c r="F306" i="24"/>
  <c r="F307" i="24"/>
  <c r="F308" i="24"/>
  <c r="F309" i="24"/>
  <c r="F310" i="24"/>
  <c r="F311" i="24"/>
  <c r="F312" i="24"/>
  <c r="F313" i="24"/>
  <c r="F314" i="24"/>
  <c r="F315" i="24"/>
  <c r="F316" i="24"/>
  <c r="F317" i="24"/>
  <c r="F318" i="24"/>
  <c r="F319" i="24"/>
  <c r="F320" i="24"/>
  <c r="F321" i="24"/>
  <c r="F322" i="24"/>
  <c r="F323" i="24"/>
  <c r="F324" i="24"/>
  <c r="F325" i="24"/>
  <c r="F326" i="24"/>
  <c r="F327" i="24"/>
  <c r="F328" i="24"/>
  <c r="F329" i="24"/>
  <c r="F330" i="24"/>
  <c r="F331" i="24"/>
  <c r="F332" i="24"/>
  <c r="F333" i="24"/>
  <c r="F334" i="24"/>
  <c r="F335" i="24"/>
  <c r="F336" i="24"/>
  <c r="F337" i="24"/>
  <c r="F338" i="24"/>
  <c r="F339" i="24"/>
  <c r="F340" i="24"/>
  <c r="F341" i="24"/>
  <c r="F342" i="24"/>
  <c r="F343" i="24"/>
  <c r="F344" i="24"/>
  <c r="F345" i="24"/>
  <c r="F346" i="24"/>
  <c r="F347" i="24"/>
  <c r="F348" i="24"/>
  <c r="F349" i="24"/>
  <c r="F350" i="24"/>
  <c r="F351" i="24"/>
  <c r="F352" i="24"/>
  <c r="F353" i="24"/>
  <c r="F354" i="24"/>
  <c r="F355" i="24"/>
  <c r="F356" i="24"/>
  <c r="F357" i="24"/>
  <c r="F358" i="24"/>
  <c r="F359" i="24"/>
  <c r="F360" i="24"/>
  <c r="F361" i="24"/>
  <c r="F362" i="24"/>
  <c r="F363" i="24"/>
  <c r="F364" i="24"/>
  <c r="F365" i="24"/>
  <c r="F366" i="24"/>
  <c r="F367" i="24"/>
  <c r="F368" i="24"/>
  <c r="F369" i="24"/>
  <c r="F370" i="24"/>
  <c r="F371" i="24"/>
  <c r="F372" i="24"/>
  <c r="F373" i="24"/>
  <c r="F374" i="24"/>
  <c r="F375" i="24"/>
  <c r="F376" i="24"/>
  <c r="F377" i="24"/>
  <c r="F378" i="24"/>
  <c r="F379" i="24"/>
  <c r="F380" i="24"/>
  <c r="F381" i="24"/>
  <c r="F382" i="24"/>
  <c r="F383" i="24"/>
  <c r="F384" i="24"/>
  <c r="F385" i="24"/>
  <c r="F386" i="24"/>
  <c r="F387" i="24"/>
  <c r="F388" i="24"/>
  <c r="F389" i="24"/>
  <c r="F390" i="24"/>
  <c r="F391" i="24"/>
  <c r="F392" i="24"/>
  <c r="F393" i="24"/>
  <c r="F394" i="24"/>
  <c r="F395" i="24"/>
  <c r="F396" i="24"/>
  <c r="F397" i="24"/>
  <c r="F398" i="24"/>
  <c r="F399" i="24"/>
  <c r="F400" i="24"/>
  <c r="F401" i="24"/>
  <c r="F402" i="24"/>
  <c r="F403" i="24"/>
  <c r="F404" i="24"/>
  <c r="F405" i="24"/>
  <c r="F406" i="24"/>
  <c r="F407" i="24"/>
  <c r="F408" i="24"/>
  <c r="F409" i="24"/>
  <c r="F410" i="24"/>
  <c r="F411" i="24"/>
  <c r="F412" i="24"/>
  <c r="F413" i="24"/>
  <c r="F414" i="24"/>
  <c r="F415" i="24"/>
  <c r="F416" i="24"/>
  <c r="F417" i="24"/>
  <c r="F418" i="24"/>
  <c r="F419" i="24"/>
  <c r="F420" i="24"/>
  <c r="F421" i="24"/>
  <c r="F422" i="24"/>
  <c r="F423" i="24"/>
  <c r="F424" i="24"/>
  <c r="F425" i="24"/>
  <c r="F426" i="24"/>
  <c r="F427" i="24"/>
  <c r="F428" i="24"/>
  <c r="F429" i="24"/>
  <c r="F430" i="24"/>
  <c r="F431" i="24"/>
  <c r="F432" i="24"/>
  <c r="F433" i="24"/>
  <c r="F434" i="24"/>
  <c r="F435" i="24"/>
  <c r="F436" i="24"/>
  <c r="F437" i="24"/>
  <c r="F438" i="24"/>
  <c r="F439" i="24"/>
  <c r="F440" i="24"/>
  <c r="F441" i="24"/>
  <c r="F442" i="24"/>
  <c r="F443" i="24"/>
  <c r="F444" i="24"/>
  <c r="F445" i="24"/>
  <c r="F446" i="24"/>
  <c r="F447" i="24"/>
  <c r="F448" i="24"/>
  <c r="F449" i="24"/>
  <c r="F450" i="24"/>
  <c r="F451" i="24"/>
  <c r="F452" i="24"/>
  <c r="F453" i="24"/>
  <c r="F454" i="24"/>
  <c r="F455" i="24"/>
  <c r="F456" i="24"/>
  <c r="F457" i="24"/>
  <c r="F458" i="24"/>
  <c r="F459" i="24"/>
  <c r="F460" i="24"/>
  <c r="F461" i="24"/>
  <c r="F462" i="24"/>
  <c r="F463" i="24"/>
  <c r="F464" i="24"/>
  <c r="F465" i="24"/>
  <c r="F466" i="24"/>
  <c r="F467" i="24"/>
  <c r="F468" i="24"/>
  <c r="F469" i="24"/>
  <c r="F470" i="24"/>
  <c r="F471" i="24"/>
  <c r="F472" i="24"/>
  <c r="F473" i="24"/>
  <c r="F474" i="24"/>
  <c r="F475" i="24"/>
  <c r="F476" i="24"/>
  <c r="F477" i="24"/>
  <c r="F478" i="24"/>
  <c r="F479" i="24"/>
  <c r="F480" i="24"/>
  <c r="F481" i="24"/>
  <c r="F482" i="24"/>
  <c r="F483" i="24"/>
  <c r="F484" i="24"/>
  <c r="F485" i="24"/>
  <c r="F486" i="24"/>
  <c r="F487" i="24"/>
  <c r="F488" i="24"/>
  <c r="F489" i="24"/>
  <c r="F490" i="24"/>
  <c r="F491" i="24"/>
  <c r="F492" i="24"/>
  <c r="F493" i="24"/>
  <c r="F494" i="24"/>
  <c r="F495" i="24"/>
  <c r="F496" i="24"/>
  <c r="F497" i="24"/>
  <c r="F498" i="24"/>
  <c r="F499" i="24"/>
  <c r="F500" i="24"/>
  <c r="F501" i="24"/>
  <c r="F502" i="24"/>
  <c r="F503" i="24"/>
  <c r="F504" i="24"/>
  <c r="F505" i="24"/>
  <c r="F506" i="24"/>
  <c r="F507" i="24"/>
  <c r="F508" i="24"/>
  <c r="F509" i="24"/>
  <c r="F510" i="24"/>
  <c r="F511" i="24"/>
  <c r="F512" i="24"/>
  <c r="F513" i="24"/>
  <c r="F514" i="24"/>
  <c r="F515" i="24"/>
  <c r="F516" i="24"/>
  <c r="F517" i="24"/>
  <c r="F518" i="24"/>
  <c r="F519" i="24"/>
  <c r="F520" i="24"/>
  <c r="F521" i="24"/>
  <c r="F522" i="24"/>
  <c r="F523" i="24"/>
  <c r="F524" i="24"/>
  <c r="F525" i="24"/>
  <c r="F526" i="24"/>
  <c r="F527" i="24"/>
  <c r="F528" i="24"/>
  <c r="F529" i="24"/>
  <c r="F530" i="24"/>
  <c r="F531" i="24"/>
  <c r="F532" i="24"/>
  <c r="F533" i="24"/>
  <c r="F534" i="24"/>
  <c r="F535" i="24"/>
  <c r="F536" i="24"/>
  <c r="F537" i="24"/>
  <c r="F538" i="24"/>
  <c r="F539" i="24"/>
  <c r="F540" i="24"/>
  <c r="F541" i="24"/>
  <c r="F542" i="24"/>
  <c r="F543" i="24"/>
  <c r="F544" i="24"/>
  <c r="F545" i="24"/>
  <c r="F546" i="24"/>
  <c r="F547" i="24"/>
  <c r="F548" i="24"/>
  <c r="F549" i="24"/>
  <c r="F550" i="24"/>
  <c r="F551" i="24"/>
  <c r="F552" i="24"/>
  <c r="F553" i="24"/>
  <c r="F554" i="24"/>
  <c r="F555" i="24"/>
  <c r="F556" i="24"/>
  <c r="F557" i="24"/>
  <c r="F558" i="24"/>
  <c r="F559" i="24"/>
  <c r="F560" i="24"/>
  <c r="F561" i="24"/>
  <c r="F562" i="24"/>
  <c r="F563" i="24"/>
  <c r="F564" i="24"/>
  <c r="F565" i="24"/>
  <c r="F566" i="24"/>
  <c r="F567" i="24"/>
  <c r="F568" i="24"/>
  <c r="F569" i="24"/>
  <c r="F570" i="24"/>
  <c r="F571" i="24"/>
  <c r="F572" i="24"/>
  <c r="F573" i="24"/>
  <c r="F574" i="24"/>
  <c r="F575" i="24"/>
  <c r="F576" i="24"/>
  <c r="F577" i="24"/>
  <c r="F578" i="24"/>
  <c r="F579" i="24"/>
  <c r="F580" i="24"/>
  <c r="F581" i="24"/>
  <c r="F582" i="24"/>
  <c r="F583" i="24"/>
  <c r="F584" i="24"/>
  <c r="F585" i="24"/>
  <c r="F586" i="24"/>
  <c r="F587" i="24"/>
  <c r="F588" i="24"/>
  <c r="F589" i="24"/>
  <c r="F590" i="24"/>
  <c r="F591" i="24"/>
  <c r="F592" i="24"/>
  <c r="F593" i="24"/>
  <c r="F594" i="24"/>
  <c r="F595" i="24"/>
  <c r="F596" i="24"/>
  <c r="F597" i="24"/>
  <c r="F598" i="24"/>
  <c r="F599" i="24"/>
  <c r="F600" i="24"/>
  <c r="F601" i="24"/>
  <c r="F602" i="24"/>
  <c r="F603" i="24"/>
  <c r="F604" i="24"/>
  <c r="F605" i="24"/>
  <c r="F606" i="24"/>
  <c r="F607" i="24"/>
  <c r="F608" i="24"/>
  <c r="F609" i="24"/>
  <c r="F610" i="24"/>
  <c r="F611" i="24"/>
  <c r="F612" i="24"/>
  <c r="F613" i="24"/>
  <c r="F614" i="24"/>
  <c r="F615" i="24"/>
  <c r="F616" i="24"/>
  <c r="F617" i="24"/>
  <c r="F618" i="24"/>
  <c r="F619" i="24"/>
  <c r="F620" i="24"/>
  <c r="F621" i="24"/>
  <c r="F622" i="24"/>
  <c r="F623" i="24"/>
  <c r="F624" i="24"/>
  <c r="F625" i="24"/>
  <c r="F626" i="24"/>
  <c r="F627" i="24"/>
  <c r="F628" i="24"/>
  <c r="F629" i="24"/>
  <c r="F630" i="24"/>
  <c r="F631" i="24"/>
  <c r="F632" i="24"/>
  <c r="F633" i="24"/>
  <c r="F634" i="24"/>
  <c r="F635" i="24"/>
  <c r="F636" i="24"/>
  <c r="F637" i="24"/>
  <c r="F638" i="24"/>
  <c r="F639" i="24"/>
  <c r="F640" i="24"/>
  <c r="F641" i="24"/>
  <c r="F642" i="24"/>
  <c r="F643" i="24"/>
  <c r="F644" i="24"/>
  <c r="F645" i="24"/>
  <c r="F646" i="24"/>
  <c r="F647" i="24"/>
  <c r="F648" i="24"/>
  <c r="F649" i="24"/>
  <c r="F650" i="24"/>
  <c r="F651" i="24"/>
  <c r="F652" i="24"/>
  <c r="F653" i="24"/>
  <c r="F654" i="24"/>
  <c r="F655" i="24"/>
  <c r="F656" i="24"/>
  <c r="F657" i="24"/>
  <c r="F658" i="24"/>
  <c r="F659" i="24"/>
  <c r="F660" i="24"/>
  <c r="F661" i="24"/>
  <c r="F662" i="24"/>
  <c r="F663" i="24"/>
  <c r="F664" i="24"/>
  <c r="F665" i="24"/>
  <c r="F666" i="24"/>
  <c r="F667" i="24"/>
  <c r="F668" i="24"/>
  <c r="F669" i="24"/>
  <c r="F670" i="24"/>
  <c r="F671" i="24"/>
  <c r="F672" i="24"/>
  <c r="F673" i="24"/>
  <c r="F674" i="24"/>
  <c r="F675" i="24"/>
  <c r="F676" i="24"/>
  <c r="F677" i="24"/>
  <c r="F678" i="24"/>
  <c r="F679" i="24"/>
  <c r="F680" i="24"/>
  <c r="F681" i="24"/>
  <c r="F682" i="24"/>
  <c r="F683" i="24"/>
  <c r="F684" i="24"/>
  <c r="F685" i="24"/>
  <c r="F686" i="24"/>
  <c r="F687" i="24"/>
  <c r="F688" i="24"/>
  <c r="F689" i="24"/>
  <c r="F690" i="24"/>
  <c r="F691" i="24"/>
  <c r="F692" i="24"/>
  <c r="F693" i="24"/>
  <c r="F694" i="24"/>
  <c r="F695" i="24"/>
  <c r="F696" i="24"/>
  <c r="F697" i="24"/>
  <c r="F698" i="24"/>
  <c r="F699" i="24"/>
  <c r="F700" i="24"/>
  <c r="F701" i="24"/>
  <c r="F702" i="24"/>
  <c r="F703" i="24"/>
  <c r="F704" i="24"/>
  <c r="F705" i="24"/>
  <c r="F706" i="24"/>
  <c r="F707" i="24"/>
  <c r="F708" i="24"/>
  <c r="F709" i="24"/>
  <c r="F710" i="24"/>
  <c r="F711" i="24"/>
  <c r="F712" i="24"/>
  <c r="F713" i="24"/>
  <c r="F714" i="24"/>
  <c r="F715" i="24"/>
  <c r="F716" i="24"/>
  <c r="F717" i="24"/>
  <c r="F718" i="24"/>
  <c r="F719" i="24"/>
  <c r="F720" i="24"/>
  <c r="F721" i="24"/>
  <c r="F722" i="24"/>
  <c r="F723" i="24"/>
  <c r="F724" i="24"/>
  <c r="F725" i="24"/>
  <c r="F726" i="24"/>
  <c r="F727" i="24"/>
  <c r="F728" i="24"/>
  <c r="F729" i="24"/>
  <c r="F730" i="24"/>
  <c r="F731" i="24"/>
  <c r="F732" i="24"/>
  <c r="F733" i="24"/>
  <c r="F734" i="24"/>
  <c r="F735" i="24"/>
  <c r="F736" i="24"/>
  <c r="F737" i="24"/>
  <c r="F738" i="24"/>
  <c r="F739" i="24"/>
  <c r="F740" i="24"/>
  <c r="F741" i="24"/>
  <c r="F742" i="24"/>
  <c r="F743" i="24"/>
  <c r="F744" i="24"/>
  <c r="F745" i="24"/>
  <c r="F746" i="24"/>
  <c r="F747" i="24"/>
  <c r="F748" i="24"/>
  <c r="F749" i="24"/>
  <c r="F750" i="24"/>
  <c r="F751" i="24"/>
  <c r="F752" i="24"/>
  <c r="F753" i="24"/>
  <c r="F754" i="24"/>
  <c r="F755" i="24"/>
  <c r="F756" i="24"/>
  <c r="F757" i="24"/>
  <c r="F758" i="24"/>
  <c r="F759" i="24"/>
  <c r="F760" i="24"/>
  <c r="F761" i="24"/>
  <c r="F762" i="24"/>
  <c r="F763" i="24"/>
  <c r="F764" i="24"/>
  <c r="F765" i="24"/>
  <c r="F766" i="24"/>
  <c r="F767" i="24"/>
  <c r="F768" i="24"/>
  <c r="F769" i="24"/>
  <c r="F770" i="24"/>
  <c r="F771" i="24"/>
  <c r="F772" i="24"/>
  <c r="F773" i="24"/>
  <c r="F774" i="24"/>
  <c r="F775" i="24"/>
  <c r="F776" i="24"/>
  <c r="F777" i="24"/>
  <c r="F778" i="24"/>
  <c r="F779" i="24"/>
  <c r="F780" i="24"/>
  <c r="F781" i="24"/>
  <c r="F782" i="24"/>
  <c r="F783" i="24"/>
  <c r="F784" i="24"/>
  <c r="F785" i="24"/>
  <c r="F786" i="24"/>
  <c r="F787" i="24"/>
  <c r="F788" i="24"/>
  <c r="F789" i="24"/>
  <c r="F790" i="24"/>
  <c r="F791" i="24"/>
  <c r="F792" i="24"/>
  <c r="F2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D321" i="24"/>
  <c r="E320" i="24"/>
  <c r="D320" i="24"/>
  <c r="E319" i="24"/>
  <c r="D319" i="24"/>
  <c r="E318" i="24"/>
  <c r="D318" i="24"/>
  <c r="E317" i="24"/>
  <c r="D317" i="24"/>
  <c r="E316" i="24"/>
  <c r="D316" i="24"/>
  <c r="E315" i="24"/>
  <c r="D315" i="24"/>
  <c r="E314" i="24"/>
  <c r="D314" i="24"/>
  <c r="E313" i="24"/>
  <c r="D313" i="24"/>
  <c r="E312" i="24"/>
  <c r="D312" i="24"/>
  <c r="E311" i="24"/>
  <c r="D311" i="24"/>
  <c r="E310" i="24"/>
  <c r="D310" i="24"/>
  <c r="E309" i="24"/>
  <c r="D309" i="24"/>
  <c r="E308" i="24"/>
  <c r="D308" i="24"/>
  <c r="E307" i="24"/>
  <c r="D307" i="24"/>
  <c r="E306" i="24"/>
  <c r="D306" i="24"/>
  <c r="E305" i="24"/>
  <c r="D305" i="24"/>
  <c r="E304" i="24"/>
  <c r="D304" i="24"/>
  <c r="E303" i="24"/>
  <c r="D303" i="24"/>
  <c r="E302" i="24"/>
  <c r="D302" i="24"/>
  <c r="E301" i="24"/>
  <c r="D301" i="24"/>
  <c r="E300" i="24"/>
  <c r="D300" i="24"/>
  <c r="E299" i="24"/>
  <c r="D299" i="24"/>
  <c r="E298" i="24"/>
  <c r="D298" i="24"/>
  <c r="E297" i="24"/>
  <c r="D297" i="24"/>
  <c r="E296" i="24"/>
  <c r="D296" i="24"/>
  <c r="E295" i="24"/>
  <c r="D295" i="24"/>
  <c r="E294" i="24"/>
  <c r="D294" i="24"/>
  <c r="E293" i="24"/>
  <c r="D293" i="24"/>
  <c r="E292" i="24"/>
  <c r="D292" i="24"/>
  <c r="E291" i="24"/>
  <c r="D291" i="24"/>
  <c r="E290" i="24"/>
  <c r="D290" i="24"/>
  <c r="E289" i="24"/>
  <c r="D289" i="24"/>
  <c r="E288" i="24"/>
  <c r="D288" i="24"/>
  <c r="E287" i="24"/>
  <c r="D287" i="24"/>
  <c r="E286" i="24"/>
  <c r="D286" i="24"/>
  <c r="E285" i="24"/>
  <c r="D285" i="24"/>
  <c r="E284" i="24"/>
  <c r="D284" i="24"/>
  <c r="E283" i="24"/>
  <c r="D283" i="24"/>
  <c r="E282" i="24"/>
  <c r="D282" i="24"/>
  <c r="E281" i="24"/>
  <c r="D281" i="24"/>
  <c r="E280" i="24"/>
  <c r="D280" i="24"/>
  <c r="E279" i="24"/>
  <c r="D279" i="24"/>
  <c r="E278" i="24"/>
  <c r="D278" i="24"/>
  <c r="E277" i="24"/>
  <c r="D277" i="24"/>
  <c r="E276" i="24"/>
  <c r="D276" i="24"/>
  <c r="E275" i="24"/>
  <c r="D275" i="24"/>
  <c r="E274" i="24"/>
  <c r="D274" i="24"/>
  <c r="E273" i="24"/>
  <c r="D273" i="24"/>
  <c r="E272" i="24"/>
  <c r="D272" i="24"/>
  <c r="E271" i="24"/>
  <c r="D271" i="24"/>
  <c r="E270" i="24"/>
  <c r="D270" i="24"/>
  <c r="E269" i="24"/>
  <c r="D269" i="24"/>
  <c r="E268" i="24"/>
  <c r="D268" i="24"/>
  <c r="E267" i="24"/>
  <c r="D267" i="24"/>
  <c r="E266" i="24"/>
  <c r="D266" i="24"/>
  <c r="E265" i="24"/>
  <c r="D265" i="24"/>
  <c r="E264" i="24"/>
  <c r="D264" i="24"/>
  <c r="E263" i="24"/>
  <c r="D263" i="24"/>
  <c r="E262" i="24"/>
  <c r="D262" i="24"/>
  <c r="E261" i="24"/>
  <c r="D261" i="24"/>
  <c r="E260" i="24"/>
  <c r="D260" i="24"/>
  <c r="E259" i="24"/>
  <c r="D259" i="24"/>
  <c r="E258" i="24"/>
  <c r="D258" i="24"/>
  <c r="E257" i="24"/>
  <c r="D257" i="24"/>
  <c r="E256" i="24"/>
  <c r="D256" i="24"/>
  <c r="E255" i="24"/>
  <c r="D255" i="24"/>
  <c r="E254" i="24"/>
  <c r="D254" i="24"/>
  <c r="E253" i="24"/>
  <c r="D253" i="24"/>
  <c r="E252" i="24"/>
  <c r="D252" i="24"/>
  <c r="E251" i="24"/>
  <c r="D251" i="24"/>
  <c r="E250" i="24"/>
  <c r="D250" i="24"/>
  <c r="E249" i="24"/>
  <c r="D249" i="24"/>
  <c r="E248" i="24"/>
  <c r="D248" i="24"/>
  <c r="E247" i="24"/>
  <c r="D247" i="24"/>
  <c r="E246" i="24"/>
  <c r="D246" i="24"/>
  <c r="E245" i="24"/>
  <c r="D245" i="24"/>
  <c r="E244" i="24"/>
  <c r="D244" i="24"/>
  <c r="E243" i="24"/>
  <c r="D243" i="24"/>
  <c r="E242" i="24"/>
  <c r="D242" i="24"/>
  <c r="E241" i="24"/>
  <c r="D241" i="24"/>
  <c r="E240" i="24"/>
  <c r="D240" i="24"/>
  <c r="E239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E224" i="24"/>
  <c r="D224" i="24"/>
  <c r="E223" i="24"/>
  <c r="D223" i="24"/>
  <c r="E222" i="24"/>
  <c r="D222" i="24"/>
  <c r="E221" i="24"/>
  <c r="D221" i="24"/>
  <c r="E220" i="24"/>
  <c r="D220" i="24"/>
  <c r="E219" i="24"/>
  <c r="D219" i="24"/>
  <c r="E218" i="24"/>
  <c r="D218" i="24"/>
  <c r="E217" i="24"/>
  <c r="D217" i="24"/>
  <c r="E216" i="24"/>
  <c r="D216" i="24"/>
  <c r="E215" i="24"/>
  <c r="D215" i="24"/>
  <c r="E214" i="24"/>
  <c r="D214" i="24"/>
  <c r="E213" i="24"/>
  <c r="D213" i="24"/>
  <c r="E212" i="24"/>
  <c r="D212" i="24"/>
  <c r="E211" i="24"/>
  <c r="D211" i="24"/>
  <c r="E210" i="24"/>
  <c r="D210" i="24"/>
  <c r="E209" i="24"/>
  <c r="D209" i="24"/>
  <c r="E208" i="24"/>
  <c r="D208" i="24"/>
  <c r="E207" i="24"/>
  <c r="D207" i="24"/>
  <c r="E206" i="24"/>
  <c r="D206" i="24"/>
  <c r="E205" i="24"/>
  <c r="D205" i="24"/>
  <c r="E204" i="24"/>
  <c r="D204" i="24"/>
  <c r="E203" i="24"/>
  <c r="D203" i="24"/>
  <c r="E202" i="24"/>
  <c r="D202" i="24"/>
  <c r="E201" i="24"/>
  <c r="D201" i="24"/>
  <c r="E200" i="24"/>
  <c r="D200" i="24"/>
  <c r="E199" i="24"/>
  <c r="D199" i="24"/>
  <c r="E198" i="24"/>
  <c r="D198" i="24"/>
  <c r="E197" i="24"/>
  <c r="D197" i="24"/>
  <c r="E196" i="24"/>
  <c r="D196" i="24"/>
  <c r="E195" i="24"/>
  <c r="D195" i="24"/>
  <c r="E194" i="24"/>
  <c r="D194" i="24"/>
  <c r="E193" i="24"/>
  <c r="D193" i="24"/>
  <c r="E192" i="24"/>
  <c r="D192" i="24"/>
  <c r="E191" i="24"/>
  <c r="D191" i="24"/>
  <c r="E190" i="24"/>
  <c r="D190" i="24"/>
  <c r="E189" i="24"/>
  <c r="D189" i="24"/>
  <c r="E188" i="24"/>
  <c r="D188" i="24"/>
  <c r="E187" i="24"/>
  <c r="D187" i="24"/>
  <c r="E186" i="24"/>
  <c r="D186" i="24"/>
  <c r="E185" i="24"/>
  <c r="D185" i="24"/>
  <c r="E184" i="24"/>
  <c r="D184" i="24"/>
  <c r="E183" i="24"/>
  <c r="D183" i="24"/>
  <c r="E182" i="24"/>
  <c r="D182" i="24"/>
  <c r="E181" i="24"/>
  <c r="D181" i="24"/>
  <c r="E180" i="24"/>
  <c r="D180" i="24"/>
  <c r="E179" i="24"/>
  <c r="D179" i="24"/>
  <c r="E178" i="24"/>
  <c r="D178" i="24"/>
  <c r="E177" i="24"/>
  <c r="D177" i="24"/>
  <c r="E176" i="24"/>
  <c r="D176" i="24"/>
  <c r="E175" i="24"/>
  <c r="D175" i="24"/>
  <c r="E174" i="24"/>
  <c r="D174" i="24"/>
  <c r="E173" i="24"/>
  <c r="D173" i="24"/>
  <c r="E172" i="24"/>
  <c r="D172" i="24"/>
  <c r="E171" i="24"/>
  <c r="D171" i="24"/>
  <c r="E170" i="24"/>
  <c r="D170" i="24"/>
  <c r="E169" i="24"/>
  <c r="D169" i="24"/>
  <c r="E168" i="24"/>
  <c r="D168" i="24"/>
  <c r="E167" i="24"/>
  <c r="D167" i="24"/>
  <c r="E166" i="24"/>
  <c r="D166" i="24"/>
  <c r="E165" i="24"/>
  <c r="D165" i="24"/>
  <c r="E164" i="24"/>
  <c r="D164" i="24"/>
  <c r="E163" i="24"/>
  <c r="D163" i="24"/>
  <c r="E162" i="24"/>
  <c r="D162" i="24"/>
  <c r="E161" i="24"/>
  <c r="D161" i="24"/>
  <c r="E160" i="24"/>
  <c r="D160" i="24"/>
  <c r="E159" i="24"/>
  <c r="D159" i="24"/>
  <c r="E158" i="24"/>
  <c r="D158" i="24"/>
  <c r="E157" i="24"/>
  <c r="D157" i="24"/>
  <c r="E156" i="24"/>
  <c r="D156" i="24"/>
  <c r="E155" i="24"/>
  <c r="D155" i="24"/>
  <c r="E154" i="24"/>
  <c r="D154" i="24"/>
  <c r="E153" i="24"/>
  <c r="D153" i="24"/>
  <c r="E152" i="24"/>
  <c r="D152" i="24"/>
  <c r="E151" i="24"/>
  <c r="D151" i="24"/>
  <c r="E150" i="24"/>
  <c r="D150" i="24"/>
  <c r="E149" i="24"/>
  <c r="D149" i="24"/>
  <c r="E148" i="24"/>
  <c r="D148" i="24"/>
  <c r="E147" i="24"/>
  <c r="D147" i="24"/>
  <c r="E146" i="24"/>
  <c r="D146" i="24"/>
  <c r="E145" i="24"/>
  <c r="D145" i="24"/>
  <c r="E144" i="24"/>
  <c r="D144" i="24"/>
  <c r="E143" i="24"/>
  <c r="D143" i="24"/>
  <c r="E142" i="24"/>
  <c r="D142" i="24"/>
  <c r="E141" i="24"/>
  <c r="D141" i="24"/>
  <c r="E140" i="24"/>
  <c r="D140" i="24"/>
  <c r="E139" i="24"/>
  <c r="D139" i="24"/>
  <c r="E138" i="24"/>
  <c r="D138" i="24"/>
  <c r="E137" i="24"/>
  <c r="D137" i="24"/>
  <c r="E136" i="24"/>
  <c r="D136" i="24"/>
  <c r="E135" i="24"/>
  <c r="D135" i="24"/>
  <c r="E134" i="24"/>
  <c r="D134" i="24"/>
  <c r="E133" i="24"/>
  <c r="D133" i="24"/>
  <c r="E132" i="24"/>
  <c r="D132" i="24"/>
  <c r="E131" i="24"/>
  <c r="D131" i="24"/>
  <c r="E130" i="24"/>
  <c r="D130" i="24"/>
  <c r="E129" i="24"/>
  <c r="D129" i="24"/>
  <c r="E128" i="24"/>
  <c r="D128" i="24"/>
  <c r="E127" i="24"/>
  <c r="D127" i="24"/>
  <c r="E126" i="24"/>
  <c r="D126" i="24"/>
  <c r="E125" i="24"/>
  <c r="D125" i="24"/>
  <c r="E124" i="24"/>
  <c r="D124" i="24"/>
  <c r="E123" i="24"/>
  <c r="D123" i="24"/>
  <c r="E122" i="24"/>
  <c r="D122" i="24"/>
  <c r="E121" i="24"/>
  <c r="D121" i="24"/>
  <c r="E120" i="24"/>
  <c r="D120" i="24"/>
  <c r="E119" i="24"/>
  <c r="D119" i="24"/>
  <c r="E118" i="24"/>
  <c r="D118" i="24"/>
  <c r="E117" i="24"/>
  <c r="D117" i="24"/>
  <c r="E116" i="24"/>
  <c r="D116" i="24"/>
  <c r="E115" i="24"/>
  <c r="D115" i="24"/>
  <c r="E114" i="24"/>
  <c r="D114" i="24"/>
  <c r="E113" i="24"/>
  <c r="D113" i="24"/>
  <c r="E112" i="24"/>
  <c r="D112" i="24"/>
  <c r="E111" i="24"/>
  <c r="D111" i="24"/>
  <c r="E110" i="24"/>
  <c r="D110" i="24"/>
  <c r="E109" i="24"/>
  <c r="D109" i="24"/>
  <c r="E108" i="24"/>
  <c r="D108" i="24"/>
  <c r="E107" i="24"/>
  <c r="D107" i="24"/>
  <c r="E106" i="24"/>
  <c r="D106" i="24"/>
  <c r="E105" i="24"/>
  <c r="D105" i="24"/>
  <c r="E104" i="24"/>
  <c r="D104" i="24"/>
  <c r="E103" i="24"/>
  <c r="D103" i="24"/>
  <c r="E102" i="24"/>
  <c r="D102" i="24"/>
  <c r="E101" i="24"/>
  <c r="D101" i="24"/>
  <c r="E100" i="24"/>
  <c r="D100" i="24"/>
  <c r="E99" i="24"/>
  <c r="D99" i="24"/>
  <c r="E98" i="24"/>
  <c r="D98" i="24"/>
  <c r="E97" i="24"/>
  <c r="D97" i="24"/>
  <c r="E96" i="24"/>
  <c r="D96" i="24"/>
  <c r="E95" i="24"/>
  <c r="D95" i="24"/>
  <c r="E94" i="24"/>
  <c r="D94" i="24"/>
  <c r="E93" i="24"/>
  <c r="D93" i="24"/>
  <c r="E92" i="24"/>
  <c r="D92" i="24"/>
  <c r="E91" i="24"/>
  <c r="D91" i="24"/>
  <c r="E90" i="24"/>
  <c r="D90" i="24"/>
  <c r="E89" i="24"/>
  <c r="D89" i="24"/>
  <c r="E88" i="24"/>
  <c r="D88" i="24"/>
  <c r="E87" i="24"/>
  <c r="D87" i="24"/>
  <c r="E86" i="24"/>
  <c r="D86" i="24"/>
  <c r="E85" i="24"/>
  <c r="D85" i="24"/>
  <c r="E84" i="24"/>
  <c r="D84" i="24"/>
  <c r="E83" i="24"/>
  <c r="D83" i="24"/>
  <c r="E82" i="24"/>
  <c r="D82" i="24"/>
  <c r="E81" i="24"/>
  <c r="D81" i="24"/>
  <c r="E80" i="24"/>
  <c r="D80" i="24"/>
  <c r="E79" i="24"/>
  <c r="D79" i="24"/>
  <c r="E78" i="24"/>
  <c r="D78" i="24"/>
  <c r="E77" i="24"/>
  <c r="D77" i="24"/>
  <c r="E76" i="24"/>
  <c r="D76" i="24"/>
  <c r="E75" i="24"/>
  <c r="D75" i="24"/>
  <c r="E74" i="24"/>
  <c r="D74" i="24"/>
  <c r="E73" i="24"/>
  <c r="D73" i="24"/>
  <c r="E72" i="24"/>
  <c r="D72" i="24"/>
  <c r="E71" i="24"/>
  <c r="D71" i="24"/>
  <c r="E70" i="24"/>
  <c r="D70" i="24"/>
  <c r="E69" i="24"/>
  <c r="D69" i="24"/>
  <c r="E68" i="24"/>
  <c r="D68" i="24"/>
  <c r="E67" i="24"/>
  <c r="D67" i="24"/>
  <c r="E66" i="24"/>
  <c r="D66" i="24"/>
  <c r="E65" i="24"/>
  <c r="D65" i="24"/>
  <c r="E64" i="24"/>
  <c r="D64" i="24"/>
  <c r="E63" i="24"/>
  <c r="D63" i="24"/>
  <c r="E62" i="24"/>
  <c r="D62" i="24"/>
  <c r="E61" i="24"/>
  <c r="D61" i="24"/>
  <c r="E60" i="24"/>
  <c r="D60" i="24"/>
  <c r="E59" i="24"/>
  <c r="D59" i="24"/>
  <c r="E58" i="24"/>
  <c r="D58" i="24"/>
  <c r="E57" i="24"/>
  <c r="D57" i="24"/>
  <c r="E56" i="24"/>
  <c r="D56" i="24"/>
  <c r="E55" i="24"/>
  <c r="D55" i="24"/>
  <c r="E54" i="24"/>
  <c r="D54" i="24"/>
  <c r="E53" i="24"/>
  <c r="D53" i="24"/>
  <c r="E52" i="24"/>
  <c r="D52" i="24"/>
  <c r="E51" i="24"/>
  <c r="D51" i="24"/>
  <c r="E50" i="24"/>
  <c r="D50" i="24"/>
  <c r="E4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E2" i="24"/>
  <c r="D2" i="24"/>
  <c r="C792" i="24"/>
  <c r="B792" i="24"/>
  <c r="C791" i="24"/>
  <c r="B791" i="24"/>
  <c r="C790" i="24"/>
  <c r="B790" i="24"/>
  <c r="C789" i="24"/>
  <c r="B789" i="24"/>
  <c r="C788" i="24"/>
  <c r="B788" i="24"/>
  <c r="C787" i="24"/>
  <c r="B787" i="24"/>
  <c r="C786" i="24"/>
  <c r="B786" i="24"/>
  <c r="C785" i="24"/>
  <c r="B785" i="24"/>
  <c r="C784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C729" i="24"/>
  <c r="B729" i="24"/>
  <c r="C728" i="24"/>
  <c r="B728" i="24"/>
  <c r="C727" i="24"/>
  <c r="B727" i="24"/>
  <c r="C726" i="24"/>
  <c r="B726" i="24"/>
  <c r="C725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C717" i="24"/>
  <c r="B717" i="24"/>
  <c r="C716" i="24"/>
  <c r="B716" i="24"/>
  <c r="C715" i="24"/>
  <c r="B715" i="24"/>
  <c r="C714" i="24"/>
  <c r="B714" i="24"/>
  <c r="C713" i="24"/>
  <c r="B713" i="24"/>
  <c r="C712" i="24"/>
  <c r="B712" i="24"/>
  <c r="C711" i="24"/>
  <c r="B711" i="24"/>
  <c r="C710" i="24"/>
  <c r="B710" i="24"/>
  <c r="C709" i="24"/>
  <c r="B709" i="24"/>
  <c r="C708" i="24"/>
  <c r="B708" i="24"/>
  <c r="C707" i="24"/>
  <c r="B707" i="24"/>
  <c r="C706" i="24"/>
  <c r="B706" i="24"/>
  <c r="C705" i="24"/>
  <c r="B705" i="24"/>
  <c r="C704" i="24"/>
  <c r="B704" i="24"/>
  <c r="C703" i="24"/>
  <c r="B703" i="24"/>
  <c r="C702" i="24"/>
  <c r="B702" i="24"/>
  <c r="C701" i="24"/>
  <c r="B701" i="24"/>
  <c r="C700" i="24"/>
  <c r="B700" i="24"/>
  <c r="C699" i="24"/>
  <c r="B699" i="24"/>
  <c r="C698" i="24"/>
  <c r="B698" i="24"/>
  <c r="C697" i="24"/>
  <c r="B697" i="24"/>
  <c r="C696" i="24"/>
  <c r="B696" i="24"/>
  <c r="C695" i="24"/>
  <c r="B695" i="24"/>
  <c r="C694" i="24"/>
  <c r="B694" i="24"/>
  <c r="C693" i="24"/>
  <c r="B693" i="24"/>
  <c r="C692" i="24"/>
  <c r="B692" i="24"/>
  <c r="C691" i="24"/>
  <c r="B691" i="24"/>
  <c r="C690" i="24"/>
  <c r="B690" i="24"/>
  <c r="C689" i="24"/>
  <c r="B689" i="24"/>
  <c r="C688" i="24"/>
  <c r="B688" i="24"/>
  <c r="C687" i="24"/>
  <c r="B687" i="24"/>
  <c r="C686" i="24"/>
  <c r="B686" i="24"/>
  <c r="C685" i="24"/>
  <c r="B685" i="24"/>
  <c r="C684" i="24"/>
  <c r="B684" i="24"/>
  <c r="C683" i="24"/>
  <c r="B683" i="24"/>
  <c r="C682" i="24"/>
  <c r="B682" i="24"/>
  <c r="C681" i="24"/>
  <c r="B681" i="24"/>
  <c r="C680" i="24"/>
  <c r="B680" i="24"/>
  <c r="C679" i="24"/>
  <c r="B679" i="24"/>
  <c r="C678" i="24"/>
  <c r="B678" i="24"/>
  <c r="C677" i="24"/>
  <c r="B677" i="24"/>
  <c r="C676" i="24"/>
  <c r="B676" i="24"/>
  <c r="C675" i="24"/>
  <c r="B675" i="24"/>
  <c r="C674" i="24"/>
  <c r="B674" i="24"/>
  <c r="C673" i="24"/>
  <c r="B673" i="24"/>
  <c r="C672" i="24"/>
  <c r="B672" i="24"/>
  <c r="C671" i="24"/>
  <c r="B671" i="24"/>
  <c r="C670" i="24"/>
  <c r="B670" i="24"/>
  <c r="C669" i="24"/>
  <c r="B669" i="24"/>
  <c r="C668" i="24"/>
  <c r="B668" i="24"/>
  <c r="C667" i="24"/>
  <c r="B667" i="24"/>
  <c r="C666" i="24"/>
  <c r="B666" i="24"/>
  <c r="C665" i="24"/>
  <c r="B665" i="24"/>
  <c r="C664" i="24"/>
  <c r="B664" i="24"/>
  <c r="C663" i="24"/>
  <c r="B663" i="24"/>
  <c r="C662" i="24"/>
  <c r="B662" i="24"/>
  <c r="C661" i="24"/>
  <c r="B661" i="24"/>
  <c r="C660" i="24"/>
  <c r="B660" i="24"/>
  <c r="C659" i="24"/>
  <c r="B659" i="24"/>
  <c r="C658" i="24"/>
  <c r="B658" i="24"/>
  <c r="C657" i="24"/>
  <c r="B657" i="24"/>
  <c r="C656" i="24"/>
  <c r="B656" i="24"/>
  <c r="C655" i="24"/>
  <c r="B655" i="24"/>
  <c r="C654" i="24"/>
  <c r="B654" i="24"/>
  <c r="C653" i="24"/>
  <c r="B653" i="24"/>
  <c r="C652" i="24"/>
  <c r="B652" i="24"/>
  <c r="C651" i="24"/>
  <c r="B651" i="24"/>
  <c r="C650" i="24"/>
  <c r="B650" i="24"/>
  <c r="C649" i="24"/>
  <c r="B649" i="24"/>
  <c r="C648" i="24"/>
  <c r="B648" i="24"/>
  <c r="C647" i="24"/>
  <c r="B647" i="24"/>
  <c r="C646" i="24"/>
  <c r="B646" i="24"/>
  <c r="C645" i="24"/>
  <c r="B645" i="24"/>
  <c r="C644" i="24"/>
  <c r="B644" i="24"/>
  <c r="C643" i="24"/>
  <c r="B643" i="24"/>
  <c r="C642" i="24"/>
  <c r="B642" i="24"/>
  <c r="C641" i="24"/>
  <c r="B641" i="24"/>
  <c r="C640" i="24"/>
  <c r="B640" i="24"/>
  <c r="C639" i="24"/>
  <c r="B639" i="24"/>
  <c r="C638" i="24"/>
  <c r="B638" i="24"/>
  <c r="C637" i="24"/>
  <c r="B637" i="24"/>
  <c r="C636" i="24"/>
  <c r="B636" i="24"/>
  <c r="C635" i="24"/>
  <c r="B635" i="24"/>
  <c r="C634" i="24"/>
  <c r="B634" i="24"/>
  <c r="C633" i="24"/>
  <c r="B633" i="24"/>
  <c r="C632" i="24"/>
  <c r="B632" i="24"/>
  <c r="C631" i="24"/>
  <c r="B631" i="24"/>
  <c r="C630" i="24"/>
  <c r="B630" i="24"/>
  <c r="C629" i="24"/>
  <c r="B629" i="24"/>
  <c r="C628" i="24"/>
  <c r="B628" i="24"/>
  <c r="C627" i="24"/>
  <c r="B627" i="24"/>
  <c r="C626" i="24"/>
  <c r="B626" i="24"/>
  <c r="C625" i="24"/>
  <c r="B625" i="24"/>
  <c r="C624" i="24"/>
  <c r="B624" i="24"/>
  <c r="C623" i="24"/>
  <c r="B623" i="24"/>
  <c r="C622" i="24"/>
  <c r="B622" i="24"/>
  <c r="C621" i="24"/>
  <c r="B621" i="24"/>
  <c r="C620" i="24"/>
  <c r="B620" i="24"/>
  <c r="C619" i="24"/>
  <c r="B619" i="24"/>
  <c r="C618" i="24"/>
  <c r="B618" i="24"/>
  <c r="C617" i="24"/>
  <c r="B617" i="24"/>
  <c r="C616" i="24"/>
  <c r="B616" i="24"/>
  <c r="C615" i="24"/>
  <c r="B615" i="24"/>
  <c r="C614" i="24"/>
  <c r="B614" i="24"/>
  <c r="C613" i="24"/>
  <c r="B613" i="24"/>
  <c r="C612" i="24"/>
  <c r="B612" i="24"/>
  <c r="C611" i="24"/>
  <c r="B611" i="24"/>
  <c r="C610" i="24"/>
  <c r="B610" i="24"/>
  <c r="C609" i="24"/>
  <c r="B609" i="24"/>
  <c r="C608" i="24"/>
  <c r="B608" i="24"/>
  <c r="C607" i="24"/>
  <c r="B607" i="24"/>
  <c r="C606" i="24"/>
  <c r="B606" i="24"/>
  <c r="C605" i="24"/>
  <c r="B605" i="24"/>
  <c r="C604" i="24"/>
  <c r="B604" i="24"/>
  <c r="C603" i="24"/>
  <c r="B603" i="24"/>
  <c r="C602" i="24"/>
  <c r="B602" i="24"/>
  <c r="C601" i="24"/>
  <c r="B601" i="24"/>
  <c r="C600" i="24"/>
  <c r="B600" i="24"/>
  <c r="C599" i="24"/>
  <c r="B599" i="24"/>
  <c r="C598" i="24"/>
  <c r="B598" i="24"/>
  <c r="C597" i="24"/>
  <c r="B597" i="24"/>
  <c r="C596" i="24"/>
  <c r="B596" i="24"/>
  <c r="C595" i="24"/>
  <c r="B595" i="24"/>
  <c r="C594" i="24"/>
  <c r="B594" i="24"/>
  <c r="C593" i="24"/>
  <c r="B593" i="24"/>
  <c r="C592" i="24"/>
  <c r="B592" i="24"/>
  <c r="C591" i="24"/>
  <c r="B591" i="24"/>
  <c r="C590" i="24"/>
  <c r="B590" i="24"/>
  <c r="C589" i="24"/>
  <c r="B589" i="24"/>
  <c r="C588" i="24"/>
  <c r="B588" i="24"/>
  <c r="C587" i="24"/>
  <c r="B587" i="24"/>
  <c r="C586" i="24"/>
  <c r="B586" i="24"/>
  <c r="C585" i="24"/>
  <c r="B585" i="24"/>
  <c r="C584" i="24"/>
  <c r="B584" i="24"/>
  <c r="C583" i="24"/>
  <c r="B583" i="24"/>
  <c r="C582" i="24"/>
  <c r="B582" i="24"/>
  <c r="C581" i="24"/>
  <c r="B581" i="24"/>
  <c r="C580" i="24"/>
  <c r="B580" i="24"/>
  <c r="C579" i="24"/>
  <c r="B579" i="24"/>
  <c r="C578" i="24"/>
  <c r="B578" i="24"/>
  <c r="C577" i="24"/>
  <c r="B577" i="24"/>
  <c r="C576" i="24"/>
  <c r="B576" i="24"/>
  <c r="C575" i="24"/>
  <c r="B575" i="24"/>
  <c r="C574" i="24"/>
  <c r="B574" i="24"/>
  <c r="C573" i="24"/>
  <c r="B573" i="24"/>
  <c r="C572" i="24"/>
  <c r="B572" i="24"/>
  <c r="C571" i="24"/>
  <c r="B571" i="24"/>
  <c r="C570" i="24"/>
  <c r="B570" i="24"/>
  <c r="C569" i="24"/>
  <c r="B569" i="24"/>
  <c r="C568" i="24"/>
  <c r="B568" i="24"/>
  <c r="C567" i="24"/>
  <c r="B567" i="24"/>
  <c r="C566" i="24"/>
  <c r="B566" i="24"/>
  <c r="C565" i="24"/>
  <c r="B565" i="24"/>
  <c r="C564" i="24"/>
  <c r="B564" i="24"/>
  <c r="C563" i="24"/>
  <c r="B563" i="24"/>
  <c r="C562" i="24"/>
  <c r="B562" i="24"/>
  <c r="C561" i="24"/>
  <c r="B561" i="24"/>
  <c r="C560" i="24"/>
  <c r="B560" i="24"/>
  <c r="C559" i="24"/>
  <c r="B559" i="24"/>
  <c r="C558" i="24"/>
  <c r="B558" i="24"/>
  <c r="C557" i="24"/>
  <c r="B557" i="24"/>
  <c r="C556" i="24"/>
  <c r="B556" i="24"/>
  <c r="C555" i="24"/>
  <c r="B555" i="24"/>
  <c r="C554" i="24"/>
  <c r="B554" i="24"/>
  <c r="C553" i="24"/>
  <c r="B553" i="24"/>
  <c r="C552" i="24"/>
  <c r="B552" i="24"/>
  <c r="C551" i="24"/>
  <c r="B551" i="24"/>
  <c r="C550" i="24"/>
  <c r="B550" i="24"/>
  <c r="C549" i="24"/>
  <c r="B549" i="24"/>
  <c r="C548" i="24"/>
  <c r="B548" i="24"/>
  <c r="C547" i="24"/>
  <c r="B547" i="24"/>
  <c r="C546" i="24"/>
  <c r="B546" i="24"/>
  <c r="C545" i="24"/>
  <c r="B545" i="24"/>
  <c r="C544" i="24"/>
  <c r="B544" i="24"/>
  <c r="C543" i="24"/>
  <c r="B543" i="24"/>
  <c r="C542" i="24"/>
  <c r="B542" i="24"/>
  <c r="C541" i="24"/>
  <c r="B541" i="24"/>
  <c r="C540" i="24"/>
  <c r="B540" i="24"/>
  <c r="C539" i="24"/>
  <c r="B539" i="24"/>
  <c r="C538" i="24"/>
  <c r="B538" i="24"/>
  <c r="C537" i="24"/>
  <c r="B537" i="24"/>
  <c r="C536" i="24"/>
  <c r="B536" i="24"/>
  <c r="C535" i="24"/>
  <c r="B535" i="24"/>
  <c r="C534" i="24"/>
  <c r="B534" i="24"/>
  <c r="C533" i="24"/>
  <c r="B533" i="24"/>
  <c r="C532" i="24"/>
  <c r="B532" i="24"/>
  <c r="C531" i="24"/>
  <c r="B531" i="24"/>
  <c r="C530" i="24"/>
  <c r="B530" i="24"/>
  <c r="C529" i="24"/>
  <c r="B529" i="24"/>
  <c r="C528" i="24"/>
  <c r="B528" i="24"/>
  <c r="C527" i="24"/>
  <c r="B527" i="24"/>
  <c r="C526" i="24"/>
  <c r="B526" i="24"/>
  <c r="C525" i="24"/>
  <c r="B525" i="24"/>
  <c r="C524" i="24"/>
  <c r="B524" i="24"/>
  <c r="C523" i="24"/>
  <c r="B523" i="24"/>
  <c r="C522" i="24"/>
  <c r="B522" i="24"/>
  <c r="C521" i="24"/>
  <c r="B521" i="24"/>
  <c r="C520" i="24"/>
  <c r="B520" i="24"/>
  <c r="C519" i="24"/>
  <c r="B519" i="24"/>
  <c r="C518" i="24"/>
  <c r="B518" i="24"/>
  <c r="C517" i="24"/>
  <c r="B517" i="24"/>
  <c r="C516" i="24"/>
  <c r="B516" i="24"/>
  <c r="C515" i="24"/>
  <c r="B515" i="24"/>
  <c r="C514" i="24"/>
  <c r="B514" i="24"/>
  <c r="C513" i="24"/>
  <c r="B513" i="24"/>
  <c r="C512" i="24"/>
  <c r="B512" i="24"/>
  <c r="C511" i="24"/>
  <c r="B511" i="24"/>
  <c r="C510" i="24"/>
  <c r="B510" i="24"/>
  <c r="C509" i="24"/>
  <c r="B509" i="24"/>
  <c r="C508" i="24"/>
  <c r="B508" i="24"/>
  <c r="C507" i="24"/>
  <c r="B507" i="24"/>
  <c r="C506" i="24"/>
  <c r="B506" i="24"/>
  <c r="C505" i="24"/>
  <c r="B505" i="24"/>
  <c r="C504" i="24"/>
  <c r="B504" i="24"/>
  <c r="C503" i="24"/>
  <c r="B503" i="24"/>
  <c r="C502" i="24"/>
  <c r="B502" i="24"/>
  <c r="C501" i="24"/>
  <c r="B501" i="24"/>
  <c r="C500" i="24"/>
  <c r="B500" i="24"/>
  <c r="C499" i="24"/>
  <c r="B499" i="24"/>
  <c r="C498" i="24"/>
  <c r="B498" i="24"/>
  <c r="C497" i="24"/>
  <c r="B497" i="24"/>
  <c r="C496" i="24"/>
  <c r="B496" i="24"/>
  <c r="C495" i="24"/>
  <c r="B495" i="24"/>
  <c r="C494" i="24"/>
  <c r="B494" i="24"/>
  <c r="C493" i="24"/>
  <c r="B493" i="24"/>
  <c r="C492" i="24"/>
  <c r="B492" i="24"/>
  <c r="C491" i="24"/>
  <c r="B491" i="24"/>
  <c r="C490" i="24"/>
  <c r="B490" i="24"/>
  <c r="C489" i="24"/>
  <c r="B489" i="24"/>
  <c r="C488" i="24"/>
  <c r="B488" i="24"/>
  <c r="C487" i="24"/>
  <c r="B487" i="24"/>
  <c r="C486" i="24"/>
  <c r="B486" i="24"/>
  <c r="C485" i="24"/>
  <c r="B485" i="24"/>
  <c r="C484" i="24"/>
  <c r="B484" i="24"/>
  <c r="C483" i="24"/>
  <c r="B483" i="24"/>
  <c r="C482" i="24"/>
  <c r="B482" i="24"/>
  <c r="C481" i="24"/>
  <c r="B481" i="24"/>
  <c r="C480" i="24"/>
  <c r="B480" i="24"/>
  <c r="C479" i="24"/>
  <c r="B479" i="24"/>
  <c r="C478" i="24"/>
  <c r="B478" i="24"/>
  <c r="C477" i="24"/>
  <c r="B477" i="24"/>
  <c r="C476" i="24"/>
  <c r="B476" i="24"/>
  <c r="C475" i="24"/>
  <c r="B475" i="24"/>
  <c r="C474" i="24"/>
  <c r="B474" i="24"/>
  <c r="C473" i="24"/>
  <c r="B473" i="24"/>
  <c r="C472" i="24"/>
  <c r="B472" i="24"/>
  <c r="C471" i="24"/>
  <c r="B471" i="24"/>
  <c r="C470" i="24"/>
  <c r="B470" i="24"/>
  <c r="C469" i="24"/>
  <c r="B469" i="24"/>
  <c r="C468" i="24"/>
  <c r="B468" i="24"/>
  <c r="C467" i="24"/>
  <c r="B467" i="24"/>
  <c r="C466" i="24"/>
  <c r="B466" i="24"/>
  <c r="C465" i="24"/>
  <c r="B465" i="24"/>
  <c r="C464" i="24"/>
  <c r="B464" i="24"/>
  <c r="C463" i="24"/>
  <c r="B463" i="24"/>
  <c r="C462" i="24"/>
  <c r="B462" i="24"/>
  <c r="C461" i="24"/>
  <c r="B461" i="24"/>
  <c r="C460" i="24"/>
  <c r="B460" i="24"/>
  <c r="C459" i="24"/>
  <c r="B459" i="24"/>
  <c r="C458" i="24"/>
  <c r="B458" i="24"/>
  <c r="C457" i="24"/>
  <c r="B457" i="24"/>
  <c r="C456" i="24"/>
  <c r="B456" i="24"/>
  <c r="C455" i="24"/>
  <c r="B455" i="24"/>
  <c r="C454" i="24"/>
  <c r="B454" i="24"/>
  <c r="C453" i="24"/>
  <c r="B453" i="24"/>
  <c r="C452" i="24"/>
  <c r="B452" i="24"/>
  <c r="C451" i="24"/>
  <c r="B451" i="24"/>
  <c r="C450" i="24"/>
  <c r="B450" i="24"/>
  <c r="C449" i="24"/>
  <c r="B449" i="24"/>
  <c r="C448" i="24"/>
  <c r="B448" i="24"/>
  <c r="C447" i="24"/>
  <c r="B447" i="24"/>
  <c r="C446" i="24"/>
  <c r="B446" i="24"/>
  <c r="C445" i="24"/>
  <c r="B445" i="24"/>
  <c r="C444" i="24"/>
  <c r="B444" i="24"/>
  <c r="C443" i="24"/>
  <c r="B443" i="24"/>
  <c r="C442" i="24"/>
  <c r="B442" i="24"/>
  <c r="C441" i="24"/>
  <c r="B441" i="24"/>
  <c r="C440" i="24"/>
  <c r="B440" i="24"/>
  <c r="C439" i="24"/>
  <c r="B439" i="24"/>
  <c r="C438" i="24"/>
  <c r="B438" i="24"/>
  <c r="C437" i="24"/>
  <c r="B437" i="24"/>
  <c r="C436" i="24"/>
  <c r="B436" i="24"/>
  <c r="C435" i="24"/>
  <c r="B435" i="24"/>
  <c r="C434" i="24"/>
  <c r="B434" i="24"/>
  <c r="C433" i="24"/>
  <c r="B433" i="24"/>
  <c r="C432" i="24"/>
  <c r="B432" i="24"/>
  <c r="C431" i="24"/>
  <c r="B431" i="24"/>
  <c r="C430" i="24"/>
  <c r="B430" i="24"/>
  <c r="C429" i="24"/>
  <c r="B429" i="24"/>
  <c r="C428" i="24"/>
  <c r="B428" i="24"/>
  <c r="C427" i="24"/>
  <c r="B427" i="24"/>
  <c r="C426" i="24"/>
  <c r="B426" i="24"/>
  <c r="C425" i="24"/>
  <c r="B425" i="24"/>
  <c r="C424" i="24"/>
  <c r="B424" i="24"/>
  <c r="C423" i="24"/>
  <c r="B423" i="24"/>
  <c r="C422" i="24"/>
  <c r="B422" i="24"/>
  <c r="C421" i="24"/>
  <c r="B421" i="24"/>
  <c r="C420" i="24"/>
  <c r="B420" i="24"/>
  <c r="C419" i="24"/>
  <c r="B419" i="24"/>
  <c r="C418" i="24"/>
  <c r="B418" i="24"/>
  <c r="C417" i="24"/>
  <c r="B417" i="24"/>
  <c r="C416" i="24"/>
  <c r="B416" i="24"/>
  <c r="C415" i="24"/>
  <c r="B415" i="24"/>
  <c r="C414" i="24"/>
  <c r="B414" i="24"/>
  <c r="C413" i="24"/>
  <c r="B413" i="24"/>
  <c r="C412" i="24"/>
  <c r="B412" i="24"/>
  <c r="C411" i="24"/>
  <c r="B411" i="24"/>
  <c r="C410" i="24"/>
  <c r="B410" i="24"/>
  <c r="C409" i="24"/>
  <c r="B409" i="24"/>
  <c r="C408" i="24"/>
  <c r="B408" i="24"/>
  <c r="C407" i="24"/>
  <c r="B407" i="24"/>
  <c r="C406" i="24"/>
  <c r="B406" i="24"/>
  <c r="C405" i="24"/>
  <c r="B405" i="24"/>
  <c r="C404" i="24"/>
  <c r="B404" i="24"/>
  <c r="C403" i="24"/>
  <c r="B403" i="24"/>
  <c r="C402" i="24"/>
  <c r="B402" i="24"/>
  <c r="C401" i="24"/>
  <c r="B401" i="24"/>
  <c r="C400" i="24"/>
  <c r="B400" i="24"/>
  <c r="C399" i="24"/>
  <c r="B399" i="24"/>
  <c r="C398" i="24"/>
  <c r="B398" i="24"/>
  <c r="C397" i="24"/>
  <c r="B397" i="24"/>
  <c r="C396" i="24"/>
  <c r="B396" i="24"/>
  <c r="C395" i="24"/>
  <c r="B395" i="24"/>
  <c r="C394" i="24"/>
  <c r="B394" i="24"/>
  <c r="C393" i="24"/>
  <c r="B393" i="24"/>
  <c r="C392" i="24"/>
  <c r="B392" i="24"/>
  <c r="C391" i="24"/>
  <c r="B391" i="24"/>
  <c r="C390" i="24"/>
  <c r="B390" i="24"/>
  <c r="C389" i="24"/>
  <c r="B389" i="24"/>
  <c r="C388" i="24"/>
  <c r="B388" i="24"/>
  <c r="C387" i="24"/>
  <c r="B387" i="24"/>
  <c r="C386" i="24"/>
  <c r="B386" i="24"/>
  <c r="C385" i="24"/>
  <c r="B385" i="24"/>
  <c r="C384" i="24"/>
  <c r="B384" i="24"/>
  <c r="C383" i="24"/>
  <c r="B383" i="24"/>
  <c r="C382" i="24"/>
  <c r="B382" i="24"/>
  <c r="C381" i="24"/>
  <c r="B381" i="24"/>
  <c r="C380" i="24"/>
  <c r="B380" i="24"/>
  <c r="C379" i="24"/>
  <c r="B379" i="24"/>
  <c r="C378" i="24"/>
  <c r="B378" i="24"/>
  <c r="C377" i="24"/>
  <c r="B377" i="24"/>
  <c r="C376" i="24"/>
  <c r="B376" i="24"/>
  <c r="C375" i="24"/>
  <c r="B375" i="24"/>
  <c r="C374" i="24"/>
  <c r="B374" i="24"/>
  <c r="C373" i="24"/>
  <c r="B373" i="24"/>
  <c r="C372" i="24"/>
  <c r="B372" i="24"/>
  <c r="C371" i="24"/>
  <c r="B371" i="24"/>
  <c r="C370" i="24"/>
  <c r="B370" i="24"/>
  <c r="C369" i="24"/>
  <c r="B369" i="24"/>
  <c r="C368" i="24"/>
  <c r="B368" i="24"/>
  <c r="C367" i="24"/>
  <c r="B367" i="24"/>
  <c r="C366" i="24"/>
  <c r="B366" i="24"/>
  <c r="C365" i="24"/>
  <c r="B365" i="24"/>
  <c r="C364" i="24"/>
  <c r="B364" i="24"/>
  <c r="C363" i="24"/>
  <c r="B363" i="24"/>
  <c r="C362" i="24"/>
  <c r="B362" i="24"/>
  <c r="C361" i="24"/>
  <c r="B361" i="24"/>
  <c r="C360" i="24"/>
  <c r="B360" i="24"/>
  <c r="C359" i="24"/>
  <c r="B359" i="24"/>
  <c r="C358" i="24"/>
  <c r="B358" i="24"/>
  <c r="C357" i="24"/>
  <c r="B357" i="24"/>
  <c r="C356" i="24"/>
  <c r="B356" i="24"/>
  <c r="C355" i="24"/>
  <c r="B355" i="24"/>
  <c r="C354" i="24"/>
  <c r="B354" i="24"/>
  <c r="C353" i="24"/>
  <c r="B353" i="24"/>
  <c r="C352" i="24"/>
  <c r="B352" i="24"/>
  <c r="C351" i="24"/>
  <c r="B351" i="24"/>
  <c r="C350" i="24"/>
  <c r="B350" i="24"/>
  <c r="C349" i="24"/>
  <c r="B349" i="24"/>
  <c r="C348" i="24"/>
  <c r="B348" i="24"/>
  <c r="C347" i="24"/>
  <c r="B347" i="24"/>
  <c r="C346" i="24"/>
  <c r="B346" i="24"/>
  <c r="C345" i="24"/>
  <c r="B345" i="24"/>
  <c r="C344" i="24"/>
  <c r="B344" i="24"/>
  <c r="C343" i="24"/>
  <c r="B343" i="24"/>
  <c r="C342" i="24"/>
  <c r="B342" i="24"/>
  <c r="C341" i="24"/>
  <c r="B341" i="24"/>
  <c r="C340" i="24"/>
  <c r="B340" i="24"/>
  <c r="C339" i="24"/>
  <c r="B339" i="24"/>
  <c r="C338" i="24"/>
  <c r="B338" i="24"/>
  <c r="C337" i="24"/>
  <c r="B337" i="24"/>
  <c r="C336" i="24"/>
  <c r="B336" i="24"/>
  <c r="C335" i="24"/>
  <c r="B335" i="24"/>
  <c r="C334" i="24"/>
  <c r="B334" i="24"/>
  <c r="C333" i="24"/>
  <c r="B333" i="24"/>
  <c r="C332" i="24"/>
  <c r="B332" i="24"/>
  <c r="C331" i="24"/>
  <c r="B331" i="24"/>
  <c r="C330" i="24"/>
  <c r="B330" i="24"/>
  <c r="C329" i="24"/>
  <c r="B329" i="24"/>
  <c r="C328" i="24"/>
  <c r="B328" i="24"/>
  <c r="C327" i="24"/>
  <c r="B327" i="24"/>
  <c r="C326" i="24"/>
  <c r="B326" i="24"/>
  <c r="C325" i="24"/>
  <c r="B325" i="24"/>
  <c r="C324" i="24"/>
  <c r="B324" i="24"/>
  <c r="C323" i="24"/>
  <c r="B323" i="24"/>
  <c r="C322" i="24"/>
  <c r="B322" i="24"/>
  <c r="C321" i="24"/>
  <c r="B321" i="24"/>
  <c r="C320" i="24"/>
  <c r="B320" i="24"/>
  <c r="C319" i="24"/>
  <c r="B319" i="24"/>
  <c r="C318" i="24"/>
  <c r="B318" i="24"/>
  <c r="C317" i="24"/>
  <c r="B317" i="24"/>
  <c r="C316" i="24"/>
  <c r="B316" i="24"/>
  <c r="C315" i="24"/>
  <c r="B315" i="24"/>
  <c r="C314" i="24"/>
  <c r="B314" i="24"/>
  <c r="C313" i="24"/>
  <c r="B313" i="24"/>
  <c r="C312" i="24"/>
  <c r="B312" i="24"/>
  <c r="C311" i="24"/>
  <c r="B311" i="24"/>
  <c r="C310" i="24"/>
  <c r="B310" i="24"/>
  <c r="C309" i="24"/>
  <c r="B309" i="24"/>
  <c r="C308" i="24"/>
  <c r="B308" i="24"/>
  <c r="C307" i="24"/>
  <c r="B307" i="24"/>
  <c r="C306" i="24"/>
  <c r="B306" i="24"/>
  <c r="C305" i="24"/>
  <c r="B305" i="24"/>
  <c r="C304" i="24"/>
  <c r="B304" i="24"/>
  <c r="C303" i="24"/>
  <c r="B303" i="24"/>
  <c r="C302" i="24"/>
  <c r="B302" i="24"/>
  <c r="C301" i="24"/>
  <c r="B301" i="24"/>
  <c r="C300" i="24"/>
  <c r="B300" i="24"/>
  <c r="C299" i="24"/>
  <c r="B299" i="24"/>
  <c r="C298" i="24"/>
  <c r="B298" i="24"/>
  <c r="C297" i="24"/>
  <c r="B297" i="24"/>
  <c r="C296" i="24"/>
  <c r="B296" i="24"/>
  <c r="C295" i="24"/>
  <c r="B295" i="24"/>
  <c r="C294" i="24"/>
  <c r="B294" i="24"/>
  <c r="C293" i="24"/>
  <c r="B293" i="24"/>
  <c r="C292" i="24"/>
  <c r="B292" i="24"/>
  <c r="C291" i="24"/>
  <c r="B291" i="24"/>
  <c r="C290" i="24"/>
  <c r="B290" i="24"/>
  <c r="C289" i="24"/>
  <c r="B289" i="24"/>
  <c r="C288" i="24"/>
  <c r="B288" i="24"/>
  <c r="C287" i="24"/>
  <c r="B287" i="24"/>
  <c r="C286" i="24"/>
  <c r="B286" i="24"/>
  <c r="C285" i="24"/>
  <c r="B285" i="24"/>
  <c r="C284" i="24"/>
  <c r="B284" i="24"/>
  <c r="C283" i="24"/>
  <c r="B283" i="24"/>
  <c r="C282" i="24"/>
  <c r="B282" i="24"/>
  <c r="C281" i="24"/>
  <c r="B281" i="24"/>
  <c r="C280" i="24"/>
  <c r="B280" i="24"/>
  <c r="C279" i="24"/>
  <c r="B279" i="24"/>
  <c r="C278" i="24"/>
  <c r="B278" i="24"/>
  <c r="C277" i="24"/>
  <c r="B277" i="24"/>
  <c r="C276" i="24"/>
  <c r="B276" i="24"/>
  <c r="C275" i="24"/>
  <c r="B275" i="24"/>
  <c r="C274" i="24"/>
  <c r="B274" i="24"/>
  <c r="C273" i="24"/>
  <c r="B273" i="24"/>
  <c r="C272" i="24"/>
  <c r="B272" i="24"/>
  <c r="C271" i="24"/>
  <c r="B271" i="24"/>
  <c r="C270" i="24"/>
  <c r="B270" i="24"/>
  <c r="C269" i="24"/>
  <c r="B269" i="24"/>
  <c r="C268" i="24"/>
  <c r="B268" i="24"/>
  <c r="C267" i="24"/>
  <c r="B267" i="24"/>
  <c r="C266" i="24"/>
  <c r="B266" i="24"/>
  <c r="C265" i="24"/>
  <c r="B265" i="24"/>
  <c r="C264" i="24"/>
  <c r="B264" i="24"/>
  <c r="C263" i="24"/>
  <c r="B263" i="24"/>
  <c r="C262" i="24"/>
  <c r="B262" i="24"/>
  <c r="C261" i="24"/>
  <c r="B261" i="24"/>
  <c r="C260" i="24"/>
  <c r="B260" i="24"/>
  <c r="C259" i="24"/>
  <c r="B259" i="24"/>
  <c r="C258" i="24"/>
  <c r="B258" i="24"/>
  <c r="C257" i="24"/>
  <c r="B257" i="24"/>
  <c r="C256" i="24"/>
  <c r="B256" i="24"/>
  <c r="C255" i="24"/>
  <c r="B255" i="24"/>
  <c r="C254" i="24"/>
  <c r="B254" i="24"/>
  <c r="C253" i="24"/>
  <c r="B253" i="24"/>
  <c r="C252" i="24"/>
  <c r="B252" i="24"/>
  <c r="C251" i="24"/>
  <c r="B251" i="24"/>
  <c r="C250" i="24"/>
  <c r="B250" i="24"/>
  <c r="C249" i="24"/>
  <c r="B249" i="24"/>
  <c r="C248" i="24"/>
  <c r="B248" i="24"/>
  <c r="C247" i="24"/>
  <c r="B247" i="24"/>
  <c r="C246" i="24"/>
  <c r="B246" i="24"/>
  <c r="C245" i="24"/>
  <c r="B245" i="24"/>
  <c r="C244" i="24"/>
  <c r="B244" i="24"/>
  <c r="C243" i="24"/>
  <c r="B243" i="24"/>
  <c r="C242" i="24"/>
  <c r="B242" i="24"/>
  <c r="C241" i="24"/>
  <c r="B241" i="24"/>
  <c r="C240" i="24"/>
  <c r="B240" i="24"/>
  <c r="C239" i="24"/>
  <c r="B239" i="24"/>
  <c r="C238" i="24"/>
  <c r="B238" i="24"/>
  <c r="C237" i="24"/>
  <c r="B237" i="24"/>
  <c r="C236" i="24"/>
  <c r="B236" i="24"/>
  <c r="C235" i="24"/>
  <c r="B235" i="24"/>
  <c r="C234" i="24"/>
  <c r="B234" i="24"/>
  <c r="C233" i="24"/>
  <c r="B233" i="24"/>
  <c r="C232" i="24"/>
  <c r="B232" i="24"/>
  <c r="C231" i="24"/>
  <c r="B231" i="24"/>
  <c r="C230" i="24"/>
  <c r="B230" i="24"/>
  <c r="C229" i="24"/>
  <c r="B229" i="24"/>
  <c r="C228" i="24"/>
  <c r="B228" i="24"/>
  <c r="C227" i="24"/>
  <c r="B227" i="24"/>
  <c r="C226" i="24"/>
  <c r="B226" i="24"/>
  <c r="C225" i="24"/>
  <c r="B225" i="24"/>
  <c r="C224" i="24"/>
  <c r="B224" i="24"/>
  <c r="C223" i="24"/>
  <c r="B223" i="24"/>
  <c r="C222" i="24"/>
  <c r="B222" i="24"/>
  <c r="C221" i="24"/>
  <c r="B221" i="24"/>
  <c r="C220" i="24"/>
  <c r="B220" i="24"/>
  <c r="C219" i="24"/>
  <c r="B219" i="24"/>
  <c r="C218" i="24"/>
  <c r="B218" i="24"/>
  <c r="C217" i="24"/>
  <c r="B217" i="24"/>
  <c r="C216" i="24"/>
  <c r="B216" i="24"/>
  <c r="C215" i="24"/>
  <c r="B215" i="24"/>
  <c r="C214" i="24"/>
  <c r="B214" i="24"/>
  <c r="C213" i="24"/>
  <c r="B213" i="24"/>
  <c r="C212" i="24"/>
  <c r="B212" i="24"/>
  <c r="C211" i="24"/>
  <c r="B211" i="24"/>
  <c r="C210" i="24"/>
  <c r="B210" i="24"/>
  <c r="C209" i="24"/>
  <c r="B209" i="24"/>
  <c r="C208" i="24"/>
  <c r="B208" i="24"/>
  <c r="C207" i="24"/>
  <c r="B207" i="24"/>
  <c r="C206" i="24"/>
  <c r="B206" i="24"/>
  <c r="C205" i="24"/>
  <c r="B205" i="24"/>
  <c r="C204" i="24"/>
  <c r="B204" i="24"/>
  <c r="C203" i="24"/>
  <c r="B203" i="24"/>
  <c r="C202" i="24"/>
  <c r="B202" i="24"/>
  <c r="C201" i="24"/>
  <c r="B201" i="24"/>
  <c r="C200" i="24"/>
  <c r="B200" i="24"/>
  <c r="C199" i="24"/>
  <c r="B199" i="24"/>
  <c r="C198" i="24"/>
  <c r="B198" i="24"/>
  <c r="C197" i="24"/>
  <c r="B197" i="24"/>
  <c r="C196" i="24"/>
  <c r="B196" i="24"/>
  <c r="C195" i="24"/>
  <c r="B195" i="24"/>
  <c r="C194" i="24"/>
  <c r="B194" i="24"/>
  <c r="C193" i="24"/>
  <c r="B193" i="24"/>
  <c r="C192" i="24"/>
  <c r="B192" i="24"/>
  <c r="C191" i="24"/>
  <c r="B191" i="24"/>
  <c r="C190" i="24"/>
  <c r="B190" i="24"/>
  <c r="C189" i="24"/>
  <c r="B189" i="24"/>
  <c r="C188" i="24"/>
  <c r="B188" i="24"/>
  <c r="C187" i="24"/>
  <c r="B187" i="24"/>
  <c r="C186" i="24"/>
  <c r="B186" i="24"/>
  <c r="C185" i="24"/>
  <c r="B185" i="24"/>
  <c r="C184" i="24"/>
  <c r="B184" i="24"/>
  <c r="C183" i="24"/>
  <c r="B183" i="24"/>
  <c r="C182" i="24"/>
  <c r="B182" i="24"/>
  <c r="C181" i="24"/>
  <c r="B181" i="24"/>
  <c r="C180" i="24"/>
  <c r="B180" i="24"/>
  <c r="C179" i="24"/>
  <c r="B179" i="24"/>
  <c r="C178" i="24"/>
  <c r="B178" i="24"/>
  <c r="C177" i="24"/>
  <c r="B177" i="24"/>
  <c r="C176" i="24"/>
  <c r="B176" i="24"/>
  <c r="C175" i="24"/>
  <c r="B175" i="24"/>
  <c r="C174" i="24"/>
  <c r="B174" i="24"/>
  <c r="C173" i="24"/>
  <c r="B173" i="24"/>
  <c r="C172" i="24"/>
  <c r="B172" i="24"/>
  <c r="C171" i="24"/>
  <c r="B171" i="24"/>
  <c r="C170" i="24"/>
  <c r="B170" i="24"/>
  <c r="C169" i="24"/>
  <c r="B169" i="24"/>
  <c r="C168" i="24"/>
  <c r="B168" i="24"/>
  <c r="C167" i="24"/>
  <c r="B167" i="24"/>
  <c r="C166" i="24"/>
  <c r="B166" i="24"/>
  <c r="C165" i="24"/>
  <c r="B165" i="24"/>
  <c r="C164" i="24"/>
  <c r="B164" i="24"/>
  <c r="C163" i="24"/>
  <c r="B163" i="24"/>
  <c r="C162" i="24"/>
  <c r="B162" i="24"/>
  <c r="C161" i="24"/>
  <c r="B161" i="24"/>
  <c r="C160" i="24"/>
  <c r="B160" i="24"/>
  <c r="C159" i="24"/>
  <c r="B159" i="24"/>
  <c r="C158" i="24"/>
  <c r="B158" i="24"/>
  <c r="C157" i="24"/>
  <c r="B157" i="24"/>
  <c r="C156" i="24"/>
  <c r="B156" i="24"/>
  <c r="C155" i="24"/>
  <c r="B155" i="24"/>
  <c r="C154" i="24"/>
  <c r="B154" i="24"/>
  <c r="C153" i="24"/>
  <c r="B153" i="24"/>
  <c r="C152" i="24"/>
  <c r="B152" i="24"/>
  <c r="C151" i="24"/>
  <c r="B151" i="24"/>
  <c r="C150" i="24"/>
  <c r="B150" i="24"/>
  <c r="C149" i="24"/>
  <c r="B149" i="24"/>
  <c r="C148" i="24"/>
  <c r="B148" i="24"/>
  <c r="C147" i="24"/>
  <c r="B147" i="24"/>
  <c r="C146" i="24"/>
  <c r="B146" i="24"/>
  <c r="C145" i="24"/>
  <c r="B145" i="24"/>
  <c r="C144" i="24"/>
  <c r="B144" i="24"/>
  <c r="C143" i="24"/>
  <c r="B143" i="24"/>
  <c r="C142" i="24"/>
  <c r="B142" i="24"/>
  <c r="C141" i="24"/>
  <c r="B141" i="24"/>
  <c r="C140" i="24"/>
  <c r="B140" i="24"/>
  <c r="C139" i="24"/>
  <c r="B139" i="24"/>
  <c r="C138" i="24"/>
  <c r="B138" i="24"/>
  <c r="C137" i="24"/>
  <c r="B137" i="24"/>
  <c r="C136" i="24"/>
  <c r="B136" i="24"/>
  <c r="C135" i="24"/>
  <c r="B135" i="24"/>
  <c r="C134" i="24"/>
  <c r="B134" i="24"/>
  <c r="C133" i="24"/>
  <c r="B133" i="24"/>
  <c r="C132" i="24"/>
  <c r="B132" i="24"/>
  <c r="C131" i="24"/>
  <c r="B131" i="24"/>
  <c r="C130" i="24"/>
  <c r="B130" i="24"/>
  <c r="C129" i="24"/>
  <c r="B129" i="24"/>
  <c r="C128" i="24"/>
  <c r="B128" i="24"/>
  <c r="C127" i="24"/>
  <c r="B127" i="24"/>
  <c r="C126" i="24"/>
  <c r="B126" i="24"/>
  <c r="C125" i="24"/>
  <c r="B125" i="24"/>
  <c r="C124" i="24"/>
  <c r="B124" i="24"/>
  <c r="C123" i="24"/>
  <c r="B123" i="24"/>
  <c r="C122" i="24"/>
  <c r="B122" i="24"/>
  <c r="C121" i="24"/>
  <c r="B121" i="24"/>
  <c r="C120" i="24"/>
  <c r="B120" i="24"/>
  <c r="C119" i="24"/>
  <c r="B119" i="24"/>
  <c r="C118" i="24"/>
  <c r="B118" i="24"/>
  <c r="C117" i="24"/>
  <c r="B117" i="24"/>
  <c r="C116" i="24"/>
  <c r="B116" i="24"/>
  <c r="C115" i="24"/>
  <c r="B115" i="24"/>
  <c r="C114" i="24"/>
  <c r="B114" i="24"/>
  <c r="C113" i="24"/>
  <c r="B113" i="24"/>
  <c r="C112" i="24"/>
  <c r="B112" i="24"/>
  <c r="C111" i="24"/>
  <c r="B111" i="24"/>
  <c r="C110" i="24"/>
  <c r="B110" i="24"/>
  <c r="C109" i="24"/>
  <c r="B109" i="24"/>
  <c r="C108" i="24"/>
  <c r="B108" i="24"/>
  <c r="C107" i="24"/>
  <c r="B107" i="24"/>
  <c r="C106" i="24"/>
  <c r="B106" i="24"/>
  <c r="C105" i="24"/>
  <c r="B105" i="24"/>
  <c r="C104" i="24"/>
  <c r="B104" i="24"/>
  <c r="C103" i="24"/>
  <c r="B103" i="24"/>
  <c r="C102" i="24"/>
  <c r="B102" i="24"/>
  <c r="C101" i="24"/>
  <c r="B101" i="24"/>
  <c r="C100" i="24"/>
  <c r="B100" i="24"/>
  <c r="C99" i="24"/>
  <c r="B99" i="24"/>
  <c r="C98" i="24"/>
  <c r="B98" i="24"/>
  <c r="C97" i="24"/>
  <c r="B97" i="24"/>
  <c r="C96" i="24"/>
  <c r="B96" i="24"/>
  <c r="C95" i="24"/>
  <c r="B95" i="24"/>
  <c r="C94" i="24"/>
  <c r="B94" i="24"/>
  <c r="C93" i="24"/>
  <c r="B93" i="24"/>
  <c r="C92" i="24"/>
  <c r="B92" i="24"/>
  <c r="C91" i="24"/>
  <c r="B91" i="24"/>
  <c r="C90" i="24"/>
  <c r="B90" i="24"/>
  <c r="C89" i="24"/>
  <c r="B89" i="24"/>
  <c r="C88" i="24"/>
  <c r="B88" i="24"/>
  <c r="C87" i="24"/>
  <c r="B87" i="24"/>
  <c r="C86" i="24"/>
  <c r="B86" i="24"/>
  <c r="C85" i="24"/>
  <c r="B85" i="24"/>
  <c r="C84" i="24"/>
  <c r="B84" i="24"/>
  <c r="C83" i="24"/>
  <c r="B83" i="24"/>
  <c r="C82" i="24"/>
  <c r="B82" i="24"/>
  <c r="C81" i="24"/>
  <c r="B81" i="24"/>
  <c r="C80" i="24"/>
  <c r="B80" i="24"/>
  <c r="C79" i="24"/>
  <c r="B79" i="24"/>
  <c r="C78" i="24"/>
  <c r="B78" i="24"/>
  <c r="C77" i="24"/>
  <c r="B77" i="24"/>
  <c r="C76" i="24"/>
  <c r="B76" i="24"/>
  <c r="C75" i="24"/>
  <c r="B75" i="24"/>
  <c r="C74" i="24"/>
  <c r="B74" i="24"/>
  <c r="C73" i="24"/>
  <c r="B73" i="24"/>
  <c r="C72" i="24"/>
  <c r="B72" i="24"/>
  <c r="C71" i="24"/>
  <c r="B71" i="24"/>
  <c r="C70" i="24"/>
  <c r="B70" i="24"/>
  <c r="C69" i="24"/>
  <c r="B69" i="24"/>
  <c r="C68" i="24"/>
  <c r="B68" i="24"/>
  <c r="C67" i="24"/>
  <c r="B67" i="24"/>
  <c r="C66" i="24"/>
  <c r="B66" i="24"/>
  <c r="C65" i="24"/>
  <c r="B65" i="24"/>
  <c r="C64" i="24"/>
  <c r="B64" i="24"/>
  <c r="C63" i="24"/>
  <c r="B63" i="24"/>
  <c r="C62" i="24"/>
  <c r="B62" i="24"/>
  <c r="C61" i="24"/>
  <c r="B61" i="24"/>
  <c r="C60" i="24"/>
  <c r="B60" i="24"/>
  <c r="C59" i="24"/>
  <c r="B59" i="24"/>
  <c r="C58" i="24"/>
  <c r="B58" i="24"/>
  <c r="C57" i="24"/>
  <c r="B57" i="24"/>
  <c r="C56" i="24"/>
  <c r="B56" i="24"/>
  <c r="C55" i="24"/>
  <c r="B55" i="24"/>
  <c r="C54" i="24"/>
  <c r="B54" i="24"/>
  <c r="C53" i="24"/>
  <c r="B53" i="24"/>
  <c r="C52" i="24"/>
  <c r="B52" i="24"/>
  <c r="C51" i="24"/>
  <c r="B51" i="24"/>
  <c r="C50" i="24"/>
  <c r="B50" i="24"/>
  <c r="C49" i="24"/>
  <c r="B49" i="24"/>
  <c r="C48" i="24"/>
  <c r="B48" i="24"/>
  <c r="C47" i="24"/>
  <c r="B47" i="24"/>
  <c r="C46" i="24"/>
  <c r="B46" i="24"/>
  <c r="C45" i="24"/>
  <c r="B45" i="24"/>
  <c r="C44" i="24"/>
  <c r="B44" i="24"/>
  <c r="C43" i="24"/>
  <c r="B43" i="24"/>
  <c r="C42" i="24"/>
  <c r="B42" i="24"/>
  <c r="C41" i="24"/>
  <c r="B41" i="24"/>
  <c r="C40" i="24"/>
  <c r="B40" i="24"/>
  <c r="C39" i="24"/>
  <c r="B39" i="24"/>
  <c r="C38" i="24"/>
  <c r="B38" i="24"/>
  <c r="C37" i="24"/>
  <c r="B37" i="24"/>
  <c r="C36" i="24"/>
  <c r="B36" i="24"/>
  <c r="C35" i="24"/>
  <c r="B35" i="24"/>
  <c r="C34" i="24"/>
  <c r="B34" i="24"/>
  <c r="C33" i="24"/>
  <c r="B33" i="24"/>
  <c r="C32" i="24"/>
  <c r="B32" i="24"/>
  <c r="C31" i="24"/>
  <c r="B31" i="24"/>
  <c r="C30" i="24"/>
  <c r="B30" i="24"/>
  <c r="C29" i="24"/>
  <c r="B29" i="24"/>
  <c r="C28" i="24"/>
  <c r="B28" i="24"/>
  <c r="C27" i="24"/>
  <c r="B27" i="24"/>
  <c r="C26" i="24"/>
  <c r="B26" i="24"/>
  <c r="C25" i="24"/>
  <c r="B25" i="24"/>
  <c r="C24" i="24"/>
  <c r="B24" i="24"/>
  <c r="C23" i="24"/>
  <c r="B23" i="24"/>
  <c r="C22" i="24"/>
  <c r="B22" i="24"/>
  <c r="C21" i="24"/>
  <c r="B21" i="24"/>
  <c r="C20" i="24"/>
  <c r="B20" i="24"/>
  <c r="C19" i="24"/>
  <c r="B19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B2" i="24"/>
  <c r="C2" i="24"/>
  <c r="A2" i="24" a="1"/>
  <c r="AF591" i="17" a="1"/>
  <c r="AF591" i="17" s="1"/>
  <c r="AF605" i="17" a="1"/>
  <c r="AF605" i="17" s="1"/>
  <c r="AF617" i="17" a="1"/>
  <c r="AF617" i="17" s="1"/>
  <c r="AF623" i="17" a="1"/>
  <c r="AF623" i="17" s="1"/>
  <c r="AF624" i="17" a="1"/>
  <c r="AF624" i="17" s="1"/>
  <c r="AF625" i="17" a="1"/>
  <c r="AF625" i="17" s="1"/>
  <c r="AF626" i="17" a="1"/>
  <c r="AF626" i="17" s="1"/>
  <c r="AF627" i="17" a="1"/>
  <c r="AF627" i="17" s="1"/>
  <c r="AF628" i="17" a="1"/>
  <c r="AF628" i="17" s="1"/>
  <c r="AF629" i="17" a="1"/>
  <c r="AF629" i="17" s="1"/>
  <c r="AF630" i="17" a="1"/>
  <c r="AF630" i="17" s="1"/>
  <c r="AF631" i="17" a="1"/>
  <c r="AF631" i="17" s="1"/>
  <c r="AF632" i="17" a="1"/>
  <c r="AF632" i="17" s="1"/>
  <c r="AF633" i="17" a="1"/>
  <c r="AF633" i="17" s="1"/>
  <c r="AF634" i="17" a="1"/>
  <c r="AF634" i="17" s="1"/>
  <c r="AF635" i="17" a="1"/>
  <c r="AF635" i="17" s="1"/>
  <c r="AF636" i="17" a="1"/>
  <c r="AF636" i="17" s="1"/>
  <c r="AF647" i="17" a="1"/>
  <c r="AF647" i="17" s="1"/>
  <c r="AF648" i="17" a="1"/>
  <c r="AF648" i="17" s="1"/>
  <c r="AF649" i="17" a="1"/>
  <c r="AF649" i="17" s="1"/>
  <c r="AF650" i="17" a="1"/>
  <c r="AF650" i="17" s="1"/>
  <c r="AF651" i="17" a="1"/>
  <c r="AF651" i="17" s="1"/>
  <c r="AF652" i="17" a="1"/>
  <c r="AF652" i="17" s="1"/>
  <c r="AF653" i="17" a="1"/>
  <c r="AF653" i="17" s="1"/>
  <c r="AF654" i="17" a="1"/>
  <c r="AF654" i="17" s="1"/>
  <c r="AF655" i="17" a="1"/>
  <c r="AF655" i="17" s="1"/>
  <c r="AF656" i="17" a="1"/>
  <c r="AF656" i="17" s="1"/>
  <c r="AF657" i="17" a="1"/>
  <c r="AF657" i="17" s="1"/>
  <c r="AF658" i="17" a="1"/>
  <c r="AF658" i="17" s="1"/>
  <c r="AF659" i="17" a="1"/>
  <c r="AF659" i="17" s="1"/>
  <c r="AF660" i="17" a="1"/>
  <c r="AF660" i="17" s="1"/>
  <c r="AF661" i="17" a="1"/>
  <c r="AF661" i="17" s="1"/>
  <c r="AF662" i="17" a="1"/>
  <c r="AF662" i="17" s="1"/>
  <c r="AF663" i="17" a="1"/>
  <c r="AF663" i="17" s="1"/>
  <c r="AF664" i="17" a="1"/>
  <c r="AF664" i="17" s="1"/>
  <c r="AF665" i="17" a="1"/>
  <c r="AF665" i="17" s="1"/>
  <c r="AF666" i="17" a="1"/>
  <c r="AF666" i="17" s="1"/>
  <c r="AF667" i="17" a="1"/>
  <c r="AF667" i="17" s="1"/>
  <c r="AF668" i="17" a="1"/>
  <c r="AF668" i="17" s="1"/>
  <c r="AF669" i="17" a="1"/>
  <c r="AF669" i="17" s="1"/>
  <c r="AF670" i="17" a="1"/>
  <c r="AF670" i="17" s="1"/>
  <c r="AF671" i="17" a="1"/>
  <c r="AF671" i="17" s="1"/>
  <c r="AF672" i="17" a="1"/>
  <c r="AF672" i="17" s="1"/>
  <c r="AF673" i="17" a="1"/>
  <c r="AF673" i="17" s="1"/>
  <c r="AF674" i="17" a="1"/>
  <c r="AF674" i="17" s="1"/>
  <c r="AF678" i="17" a="1"/>
  <c r="AF678" i="17" s="1"/>
  <c r="AF679" i="17" a="1"/>
  <c r="AF679" i="17" s="1"/>
  <c r="AF680" i="17" a="1"/>
  <c r="AF680" i="17" s="1"/>
  <c r="AF681" i="17" a="1"/>
  <c r="AF681" i="17" s="1"/>
  <c r="AF682" i="17" a="1"/>
  <c r="AF682" i="17" s="1"/>
  <c r="AF683" i="17" a="1"/>
  <c r="AF683" i="17" s="1"/>
  <c r="AF684" i="17" a="1"/>
  <c r="AF684" i="17" s="1"/>
  <c r="AF685" i="17" a="1"/>
  <c r="AF685" i="17" s="1"/>
  <c r="AF686" i="17" a="1"/>
  <c r="AF686" i="17" s="1"/>
  <c r="AF687" i="17" a="1"/>
  <c r="AF687" i="17" s="1"/>
  <c r="AF688" i="17" a="1"/>
  <c r="AF688" i="17" s="1"/>
  <c r="AF689" i="17" a="1"/>
  <c r="AF689" i="17" s="1"/>
  <c r="AF690" i="17" a="1"/>
  <c r="AF690" i="17" s="1"/>
  <c r="AF691" i="17" a="1"/>
  <c r="AF691" i="17" s="1"/>
  <c r="AF692" i="17" a="1"/>
  <c r="AF692" i="17" s="1"/>
  <c r="AF693" i="17" a="1"/>
  <c r="AF693" i="17" s="1"/>
  <c r="AF694" i="17" a="1"/>
  <c r="AF694" i="17" s="1"/>
  <c r="AF695" i="17" a="1"/>
  <c r="AF695" i="17" s="1"/>
  <c r="AF696" i="17" a="1"/>
  <c r="AF696" i="17" s="1"/>
  <c r="AF697" i="17" a="1"/>
  <c r="AF697" i="17" s="1"/>
  <c r="AF698" i="17" a="1"/>
  <c r="AF698" i="17" s="1"/>
  <c r="AF699" i="17" a="1"/>
  <c r="AF699" i="17" s="1"/>
  <c r="AF700" i="17" a="1"/>
  <c r="AF700" i="17" s="1"/>
  <c r="AF701" i="17" a="1"/>
  <c r="AF701" i="17" s="1"/>
  <c r="AF702" i="17" a="1"/>
  <c r="AF702" i="17" s="1"/>
  <c r="AF703" i="17" a="1"/>
  <c r="AF703" i="17" s="1"/>
  <c r="AF704" i="17" a="1"/>
  <c r="AF704" i="17" s="1"/>
  <c r="AF705" i="17" a="1"/>
  <c r="AF705" i="17" s="1"/>
  <c r="AF706" i="17" a="1"/>
  <c r="AF706" i="17" s="1"/>
  <c r="AF707" i="17" a="1"/>
  <c r="AF707" i="17" s="1"/>
  <c r="AF708" i="17" a="1"/>
  <c r="AF708" i="17" s="1"/>
  <c r="AF709" i="17" a="1"/>
  <c r="AF709" i="17" s="1"/>
  <c r="AF710" i="17" a="1"/>
  <c r="AF710" i="17" s="1"/>
  <c r="AF711" i="17" a="1"/>
  <c r="AF711" i="17" s="1"/>
  <c r="AF712" i="17" a="1"/>
  <c r="AF712" i="17" s="1"/>
  <c r="AF713" i="17" a="1"/>
  <c r="AF713" i="17" s="1"/>
  <c r="AF714" i="17" a="1"/>
  <c r="AF714" i="17" s="1"/>
  <c r="AF715" i="17" a="1"/>
  <c r="AF715" i="17" s="1"/>
  <c r="AF716" i="17" a="1"/>
  <c r="AF716" i="17" s="1"/>
  <c r="AF717" i="17" a="1"/>
  <c r="AF717" i="17" s="1"/>
  <c r="AF718" i="17" a="1"/>
  <c r="AF718" i="17" s="1"/>
  <c r="AF719" i="17" a="1"/>
  <c r="AF719" i="17" s="1"/>
  <c r="AF720" i="17" a="1"/>
  <c r="AF720" i="17" s="1"/>
  <c r="AF721" i="17" a="1"/>
  <c r="AF721" i="17" s="1"/>
  <c r="AF722" i="17" a="1"/>
  <c r="AF722" i="17" s="1"/>
  <c r="AF723" i="17" a="1"/>
  <c r="AF723" i="17" s="1"/>
  <c r="AF724" i="17" a="1"/>
  <c r="AF724" i="17" s="1"/>
  <c r="AF725" i="17" a="1"/>
  <c r="AF725" i="17" s="1"/>
  <c r="AF726" i="17" a="1"/>
  <c r="AF726" i="17" s="1"/>
  <c r="AF727" i="17" a="1"/>
  <c r="AF727" i="17" s="1"/>
  <c r="AF728" i="17" a="1"/>
  <c r="AF728" i="17" s="1"/>
  <c r="AF729" i="17" a="1"/>
  <c r="AF729" i="17" s="1"/>
  <c r="AF730" i="17" a="1"/>
  <c r="AF730" i="17" s="1"/>
  <c r="AF731" i="17" a="1"/>
  <c r="AF731" i="17" s="1"/>
  <c r="AF732" i="17" a="1"/>
  <c r="AF732" i="17" s="1"/>
  <c r="AF733" i="17" a="1"/>
  <c r="AF733" i="17" s="1"/>
  <c r="AF734" i="17" a="1"/>
  <c r="AF734" i="17" s="1"/>
  <c r="AF735" i="17" a="1"/>
  <c r="AF735" i="17" s="1"/>
  <c r="AF736" i="17" a="1"/>
  <c r="AF736" i="17" s="1"/>
  <c r="AF737" i="17" a="1"/>
  <c r="AF737" i="17" s="1"/>
  <c r="AF738" i="17" a="1"/>
  <c r="AF738" i="17" s="1"/>
  <c r="AF739" i="17" a="1"/>
  <c r="AF739" i="17" s="1"/>
  <c r="AF740" i="17" a="1"/>
  <c r="AF740" i="17" s="1"/>
  <c r="AF741" i="17" a="1"/>
  <c r="AF741" i="17" s="1"/>
  <c r="AF742" i="17" a="1"/>
  <c r="AF742" i="17" s="1"/>
  <c r="AF743" i="17" a="1"/>
  <c r="AF743" i="17" s="1"/>
  <c r="AF744" i="17" a="1"/>
  <c r="AF744" i="17" s="1"/>
  <c r="AF745" i="17" a="1"/>
  <c r="AF745" i="17" s="1"/>
  <c r="AF746" i="17" a="1"/>
  <c r="AF746" i="17" s="1"/>
  <c r="AF747" i="17" a="1"/>
  <c r="AF747" i="17" s="1"/>
  <c r="AF748" i="17" a="1"/>
  <c r="AF748" i="17" s="1"/>
  <c r="AF749" i="17" a="1"/>
  <c r="AF749" i="17" s="1"/>
  <c r="AF750" i="17" a="1"/>
  <c r="AF750" i="17" s="1"/>
  <c r="AF751" i="17" a="1"/>
  <c r="AF751" i="17" s="1"/>
  <c r="AF752" i="17" a="1"/>
  <c r="AF752" i="17" s="1"/>
  <c r="AF753" i="17" a="1"/>
  <c r="AF753" i="17" s="1"/>
  <c r="AF754" i="17" a="1"/>
  <c r="AF754" i="17" s="1"/>
  <c r="AF755" i="17" a="1"/>
  <c r="AF755" i="17" s="1"/>
  <c r="AF756" i="17" a="1"/>
  <c r="AF756" i="17" s="1"/>
  <c r="AF757" i="17" a="1"/>
  <c r="AF757" i="17" s="1"/>
  <c r="AF758" i="17" a="1"/>
  <c r="AF758" i="17" s="1"/>
  <c r="AF759" i="17" a="1"/>
  <c r="AF759" i="17" s="1"/>
  <c r="AF760" i="17" a="1"/>
  <c r="AF760" i="17" s="1"/>
  <c r="AF761" i="17" a="1"/>
  <c r="AF761" i="17" s="1"/>
  <c r="AF762" i="17" a="1"/>
  <c r="AF762" i="17" s="1"/>
  <c r="AF763" i="17" a="1"/>
  <c r="AF763" i="17" s="1"/>
  <c r="AF764" i="17" a="1"/>
  <c r="AF764" i="17" s="1"/>
  <c r="AF765" i="17" a="1"/>
  <c r="AF765" i="17" s="1"/>
  <c r="AF766" i="17" a="1"/>
  <c r="AF766" i="17" s="1"/>
  <c r="AF767" i="17" a="1"/>
  <c r="AF767" i="17" s="1"/>
  <c r="AF768" i="17" a="1"/>
  <c r="AF768" i="17" s="1"/>
  <c r="AF769" i="17" a="1"/>
  <c r="AF769" i="17" s="1"/>
  <c r="AF770" i="17" a="1"/>
  <c r="AF770" i="17" s="1"/>
  <c r="AF771" i="17" a="1"/>
  <c r="AF771" i="17" s="1"/>
  <c r="AF772" i="17" a="1"/>
  <c r="AF772" i="17" s="1"/>
  <c r="AF773" i="17" a="1"/>
  <c r="AF773" i="17" s="1"/>
  <c r="AF774" i="17" a="1"/>
  <c r="AF774" i="17" s="1"/>
  <c r="AF775" i="17" a="1"/>
  <c r="AF775" i="17" s="1"/>
  <c r="AF776" i="17" a="1"/>
  <c r="AF776" i="17" s="1"/>
  <c r="AF777" i="17" a="1"/>
  <c r="AF777" i="17" s="1"/>
  <c r="AF778" i="17" a="1"/>
  <c r="AF778" i="17" s="1"/>
  <c r="AF779" i="17" a="1"/>
  <c r="AF779" i="17" s="1"/>
  <c r="AF780" i="17" a="1"/>
  <c r="AF780" i="17" s="1"/>
  <c r="AF781" i="17" a="1"/>
  <c r="AF781" i="17" s="1"/>
  <c r="AF782" i="17" a="1"/>
  <c r="AF782" i="17" s="1"/>
  <c r="AF783" i="17" a="1"/>
  <c r="AF783" i="17" s="1"/>
  <c r="AF784" i="17" a="1"/>
  <c r="AF784" i="17" s="1"/>
  <c r="AF785" i="17" a="1"/>
  <c r="AF785" i="17" s="1"/>
  <c r="AF786" i="17" a="1"/>
  <c r="AF786" i="17" s="1"/>
  <c r="AF787" i="17" a="1"/>
  <c r="AF787" i="17" s="1"/>
  <c r="AF788" i="17" a="1"/>
  <c r="AF788" i="17" s="1"/>
  <c r="AF789" i="17" a="1"/>
  <c r="AF789" i="17" s="1"/>
  <c r="AF790" i="17" a="1"/>
  <c r="AF790" i="17" s="1"/>
  <c r="AF791" i="17" a="1"/>
  <c r="AF791" i="17" s="1"/>
  <c r="AF792" i="17" a="1"/>
  <c r="AF792" i="17" s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4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L591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Q792" i="14"/>
  <c r="P792" i="14"/>
  <c r="O792" i="14"/>
  <c r="N792" i="14"/>
  <c r="M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L481" i="17"/>
  <c r="AF481" i="17" s="1" a="1"/>
  <c r="AF481" i="17" s="1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5" i="17"/>
  <c r="U405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P791" i="14"/>
  <c r="Q791" i="14"/>
  <c r="J791" i="14"/>
  <c r="K791" i="14"/>
  <c r="L791" i="14"/>
  <c r="M791" i="14"/>
  <c r="N791" i="14"/>
  <c r="O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P790" i="14"/>
  <c r="Q790" i="14"/>
  <c r="J790" i="14"/>
  <c r="K790" i="14"/>
  <c r="L790" i="14"/>
  <c r="M790" i="14"/>
  <c r="N790" i="14"/>
  <c r="O790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AF677" i="17" s="1" a="1"/>
  <c r="AF677" i="17" s="1"/>
  <c r="L676" i="17"/>
  <c r="AF676" i="17" s="1" a="1"/>
  <c r="AF676" i="17" s="1"/>
  <c r="L675" i="17"/>
  <c r="AF675" i="17" s="1" a="1"/>
  <c r="AF675" i="17" s="1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AF645" i="17" s="1" a="1"/>
  <c r="AF645" i="17" s="1"/>
  <c r="L644" i="17"/>
  <c r="AF644" i="17" s="1" a="1"/>
  <c r="AF644" i="17" s="1"/>
  <c r="L643" i="17"/>
  <c r="AF643" i="17" s="1" a="1"/>
  <c r="AF643" i="17" s="1"/>
  <c r="L642" i="17"/>
  <c r="AF642" i="17" s="1" a="1"/>
  <c r="AF642" i="17" s="1"/>
  <c r="L641" i="17"/>
  <c r="AF641" i="17" s="1" a="1"/>
  <c r="AF641" i="17" s="1"/>
  <c r="L640" i="17"/>
  <c r="AF640" i="17" s="1" a="1"/>
  <c r="AF640" i="17" s="1"/>
  <c r="L639" i="17"/>
  <c r="AF639" i="17" s="1" a="1"/>
  <c r="AF639" i="17" s="1"/>
  <c r="L638" i="17"/>
  <c r="AF638" i="17" s="1" a="1"/>
  <c r="AF638" i="17" s="1"/>
  <c r="L637" i="17"/>
  <c r="AF637" i="17" s="1" a="1"/>
  <c r="AF637" i="17" s="1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AF622" i="17" s="1" a="1"/>
  <c r="AF622" i="17" s="1"/>
  <c r="L621" i="17"/>
  <c r="AF621" i="17" s="1" a="1"/>
  <c r="AF621" i="17" s="1"/>
  <c r="L620" i="17"/>
  <c r="AF620" i="17" s="1" a="1"/>
  <c r="AF620" i="17" s="1"/>
  <c r="L619" i="17"/>
  <c r="AF619" i="17" s="1" a="1"/>
  <c r="AF619" i="17" s="1"/>
  <c r="L618" i="17"/>
  <c r="AF618" i="17" s="1" a="1"/>
  <c r="AF618" i="17" s="1"/>
  <c r="L617" i="17"/>
  <c r="L616" i="17"/>
  <c r="AF616" i="17" s="1" a="1"/>
  <c r="AF616" i="17" s="1"/>
  <c r="L615" i="17"/>
  <c r="AF615" i="17" s="1" a="1"/>
  <c r="AF615" i="17" s="1"/>
  <c r="L614" i="17"/>
  <c r="AF614" i="17" s="1" a="1"/>
  <c r="AF614" i="17" s="1"/>
  <c r="L613" i="17"/>
  <c r="AF613" i="17" s="1" a="1"/>
  <c r="AF613" i="17" s="1"/>
  <c r="L612" i="17"/>
  <c r="AF612" i="17" s="1" a="1"/>
  <c r="AF612" i="17" s="1"/>
  <c r="L611" i="17"/>
  <c r="AF611" i="17" s="1" a="1"/>
  <c r="AF611" i="17" s="1"/>
  <c r="L610" i="17"/>
  <c r="AF610" i="17" s="1" a="1"/>
  <c r="AF610" i="17" s="1"/>
  <c r="L609" i="17"/>
  <c r="AF609" i="17" s="1" a="1"/>
  <c r="AF609" i="17" s="1"/>
  <c r="L608" i="17"/>
  <c r="AF608" i="17" s="1" a="1"/>
  <c r="AF608" i="17" s="1"/>
  <c r="L607" i="17"/>
  <c r="AF607" i="17" s="1" a="1"/>
  <c r="AF607" i="17" s="1"/>
  <c r="L606" i="17"/>
  <c r="AF606" i="17" s="1" a="1"/>
  <c r="AF606" i="17" s="1"/>
  <c r="L605" i="17"/>
  <c r="L604" i="17"/>
  <c r="AF604" i="17" s="1" a="1"/>
  <c r="AF604" i="17" s="1"/>
  <c r="L603" i="17"/>
  <c r="AF603" i="17" s="1" a="1"/>
  <c r="AF603" i="17" s="1"/>
  <c r="L602" i="17"/>
  <c r="AF602" i="17" s="1" a="1"/>
  <c r="AF602" i="17" s="1"/>
  <c r="L601" i="17"/>
  <c r="AF601" i="17" s="1" a="1"/>
  <c r="AF601" i="17" s="1"/>
  <c r="L600" i="17"/>
  <c r="AF600" i="17" s="1" a="1"/>
  <c r="AF600" i="17" s="1"/>
  <c r="L599" i="17"/>
  <c r="AF599" i="17" s="1" a="1"/>
  <c r="AF599" i="17" s="1"/>
  <c r="L598" i="17"/>
  <c r="AF598" i="17" s="1" a="1"/>
  <c r="AF598" i="17" s="1"/>
  <c r="L597" i="17"/>
  <c r="AF597" i="17" s="1" a="1"/>
  <c r="AF597" i="17" s="1"/>
  <c r="L596" i="17"/>
  <c r="AF596" i="17" s="1" a="1"/>
  <c r="AF596" i="17" s="1"/>
  <c r="L595" i="17"/>
  <c r="AF595" i="17" s="1" a="1"/>
  <c r="AF595" i="17" s="1"/>
  <c r="L594" i="17"/>
  <c r="AF594" i="17" s="1" a="1"/>
  <c r="AF594" i="17" s="1"/>
  <c r="L593" i="17"/>
  <c r="AF593" i="17" s="1" a="1"/>
  <c r="AF593" i="17" s="1"/>
  <c r="L592" i="17"/>
  <c r="AF592" i="17" s="1" a="1"/>
  <c r="AF592" i="17" s="1"/>
  <c r="L590" i="17"/>
  <c r="AF590" i="17" s="1" a="1"/>
  <c r="AF590" i="17" s="1"/>
  <c r="L589" i="17"/>
  <c r="AF589" i="17" s="1" a="1"/>
  <c r="AF589" i="17" s="1"/>
  <c r="L588" i="17"/>
  <c r="AF588" i="17" s="1" a="1"/>
  <c r="AF588" i="17" s="1"/>
  <c r="L587" i="17"/>
  <c r="AF587" i="17" s="1" a="1"/>
  <c r="AF587" i="17" s="1"/>
  <c r="L586" i="17"/>
  <c r="AF586" i="17" s="1" a="1"/>
  <c r="AF586" i="17" s="1"/>
  <c r="L585" i="17"/>
  <c r="AF585" i="17" s="1" a="1"/>
  <c r="AF585" i="17" s="1"/>
  <c r="L584" i="17"/>
  <c r="AF584" i="17" s="1" a="1"/>
  <c r="AF584" i="17" s="1"/>
  <c r="L583" i="17"/>
  <c r="AF583" i="17" s="1" a="1"/>
  <c r="AF583" i="17" s="1"/>
  <c r="L582" i="17"/>
  <c r="AF582" i="17" s="1" a="1"/>
  <c r="AF582" i="17" s="1"/>
  <c r="L581" i="17"/>
  <c r="AF581" i="17" s="1" a="1"/>
  <c r="AF581" i="17" s="1"/>
  <c r="L580" i="17"/>
  <c r="AF580" i="17" s="1" a="1"/>
  <c r="AF580" i="17" s="1"/>
  <c r="L579" i="17"/>
  <c r="AF579" i="17" s="1" a="1"/>
  <c r="AF579" i="17" s="1"/>
  <c r="L578" i="17"/>
  <c r="AF578" i="17" s="1" a="1"/>
  <c r="AF578" i="17" s="1"/>
  <c r="L577" i="17"/>
  <c r="AF577" i="17" s="1" a="1"/>
  <c r="AF577" i="17" s="1"/>
  <c r="L576" i="17"/>
  <c r="AF576" i="17" s="1" a="1"/>
  <c r="AF576" i="17" s="1"/>
  <c r="L575" i="17"/>
  <c r="AF575" i="17" s="1" a="1"/>
  <c r="AF575" i="17" s="1"/>
  <c r="L574" i="17"/>
  <c r="AF574" i="17" s="1" a="1"/>
  <c r="AF574" i="17" s="1"/>
  <c r="L573" i="17"/>
  <c r="AF573" i="17" s="1" a="1"/>
  <c r="AF573" i="17" s="1"/>
  <c r="L572" i="17"/>
  <c r="AF572" i="17" s="1" a="1"/>
  <c r="AF572" i="17" s="1"/>
  <c r="L571" i="17"/>
  <c r="AF571" i="17" s="1" a="1"/>
  <c r="AF571" i="17" s="1"/>
  <c r="L570" i="17"/>
  <c r="AF570" i="17" s="1" a="1"/>
  <c r="AF570" i="17" s="1"/>
  <c r="L569" i="17"/>
  <c r="AF569" i="17" s="1" a="1"/>
  <c r="AF569" i="17" s="1"/>
  <c r="L568" i="17"/>
  <c r="AF568" i="17" s="1" a="1"/>
  <c r="AF568" i="17" s="1"/>
  <c r="L567" i="17"/>
  <c r="AF567" i="17" s="1" a="1"/>
  <c r="AF567" i="17" s="1"/>
  <c r="L566" i="17"/>
  <c r="AF566" i="17" s="1" a="1"/>
  <c r="AF566" i="17" s="1"/>
  <c r="L565" i="17"/>
  <c r="AF565" i="17" s="1" a="1"/>
  <c r="AF565" i="17" s="1"/>
  <c r="L564" i="17"/>
  <c r="AF564" i="17" s="1" a="1"/>
  <c r="AF564" i="17" s="1"/>
  <c r="L563" i="17"/>
  <c r="AF563" i="17" s="1" a="1"/>
  <c r="AF563" i="17" s="1"/>
  <c r="L562" i="17"/>
  <c r="AF562" i="17" s="1" a="1"/>
  <c r="AF562" i="17" s="1"/>
  <c r="L561" i="17"/>
  <c r="AF561" i="17" s="1" a="1"/>
  <c r="AF561" i="17" s="1"/>
  <c r="L560" i="17"/>
  <c r="AF560" i="17" s="1" a="1"/>
  <c r="AF560" i="17" s="1"/>
  <c r="L559" i="17"/>
  <c r="AF559" i="17" s="1" a="1"/>
  <c r="AF559" i="17" s="1"/>
  <c r="L558" i="17"/>
  <c r="AF558" i="17" s="1" a="1"/>
  <c r="AF558" i="17" s="1"/>
  <c r="L557" i="17"/>
  <c r="AF557" i="17" s="1" a="1"/>
  <c r="AF557" i="17" s="1"/>
  <c r="L556" i="17"/>
  <c r="AF556" i="17" s="1" a="1"/>
  <c r="AF556" i="17" s="1"/>
  <c r="L555" i="17"/>
  <c r="AF555" i="17" s="1" a="1"/>
  <c r="AF555" i="17" s="1"/>
  <c r="L554" i="17"/>
  <c r="AF554" i="17" s="1" a="1"/>
  <c r="AF554" i="17" s="1"/>
  <c r="L553" i="17"/>
  <c r="AF553" i="17" s="1" a="1"/>
  <c r="AF553" i="17" s="1"/>
  <c r="L552" i="17"/>
  <c r="AF552" i="17" s="1" a="1"/>
  <c r="AF552" i="17" s="1"/>
  <c r="L551" i="17"/>
  <c r="AF551" i="17" s="1" a="1"/>
  <c r="AF551" i="17" s="1"/>
  <c r="L550" i="17"/>
  <c r="AF550" i="17" s="1" a="1"/>
  <c r="AF550" i="17" s="1"/>
  <c r="L549" i="17"/>
  <c r="AF549" i="17" s="1" a="1"/>
  <c r="AF549" i="17" s="1"/>
  <c r="L548" i="17"/>
  <c r="AF548" i="17" s="1" a="1"/>
  <c r="AF548" i="17" s="1"/>
  <c r="L547" i="17"/>
  <c r="AF547" i="17" s="1" a="1"/>
  <c r="AF547" i="17" s="1"/>
  <c r="L546" i="17"/>
  <c r="AF546" i="17" s="1" a="1"/>
  <c r="AF546" i="17" s="1"/>
  <c r="L545" i="17"/>
  <c r="AF545" i="17" s="1" a="1"/>
  <c r="AF545" i="17" s="1"/>
  <c r="L544" i="17"/>
  <c r="AF544" i="17" s="1" a="1"/>
  <c r="AF544" i="17" s="1"/>
  <c r="L543" i="17"/>
  <c r="AF543" i="17" s="1" a="1"/>
  <c r="AF543" i="17" s="1"/>
  <c r="L542" i="17"/>
  <c r="AF542" i="17" s="1" a="1"/>
  <c r="AF542" i="17" s="1"/>
  <c r="L541" i="17"/>
  <c r="AF541" i="17" s="1" a="1"/>
  <c r="AF541" i="17" s="1"/>
  <c r="L540" i="17"/>
  <c r="AF540" i="17" s="1" a="1"/>
  <c r="AF540" i="17" s="1"/>
  <c r="L539" i="17"/>
  <c r="AF539" i="17" s="1" a="1"/>
  <c r="AF539" i="17" s="1"/>
  <c r="L538" i="17"/>
  <c r="AF538" i="17" s="1" a="1"/>
  <c r="AF538" i="17" s="1"/>
  <c r="L537" i="17"/>
  <c r="AF537" i="17" s="1" a="1"/>
  <c r="AF537" i="17" s="1"/>
  <c r="L536" i="17"/>
  <c r="AF536" i="17" s="1" a="1"/>
  <c r="AF536" i="17" s="1"/>
  <c r="L535" i="17"/>
  <c r="AF535" i="17" s="1" a="1"/>
  <c r="AF535" i="17" s="1"/>
  <c r="L534" i="17"/>
  <c r="AF534" i="17" s="1" a="1"/>
  <c r="AF534" i="17" s="1"/>
  <c r="L533" i="17"/>
  <c r="AF533" i="17" s="1" a="1"/>
  <c r="AF533" i="17" s="1"/>
  <c r="L532" i="17"/>
  <c r="AF532" i="17" s="1" a="1"/>
  <c r="AF532" i="17" s="1"/>
  <c r="L531" i="17"/>
  <c r="AF531" i="17" s="1" a="1"/>
  <c r="AF531" i="17" s="1"/>
  <c r="L530" i="17"/>
  <c r="AF530" i="17" s="1" a="1"/>
  <c r="AF530" i="17" s="1"/>
  <c r="L529" i="17"/>
  <c r="AF529" i="17" s="1" a="1"/>
  <c r="AF529" i="17" s="1"/>
  <c r="L528" i="17"/>
  <c r="AF528" i="17" s="1" a="1"/>
  <c r="AF528" i="17" s="1"/>
  <c r="L527" i="17"/>
  <c r="AF527" i="17" s="1" a="1"/>
  <c r="AF527" i="17" s="1"/>
  <c r="L526" i="17"/>
  <c r="AF526" i="17" s="1" a="1"/>
  <c r="AF526" i="17" s="1"/>
  <c r="L525" i="17"/>
  <c r="AF525" i="17" s="1" a="1"/>
  <c r="AF525" i="17" s="1"/>
  <c r="L524" i="17"/>
  <c r="AF524" i="17" s="1" a="1"/>
  <c r="AF524" i="17" s="1"/>
  <c r="L523" i="17"/>
  <c r="AF523" i="17" s="1" a="1"/>
  <c r="AF523" i="17" s="1"/>
  <c r="L522" i="17"/>
  <c r="AF522" i="17" s="1" a="1"/>
  <c r="AF522" i="17" s="1"/>
  <c r="L521" i="17"/>
  <c r="AF521" i="17" s="1" a="1"/>
  <c r="AF521" i="17" s="1"/>
  <c r="L520" i="17"/>
  <c r="AF520" i="17" s="1" a="1"/>
  <c r="AF520" i="17" s="1"/>
  <c r="L519" i="17"/>
  <c r="AF519" i="17" s="1" a="1"/>
  <c r="AF519" i="17" s="1"/>
  <c r="L518" i="17"/>
  <c r="AF518" i="17" s="1" a="1"/>
  <c r="AF518" i="17" s="1"/>
  <c r="L517" i="17"/>
  <c r="AF517" i="17" s="1" a="1"/>
  <c r="AF517" i="17" s="1"/>
  <c r="L516" i="17"/>
  <c r="AF516" i="17" s="1" a="1"/>
  <c r="AF516" i="17" s="1"/>
  <c r="L515" i="17"/>
  <c r="AF515" i="17" s="1" a="1"/>
  <c r="AF515" i="17" s="1"/>
  <c r="L514" i="17"/>
  <c r="AF514" i="17" s="1" a="1"/>
  <c r="AF514" i="17" s="1"/>
  <c r="L513" i="17"/>
  <c r="AF513" i="17" s="1" a="1"/>
  <c r="AF513" i="17" s="1"/>
  <c r="L512" i="17"/>
  <c r="AF512" i="17" s="1" a="1"/>
  <c r="AF512" i="17" s="1"/>
  <c r="L511" i="17"/>
  <c r="AF511" i="17" s="1" a="1"/>
  <c r="AF511" i="17" s="1"/>
  <c r="L510" i="17"/>
  <c r="AF510" i="17" s="1" a="1"/>
  <c r="AF510" i="17" s="1"/>
  <c r="L509" i="17"/>
  <c r="AF509" i="17" s="1" a="1"/>
  <c r="AF509" i="17" s="1"/>
  <c r="L508" i="17"/>
  <c r="AF508" i="17" s="1" a="1"/>
  <c r="AF508" i="17" s="1"/>
  <c r="L507" i="17"/>
  <c r="AF507" i="17" s="1" a="1"/>
  <c r="AF507" i="17" s="1"/>
  <c r="L506" i="17"/>
  <c r="AF506" i="17" s="1" a="1"/>
  <c r="AF506" i="17" s="1"/>
  <c r="L505" i="17"/>
  <c r="AF505" i="17" s="1" a="1"/>
  <c r="AF505" i="17" s="1"/>
  <c r="L504" i="17"/>
  <c r="AF504" i="17" s="1" a="1"/>
  <c r="AF504" i="17" s="1"/>
  <c r="L503" i="17"/>
  <c r="AF503" i="17" s="1" a="1"/>
  <c r="AF503" i="17" s="1"/>
  <c r="L502" i="17"/>
  <c r="AF502" i="17" s="1" a="1"/>
  <c r="AF502" i="17" s="1"/>
  <c r="L501" i="17"/>
  <c r="AF501" i="17" s="1" a="1"/>
  <c r="AF501" i="17" s="1"/>
  <c r="L500" i="17"/>
  <c r="AF500" i="17" s="1" a="1"/>
  <c r="AF500" i="17" s="1"/>
  <c r="L499" i="17"/>
  <c r="AF499" i="17" s="1" a="1"/>
  <c r="AF499" i="17" s="1"/>
  <c r="L498" i="17"/>
  <c r="AF498" i="17" s="1" a="1"/>
  <c r="AF498" i="17" s="1"/>
  <c r="L497" i="17"/>
  <c r="AF497" i="17" s="1" a="1"/>
  <c r="AF497" i="17" s="1"/>
  <c r="L496" i="17"/>
  <c r="AF496" i="17" s="1" a="1"/>
  <c r="AF496" i="17" s="1"/>
  <c r="L495" i="17"/>
  <c r="AF495" i="17" s="1" a="1"/>
  <c r="AF495" i="17" s="1"/>
  <c r="L494" i="17"/>
  <c r="AF494" i="17" s="1" a="1"/>
  <c r="AF494" i="17" s="1"/>
  <c r="L493" i="17"/>
  <c r="AF493" i="17" s="1" a="1"/>
  <c r="AF493" i="17" s="1"/>
  <c r="L492" i="17"/>
  <c r="AF492" i="17" s="1" a="1"/>
  <c r="AF492" i="17" s="1"/>
  <c r="L491" i="17"/>
  <c r="AF491" i="17" s="1" a="1"/>
  <c r="AF491" i="17" s="1"/>
  <c r="L490" i="17"/>
  <c r="AF490" i="17" s="1" a="1"/>
  <c r="AF490" i="17" s="1"/>
  <c r="L489" i="17"/>
  <c r="AF489" i="17" s="1" a="1"/>
  <c r="AF489" i="17" s="1"/>
  <c r="L488" i="17"/>
  <c r="AF488" i="17" s="1" a="1"/>
  <c r="AF488" i="17" s="1"/>
  <c r="L487" i="17"/>
  <c r="AF487" i="17" s="1" a="1"/>
  <c r="AF487" i="17" s="1"/>
  <c r="L486" i="17"/>
  <c r="AF486" i="17" s="1" a="1"/>
  <c r="AF486" i="17" s="1"/>
  <c r="L485" i="17"/>
  <c r="AF485" i="17" s="1" a="1"/>
  <c r="AF485" i="17" s="1"/>
  <c r="L484" i="17"/>
  <c r="AF484" i="17" s="1" a="1"/>
  <c r="AF484" i="17" s="1"/>
  <c r="L483" i="17"/>
  <c r="AF483" i="17" s="1" a="1"/>
  <c r="AF483" i="17" s="1"/>
  <c r="L482" i="17"/>
  <c r="AF482" i="17" s="1" a="1"/>
  <c r="AF482" i="17" s="1"/>
  <c r="L480" i="17"/>
  <c r="AF480" i="17" s="1" a="1"/>
  <c r="AF480" i="17" s="1"/>
  <c r="L479" i="17"/>
  <c r="AF479" i="17" s="1" a="1"/>
  <c r="AF479" i="17" s="1"/>
  <c r="L478" i="17"/>
  <c r="L477" i="17"/>
  <c r="AF477" i="17" s="1" a="1"/>
  <c r="AF477" i="17" s="1"/>
  <c r="L476" i="17"/>
  <c r="AF476" i="17" s="1" a="1"/>
  <c r="AF476" i="17" s="1"/>
  <c r="L475" i="17"/>
  <c r="AF475" i="17" s="1" a="1"/>
  <c r="AF475" i="17" s="1"/>
  <c r="L474" i="17"/>
  <c r="AF474" i="17" s="1" a="1"/>
  <c r="AF474" i="17" s="1"/>
  <c r="L473" i="17"/>
  <c r="AF473" i="17" s="1" a="1"/>
  <c r="AF473" i="17" s="1"/>
  <c r="L472" i="17"/>
  <c r="AF472" i="17" s="1" a="1"/>
  <c r="AF472" i="17" s="1"/>
  <c r="L471" i="17"/>
  <c r="AF471" i="17" s="1" a="1"/>
  <c r="AF471" i="17" s="1"/>
  <c r="L470" i="17"/>
  <c r="AF470" i="17" s="1" a="1"/>
  <c r="AF470" i="17" s="1"/>
  <c r="L469" i="17"/>
  <c r="AF469" i="17" s="1" a="1"/>
  <c r="AF469" i="17" s="1"/>
  <c r="L468" i="17"/>
  <c r="AF468" i="17" s="1" a="1"/>
  <c r="AF468" i="17" s="1"/>
  <c r="L467" i="17"/>
  <c r="AF467" i="17" s="1" a="1"/>
  <c r="AF467" i="17" s="1"/>
  <c r="L466" i="17"/>
  <c r="AF466" i="17" s="1" a="1"/>
  <c r="AF466" i="17" s="1"/>
  <c r="L465" i="17"/>
  <c r="AF465" i="17" s="1" a="1"/>
  <c r="AF465" i="17" s="1"/>
  <c r="L464" i="17"/>
  <c r="AF464" i="17" s="1" a="1"/>
  <c r="AF464" i="17" s="1"/>
  <c r="L463" i="17"/>
  <c r="AF463" i="17" s="1" a="1"/>
  <c r="AF463" i="17" s="1"/>
  <c r="L462" i="17"/>
  <c r="AF462" i="17" s="1" a="1"/>
  <c r="AF462" i="17" s="1"/>
  <c r="L461" i="17"/>
  <c r="AF461" i="17" s="1" a="1"/>
  <c r="AF461" i="17" s="1"/>
  <c r="L460" i="17"/>
  <c r="AF460" i="17" s="1" a="1"/>
  <c r="AF460" i="17" s="1"/>
  <c r="L459" i="17"/>
  <c r="AF459" i="17" s="1" a="1"/>
  <c r="AF459" i="17" s="1"/>
  <c r="L458" i="17"/>
  <c r="AF458" i="17" s="1" a="1"/>
  <c r="AF458" i="17" s="1"/>
  <c r="L457" i="17"/>
  <c r="AF457" i="17" s="1" a="1"/>
  <c r="AF457" i="17" s="1"/>
  <c r="L456" i="17"/>
  <c r="AF456" i="17" s="1" a="1"/>
  <c r="AF456" i="17" s="1"/>
  <c r="L455" i="17"/>
  <c r="AF455" i="17" s="1" a="1"/>
  <c r="AF455" i="17" s="1"/>
  <c r="L454" i="17"/>
  <c r="AF454" i="17" s="1" a="1"/>
  <c r="AF454" i="17" s="1"/>
  <c r="L453" i="17"/>
  <c r="AF453" i="17" s="1" a="1"/>
  <c r="AF453" i="17" s="1"/>
  <c r="L452" i="17"/>
  <c r="AF452" i="17" s="1" a="1"/>
  <c r="AF452" i="17" s="1"/>
  <c r="L451" i="17"/>
  <c r="AF451" i="17" s="1" a="1"/>
  <c r="AF451" i="17" s="1"/>
  <c r="L450" i="17"/>
  <c r="AF450" i="17" s="1" a="1"/>
  <c r="AF450" i="17" s="1"/>
  <c r="L449" i="17"/>
  <c r="AF449" i="17" s="1" a="1"/>
  <c r="AF449" i="17" s="1"/>
  <c r="L448" i="17"/>
  <c r="AF448" i="17" s="1" a="1"/>
  <c r="AF448" i="17" s="1"/>
  <c r="L447" i="17"/>
  <c r="AF447" i="17" s="1" a="1"/>
  <c r="AF447" i="17" s="1"/>
  <c r="L446" i="17"/>
  <c r="AF446" i="17" s="1" a="1"/>
  <c r="AF446" i="17" s="1"/>
  <c r="L445" i="17"/>
  <c r="AF445" i="17" s="1" a="1"/>
  <c r="AF445" i="17" s="1"/>
  <c r="L444" i="17"/>
  <c r="AF444" i="17" s="1" a="1"/>
  <c r="AF444" i="17" s="1"/>
  <c r="L443" i="17"/>
  <c r="AF443" i="17" s="1" a="1"/>
  <c r="AF443" i="17" s="1"/>
  <c r="L442" i="17"/>
  <c r="AF442" i="17" s="1" a="1"/>
  <c r="AF442" i="17" s="1"/>
  <c r="L441" i="17"/>
  <c r="AF441" i="17" s="1" a="1"/>
  <c r="AF441" i="17" s="1"/>
  <c r="L440" i="17"/>
  <c r="AF440" i="17" s="1" a="1"/>
  <c r="AF440" i="17" s="1"/>
  <c r="L439" i="17"/>
  <c r="AF439" i="17" s="1" a="1"/>
  <c r="AF439" i="17" s="1"/>
  <c r="L438" i="17"/>
  <c r="AF438" i="17" s="1" a="1"/>
  <c r="AF438" i="17" s="1"/>
  <c r="L437" i="17"/>
  <c r="AF437" i="17" s="1" a="1"/>
  <c r="AF437" i="17" s="1"/>
  <c r="L436" i="17"/>
  <c r="AF436" i="17" s="1" a="1"/>
  <c r="AF436" i="17" s="1"/>
  <c r="L435" i="17"/>
  <c r="AF435" i="17" s="1" a="1"/>
  <c r="AF435" i="17" s="1"/>
  <c r="L434" i="17"/>
  <c r="AF434" i="17" s="1" a="1"/>
  <c r="AF434" i="17" s="1"/>
  <c r="L433" i="17"/>
  <c r="AF433" i="17" s="1" a="1"/>
  <c r="AF433" i="17" s="1"/>
  <c r="L432" i="17"/>
  <c r="AF432" i="17" s="1" a="1"/>
  <c r="AF432" i="17" s="1"/>
  <c r="L431" i="17"/>
  <c r="AF431" i="17" s="1" a="1"/>
  <c r="AF431" i="17" s="1"/>
  <c r="L430" i="17"/>
  <c r="AF430" i="17" s="1" a="1"/>
  <c r="AF430" i="17" s="1"/>
  <c r="L429" i="17"/>
  <c r="AF429" i="17" s="1" a="1"/>
  <c r="AF429" i="17" s="1"/>
  <c r="L428" i="17"/>
  <c r="AF428" i="17" s="1" a="1"/>
  <c r="AF428" i="17" s="1"/>
  <c r="L427" i="17"/>
  <c r="AF427" i="17" s="1" a="1"/>
  <c r="AF427" i="17" s="1"/>
  <c r="L426" i="17"/>
  <c r="AF426" i="17" s="1" a="1"/>
  <c r="AF426" i="17" s="1"/>
  <c r="L425" i="17"/>
  <c r="AF425" i="17" s="1" a="1"/>
  <c r="AF425" i="17" s="1"/>
  <c r="L424" i="17"/>
  <c r="AF424" i="17" s="1" a="1"/>
  <c r="AF424" i="17" s="1"/>
  <c r="L423" i="17"/>
  <c r="AF423" i="17" s="1" a="1"/>
  <c r="AF423" i="17" s="1"/>
  <c r="L422" i="17"/>
  <c r="AF422" i="17" s="1" a="1"/>
  <c r="AF422" i="17" s="1"/>
  <c r="L421" i="17"/>
  <c r="AF421" i="17" s="1" a="1"/>
  <c r="AF421" i="17" s="1"/>
  <c r="L420" i="17"/>
  <c r="AF420" i="17" s="1" a="1"/>
  <c r="AF420" i="17" s="1"/>
  <c r="L419" i="17"/>
  <c r="AF419" i="17" s="1" a="1"/>
  <c r="AF419" i="17" s="1"/>
  <c r="L418" i="17"/>
  <c r="AF418" i="17" s="1" a="1"/>
  <c r="AF418" i="17" s="1"/>
  <c r="L417" i="17"/>
  <c r="AF417" i="17" s="1" a="1"/>
  <c r="AF417" i="17" s="1"/>
  <c r="L416" i="17"/>
  <c r="AF416" i="17" s="1" a="1"/>
  <c r="AF416" i="17" s="1"/>
  <c r="L415" i="17"/>
  <c r="AF415" i="17" s="1" a="1"/>
  <c r="AF415" i="17" s="1"/>
  <c r="L414" i="17"/>
  <c r="AF414" i="17" s="1" a="1"/>
  <c r="AF414" i="17" s="1"/>
  <c r="L413" i="17"/>
  <c r="AF413" i="17" s="1" a="1"/>
  <c r="AF413" i="17" s="1"/>
  <c r="L412" i="17"/>
  <c r="AF412" i="17" s="1" a="1"/>
  <c r="AF412" i="17" s="1"/>
  <c r="L411" i="17"/>
  <c r="AF411" i="17" s="1" a="1"/>
  <c r="AF411" i="17" s="1"/>
  <c r="L410" i="17"/>
  <c r="AF410" i="17" s="1" a="1"/>
  <c r="AF410" i="17" s="1"/>
  <c r="L409" i="17"/>
  <c r="AF409" i="17" s="1" a="1"/>
  <c r="AF409" i="17" s="1"/>
  <c r="L408" i="17"/>
  <c r="AF408" i="17" s="1" a="1"/>
  <c r="AF408" i="17" s="1"/>
  <c r="L407" i="17"/>
  <c r="AF407" i="17" s="1" a="1"/>
  <c r="AF407" i="17" s="1"/>
  <c r="L406" i="17"/>
  <c r="AF406" i="17" s="1" a="1"/>
  <c r="AF406" i="17" s="1"/>
  <c r="L405" i="17"/>
  <c r="AF405" i="17" s="1" a="1"/>
  <c r="AF405" i="17" s="1"/>
  <c r="L404" i="17"/>
  <c r="AF404" i="17" s="1" a="1"/>
  <c r="AF404" i="17" s="1"/>
  <c r="L403" i="17"/>
  <c r="AF403" i="17" s="1" a="1"/>
  <c r="AF403" i="17" s="1"/>
  <c r="L402" i="17"/>
  <c r="AF402" i="17" s="1" a="1"/>
  <c r="AF402" i="17" s="1"/>
  <c r="L401" i="17"/>
  <c r="AF401" i="17" s="1" a="1"/>
  <c r="AF401" i="17" s="1"/>
  <c r="L400" i="17"/>
  <c r="AF400" i="17" s="1" a="1"/>
  <c r="AF400" i="17" s="1"/>
  <c r="L399" i="17"/>
  <c r="AF399" i="17" s="1" a="1"/>
  <c r="AF399" i="17" s="1"/>
  <c r="L398" i="17"/>
  <c r="AF398" i="17" s="1" a="1"/>
  <c r="AF398" i="17" s="1"/>
  <c r="L397" i="17"/>
  <c r="AF397" i="17" s="1" a="1"/>
  <c r="AF397" i="17" s="1"/>
  <c r="L396" i="17"/>
  <c r="AF396" i="17" s="1" a="1"/>
  <c r="AF396" i="17" s="1"/>
  <c r="L395" i="17"/>
  <c r="AF395" i="17" s="1" a="1"/>
  <c r="AF395" i="17" s="1"/>
  <c r="L394" i="17"/>
  <c r="AF394" i="17" s="1" a="1"/>
  <c r="AF394" i="17" s="1"/>
  <c r="L393" i="17"/>
  <c r="AF393" i="17" s="1" a="1"/>
  <c r="AF393" i="17" s="1"/>
  <c r="L392" i="17"/>
  <c r="AF392" i="17" s="1" a="1"/>
  <c r="AF392" i="17" s="1"/>
  <c r="L391" i="17"/>
  <c r="AF391" i="17" s="1" a="1"/>
  <c r="AF391" i="17" s="1"/>
  <c r="L390" i="17"/>
  <c r="AF390" i="17" s="1" a="1"/>
  <c r="AF390" i="17" s="1"/>
  <c r="L389" i="17"/>
  <c r="AF389" i="17" s="1" a="1"/>
  <c r="AF389" i="17" s="1"/>
  <c r="L388" i="17"/>
  <c r="AF388" i="17" s="1" a="1"/>
  <c r="AF388" i="17" s="1"/>
  <c r="L387" i="17"/>
  <c r="AF387" i="17" s="1" a="1"/>
  <c r="AF387" i="17" s="1"/>
  <c r="L386" i="17"/>
  <c r="AF386" i="17" s="1" a="1"/>
  <c r="AF386" i="17" s="1"/>
  <c r="L385" i="17"/>
  <c r="AF385" i="17" s="1" a="1"/>
  <c r="AF385" i="17" s="1"/>
  <c r="L384" i="17"/>
  <c r="AF384" i="17" s="1" a="1"/>
  <c r="AF384" i="17" s="1"/>
  <c r="L383" i="17"/>
  <c r="AF383" i="17" s="1" a="1"/>
  <c r="AF383" i="17" s="1"/>
  <c r="L382" i="17"/>
  <c r="AF382" i="17" s="1" a="1"/>
  <c r="AF382" i="17" s="1"/>
  <c r="L381" i="17"/>
  <c r="AF381" i="17" s="1" a="1"/>
  <c r="AF381" i="17" s="1"/>
  <c r="L380" i="17"/>
  <c r="AF380" i="17" s="1" a="1"/>
  <c r="AF380" i="17" s="1"/>
  <c r="L379" i="17"/>
  <c r="AF379" i="17" s="1" a="1"/>
  <c r="AF379" i="17" s="1"/>
  <c r="L378" i="17"/>
  <c r="AF378" i="17" s="1" a="1"/>
  <c r="AF378" i="17" s="1"/>
  <c r="L377" i="17"/>
  <c r="AF377" i="17" s="1" a="1"/>
  <c r="AF377" i="17" s="1"/>
  <c r="L376" i="17"/>
  <c r="AF376" i="17" s="1" a="1"/>
  <c r="AF376" i="17" s="1"/>
  <c r="L375" i="17"/>
  <c r="AF375" i="17" s="1" a="1"/>
  <c r="AF375" i="17" s="1"/>
  <c r="L374" i="17"/>
  <c r="AF374" i="17" s="1" a="1"/>
  <c r="AF374" i="17" s="1"/>
  <c r="L373" i="17"/>
  <c r="AF373" i="17" s="1" a="1"/>
  <c r="AF373" i="17" s="1"/>
  <c r="L372" i="17"/>
  <c r="AF372" i="17" s="1" a="1"/>
  <c r="AF372" i="17" s="1"/>
  <c r="L371" i="17"/>
  <c r="AF371" i="17" s="1" a="1"/>
  <c r="AF371" i="17" s="1"/>
  <c r="L370" i="17"/>
  <c r="AF370" i="17" s="1" a="1"/>
  <c r="AF370" i="17" s="1"/>
  <c r="L369" i="17"/>
  <c r="AF369" i="17" s="1" a="1"/>
  <c r="AF369" i="17" s="1"/>
  <c r="L368" i="17"/>
  <c r="AF368" i="17" s="1" a="1"/>
  <c r="AF368" i="17" s="1"/>
  <c r="L367" i="17"/>
  <c r="AF367" i="17" s="1" a="1"/>
  <c r="AF367" i="17" s="1"/>
  <c r="L366" i="17"/>
  <c r="AF366" i="17" s="1" a="1"/>
  <c r="AF366" i="17" s="1"/>
  <c r="L365" i="17"/>
  <c r="AF365" i="17" s="1" a="1"/>
  <c r="AF365" i="17" s="1"/>
  <c r="L364" i="17"/>
  <c r="AF364" i="17" s="1" a="1"/>
  <c r="AF364" i="17" s="1"/>
  <c r="L363" i="17"/>
  <c r="AF363" i="17" s="1" a="1"/>
  <c r="AF363" i="17" s="1"/>
  <c r="L362" i="17"/>
  <c r="AF362" i="17" s="1" a="1"/>
  <c r="AF362" i="17" s="1"/>
  <c r="L361" i="17"/>
  <c r="AF361" i="17" s="1" a="1"/>
  <c r="AF361" i="17" s="1"/>
  <c r="L360" i="17"/>
  <c r="AF360" i="17" s="1" a="1"/>
  <c r="AF360" i="17" s="1"/>
  <c r="L359" i="17"/>
  <c r="AF359" i="17" s="1" a="1"/>
  <c r="AF359" i="17" s="1"/>
  <c r="L358" i="17"/>
  <c r="AF358" i="17" s="1" a="1"/>
  <c r="AF358" i="17" s="1"/>
  <c r="L357" i="17"/>
  <c r="AF357" i="17" s="1" a="1"/>
  <c r="AF357" i="17" s="1"/>
  <c r="L356" i="17"/>
  <c r="AF356" i="17" s="1" a="1"/>
  <c r="AF356" i="17" s="1"/>
  <c r="L355" i="17"/>
  <c r="AF355" i="17" s="1" a="1"/>
  <c r="AF355" i="17" s="1"/>
  <c r="L354" i="17"/>
  <c r="AF354" i="17" s="1" a="1"/>
  <c r="AF354" i="17" s="1"/>
  <c r="L353" i="17"/>
  <c r="AF353" i="17" s="1" a="1"/>
  <c r="AF353" i="17" s="1"/>
  <c r="L352" i="17"/>
  <c r="AF352" i="17" s="1" a="1"/>
  <c r="AF352" i="17" s="1"/>
  <c r="L351" i="17"/>
  <c r="AF351" i="17" s="1" a="1"/>
  <c r="AF351" i="17" s="1"/>
  <c r="L350" i="17"/>
  <c r="AF350" i="17" s="1" a="1"/>
  <c r="AF350" i="17" s="1"/>
  <c r="L349" i="17"/>
  <c r="AF349" i="17" s="1" a="1"/>
  <c r="AF349" i="17" s="1"/>
  <c r="L348" i="17"/>
  <c r="AF348" i="17" s="1" a="1"/>
  <c r="AF348" i="17" s="1"/>
  <c r="L347" i="17"/>
  <c r="AF347" i="17" s="1" a="1"/>
  <c r="AF347" i="17" s="1"/>
  <c r="L346" i="17"/>
  <c r="AF346" i="17" s="1" a="1"/>
  <c r="AF346" i="17" s="1"/>
  <c r="L345" i="17"/>
  <c r="AF345" i="17" s="1" a="1"/>
  <c r="AF345" i="17" s="1"/>
  <c r="L344" i="17"/>
  <c r="AF344" i="17" s="1" a="1"/>
  <c r="AF344" i="17" s="1"/>
  <c r="L343" i="17"/>
  <c r="AF343" i="17" s="1" a="1"/>
  <c r="AF343" i="17" s="1"/>
  <c r="L342" i="17"/>
  <c r="AF342" i="17" s="1" a="1"/>
  <c r="AF342" i="17" s="1"/>
  <c r="L341" i="17"/>
  <c r="AF341" i="17" s="1" a="1"/>
  <c r="AF341" i="17" s="1"/>
  <c r="L340" i="17"/>
  <c r="AF340" i="17" s="1" a="1"/>
  <c r="AF340" i="17" s="1"/>
  <c r="L339" i="17"/>
  <c r="AF339" i="17" s="1" a="1"/>
  <c r="AF339" i="17" s="1"/>
  <c r="L338" i="17"/>
  <c r="AF338" i="17" s="1" a="1"/>
  <c r="AF338" i="17" s="1"/>
  <c r="L337" i="17"/>
  <c r="AF337" i="17" s="1" a="1"/>
  <c r="AF337" i="17" s="1"/>
  <c r="L336" i="17"/>
  <c r="AF336" i="17" s="1" a="1"/>
  <c r="AF336" i="17" s="1"/>
  <c r="L335" i="17"/>
  <c r="AF335" i="17" s="1" a="1"/>
  <c r="AF335" i="17" s="1"/>
  <c r="L334" i="17"/>
  <c r="AF334" i="17" s="1" a="1"/>
  <c r="AF334" i="17" s="1"/>
  <c r="L333" i="17"/>
  <c r="AF333" i="17" s="1" a="1"/>
  <c r="AF333" i="17" s="1"/>
  <c r="L332" i="17"/>
  <c r="AF332" i="17" s="1" a="1"/>
  <c r="AF332" i="17" s="1"/>
  <c r="L331" i="17"/>
  <c r="AF331" i="17" s="1" a="1"/>
  <c r="AF331" i="17" s="1"/>
  <c r="L330" i="17"/>
  <c r="AF330" i="17" s="1" a="1"/>
  <c r="AF330" i="17" s="1"/>
  <c r="L329" i="17"/>
  <c r="AF329" i="17" s="1" a="1"/>
  <c r="AF329" i="17" s="1"/>
  <c r="L328" i="17"/>
  <c r="AF328" i="17" s="1" a="1"/>
  <c r="AF328" i="17" s="1"/>
  <c r="L327" i="17"/>
  <c r="AF327" i="17" s="1" a="1"/>
  <c r="AF327" i="17" s="1"/>
  <c r="L326" i="17"/>
  <c r="AF326" i="17" s="1" a="1"/>
  <c r="AF326" i="17" s="1"/>
  <c r="L325" i="17"/>
  <c r="AF325" i="17" s="1" a="1"/>
  <c r="AF325" i="17" s="1"/>
  <c r="L324" i="17"/>
  <c r="AF324" i="17" s="1" a="1"/>
  <c r="AF324" i="17" s="1"/>
  <c r="L323" i="17"/>
  <c r="AF323" i="17" s="1" a="1"/>
  <c r="AF323" i="17" s="1"/>
  <c r="L322" i="17"/>
  <c r="AF322" i="17" s="1" a="1"/>
  <c r="AF322" i="17" s="1"/>
  <c r="L321" i="17"/>
  <c r="AF321" i="17" s="1" a="1"/>
  <c r="AF321" i="17" s="1"/>
  <c r="L320" i="17"/>
  <c r="AF320" i="17" s="1" a="1"/>
  <c r="AF320" i="17" s="1"/>
  <c r="L319" i="17"/>
  <c r="AF319" i="17" s="1" a="1"/>
  <c r="AF319" i="17" s="1"/>
  <c r="L318" i="17"/>
  <c r="AF318" i="17" s="1" a="1"/>
  <c r="AF318" i="17" s="1"/>
  <c r="L317" i="17"/>
  <c r="AF317" i="17" s="1" a="1"/>
  <c r="AF317" i="17" s="1"/>
  <c r="L316" i="17"/>
  <c r="AF316" i="17" s="1" a="1"/>
  <c r="AF316" i="17" s="1"/>
  <c r="L315" i="17"/>
  <c r="AF315" i="17" s="1" a="1"/>
  <c r="AF315" i="17" s="1"/>
  <c r="L314" i="17"/>
  <c r="AF314" i="17" s="1" a="1"/>
  <c r="AF314" i="17" s="1"/>
  <c r="L313" i="17"/>
  <c r="AF313" i="17" s="1" a="1"/>
  <c r="AF313" i="17" s="1"/>
  <c r="L312" i="17"/>
  <c r="AF312" i="17" s="1" a="1"/>
  <c r="AF312" i="17" s="1"/>
  <c r="L311" i="17"/>
  <c r="AF311" i="17" s="1" a="1"/>
  <c r="AF311" i="17" s="1"/>
  <c r="L310" i="17"/>
  <c r="AF310" i="17" s="1" a="1"/>
  <c r="AF310" i="17" s="1"/>
  <c r="L309" i="17"/>
  <c r="AF309" i="17" s="1" a="1"/>
  <c r="AF309" i="17" s="1"/>
  <c r="L308" i="17"/>
  <c r="AF308" i="17" s="1" a="1"/>
  <c r="AF308" i="17" s="1"/>
  <c r="L307" i="17"/>
  <c r="AF307" i="17" s="1" a="1"/>
  <c r="AF307" i="17" s="1"/>
  <c r="L306" i="17"/>
  <c r="AF306" i="17" s="1" a="1"/>
  <c r="AF306" i="17" s="1"/>
  <c r="L305" i="17"/>
  <c r="AF305" i="17" s="1" a="1"/>
  <c r="AF305" i="17" s="1"/>
  <c r="L304" i="17"/>
  <c r="AF304" i="17" s="1" a="1"/>
  <c r="AF304" i="17" s="1"/>
  <c r="L303" i="17"/>
  <c r="AF303" i="17" s="1" a="1"/>
  <c r="AF303" i="17" s="1"/>
  <c r="L302" i="17"/>
  <c r="AF302" i="17" s="1" a="1"/>
  <c r="AF302" i="17" s="1"/>
  <c r="L301" i="17"/>
  <c r="AF301" i="17" s="1" a="1"/>
  <c r="AF301" i="17" s="1"/>
  <c r="L300" i="17"/>
  <c r="AF300" i="17" s="1" a="1"/>
  <c r="AF300" i="17" s="1"/>
  <c r="L299" i="17"/>
  <c r="AF299" i="17" s="1" a="1"/>
  <c r="AF299" i="17" s="1"/>
  <c r="L298" i="17"/>
  <c r="AF298" i="17" s="1" a="1"/>
  <c r="AF298" i="17" s="1"/>
  <c r="L297" i="17"/>
  <c r="AF297" i="17" s="1" a="1"/>
  <c r="AF297" i="17" s="1"/>
  <c r="L296" i="17"/>
  <c r="AF296" i="17" s="1" a="1"/>
  <c r="AF296" i="17" s="1"/>
  <c r="L295" i="17"/>
  <c r="AF295" i="17" s="1" a="1"/>
  <c r="AF295" i="17" s="1"/>
  <c r="L294" i="17"/>
  <c r="AF294" i="17" s="1" a="1"/>
  <c r="AF294" i="17" s="1"/>
  <c r="L293" i="17"/>
  <c r="AF293" i="17" s="1" a="1"/>
  <c r="AF293" i="17" s="1"/>
  <c r="L292" i="17"/>
  <c r="AF292" i="17" s="1" a="1"/>
  <c r="AF292" i="17" s="1"/>
  <c r="L291" i="17"/>
  <c r="AF291" i="17" s="1" a="1"/>
  <c r="AF291" i="17" s="1"/>
  <c r="L290" i="17"/>
  <c r="AF290" i="17" s="1" a="1"/>
  <c r="AF290" i="17" s="1"/>
  <c r="L289" i="17"/>
  <c r="AF289" i="17" s="1" a="1"/>
  <c r="AF289" i="17" s="1"/>
  <c r="L288" i="17"/>
  <c r="AF288" i="17" s="1" a="1"/>
  <c r="AF288" i="17" s="1"/>
  <c r="L287" i="17"/>
  <c r="AF287" i="17" s="1" a="1"/>
  <c r="AF287" i="17" s="1"/>
  <c r="L286" i="17"/>
  <c r="AF286" i="17" s="1" a="1"/>
  <c r="AF286" i="17" s="1"/>
  <c r="L285" i="17"/>
  <c r="AF285" i="17" s="1" a="1"/>
  <c r="AF285" i="17" s="1"/>
  <c r="L284" i="17"/>
  <c r="AF284" i="17" s="1" a="1"/>
  <c r="AF284" i="17" s="1"/>
  <c r="L283" i="17"/>
  <c r="AF283" i="17" s="1" a="1"/>
  <c r="AF283" i="17" s="1"/>
  <c r="L282" i="17"/>
  <c r="AF282" i="17" s="1" a="1"/>
  <c r="AF282" i="17" s="1"/>
  <c r="L281" i="17"/>
  <c r="AF281" i="17" s="1" a="1"/>
  <c r="AF281" i="17" s="1"/>
  <c r="L280" i="17"/>
  <c r="AF280" i="17" s="1" a="1"/>
  <c r="AF280" i="17" s="1"/>
  <c r="L279" i="17"/>
  <c r="AF279" i="17" s="1" a="1"/>
  <c r="AF279" i="17" s="1"/>
  <c r="L278" i="17"/>
  <c r="AF278" i="17" s="1" a="1"/>
  <c r="AF278" i="17" s="1"/>
  <c r="L277" i="17"/>
  <c r="AF277" i="17" s="1" a="1"/>
  <c r="AF277" i="17" s="1"/>
  <c r="L276" i="17"/>
  <c r="AF276" i="17" s="1" a="1"/>
  <c r="AF276" i="17" s="1"/>
  <c r="L275" i="17"/>
  <c r="AF275" i="17" s="1" a="1"/>
  <c r="AF275" i="17" s="1"/>
  <c r="L274" i="17"/>
  <c r="AF274" i="17" s="1" a="1"/>
  <c r="AF274" i="17" s="1"/>
  <c r="L273" i="17"/>
  <c r="AF273" i="17" s="1" a="1"/>
  <c r="AF273" i="17" s="1"/>
  <c r="L272" i="17"/>
  <c r="AF272" i="17" s="1" a="1"/>
  <c r="AF272" i="17" s="1"/>
  <c r="L271" i="17"/>
  <c r="AF271" i="17" s="1" a="1"/>
  <c r="AF271" i="17" s="1"/>
  <c r="L270" i="17"/>
  <c r="AF270" i="17" s="1" a="1"/>
  <c r="AF270" i="17" s="1"/>
  <c r="L269" i="17"/>
  <c r="AF269" i="17" s="1" a="1"/>
  <c r="AF269" i="17" s="1"/>
  <c r="L268" i="17"/>
  <c r="AF268" i="17" s="1" a="1"/>
  <c r="AF268" i="17" s="1"/>
  <c r="L267" i="17"/>
  <c r="AF267" i="17" s="1" a="1"/>
  <c r="AF267" i="17" s="1"/>
  <c r="L266" i="17"/>
  <c r="AF266" i="17" s="1" a="1"/>
  <c r="AF266" i="17" s="1"/>
  <c r="L265" i="17"/>
  <c r="AF265" i="17" s="1" a="1"/>
  <c r="AF265" i="17" s="1"/>
  <c r="L264" i="17"/>
  <c r="AF264" i="17" s="1" a="1"/>
  <c r="AF264" i="17" s="1"/>
  <c r="L263" i="17"/>
  <c r="AF263" i="17" s="1" a="1"/>
  <c r="AF263" i="17" s="1"/>
  <c r="L262" i="17"/>
  <c r="AF262" i="17" s="1" a="1"/>
  <c r="AF262" i="17" s="1"/>
  <c r="L261" i="17"/>
  <c r="AF261" i="17" s="1" a="1"/>
  <c r="AF261" i="17" s="1"/>
  <c r="L260" i="17"/>
  <c r="AF260" i="17" s="1" a="1"/>
  <c r="AF260" i="17" s="1"/>
  <c r="L259" i="17"/>
  <c r="AF259" i="17" s="1" a="1"/>
  <c r="AF259" i="17" s="1"/>
  <c r="L258" i="17"/>
  <c r="AF258" i="17" s="1" a="1"/>
  <c r="AF258" i="17" s="1"/>
  <c r="L257" i="17"/>
  <c r="AF257" i="17" s="1" a="1"/>
  <c r="AF257" i="17" s="1"/>
  <c r="L256" i="17"/>
  <c r="AF256" i="17" s="1" a="1"/>
  <c r="AF256" i="17" s="1"/>
  <c r="L255" i="17"/>
  <c r="AF255" i="17" s="1" a="1"/>
  <c r="AF255" i="17" s="1"/>
  <c r="L254" i="17"/>
  <c r="AF254" i="17" s="1" a="1"/>
  <c r="AF254" i="17" s="1"/>
  <c r="L253" i="17"/>
  <c r="AF253" i="17" s="1" a="1"/>
  <c r="AF253" i="17" s="1"/>
  <c r="L252" i="17"/>
  <c r="AF252" i="17" s="1" a="1"/>
  <c r="AF252" i="17" s="1"/>
  <c r="L251" i="17"/>
  <c r="AF251" i="17" s="1" a="1"/>
  <c r="AF251" i="17" s="1"/>
  <c r="L250" i="17"/>
  <c r="AF250" i="17" s="1" a="1"/>
  <c r="AF250" i="17" s="1"/>
  <c r="L249" i="17"/>
  <c r="AF249" i="17" s="1" a="1"/>
  <c r="AF249" i="17" s="1"/>
  <c r="L248" i="17"/>
  <c r="AF248" i="17" s="1" a="1"/>
  <c r="AF248" i="17" s="1"/>
  <c r="L247" i="17"/>
  <c r="AF247" i="17" s="1" a="1"/>
  <c r="AF247" i="17" s="1"/>
  <c r="L246" i="17"/>
  <c r="AF246" i="17" s="1" a="1"/>
  <c r="AF246" i="17" s="1"/>
  <c r="L245" i="17"/>
  <c r="AF245" i="17" s="1" a="1"/>
  <c r="AF245" i="17" s="1"/>
  <c r="L244" i="17"/>
  <c r="AF244" i="17" s="1" a="1"/>
  <c r="AF244" i="17" s="1"/>
  <c r="L243" i="17"/>
  <c r="AF243" i="17" s="1" a="1"/>
  <c r="AF243" i="17" s="1"/>
  <c r="L242" i="17"/>
  <c r="AF242" i="17" s="1" a="1"/>
  <c r="AF242" i="17" s="1"/>
  <c r="L241" i="17"/>
  <c r="AF241" i="17" s="1" a="1"/>
  <c r="AF241" i="17" s="1"/>
  <c r="L240" i="17"/>
  <c r="AF240" i="17" s="1" a="1"/>
  <c r="AF240" i="17" s="1"/>
  <c r="L239" i="17"/>
  <c r="AF239" i="17" s="1" a="1"/>
  <c r="AF239" i="17" s="1"/>
  <c r="L238" i="17"/>
  <c r="AF238" i="17" s="1" a="1"/>
  <c r="AF238" i="17" s="1"/>
  <c r="L237" i="17"/>
  <c r="AF237" i="17" s="1" a="1"/>
  <c r="AF237" i="17" s="1"/>
  <c r="L236" i="17"/>
  <c r="AF236" i="17" s="1" a="1"/>
  <c r="AF236" i="17" s="1"/>
  <c r="L235" i="17"/>
  <c r="AF235" i="17" s="1" a="1"/>
  <c r="AF235" i="17" s="1"/>
  <c r="L234" i="17"/>
  <c r="AF234" i="17" s="1" a="1"/>
  <c r="AF234" i="17" s="1"/>
  <c r="L233" i="17"/>
  <c r="AF233" i="17" s="1" a="1"/>
  <c r="AF233" i="17" s="1"/>
  <c r="L232" i="17"/>
  <c r="AF232" i="17" s="1" a="1"/>
  <c r="AF232" i="17" s="1"/>
  <c r="L231" i="17"/>
  <c r="AF231" i="17" s="1" a="1"/>
  <c r="AF231" i="17" s="1"/>
  <c r="L230" i="17"/>
  <c r="AF230" i="17" s="1" a="1"/>
  <c r="AF230" i="17" s="1"/>
  <c r="L229" i="17"/>
  <c r="AF229" i="17" s="1" a="1"/>
  <c r="AF229" i="17" s="1"/>
  <c r="L228" i="17"/>
  <c r="AF228" i="17" s="1" a="1"/>
  <c r="AF228" i="17" s="1"/>
  <c r="L227" i="17"/>
  <c r="AF227" i="17" s="1" a="1"/>
  <c r="AF227" i="17" s="1"/>
  <c r="L226" i="17"/>
  <c r="AF226" i="17" s="1" a="1"/>
  <c r="AF226" i="17" s="1"/>
  <c r="L225" i="17"/>
  <c r="AF225" i="17" s="1" a="1"/>
  <c r="AF225" i="17" s="1"/>
  <c r="L224" i="17"/>
  <c r="AF224" i="17" s="1" a="1"/>
  <c r="AF224" i="17" s="1"/>
  <c r="L223" i="17"/>
  <c r="AF223" i="17" s="1" a="1"/>
  <c r="AF223" i="17" s="1"/>
  <c r="L222" i="17"/>
  <c r="AF222" i="17" s="1" a="1"/>
  <c r="AF222" i="17" s="1"/>
  <c r="L221" i="17"/>
  <c r="AF221" i="17" s="1" a="1"/>
  <c r="AF221" i="17" s="1"/>
  <c r="L220" i="17"/>
  <c r="AF220" i="17" s="1" a="1"/>
  <c r="AF220" i="17" s="1"/>
  <c r="L219" i="17"/>
  <c r="AF219" i="17" s="1" a="1"/>
  <c r="AF219" i="17" s="1"/>
  <c r="L218" i="17"/>
  <c r="AF218" i="17" s="1" a="1"/>
  <c r="AF218" i="17" s="1"/>
  <c r="L217" i="17"/>
  <c r="AF217" i="17" s="1" a="1"/>
  <c r="AF217" i="17" s="1"/>
  <c r="L216" i="17"/>
  <c r="AF216" i="17" s="1" a="1"/>
  <c r="AF216" i="17" s="1"/>
  <c r="L215" i="17"/>
  <c r="AF215" i="17" s="1" a="1"/>
  <c r="AF215" i="17" s="1"/>
  <c r="L214" i="17"/>
  <c r="AF214" i="17" s="1" a="1"/>
  <c r="AF214" i="17" s="1"/>
  <c r="L213" i="17"/>
  <c r="AF213" i="17" s="1" a="1"/>
  <c r="AF213" i="17" s="1"/>
  <c r="L212" i="17"/>
  <c r="AF212" i="17" s="1" a="1"/>
  <c r="AF212" i="17" s="1"/>
  <c r="L211" i="17"/>
  <c r="AF211" i="17" s="1" a="1"/>
  <c r="AF211" i="17" s="1"/>
  <c r="L210" i="17"/>
  <c r="AF210" i="17" s="1" a="1"/>
  <c r="AF210" i="17" s="1"/>
  <c r="L209" i="17"/>
  <c r="AF209" i="17" s="1" a="1"/>
  <c r="AF209" i="17" s="1"/>
  <c r="L208" i="17"/>
  <c r="AF208" i="17" s="1" a="1"/>
  <c r="AF208" i="17" s="1"/>
  <c r="L207" i="17"/>
  <c r="AF207" i="17" s="1" a="1"/>
  <c r="AF207" i="17" s="1"/>
  <c r="L206" i="17"/>
  <c r="AF206" i="17" s="1" a="1"/>
  <c r="AF206" i="17" s="1"/>
  <c r="L205" i="17"/>
  <c r="AF205" i="17" s="1" a="1"/>
  <c r="AF205" i="17" s="1"/>
  <c r="L204" i="17"/>
  <c r="AF204" i="17" s="1" a="1"/>
  <c r="AF204" i="17" s="1"/>
  <c r="L203" i="17"/>
  <c r="AF203" i="17" s="1" a="1"/>
  <c r="AF203" i="17" s="1"/>
  <c r="L202" i="17"/>
  <c r="AF202" i="17" s="1" a="1"/>
  <c r="AF202" i="17" s="1"/>
  <c r="L201" i="17"/>
  <c r="AF201" i="17" s="1" a="1"/>
  <c r="AF201" i="17" s="1"/>
  <c r="L200" i="17"/>
  <c r="AF200" i="17" s="1" a="1"/>
  <c r="AF200" i="17" s="1"/>
  <c r="L199" i="17"/>
  <c r="AF199" i="17" s="1" a="1"/>
  <c r="AF199" i="17" s="1"/>
  <c r="L198" i="17"/>
  <c r="AF198" i="17" s="1" a="1"/>
  <c r="AF198" i="17" s="1"/>
  <c r="L197" i="17"/>
  <c r="AF197" i="17" s="1" a="1"/>
  <c r="AF197" i="17" s="1"/>
  <c r="L196" i="17"/>
  <c r="AF196" i="17" s="1" a="1"/>
  <c r="AF196" i="17" s="1"/>
  <c r="L195" i="17"/>
  <c r="AF195" i="17" s="1" a="1"/>
  <c r="AF195" i="17" s="1"/>
  <c r="L194" i="17"/>
  <c r="AF194" i="17" s="1" a="1"/>
  <c r="AF194" i="17" s="1"/>
  <c r="L193" i="17"/>
  <c r="AF193" i="17" s="1" a="1"/>
  <c r="AF193" i="17" s="1"/>
  <c r="L192" i="17"/>
  <c r="AF192" i="17" s="1" a="1"/>
  <c r="AF192" i="17" s="1"/>
  <c r="L191" i="17"/>
  <c r="AF191" i="17" s="1" a="1"/>
  <c r="AF191" i="17" s="1"/>
  <c r="L190" i="17"/>
  <c r="AF190" i="17" s="1" a="1"/>
  <c r="AF190" i="17" s="1"/>
  <c r="L189" i="17"/>
  <c r="AF189" i="17" s="1" a="1"/>
  <c r="AF189" i="17" s="1"/>
  <c r="L188" i="17"/>
  <c r="AF188" i="17" s="1" a="1"/>
  <c r="AF188" i="17" s="1"/>
  <c r="L187" i="17"/>
  <c r="AF187" i="17" s="1" a="1"/>
  <c r="AF187" i="17" s="1"/>
  <c r="L186" i="17"/>
  <c r="AF186" i="17" s="1" a="1"/>
  <c r="AF186" i="17" s="1"/>
  <c r="L185" i="17"/>
  <c r="AF185" i="17" s="1" a="1"/>
  <c r="AF185" i="17" s="1"/>
  <c r="L184" i="17"/>
  <c r="AF184" i="17" s="1" a="1"/>
  <c r="AF184" i="17" s="1"/>
  <c r="L183" i="17"/>
  <c r="AF183" i="17" s="1" a="1"/>
  <c r="AF183" i="17" s="1"/>
  <c r="L182" i="17"/>
  <c r="AF182" i="17" s="1" a="1"/>
  <c r="AF182" i="17" s="1"/>
  <c r="L181" i="17"/>
  <c r="AF181" i="17" s="1" a="1"/>
  <c r="AF181" i="17" s="1"/>
  <c r="L180" i="17"/>
  <c r="AF180" i="17" s="1" a="1"/>
  <c r="AF180" i="17" s="1"/>
  <c r="L179" i="17"/>
  <c r="AF179" i="17" s="1" a="1"/>
  <c r="AF179" i="17" s="1"/>
  <c r="L178" i="17"/>
  <c r="AF178" i="17" s="1" a="1"/>
  <c r="AF178" i="17" s="1"/>
  <c r="L177" i="17"/>
  <c r="AF177" i="17" s="1" a="1"/>
  <c r="AF177" i="17" s="1"/>
  <c r="L176" i="17"/>
  <c r="AF176" i="17" s="1" a="1"/>
  <c r="AF176" i="17" s="1"/>
  <c r="L175" i="17"/>
  <c r="AF175" i="17" s="1" a="1"/>
  <c r="AF175" i="17" s="1"/>
  <c r="L174" i="17"/>
  <c r="AF174" i="17" s="1" a="1"/>
  <c r="AF174" i="17" s="1"/>
  <c r="L173" i="17"/>
  <c r="AF173" i="17" s="1" a="1"/>
  <c r="AF173" i="17" s="1"/>
  <c r="L172" i="17"/>
  <c r="AF172" i="17" s="1" a="1"/>
  <c r="AF172" i="17" s="1"/>
  <c r="L171" i="17"/>
  <c r="AF171" i="17" s="1" a="1"/>
  <c r="AF171" i="17" s="1"/>
  <c r="L170" i="17"/>
  <c r="AF170" i="17" s="1" a="1"/>
  <c r="AF170" i="17" s="1"/>
  <c r="L169" i="17"/>
  <c r="AF169" i="17" s="1" a="1"/>
  <c r="AF169" i="17" s="1"/>
  <c r="L168" i="17"/>
  <c r="AF168" i="17" s="1" a="1"/>
  <c r="AF168" i="17" s="1"/>
  <c r="L167" i="17"/>
  <c r="AF167" i="17" s="1" a="1"/>
  <c r="AF167" i="17" s="1"/>
  <c r="L166" i="17"/>
  <c r="AF166" i="17" s="1" a="1"/>
  <c r="AF166" i="17" s="1"/>
  <c r="L165" i="17"/>
  <c r="AF165" i="17" s="1" a="1"/>
  <c r="AF165" i="17" s="1"/>
  <c r="L164" i="17"/>
  <c r="AF164" i="17" s="1" a="1"/>
  <c r="AF164" i="17" s="1"/>
  <c r="L163" i="17"/>
  <c r="AF163" i="17" s="1" a="1"/>
  <c r="AF163" i="17" s="1"/>
  <c r="L162" i="17"/>
  <c r="AF162" i="17" s="1" a="1"/>
  <c r="AF162" i="17" s="1"/>
  <c r="L161" i="17"/>
  <c r="AF161" i="17" s="1" a="1"/>
  <c r="AF161" i="17" s="1"/>
  <c r="L160" i="17"/>
  <c r="AF160" i="17" s="1" a="1"/>
  <c r="AF160" i="17" s="1"/>
  <c r="L159" i="17"/>
  <c r="AF159" i="17" s="1" a="1"/>
  <c r="AF159" i="17" s="1"/>
  <c r="L158" i="17"/>
  <c r="AF158" i="17" s="1" a="1"/>
  <c r="AF158" i="17" s="1"/>
  <c r="L157" i="17"/>
  <c r="AF157" i="17" s="1" a="1"/>
  <c r="AF157" i="17" s="1"/>
  <c r="L156" i="17"/>
  <c r="AF156" i="17" s="1" a="1"/>
  <c r="AF156" i="17" s="1"/>
  <c r="L155" i="17"/>
  <c r="AF155" i="17" s="1" a="1"/>
  <c r="AF155" i="17" s="1"/>
  <c r="L154" i="17"/>
  <c r="AF154" i="17" s="1" a="1"/>
  <c r="AF154" i="17" s="1"/>
  <c r="L153" i="17"/>
  <c r="AF153" i="17" s="1" a="1"/>
  <c r="AF153" i="17" s="1"/>
  <c r="L152" i="17"/>
  <c r="AF152" i="17" s="1" a="1"/>
  <c r="AF152" i="17" s="1"/>
  <c r="L151" i="17"/>
  <c r="AF151" i="17" s="1" a="1"/>
  <c r="AF151" i="17" s="1"/>
  <c r="L150" i="17"/>
  <c r="AF150" i="17" s="1" a="1"/>
  <c r="AF150" i="17" s="1"/>
  <c r="L149" i="17"/>
  <c r="AF149" i="17" s="1" a="1"/>
  <c r="AF149" i="17" s="1"/>
  <c r="L148" i="17"/>
  <c r="AF148" i="17" s="1" a="1"/>
  <c r="AF148" i="17" s="1"/>
  <c r="L147" i="17"/>
  <c r="AF147" i="17" s="1" a="1"/>
  <c r="AF147" i="17" s="1"/>
  <c r="L146" i="17"/>
  <c r="AF146" i="17" s="1" a="1"/>
  <c r="AF146" i="17" s="1"/>
  <c r="L145" i="17"/>
  <c r="AF145" i="17" s="1" a="1"/>
  <c r="AF145" i="17" s="1"/>
  <c r="L144" i="17"/>
  <c r="AF144" i="17" s="1" a="1"/>
  <c r="AF144" i="17" s="1"/>
  <c r="L143" i="17"/>
  <c r="AF143" i="17" s="1" a="1"/>
  <c r="AF143" i="17" s="1"/>
  <c r="L142" i="17"/>
  <c r="AF142" i="17" s="1" a="1"/>
  <c r="AF142" i="17" s="1"/>
  <c r="L141" i="17"/>
  <c r="AF141" i="17" s="1" a="1"/>
  <c r="AF141" i="17" s="1"/>
  <c r="L140" i="17"/>
  <c r="AF140" i="17" s="1" a="1"/>
  <c r="AF140" i="17" s="1"/>
  <c r="L139" i="17"/>
  <c r="AF139" i="17" s="1" a="1"/>
  <c r="AF139" i="17" s="1"/>
  <c r="L138" i="17"/>
  <c r="AF138" i="17" s="1" a="1"/>
  <c r="AF138" i="17" s="1"/>
  <c r="L137" i="17"/>
  <c r="AF137" i="17" s="1" a="1"/>
  <c r="AF137" i="17" s="1"/>
  <c r="L136" i="17"/>
  <c r="AF136" i="17" s="1" a="1"/>
  <c r="AF136" i="17" s="1"/>
  <c r="L135" i="17"/>
  <c r="AF135" i="17" s="1" a="1"/>
  <c r="AF135" i="17" s="1"/>
  <c r="L134" i="17"/>
  <c r="AF134" i="17" s="1" a="1"/>
  <c r="AF134" i="17" s="1"/>
  <c r="L133" i="17"/>
  <c r="AF133" i="17" s="1" a="1"/>
  <c r="AF133" i="17" s="1"/>
  <c r="L132" i="17"/>
  <c r="AF132" i="17" s="1" a="1"/>
  <c r="AF132" i="17" s="1"/>
  <c r="L131" i="17"/>
  <c r="AF131" i="17" s="1" a="1"/>
  <c r="AF131" i="17" s="1"/>
  <c r="L130" i="17"/>
  <c r="AF130" i="17" s="1" a="1"/>
  <c r="AF130" i="17" s="1"/>
  <c r="L129" i="17"/>
  <c r="AF129" i="17" s="1" a="1"/>
  <c r="AF129" i="17" s="1"/>
  <c r="L128" i="17"/>
  <c r="AF128" i="17" s="1" a="1"/>
  <c r="AF128" i="17" s="1"/>
  <c r="L127" i="17"/>
  <c r="AF127" i="17" s="1" a="1"/>
  <c r="AF127" i="17" s="1"/>
  <c r="L126" i="17"/>
  <c r="AF126" i="17" s="1" a="1"/>
  <c r="AF126" i="17" s="1"/>
  <c r="L125" i="17"/>
  <c r="AF125" i="17" s="1" a="1"/>
  <c r="AF125" i="17" s="1"/>
  <c r="L124" i="17"/>
  <c r="AF124" i="17" s="1" a="1"/>
  <c r="AF124" i="17" s="1"/>
  <c r="L123" i="17"/>
  <c r="AF123" i="17" s="1" a="1"/>
  <c r="AF123" i="17" s="1"/>
  <c r="L122" i="17"/>
  <c r="AF122" i="17" s="1" a="1"/>
  <c r="AF122" i="17" s="1"/>
  <c r="L121" i="17"/>
  <c r="AF121" i="17" s="1" a="1"/>
  <c r="AF121" i="17" s="1"/>
  <c r="L120" i="17"/>
  <c r="AF120" i="17" s="1" a="1"/>
  <c r="AF120" i="17" s="1"/>
  <c r="L119" i="17"/>
  <c r="AF119" i="17" s="1" a="1"/>
  <c r="AF119" i="17" s="1"/>
  <c r="L118" i="17"/>
  <c r="AF118" i="17" s="1" a="1"/>
  <c r="AF118" i="17" s="1"/>
  <c r="L117" i="17"/>
  <c r="AF117" i="17" s="1" a="1"/>
  <c r="AF117" i="17" s="1"/>
  <c r="L116" i="17"/>
  <c r="AF116" i="17" s="1" a="1"/>
  <c r="AF116" i="17" s="1"/>
  <c r="L115" i="17"/>
  <c r="AF115" i="17" s="1" a="1"/>
  <c r="AF115" i="17" s="1"/>
  <c r="L114" i="17"/>
  <c r="AF114" i="17" s="1" a="1"/>
  <c r="AF114" i="17" s="1"/>
  <c r="L113" i="17"/>
  <c r="AF113" i="17" s="1" a="1"/>
  <c r="AF113" i="17" s="1"/>
  <c r="L112" i="17"/>
  <c r="AF112" i="17" s="1" a="1"/>
  <c r="AF112" i="17" s="1"/>
  <c r="L111" i="17"/>
  <c r="AF111" i="17" s="1" a="1"/>
  <c r="AF111" i="17" s="1"/>
  <c r="L110" i="17"/>
  <c r="AF110" i="17" s="1" a="1"/>
  <c r="AF110" i="17" s="1"/>
  <c r="L109" i="17"/>
  <c r="AF109" i="17" s="1" a="1"/>
  <c r="AF109" i="17" s="1"/>
  <c r="L108" i="17"/>
  <c r="AF108" i="17" s="1" a="1"/>
  <c r="AF108" i="17" s="1"/>
  <c r="L107" i="17"/>
  <c r="AF107" i="17" s="1" a="1"/>
  <c r="AF107" i="17" s="1"/>
  <c r="L106" i="17"/>
  <c r="AF106" i="17" s="1" a="1"/>
  <c r="AF106" i="17" s="1"/>
  <c r="L105" i="17"/>
  <c r="AF105" i="17" s="1" a="1"/>
  <c r="AF105" i="17" s="1"/>
  <c r="L104" i="17"/>
  <c r="AF104" i="17" s="1" a="1"/>
  <c r="AF104" i="17" s="1"/>
  <c r="L103" i="17"/>
  <c r="AF103" i="17" s="1" a="1"/>
  <c r="AF103" i="17" s="1"/>
  <c r="L102" i="17"/>
  <c r="AF102" i="17" s="1" a="1"/>
  <c r="AF102" i="17" s="1"/>
  <c r="L101" i="17"/>
  <c r="AF101" i="17" s="1" a="1"/>
  <c r="AF101" i="17" s="1"/>
  <c r="L100" i="17"/>
  <c r="AF100" i="17" s="1" a="1"/>
  <c r="AF100" i="17" s="1"/>
  <c r="L99" i="17"/>
  <c r="AF99" i="17" s="1" a="1"/>
  <c r="AF99" i="17" s="1"/>
  <c r="L98" i="17"/>
  <c r="AF98" i="17" s="1" a="1"/>
  <c r="AF98" i="17" s="1"/>
  <c r="L97" i="17"/>
  <c r="AF97" i="17" s="1" a="1"/>
  <c r="AF97" i="17" s="1"/>
  <c r="L96" i="17"/>
  <c r="AF96" i="17" s="1" a="1"/>
  <c r="AF96" i="17" s="1"/>
  <c r="L95" i="17"/>
  <c r="AF95" i="17" s="1" a="1"/>
  <c r="AF95" i="17" s="1"/>
  <c r="L94" i="17"/>
  <c r="AF94" i="17" s="1" a="1"/>
  <c r="AF94" i="17" s="1"/>
  <c r="L93" i="17"/>
  <c r="AF93" i="17" s="1" a="1"/>
  <c r="AF93" i="17" s="1"/>
  <c r="L92" i="17"/>
  <c r="AF92" i="17" s="1" a="1"/>
  <c r="AF92" i="17" s="1"/>
  <c r="L91" i="17"/>
  <c r="AF91" i="17" s="1" a="1"/>
  <c r="AF91" i="17" s="1"/>
  <c r="L90" i="17"/>
  <c r="AF90" i="17" s="1" a="1"/>
  <c r="AF90" i="17" s="1"/>
  <c r="L89" i="17"/>
  <c r="AF89" i="17" s="1" a="1"/>
  <c r="AF89" i="17" s="1"/>
  <c r="L88" i="17"/>
  <c r="AF88" i="17" s="1" a="1"/>
  <c r="AF88" i="17" s="1"/>
  <c r="L87" i="17"/>
  <c r="AF87" i="17" s="1" a="1"/>
  <c r="AF87" i="17" s="1"/>
  <c r="L86" i="17"/>
  <c r="AF86" i="17" s="1" a="1"/>
  <c r="AF86" i="17" s="1"/>
  <c r="L85" i="17"/>
  <c r="AF85" i="17" s="1" a="1"/>
  <c r="AF85" i="17" s="1"/>
  <c r="L84" i="17"/>
  <c r="AF84" i="17" s="1" a="1"/>
  <c r="AF84" i="17" s="1"/>
  <c r="L83" i="17"/>
  <c r="AF83" i="17" s="1" a="1"/>
  <c r="AF83" i="17" s="1"/>
  <c r="L82" i="17"/>
  <c r="AF82" i="17" s="1" a="1"/>
  <c r="AF82" i="17" s="1"/>
  <c r="L81" i="17"/>
  <c r="AF81" i="17" s="1" a="1"/>
  <c r="AF81" i="17" s="1"/>
  <c r="L80" i="17"/>
  <c r="AF80" i="17" s="1" a="1"/>
  <c r="AF80" i="17" s="1"/>
  <c r="L79" i="17"/>
  <c r="AF79" i="17" s="1" a="1"/>
  <c r="AF79" i="17" s="1"/>
  <c r="L78" i="17"/>
  <c r="AF78" i="17" s="1" a="1"/>
  <c r="AF78" i="17" s="1"/>
  <c r="L77" i="17"/>
  <c r="AF77" i="17" s="1" a="1"/>
  <c r="AF77" i="17" s="1"/>
  <c r="L76" i="17"/>
  <c r="AF76" i="17" s="1" a="1"/>
  <c r="AF76" i="17" s="1"/>
  <c r="L75" i="17"/>
  <c r="AF75" i="17" s="1" a="1"/>
  <c r="AF75" i="17" s="1"/>
  <c r="L74" i="17"/>
  <c r="AF74" i="17" s="1" a="1"/>
  <c r="AF74" i="17" s="1"/>
  <c r="L73" i="17"/>
  <c r="AF73" i="17" s="1" a="1"/>
  <c r="AF73" i="17" s="1"/>
  <c r="L72" i="17"/>
  <c r="AF72" i="17" s="1" a="1"/>
  <c r="AF72" i="17" s="1"/>
  <c r="L71" i="17"/>
  <c r="AF71" i="17" s="1" a="1"/>
  <c r="AF71" i="17" s="1"/>
  <c r="L70" i="17"/>
  <c r="AF70" i="17" s="1" a="1"/>
  <c r="AF70" i="17" s="1"/>
  <c r="L69" i="17"/>
  <c r="AF69" i="17" s="1" a="1"/>
  <c r="AF69" i="17" s="1"/>
  <c r="L68" i="17"/>
  <c r="AF68" i="17" s="1" a="1"/>
  <c r="AF68" i="17" s="1"/>
  <c r="L67" i="17"/>
  <c r="AF67" i="17" s="1" a="1"/>
  <c r="AF67" i="17" s="1"/>
  <c r="L66" i="17"/>
  <c r="AF66" i="17" s="1" a="1"/>
  <c r="AF66" i="17" s="1"/>
  <c r="L65" i="17"/>
  <c r="AF65" i="17" s="1" a="1"/>
  <c r="AF65" i="17" s="1"/>
  <c r="L64" i="17"/>
  <c r="AF64" i="17" s="1" a="1"/>
  <c r="AF64" i="17" s="1"/>
  <c r="L63" i="17"/>
  <c r="AF63" i="17" s="1" a="1"/>
  <c r="AF63" i="17" s="1"/>
  <c r="L62" i="17"/>
  <c r="AF62" i="17" s="1" a="1"/>
  <c r="AF62" i="17" s="1"/>
  <c r="L61" i="17"/>
  <c r="AF61" i="17" s="1" a="1"/>
  <c r="AF61" i="17" s="1"/>
  <c r="L60" i="17"/>
  <c r="AF60" i="17" s="1" a="1"/>
  <c r="AF60" i="17" s="1"/>
  <c r="L59" i="17"/>
  <c r="AF59" i="17" s="1" a="1"/>
  <c r="AF59" i="17" s="1"/>
  <c r="L58" i="17"/>
  <c r="AF58" i="17" s="1" a="1"/>
  <c r="AF58" i="17" s="1"/>
  <c r="L57" i="17"/>
  <c r="AF57" i="17" s="1" a="1"/>
  <c r="AF57" i="17" s="1"/>
  <c r="L56" i="17"/>
  <c r="AF56" i="17" s="1" a="1"/>
  <c r="AF56" i="17" s="1"/>
  <c r="L55" i="17"/>
  <c r="AF55" i="17" s="1" a="1"/>
  <c r="AF55" i="17" s="1"/>
  <c r="L54" i="17"/>
  <c r="AF54" i="17" s="1" a="1"/>
  <c r="AF54" i="17" s="1"/>
  <c r="L53" i="17"/>
  <c r="AF53" i="17" s="1" a="1"/>
  <c r="AF53" i="17" s="1"/>
  <c r="L52" i="17"/>
  <c r="AF52" i="17" s="1" a="1"/>
  <c r="AF52" i="17" s="1"/>
  <c r="L51" i="17"/>
  <c r="AF51" i="17" s="1" a="1"/>
  <c r="AF51" i="17" s="1"/>
  <c r="L50" i="17"/>
  <c r="AF50" i="17" s="1" a="1"/>
  <c r="AF50" i="17" s="1"/>
  <c r="L49" i="17"/>
  <c r="AF49" i="17" s="1" a="1"/>
  <c r="AF49" i="17" s="1"/>
  <c r="L48" i="17"/>
  <c r="AF48" i="17" s="1" a="1"/>
  <c r="AF48" i="17" s="1"/>
  <c r="L47" i="17"/>
  <c r="AF47" i="17" s="1" a="1"/>
  <c r="AF47" i="17" s="1"/>
  <c r="L46" i="17"/>
  <c r="AF46" i="17" s="1" a="1"/>
  <c r="AF46" i="17" s="1"/>
  <c r="L45" i="17"/>
  <c r="AF45" i="17" s="1" a="1"/>
  <c r="AF45" i="17" s="1"/>
  <c r="L44" i="17"/>
  <c r="AF44" i="17" s="1" a="1"/>
  <c r="AF44" i="17" s="1"/>
  <c r="L43" i="17"/>
  <c r="AF43" i="17" s="1" a="1"/>
  <c r="AF43" i="17" s="1"/>
  <c r="L42" i="17"/>
  <c r="AF42" i="17" s="1" a="1"/>
  <c r="AF42" i="17" s="1"/>
  <c r="L41" i="17"/>
  <c r="AF41" i="17" s="1" a="1"/>
  <c r="AF41" i="17" s="1"/>
  <c r="L40" i="17"/>
  <c r="AF40" i="17" s="1" a="1"/>
  <c r="AF40" i="17" s="1"/>
  <c r="L39" i="17"/>
  <c r="AF39" i="17" s="1" a="1"/>
  <c r="AF39" i="17" s="1"/>
  <c r="L38" i="17"/>
  <c r="AF38" i="17" s="1" a="1"/>
  <c r="AF38" i="17" s="1"/>
  <c r="L37" i="17"/>
  <c r="AF37" i="17" s="1" a="1"/>
  <c r="AF37" i="17" s="1"/>
  <c r="L36" i="17"/>
  <c r="AF36" i="17" s="1" a="1"/>
  <c r="AF36" i="17" s="1"/>
  <c r="L35" i="17"/>
  <c r="AF35" i="17" s="1" a="1"/>
  <c r="AF35" i="17" s="1"/>
  <c r="L34" i="17"/>
  <c r="AF34" i="17" s="1" a="1"/>
  <c r="AF34" i="17" s="1"/>
  <c r="L33" i="17"/>
  <c r="AF33" i="17" s="1" a="1"/>
  <c r="AF33" i="17" s="1"/>
  <c r="L32" i="17"/>
  <c r="AF32" i="17" s="1" a="1"/>
  <c r="AF32" i="17" s="1"/>
  <c r="L31" i="17"/>
  <c r="AF31" i="17" s="1" a="1"/>
  <c r="AF31" i="17" s="1"/>
  <c r="L30" i="17"/>
  <c r="AF30" i="17" s="1" a="1"/>
  <c r="AF30" i="17" s="1"/>
  <c r="L29" i="17"/>
  <c r="AF29" i="17" s="1" a="1"/>
  <c r="AF29" i="17" s="1"/>
  <c r="L28" i="17"/>
  <c r="AF28" i="17" s="1" a="1"/>
  <c r="AF28" i="17" s="1"/>
  <c r="L27" i="17"/>
  <c r="AF27" i="17" s="1" a="1"/>
  <c r="AF27" i="17" s="1"/>
  <c r="L26" i="17"/>
  <c r="AF26" i="17" s="1" a="1"/>
  <c r="AF26" i="17" s="1"/>
  <c r="L25" i="17"/>
  <c r="AF25" i="17" s="1" a="1"/>
  <c r="AF25" i="17" s="1"/>
  <c r="L24" i="17"/>
  <c r="AF24" i="17" s="1" a="1"/>
  <c r="AF24" i="17" s="1"/>
  <c r="L23" i="17"/>
  <c r="AF23" i="17" s="1" a="1"/>
  <c r="AF23" i="17" s="1"/>
  <c r="L22" i="17"/>
  <c r="AF22" i="17" s="1" a="1"/>
  <c r="AF22" i="17" s="1"/>
  <c r="L21" i="17"/>
  <c r="AF21" i="17" s="1" a="1"/>
  <c r="AF21" i="17" s="1"/>
  <c r="L20" i="17"/>
  <c r="AF20" i="17" s="1" a="1"/>
  <c r="AF20" i="17" s="1"/>
  <c r="L19" i="17"/>
  <c r="AF19" i="17" s="1" a="1"/>
  <c r="AF19" i="17" s="1"/>
  <c r="L18" i="17"/>
  <c r="AF18" i="17" s="1" a="1"/>
  <c r="AF18" i="17" s="1"/>
  <c r="L17" i="17"/>
  <c r="AF17" i="17" s="1" a="1"/>
  <c r="AF17" i="17" s="1"/>
  <c r="L16" i="17"/>
  <c r="AF16" i="17" s="1" a="1"/>
  <c r="AF16" i="17" s="1"/>
  <c r="L15" i="17"/>
  <c r="AF15" i="17" s="1" a="1"/>
  <c r="AF15" i="17" s="1"/>
  <c r="L14" i="17"/>
  <c r="AF14" i="17" s="1" a="1"/>
  <c r="AF14" i="17" s="1"/>
  <c r="L13" i="17"/>
  <c r="AF13" i="17" s="1" a="1"/>
  <c r="AF13" i="17" s="1"/>
  <c r="L12" i="17"/>
  <c r="AF12" i="17" s="1" a="1"/>
  <c r="AF12" i="17" s="1"/>
  <c r="L11" i="17"/>
  <c r="AF11" i="17" s="1" a="1"/>
  <c r="AF11" i="17" s="1"/>
  <c r="L10" i="17"/>
  <c r="AF10" i="17" s="1" a="1"/>
  <c r="AF10" i="17" s="1"/>
  <c r="L9" i="17"/>
  <c r="AF9" i="17" s="1" a="1"/>
  <c r="AF9" i="17" s="1"/>
  <c r="L8" i="17"/>
  <c r="AF8" i="17" s="1" a="1"/>
  <c r="AF8" i="17" s="1"/>
  <c r="L7" i="17"/>
  <c r="AF7" i="17" s="1" a="1"/>
  <c r="AF7" i="17" s="1"/>
  <c r="L6" i="17"/>
  <c r="AF6" i="17" s="1" a="1"/>
  <c r="AF6" i="17" s="1"/>
  <c r="L5" i="17"/>
  <c r="AF5" i="17" s="1" a="1"/>
  <c r="AF5" i="17" s="1"/>
  <c r="L4" i="17"/>
  <c r="AF4" i="17" s="1" a="1"/>
  <c r="AF4" i="17" s="1"/>
  <c r="L3" i="17"/>
  <c r="AF3" i="17" s="1" a="1"/>
  <c r="AF3" i="17" s="1"/>
  <c r="L2" i="17"/>
  <c r="AF2" i="17" s="1" a="1"/>
  <c r="AF2" i="17" s="1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G792" i="24" l="1"/>
  <c r="H792" i="24"/>
  <c r="I792" i="24"/>
  <c r="J792" i="24"/>
  <c r="K792" i="24"/>
  <c r="L792" i="24"/>
  <c r="M792" i="24"/>
  <c r="N792" i="24"/>
  <c r="O792" i="24"/>
  <c r="G791" i="24"/>
  <c r="I791" i="24"/>
  <c r="J791" i="24"/>
  <c r="K791" i="24"/>
  <c r="L791" i="24"/>
  <c r="M791" i="24"/>
  <c r="O791" i="24"/>
  <c r="H791" i="24"/>
  <c r="N791" i="24"/>
  <c r="G790" i="24"/>
  <c r="H790" i="24"/>
  <c r="I790" i="24"/>
  <c r="J790" i="24"/>
  <c r="K790" i="24"/>
  <c r="L790" i="24"/>
  <c r="M790" i="24"/>
  <c r="N790" i="24"/>
  <c r="O790" i="24"/>
  <c r="G789" i="24"/>
  <c r="H789" i="24"/>
  <c r="I789" i="24"/>
  <c r="J789" i="24"/>
  <c r="K789" i="24"/>
  <c r="L789" i="24"/>
  <c r="M789" i="24"/>
  <c r="O789" i="24"/>
  <c r="N789" i="24"/>
  <c r="G788" i="24"/>
  <c r="L788" i="24"/>
  <c r="N788" i="24"/>
  <c r="O788" i="24"/>
  <c r="H788" i="24"/>
  <c r="I788" i="24"/>
  <c r="J788" i="24"/>
  <c r="K788" i="24"/>
  <c r="M788" i="24"/>
  <c r="G787" i="24"/>
  <c r="H787" i="24"/>
  <c r="I787" i="24"/>
  <c r="J787" i="24"/>
  <c r="K787" i="24"/>
  <c r="L787" i="24"/>
  <c r="M787" i="24"/>
  <c r="N787" i="24"/>
  <c r="O787" i="24"/>
  <c r="G786" i="24"/>
  <c r="H786" i="24"/>
  <c r="I786" i="24"/>
  <c r="J786" i="24"/>
  <c r="K786" i="24"/>
  <c r="L786" i="24"/>
  <c r="M786" i="24"/>
  <c r="N786" i="24"/>
  <c r="O786" i="24"/>
  <c r="G785" i="24"/>
  <c r="H785" i="24"/>
  <c r="I785" i="24"/>
  <c r="J785" i="24"/>
  <c r="K785" i="24"/>
  <c r="L785" i="24"/>
  <c r="M785" i="24"/>
  <c r="N785" i="24"/>
  <c r="O785" i="24"/>
  <c r="N784" i="24"/>
  <c r="H784" i="24"/>
  <c r="K784" i="24"/>
  <c r="M784" i="24"/>
  <c r="J784" i="24"/>
  <c r="G784" i="24"/>
  <c r="O784" i="24"/>
  <c r="L784" i="24"/>
  <c r="I784" i="24"/>
  <c r="L783" i="24"/>
  <c r="I783" i="24"/>
  <c r="M783" i="24"/>
  <c r="G783" i="24"/>
  <c r="K783" i="24"/>
  <c r="H783" i="24"/>
  <c r="J783" i="24"/>
  <c r="O783" i="24"/>
  <c r="N783" i="24"/>
  <c r="I782" i="24"/>
  <c r="L782" i="24"/>
  <c r="M782" i="24"/>
  <c r="O782" i="24"/>
  <c r="G782" i="24"/>
  <c r="K782" i="24"/>
  <c r="H782" i="24"/>
  <c r="J782" i="24"/>
  <c r="N782" i="24"/>
  <c r="G781" i="24"/>
  <c r="H781" i="24"/>
  <c r="I781" i="24"/>
  <c r="J781" i="24"/>
  <c r="K781" i="24"/>
  <c r="L781" i="24"/>
  <c r="M781" i="24"/>
  <c r="N781" i="24"/>
  <c r="O781" i="24"/>
  <c r="G780" i="24"/>
  <c r="H780" i="24"/>
  <c r="I780" i="24"/>
  <c r="J780" i="24"/>
  <c r="K780" i="24"/>
  <c r="L780" i="24"/>
  <c r="M780" i="24"/>
  <c r="N780" i="24"/>
  <c r="O780" i="24"/>
  <c r="G779" i="24"/>
  <c r="H779" i="24"/>
  <c r="I779" i="24"/>
  <c r="J779" i="24"/>
  <c r="K779" i="24"/>
  <c r="L779" i="24"/>
  <c r="M779" i="24"/>
  <c r="N779" i="24"/>
  <c r="O779" i="24"/>
  <c r="G778" i="24"/>
  <c r="H778" i="24"/>
  <c r="I778" i="24"/>
  <c r="J778" i="24"/>
  <c r="K778" i="24"/>
  <c r="L778" i="24"/>
  <c r="M778" i="24"/>
  <c r="N778" i="24"/>
  <c r="O778" i="24"/>
  <c r="H777" i="24"/>
  <c r="I777" i="24"/>
  <c r="J777" i="24"/>
  <c r="K777" i="24"/>
  <c r="L777" i="24"/>
  <c r="M777" i="24"/>
  <c r="N777" i="24"/>
  <c r="O777" i="24"/>
  <c r="G777" i="24"/>
  <c r="G776" i="24"/>
  <c r="H776" i="24"/>
  <c r="I776" i="24"/>
  <c r="J776" i="24"/>
  <c r="K776" i="24"/>
  <c r="L776" i="24"/>
  <c r="M776" i="24"/>
  <c r="N776" i="24"/>
  <c r="O776" i="24"/>
  <c r="G775" i="24"/>
  <c r="H775" i="24"/>
  <c r="I775" i="24"/>
  <c r="J775" i="24"/>
  <c r="K775" i="24"/>
  <c r="L775" i="24"/>
  <c r="M775" i="24"/>
  <c r="O775" i="24"/>
  <c r="N775" i="24"/>
  <c r="H774" i="24"/>
  <c r="I774" i="24"/>
  <c r="J774" i="24"/>
  <c r="K774" i="24"/>
  <c r="L774" i="24"/>
  <c r="M774" i="24"/>
  <c r="N774" i="24"/>
  <c r="O774" i="24"/>
  <c r="G774" i="24"/>
  <c r="H773" i="24"/>
  <c r="J773" i="24"/>
  <c r="K773" i="24"/>
  <c r="L773" i="24"/>
  <c r="M773" i="24"/>
  <c r="N773" i="24"/>
  <c r="O773" i="24"/>
  <c r="G773" i="24"/>
  <c r="I773" i="24"/>
  <c r="G772" i="24"/>
  <c r="H772" i="24"/>
  <c r="I772" i="24"/>
  <c r="J772" i="24"/>
  <c r="K772" i="24"/>
  <c r="L772" i="24"/>
  <c r="M772" i="24"/>
  <c r="N772" i="24"/>
  <c r="O772" i="24"/>
  <c r="J771" i="24"/>
  <c r="L771" i="24"/>
  <c r="I771" i="24"/>
  <c r="M771" i="24"/>
  <c r="G771" i="24"/>
  <c r="O771" i="24"/>
  <c r="K771" i="24"/>
  <c r="N771" i="24"/>
  <c r="H771" i="24"/>
  <c r="I770" i="24"/>
  <c r="K770" i="24"/>
  <c r="N770" i="24"/>
  <c r="H770" i="24"/>
  <c r="M770" i="24"/>
  <c r="G770" i="24"/>
  <c r="J770" i="24"/>
  <c r="L770" i="24"/>
  <c r="O770" i="24"/>
  <c r="G769" i="24"/>
  <c r="H769" i="24"/>
  <c r="I769" i="24"/>
  <c r="J769" i="24"/>
  <c r="K769" i="24"/>
  <c r="L769" i="24"/>
  <c r="M769" i="24"/>
  <c r="N769" i="24"/>
  <c r="O769" i="24"/>
  <c r="H768" i="24"/>
  <c r="J768" i="24"/>
  <c r="K768" i="24"/>
  <c r="L768" i="24"/>
  <c r="N768" i="24"/>
  <c r="O768" i="24"/>
  <c r="G768" i="24"/>
  <c r="I768" i="24"/>
  <c r="M768" i="24"/>
  <c r="H767" i="24"/>
  <c r="I767" i="24"/>
  <c r="K767" i="24"/>
  <c r="L767" i="24"/>
  <c r="M767" i="24"/>
  <c r="N767" i="24"/>
  <c r="O767" i="24"/>
  <c r="G767" i="24"/>
  <c r="J767" i="24"/>
  <c r="H766" i="24"/>
  <c r="J766" i="24"/>
  <c r="K766" i="24"/>
  <c r="L766" i="24"/>
  <c r="M766" i="24"/>
  <c r="N766" i="24"/>
  <c r="O766" i="24"/>
  <c r="G766" i="24"/>
  <c r="I766" i="24"/>
  <c r="I765" i="24"/>
  <c r="L765" i="24"/>
  <c r="H765" i="24"/>
  <c r="J765" i="24"/>
  <c r="K765" i="24"/>
  <c r="M765" i="24"/>
  <c r="O765" i="24"/>
  <c r="G765" i="24"/>
  <c r="N765" i="24"/>
  <c r="H764" i="24"/>
  <c r="I764" i="24"/>
  <c r="J764" i="24"/>
  <c r="K764" i="24"/>
  <c r="L764" i="24"/>
  <c r="M764" i="24"/>
  <c r="N764" i="24"/>
  <c r="G764" i="24"/>
  <c r="O764" i="24"/>
  <c r="G763" i="24"/>
  <c r="H763" i="24"/>
  <c r="I763" i="24"/>
  <c r="J763" i="24"/>
  <c r="K763" i="24"/>
  <c r="L763" i="24"/>
  <c r="M763" i="24"/>
  <c r="N763" i="24"/>
  <c r="O763" i="24"/>
  <c r="H762" i="24"/>
  <c r="L762" i="24"/>
  <c r="G762" i="24"/>
  <c r="J762" i="24"/>
  <c r="M762" i="24"/>
  <c r="I762" i="24"/>
  <c r="K762" i="24"/>
  <c r="N762" i="24"/>
  <c r="O762" i="24"/>
  <c r="H761" i="24"/>
  <c r="J761" i="24"/>
  <c r="L761" i="24"/>
  <c r="N761" i="24"/>
  <c r="G761" i="24"/>
  <c r="I761" i="24"/>
  <c r="M761" i="24"/>
  <c r="O761" i="24"/>
  <c r="K761" i="24"/>
  <c r="G760" i="24"/>
  <c r="H760" i="24"/>
  <c r="I760" i="24"/>
  <c r="J760" i="24"/>
  <c r="K760" i="24"/>
  <c r="L760" i="24"/>
  <c r="M760" i="24"/>
  <c r="N760" i="24"/>
  <c r="O760" i="24"/>
  <c r="G759" i="24"/>
  <c r="J759" i="24"/>
  <c r="H759" i="24"/>
  <c r="I759" i="24"/>
  <c r="K759" i="24"/>
  <c r="L759" i="24"/>
  <c r="M759" i="24"/>
  <c r="N759" i="24"/>
  <c r="O759" i="24"/>
  <c r="G758" i="24"/>
  <c r="H758" i="24"/>
  <c r="I758" i="24"/>
  <c r="J758" i="24"/>
  <c r="K758" i="24"/>
  <c r="L758" i="24"/>
  <c r="N758" i="24"/>
  <c r="O758" i="24"/>
  <c r="M758" i="24"/>
  <c r="H757" i="24"/>
  <c r="K757" i="24"/>
  <c r="M757" i="24"/>
  <c r="G757" i="24"/>
  <c r="I757" i="24"/>
  <c r="J757" i="24"/>
  <c r="L757" i="24"/>
  <c r="N757" i="24"/>
  <c r="O757" i="24"/>
  <c r="G756" i="24"/>
  <c r="I756" i="24"/>
  <c r="J756" i="24"/>
  <c r="K756" i="24"/>
  <c r="M756" i="24"/>
  <c r="N756" i="24"/>
  <c r="O756" i="24"/>
  <c r="H756" i="24"/>
  <c r="L756" i="24"/>
  <c r="G755" i="24"/>
  <c r="I755" i="24"/>
  <c r="J755" i="24"/>
  <c r="L755" i="24"/>
  <c r="M755" i="24"/>
  <c r="N755" i="24"/>
  <c r="O755" i="24"/>
  <c r="H755" i="24"/>
  <c r="K755" i="24"/>
  <c r="H754" i="24"/>
  <c r="J754" i="24"/>
  <c r="M754" i="24"/>
  <c r="O754" i="24"/>
  <c r="G754" i="24"/>
  <c r="I754" i="24"/>
  <c r="K754" i="24"/>
  <c r="L754" i="24"/>
  <c r="N754" i="24"/>
  <c r="G753" i="24"/>
  <c r="H753" i="24"/>
  <c r="I753" i="24"/>
  <c r="J753" i="24"/>
  <c r="K753" i="24"/>
  <c r="L753" i="24"/>
  <c r="M753" i="24"/>
  <c r="N753" i="24"/>
  <c r="O753" i="24"/>
  <c r="G752" i="24"/>
  <c r="H752" i="24"/>
  <c r="J752" i="24"/>
  <c r="K752" i="24"/>
  <c r="L752" i="24"/>
  <c r="M752" i="24"/>
  <c r="N752" i="24"/>
  <c r="O752" i="24"/>
  <c r="I752" i="24"/>
  <c r="G751" i="24"/>
  <c r="I751" i="24"/>
  <c r="K751" i="24"/>
  <c r="M751" i="24"/>
  <c r="H751" i="24"/>
  <c r="J751" i="24"/>
  <c r="L751" i="24"/>
  <c r="N751" i="24"/>
  <c r="O751" i="24"/>
  <c r="I750" i="24"/>
  <c r="K750" i="24"/>
  <c r="M750" i="24"/>
  <c r="N750" i="24"/>
  <c r="O750" i="24"/>
  <c r="G750" i="24"/>
  <c r="J750" i="24"/>
  <c r="L750" i="24"/>
  <c r="H750" i="24"/>
  <c r="H749" i="24"/>
  <c r="J749" i="24"/>
  <c r="L749" i="24"/>
  <c r="N749" i="24"/>
  <c r="O749" i="24"/>
  <c r="G749" i="24"/>
  <c r="I749" i="24"/>
  <c r="K749" i="24"/>
  <c r="M749" i="24"/>
  <c r="H748" i="24"/>
  <c r="J748" i="24"/>
  <c r="L748" i="24"/>
  <c r="N748" i="24"/>
  <c r="O748" i="24"/>
  <c r="G748" i="24"/>
  <c r="I748" i="24"/>
  <c r="K748" i="24"/>
  <c r="M748" i="24"/>
  <c r="K747" i="24"/>
  <c r="G747" i="24"/>
  <c r="I747" i="24"/>
  <c r="J747" i="24"/>
  <c r="L747" i="24"/>
  <c r="M747" i="24"/>
  <c r="N747" i="24"/>
  <c r="O747" i="24"/>
  <c r="H747" i="24"/>
  <c r="I746" i="24"/>
  <c r="M746" i="24"/>
  <c r="G746" i="24"/>
  <c r="K746" i="24"/>
  <c r="H746" i="24"/>
  <c r="J746" i="24"/>
  <c r="L746" i="24"/>
  <c r="N746" i="24"/>
  <c r="O746" i="24"/>
  <c r="I745" i="24"/>
  <c r="M745" i="24"/>
  <c r="J745" i="24"/>
  <c r="L745" i="24"/>
  <c r="N745" i="24"/>
  <c r="O745" i="24"/>
  <c r="H745" i="24"/>
  <c r="G745" i="24"/>
  <c r="K745" i="24"/>
  <c r="I744" i="24"/>
  <c r="K744" i="24"/>
  <c r="L744" i="24"/>
  <c r="N744" i="24"/>
  <c r="G744" i="24"/>
  <c r="H744" i="24"/>
  <c r="J744" i="24"/>
  <c r="M744" i="24"/>
  <c r="O744" i="24"/>
  <c r="G743" i="24"/>
  <c r="I743" i="24"/>
  <c r="K743" i="24"/>
  <c r="M743" i="24"/>
  <c r="N743" i="24"/>
  <c r="H743" i="24"/>
  <c r="J743" i="24"/>
  <c r="L743" i="24"/>
  <c r="O743" i="24"/>
  <c r="I742" i="24"/>
  <c r="K742" i="24"/>
  <c r="M742" i="24"/>
  <c r="O742" i="24"/>
  <c r="H742" i="24"/>
  <c r="G742" i="24"/>
  <c r="J742" i="24"/>
  <c r="L742" i="24"/>
  <c r="N742" i="24"/>
  <c r="H741" i="24"/>
  <c r="J741" i="24"/>
  <c r="M741" i="24"/>
  <c r="G741" i="24"/>
  <c r="I741" i="24"/>
  <c r="K741" i="24"/>
  <c r="L741" i="24"/>
  <c r="N741" i="24"/>
  <c r="O741" i="24"/>
  <c r="G740" i="24"/>
  <c r="I740" i="24"/>
  <c r="M740" i="24"/>
  <c r="H740" i="24"/>
  <c r="J740" i="24"/>
  <c r="K740" i="24"/>
  <c r="L740" i="24"/>
  <c r="N740" i="24"/>
  <c r="O740" i="24"/>
  <c r="G739" i="24"/>
  <c r="H739" i="24"/>
  <c r="I739" i="24"/>
  <c r="J739" i="24"/>
  <c r="K739" i="24"/>
  <c r="L739" i="24"/>
  <c r="M739" i="24"/>
  <c r="N739" i="24"/>
  <c r="O739" i="24"/>
  <c r="G738" i="24"/>
  <c r="I738" i="24"/>
  <c r="J738" i="24"/>
  <c r="K738" i="24"/>
  <c r="L738" i="24"/>
  <c r="M738" i="24"/>
  <c r="N738" i="24"/>
  <c r="O738" i="24"/>
  <c r="H738" i="24"/>
  <c r="H737" i="24"/>
  <c r="J737" i="24"/>
  <c r="L737" i="24"/>
  <c r="M737" i="24"/>
  <c r="N737" i="24"/>
  <c r="O737" i="24"/>
  <c r="G737" i="24"/>
  <c r="I737" i="24"/>
  <c r="K737" i="24"/>
  <c r="H736" i="24"/>
  <c r="J736" i="24"/>
  <c r="L736" i="24"/>
  <c r="O736" i="24"/>
  <c r="G736" i="24"/>
  <c r="I736" i="24"/>
  <c r="K736" i="24"/>
  <c r="M736" i="24"/>
  <c r="N736" i="24"/>
  <c r="G735" i="24"/>
  <c r="H735" i="24"/>
  <c r="I735" i="24"/>
  <c r="J735" i="24"/>
  <c r="K735" i="24"/>
  <c r="L735" i="24"/>
  <c r="M735" i="24"/>
  <c r="N735" i="24"/>
  <c r="O735" i="24"/>
  <c r="H734" i="24"/>
  <c r="J734" i="24"/>
  <c r="L734" i="24"/>
  <c r="M734" i="24"/>
  <c r="N734" i="24"/>
  <c r="O734" i="24"/>
  <c r="G734" i="24"/>
  <c r="I734" i="24"/>
  <c r="K734" i="24"/>
  <c r="G733" i="24"/>
  <c r="I733" i="24"/>
  <c r="K733" i="24"/>
  <c r="L733" i="24"/>
  <c r="N733" i="24"/>
  <c r="O733" i="24"/>
  <c r="H733" i="24"/>
  <c r="J733" i="24"/>
  <c r="M733" i="24"/>
  <c r="J732" i="24"/>
  <c r="N732" i="24"/>
  <c r="G732" i="24"/>
  <c r="I732" i="24"/>
  <c r="K732" i="24"/>
  <c r="M732" i="24"/>
  <c r="O732" i="24"/>
  <c r="H732" i="24"/>
  <c r="L732" i="24"/>
  <c r="H731" i="24"/>
  <c r="L731" i="24"/>
  <c r="I731" i="24"/>
  <c r="G731" i="24"/>
  <c r="J731" i="24"/>
  <c r="K731" i="24"/>
  <c r="M731" i="24"/>
  <c r="N731" i="24"/>
  <c r="O731" i="24"/>
  <c r="G730" i="24"/>
  <c r="H730" i="24"/>
  <c r="I730" i="24"/>
  <c r="J730" i="24"/>
  <c r="K730" i="24"/>
  <c r="L730" i="24"/>
  <c r="M730" i="24"/>
  <c r="N730" i="24"/>
  <c r="O730" i="24"/>
  <c r="G729" i="24"/>
  <c r="I729" i="24"/>
  <c r="J729" i="24"/>
  <c r="M729" i="24"/>
  <c r="H729" i="24"/>
  <c r="K729" i="24"/>
  <c r="L729" i="24"/>
  <c r="N729" i="24"/>
  <c r="O729" i="24"/>
  <c r="H728" i="24"/>
  <c r="J728" i="24"/>
  <c r="M728" i="24"/>
  <c r="G728" i="24"/>
  <c r="I728" i="24"/>
  <c r="K728" i="24"/>
  <c r="L728" i="24"/>
  <c r="N728" i="24"/>
  <c r="O728" i="24"/>
  <c r="G727" i="24"/>
  <c r="H727" i="24"/>
  <c r="I727" i="24"/>
  <c r="J727" i="24"/>
  <c r="K727" i="24"/>
  <c r="L727" i="24"/>
  <c r="M727" i="24"/>
  <c r="N727" i="24"/>
  <c r="O727" i="24"/>
  <c r="G726" i="24"/>
  <c r="H726" i="24"/>
  <c r="I726" i="24"/>
  <c r="J726" i="24"/>
  <c r="K726" i="24"/>
  <c r="L726" i="24"/>
  <c r="M726" i="24"/>
  <c r="N726" i="24"/>
  <c r="O726" i="24"/>
  <c r="G725" i="24"/>
  <c r="H725" i="24"/>
  <c r="I725" i="24"/>
  <c r="J725" i="24"/>
  <c r="K725" i="24"/>
  <c r="L725" i="24"/>
  <c r="M725" i="24"/>
  <c r="N725" i="24"/>
  <c r="O725" i="24"/>
  <c r="G724" i="24"/>
  <c r="H724" i="24"/>
  <c r="I724" i="24"/>
  <c r="J724" i="24"/>
  <c r="K724" i="24"/>
  <c r="L724" i="24"/>
  <c r="M724" i="24"/>
  <c r="N724" i="24"/>
  <c r="O724" i="24"/>
  <c r="G723" i="24"/>
  <c r="H723" i="24"/>
  <c r="I723" i="24"/>
  <c r="J723" i="24"/>
  <c r="K723" i="24"/>
  <c r="L723" i="24"/>
  <c r="M723" i="24"/>
  <c r="N723" i="24"/>
  <c r="O723" i="24"/>
  <c r="G722" i="24"/>
  <c r="H722" i="24"/>
  <c r="I722" i="24"/>
  <c r="J722" i="24"/>
  <c r="K722" i="24"/>
  <c r="L722" i="24"/>
  <c r="M722" i="24"/>
  <c r="N722" i="24"/>
  <c r="O722" i="24"/>
  <c r="H721" i="24"/>
  <c r="G721" i="24"/>
  <c r="I721" i="24"/>
  <c r="J721" i="24"/>
  <c r="K721" i="24"/>
  <c r="L721" i="24"/>
  <c r="M721" i="24"/>
  <c r="N721" i="24"/>
  <c r="O721" i="24"/>
  <c r="G720" i="24"/>
  <c r="H720" i="24"/>
  <c r="I720" i="24"/>
  <c r="J720" i="24"/>
  <c r="K720" i="24"/>
  <c r="L720" i="24"/>
  <c r="M720" i="24"/>
  <c r="N720" i="24"/>
  <c r="O720" i="24"/>
  <c r="H719" i="24"/>
  <c r="J719" i="24"/>
  <c r="L719" i="24"/>
  <c r="N719" i="24"/>
  <c r="G719" i="24"/>
  <c r="I719" i="24"/>
  <c r="K719" i="24"/>
  <c r="M719" i="24"/>
  <c r="O719" i="24"/>
  <c r="G718" i="24"/>
  <c r="H718" i="24"/>
  <c r="I718" i="24"/>
  <c r="J718" i="24"/>
  <c r="K718" i="24"/>
  <c r="L718" i="24"/>
  <c r="M718" i="24"/>
  <c r="N718" i="24"/>
  <c r="O718" i="24"/>
  <c r="H717" i="24"/>
  <c r="M717" i="24"/>
  <c r="J717" i="24"/>
  <c r="K717" i="24"/>
  <c r="G717" i="24"/>
  <c r="I717" i="24"/>
  <c r="L717" i="24"/>
  <c r="N717" i="24"/>
  <c r="O717" i="24"/>
  <c r="I716" i="24"/>
  <c r="K716" i="24"/>
  <c r="M716" i="24"/>
  <c r="N716" i="24"/>
  <c r="O716" i="24"/>
  <c r="G716" i="24"/>
  <c r="L716" i="24"/>
  <c r="H716" i="24"/>
  <c r="J716" i="24"/>
  <c r="G715" i="24"/>
  <c r="H715" i="24"/>
  <c r="I715" i="24"/>
  <c r="J715" i="24"/>
  <c r="K715" i="24"/>
  <c r="L715" i="24"/>
  <c r="M715" i="24"/>
  <c r="N715" i="24"/>
  <c r="O715" i="24"/>
  <c r="H714" i="24"/>
  <c r="I714" i="24"/>
  <c r="J714" i="24"/>
  <c r="K714" i="24"/>
  <c r="L714" i="24"/>
  <c r="M714" i="24"/>
  <c r="N714" i="24"/>
  <c r="O714" i="24"/>
  <c r="G714" i="24"/>
  <c r="G713" i="24"/>
  <c r="H713" i="24"/>
  <c r="I713" i="24"/>
  <c r="J713" i="24"/>
  <c r="K713" i="24"/>
  <c r="L713" i="24"/>
  <c r="M713" i="24"/>
  <c r="N713" i="24"/>
  <c r="O713" i="24"/>
  <c r="H712" i="24"/>
  <c r="J712" i="24"/>
  <c r="K712" i="24"/>
  <c r="M712" i="24"/>
  <c r="N712" i="24"/>
  <c r="O712" i="24"/>
  <c r="G712" i="24"/>
  <c r="I712" i="24"/>
  <c r="L712" i="24"/>
  <c r="I711" i="24"/>
  <c r="J711" i="24"/>
  <c r="L711" i="24"/>
  <c r="M711" i="24"/>
  <c r="N711" i="24"/>
  <c r="O711" i="24"/>
  <c r="G711" i="24"/>
  <c r="H711" i="24"/>
  <c r="K711" i="24"/>
  <c r="I710" i="24"/>
  <c r="K710" i="24"/>
  <c r="G710" i="24"/>
  <c r="H710" i="24"/>
  <c r="J710" i="24"/>
  <c r="L710" i="24"/>
  <c r="M710" i="24"/>
  <c r="N710" i="24"/>
  <c r="O710" i="24"/>
  <c r="G709" i="24"/>
  <c r="H709" i="24"/>
  <c r="I709" i="24"/>
  <c r="J709" i="24"/>
  <c r="K709" i="24"/>
  <c r="L709" i="24"/>
  <c r="M709" i="24"/>
  <c r="N709" i="24"/>
  <c r="O709" i="24"/>
  <c r="H708" i="24"/>
  <c r="J708" i="24"/>
  <c r="L708" i="24"/>
  <c r="O708" i="24"/>
  <c r="K708" i="24"/>
  <c r="M708" i="24"/>
  <c r="I708" i="24"/>
  <c r="N708" i="24"/>
  <c r="G708" i="24"/>
  <c r="H707" i="24"/>
  <c r="L707" i="24"/>
  <c r="N707" i="24"/>
  <c r="I707" i="24"/>
  <c r="O707" i="24"/>
  <c r="G707" i="24"/>
  <c r="K707" i="24"/>
  <c r="J707" i="24"/>
  <c r="M707" i="24"/>
  <c r="G706" i="24"/>
  <c r="I706" i="24"/>
  <c r="K706" i="24"/>
  <c r="M706" i="24"/>
  <c r="H706" i="24"/>
  <c r="J706" i="24"/>
  <c r="L706" i="24"/>
  <c r="N706" i="24"/>
  <c r="O706" i="24"/>
  <c r="G705" i="24"/>
  <c r="H705" i="24"/>
  <c r="I705" i="24"/>
  <c r="J705" i="24"/>
  <c r="K705" i="24"/>
  <c r="L705" i="24"/>
  <c r="M705" i="24"/>
  <c r="N705" i="24"/>
  <c r="O705" i="24"/>
  <c r="G704" i="24"/>
  <c r="H704" i="24"/>
  <c r="I704" i="24"/>
  <c r="J704" i="24"/>
  <c r="K704" i="24"/>
  <c r="L704" i="24"/>
  <c r="M704" i="24"/>
  <c r="N704" i="24"/>
  <c r="O704" i="24"/>
  <c r="G703" i="24"/>
  <c r="I703" i="24"/>
  <c r="K703" i="24"/>
  <c r="M703" i="24"/>
  <c r="O703" i="24"/>
  <c r="H703" i="24"/>
  <c r="J703" i="24"/>
  <c r="L703" i="24"/>
  <c r="N703" i="24"/>
  <c r="H702" i="24"/>
  <c r="J702" i="24"/>
  <c r="M702" i="24"/>
  <c r="G702" i="24"/>
  <c r="I702" i="24"/>
  <c r="K702" i="24"/>
  <c r="L702" i="24"/>
  <c r="N702" i="24"/>
  <c r="O702" i="24"/>
  <c r="G701" i="24"/>
  <c r="H701" i="24"/>
  <c r="I701" i="24"/>
  <c r="J701" i="24"/>
  <c r="K701" i="24"/>
  <c r="L701" i="24"/>
  <c r="M701" i="24"/>
  <c r="N701" i="24"/>
  <c r="O701" i="24"/>
  <c r="H700" i="24"/>
  <c r="J700" i="24"/>
  <c r="K700" i="24"/>
  <c r="L700" i="24"/>
  <c r="N700" i="24"/>
  <c r="O700" i="24"/>
  <c r="G700" i="24"/>
  <c r="I700" i="24"/>
  <c r="M700" i="24"/>
  <c r="H699" i="24"/>
  <c r="J699" i="24"/>
  <c r="K699" i="24"/>
  <c r="L699" i="24"/>
  <c r="M699" i="24"/>
  <c r="N699" i="24"/>
  <c r="O699" i="24"/>
  <c r="G699" i="24"/>
  <c r="I699" i="24"/>
  <c r="H698" i="24"/>
  <c r="K698" i="24"/>
  <c r="N698" i="24"/>
  <c r="G698" i="24"/>
  <c r="I698" i="24"/>
  <c r="L698" i="24"/>
  <c r="M698" i="24"/>
  <c r="O698" i="24"/>
  <c r="J698" i="24"/>
  <c r="H697" i="24"/>
  <c r="J697" i="24"/>
  <c r="M697" i="24"/>
  <c r="N697" i="24"/>
  <c r="O697" i="24"/>
  <c r="G697" i="24"/>
  <c r="I697" i="24"/>
  <c r="K697" i="24"/>
  <c r="L697" i="24"/>
  <c r="I696" i="24"/>
  <c r="G696" i="24"/>
  <c r="H696" i="24"/>
  <c r="J696" i="24"/>
  <c r="K696" i="24"/>
  <c r="L696" i="24"/>
  <c r="M696" i="24"/>
  <c r="N696" i="24"/>
  <c r="O696" i="24"/>
  <c r="G695" i="24"/>
  <c r="H695" i="24"/>
  <c r="I695" i="24"/>
  <c r="J695" i="24"/>
  <c r="K695" i="24"/>
  <c r="L695" i="24"/>
  <c r="M695" i="24"/>
  <c r="N695" i="24"/>
  <c r="O695" i="24"/>
  <c r="H694" i="24"/>
  <c r="I694" i="24"/>
  <c r="J694" i="24"/>
  <c r="K694" i="24"/>
  <c r="L694" i="24"/>
  <c r="M694" i="24"/>
  <c r="N694" i="24"/>
  <c r="O694" i="24"/>
  <c r="G694" i="24"/>
  <c r="H693" i="24"/>
  <c r="J693" i="24"/>
  <c r="L693" i="24"/>
  <c r="G693" i="24"/>
  <c r="I693" i="24"/>
  <c r="K693" i="24"/>
  <c r="M693" i="24"/>
  <c r="N693" i="24"/>
  <c r="O693" i="24"/>
  <c r="G692" i="24"/>
  <c r="H692" i="24"/>
  <c r="I692" i="24"/>
  <c r="J692" i="24"/>
  <c r="K692" i="24"/>
  <c r="L692" i="24"/>
  <c r="M692" i="24"/>
  <c r="N692" i="24"/>
  <c r="O692" i="24"/>
  <c r="G691" i="24"/>
  <c r="H691" i="24"/>
  <c r="I691" i="24"/>
  <c r="J691" i="24"/>
  <c r="K691" i="24"/>
  <c r="L691" i="24"/>
  <c r="M691" i="24"/>
  <c r="N691" i="24"/>
  <c r="O691" i="24"/>
  <c r="I690" i="24"/>
  <c r="M690" i="24"/>
  <c r="H690" i="24"/>
  <c r="K690" i="24"/>
  <c r="N690" i="24"/>
  <c r="G690" i="24"/>
  <c r="J690" i="24"/>
  <c r="L690" i="24"/>
  <c r="O690" i="24"/>
  <c r="G689" i="24"/>
  <c r="H689" i="24"/>
  <c r="I689" i="24"/>
  <c r="J689" i="24"/>
  <c r="K689" i="24"/>
  <c r="L689" i="24"/>
  <c r="M689" i="24"/>
  <c r="N689" i="24"/>
  <c r="O689" i="24"/>
  <c r="I688" i="24"/>
  <c r="L688" i="24"/>
  <c r="N688" i="24"/>
  <c r="H688" i="24"/>
  <c r="K688" i="24"/>
  <c r="O688" i="24"/>
  <c r="G688" i="24"/>
  <c r="J688" i="24"/>
  <c r="M688" i="24"/>
  <c r="H687" i="24"/>
  <c r="J687" i="24"/>
  <c r="L687" i="24"/>
  <c r="M687" i="24"/>
  <c r="O687" i="24"/>
  <c r="G687" i="24"/>
  <c r="I687" i="24"/>
  <c r="K687" i="24"/>
  <c r="N687" i="24"/>
  <c r="G686" i="24"/>
  <c r="H686" i="24"/>
  <c r="K686" i="24"/>
  <c r="M686" i="24"/>
  <c r="I686" i="24"/>
  <c r="J686" i="24"/>
  <c r="L686" i="24"/>
  <c r="N686" i="24"/>
  <c r="O686" i="24"/>
  <c r="H685" i="24"/>
  <c r="I685" i="24"/>
  <c r="K685" i="24"/>
  <c r="L685" i="24"/>
  <c r="M685" i="24"/>
  <c r="N685" i="24"/>
  <c r="O685" i="24"/>
  <c r="G685" i="24"/>
  <c r="J685" i="24"/>
  <c r="G684" i="24"/>
  <c r="H684" i="24"/>
  <c r="I684" i="24"/>
  <c r="J684" i="24"/>
  <c r="K684" i="24"/>
  <c r="L684" i="24"/>
  <c r="M684" i="24"/>
  <c r="N684" i="24"/>
  <c r="O684" i="24"/>
  <c r="I683" i="24"/>
  <c r="M683" i="24"/>
  <c r="G683" i="24"/>
  <c r="J683" i="24"/>
  <c r="K683" i="24"/>
  <c r="L683" i="24"/>
  <c r="N683" i="24"/>
  <c r="O683" i="24"/>
  <c r="H683" i="24"/>
  <c r="I682" i="24"/>
  <c r="K682" i="24"/>
  <c r="N682" i="24"/>
  <c r="H682" i="24"/>
  <c r="L682" i="24"/>
  <c r="G682" i="24"/>
  <c r="J682" i="24"/>
  <c r="M682" i="24"/>
  <c r="O682" i="24"/>
  <c r="G681" i="24"/>
  <c r="H681" i="24"/>
  <c r="I681" i="24"/>
  <c r="J681" i="24"/>
  <c r="K681" i="24"/>
  <c r="L681" i="24"/>
  <c r="M681" i="24"/>
  <c r="N681" i="24"/>
  <c r="O681" i="24"/>
  <c r="G680" i="24"/>
  <c r="H680" i="24"/>
  <c r="I680" i="24"/>
  <c r="J680" i="24"/>
  <c r="K680" i="24"/>
  <c r="L680" i="24"/>
  <c r="M680" i="24"/>
  <c r="N680" i="24"/>
  <c r="O680" i="24"/>
  <c r="G679" i="24"/>
  <c r="I679" i="24"/>
  <c r="L679" i="24"/>
  <c r="H679" i="24"/>
  <c r="J679" i="24"/>
  <c r="K679" i="24"/>
  <c r="M679" i="24"/>
  <c r="N679" i="24"/>
  <c r="O679" i="24"/>
  <c r="H678" i="24"/>
  <c r="J678" i="24"/>
  <c r="L678" i="24"/>
  <c r="O678" i="24"/>
  <c r="G678" i="24"/>
  <c r="I678" i="24"/>
  <c r="K678" i="24"/>
  <c r="M678" i="24"/>
  <c r="N678" i="24"/>
  <c r="H677" i="24"/>
  <c r="I677" i="24"/>
  <c r="K677" i="24"/>
  <c r="L677" i="24"/>
  <c r="M677" i="24"/>
  <c r="N677" i="24"/>
  <c r="O677" i="24"/>
  <c r="G677" i="24"/>
  <c r="J677" i="24"/>
  <c r="H676" i="24"/>
  <c r="J676" i="24"/>
  <c r="L676" i="24"/>
  <c r="M676" i="24"/>
  <c r="N676" i="24"/>
  <c r="O676" i="24"/>
  <c r="G676" i="24"/>
  <c r="I676" i="24"/>
  <c r="K676" i="24"/>
  <c r="H675" i="24"/>
  <c r="K675" i="24"/>
  <c r="M675" i="24"/>
  <c r="O675" i="24"/>
  <c r="I675" i="24"/>
  <c r="G675" i="24"/>
  <c r="J675" i="24"/>
  <c r="L675" i="24"/>
  <c r="N675" i="24"/>
  <c r="H674" i="24"/>
  <c r="J674" i="24"/>
  <c r="K674" i="24"/>
  <c r="L674" i="24"/>
  <c r="M674" i="24"/>
  <c r="N674" i="24"/>
  <c r="O674" i="24"/>
  <c r="G674" i="24"/>
  <c r="I674" i="24"/>
  <c r="G673" i="24"/>
  <c r="I673" i="24"/>
  <c r="H673" i="24"/>
  <c r="J673" i="24"/>
  <c r="K673" i="24"/>
  <c r="L673" i="24"/>
  <c r="M673" i="24"/>
  <c r="N673" i="24"/>
  <c r="O673" i="24"/>
  <c r="G672" i="24"/>
  <c r="I672" i="24"/>
  <c r="J672" i="24"/>
  <c r="K672" i="24"/>
  <c r="L672" i="24"/>
  <c r="M672" i="24"/>
  <c r="N672" i="24"/>
  <c r="O672" i="24"/>
  <c r="H672" i="24"/>
  <c r="G671" i="24"/>
  <c r="H671" i="24"/>
  <c r="I671" i="24"/>
  <c r="J671" i="24"/>
  <c r="K671" i="24"/>
  <c r="L671" i="24"/>
  <c r="M671" i="24"/>
  <c r="N671" i="24"/>
  <c r="O671" i="24"/>
  <c r="I670" i="24"/>
  <c r="G670" i="24"/>
  <c r="J670" i="24"/>
  <c r="L670" i="24"/>
  <c r="M670" i="24"/>
  <c r="N670" i="24"/>
  <c r="O670" i="24"/>
  <c r="H670" i="24"/>
  <c r="K670" i="24"/>
  <c r="G669" i="24"/>
  <c r="H669" i="24"/>
  <c r="I669" i="24"/>
  <c r="J669" i="24"/>
  <c r="K669" i="24"/>
  <c r="L669" i="24"/>
  <c r="M669" i="24"/>
  <c r="N669" i="24"/>
  <c r="O669" i="24"/>
  <c r="G668" i="24"/>
  <c r="H668" i="24"/>
  <c r="I668" i="24"/>
  <c r="J668" i="24"/>
  <c r="K668" i="24"/>
  <c r="L668" i="24"/>
  <c r="M668" i="24"/>
  <c r="N668" i="24"/>
  <c r="O668" i="24"/>
  <c r="H667" i="24"/>
  <c r="J667" i="24"/>
  <c r="K667" i="24"/>
  <c r="M667" i="24"/>
  <c r="N667" i="24"/>
  <c r="O667" i="24"/>
  <c r="G667" i="24"/>
  <c r="I667" i="24"/>
  <c r="L667" i="24"/>
  <c r="H666" i="24"/>
  <c r="J666" i="24"/>
  <c r="L666" i="24"/>
  <c r="N666" i="24"/>
  <c r="O666" i="24"/>
  <c r="I666" i="24"/>
  <c r="G666" i="24"/>
  <c r="K666" i="24"/>
  <c r="M666" i="24"/>
  <c r="H665" i="24"/>
  <c r="J665" i="24"/>
  <c r="K665" i="24"/>
  <c r="M665" i="24"/>
  <c r="G665" i="24"/>
  <c r="I665" i="24"/>
  <c r="L665" i="24"/>
  <c r="N665" i="24"/>
  <c r="O665" i="24"/>
  <c r="G664" i="24"/>
  <c r="H664" i="24"/>
  <c r="I664" i="24"/>
  <c r="J664" i="24"/>
  <c r="K664" i="24"/>
  <c r="L664" i="24"/>
  <c r="M664" i="24"/>
  <c r="N664" i="24"/>
  <c r="O664" i="24"/>
  <c r="G663" i="24"/>
  <c r="H663" i="24"/>
  <c r="I663" i="24"/>
  <c r="J663" i="24"/>
  <c r="K663" i="24"/>
  <c r="L663" i="24"/>
  <c r="M663" i="24"/>
  <c r="N663" i="24"/>
  <c r="O663" i="24"/>
  <c r="H662" i="24"/>
  <c r="G662" i="24"/>
  <c r="I662" i="24"/>
  <c r="J662" i="24"/>
  <c r="K662" i="24"/>
  <c r="L662" i="24"/>
  <c r="M662" i="24"/>
  <c r="N662" i="24"/>
  <c r="O662" i="24"/>
  <c r="L661" i="24"/>
  <c r="O661" i="24"/>
  <c r="G661" i="24"/>
  <c r="H661" i="24"/>
  <c r="I661" i="24"/>
  <c r="J661" i="24"/>
  <c r="K661" i="24"/>
  <c r="M661" i="24"/>
  <c r="N661" i="24"/>
  <c r="G660" i="24"/>
  <c r="H660" i="24"/>
  <c r="I660" i="24"/>
  <c r="J660" i="24"/>
  <c r="K660" i="24"/>
  <c r="M660" i="24"/>
  <c r="N660" i="24"/>
  <c r="O660" i="24"/>
  <c r="L660" i="24"/>
  <c r="G659" i="24"/>
  <c r="H659" i="24"/>
  <c r="I659" i="24"/>
  <c r="J659" i="24"/>
  <c r="K659" i="24"/>
  <c r="L659" i="24"/>
  <c r="M659" i="24"/>
  <c r="N659" i="24"/>
  <c r="O659" i="24"/>
  <c r="G658" i="24"/>
  <c r="H658" i="24"/>
  <c r="I658" i="24"/>
  <c r="J658" i="24"/>
  <c r="K658" i="24"/>
  <c r="L658" i="24"/>
  <c r="M658" i="24"/>
  <c r="N658" i="24"/>
  <c r="O658" i="24"/>
  <c r="G657" i="24"/>
  <c r="H657" i="24"/>
  <c r="I657" i="24"/>
  <c r="J657" i="24"/>
  <c r="K657" i="24"/>
  <c r="L657" i="24"/>
  <c r="M657" i="24"/>
  <c r="N657" i="24"/>
  <c r="O657" i="24"/>
  <c r="G656" i="24"/>
  <c r="H656" i="24"/>
  <c r="I656" i="24"/>
  <c r="J656" i="24"/>
  <c r="K656" i="24"/>
  <c r="L656" i="24"/>
  <c r="M656" i="24"/>
  <c r="N656" i="24"/>
  <c r="O656" i="24"/>
  <c r="G655" i="24"/>
  <c r="H655" i="24"/>
  <c r="I655" i="24"/>
  <c r="J655" i="24"/>
  <c r="K655" i="24"/>
  <c r="L655" i="24"/>
  <c r="M655" i="24"/>
  <c r="N655" i="24"/>
  <c r="O655" i="24"/>
  <c r="I654" i="24"/>
  <c r="K654" i="24"/>
  <c r="O654" i="24"/>
  <c r="G654" i="24"/>
  <c r="M654" i="24"/>
  <c r="H654" i="24"/>
  <c r="J654" i="24"/>
  <c r="L654" i="24"/>
  <c r="N654" i="24"/>
  <c r="G653" i="24"/>
  <c r="I653" i="24"/>
  <c r="K653" i="24"/>
  <c r="M653" i="24"/>
  <c r="O653" i="24"/>
  <c r="H653" i="24"/>
  <c r="J653" i="24"/>
  <c r="L653" i="24"/>
  <c r="N653" i="24"/>
  <c r="G652" i="24"/>
  <c r="I652" i="24"/>
  <c r="K652" i="24"/>
  <c r="M652" i="24"/>
  <c r="N652" i="24"/>
  <c r="H652" i="24"/>
  <c r="J652" i="24"/>
  <c r="L652" i="24"/>
  <c r="O652" i="24"/>
  <c r="G651" i="24"/>
  <c r="H651" i="24"/>
  <c r="I651" i="24"/>
  <c r="J651" i="24"/>
  <c r="K651" i="24"/>
  <c r="L651" i="24"/>
  <c r="M651" i="24"/>
  <c r="N651" i="24"/>
  <c r="O651" i="24"/>
  <c r="H650" i="24"/>
  <c r="J650" i="24"/>
  <c r="K650" i="24"/>
  <c r="M650" i="24"/>
  <c r="N650" i="24"/>
  <c r="O650" i="24"/>
  <c r="G650" i="24"/>
  <c r="I650" i="24"/>
  <c r="L650" i="24"/>
  <c r="H649" i="24"/>
  <c r="J649" i="24"/>
  <c r="L649" i="24"/>
  <c r="N649" i="24"/>
  <c r="G649" i="24"/>
  <c r="I649" i="24"/>
  <c r="K649" i="24"/>
  <c r="M649" i="24"/>
  <c r="O649" i="24"/>
  <c r="G648" i="24"/>
  <c r="H648" i="24"/>
  <c r="I648" i="24"/>
  <c r="J648" i="24"/>
  <c r="K648" i="24"/>
  <c r="M648" i="24"/>
  <c r="L648" i="24"/>
  <c r="N648" i="24"/>
  <c r="O648" i="24"/>
  <c r="G647" i="24"/>
  <c r="H647" i="24"/>
  <c r="I647" i="24"/>
  <c r="J647" i="24"/>
  <c r="K647" i="24"/>
  <c r="L647" i="24"/>
  <c r="M647" i="24"/>
  <c r="N647" i="24"/>
  <c r="O647" i="24"/>
  <c r="H646" i="24"/>
  <c r="I646" i="24"/>
  <c r="K646" i="24"/>
  <c r="L646" i="24"/>
  <c r="M646" i="24"/>
  <c r="N646" i="24"/>
  <c r="O646" i="24"/>
  <c r="G646" i="24"/>
  <c r="J646" i="24"/>
  <c r="H645" i="24"/>
  <c r="J645" i="24"/>
  <c r="K645" i="24"/>
  <c r="M645" i="24"/>
  <c r="N645" i="24"/>
  <c r="O645" i="24"/>
  <c r="G645" i="24"/>
  <c r="I645" i="24"/>
  <c r="L645" i="24"/>
  <c r="H644" i="24"/>
  <c r="J644" i="24"/>
  <c r="L644" i="24"/>
  <c r="N644" i="24"/>
  <c r="G644" i="24"/>
  <c r="I644" i="24"/>
  <c r="K644" i="24"/>
  <c r="M644" i="24"/>
  <c r="O644" i="24"/>
  <c r="I643" i="24"/>
  <c r="K643" i="24"/>
  <c r="M643" i="24"/>
  <c r="N643" i="24"/>
  <c r="O643" i="24"/>
  <c r="G643" i="24"/>
  <c r="H643" i="24"/>
  <c r="J643" i="24"/>
  <c r="L643" i="24"/>
  <c r="G642" i="24"/>
  <c r="H642" i="24"/>
  <c r="I642" i="24"/>
  <c r="J642" i="24"/>
  <c r="K642" i="24"/>
  <c r="L642" i="24"/>
  <c r="M642" i="24"/>
  <c r="N642" i="24"/>
  <c r="O642" i="24"/>
  <c r="G641" i="24"/>
  <c r="I641" i="24"/>
  <c r="J641" i="24"/>
  <c r="L641" i="24"/>
  <c r="M641" i="24"/>
  <c r="O641" i="24"/>
  <c r="H641" i="24"/>
  <c r="K641" i="24"/>
  <c r="N641" i="24"/>
  <c r="G640" i="24"/>
  <c r="H640" i="24"/>
  <c r="I640" i="24"/>
  <c r="J640" i="24"/>
  <c r="K640" i="24"/>
  <c r="L640" i="24"/>
  <c r="M640" i="24"/>
  <c r="N640" i="24"/>
  <c r="O640" i="24"/>
  <c r="G639" i="24"/>
  <c r="H639" i="24"/>
  <c r="I639" i="24"/>
  <c r="J639" i="24"/>
  <c r="K639" i="24"/>
  <c r="L639" i="24"/>
  <c r="M639" i="24"/>
  <c r="N639" i="24"/>
  <c r="O639" i="24"/>
  <c r="G638" i="24"/>
  <c r="H638" i="24"/>
  <c r="I638" i="24"/>
  <c r="J638" i="24"/>
  <c r="K638" i="24"/>
  <c r="L638" i="24"/>
  <c r="M638" i="24"/>
  <c r="N638" i="24"/>
  <c r="O638" i="24"/>
  <c r="H637" i="24"/>
  <c r="J637" i="24"/>
  <c r="L637" i="24"/>
  <c r="N637" i="24"/>
  <c r="G637" i="24"/>
  <c r="I637" i="24"/>
  <c r="K637" i="24"/>
  <c r="M637" i="24"/>
  <c r="O637" i="24"/>
  <c r="G636" i="24"/>
  <c r="I636" i="24"/>
  <c r="J636" i="24"/>
  <c r="K636" i="24"/>
  <c r="L636" i="24"/>
  <c r="M636" i="24"/>
  <c r="N636" i="24"/>
  <c r="O636" i="24"/>
  <c r="H636" i="24"/>
  <c r="G635" i="24"/>
  <c r="H635" i="24"/>
  <c r="I635" i="24"/>
  <c r="J635" i="24"/>
  <c r="K635" i="24"/>
  <c r="L635" i="24"/>
  <c r="M635" i="24"/>
  <c r="N635" i="24"/>
  <c r="O635" i="24"/>
  <c r="G634" i="24"/>
  <c r="H634" i="24"/>
  <c r="I634" i="24"/>
  <c r="J634" i="24"/>
  <c r="K634" i="24"/>
  <c r="L634" i="24"/>
  <c r="M634" i="24"/>
  <c r="N634" i="24"/>
  <c r="O634" i="24"/>
  <c r="H633" i="24"/>
  <c r="J633" i="24"/>
  <c r="L633" i="24"/>
  <c r="N633" i="24"/>
  <c r="G633" i="24"/>
  <c r="I633" i="24"/>
  <c r="K633" i="24"/>
  <c r="M633" i="24"/>
  <c r="O633" i="24"/>
  <c r="I632" i="24"/>
  <c r="J632" i="24"/>
  <c r="K632" i="24"/>
  <c r="L632" i="24"/>
  <c r="M632" i="24"/>
  <c r="N632" i="24"/>
  <c r="O632" i="24"/>
  <c r="G632" i="24"/>
  <c r="H632" i="24"/>
  <c r="I631" i="24"/>
  <c r="K631" i="24"/>
  <c r="G631" i="24"/>
  <c r="H631" i="24"/>
  <c r="J631" i="24"/>
  <c r="L631" i="24"/>
  <c r="M631" i="24"/>
  <c r="N631" i="24"/>
  <c r="O631" i="24"/>
  <c r="H630" i="24"/>
  <c r="J630" i="24"/>
  <c r="M630" i="24"/>
  <c r="G630" i="24"/>
  <c r="I630" i="24"/>
  <c r="K630" i="24"/>
  <c r="L630" i="24"/>
  <c r="N630" i="24"/>
  <c r="O630" i="24"/>
  <c r="H629" i="24"/>
  <c r="I629" i="24"/>
  <c r="K629" i="24"/>
  <c r="L629" i="24"/>
  <c r="M629" i="24"/>
  <c r="N629" i="24"/>
  <c r="O629" i="24"/>
  <c r="G629" i="24"/>
  <c r="J629" i="24"/>
  <c r="H628" i="24"/>
  <c r="J628" i="24"/>
  <c r="K628" i="24"/>
  <c r="N628" i="24"/>
  <c r="G628" i="24"/>
  <c r="I628" i="24"/>
  <c r="L628" i="24"/>
  <c r="M628" i="24"/>
  <c r="O628" i="24"/>
  <c r="G627" i="24"/>
  <c r="H627" i="24"/>
  <c r="I627" i="24"/>
  <c r="J627" i="24"/>
  <c r="K627" i="24"/>
  <c r="L627" i="24"/>
  <c r="M627" i="24"/>
  <c r="N627" i="24"/>
  <c r="O627" i="24"/>
  <c r="G626" i="24"/>
  <c r="H626" i="24"/>
  <c r="I626" i="24"/>
  <c r="J626" i="24"/>
  <c r="K626" i="24"/>
  <c r="L626" i="24"/>
  <c r="M626" i="24"/>
  <c r="N626" i="24"/>
  <c r="O626" i="24"/>
  <c r="G625" i="24"/>
  <c r="H625" i="24"/>
  <c r="I625" i="24"/>
  <c r="J625" i="24"/>
  <c r="K625" i="24"/>
  <c r="L625" i="24"/>
  <c r="M625" i="24"/>
  <c r="N625" i="24"/>
  <c r="O625" i="24"/>
  <c r="G624" i="24"/>
  <c r="H624" i="24"/>
  <c r="I624" i="24"/>
  <c r="J624" i="24"/>
  <c r="K624" i="24"/>
  <c r="L624" i="24"/>
  <c r="M624" i="24"/>
  <c r="N624" i="24"/>
  <c r="O624" i="24"/>
  <c r="G623" i="24"/>
  <c r="H623" i="24"/>
  <c r="I623" i="24"/>
  <c r="J623" i="24"/>
  <c r="K623" i="24"/>
  <c r="L623" i="24"/>
  <c r="M623" i="24"/>
  <c r="N623" i="24"/>
  <c r="O623" i="24"/>
  <c r="G622" i="24"/>
  <c r="H622" i="24"/>
  <c r="I622" i="24"/>
  <c r="J622" i="24"/>
  <c r="K622" i="24"/>
  <c r="L622" i="24"/>
  <c r="M622" i="24"/>
  <c r="N622" i="24"/>
  <c r="O622" i="24"/>
  <c r="G621" i="24"/>
  <c r="H621" i="24"/>
  <c r="I621" i="24"/>
  <c r="J621" i="24"/>
  <c r="K621" i="24"/>
  <c r="L621" i="24"/>
  <c r="M621" i="24"/>
  <c r="N621" i="24"/>
  <c r="O621" i="24"/>
  <c r="G620" i="24"/>
  <c r="H620" i="24"/>
  <c r="I620" i="24"/>
  <c r="J620" i="24"/>
  <c r="K620" i="24"/>
  <c r="L620" i="24"/>
  <c r="M620" i="24"/>
  <c r="N620" i="24"/>
  <c r="O620" i="24"/>
  <c r="G619" i="24"/>
  <c r="H619" i="24"/>
  <c r="I619" i="24"/>
  <c r="J619" i="24"/>
  <c r="K619" i="24"/>
  <c r="L619" i="24"/>
  <c r="M619" i="24"/>
  <c r="N619" i="24"/>
  <c r="O619" i="24"/>
  <c r="G618" i="24"/>
  <c r="H618" i="24"/>
  <c r="I618" i="24"/>
  <c r="J618" i="24"/>
  <c r="K618" i="24"/>
  <c r="L618" i="24"/>
  <c r="M618" i="24"/>
  <c r="N618" i="24"/>
  <c r="O618" i="24"/>
  <c r="G617" i="24"/>
  <c r="H617" i="24"/>
  <c r="I617" i="24"/>
  <c r="J617" i="24"/>
  <c r="K617" i="24"/>
  <c r="L617" i="24"/>
  <c r="M617" i="24"/>
  <c r="N617" i="24"/>
  <c r="O617" i="24"/>
  <c r="G616" i="24"/>
  <c r="H616" i="24"/>
  <c r="I616" i="24"/>
  <c r="J616" i="24"/>
  <c r="K616" i="24"/>
  <c r="L616" i="24"/>
  <c r="M616" i="24"/>
  <c r="N616" i="24"/>
  <c r="O616" i="24"/>
  <c r="G615" i="24"/>
  <c r="H615" i="24"/>
  <c r="I615" i="24"/>
  <c r="J615" i="24"/>
  <c r="K615" i="24"/>
  <c r="L615" i="24"/>
  <c r="M615" i="24"/>
  <c r="N615" i="24"/>
  <c r="O615" i="24"/>
  <c r="G614" i="24"/>
  <c r="H614" i="24"/>
  <c r="I614" i="24"/>
  <c r="J614" i="24"/>
  <c r="K614" i="24"/>
  <c r="L614" i="24"/>
  <c r="M614" i="24"/>
  <c r="N614" i="24"/>
  <c r="O614" i="24"/>
  <c r="G613" i="24"/>
  <c r="H613" i="24"/>
  <c r="I613" i="24"/>
  <c r="J613" i="24"/>
  <c r="K613" i="24"/>
  <c r="L613" i="24"/>
  <c r="M613" i="24"/>
  <c r="N613" i="24"/>
  <c r="O613" i="24"/>
  <c r="G612" i="24"/>
  <c r="H612" i="24"/>
  <c r="I612" i="24"/>
  <c r="J612" i="24"/>
  <c r="K612" i="24"/>
  <c r="L612" i="24"/>
  <c r="M612" i="24"/>
  <c r="N612" i="24"/>
  <c r="O612" i="24"/>
  <c r="G611" i="24"/>
  <c r="H611" i="24"/>
  <c r="I611" i="24"/>
  <c r="J611" i="24"/>
  <c r="K611" i="24"/>
  <c r="L611" i="24"/>
  <c r="M611" i="24"/>
  <c r="N611" i="24"/>
  <c r="O611" i="24"/>
  <c r="G610" i="24"/>
  <c r="H610" i="24"/>
  <c r="I610" i="24"/>
  <c r="J610" i="24"/>
  <c r="K610" i="24"/>
  <c r="L610" i="24"/>
  <c r="M610" i="24"/>
  <c r="N610" i="24"/>
  <c r="O610" i="24"/>
  <c r="G609" i="24"/>
  <c r="H609" i="24"/>
  <c r="I609" i="24"/>
  <c r="J609" i="24"/>
  <c r="K609" i="24"/>
  <c r="L609" i="24"/>
  <c r="M609" i="24"/>
  <c r="N609" i="24"/>
  <c r="O609" i="24"/>
  <c r="G608" i="24"/>
  <c r="H608" i="24"/>
  <c r="I608" i="24"/>
  <c r="J608" i="24"/>
  <c r="K608" i="24"/>
  <c r="L608" i="24"/>
  <c r="M608" i="24"/>
  <c r="N608" i="24"/>
  <c r="O608" i="24"/>
  <c r="G607" i="24"/>
  <c r="H607" i="24"/>
  <c r="I607" i="24"/>
  <c r="J607" i="24"/>
  <c r="K607" i="24"/>
  <c r="L607" i="24"/>
  <c r="M607" i="24"/>
  <c r="N607" i="24"/>
  <c r="O607" i="24"/>
  <c r="G606" i="24"/>
  <c r="H606" i="24"/>
  <c r="I606" i="24"/>
  <c r="J606" i="24"/>
  <c r="K606" i="24"/>
  <c r="L606" i="24"/>
  <c r="M606" i="24"/>
  <c r="N606" i="24"/>
  <c r="O606" i="24"/>
  <c r="G605" i="24"/>
  <c r="H605" i="24"/>
  <c r="I605" i="24"/>
  <c r="J605" i="24"/>
  <c r="K605" i="24"/>
  <c r="L605" i="24"/>
  <c r="M605" i="24"/>
  <c r="N605" i="24"/>
  <c r="O605" i="24"/>
  <c r="G604" i="24"/>
  <c r="H604" i="24"/>
  <c r="I604" i="24"/>
  <c r="J604" i="24"/>
  <c r="K604" i="24"/>
  <c r="L604" i="24"/>
  <c r="M604" i="24"/>
  <c r="N604" i="24"/>
  <c r="O604" i="24"/>
  <c r="G603" i="24"/>
  <c r="H603" i="24"/>
  <c r="I603" i="24"/>
  <c r="J603" i="24"/>
  <c r="K603" i="24"/>
  <c r="L603" i="24"/>
  <c r="M603" i="24"/>
  <c r="N603" i="24"/>
  <c r="O603" i="24"/>
  <c r="G602" i="24"/>
  <c r="H602" i="24"/>
  <c r="I602" i="24"/>
  <c r="J602" i="24"/>
  <c r="K602" i="24"/>
  <c r="L602" i="24"/>
  <c r="M602" i="24"/>
  <c r="N602" i="24"/>
  <c r="O602" i="24"/>
  <c r="G601" i="24"/>
  <c r="H601" i="24"/>
  <c r="I601" i="24"/>
  <c r="J601" i="24"/>
  <c r="K601" i="24"/>
  <c r="L601" i="24"/>
  <c r="M601" i="24"/>
  <c r="N601" i="24"/>
  <c r="O601" i="24"/>
  <c r="G600" i="24"/>
  <c r="H600" i="24"/>
  <c r="I600" i="24"/>
  <c r="J600" i="24"/>
  <c r="K600" i="24"/>
  <c r="L600" i="24"/>
  <c r="M600" i="24"/>
  <c r="N600" i="24"/>
  <c r="O600" i="24"/>
  <c r="G599" i="24"/>
  <c r="H599" i="24"/>
  <c r="I599" i="24"/>
  <c r="J599" i="24"/>
  <c r="K599" i="24"/>
  <c r="L599" i="24"/>
  <c r="M599" i="24"/>
  <c r="N599" i="24"/>
  <c r="O599" i="24"/>
  <c r="G598" i="24"/>
  <c r="H598" i="24"/>
  <c r="I598" i="24"/>
  <c r="J598" i="24"/>
  <c r="K598" i="24"/>
  <c r="L598" i="24"/>
  <c r="M598" i="24"/>
  <c r="N598" i="24"/>
  <c r="O598" i="24"/>
  <c r="G597" i="24"/>
  <c r="H597" i="24"/>
  <c r="I597" i="24"/>
  <c r="J597" i="24"/>
  <c r="K597" i="24"/>
  <c r="L597" i="24"/>
  <c r="M597" i="24"/>
  <c r="N597" i="24"/>
  <c r="O597" i="24"/>
  <c r="G596" i="24"/>
  <c r="H596" i="24"/>
  <c r="I596" i="24"/>
  <c r="J596" i="24"/>
  <c r="K596" i="24"/>
  <c r="L596" i="24"/>
  <c r="M596" i="24"/>
  <c r="N596" i="24"/>
  <c r="O596" i="24"/>
  <c r="G595" i="24"/>
  <c r="H595" i="24"/>
  <c r="I595" i="24"/>
  <c r="J595" i="24"/>
  <c r="K595" i="24"/>
  <c r="L595" i="24"/>
  <c r="M595" i="24"/>
  <c r="N595" i="24"/>
  <c r="O595" i="24"/>
  <c r="G594" i="24"/>
  <c r="H594" i="24"/>
  <c r="I594" i="24"/>
  <c r="L594" i="24"/>
  <c r="J594" i="24"/>
  <c r="K594" i="24"/>
  <c r="M594" i="24"/>
  <c r="N594" i="24"/>
  <c r="O594" i="24"/>
  <c r="G593" i="24"/>
  <c r="H593" i="24"/>
  <c r="I593" i="24"/>
  <c r="J593" i="24"/>
  <c r="K593" i="24"/>
  <c r="L593" i="24"/>
  <c r="M593" i="24"/>
  <c r="N593" i="24"/>
  <c r="O593" i="24"/>
  <c r="G592" i="24"/>
  <c r="H592" i="24"/>
  <c r="I592" i="24"/>
  <c r="J592" i="24"/>
  <c r="K592" i="24"/>
  <c r="L592" i="24"/>
  <c r="M592" i="24"/>
  <c r="N592" i="24"/>
  <c r="O592" i="24"/>
  <c r="G591" i="24"/>
  <c r="H591" i="24"/>
  <c r="I591" i="24"/>
  <c r="J591" i="24"/>
  <c r="K591" i="24"/>
  <c r="L591" i="24"/>
  <c r="M591" i="24"/>
  <c r="N591" i="24"/>
  <c r="O591" i="24"/>
  <c r="G590" i="24"/>
  <c r="H590" i="24"/>
  <c r="I590" i="24"/>
  <c r="J590" i="24"/>
  <c r="K590" i="24"/>
  <c r="L590" i="24"/>
  <c r="M590" i="24"/>
  <c r="N590" i="24"/>
  <c r="O590" i="24"/>
  <c r="G589" i="24"/>
  <c r="H589" i="24"/>
  <c r="I589" i="24"/>
  <c r="J589" i="24"/>
  <c r="K589" i="24"/>
  <c r="L589" i="24"/>
  <c r="M589" i="24"/>
  <c r="N589" i="24"/>
  <c r="O589" i="24"/>
  <c r="G588" i="24"/>
  <c r="H588" i="24"/>
  <c r="I588" i="24"/>
  <c r="J588" i="24"/>
  <c r="K588" i="24"/>
  <c r="L588" i="24"/>
  <c r="M588" i="24"/>
  <c r="N588" i="24"/>
  <c r="O588" i="24"/>
  <c r="G587" i="24"/>
  <c r="H587" i="24"/>
  <c r="I587" i="24"/>
  <c r="J587" i="24"/>
  <c r="K587" i="24"/>
  <c r="L587" i="24"/>
  <c r="M587" i="24"/>
  <c r="N587" i="24"/>
  <c r="O587" i="24"/>
  <c r="G586" i="24"/>
  <c r="H586" i="24"/>
  <c r="I586" i="24"/>
  <c r="J586" i="24"/>
  <c r="K586" i="24"/>
  <c r="L586" i="24"/>
  <c r="M586" i="24"/>
  <c r="N586" i="24"/>
  <c r="O586" i="24"/>
  <c r="G585" i="24"/>
  <c r="H585" i="24"/>
  <c r="I585" i="24"/>
  <c r="J585" i="24"/>
  <c r="K585" i="24"/>
  <c r="L585" i="24"/>
  <c r="M585" i="24"/>
  <c r="N585" i="24"/>
  <c r="O585" i="24"/>
  <c r="G584" i="24"/>
  <c r="H584" i="24"/>
  <c r="I584" i="24"/>
  <c r="J584" i="24"/>
  <c r="K584" i="24"/>
  <c r="L584" i="24"/>
  <c r="M584" i="24"/>
  <c r="N584" i="24"/>
  <c r="O584" i="24"/>
  <c r="G583" i="24"/>
  <c r="H583" i="24"/>
  <c r="I583" i="24"/>
  <c r="J583" i="24"/>
  <c r="K583" i="24"/>
  <c r="L583" i="24"/>
  <c r="M583" i="24"/>
  <c r="N583" i="24"/>
  <c r="O583" i="24"/>
  <c r="G582" i="24"/>
  <c r="H582" i="24"/>
  <c r="I582" i="24"/>
  <c r="J582" i="24"/>
  <c r="K582" i="24"/>
  <c r="L582" i="24"/>
  <c r="M582" i="24"/>
  <c r="N582" i="24"/>
  <c r="O582" i="24"/>
  <c r="G581" i="24"/>
  <c r="H581" i="24"/>
  <c r="I581" i="24"/>
  <c r="J581" i="24"/>
  <c r="K581" i="24"/>
  <c r="L581" i="24"/>
  <c r="M581" i="24"/>
  <c r="N581" i="24"/>
  <c r="O581" i="24"/>
  <c r="G580" i="24"/>
  <c r="H580" i="24"/>
  <c r="I580" i="24"/>
  <c r="J580" i="24"/>
  <c r="K580" i="24"/>
  <c r="L580" i="24"/>
  <c r="M580" i="24"/>
  <c r="N580" i="24"/>
  <c r="O580" i="24"/>
  <c r="G579" i="24"/>
  <c r="H579" i="24"/>
  <c r="I579" i="24"/>
  <c r="J579" i="24"/>
  <c r="K579" i="24"/>
  <c r="L579" i="24"/>
  <c r="M579" i="24"/>
  <c r="N579" i="24"/>
  <c r="O579" i="24"/>
  <c r="G578" i="24"/>
  <c r="H578" i="24"/>
  <c r="I578" i="24"/>
  <c r="J578" i="24"/>
  <c r="K578" i="24"/>
  <c r="L578" i="24"/>
  <c r="M578" i="24"/>
  <c r="N578" i="24"/>
  <c r="O578" i="24"/>
  <c r="G577" i="24"/>
  <c r="H577" i="24"/>
  <c r="I577" i="24"/>
  <c r="J577" i="24"/>
  <c r="K577" i="24"/>
  <c r="L577" i="24"/>
  <c r="M577" i="24"/>
  <c r="N577" i="24"/>
  <c r="O577" i="24"/>
  <c r="H576" i="24"/>
  <c r="J576" i="24"/>
  <c r="K576" i="24"/>
  <c r="L576" i="24"/>
  <c r="N576" i="24"/>
  <c r="O576" i="24"/>
  <c r="G576" i="24"/>
  <c r="I576" i="24"/>
  <c r="M576" i="24"/>
  <c r="G575" i="24"/>
  <c r="H575" i="24"/>
  <c r="I575" i="24"/>
  <c r="J575" i="24"/>
  <c r="K575" i="24"/>
  <c r="L575" i="24"/>
  <c r="M575" i="24"/>
  <c r="N575" i="24"/>
  <c r="O575" i="24"/>
  <c r="I574" i="24"/>
  <c r="M574" i="24"/>
  <c r="H574" i="24"/>
  <c r="K574" i="24"/>
  <c r="L574" i="24"/>
  <c r="O574" i="24"/>
  <c r="G574" i="24"/>
  <c r="J574" i="24"/>
  <c r="N574" i="24"/>
  <c r="J573" i="24"/>
  <c r="M573" i="24"/>
  <c r="O573" i="24"/>
  <c r="H573" i="24"/>
  <c r="K573" i="24"/>
  <c r="G573" i="24"/>
  <c r="I573" i="24"/>
  <c r="L573" i="24"/>
  <c r="N573" i="24"/>
  <c r="H572" i="24"/>
  <c r="J572" i="24"/>
  <c r="L572" i="24"/>
  <c r="N572" i="24"/>
  <c r="G572" i="24"/>
  <c r="I572" i="24"/>
  <c r="K572" i="24"/>
  <c r="M572" i="24"/>
  <c r="O572" i="24"/>
  <c r="I571" i="24"/>
  <c r="G571" i="24"/>
  <c r="J571" i="24"/>
  <c r="L571" i="24"/>
  <c r="N571" i="24"/>
  <c r="O571" i="24"/>
  <c r="H571" i="24"/>
  <c r="K571" i="24"/>
  <c r="M571" i="24"/>
  <c r="G570" i="24"/>
  <c r="H570" i="24"/>
  <c r="I570" i="24"/>
  <c r="J570" i="24"/>
  <c r="K570" i="24"/>
  <c r="L570" i="24"/>
  <c r="M570" i="24"/>
  <c r="N570" i="24"/>
  <c r="O570" i="24"/>
  <c r="H569" i="24"/>
  <c r="J569" i="24"/>
  <c r="L569" i="24"/>
  <c r="M569" i="24"/>
  <c r="O569" i="24"/>
  <c r="G569" i="24"/>
  <c r="I569" i="24"/>
  <c r="K569" i="24"/>
  <c r="N569" i="24"/>
  <c r="G568" i="24"/>
  <c r="H568" i="24"/>
  <c r="I568" i="24"/>
  <c r="J568" i="24"/>
  <c r="L568" i="24"/>
  <c r="N568" i="24"/>
  <c r="K568" i="24"/>
  <c r="M568" i="24"/>
  <c r="O568" i="24"/>
  <c r="K567" i="24"/>
  <c r="H567" i="24"/>
  <c r="J567" i="24"/>
  <c r="M567" i="24"/>
  <c r="G567" i="24"/>
  <c r="I567" i="24"/>
  <c r="L567" i="24"/>
  <c r="N567" i="24"/>
  <c r="O567" i="24"/>
  <c r="G566" i="24"/>
  <c r="H566" i="24"/>
  <c r="I566" i="24"/>
  <c r="J566" i="24"/>
  <c r="K566" i="24"/>
  <c r="L566" i="24"/>
  <c r="M566" i="24"/>
  <c r="N566" i="24"/>
  <c r="O566" i="24"/>
  <c r="G565" i="24"/>
  <c r="H565" i="24"/>
  <c r="I565" i="24"/>
  <c r="J565" i="24"/>
  <c r="K565" i="24"/>
  <c r="L565" i="24"/>
  <c r="M565" i="24"/>
  <c r="N565" i="24"/>
  <c r="O565" i="24"/>
  <c r="H564" i="24"/>
  <c r="J564" i="24"/>
  <c r="L564" i="24"/>
  <c r="M564" i="24"/>
  <c r="N564" i="24"/>
  <c r="O564" i="24"/>
  <c r="G564" i="24"/>
  <c r="I564" i="24"/>
  <c r="K564" i="24"/>
  <c r="G563" i="24"/>
  <c r="H563" i="24"/>
  <c r="I563" i="24"/>
  <c r="J563" i="24"/>
  <c r="K563" i="24"/>
  <c r="L563" i="24"/>
  <c r="M563" i="24"/>
  <c r="N563" i="24"/>
  <c r="O563" i="24"/>
  <c r="H562" i="24"/>
  <c r="I562" i="24"/>
  <c r="J562" i="24"/>
  <c r="K562" i="24"/>
  <c r="L562" i="24"/>
  <c r="M562" i="24"/>
  <c r="N562" i="24"/>
  <c r="O562" i="24"/>
  <c r="G562" i="24"/>
  <c r="G561" i="24"/>
  <c r="H561" i="24"/>
  <c r="I561" i="24"/>
  <c r="J561" i="24"/>
  <c r="K561" i="24"/>
  <c r="L561" i="24"/>
  <c r="M561" i="24"/>
  <c r="N561" i="24"/>
  <c r="O561" i="24"/>
  <c r="G560" i="24"/>
  <c r="I560" i="24"/>
  <c r="J560" i="24"/>
  <c r="K560" i="24"/>
  <c r="L560" i="24"/>
  <c r="N560" i="24"/>
  <c r="O560" i="24"/>
  <c r="H560" i="24"/>
  <c r="M560" i="24"/>
  <c r="H559" i="24"/>
  <c r="J559" i="24"/>
  <c r="K559" i="24"/>
  <c r="M559" i="24"/>
  <c r="O559" i="24"/>
  <c r="G559" i="24"/>
  <c r="I559" i="24"/>
  <c r="L559" i="24"/>
  <c r="N559" i="24"/>
  <c r="G558" i="24"/>
  <c r="H558" i="24"/>
  <c r="I558" i="24"/>
  <c r="J558" i="24"/>
  <c r="K558" i="24"/>
  <c r="L558" i="24"/>
  <c r="M558" i="24"/>
  <c r="N558" i="24"/>
  <c r="O558" i="24"/>
  <c r="I557" i="24"/>
  <c r="H557" i="24"/>
  <c r="K557" i="24"/>
  <c r="M557" i="24"/>
  <c r="N557" i="24"/>
  <c r="O557" i="24"/>
  <c r="G557" i="24"/>
  <c r="J557" i="24"/>
  <c r="L557" i="24"/>
  <c r="H556" i="24"/>
  <c r="J556" i="24"/>
  <c r="L556" i="24"/>
  <c r="N556" i="24"/>
  <c r="G556" i="24"/>
  <c r="I556" i="24"/>
  <c r="K556" i="24"/>
  <c r="M556" i="24"/>
  <c r="O556" i="24"/>
  <c r="J555" i="24"/>
  <c r="K555" i="24"/>
  <c r="N555" i="24"/>
  <c r="H555" i="24"/>
  <c r="M555" i="24"/>
  <c r="G555" i="24"/>
  <c r="I555" i="24"/>
  <c r="L555" i="24"/>
  <c r="O555" i="24"/>
  <c r="J554" i="24"/>
  <c r="G554" i="24"/>
  <c r="I554" i="24"/>
  <c r="K554" i="24"/>
  <c r="M554" i="24"/>
  <c r="H554" i="24"/>
  <c r="L554" i="24"/>
  <c r="N554" i="24"/>
  <c r="O554" i="24"/>
  <c r="H553" i="24"/>
  <c r="K553" i="24"/>
  <c r="M553" i="24"/>
  <c r="N553" i="24"/>
  <c r="O553" i="24"/>
  <c r="G553" i="24"/>
  <c r="J553" i="24"/>
  <c r="I553" i="24"/>
  <c r="L553" i="24"/>
  <c r="H552" i="24"/>
  <c r="J552" i="24"/>
  <c r="K552" i="24"/>
  <c r="N552" i="24"/>
  <c r="G552" i="24"/>
  <c r="I552" i="24"/>
  <c r="L552" i="24"/>
  <c r="M552" i="24"/>
  <c r="O552" i="24"/>
  <c r="K551" i="24"/>
  <c r="G551" i="24"/>
  <c r="J551" i="24"/>
  <c r="L551" i="24"/>
  <c r="M551" i="24"/>
  <c r="N551" i="24"/>
  <c r="O551" i="24"/>
  <c r="I551" i="24"/>
  <c r="H551" i="24"/>
  <c r="K550" i="24"/>
  <c r="O550" i="24"/>
  <c r="M550" i="24"/>
  <c r="H550" i="24"/>
  <c r="G550" i="24"/>
  <c r="L550" i="24"/>
  <c r="I550" i="24"/>
  <c r="J550" i="24"/>
  <c r="N550" i="24"/>
  <c r="O549" i="24"/>
  <c r="J549" i="24"/>
  <c r="L549" i="24"/>
  <c r="G549" i="24"/>
  <c r="K549" i="24"/>
  <c r="I549" i="24"/>
  <c r="N549" i="24"/>
  <c r="M549" i="24"/>
  <c r="H549" i="24"/>
  <c r="M548" i="24"/>
  <c r="I548" i="24"/>
  <c r="K548" i="24"/>
  <c r="N548" i="24"/>
  <c r="H548" i="24"/>
  <c r="L548" i="24"/>
  <c r="G548" i="24"/>
  <c r="J548" i="24"/>
  <c r="O548" i="24"/>
  <c r="I547" i="24"/>
  <c r="M547" i="24"/>
  <c r="L547" i="24"/>
  <c r="G547" i="24"/>
  <c r="K547" i="24"/>
  <c r="H547" i="24"/>
  <c r="J547" i="24"/>
  <c r="N547" i="24"/>
  <c r="O547" i="24"/>
  <c r="M546" i="24"/>
  <c r="J546" i="24"/>
  <c r="L546" i="24"/>
  <c r="O546" i="24"/>
  <c r="K546" i="24"/>
  <c r="H546" i="24"/>
  <c r="G546" i="24"/>
  <c r="I546" i="24"/>
  <c r="N546" i="24"/>
  <c r="G545" i="24"/>
  <c r="M545" i="24"/>
  <c r="H545" i="24"/>
  <c r="N545" i="24"/>
  <c r="I545" i="24"/>
  <c r="L545" i="24"/>
  <c r="O545" i="24"/>
  <c r="J545" i="24"/>
  <c r="K545" i="24"/>
  <c r="J544" i="24"/>
  <c r="M544" i="24"/>
  <c r="O544" i="24"/>
  <c r="K544" i="24"/>
  <c r="I544" i="24"/>
  <c r="G544" i="24"/>
  <c r="L544" i="24"/>
  <c r="H544" i="24"/>
  <c r="N544" i="24"/>
  <c r="O543" i="24"/>
  <c r="G543" i="24"/>
  <c r="N543" i="24"/>
  <c r="J543" i="24"/>
  <c r="K543" i="24"/>
  <c r="M543" i="24"/>
  <c r="H543" i="24"/>
  <c r="L543" i="24"/>
  <c r="I543" i="24"/>
  <c r="G542" i="24"/>
  <c r="I542" i="24"/>
  <c r="M542" i="24"/>
  <c r="H542" i="24"/>
  <c r="J542" i="24"/>
  <c r="N542" i="24"/>
  <c r="L542" i="24"/>
  <c r="K542" i="24"/>
  <c r="O542" i="24"/>
  <c r="K541" i="24"/>
  <c r="O541" i="24"/>
  <c r="I541" i="24"/>
  <c r="L541" i="24"/>
  <c r="M541" i="24"/>
  <c r="G541" i="24"/>
  <c r="J541" i="24"/>
  <c r="N541" i="24"/>
  <c r="H541" i="24"/>
  <c r="M540" i="24"/>
  <c r="N540" i="24"/>
  <c r="I540" i="24"/>
  <c r="H540" i="24"/>
  <c r="G540" i="24"/>
  <c r="L540" i="24"/>
  <c r="K540" i="24"/>
  <c r="J540" i="24"/>
  <c r="O540" i="24"/>
  <c r="H539" i="24"/>
  <c r="G539" i="24"/>
  <c r="J539" i="24"/>
  <c r="O539" i="24"/>
  <c r="I539" i="24"/>
  <c r="M539" i="24"/>
  <c r="K539" i="24"/>
  <c r="L539" i="24"/>
  <c r="N539" i="24"/>
  <c r="I538" i="24"/>
  <c r="M538" i="24"/>
  <c r="N538" i="24"/>
  <c r="K538" i="24"/>
  <c r="H538" i="24"/>
  <c r="G538" i="24"/>
  <c r="O538" i="24"/>
  <c r="J538" i="24"/>
  <c r="L538" i="24"/>
  <c r="J537" i="24"/>
  <c r="I537" i="24"/>
  <c r="L537" i="24"/>
  <c r="M537" i="24"/>
  <c r="O537" i="24"/>
  <c r="G537" i="24"/>
  <c r="K537" i="24"/>
  <c r="N537" i="24"/>
  <c r="H537" i="24"/>
  <c r="H536" i="24"/>
  <c r="N536" i="24"/>
  <c r="I536" i="24"/>
  <c r="K536" i="24"/>
  <c r="G536" i="24"/>
  <c r="M536" i="24"/>
  <c r="L536" i="24"/>
  <c r="O536" i="24"/>
  <c r="J536" i="24"/>
  <c r="M535" i="24"/>
  <c r="K535" i="24"/>
  <c r="G535" i="24"/>
  <c r="N535" i="24"/>
  <c r="J535" i="24"/>
  <c r="I535" i="24"/>
  <c r="H535" i="24"/>
  <c r="L535" i="24"/>
  <c r="O535" i="24"/>
  <c r="J534" i="24"/>
  <c r="L534" i="24"/>
  <c r="O534" i="24"/>
  <c r="I534" i="24"/>
  <c r="G534" i="24"/>
  <c r="K534" i="24"/>
  <c r="N534" i="24"/>
  <c r="H534" i="24"/>
  <c r="M534" i="24"/>
  <c r="O533" i="24"/>
  <c r="H533" i="24"/>
  <c r="M533" i="24"/>
  <c r="G533" i="24"/>
  <c r="L533" i="24"/>
  <c r="N533" i="24"/>
  <c r="J533" i="24"/>
  <c r="I533" i="24"/>
  <c r="K533" i="24"/>
  <c r="I532" i="24"/>
  <c r="N532" i="24"/>
  <c r="J532" i="24"/>
  <c r="L532" i="24"/>
  <c r="O532" i="24"/>
  <c r="K532" i="24"/>
  <c r="M532" i="24"/>
  <c r="H532" i="24"/>
  <c r="G532" i="24"/>
  <c r="L531" i="24"/>
  <c r="H531" i="24"/>
  <c r="G531" i="24"/>
  <c r="K531" i="24"/>
  <c r="I531" i="24"/>
  <c r="M531" i="24"/>
  <c r="N531" i="24"/>
  <c r="J531" i="24"/>
  <c r="O531" i="24"/>
  <c r="K530" i="24"/>
  <c r="G530" i="24"/>
  <c r="J530" i="24"/>
  <c r="M530" i="24"/>
  <c r="O530" i="24"/>
  <c r="H530" i="24"/>
  <c r="I530" i="24"/>
  <c r="N530" i="24"/>
  <c r="L530" i="24"/>
  <c r="K529" i="24"/>
  <c r="L529" i="24"/>
  <c r="O529" i="24"/>
  <c r="J529" i="24"/>
  <c r="I529" i="24"/>
  <c r="G529" i="24"/>
  <c r="M529" i="24"/>
  <c r="H529" i="24"/>
  <c r="N529" i="24"/>
  <c r="G528" i="24"/>
  <c r="O528" i="24"/>
  <c r="L528" i="24"/>
  <c r="M528" i="24"/>
  <c r="N528" i="24"/>
  <c r="H528" i="24"/>
  <c r="K528" i="24"/>
  <c r="I528" i="24"/>
  <c r="J528" i="24"/>
  <c r="G527" i="24"/>
  <c r="H527" i="24"/>
  <c r="I527" i="24"/>
  <c r="J527" i="24"/>
  <c r="K527" i="24"/>
  <c r="L527" i="24"/>
  <c r="M527" i="24"/>
  <c r="N527" i="24"/>
  <c r="O527" i="24"/>
  <c r="G526" i="24"/>
  <c r="H526" i="24"/>
  <c r="I526" i="24"/>
  <c r="J526" i="24"/>
  <c r="K526" i="24"/>
  <c r="L526" i="24"/>
  <c r="M526" i="24"/>
  <c r="N526" i="24"/>
  <c r="O526" i="24"/>
  <c r="G525" i="24"/>
  <c r="H525" i="24"/>
  <c r="I525" i="24"/>
  <c r="J525" i="24"/>
  <c r="K525" i="24"/>
  <c r="L525" i="24"/>
  <c r="M525" i="24"/>
  <c r="N525" i="24"/>
  <c r="O525" i="24"/>
  <c r="G524" i="24"/>
  <c r="H524" i="24"/>
  <c r="I524" i="24"/>
  <c r="J524" i="24"/>
  <c r="K524" i="24"/>
  <c r="L524" i="24"/>
  <c r="M524" i="24"/>
  <c r="N524" i="24"/>
  <c r="O524" i="24"/>
  <c r="G523" i="24"/>
  <c r="H523" i="24"/>
  <c r="I523" i="24"/>
  <c r="J523" i="24"/>
  <c r="K523" i="24"/>
  <c r="L523" i="24"/>
  <c r="M523" i="24"/>
  <c r="N523" i="24"/>
  <c r="O523" i="24"/>
  <c r="G522" i="24"/>
  <c r="H522" i="24"/>
  <c r="I522" i="24"/>
  <c r="J522" i="24"/>
  <c r="K522" i="24"/>
  <c r="L522" i="24"/>
  <c r="M522" i="24"/>
  <c r="N522" i="24"/>
  <c r="O522" i="24"/>
  <c r="G521" i="24"/>
  <c r="H521" i="24"/>
  <c r="I521" i="24"/>
  <c r="J521" i="24"/>
  <c r="K521" i="24"/>
  <c r="L521" i="24"/>
  <c r="M521" i="24"/>
  <c r="N521" i="24"/>
  <c r="O521" i="24"/>
  <c r="K520" i="24"/>
  <c r="H520" i="24"/>
  <c r="I520" i="24"/>
  <c r="L520" i="24"/>
  <c r="G520" i="24"/>
  <c r="J520" i="24"/>
  <c r="N520" i="24"/>
  <c r="M520" i="24"/>
  <c r="O520" i="24"/>
  <c r="J519" i="24"/>
  <c r="G519" i="24"/>
  <c r="L519" i="24"/>
  <c r="H519" i="24"/>
  <c r="N519" i="24"/>
  <c r="I519" i="24"/>
  <c r="M519" i="24"/>
  <c r="K519" i="24"/>
  <c r="O519" i="24"/>
  <c r="J518" i="24"/>
  <c r="O518" i="24"/>
  <c r="G518" i="24"/>
  <c r="I518" i="24"/>
  <c r="N518" i="24"/>
  <c r="H518" i="24"/>
  <c r="K518" i="24"/>
  <c r="L518" i="24"/>
  <c r="M518" i="24"/>
  <c r="K517" i="24"/>
  <c r="O517" i="24"/>
  <c r="G517" i="24"/>
  <c r="H517" i="24"/>
  <c r="L517" i="24"/>
  <c r="I517" i="24"/>
  <c r="M517" i="24"/>
  <c r="J517" i="24"/>
  <c r="N517" i="24"/>
  <c r="L516" i="24"/>
  <c r="O516" i="24"/>
  <c r="K516" i="24"/>
  <c r="G516" i="24"/>
  <c r="J516" i="24"/>
  <c r="H516" i="24"/>
  <c r="M516" i="24"/>
  <c r="I516" i="24"/>
  <c r="N516" i="24"/>
  <c r="N515" i="24"/>
  <c r="G515" i="24"/>
  <c r="O515" i="24"/>
  <c r="K515" i="24"/>
  <c r="M515" i="24"/>
  <c r="H515" i="24"/>
  <c r="I515" i="24"/>
  <c r="L515" i="24"/>
  <c r="J515" i="24"/>
  <c r="I514" i="24"/>
  <c r="M514" i="24"/>
  <c r="H514" i="24"/>
  <c r="O514" i="24"/>
  <c r="G514" i="24"/>
  <c r="N514" i="24"/>
  <c r="K514" i="24"/>
  <c r="J514" i="24"/>
  <c r="L514" i="24"/>
  <c r="I513" i="24"/>
  <c r="H513" i="24"/>
  <c r="J513" i="24"/>
  <c r="M513" i="24"/>
  <c r="K513" i="24"/>
  <c r="N513" i="24"/>
  <c r="O513" i="24"/>
  <c r="G513" i="24"/>
  <c r="L513" i="24"/>
  <c r="J512" i="24"/>
  <c r="G512" i="24"/>
  <c r="I512" i="24"/>
  <c r="K512" i="24"/>
  <c r="O512" i="24"/>
  <c r="N512" i="24"/>
  <c r="M512" i="24"/>
  <c r="H512" i="24"/>
  <c r="L512" i="24"/>
  <c r="L511" i="24"/>
  <c r="I511" i="24"/>
  <c r="J511" i="24"/>
  <c r="G511" i="24"/>
  <c r="K511" i="24"/>
  <c r="O511" i="24"/>
  <c r="N511" i="24"/>
  <c r="H511" i="24"/>
  <c r="M511" i="24"/>
  <c r="H510" i="24"/>
  <c r="I510" i="24"/>
  <c r="M510" i="24"/>
  <c r="L510" i="24"/>
  <c r="G510" i="24"/>
  <c r="N510" i="24"/>
  <c r="J510" i="24"/>
  <c r="O510" i="24"/>
  <c r="K510" i="24"/>
  <c r="J509" i="24"/>
  <c r="N509" i="24"/>
  <c r="I509" i="24"/>
  <c r="M509" i="24"/>
  <c r="G509" i="24"/>
  <c r="H509" i="24"/>
  <c r="L509" i="24"/>
  <c r="K509" i="24"/>
  <c r="O509" i="24"/>
  <c r="O508" i="24"/>
  <c r="I508" i="24"/>
  <c r="K508" i="24"/>
  <c r="N508" i="24"/>
  <c r="M508" i="24"/>
  <c r="J508" i="24"/>
  <c r="G508" i="24"/>
  <c r="L508" i="24"/>
  <c r="H508" i="24"/>
  <c r="G507" i="24"/>
  <c r="O507" i="24"/>
  <c r="J507" i="24"/>
  <c r="N507" i="24"/>
  <c r="L507" i="24"/>
  <c r="K507" i="24"/>
  <c r="I507" i="24"/>
  <c r="H507" i="24"/>
  <c r="M507" i="24"/>
  <c r="I506" i="24"/>
  <c r="L506" i="24"/>
  <c r="J506" i="24"/>
  <c r="K506" i="24"/>
  <c r="N506" i="24"/>
  <c r="G506" i="24"/>
  <c r="O506" i="24"/>
  <c r="M506" i="24"/>
  <c r="H506" i="24"/>
  <c r="O505" i="24"/>
  <c r="H505" i="24"/>
  <c r="I505" i="24"/>
  <c r="N505" i="24"/>
  <c r="G505" i="24"/>
  <c r="L505" i="24"/>
  <c r="K505" i="24"/>
  <c r="M505" i="24"/>
  <c r="J505" i="24"/>
  <c r="M504" i="24"/>
  <c r="N504" i="24"/>
  <c r="I504" i="24"/>
  <c r="L504" i="24"/>
  <c r="J504" i="24"/>
  <c r="H504" i="24"/>
  <c r="K504" i="24"/>
  <c r="O504" i="24"/>
  <c r="G504" i="24"/>
  <c r="L503" i="24"/>
  <c r="O503" i="24"/>
  <c r="K503" i="24"/>
  <c r="N503" i="24"/>
  <c r="I503" i="24"/>
  <c r="H503" i="24"/>
  <c r="G503" i="24"/>
  <c r="J503" i="24"/>
  <c r="M503" i="24"/>
  <c r="G502" i="24"/>
  <c r="J502" i="24"/>
  <c r="O502" i="24"/>
  <c r="H502" i="24"/>
  <c r="I502" i="24"/>
  <c r="M502" i="24"/>
  <c r="K502" i="24"/>
  <c r="N502" i="24"/>
  <c r="L502" i="24"/>
  <c r="K501" i="24"/>
  <c r="N501" i="24"/>
  <c r="I501" i="24"/>
  <c r="H501" i="24"/>
  <c r="L501" i="24"/>
  <c r="M501" i="24"/>
  <c r="G501" i="24"/>
  <c r="J501" i="24"/>
  <c r="O501" i="24"/>
  <c r="O500" i="24"/>
  <c r="M500" i="24"/>
  <c r="K500" i="24"/>
  <c r="L500" i="24"/>
  <c r="G500" i="24"/>
  <c r="J500" i="24"/>
  <c r="I500" i="24"/>
  <c r="N500" i="24"/>
  <c r="H500" i="24"/>
  <c r="H499" i="24"/>
  <c r="I499" i="24"/>
  <c r="L499" i="24"/>
  <c r="K499" i="24"/>
  <c r="M499" i="24"/>
  <c r="J499" i="24"/>
  <c r="N499" i="24"/>
  <c r="O499" i="24"/>
  <c r="G499" i="24"/>
  <c r="N498" i="24"/>
  <c r="G498" i="24"/>
  <c r="K498" i="24"/>
  <c r="L498" i="24"/>
  <c r="H498" i="24"/>
  <c r="M498" i="24"/>
  <c r="J498" i="24"/>
  <c r="I498" i="24"/>
  <c r="O498" i="24"/>
  <c r="J497" i="24"/>
  <c r="K497" i="24"/>
  <c r="I497" i="24"/>
  <c r="L497" i="24"/>
  <c r="G497" i="24"/>
  <c r="O497" i="24"/>
  <c r="H497" i="24"/>
  <c r="N497" i="24"/>
  <c r="M497" i="24"/>
  <c r="L496" i="24"/>
  <c r="G496" i="24"/>
  <c r="K496" i="24"/>
  <c r="I496" i="24"/>
  <c r="N496" i="24"/>
  <c r="M496" i="24"/>
  <c r="J496" i="24"/>
  <c r="H496" i="24"/>
  <c r="O496" i="24"/>
  <c r="J495" i="24"/>
  <c r="O495" i="24"/>
  <c r="H495" i="24"/>
  <c r="I495" i="24"/>
  <c r="M495" i="24"/>
  <c r="L495" i="24"/>
  <c r="K495" i="24"/>
  <c r="N495" i="24"/>
  <c r="G495" i="24"/>
  <c r="L494" i="24"/>
  <c r="M494" i="24"/>
  <c r="I494" i="24"/>
  <c r="N494" i="24"/>
  <c r="K494" i="24"/>
  <c r="O494" i="24"/>
  <c r="H494" i="24"/>
  <c r="J494" i="24"/>
  <c r="G494" i="24"/>
  <c r="I493" i="24"/>
  <c r="K493" i="24"/>
  <c r="N493" i="24"/>
  <c r="J493" i="24"/>
  <c r="H493" i="24"/>
  <c r="M493" i="24"/>
  <c r="O493" i="24"/>
  <c r="G493" i="24"/>
  <c r="L493" i="24"/>
  <c r="I492" i="24"/>
  <c r="K492" i="24"/>
  <c r="O492" i="24"/>
  <c r="G492" i="24"/>
  <c r="J492" i="24"/>
  <c r="M492" i="24"/>
  <c r="H492" i="24"/>
  <c r="L492" i="24"/>
  <c r="N492" i="24"/>
  <c r="I491" i="24"/>
  <c r="K491" i="24"/>
  <c r="N491" i="24"/>
  <c r="H491" i="24"/>
  <c r="L491" i="24"/>
  <c r="G491" i="24"/>
  <c r="J491" i="24"/>
  <c r="M491" i="24"/>
  <c r="O491" i="24"/>
  <c r="H490" i="24"/>
  <c r="L490" i="24"/>
  <c r="N490" i="24"/>
  <c r="K490" i="24"/>
  <c r="M490" i="24"/>
  <c r="O490" i="24"/>
  <c r="I490" i="24"/>
  <c r="G490" i="24"/>
  <c r="J490" i="24"/>
  <c r="H489" i="24"/>
  <c r="J489" i="24"/>
  <c r="L489" i="24"/>
  <c r="N489" i="24"/>
  <c r="I489" i="24"/>
  <c r="M489" i="24"/>
  <c r="O489" i="24"/>
  <c r="G489" i="24"/>
  <c r="K489" i="24"/>
  <c r="J488" i="24"/>
  <c r="M488" i="24"/>
  <c r="G488" i="24"/>
  <c r="I488" i="24"/>
  <c r="L488" i="24"/>
  <c r="N488" i="24"/>
  <c r="O488" i="24"/>
  <c r="H488" i="24"/>
  <c r="K488" i="24"/>
  <c r="G487" i="24"/>
  <c r="H487" i="24"/>
  <c r="I487" i="24"/>
  <c r="J487" i="24"/>
  <c r="K487" i="24"/>
  <c r="L487" i="24"/>
  <c r="M487" i="24"/>
  <c r="N487" i="24"/>
  <c r="O487" i="24"/>
  <c r="H486" i="24"/>
  <c r="I486" i="24"/>
  <c r="J486" i="24"/>
  <c r="K486" i="24"/>
  <c r="L486" i="24"/>
  <c r="M486" i="24"/>
  <c r="N486" i="24"/>
  <c r="O486" i="24"/>
  <c r="G486" i="24"/>
  <c r="G485" i="24"/>
  <c r="H485" i="24"/>
  <c r="I485" i="24"/>
  <c r="J485" i="24"/>
  <c r="K485" i="24"/>
  <c r="L485" i="24"/>
  <c r="M485" i="24"/>
  <c r="N485" i="24"/>
  <c r="O485" i="24"/>
  <c r="G484" i="24"/>
  <c r="J484" i="24"/>
  <c r="H484" i="24"/>
  <c r="L484" i="24"/>
  <c r="I484" i="24"/>
  <c r="K484" i="24"/>
  <c r="M484" i="24"/>
  <c r="N484" i="24"/>
  <c r="O484" i="24"/>
  <c r="M483" i="24"/>
  <c r="H483" i="24"/>
  <c r="K483" i="24"/>
  <c r="O483" i="24"/>
  <c r="G483" i="24"/>
  <c r="J483" i="24"/>
  <c r="N483" i="24"/>
  <c r="I483" i="24"/>
  <c r="L483" i="24"/>
  <c r="K482" i="24"/>
  <c r="H482" i="24"/>
  <c r="J482" i="24"/>
  <c r="M482" i="24"/>
  <c r="O482" i="24"/>
  <c r="I482" i="24"/>
  <c r="G482" i="24"/>
  <c r="L482" i="24"/>
  <c r="N482" i="24"/>
  <c r="K481" i="24"/>
  <c r="L481" i="24"/>
  <c r="N481" i="24"/>
  <c r="O481" i="24"/>
  <c r="H481" i="24"/>
  <c r="M481" i="24"/>
  <c r="J481" i="24"/>
  <c r="I481" i="24"/>
  <c r="G481" i="24"/>
  <c r="J480" i="24"/>
  <c r="H480" i="24"/>
  <c r="M480" i="24"/>
  <c r="I480" i="24"/>
  <c r="K480" i="24"/>
  <c r="O480" i="24"/>
  <c r="G480" i="24"/>
  <c r="N480" i="24"/>
  <c r="L480" i="24"/>
  <c r="H479" i="24"/>
  <c r="M479" i="24"/>
  <c r="L479" i="24"/>
  <c r="K479" i="24"/>
  <c r="I479" i="24"/>
  <c r="O479" i="24"/>
  <c r="G479" i="24"/>
  <c r="J479" i="24"/>
  <c r="N479" i="24"/>
  <c r="H478" i="24"/>
  <c r="G478" i="24"/>
  <c r="J478" i="24"/>
  <c r="L478" i="24"/>
  <c r="N478" i="24"/>
  <c r="I478" i="24"/>
  <c r="K478" i="24"/>
  <c r="M478" i="24"/>
  <c r="O478" i="24"/>
  <c r="J477" i="24"/>
  <c r="M477" i="24"/>
  <c r="G477" i="24"/>
  <c r="I477" i="24"/>
  <c r="K477" i="24"/>
  <c r="N477" i="24"/>
  <c r="H477" i="24"/>
  <c r="L477" i="24"/>
  <c r="O477" i="24"/>
  <c r="I476" i="24"/>
  <c r="K476" i="24"/>
  <c r="L476" i="24"/>
  <c r="H476" i="24"/>
  <c r="N476" i="24"/>
  <c r="G476" i="24"/>
  <c r="J476" i="24"/>
  <c r="M476" i="24"/>
  <c r="O476" i="24"/>
  <c r="J475" i="24"/>
  <c r="G475" i="24"/>
  <c r="I475" i="24"/>
  <c r="L475" i="24"/>
  <c r="N475" i="24"/>
  <c r="H475" i="24"/>
  <c r="K475" i="24"/>
  <c r="M475" i="24"/>
  <c r="O475" i="24"/>
  <c r="H474" i="24"/>
  <c r="I474" i="24"/>
  <c r="J474" i="24"/>
  <c r="K474" i="24"/>
  <c r="L474" i="24"/>
  <c r="M474" i="24"/>
  <c r="N474" i="24"/>
  <c r="O474" i="24"/>
  <c r="G474" i="24"/>
  <c r="I473" i="24"/>
  <c r="G473" i="24"/>
  <c r="J473" i="24"/>
  <c r="L473" i="24"/>
  <c r="M473" i="24"/>
  <c r="N473" i="24"/>
  <c r="O473" i="24"/>
  <c r="H473" i="24"/>
  <c r="K473" i="24"/>
  <c r="I472" i="24"/>
  <c r="M472" i="24"/>
  <c r="H472" i="24"/>
  <c r="J472" i="24"/>
  <c r="L472" i="24"/>
  <c r="N472" i="24"/>
  <c r="O472" i="24"/>
  <c r="G472" i="24"/>
  <c r="K472" i="24"/>
  <c r="I471" i="24"/>
  <c r="G471" i="24"/>
  <c r="J471" i="24"/>
  <c r="L471" i="24"/>
  <c r="O471" i="24"/>
  <c r="H471" i="24"/>
  <c r="K471" i="24"/>
  <c r="M471" i="24"/>
  <c r="N471" i="24"/>
  <c r="J470" i="24"/>
  <c r="N470" i="24"/>
  <c r="G470" i="24"/>
  <c r="L470" i="24"/>
  <c r="O470" i="24"/>
  <c r="H470" i="24"/>
  <c r="K470" i="24"/>
  <c r="M470" i="24"/>
  <c r="I470" i="24"/>
  <c r="I469" i="24"/>
  <c r="M469" i="24"/>
  <c r="O469" i="24"/>
  <c r="H469" i="24"/>
  <c r="K469" i="24"/>
  <c r="G469" i="24"/>
  <c r="L469" i="24"/>
  <c r="N469" i="24"/>
  <c r="J469" i="24"/>
  <c r="I468" i="24"/>
  <c r="L468" i="24"/>
  <c r="O468" i="24"/>
  <c r="G468" i="24"/>
  <c r="H468" i="24"/>
  <c r="J468" i="24"/>
  <c r="N468" i="24"/>
  <c r="K468" i="24"/>
  <c r="M468" i="24"/>
  <c r="H467" i="24"/>
  <c r="J467" i="24"/>
  <c r="G467" i="24"/>
  <c r="L467" i="24"/>
  <c r="I467" i="24"/>
  <c r="K467" i="24"/>
  <c r="M467" i="24"/>
  <c r="O467" i="24"/>
  <c r="N467" i="24"/>
  <c r="O466" i="24"/>
  <c r="J466" i="24"/>
  <c r="H466" i="24"/>
  <c r="I466" i="24"/>
  <c r="M466" i="24"/>
  <c r="L466" i="24"/>
  <c r="G466" i="24"/>
  <c r="K466" i="24"/>
  <c r="N466" i="24"/>
  <c r="M465" i="24"/>
  <c r="O465" i="24"/>
  <c r="J465" i="24"/>
  <c r="H465" i="24"/>
  <c r="L465" i="24"/>
  <c r="I465" i="24"/>
  <c r="N465" i="24"/>
  <c r="G465" i="24"/>
  <c r="K465" i="24"/>
  <c r="N464" i="24"/>
  <c r="G464" i="24"/>
  <c r="L464" i="24"/>
  <c r="J464" i="24"/>
  <c r="K464" i="24"/>
  <c r="O464" i="24"/>
  <c r="I464" i="24"/>
  <c r="M464" i="24"/>
  <c r="H464" i="24"/>
  <c r="I463" i="24"/>
  <c r="L463" i="24"/>
  <c r="H463" i="24"/>
  <c r="K463" i="24"/>
  <c r="G463" i="24"/>
  <c r="J463" i="24"/>
  <c r="O463" i="24"/>
  <c r="N463" i="24"/>
  <c r="M463" i="24"/>
  <c r="N462" i="24"/>
  <c r="J462" i="24"/>
  <c r="H462" i="24"/>
  <c r="O462" i="24"/>
  <c r="L462" i="24"/>
  <c r="K462" i="24"/>
  <c r="G462" i="24"/>
  <c r="I462" i="24"/>
  <c r="M462" i="24"/>
  <c r="G461" i="24"/>
  <c r="H461" i="24"/>
  <c r="I461" i="24"/>
  <c r="J461" i="24"/>
  <c r="K461" i="24"/>
  <c r="L461" i="24"/>
  <c r="M461" i="24"/>
  <c r="N461" i="24"/>
  <c r="O461" i="24"/>
  <c r="G460" i="24"/>
  <c r="H460" i="24"/>
  <c r="I460" i="24"/>
  <c r="J460" i="24"/>
  <c r="K460" i="24"/>
  <c r="L460" i="24"/>
  <c r="M460" i="24"/>
  <c r="N460" i="24"/>
  <c r="O460" i="24"/>
  <c r="G459" i="24"/>
  <c r="H459" i="24"/>
  <c r="I459" i="24"/>
  <c r="J459" i="24"/>
  <c r="K459" i="24"/>
  <c r="L459" i="24"/>
  <c r="M459" i="24"/>
  <c r="N459" i="24"/>
  <c r="O459" i="24"/>
  <c r="G458" i="24"/>
  <c r="H458" i="24"/>
  <c r="I458" i="24"/>
  <c r="J458" i="24"/>
  <c r="K458" i="24"/>
  <c r="L458" i="24"/>
  <c r="M458" i="24"/>
  <c r="N458" i="24"/>
  <c r="O458" i="24"/>
  <c r="G457" i="24"/>
  <c r="H457" i="24"/>
  <c r="I457" i="24"/>
  <c r="J457" i="24"/>
  <c r="K457" i="24"/>
  <c r="L457" i="24"/>
  <c r="M457" i="24"/>
  <c r="N457" i="24"/>
  <c r="O457" i="24"/>
  <c r="G456" i="24"/>
  <c r="H456" i="24"/>
  <c r="I456" i="24"/>
  <c r="J456" i="24"/>
  <c r="K456" i="24"/>
  <c r="L456" i="24"/>
  <c r="M456" i="24"/>
  <c r="N456" i="24"/>
  <c r="O456" i="24"/>
  <c r="G455" i="24"/>
  <c r="H455" i="24"/>
  <c r="I455" i="24"/>
  <c r="J455" i="24"/>
  <c r="K455" i="24"/>
  <c r="L455" i="24"/>
  <c r="M455" i="24"/>
  <c r="N455" i="24"/>
  <c r="O455" i="24"/>
  <c r="G454" i="24"/>
  <c r="H454" i="24"/>
  <c r="I454" i="24"/>
  <c r="J454" i="24"/>
  <c r="K454" i="24"/>
  <c r="L454" i="24"/>
  <c r="M454" i="24"/>
  <c r="N454" i="24"/>
  <c r="O454" i="24"/>
  <c r="G453" i="24"/>
  <c r="H453" i="24"/>
  <c r="I453" i="24"/>
  <c r="J453" i="24"/>
  <c r="K453" i="24"/>
  <c r="L453" i="24"/>
  <c r="M453" i="24"/>
  <c r="N453" i="24"/>
  <c r="O453" i="24"/>
  <c r="G452" i="24"/>
  <c r="H452" i="24"/>
  <c r="I452" i="24"/>
  <c r="J452" i="24"/>
  <c r="K452" i="24"/>
  <c r="L452" i="24"/>
  <c r="M452" i="24"/>
  <c r="N452" i="24"/>
  <c r="O452" i="24"/>
  <c r="G451" i="24"/>
  <c r="H451" i="24"/>
  <c r="I451" i="24"/>
  <c r="J451" i="24"/>
  <c r="K451" i="24"/>
  <c r="L451" i="24"/>
  <c r="M451" i="24"/>
  <c r="N451" i="24"/>
  <c r="O451" i="24"/>
  <c r="G450" i="24"/>
  <c r="H450" i="24"/>
  <c r="I450" i="24"/>
  <c r="J450" i="24"/>
  <c r="K450" i="24"/>
  <c r="L450" i="24"/>
  <c r="M450" i="24"/>
  <c r="N450" i="24"/>
  <c r="O450" i="24"/>
  <c r="G449" i="24"/>
  <c r="H449" i="24"/>
  <c r="I449" i="24"/>
  <c r="J449" i="24"/>
  <c r="K449" i="24"/>
  <c r="L449" i="24"/>
  <c r="M449" i="24"/>
  <c r="N449" i="24"/>
  <c r="O449" i="24"/>
  <c r="G448" i="24"/>
  <c r="H448" i="24"/>
  <c r="I448" i="24"/>
  <c r="J448" i="24"/>
  <c r="K448" i="24"/>
  <c r="L448" i="24"/>
  <c r="M448" i="24"/>
  <c r="N448" i="24"/>
  <c r="O448" i="24"/>
  <c r="G447" i="24"/>
  <c r="H447" i="24"/>
  <c r="I447" i="24"/>
  <c r="J447" i="24"/>
  <c r="K447" i="24"/>
  <c r="L447" i="24"/>
  <c r="M447" i="24"/>
  <c r="N447" i="24"/>
  <c r="O447" i="24"/>
  <c r="G446" i="24"/>
  <c r="H446" i="24"/>
  <c r="I446" i="24"/>
  <c r="J446" i="24"/>
  <c r="K446" i="24"/>
  <c r="L446" i="24"/>
  <c r="M446" i="24"/>
  <c r="N446" i="24"/>
  <c r="O446" i="24"/>
  <c r="G445" i="24"/>
  <c r="H445" i="24"/>
  <c r="I445" i="24"/>
  <c r="J445" i="24"/>
  <c r="K445" i="24"/>
  <c r="L445" i="24"/>
  <c r="M445" i="24"/>
  <c r="N445" i="24"/>
  <c r="O445" i="24"/>
  <c r="G444" i="24"/>
  <c r="H444" i="24"/>
  <c r="I444" i="24"/>
  <c r="J444" i="24"/>
  <c r="K444" i="24"/>
  <c r="L444" i="24"/>
  <c r="M444" i="24"/>
  <c r="N444" i="24"/>
  <c r="O444" i="24"/>
  <c r="G443" i="24"/>
  <c r="H443" i="24"/>
  <c r="I443" i="24"/>
  <c r="J443" i="24"/>
  <c r="K443" i="24"/>
  <c r="L443" i="24"/>
  <c r="M443" i="24"/>
  <c r="N443" i="24"/>
  <c r="O443" i="24"/>
  <c r="G442" i="24"/>
  <c r="H442" i="24"/>
  <c r="I442" i="24"/>
  <c r="J442" i="24"/>
  <c r="K442" i="24"/>
  <c r="L442" i="24"/>
  <c r="M442" i="24"/>
  <c r="N442" i="24"/>
  <c r="O442" i="24"/>
  <c r="G441" i="24"/>
  <c r="H441" i="24"/>
  <c r="I441" i="24"/>
  <c r="J441" i="24"/>
  <c r="K441" i="24"/>
  <c r="L441" i="24"/>
  <c r="M441" i="24"/>
  <c r="N441" i="24"/>
  <c r="O441" i="24"/>
  <c r="G440" i="24"/>
  <c r="H440" i="24"/>
  <c r="I440" i="24"/>
  <c r="J440" i="24"/>
  <c r="K440" i="24"/>
  <c r="L440" i="24"/>
  <c r="M440" i="24"/>
  <c r="N440" i="24"/>
  <c r="O440" i="24"/>
  <c r="G439" i="24"/>
  <c r="H439" i="24"/>
  <c r="I439" i="24"/>
  <c r="J439" i="24"/>
  <c r="K439" i="24"/>
  <c r="L439" i="24"/>
  <c r="M439" i="24"/>
  <c r="N439" i="24"/>
  <c r="O439" i="24"/>
  <c r="G438" i="24"/>
  <c r="H438" i="24"/>
  <c r="I438" i="24"/>
  <c r="J438" i="24"/>
  <c r="K438" i="24"/>
  <c r="L438" i="24"/>
  <c r="M438" i="24"/>
  <c r="N438" i="24"/>
  <c r="O438" i="24"/>
  <c r="G437" i="24"/>
  <c r="H437" i="24"/>
  <c r="I437" i="24"/>
  <c r="J437" i="24"/>
  <c r="K437" i="24"/>
  <c r="L437" i="24"/>
  <c r="M437" i="24"/>
  <c r="N437" i="24"/>
  <c r="O437" i="24"/>
  <c r="G436" i="24"/>
  <c r="H436" i="24"/>
  <c r="I436" i="24"/>
  <c r="J436" i="24"/>
  <c r="K436" i="24"/>
  <c r="L436" i="24"/>
  <c r="M436" i="24"/>
  <c r="N436" i="24"/>
  <c r="O436" i="24"/>
  <c r="G435" i="24"/>
  <c r="H435" i="24"/>
  <c r="I435" i="24"/>
  <c r="J435" i="24"/>
  <c r="K435" i="24"/>
  <c r="L435" i="24"/>
  <c r="M435" i="24"/>
  <c r="N435" i="24"/>
  <c r="O435" i="24"/>
  <c r="G434" i="24"/>
  <c r="H434" i="24"/>
  <c r="I434" i="24"/>
  <c r="J434" i="24"/>
  <c r="K434" i="24"/>
  <c r="L434" i="24"/>
  <c r="M434" i="24"/>
  <c r="N434" i="24"/>
  <c r="O434" i="24"/>
  <c r="K433" i="24"/>
  <c r="J433" i="24"/>
  <c r="I433" i="24"/>
  <c r="M433" i="24"/>
  <c r="G433" i="24"/>
  <c r="L433" i="24"/>
  <c r="H433" i="24"/>
  <c r="N433" i="24"/>
  <c r="O433" i="24"/>
  <c r="K432" i="24"/>
  <c r="H432" i="24"/>
  <c r="L432" i="24"/>
  <c r="J432" i="24"/>
  <c r="G432" i="24"/>
  <c r="N432" i="24"/>
  <c r="M432" i="24"/>
  <c r="I432" i="24"/>
  <c r="O432" i="24"/>
  <c r="G431" i="24"/>
  <c r="M431" i="24"/>
  <c r="I431" i="24"/>
  <c r="H431" i="24"/>
  <c r="K431" i="24"/>
  <c r="J431" i="24"/>
  <c r="N431" i="24"/>
  <c r="L431" i="24"/>
  <c r="O431" i="24"/>
  <c r="L430" i="24"/>
  <c r="G430" i="24"/>
  <c r="N430" i="24"/>
  <c r="I430" i="24"/>
  <c r="K430" i="24"/>
  <c r="J430" i="24"/>
  <c r="H430" i="24"/>
  <c r="O430" i="24"/>
  <c r="M430" i="24"/>
  <c r="L429" i="24"/>
  <c r="H429" i="24"/>
  <c r="G429" i="24"/>
  <c r="N429" i="24"/>
  <c r="I429" i="24"/>
  <c r="M429" i="24"/>
  <c r="K429" i="24"/>
  <c r="J429" i="24"/>
  <c r="O429" i="24"/>
  <c r="L428" i="24"/>
  <c r="G428" i="24"/>
  <c r="J428" i="24"/>
  <c r="I428" i="24"/>
  <c r="O428" i="24"/>
  <c r="H428" i="24"/>
  <c r="K428" i="24"/>
  <c r="N428" i="24"/>
  <c r="M428" i="24"/>
  <c r="K427" i="24"/>
  <c r="J427" i="24"/>
  <c r="H427" i="24"/>
  <c r="N427" i="24"/>
  <c r="M427" i="24"/>
  <c r="O427" i="24"/>
  <c r="G427" i="24"/>
  <c r="I427" i="24"/>
  <c r="L427" i="24"/>
  <c r="M426" i="24"/>
  <c r="O426" i="24"/>
  <c r="H426" i="24"/>
  <c r="N426" i="24"/>
  <c r="I426" i="24"/>
  <c r="L426" i="24"/>
  <c r="J426" i="24"/>
  <c r="G426" i="24"/>
  <c r="K426" i="24"/>
  <c r="L425" i="24"/>
  <c r="J425" i="24"/>
  <c r="K425" i="24"/>
  <c r="M425" i="24"/>
  <c r="O425" i="24"/>
  <c r="N425" i="24"/>
  <c r="I425" i="24"/>
  <c r="H425" i="24"/>
  <c r="G425" i="24"/>
  <c r="H424" i="24"/>
  <c r="K424" i="24"/>
  <c r="N424" i="24"/>
  <c r="G424" i="24"/>
  <c r="I424" i="24"/>
  <c r="M424" i="24"/>
  <c r="J424" i="24"/>
  <c r="L424" i="24"/>
  <c r="O424" i="24"/>
  <c r="K423" i="24"/>
  <c r="L423" i="24"/>
  <c r="G423" i="24"/>
  <c r="I423" i="24"/>
  <c r="J423" i="24"/>
  <c r="O423" i="24"/>
  <c r="H423" i="24"/>
  <c r="M423" i="24"/>
  <c r="N423" i="24"/>
  <c r="H422" i="24"/>
  <c r="L422" i="24"/>
  <c r="J422" i="24"/>
  <c r="K422" i="24"/>
  <c r="I422" i="24"/>
  <c r="M422" i="24"/>
  <c r="O422" i="24"/>
  <c r="G422" i="24"/>
  <c r="N422" i="24"/>
  <c r="J421" i="24"/>
  <c r="K421" i="24"/>
  <c r="G421" i="24"/>
  <c r="M421" i="24"/>
  <c r="N421" i="24"/>
  <c r="I421" i="24"/>
  <c r="L421" i="24"/>
  <c r="H421" i="24"/>
  <c r="O421" i="24"/>
  <c r="I420" i="24"/>
  <c r="K420" i="24"/>
  <c r="H420" i="24"/>
  <c r="M420" i="24"/>
  <c r="N420" i="24"/>
  <c r="J420" i="24"/>
  <c r="L420" i="24"/>
  <c r="O420" i="24"/>
  <c r="G420" i="24"/>
  <c r="N419" i="24"/>
  <c r="H419" i="24"/>
  <c r="L419" i="24"/>
  <c r="J419" i="24"/>
  <c r="K419" i="24"/>
  <c r="O419" i="24"/>
  <c r="G419" i="24"/>
  <c r="I419" i="24"/>
  <c r="M419" i="24"/>
  <c r="I418" i="24"/>
  <c r="H418" i="24"/>
  <c r="L418" i="24"/>
  <c r="O418" i="24"/>
  <c r="N418" i="24"/>
  <c r="M418" i="24"/>
  <c r="G418" i="24"/>
  <c r="J418" i="24"/>
  <c r="K418" i="24"/>
  <c r="K417" i="24"/>
  <c r="I417" i="24"/>
  <c r="M417" i="24"/>
  <c r="O417" i="24"/>
  <c r="G417" i="24"/>
  <c r="J417" i="24"/>
  <c r="H417" i="24"/>
  <c r="N417" i="24"/>
  <c r="L417" i="24"/>
  <c r="K416" i="24"/>
  <c r="O416" i="24"/>
  <c r="G416" i="24"/>
  <c r="J416" i="24"/>
  <c r="L416" i="24"/>
  <c r="I416" i="24"/>
  <c r="H416" i="24"/>
  <c r="M416" i="24"/>
  <c r="N416" i="24"/>
  <c r="K415" i="24"/>
  <c r="N415" i="24"/>
  <c r="O415" i="24"/>
  <c r="G415" i="24"/>
  <c r="I415" i="24"/>
  <c r="H415" i="24"/>
  <c r="M415" i="24"/>
  <c r="J415" i="24"/>
  <c r="L415" i="24"/>
  <c r="H414" i="24"/>
  <c r="K414" i="24"/>
  <c r="O414" i="24"/>
  <c r="M414" i="24"/>
  <c r="G414" i="24"/>
  <c r="L414" i="24"/>
  <c r="J414" i="24"/>
  <c r="N414" i="24"/>
  <c r="I414" i="24"/>
  <c r="L413" i="24"/>
  <c r="K413" i="24"/>
  <c r="G413" i="24"/>
  <c r="M413" i="24"/>
  <c r="I413" i="24"/>
  <c r="N413" i="24"/>
  <c r="H413" i="24"/>
  <c r="O413" i="24"/>
  <c r="J413" i="24"/>
  <c r="M412" i="24"/>
  <c r="L412" i="24"/>
  <c r="K412" i="24"/>
  <c r="H412" i="24"/>
  <c r="J412" i="24"/>
  <c r="O412" i="24"/>
  <c r="G412" i="24"/>
  <c r="I412" i="24"/>
  <c r="N412" i="24"/>
  <c r="H411" i="24"/>
  <c r="G411" i="24"/>
  <c r="M411" i="24"/>
  <c r="I411" i="24"/>
  <c r="L411" i="24"/>
  <c r="J411" i="24"/>
  <c r="N411" i="24"/>
  <c r="O411" i="24"/>
  <c r="K411" i="24"/>
  <c r="L410" i="24"/>
  <c r="N410" i="24"/>
  <c r="I410" i="24"/>
  <c r="K410" i="24"/>
  <c r="G410" i="24"/>
  <c r="M410" i="24"/>
  <c r="H410" i="24"/>
  <c r="J410" i="24"/>
  <c r="O410" i="24"/>
  <c r="I409" i="24"/>
  <c r="H409" i="24"/>
  <c r="G409" i="24"/>
  <c r="K409" i="24"/>
  <c r="N409" i="24"/>
  <c r="O409" i="24"/>
  <c r="J409" i="24"/>
  <c r="M409" i="24"/>
  <c r="L409" i="24"/>
  <c r="H408" i="24"/>
  <c r="J408" i="24"/>
  <c r="O408" i="24"/>
  <c r="K408" i="24"/>
  <c r="N408" i="24"/>
  <c r="G408" i="24"/>
  <c r="I408" i="24"/>
  <c r="L408" i="24"/>
  <c r="M408" i="24"/>
  <c r="H407" i="24"/>
  <c r="J407" i="24"/>
  <c r="G407" i="24"/>
  <c r="O407" i="24"/>
  <c r="N407" i="24"/>
  <c r="I407" i="24"/>
  <c r="M407" i="24"/>
  <c r="L407" i="24"/>
  <c r="K407" i="24"/>
  <c r="L406" i="24"/>
  <c r="M406" i="24"/>
  <c r="H406" i="24"/>
  <c r="K406" i="24"/>
  <c r="O406" i="24"/>
  <c r="I406" i="24"/>
  <c r="J406" i="24"/>
  <c r="N406" i="24"/>
  <c r="G406" i="24"/>
  <c r="J405" i="24"/>
  <c r="M405" i="24"/>
  <c r="K405" i="24"/>
  <c r="N405" i="24"/>
  <c r="G405" i="24"/>
  <c r="O405" i="24"/>
  <c r="H405" i="24"/>
  <c r="L405" i="24"/>
  <c r="I405" i="24"/>
  <c r="O404" i="24"/>
  <c r="G404" i="24"/>
  <c r="K404" i="24"/>
  <c r="M404" i="24"/>
  <c r="J404" i="24"/>
  <c r="L404" i="24"/>
  <c r="H404" i="24"/>
  <c r="I404" i="24"/>
  <c r="N404" i="24"/>
  <c r="H403" i="24"/>
  <c r="K403" i="24"/>
  <c r="O403" i="24"/>
  <c r="N403" i="24"/>
  <c r="I403" i="24"/>
  <c r="M403" i="24"/>
  <c r="L403" i="24"/>
  <c r="J403" i="24"/>
  <c r="G403" i="24"/>
  <c r="N402" i="24"/>
  <c r="H402" i="24"/>
  <c r="M402" i="24"/>
  <c r="O402" i="24"/>
  <c r="K402" i="24"/>
  <c r="G402" i="24"/>
  <c r="I402" i="24"/>
  <c r="J402" i="24"/>
  <c r="L402" i="24"/>
  <c r="G401" i="24"/>
  <c r="H401" i="24"/>
  <c r="M401" i="24"/>
  <c r="N401" i="24"/>
  <c r="I401" i="24"/>
  <c r="L401" i="24"/>
  <c r="K401" i="24"/>
  <c r="O401" i="24"/>
  <c r="J401" i="24"/>
  <c r="N400" i="24"/>
  <c r="I400" i="24"/>
  <c r="H400" i="24"/>
  <c r="O400" i="24"/>
  <c r="K400" i="24"/>
  <c r="L400" i="24"/>
  <c r="J400" i="24"/>
  <c r="M400" i="24"/>
  <c r="G400" i="24"/>
  <c r="I399" i="24"/>
  <c r="K399" i="24"/>
  <c r="J399" i="24"/>
  <c r="N399" i="24"/>
  <c r="M399" i="24"/>
  <c r="L399" i="24"/>
  <c r="H399" i="24"/>
  <c r="O399" i="24"/>
  <c r="G399" i="24"/>
  <c r="K398" i="24"/>
  <c r="I398" i="24"/>
  <c r="O398" i="24"/>
  <c r="L398" i="24"/>
  <c r="H398" i="24"/>
  <c r="J398" i="24"/>
  <c r="N398" i="24"/>
  <c r="G398" i="24"/>
  <c r="M398" i="24"/>
  <c r="N397" i="24"/>
  <c r="M397" i="24"/>
  <c r="I397" i="24"/>
  <c r="H397" i="24"/>
  <c r="L397" i="24"/>
  <c r="K397" i="24"/>
  <c r="O397" i="24"/>
  <c r="G397" i="24"/>
  <c r="J397" i="24"/>
  <c r="J396" i="24"/>
  <c r="O396" i="24"/>
  <c r="H396" i="24"/>
  <c r="K396" i="24"/>
  <c r="N396" i="24"/>
  <c r="M396" i="24"/>
  <c r="I396" i="24"/>
  <c r="G396" i="24"/>
  <c r="L396" i="24"/>
  <c r="G395" i="24"/>
  <c r="H395" i="24"/>
  <c r="I395" i="24"/>
  <c r="J395" i="24"/>
  <c r="K395" i="24"/>
  <c r="L395" i="24"/>
  <c r="M395" i="24"/>
  <c r="N395" i="24"/>
  <c r="O395" i="24"/>
  <c r="G394" i="24"/>
  <c r="H394" i="24"/>
  <c r="I394" i="24"/>
  <c r="J394" i="24"/>
  <c r="K394" i="24"/>
  <c r="L394" i="24"/>
  <c r="M394" i="24"/>
  <c r="N394" i="24"/>
  <c r="O394" i="24"/>
  <c r="G393" i="24"/>
  <c r="H393" i="24"/>
  <c r="I393" i="24"/>
  <c r="J393" i="24"/>
  <c r="K393" i="24"/>
  <c r="L393" i="24"/>
  <c r="M393" i="24"/>
  <c r="N393" i="24"/>
  <c r="O393" i="24"/>
  <c r="G392" i="24"/>
  <c r="H392" i="24"/>
  <c r="I392" i="24"/>
  <c r="J392" i="24"/>
  <c r="K392" i="24"/>
  <c r="L392" i="24"/>
  <c r="M392" i="24"/>
  <c r="N392" i="24"/>
  <c r="O392" i="24"/>
  <c r="G391" i="24"/>
  <c r="H391" i="24"/>
  <c r="I391" i="24"/>
  <c r="J391" i="24"/>
  <c r="K391" i="24"/>
  <c r="L391" i="24"/>
  <c r="M391" i="24"/>
  <c r="N391" i="24"/>
  <c r="O391" i="24"/>
  <c r="G390" i="24"/>
  <c r="H390" i="24"/>
  <c r="I390" i="24"/>
  <c r="J390" i="24"/>
  <c r="K390" i="24"/>
  <c r="L390" i="24"/>
  <c r="M390" i="24"/>
  <c r="N390" i="24"/>
  <c r="O390" i="24"/>
  <c r="G389" i="24"/>
  <c r="H389" i="24"/>
  <c r="I389" i="24"/>
  <c r="J389" i="24"/>
  <c r="K389" i="24"/>
  <c r="L389" i="24"/>
  <c r="M389" i="24"/>
  <c r="N389" i="24"/>
  <c r="O389" i="24"/>
  <c r="G388" i="24"/>
  <c r="H388" i="24"/>
  <c r="I388" i="24"/>
  <c r="J388" i="24"/>
  <c r="K388" i="24"/>
  <c r="L388" i="24"/>
  <c r="M388" i="24"/>
  <c r="N388" i="24"/>
  <c r="O388" i="24"/>
  <c r="G387" i="24"/>
  <c r="H387" i="24"/>
  <c r="I387" i="24"/>
  <c r="J387" i="24"/>
  <c r="K387" i="24"/>
  <c r="L387" i="24"/>
  <c r="M387" i="24"/>
  <c r="N387" i="24"/>
  <c r="O387" i="24"/>
  <c r="G386" i="24"/>
  <c r="H386" i="24"/>
  <c r="I386" i="24"/>
  <c r="J386" i="24"/>
  <c r="K386" i="24"/>
  <c r="L386" i="24"/>
  <c r="M386" i="24"/>
  <c r="N386" i="24"/>
  <c r="O386" i="24"/>
  <c r="G385" i="24"/>
  <c r="H385" i="24"/>
  <c r="I385" i="24"/>
  <c r="J385" i="24"/>
  <c r="K385" i="24"/>
  <c r="L385" i="24"/>
  <c r="M385" i="24"/>
  <c r="N385" i="24"/>
  <c r="O385" i="24"/>
  <c r="G384" i="24"/>
  <c r="H384" i="24"/>
  <c r="I384" i="24"/>
  <c r="J384" i="24"/>
  <c r="K384" i="24"/>
  <c r="L384" i="24"/>
  <c r="M384" i="24"/>
  <c r="N384" i="24"/>
  <c r="O384" i="24"/>
  <c r="G383" i="24"/>
  <c r="H383" i="24"/>
  <c r="I383" i="24"/>
  <c r="J383" i="24"/>
  <c r="K383" i="24"/>
  <c r="L383" i="24"/>
  <c r="M383" i="24"/>
  <c r="N383" i="24"/>
  <c r="O383" i="24"/>
  <c r="G382" i="24"/>
  <c r="H382" i="24"/>
  <c r="I382" i="24"/>
  <c r="J382" i="24"/>
  <c r="K382" i="24"/>
  <c r="L382" i="24"/>
  <c r="M382" i="24"/>
  <c r="N382" i="24"/>
  <c r="O382" i="24"/>
  <c r="G381" i="24"/>
  <c r="H381" i="24"/>
  <c r="I381" i="24"/>
  <c r="J381" i="24"/>
  <c r="K381" i="24"/>
  <c r="L381" i="24"/>
  <c r="M381" i="24"/>
  <c r="N381" i="24"/>
  <c r="O381" i="24"/>
  <c r="G380" i="24"/>
  <c r="H380" i="24"/>
  <c r="I380" i="24"/>
  <c r="J380" i="24"/>
  <c r="K380" i="24"/>
  <c r="L380" i="24"/>
  <c r="M380" i="24"/>
  <c r="N380" i="24"/>
  <c r="O380" i="24"/>
  <c r="G379" i="24"/>
  <c r="H379" i="24"/>
  <c r="I379" i="24"/>
  <c r="J379" i="24"/>
  <c r="K379" i="24"/>
  <c r="L379" i="24"/>
  <c r="M379" i="24"/>
  <c r="N379" i="24"/>
  <c r="O379" i="24"/>
  <c r="G378" i="24"/>
  <c r="H378" i="24"/>
  <c r="I378" i="24"/>
  <c r="J378" i="24"/>
  <c r="K378" i="24"/>
  <c r="L378" i="24"/>
  <c r="M378" i="24"/>
  <c r="N378" i="24"/>
  <c r="O378" i="24"/>
  <c r="G377" i="24"/>
  <c r="H377" i="24"/>
  <c r="I377" i="24"/>
  <c r="J377" i="24"/>
  <c r="K377" i="24"/>
  <c r="L377" i="24"/>
  <c r="M377" i="24"/>
  <c r="N377" i="24"/>
  <c r="O377" i="24"/>
  <c r="G376" i="24"/>
  <c r="H376" i="24"/>
  <c r="I376" i="24"/>
  <c r="J376" i="24"/>
  <c r="K376" i="24"/>
  <c r="L376" i="24"/>
  <c r="M376" i="24"/>
  <c r="N376" i="24"/>
  <c r="O376" i="24"/>
  <c r="G375" i="24"/>
  <c r="H375" i="24"/>
  <c r="I375" i="24"/>
  <c r="J375" i="24"/>
  <c r="K375" i="24"/>
  <c r="L375" i="24"/>
  <c r="M375" i="24"/>
  <c r="N375" i="24"/>
  <c r="O375" i="24"/>
  <c r="G374" i="24"/>
  <c r="H374" i="24"/>
  <c r="I374" i="24"/>
  <c r="J374" i="24"/>
  <c r="K374" i="24"/>
  <c r="L374" i="24"/>
  <c r="M374" i="24"/>
  <c r="N374" i="24"/>
  <c r="O374" i="24"/>
  <c r="G373" i="24"/>
  <c r="H373" i="24"/>
  <c r="I373" i="24"/>
  <c r="J373" i="24"/>
  <c r="K373" i="24"/>
  <c r="L373" i="24"/>
  <c r="M373" i="24"/>
  <c r="N373" i="24"/>
  <c r="O373" i="24"/>
  <c r="G372" i="24"/>
  <c r="H372" i="24"/>
  <c r="I372" i="24"/>
  <c r="J372" i="24"/>
  <c r="K372" i="24"/>
  <c r="L372" i="24"/>
  <c r="M372" i="24"/>
  <c r="N372" i="24"/>
  <c r="O372" i="24"/>
  <c r="G371" i="24"/>
  <c r="H371" i="24"/>
  <c r="I371" i="24"/>
  <c r="J371" i="24"/>
  <c r="K371" i="24"/>
  <c r="L371" i="24"/>
  <c r="M371" i="24"/>
  <c r="N371" i="24"/>
  <c r="O371" i="24"/>
  <c r="G370" i="24"/>
  <c r="H370" i="24"/>
  <c r="I370" i="24"/>
  <c r="J370" i="24"/>
  <c r="K370" i="24"/>
  <c r="L370" i="24"/>
  <c r="M370" i="24"/>
  <c r="N370" i="24"/>
  <c r="O370" i="24"/>
  <c r="G369" i="24"/>
  <c r="H369" i="24"/>
  <c r="I369" i="24"/>
  <c r="J369" i="24"/>
  <c r="K369" i="24"/>
  <c r="L369" i="24"/>
  <c r="M369" i="24"/>
  <c r="N369" i="24"/>
  <c r="O369" i="24"/>
  <c r="G368" i="24"/>
  <c r="H368" i="24"/>
  <c r="I368" i="24"/>
  <c r="J368" i="24"/>
  <c r="K368" i="24"/>
  <c r="L368" i="24"/>
  <c r="M368" i="24"/>
  <c r="N368" i="24"/>
  <c r="O368" i="24"/>
  <c r="G367" i="24"/>
  <c r="H367" i="24"/>
  <c r="I367" i="24"/>
  <c r="J367" i="24"/>
  <c r="K367" i="24"/>
  <c r="L367" i="24"/>
  <c r="M367" i="24"/>
  <c r="N367" i="24"/>
  <c r="O367" i="24"/>
  <c r="G366" i="24"/>
  <c r="H366" i="24"/>
  <c r="I366" i="24"/>
  <c r="J366" i="24"/>
  <c r="K366" i="24"/>
  <c r="L366" i="24"/>
  <c r="M366" i="24"/>
  <c r="N366" i="24"/>
  <c r="O366" i="24"/>
  <c r="G365" i="24"/>
  <c r="H365" i="24"/>
  <c r="I365" i="24"/>
  <c r="J365" i="24"/>
  <c r="K365" i="24"/>
  <c r="L365" i="24"/>
  <c r="M365" i="24"/>
  <c r="N365" i="24"/>
  <c r="O365" i="24"/>
  <c r="G364" i="24"/>
  <c r="H364" i="24"/>
  <c r="I364" i="24"/>
  <c r="J364" i="24"/>
  <c r="K364" i="24"/>
  <c r="L364" i="24"/>
  <c r="M364" i="24"/>
  <c r="N364" i="24"/>
  <c r="O364" i="24"/>
  <c r="G363" i="24"/>
  <c r="H363" i="24"/>
  <c r="I363" i="24"/>
  <c r="J363" i="24"/>
  <c r="K363" i="24"/>
  <c r="L363" i="24"/>
  <c r="M363" i="24"/>
  <c r="N363" i="24"/>
  <c r="O363" i="24"/>
  <c r="G362" i="24"/>
  <c r="H362" i="24"/>
  <c r="I362" i="24"/>
  <c r="J362" i="24"/>
  <c r="K362" i="24"/>
  <c r="L362" i="24"/>
  <c r="M362" i="24"/>
  <c r="N362" i="24"/>
  <c r="O362" i="24"/>
  <c r="G361" i="24"/>
  <c r="H361" i="24"/>
  <c r="I361" i="24"/>
  <c r="J361" i="24"/>
  <c r="K361" i="24"/>
  <c r="L361" i="24"/>
  <c r="M361" i="24"/>
  <c r="N361" i="24"/>
  <c r="O361" i="24"/>
  <c r="G360" i="24"/>
  <c r="H360" i="24"/>
  <c r="I360" i="24"/>
  <c r="J360" i="24"/>
  <c r="K360" i="24"/>
  <c r="L360" i="24"/>
  <c r="M360" i="24"/>
  <c r="N360" i="24"/>
  <c r="O360" i="24"/>
  <c r="G359" i="24"/>
  <c r="H359" i="24"/>
  <c r="I359" i="24"/>
  <c r="J359" i="24"/>
  <c r="K359" i="24"/>
  <c r="L359" i="24"/>
  <c r="M359" i="24"/>
  <c r="N359" i="24"/>
  <c r="O359" i="24"/>
  <c r="G358" i="24"/>
  <c r="H358" i="24"/>
  <c r="I358" i="24"/>
  <c r="J358" i="24"/>
  <c r="K358" i="24"/>
  <c r="L358" i="24"/>
  <c r="M358" i="24"/>
  <c r="N358" i="24"/>
  <c r="O358" i="24"/>
  <c r="G357" i="24"/>
  <c r="H357" i="24"/>
  <c r="I357" i="24"/>
  <c r="J357" i="24"/>
  <c r="K357" i="24"/>
  <c r="L357" i="24"/>
  <c r="M357" i="24"/>
  <c r="N357" i="24"/>
  <c r="O357" i="24"/>
  <c r="M356" i="24"/>
  <c r="G356" i="24"/>
  <c r="L356" i="24"/>
  <c r="K356" i="24"/>
  <c r="O356" i="24"/>
  <c r="H356" i="24"/>
  <c r="I356" i="24"/>
  <c r="J356" i="24"/>
  <c r="N356" i="24"/>
  <c r="N355" i="24"/>
  <c r="H355" i="24"/>
  <c r="J355" i="24"/>
  <c r="O355" i="24"/>
  <c r="L355" i="24"/>
  <c r="G355" i="24"/>
  <c r="K355" i="24"/>
  <c r="I355" i="24"/>
  <c r="M355" i="24"/>
  <c r="H354" i="24"/>
  <c r="N354" i="24"/>
  <c r="G354" i="24"/>
  <c r="M354" i="24"/>
  <c r="K354" i="24"/>
  <c r="J354" i="24"/>
  <c r="L354" i="24"/>
  <c r="O354" i="24"/>
  <c r="I354" i="24"/>
  <c r="O353" i="24"/>
  <c r="M353" i="24"/>
  <c r="G353" i="24"/>
  <c r="I353" i="24"/>
  <c r="N353" i="24"/>
  <c r="L353" i="24"/>
  <c r="J353" i="24"/>
  <c r="H353" i="24"/>
  <c r="K353" i="24"/>
  <c r="G352" i="24"/>
  <c r="I352" i="24"/>
  <c r="J352" i="24"/>
  <c r="N352" i="24"/>
  <c r="L352" i="24"/>
  <c r="O352" i="24"/>
  <c r="M352" i="24"/>
  <c r="H352" i="24"/>
  <c r="K352" i="24"/>
  <c r="H351" i="24"/>
  <c r="J351" i="24"/>
  <c r="M351" i="24"/>
  <c r="I351" i="24"/>
  <c r="L351" i="24"/>
  <c r="K351" i="24"/>
  <c r="G351" i="24"/>
  <c r="O351" i="24"/>
  <c r="N351" i="24"/>
  <c r="M350" i="24"/>
  <c r="G350" i="24"/>
  <c r="N350" i="24"/>
  <c r="I350" i="24"/>
  <c r="L350" i="24"/>
  <c r="H350" i="24"/>
  <c r="J350" i="24"/>
  <c r="K350" i="24"/>
  <c r="O350" i="24"/>
  <c r="L349" i="24"/>
  <c r="O349" i="24"/>
  <c r="I349" i="24"/>
  <c r="J349" i="24"/>
  <c r="N349" i="24"/>
  <c r="H349" i="24"/>
  <c r="M349" i="24"/>
  <c r="G349" i="24"/>
  <c r="K349" i="24"/>
  <c r="L348" i="24"/>
  <c r="G348" i="24"/>
  <c r="M348" i="24"/>
  <c r="N348" i="24"/>
  <c r="H348" i="24"/>
  <c r="I348" i="24"/>
  <c r="K348" i="24"/>
  <c r="J348" i="24"/>
  <c r="O348" i="24"/>
  <c r="N347" i="24"/>
  <c r="K347" i="24"/>
  <c r="H347" i="24"/>
  <c r="L347" i="24"/>
  <c r="I347" i="24"/>
  <c r="M347" i="24"/>
  <c r="J347" i="24"/>
  <c r="G347" i="24"/>
  <c r="O347" i="24"/>
  <c r="N346" i="24"/>
  <c r="H346" i="24"/>
  <c r="J346" i="24"/>
  <c r="L346" i="24"/>
  <c r="G346" i="24"/>
  <c r="M346" i="24"/>
  <c r="I346" i="24"/>
  <c r="K346" i="24"/>
  <c r="O346" i="24"/>
  <c r="G345" i="24"/>
  <c r="K345" i="24"/>
  <c r="J345" i="24"/>
  <c r="O345" i="24"/>
  <c r="N345" i="24"/>
  <c r="I345" i="24"/>
  <c r="H345" i="24"/>
  <c r="M345" i="24"/>
  <c r="L345" i="24"/>
  <c r="N344" i="24"/>
  <c r="M344" i="24"/>
  <c r="H344" i="24"/>
  <c r="I344" i="24"/>
  <c r="O344" i="24"/>
  <c r="L344" i="24"/>
  <c r="K344" i="24"/>
  <c r="J344" i="24"/>
  <c r="G344" i="24"/>
  <c r="K343" i="24"/>
  <c r="M343" i="24"/>
  <c r="G343" i="24"/>
  <c r="J343" i="24"/>
  <c r="L343" i="24"/>
  <c r="O343" i="24"/>
  <c r="H343" i="24"/>
  <c r="I343" i="24"/>
  <c r="N343" i="24"/>
  <c r="H342" i="24"/>
  <c r="G342" i="24"/>
  <c r="L342" i="24"/>
  <c r="I342" i="24"/>
  <c r="M342" i="24"/>
  <c r="J342" i="24"/>
  <c r="N342" i="24"/>
  <c r="K342" i="24"/>
  <c r="O342" i="24"/>
  <c r="H341" i="24"/>
  <c r="K341" i="24"/>
  <c r="J341" i="24"/>
  <c r="G341" i="24"/>
  <c r="M341" i="24"/>
  <c r="I341" i="24"/>
  <c r="O341" i="24"/>
  <c r="L341" i="24"/>
  <c r="N341" i="24"/>
  <c r="I340" i="24"/>
  <c r="M340" i="24"/>
  <c r="H340" i="24"/>
  <c r="J340" i="24"/>
  <c r="O340" i="24"/>
  <c r="K340" i="24"/>
  <c r="G340" i="24"/>
  <c r="L340" i="24"/>
  <c r="N340" i="24"/>
  <c r="I339" i="24"/>
  <c r="M339" i="24"/>
  <c r="L339" i="24"/>
  <c r="J339" i="24"/>
  <c r="O339" i="24"/>
  <c r="H339" i="24"/>
  <c r="G339" i="24"/>
  <c r="K339" i="24"/>
  <c r="N339" i="24"/>
  <c r="O338" i="24"/>
  <c r="H338" i="24"/>
  <c r="I338" i="24"/>
  <c r="J338" i="24"/>
  <c r="L338" i="24"/>
  <c r="K338" i="24"/>
  <c r="N338" i="24"/>
  <c r="G338" i="24"/>
  <c r="M338" i="24"/>
  <c r="O337" i="24"/>
  <c r="G337" i="24"/>
  <c r="H337" i="24"/>
  <c r="J337" i="24"/>
  <c r="M337" i="24"/>
  <c r="L337" i="24"/>
  <c r="N337" i="24"/>
  <c r="I337" i="24"/>
  <c r="K337" i="24"/>
  <c r="H336" i="24"/>
  <c r="G336" i="24"/>
  <c r="I336" i="24"/>
  <c r="K336" i="24"/>
  <c r="N336" i="24"/>
  <c r="L336" i="24"/>
  <c r="M336" i="24"/>
  <c r="J336" i="24"/>
  <c r="O336" i="24"/>
  <c r="M335" i="24"/>
  <c r="L335" i="24"/>
  <c r="G335" i="24"/>
  <c r="K335" i="24"/>
  <c r="O335" i="24"/>
  <c r="H335" i="24"/>
  <c r="J335" i="24"/>
  <c r="I335" i="24"/>
  <c r="N335" i="24"/>
  <c r="J334" i="24"/>
  <c r="H334" i="24"/>
  <c r="K334" i="24"/>
  <c r="I334" i="24"/>
  <c r="L334" i="24"/>
  <c r="O334" i="24"/>
  <c r="N334" i="24"/>
  <c r="G334" i="24"/>
  <c r="M334" i="24"/>
  <c r="J333" i="24"/>
  <c r="G333" i="24"/>
  <c r="M333" i="24"/>
  <c r="H333" i="24"/>
  <c r="N333" i="24"/>
  <c r="I333" i="24"/>
  <c r="L333" i="24"/>
  <c r="K333" i="24"/>
  <c r="O333" i="24"/>
  <c r="O332" i="24"/>
  <c r="K332" i="24"/>
  <c r="G332" i="24"/>
  <c r="M332" i="24"/>
  <c r="J332" i="24"/>
  <c r="N332" i="24"/>
  <c r="I332" i="24"/>
  <c r="L332" i="24"/>
  <c r="H332" i="24"/>
  <c r="M331" i="24"/>
  <c r="H331" i="24"/>
  <c r="L331" i="24"/>
  <c r="J331" i="24"/>
  <c r="O331" i="24"/>
  <c r="G331" i="24"/>
  <c r="K331" i="24"/>
  <c r="N331" i="24"/>
  <c r="I331" i="24"/>
  <c r="O330" i="24"/>
  <c r="H330" i="24"/>
  <c r="I330" i="24"/>
  <c r="L330" i="24"/>
  <c r="N330" i="24"/>
  <c r="J330" i="24"/>
  <c r="M330" i="24"/>
  <c r="K330" i="24"/>
  <c r="G330" i="24"/>
  <c r="G329" i="24"/>
  <c r="H329" i="24"/>
  <c r="I329" i="24"/>
  <c r="J329" i="24"/>
  <c r="K329" i="24"/>
  <c r="L329" i="24"/>
  <c r="M329" i="24"/>
  <c r="O329" i="24"/>
  <c r="N329" i="24"/>
  <c r="G328" i="24"/>
  <c r="H328" i="24"/>
  <c r="I328" i="24"/>
  <c r="J328" i="24"/>
  <c r="K328" i="24"/>
  <c r="L328" i="24"/>
  <c r="M328" i="24"/>
  <c r="N328" i="24"/>
  <c r="O328" i="24"/>
  <c r="G327" i="24"/>
  <c r="H327" i="24"/>
  <c r="I327" i="24"/>
  <c r="J327" i="24"/>
  <c r="K327" i="24"/>
  <c r="L327" i="24"/>
  <c r="M327" i="24"/>
  <c r="N327" i="24"/>
  <c r="O327" i="24"/>
  <c r="G326" i="24"/>
  <c r="H326" i="24"/>
  <c r="I326" i="24"/>
  <c r="J326" i="24"/>
  <c r="K326" i="24"/>
  <c r="L326" i="24"/>
  <c r="M326" i="24"/>
  <c r="N326" i="24"/>
  <c r="O326" i="24"/>
  <c r="G325" i="24"/>
  <c r="H325" i="24"/>
  <c r="I325" i="24"/>
  <c r="J325" i="24"/>
  <c r="K325" i="24"/>
  <c r="L325" i="24"/>
  <c r="M325" i="24"/>
  <c r="N325" i="24"/>
  <c r="O325" i="24"/>
  <c r="G324" i="24"/>
  <c r="H324" i="24"/>
  <c r="I324" i="24"/>
  <c r="J324" i="24"/>
  <c r="K324" i="24"/>
  <c r="L324" i="24"/>
  <c r="M324" i="24"/>
  <c r="N324" i="24"/>
  <c r="O324" i="24"/>
  <c r="G323" i="24"/>
  <c r="H323" i="24"/>
  <c r="I323" i="24"/>
  <c r="J323" i="24"/>
  <c r="K323" i="24"/>
  <c r="L323" i="24"/>
  <c r="M323" i="24"/>
  <c r="N323" i="24"/>
  <c r="O323" i="24"/>
  <c r="G322" i="24"/>
  <c r="H322" i="24"/>
  <c r="I322" i="24"/>
  <c r="J322" i="24"/>
  <c r="K322" i="24"/>
  <c r="L322" i="24"/>
  <c r="M322" i="24"/>
  <c r="N322" i="24"/>
  <c r="O322" i="24"/>
  <c r="G321" i="24"/>
  <c r="H321" i="24"/>
  <c r="I321" i="24"/>
  <c r="J321" i="24"/>
  <c r="K321" i="24"/>
  <c r="L321" i="24"/>
  <c r="M321" i="24"/>
  <c r="N321" i="24"/>
  <c r="O321" i="24"/>
  <c r="G320" i="24"/>
  <c r="H320" i="24"/>
  <c r="I320" i="24"/>
  <c r="J320" i="24"/>
  <c r="K320" i="24"/>
  <c r="L320" i="24"/>
  <c r="M320" i="24"/>
  <c r="N320" i="24"/>
  <c r="O320" i="24"/>
  <c r="G319" i="24"/>
  <c r="H319" i="24"/>
  <c r="I319" i="24"/>
  <c r="J319" i="24"/>
  <c r="K319" i="24"/>
  <c r="L319" i="24"/>
  <c r="M319" i="24"/>
  <c r="N319" i="24"/>
  <c r="O319" i="24"/>
  <c r="G318" i="24"/>
  <c r="H318" i="24"/>
  <c r="I318" i="24"/>
  <c r="J318" i="24"/>
  <c r="K318" i="24"/>
  <c r="L318" i="24"/>
  <c r="M318" i="24"/>
  <c r="N318" i="24"/>
  <c r="O318" i="24"/>
  <c r="G317" i="24"/>
  <c r="H317" i="24"/>
  <c r="I317" i="24"/>
  <c r="J317" i="24"/>
  <c r="K317" i="24"/>
  <c r="L317" i="24"/>
  <c r="M317" i="24"/>
  <c r="N317" i="24"/>
  <c r="O317" i="24"/>
  <c r="G316" i="24"/>
  <c r="H316" i="24"/>
  <c r="I316" i="24"/>
  <c r="J316" i="24"/>
  <c r="K316" i="24"/>
  <c r="L316" i="24"/>
  <c r="M316" i="24"/>
  <c r="N316" i="24"/>
  <c r="O316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G310" i="24"/>
  <c r="H310" i="24"/>
  <c r="I310" i="24"/>
  <c r="J310" i="24"/>
  <c r="K310" i="24"/>
  <c r="L310" i="24"/>
  <c r="M310" i="24"/>
  <c r="N310" i="24"/>
  <c r="O310" i="24"/>
  <c r="G309" i="24"/>
  <c r="H309" i="24"/>
  <c r="I309" i="24"/>
  <c r="J309" i="24"/>
  <c r="K309" i="24"/>
  <c r="L309" i="24"/>
  <c r="M309" i="24"/>
  <c r="N309" i="24"/>
  <c r="O309" i="24"/>
  <c r="G308" i="24"/>
  <c r="H308" i="24"/>
  <c r="I308" i="24"/>
  <c r="J308" i="24"/>
  <c r="K308" i="24"/>
  <c r="L308" i="24"/>
  <c r="M308" i="24"/>
  <c r="N308" i="24"/>
  <c r="O308" i="24"/>
  <c r="G307" i="24"/>
  <c r="H307" i="24"/>
  <c r="I307" i="24"/>
  <c r="J307" i="24"/>
  <c r="K307" i="24"/>
  <c r="L307" i="24"/>
  <c r="M307" i="24"/>
  <c r="N307" i="24"/>
  <c r="O307" i="24"/>
  <c r="G306" i="24"/>
  <c r="H306" i="24"/>
  <c r="I306" i="24"/>
  <c r="J306" i="24"/>
  <c r="K306" i="24"/>
  <c r="L306" i="24"/>
  <c r="M306" i="24"/>
  <c r="N306" i="24"/>
  <c r="O306" i="24"/>
  <c r="G305" i="24"/>
  <c r="H305" i="24"/>
  <c r="I305" i="24"/>
  <c r="J305" i="24"/>
  <c r="K305" i="24"/>
  <c r="L305" i="24"/>
  <c r="M305" i="24"/>
  <c r="N305" i="24"/>
  <c r="O305" i="24"/>
  <c r="G304" i="24"/>
  <c r="H304" i="24"/>
  <c r="I304" i="24"/>
  <c r="J304" i="24"/>
  <c r="K304" i="24"/>
  <c r="L304" i="24"/>
  <c r="M304" i="24"/>
  <c r="N304" i="24"/>
  <c r="O304" i="24"/>
  <c r="G303" i="24"/>
  <c r="H303" i="24"/>
  <c r="I303" i="24"/>
  <c r="J303" i="24"/>
  <c r="K303" i="24"/>
  <c r="L303" i="24"/>
  <c r="M303" i="24"/>
  <c r="N303" i="24"/>
  <c r="O303" i="24"/>
  <c r="G302" i="24"/>
  <c r="H302" i="24"/>
  <c r="I302" i="24"/>
  <c r="J302" i="24"/>
  <c r="K302" i="24"/>
  <c r="L302" i="24"/>
  <c r="M302" i="24"/>
  <c r="N302" i="24"/>
  <c r="O302" i="24"/>
  <c r="G301" i="24"/>
  <c r="H301" i="24"/>
  <c r="I301" i="24"/>
  <c r="J301" i="24"/>
  <c r="K301" i="24"/>
  <c r="L301" i="24"/>
  <c r="M301" i="24"/>
  <c r="N301" i="24"/>
  <c r="O301" i="24"/>
  <c r="G300" i="24"/>
  <c r="H300" i="24"/>
  <c r="I300" i="24"/>
  <c r="J300" i="24"/>
  <c r="K300" i="24"/>
  <c r="L300" i="24"/>
  <c r="M300" i="24"/>
  <c r="N300" i="24"/>
  <c r="O300" i="24"/>
  <c r="G299" i="24"/>
  <c r="H299" i="24"/>
  <c r="I299" i="24"/>
  <c r="J299" i="24"/>
  <c r="K299" i="24"/>
  <c r="L299" i="24"/>
  <c r="M299" i="24"/>
  <c r="N299" i="24"/>
  <c r="O299" i="24"/>
  <c r="G298" i="24"/>
  <c r="H298" i="24"/>
  <c r="I298" i="24"/>
  <c r="J298" i="24"/>
  <c r="K298" i="24"/>
  <c r="L298" i="24"/>
  <c r="M298" i="24"/>
  <c r="N298" i="24"/>
  <c r="O298" i="24"/>
  <c r="G297" i="24"/>
  <c r="H297" i="24"/>
  <c r="I297" i="24"/>
  <c r="J297" i="24"/>
  <c r="K297" i="24"/>
  <c r="L297" i="24"/>
  <c r="M297" i="24"/>
  <c r="N297" i="24"/>
  <c r="O297" i="24"/>
  <c r="G296" i="24"/>
  <c r="H296" i="24"/>
  <c r="I296" i="24"/>
  <c r="J296" i="24"/>
  <c r="K296" i="24"/>
  <c r="L296" i="24"/>
  <c r="M296" i="24"/>
  <c r="N296" i="24"/>
  <c r="O296" i="24"/>
  <c r="G295" i="24"/>
  <c r="H295" i="24"/>
  <c r="I295" i="24"/>
  <c r="J295" i="24"/>
  <c r="K295" i="24"/>
  <c r="L295" i="24"/>
  <c r="M295" i="24"/>
  <c r="N295" i="24"/>
  <c r="O295" i="24"/>
  <c r="G294" i="24"/>
  <c r="H294" i="24"/>
  <c r="I294" i="24"/>
  <c r="J294" i="24"/>
  <c r="K294" i="24"/>
  <c r="L294" i="24"/>
  <c r="M294" i="24"/>
  <c r="N294" i="24"/>
  <c r="O294" i="24"/>
  <c r="G293" i="24"/>
  <c r="H293" i="24"/>
  <c r="I293" i="24"/>
  <c r="J293" i="24"/>
  <c r="K293" i="24"/>
  <c r="L293" i="24"/>
  <c r="M293" i="24"/>
  <c r="N293" i="24"/>
  <c r="O293" i="24"/>
  <c r="G292" i="24"/>
  <c r="H292" i="24"/>
  <c r="I292" i="24"/>
  <c r="J292" i="24"/>
  <c r="K292" i="24"/>
  <c r="L292" i="24"/>
  <c r="M292" i="24"/>
  <c r="N292" i="24"/>
  <c r="O292" i="24"/>
  <c r="G291" i="24"/>
  <c r="H291" i="24"/>
  <c r="I291" i="24"/>
  <c r="J291" i="24"/>
  <c r="K291" i="24"/>
  <c r="L291" i="24"/>
  <c r="M291" i="24"/>
  <c r="N291" i="24"/>
  <c r="O291" i="24"/>
  <c r="G290" i="24"/>
  <c r="H290" i="24"/>
  <c r="I290" i="24"/>
  <c r="J290" i="24"/>
  <c r="K290" i="24"/>
  <c r="L290" i="24"/>
  <c r="M290" i="24"/>
  <c r="N290" i="24"/>
  <c r="O290" i="24"/>
  <c r="G289" i="24"/>
  <c r="H289" i="24"/>
  <c r="I289" i="24"/>
  <c r="J289" i="24"/>
  <c r="K289" i="24"/>
  <c r="L289" i="24"/>
  <c r="M289" i="24"/>
  <c r="N289" i="24"/>
  <c r="O289" i="24"/>
  <c r="G288" i="24"/>
  <c r="H288" i="24"/>
  <c r="I288" i="24"/>
  <c r="J288" i="24"/>
  <c r="K288" i="24"/>
  <c r="L288" i="24"/>
  <c r="M288" i="24"/>
  <c r="N288" i="24"/>
  <c r="O288" i="24"/>
  <c r="G287" i="24"/>
  <c r="H287" i="24"/>
  <c r="I287" i="24"/>
  <c r="J287" i="24"/>
  <c r="K287" i="24"/>
  <c r="L287" i="24"/>
  <c r="M287" i="24"/>
  <c r="N287" i="24"/>
  <c r="O287" i="24"/>
  <c r="G286" i="24"/>
  <c r="H286" i="24"/>
  <c r="I286" i="24"/>
  <c r="J286" i="24"/>
  <c r="K286" i="24"/>
  <c r="L286" i="24"/>
  <c r="M286" i="24"/>
  <c r="N286" i="24"/>
  <c r="O286" i="24"/>
  <c r="G285" i="24"/>
  <c r="H285" i="24"/>
  <c r="I285" i="24"/>
  <c r="J285" i="24"/>
  <c r="K285" i="24"/>
  <c r="L285" i="24"/>
  <c r="M285" i="24"/>
  <c r="N285" i="24"/>
  <c r="O285" i="24"/>
  <c r="G284" i="24"/>
  <c r="H284" i="24"/>
  <c r="I284" i="24"/>
  <c r="J284" i="24"/>
  <c r="K284" i="24"/>
  <c r="L284" i="24"/>
  <c r="M284" i="24"/>
  <c r="N284" i="24"/>
  <c r="O284" i="24"/>
  <c r="G283" i="24"/>
  <c r="H283" i="24"/>
  <c r="I283" i="24"/>
  <c r="J283" i="24"/>
  <c r="K283" i="24"/>
  <c r="L283" i="24"/>
  <c r="M283" i="24"/>
  <c r="N283" i="24"/>
  <c r="O283" i="24"/>
  <c r="G282" i="24"/>
  <c r="H282" i="24"/>
  <c r="I282" i="24"/>
  <c r="J282" i="24"/>
  <c r="K282" i="24"/>
  <c r="L282" i="24"/>
  <c r="M282" i="24"/>
  <c r="N282" i="24"/>
  <c r="O282" i="24"/>
  <c r="G281" i="24"/>
  <c r="H281" i="24"/>
  <c r="I281" i="24"/>
  <c r="J281" i="24"/>
  <c r="K281" i="24"/>
  <c r="L281" i="24"/>
  <c r="M281" i="24"/>
  <c r="N281" i="24"/>
  <c r="O281" i="24"/>
  <c r="G280" i="24"/>
  <c r="H280" i="24"/>
  <c r="I280" i="24"/>
  <c r="J280" i="24"/>
  <c r="K280" i="24"/>
  <c r="L280" i="24"/>
  <c r="M280" i="24"/>
  <c r="N280" i="24"/>
  <c r="O280" i="24"/>
  <c r="G279" i="24"/>
  <c r="H279" i="24"/>
  <c r="I279" i="24"/>
  <c r="J279" i="24"/>
  <c r="K279" i="24"/>
  <c r="L279" i="24"/>
  <c r="M279" i="24"/>
  <c r="N279" i="24"/>
  <c r="O279" i="24"/>
  <c r="K278" i="24"/>
  <c r="O278" i="24"/>
  <c r="L278" i="24"/>
  <c r="G278" i="24"/>
  <c r="N278" i="24"/>
  <c r="J278" i="24"/>
  <c r="I278" i="24"/>
  <c r="H278" i="24"/>
  <c r="M278" i="24"/>
  <c r="J277" i="24"/>
  <c r="I277" i="24"/>
  <c r="N277" i="24"/>
  <c r="M277" i="24"/>
  <c r="O277" i="24"/>
  <c r="H277" i="24"/>
  <c r="K277" i="24"/>
  <c r="G277" i="24"/>
  <c r="L277" i="24"/>
  <c r="O276" i="24"/>
  <c r="K276" i="24"/>
  <c r="L276" i="24"/>
  <c r="G276" i="24"/>
  <c r="J276" i="24"/>
  <c r="M276" i="24"/>
  <c r="H276" i="24"/>
  <c r="I276" i="24"/>
  <c r="N276" i="24"/>
  <c r="G275" i="24"/>
  <c r="K275" i="24"/>
  <c r="N275" i="24"/>
  <c r="L275" i="24"/>
  <c r="O275" i="24"/>
  <c r="I275" i="24"/>
  <c r="H275" i="24"/>
  <c r="M275" i="24"/>
  <c r="J275" i="24"/>
  <c r="I274" i="24"/>
  <c r="O274" i="24"/>
  <c r="K274" i="24"/>
  <c r="H274" i="24"/>
  <c r="J274" i="24"/>
  <c r="N274" i="24"/>
  <c r="M274" i="24"/>
  <c r="L274" i="24"/>
  <c r="G274" i="24"/>
  <c r="K273" i="24"/>
  <c r="G273" i="24"/>
  <c r="I273" i="24"/>
  <c r="L273" i="24"/>
  <c r="N273" i="24"/>
  <c r="O273" i="24"/>
  <c r="H273" i="24"/>
  <c r="M273" i="24"/>
  <c r="J273" i="24"/>
  <c r="I272" i="24"/>
  <c r="N272" i="24"/>
  <c r="M272" i="24"/>
  <c r="L272" i="24"/>
  <c r="G272" i="24"/>
  <c r="J272" i="24"/>
  <c r="O272" i="24"/>
  <c r="K272" i="24"/>
  <c r="H272" i="24"/>
  <c r="G271" i="24"/>
  <c r="O271" i="24"/>
  <c r="I271" i="24"/>
  <c r="M271" i="24"/>
  <c r="J271" i="24"/>
  <c r="K271" i="24"/>
  <c r="H271" i="24"/>
  <c r="N271" i="24"/>
  <c r="L271" i="24"/>
  <c r="L270" i="24"/>
  <c r="N270" i="24"/>
  <c r="G270" i="24"/>
  <c r="H270" i="24"/>
  <c r="K270" i="24"/>
  <c r="O270" i="24"/>
  <c r="M270" i="24"/>
  <c r="J270" i="24"/>
  <c r="I270" i="24"/>
  <c r="L269" i="24"/>
  <c r="N269" i="24"/>
  <c r="I269" i="24"/>
  <c r="H269" i="24"/>
  <c r="J269" i="24"/>
  <c r="K269" i="24"/>
  <c r="G269" i="24"/>
  <c r="M269" i="24"/>
  <c r="O269" i="24"/>
  <c r="N268" i="24"/>
  <c r="J268" i="24"/>
  <c r="O268" i="24"/>
  <c r="G268" i="24"/>
  <c r="L268" i="24"/>
  <c r="H268" i="24"/>
  <c r="I268" i="24"/>
  <c r="K268" i="24"/>
  <c r="M268" i="24"/>
  <c r="L267" i="24"/>
  <c r="G267" i="24"/>
  <c r="I267" i="24"/>
  <c r="M267" i="24"/>
  <c r="H267" i="24"/>
  <c r="N267" i="24"/>
  <c r="O267" i="24"/>
  <c r="J267" i="24"/>
  <c r="K267" i="24"/>
  <c r="J266" i="24"/>
  <c r="M266" i="24"/>
  <c r="I266" i="24"/>
  <c r="O266" i="24"/>
  <c r="K266" i="24"/>
  <c r="N266" i="24"/>
  <c r="H266" i="24"/>
  <c r="L266" i="24"/>
  <c r="G266" i="24"/>
  <c r="L265" i="24"/>
  <c r="I265" i="24"/>
  <c r="J265" i="24"/>
  <c r="N265" i="24"/>
  <c r="K265" i="24"/>
  <c r="M265" i="24"/>
  <c r="H265" i="24"/>
  <c r="O265" i="24"/>
  <c r="G265" i="24"/>
  <c r="L264" i="24"/>
  <c r="M264" i="24"/>
  <c r="O264" i="24"/>
  <c r="I264" i="24"/>
  <c r="G264" i="24"/>
  <c r="N264" i="24"/>
  <c r="H264" i="24"/>
  <c r="J264" i="24"/>
  <c r="K264" i="24"/>
  <c r="G263" i="24"/>
  <c r="H263" i="24"/>
  <c r="I263" i="24"/>
  <c r="J263" i="24"/>
  <c r="K263" i="24"/>
  <c r="M263" i="24"/>
  <c r="L263" i="24"/>
  <c r="N263" i="24"/>
  <c r="O263" i="24"/>
  <c r="G262" i="24"/>
  <c r="H262" i="24"/>
  <c r="I262" i="24"/>
  <c r="J262" i="24"/>
  <c r="K262" i="24"/>
  <c r="L262" i="24"/>
  <c r="M262" i="24"/>
  <c r="N262" i="24"/>
  <c r="O262" i="24"/>
  <c r="G261" i="24"/>
  <c r="H261" i="24"/>
  <c r="I261" i="24"/>
  <c r="J261" i="24"/>
  <c r="K261" i="24"/>
  <c r="L261" i="24"/>
  <c r="M261" i="24"/>
  <c r="N261" i="24"/>
  <c r="O261" i="24"/>
  <c r="G260" i="24"/>
  <c r="H260" i="24"/>
  <c r="I260" i="24"/>
  <c r="J260" i="24"/>
  <c r="K260" i="24"/>
  <c r="L260" i="24"/>
  <c r="M260" i="24"/>
  <c r="N260" i="24"/>
  <c r="O260" i="24"/>
  <c r="G259" i="24"/>
  <c r="H259" i="24"/>
  <c r="I259" i="24"/>
  <c r="J259" i="24"/>
  <c r="K259" i="24"/>
  <c r="L259" i="24"/>
  <c r="M259" i="24"/>
  <c r="N259" i="24"/>
  <c r="O259" i="24"/>
  <c r="G258" i="24"/>
  <c r="H258" i="24"/>
  <c r="I258" i="24"/>
  <c r="J258" i="24"/>
  <c r="K258" i="24"/>
  <c r="L258" i="24"/>
  <c r="M258" i="24"/>
  <c r="N258" i="24"/>
  <c r="O258" i="24"/>
  <c r="G257" i="24"/>
  <c r="H257" i="24"/>
  <c r="I257" i="24"/>
  <c r="J257" i="24"/>
  <c r="K257" i="24"/>
  <c r="L257" i="24"/>
  <c r="M257" i="24"/>
  <c r="N257" i="24"/>
  <c r="O257" i="24"/>
  <c r="G256" i="24"/>
  <c r="H256" i="24"/>
  <c r="I256" i="24"/>
  <c r="J256" i="24"/>
  <c r="K256" i="24"/>
  <c r="L256" i="24"/>
  <c r="M256" i="24"/>
  <c r="N256" i="24"/>
  <c r="O256" i="24"/>
  <c r="G255" i="24"/>
  <c r="H255" i="24"/>
  <c r="I255" i="24"/>
  <c r="J255" i="24"/>
  <c r="K255" i="24"/>
  <c r="L255" i="24"/>
  <c r="M255" i="24"/>
  <c r="N255" i="24"/>
  <c r="O255" i="24"/>
  <c r="G254" i="24"/>
  <c r="H254" i="24"/>
  <c r="I254" i="24"/>
  <c r="J254" i="24"/>
  <c r="K254" i="24"/>
  <c r="L254" i="24"/>
  <c r="M254" i="24"/>
  <c r="N254" i="24"/>
  <c r="O254" i="24"/>
  <c r="G253" i="24"/>
  <c r="H253" i="24"/>
  <c r="I253" i="24"/>
  <c r="J253" i="24"/>
  <c r="K253" i="24"/>
  <c r="L253" i="24"/>
  <c r="M253" i="24"/>
  <c r="N253" i="24"/>
  <c r="O253" i="24"/>
  <c r="G252" i="24"/>
  <c r="H252" i="24"/>
  <c r="I252" i="24"/>
  <c r="J252" i="24"/>
  <c r="K252" i="24"/>
  <c r="L252" i="24"/>
  <c r="M252" i="24"/>
  <c r="N252" i="24"/>
  <c r="O252" i="24"/>
  <c r="G251" i="24"/>
  <c r="H251" i="24"/>
  <c r="I251" i="24"/>
  <c r="J251" i="24"/>
  <c r="K251" i="24"/>
  <c r="L251" i="24"/>
  <c r="M251" i="24"/>
  <c r="N251" i="24"/>
  <c r="O251" i="24"/>
  <c r="G250" i="24"/>
  <c r="H250" i="24"/>
  <c r="I250" i="24"/>
  <c r="J250" i="24"/>
  <c r="K250" i="24"/>
  <c r="L250" i="24"/>
  <c r="M250" i="24"/>
  <c r="N250" i="24"/>
  <c r="O250" i="24"/>
  <c r="G249" i="24"/>
  <c r="H249" i="24"/>
  <c r="I249" i="24"/>
  <c r="J249" i="24"/>
  <c r="K249" i="24"/>
  <c r="L249" i="24"/>
  <c r="M249" i="24"/>
  <c r="N249" i="24"/>
  <c r="O249" i="24"/>
  <c r="G248" i="24"/>
  <c r="H248" i="24"/>
  <c r="I248" i="24"/>
  <c r="J248" i="24"/>
  <c r="K248" i="24"/>
  <c r="L248" i="24"/>
  <c r="M248" i="24"/>
  <c r="N248" i="24"/>
  <c r="O248" i="24"/>
  <c r="G247" i="24"/>
  <c r="H247" i="24"/>
  <c r="I247" i="24"/>
  <c r="J247" i="24"/>
  <c r="K247" i="24"/>
  <c r="L247" i="24"/>
  <c r="M247" i="24"/>
  <c r="N247" i="24"/>
  <c r="O247" i="24"/>
  <c r="G246" i="24"/>
  <c r="H246" i="24"/>
  <c r="I246" i="24"/>
  <c r="J246" i="24"/>
  <c r="K246" i="24"/>
  <c r="L246" i="24"/>
  <c r="M246" i="24"/>
  <c r="N246" i="24"/>
  <c r="O246" i="24"/>
  <c r="G245" i="24"/>
  <c r="H245" i="24"/>
  <c r="I245" i="24"/>
  <c r="J245" i="24"/>
  <c r="K245" i="24"/>
  <c r="L245" i="24"/>
  <c r="M245" i="24"/>
  <c r="N245" i="24"/>
  <c r="O245" i="24"/>
  <c r="G244" i="24"/>
  <c r="H244" i="24"/>
  <c r="I244" i="24"/>
  <c r="J244" i="24"/>
  <c r="K244" i="24"/>
  <c r="L244" i="24"/>
  <c r="M244" i="24"/>
  <c r="N244" i="24"/>
  <c r="O244" i="24"/>
  <c r="G243" i="24"/>
  <c r="H243" i="24"/>
  <c r="I243" i="24"/>
  <c r="J243" i="24"/>
  <c r="K243" i="24"/>
  <c r="L243" i="24"/>
  <c r="M243" i="24"/>
  <c r="N243" i="24"/>
  <c r="O243" i="24"/>
  <c r="G242" i="24"/>
  <c r="H242" i="24"/>
  <c r="I242" i="24"/>
  <c r="J242" i="24"/>
  <c r="K242" i="24"/>
  <c r="L242" i="24"/>
  <c r="M242" i="24"/>
  <c r="N242" i="24"/>
  <c r="O242" i="24"/>
  <c r="G241" i="24"/>
  <c r="H241" i="24"/>
  <c r="I241" i="24"/>
  <c r="J241" i="24"/>
  <c r="K241" i="24"/>
  <c r="L241" i="24"/>
  <c r="M241" i="24"/>
  <c r="N241" i="24"/>
  <c r="O241" i="24"/>
  <c r="G240" i="24"/>
  <c r="H240" i="24"/>
  <c r="I240" i="24"/>
  <c r="J240" i="24"/>
  <c r="K240" i="24"/>
  <c r="L240" i="24"/>
  <c r="M240" i="24"/>
  <c r="N240" i="24"/>
  <c r="O240" i="24"/>
  <c r="G239" i="24"/>
  <c r="H239" i="24"/>
  <c r="I239" i="24"/>
  <c r="J239" i="24"/>
  <c r="K239" i="24"/>
  <c r="L239" i="24"/>
  <c r="M239" i="24"/>
  <c r="N239" i="24"/>
  <c r="O239" i="24"/>
  <c r="G238" i="24"/>
  <c r="H238" i="24"/>
  <c r="I238" i="24"/>
  <c r="J238" i="24"/>
  <c r="K238" i="24"/>
  <c r="L238" i="24"/>
  <c r="M238" i="24"/>
  <c r="N238" i="24"/>
  <c r="O238" i="24"/>
  <c r="G237" i="24"/>
  <c r="H237" i="24"/>
  <c r="I237" i="24"/>
  <c r="J237" i="24"/>
  <c r="K237" i="24"/>
  <c r="L237" i="24"/>
  <c r="M237" i="24"/>
  <c r="N237" i="24"/>
  <c r="O237" i="24"/>
  <c r="G236" i="24"/>
  <c r="H236" i="24"/>
  <c r="I236" i="24"/>
  <c r="J236" i="24"/>
  <c r="K236" i="24"/>
  <c r="L236" i="24"/>
  <c r="M236" i="24"/>
  <c r="N236" i="24"/>
  <c r="O236" i="24"/>
  <c r="G235" i="24"/>
  <c r="H235" i="24"/>
  <c r="I235" i="24"/>
  <c r="J235" i="24"/>
  <c r="K235" i="24"/>
  <c r="L235" i="24"/>
  <c r="M235" i="24"/>
  <c r="N235" i="24"/>
  <c r="O235" i="24"/>
  <c r="G234" i="24"/>
  <c r="H234" i="24"/>
  <c r="I234" i="24"/>
  <c r="J234" i="24"/>
  <c r="K234" i="24"/>
  <c r="L234" i="24"/>
  <c r="M234" i="24"/>
  <c r="N234" i="24"/>
  <c r="O234" i="24"/>
  <c r="G233" i="24"/>
  <c r="H233" i="24"/>
  <c r="I233" i="24"/>
  <c r="J233" i="24"/>
  <c r="K233" i="24"/>
  <c r="L233" i="24"/>
  <c r="M233" i="24"/>
  <c r="N233" i="24"/>
  <c r="O233" i="24"/>
  <c r="G232" i="24"/>
  <c r="H232" i="24"/>
  <c r="I232" i="24"/>
  <c r="J232" i="24"/>
  <c r="K232" i="24"/>
  <c r="L232" i="24"/>
  <c r="M232" i="24"/>
  <c r="N232" i="24"/>
  <c r="O232" i="24"/>
  <c r="G231" i="24"/>
  <c r="H231" i="24"/>
  <c r="I231" i="24"/>
  <c r="J231" i="24"/>
  <c r="K231" i="24"/>
  <c r="L231" i="24"/>
  <c r="M231" i="24"/>
  <c r="N231" i="24"/>
  <c r="O231" i="24"/>
  <c r="G230" i="24"/>
  <c r="H230" i="24"/>
  <c r="I230" i="24"/>
  <c r="J230" i="24"/>
  <c r="K230" i="24"/>
  <c r="L230" i="24"/>
  <c r="M230" i="24"/>
  <c r="N230" i="24"/>
  <c r="O230" i="24"/>
  <c r="G229" i="24"/>
  <c r="H229" i="24"/>
  <c r="I229" i="24"/>
  <c r="J229" i="24"/>
  <c r="K229" i="24"/>
  <c r="L229" i="24"/>
  <c r="M229" i="24"/>
  <c r="N229" i="24"/>
  <c r="O229" i="24"/>
  <c r="G228" i="24"/>
  <c r="H228" i="24"/>
  <c r="I228" i="24"/>
  <c r="J228" i="24"/>
  <c r="K228" i="24"/>
  <c r="L228" i="24"/>
  <c r="M228" i="24"/>
  <c r="N228" i="24"/>
  <c r="O228" i="24"/>
  <c r="G227" i="24"/>
  <c r="H227" i="24"/>
  <c r="I227" i="24"/>
  <c r="J227" i="24"/>
  <c r="K227" i="24"/>
  <c r="L227" i="24"/>
  <c r="M227" i="24"/>
  <c r="N227" i="24"/>
  <c r="O227" i="24"/>
  <c r="G226" i="24"/>
  <c r="H226" i="24"/>
  <c r="I226" i="24"/>
  <c r="J226" i="24"/>
  <c r="K226" i="24"/>
  <c r="L226" i="24"/>
  <c r="M226" i="24"/>
  <c r="N226" i="24"/>
  <c r="O226" i="24"/>
  <c r="G225" i="24"/>
  <c r="H225" i="24"/>
  <c r="I225" i="24"/>
  <c r="J225" i="24"/>
  <c r="K225" i="24"/>
  <c r="L225" i="24"/>
  <c r="M225" i="24"/>
  <c r="N225" i="24"/>
  <c r="O225" i="24"/>
  <c r="G224" i="24"/>
  <c r="H224" i="24"/>
  <c r="I224" i="24"/>
  <c r="J224" i="24"/>
  <c r="K224" i="24"/>
  <c r="L224" i="24"/>
  <c r="M224" i="24"/>
  <c r="N224" i="24"/>
  <c r="O224" i="24"/>
  <c r="G223" i="24"/>
  <c r="H223" i="24"/>
  <c r="I223" i="24"/>
  <c r="J223" i="24"/>
  <c r="K223" i="24"/>
  <c r="L223" i="24"/>
  <c r="M223" i="24"/>
  <c r="N223" i="24"/>
  <c r="O223" i="24"/>
  <c r="G222" i="24"/>
  <c r="H222" i="24"/>
  <c r="I222" i="24"/>
  <c r="J222" i="24"/>
  <c r="K222" i="24"/>
  <c r="L222" i="24"/>
  <c r="M222" i="24"/>
  <c r="N222" i="24"/>
  <c r="O222" i="24"/>
  <c r="G221" i="24"/>
  <c r="H221" i="24"/>
  <c r="I221" i="24"/>
  <c r="J221" i="24"/>
  <c r="K221" i="24"/>
  <c r="L221" i="24"/>
  <c r="M221" i="24"/>
  <c r="N221" i="24"/>
  <c r="O221" i="24"/>
  <c r="G220" i="24"/>
  <c r="H220" i="24"/>
  <c r="I220" i="24"/>
  <c r="J220" i="24"/>
  <c r="K220" i="24"/>
  <c r="L220" i="24"/>
  <c r="M220" i="24"/>
  <c r="N220" i="24"/>
  <c r="O220" i="24"/>
  <c r="G219" i="24"/>
  <c r="H219" i="24"/>
  <c r="I219" i="24"/>
  <c r="J219" i="24"/>
  <c r="K219" i="24"/>
  <c r="L219" i="24"/>
  <c r="M219" i="24"/>
  <c r="N219" i="24"/>
  <c r="O219" i="24"/>
  <c r="G218" i="24"/>
  <c r="H218" i="24"/>
  <c r="I218" i="24"/>
  <c r="J218" i="24"/>
  <c r="K218" i="24"/>
  <c r="L218" i="24"/>
  <c r="M218" i="24"/>
  <c r="N218" i="24"/>
  <c r="O218" i="24"/>
  <c r="G217" i="24"/>
  <c r="H217" i="24"/>
  <c r="I217" i="24"/>
  <c r="J217" i="24"/>
  <c r="K217" i="24"/>
  <c r="L217" i="24"/>
  <c r="M217" i="24"/>
  <c r="N217" i="24"/>
  <c r="O217" i="24"/>
  <c r="G216" i="24"/>
  <c r="H216" i="24"/>
  <c r="I216" i="24"/>
  <c r="J216" i="24"/>
  <c r="K216" i="24"/>
  <c r="L216" i="24"/>
  <c r="M216" i="24"/>
  <c r="N216" i="24"/>
  <c r="O216" i="24"/>
  <c r="G215" i="24"/>
  <c r="H215" i="24"/>
  <c r="I215" i="24"/>
  <c r="J215" i="24"/>
  <c r="K215" i="24"/>
  <c r="L215" i="24"/>
  <c r="M215" i="24"/>
  <c r="N215" i="24"/>
  <c r="O215" i="24"/>
  <c r="G214" i="24"/>
  <c r="H214" i="24"/>
  <c r="I214" i="24"/>
  <c r="J214" i="24"/>
  <c r="K214" i="24"/>
  <c r="L214" i="24"/>
  <c r="M214" i="24"/>
  <c r="N214" i="24"/>
  <c r="O214" i="24"/>
  <c r="G213" i="24"/>
  <c r="H213" i="24"/>
  <c r="I213" i="24"/>
  <c r="J213" i="24"/>
  <c r="K213" i="24"/>
  <c r="L213" i="24"/>
  <c r="M213" i="24"/>
  <c r="N213" i="24"/>
  <c r="O213" i="24"/>
  <c r="G212" i="24"/>
  <c r="H212" i="24"/>
  <c r="I212" i="24"/>
  <c r="J212" i="24"/>
  <c r="K212" i="24"/>
  <c r="L212" i="24"/>
  <c r="M212" i="24"/>
  <c r="N212" i="24"/>
  <c r="O212" i="24"/>
  <c r="G211" i="24"/>
  <c r="H211" i="24"/>
  <c r="I211" i="24"/>
  <c r="J211" i="24"/>
  <c r="K211" i="24"/>
  <c r="L211" i="24"/>
  <c r="M211" i="24"/>
  <c r="N211" i="24"/>
  <c r="O211" i="24"/>
  <c r="G210" i="24"/>
  <c r="H210" i="24"/>
  <c r="I210" i="24"/>
  <c r="J210" i="24"/>
  <c r="K210" i="24"/>
  <c r="L210" i="24"/>
  <c r="M210" i="24"/>
  <c r="N210" i="24"/>
  <c r="O210" i="24"/>
  <c r="G209" i="24"/>
  <c r="H209" i="24"/>
  <c r="I209" i="24"/>
  <c r="J209" i="24"/>
  <c r="K209" i="24"/>
  <c r="L209" i="24"/>
  <c r="M209" i="24"/>
  <c r="N209" i="24"/>
  <c r="O209" i="24"/>
  <c r="G208" i="24"/>
  <c r="H208" i="24"/>
  <c r="I208" i="24"/>
  <c r="J208" i="24"/>
  <c r="K208" i="24"/>
  <c r="L208" i="24"/>
  <c r="M208" i="24"/>
  <c r="N208" i="24"/>
  <c r="O208" i="24"/>
  <c r="G207" i="24"/>
  <c r="H207" i="24"/>
  <c r="I207" i="24"/>
  <c r="J207" i="24"/>
  <c r="K207" i="24"/>
  <c r="L207" i="24"/>
  <c r="M207" i="24"/>
  <c r="N207" i="24"/>
  <c r="O207" i="24"/>
  <c r="N206" i="24"/>
  <c r="K206" i="24"/>
  <c r="I206" i="24"/>
  <c r="H206" i="24"/>
  <c r="M206" i="24"/>
  <c r="L206" i="24"/>
  <c r="G206" i="24"/>
  <c r="O206" i="24"/>
  <c r="J206" i="24"/>
  <c r="H205" i="24"/>
  <c r="G205" i="24"/>
  <c r="M205" i="24"/>
  <c r="L205" i="24"/>
  <c r="J205" i="24"/>
  <c r="K205" i="24"/>
  <c r="I205" i="24"/>
  <c r="N205" i="24"/>
  <c r="O205" i="24"/>
  <c r="N204" i="24"/>
  <c r="G204" i="24"/>
  <c r="O204" i="24"/>
  <c r="I204" i="24"/>
  <c r="K204" i="24"/>
  <c r="M204" i="24"/>
  <c r="J204" i="24"/>
  <c r="H204" i="24"/>
  <c r="L204" i="24"/>
  <c r="J203" i="24"/>
  <c r="M203" i="24"/>
  <c r="G203" i="24"/>
  <c r="L203" i="24"/>
  <c r="N203" i="24"/>
  <c r="I203" i="24"/>
  <c r="K203" i="24"/>
  <c r="O203" i="24"/>
  <c r="H203" i="24"/>
  <c r="N202" i="24"/>
  <c r="J202" i="24"/>
  <c r="H202" i="24"/>
  <c r="M202" i="24"/>
  <c r="K202" i="24"/>
  <c r="O202" i="24"/>
  <c r="G202" i="24"/>
  <c r="I202" i="24"/>
  <c r="L202" i="24"/>
  <c r="I201" i="24"/>
  <c r="L201" i="24"/>
  <c r="H201" i="24"/>
  <c r="G201" i="24"/>
  <c r="M201" i="24"/>
  <c r="K201" i="24"/>
  <c r="J201" i="24"/>
  <c r="O201" i="24"/>
  <c r="N201" i="24"/>
  <c r="I200" i="24"/>
  <c r="K200" i="24"/>
  <c r="G200" i="24"/>
  <c r="O200" i="24"/>
  <c r="H200" i="24"/>
  <c r="N200" i="24"/>
  <c r="J200" i="24"/>
  <c r="L200" i="24"/>
  <c r="M200" i="24"/>
  <c r="H199" i="24"/>
  <c r="J199" i="24"/>
  <c r="N199" i="24"/>
  <c r="M199" i="24"/>
  <c r="L199" i="24"/>
  <c r="G199" i="24"/>
  <c r="I199" i="24"/>
  <c r="K199" i="24"/>
  <c r="O199" i="24"/>
  <c r="I198" i="24"/>
  <c r="L198" i="24"/>
  <c r="M198" i="24"/>
  <c r="J198" i="24"/>
  <c r="K198" i="24"/>
  <c r="N198" i="24"/>
  <c r="H198" i="24"/>
  <c r="G198" i="24"/>
  <c r="O198" i="24"/>
  <c r="G197" i="24"/>
  <c r="H197" i="24"/>
  <c r="I197" i="24"/>
  <c r="L197" i="24"/>
  <c r="J197" i="24"/>
  <c r="N197" i="24"/>
  <c r="O197" i="24"/>
  <c r="K197" i="24"/>
  <c r="M197" i="24"/>
  <c r="G196" i="24"/>
  <c r="H196" i="24"/>
  <c r="I196" i="24"/>
  <c r="J196" i="24"/>
  <c r="K196" i="24"/>
  <c r="L196" i="24"/>
  <c r="M196" i="24"/>
  <c r="N196" i="24"/>
  <c r="O196" i="24"/>
  <c r="G195" i="24"/>
  <c r="H195" i="24"/>
  <c r="I195" i="24"/>
  <c r="J195" i="24"/>
  <c r="K195" i="24"/>
  <c r="L195" i="24"/>
  <c r="M195" i="24"/>
  <c r="N195" i="24"/>
  <c r="O195" i="24"/>
  <c r="G194" i="24"/>
  <c r="H194" i="24"/>
  <c r="I194" i="24"/>
  <c r="J194" i="24"/>
  <c r="K194" i="24"/>
  <c r="L194" i="24"/>
  <c r="M194" i="24"/>
  <c r="N194" i="24"/>
  <c r="O194" i="24"/>
  <c r="G193" i="24"/>
  <c r="H193" i="24"/>
  <c r="I193" i="24"/>
  <c r="J193" i="24"/>
  <c r="K193" i="24"/>
  <c r="L193" i="24"/>
  <c r="M193" i="24"/>
  <c r="N193" i="24"/>
  <c r="O193" i="24"/>
  <c r="G192" i="24"/>
  <c r="H192" i="24"/>
  <c r="I192" i="24"/>
  <c r="J192" i="24"/>
  <c r="K192" i="24"/>
  <c r="L192" i="24"/>
  <c r="M192" i="24"/>
  <c r="N192" i="24"/>
  <c r="O192" i="24"/>
  <c r="G191" i="24"/>
  <c r="H191" i="24"/>
  <c r="I191" i="24"/>
  <c r="J191" i="24"/>
  <c r="K191" i="24"/>
  <c r="L191" i="24"/>
  <c r="M191" i="24"/>
  <c r="N191" i="24"/>
  <c r="O191" i="24"/>
  <c r="G190" i="24"/>
  <c r="H190" i="24"/>
  <c r="I190" i="24"/>
  <c r="J190" i="24"/>
  <c r="K190" i="24"/>
  <c r="L190" i="24"/>
  <c r="M190" i="24"/>
  <c r="N190" i="24"/>
  <c r="O190" i="24"/>
  <c r="G189" i="24"/>
  <c r="H189" i="24"/>
  <c r="I189" i="24"/>
  <c r="J189" i="24"/>
  <c r="K189" i="24"/>
  <c r="L189" i="24"/>
  <c r="M189" i="24"/>
  <c r="N189" i="24"/>
  <c r="O189" i="24"/>
  <c r="G188" i="24"/>
  <c r="H188" i="24"/>
  <c r="I188" i="24"/>
  <c r="J188" i="24"/>
  <c r="K188" i="24"/>
  <c r="L188" i="24"/>
  <c r="M188" i="24"/>
  <c r="N188" i="24"/>
  <c r="O188" i="24"/>
  <c r="G187" i="24"/>
  <c r="H187" i="24"/>
  <c r="I187" i="24"/>
  <c r="J187" i="24"/>
  <c r="K187" i="24"/>
  <c r="L187" i="24"/>
  <c r="M187" i="24"/>
  <c r="N187" i="24"/>
  <c r="O187" i="24"/>
  <c r="G186" i="24"/>
  <c r="H186" i="24"/>
  <c r="I186" i="24"/>
  <c r="J186" i="24"/>
  <c r="K186" i="24"/>
  <c r="L186" i="24"/>
  <c r="M186" i="24"/>
  <c r="N186" i="24"/>
  <c r="O186" i="24"/>
  <c r="G185" i="24"/>
  <c r="H185" i="24"/>
  <c r="I185" i="24"/>
  <c r="J185" i="24"/>
  <c r="K185" i="24"/>
  <c r="L185" i="24"/>
  <c r="M185" i="24"/>
  <c r="N185" i="24"/>
  <c r="O185" i="24"/>
  <c r="G184" i="24"/>
  <c r="H184" i="24"/>
  <c r="I184" i="24"/>
  <c r="J184" i="24"/>
  <c r="K184" i="24"/>
  <c r="L184" i="24"/>
  <c r="M184" i="24"/>
  <c r="N184" i="24"/>
  <c r="O184" i="24"/>
  <c r="G183" i="24"/>
  <c r="H183" i="24"/>
  <c r="I183" i="24"/>
  <c r="J183" i="24"/>
  <c r="K183" i="24"/>
  <c r="L183" i="24"/>
  <c r="M183" i="24"/>
  <c r="N183" i="24"/>
  <c r="O183" i="24"/>
  <c r="G182" i="24"/>
  <c r="H182" i="24"/>
  <c r="I182" i="24"/>
  <c r="J182" i="24"/>
  <c r="K182" i="24"/>
  <c r="L182" i="24"/>
  <c r="M182" i="24"/>
  <c r="N182" i="24"/>
  <c r="O182" i="24"/>
  <c r="G181" i="24"/>
  <c r="H181" i="24"/>
  <c r="I181" i="24"/>
  <c r="J181" i="24"/>
  <c r="K181" i="24"/>
  <c r="L181" i="24"/>
  <c r="M181" i="24"/>
  <c r="N181" i="24"/>
  <c r="O181" i="24"/>
  <c r="G180" i="24"/>
  <c r="H180" i="24"/>
  <c r="I180" i="24"/>
  <c r="J180" i="24"/>
  <c r="K180" i="24"/>
  <c r="L180" i="24"/>
  <c r="M180" i="24"/>
  <c r="N180" i="24"/>
  <c r="O180" i="24"/>
  <c r="G179" i="24"/>
  <c r="H179" i="24"/>
  <c r="I179" i="24"/>
  <c r="J179" i="24"/>
  <c r="K179" i="24"/>
  <c r="L179" i="24"/>
  <c r="M179" i="24"/>
  <c r="N179" i="24"/>
  <c r="O179" i="24"/>
  <c r="G178" i="24"/>
  <c r="H178" i="24"/>
  <c r="I178" i="24"/>
  <c r="J178" i="24"/>
  <c r="K178" i="24"/>
  <c r="L178" i="24"/>
  <c r="M178" i="24"/>
  <c r="N178" i="24"/>
  <c r="O178" i="24"/>
  <c r="G177" i="24"/>
  <c r="H177" i="24"/>
  <c r="I177" i="24"/>
  <c r="J177" i="24"/>
  <c r="K177" i="24"/>
  <c r="L177" i="24"/>
  <c r="M177" i="24"/>
  <c r="N177" i="24"/>
  <c r="O177" i="24"/>
  <c r="G176" i="24"/>
  <c r="H176" i="24"/>
  <c r="I176" i="24"/>
  <c r="J176" i="24"/>
  <c r="K176" i="24"/>
  <c r="L176" i="24"/>
  <c r="M176" i="24"/>
  <c r="N176" i="24"/>
  <c r="O176" i="24"/>
  <c r="G175" i="24"/>
  <c r="H175" i="24"/>
  <c r="I175" i="24"/>
  <c r="J175" i="24"/>
  <c r="K175" i="24"/>
  <c r="L175" i="24"/>
  <c r="M175" i="24"/>
  <c r="N175" i="24"/>
  <c r="O175" i="24"/>
  <c r="G174" i="24"/>
  <c r="H174" i="24"/>
  <c r="I174" i="24"/>
  <c r="J174" i="24"/>
  <c r="K174" i="24"/>
  <c r="L174" i="24"/>
  <c r="M174" i="24"/>
  <c r="N174" i="24"/>
  <c r="O174" i="24"/>
  <c r="G173" i="24"/>
  <c r="H173" i="24"/>
  <c r="I173" i="24"/>
  <c r="J173" i="24"/>
  <c r="K173" i="24"/>
  <c r="L173" i="24"/>
  <c r="M173" i="24"/>
  <c r="N173" i="24"/>
  <c r="O173" i="24"/>
  <c r="G172" i="24"/>
  <c r="H172" i="24"/>
  <c r="I172" i="24"/>
  <c r="J172" i="24"/>
  <c r="K172" i="24"/>
  <c r="L172" i="24"/>
  <c r="M172" i="24"/>
  <c r="N172" i="24"/>
  <c r="O172" i="24"/>
  <c r="G171" i="24"/>
  <c r="H171" i="24"/>
  <c r="I171" i="24"/>
  <c r="J171" i="24"/>
  <c r="K171" i="24"/>
  <c r="L171" i="24"/>
  <c r="M171" i="24"/>
  <c r="N171" i="24"/>
  <c r="O171" i="24"/>
  <c r="G170" i="24"/>
  <c r="H170" i="24"/>
  <c r="I170" i="24"/>
  <c r="J170" i="24"/>
  <c r="K170" i="24"/>
  <c r="L170" i="24"/>
  <c r="M170" i="24"/>
  <c r="N170" i="24"/>
  <c r="O170" i="24"/>
  <c r="G169" i="24"/>
  <c r="H169" i="24"/>
  <c r="I169" i="24"/>
  <c r="J169" i="24"/>
  <c r="K169" i="24"/>
  <c r="L169" i="24"/>
  <c r="M169" i="24"/>
  <c r="N169" i="24"/>
  <c r="O169" i="24"/>
  <c r="G168" i="24"/>
  <c r="H168" i="24"/>
  <c r="I168" i="24"/>
  <c r="J168" i="24"/>
  <c r="K168" i="24"/>
  <c r="L168" i="24"/>
  <c r="M168" i="24"/>
  <c r="N168" i="24"/>
  <c r="O168" i="24"/>
  <c r="G167" i="24"/>
  <c r="H167" i="24"/>
  <c r="I167" i="24"/>
  <c r="J167" i="24"/>
  <c r="K167" i="24"/>
  <c r="L167" i="24"/>
  <c r="M167" i="24"/>
  <c r="N167" i="24"/>
  <c r="O167" i="24"/>
  <c r="G166" i="24"/>
  <c r="H166" i="24"/>
  <c r="I166" i="24"/>
  <c r="J166" i="24"/>
  <c r="K166" i="24"/>
  <c r="L166" i="24"/>
  <c r="M166" i="24"/>
  <c r="N166" i="24"/>
  <c r="O166" i="24"/>
  <c r="G165" i="24"/>
  <c r="H165" i="24"/>
  <c r="I165" i="24"/>
  <c r="J165" i="24"/>
  <c r="K165" i="24"/>
  <c r="L165" i="24"/>
  <c r="M165" i="24"/>
  <c r="N165" i="24"/>
  <c r="O165" i="24"/>
  <c r="G164" i="24"/>
  <c r="H164" i="24"/>
  <c r="I164" i="24"/>
  <c r="J164" i="24"/>
  <c r="K164" i="24"/>
  <c r="L164" i="24"/>
  <c r="M164" i="24"/>
  <c r="N164" i="24"/>
  <c r="O164" i="24"/>
  <c r="G163" i="24"/>
  <c r="H163" i="24"/>
  <c r="I163" i="24"/>
  <c r="J163" i="24"/>
  <c r="K163" i="24"/>
  <c r="L163" i="24"/>
  <c r="M163" i="24"/>
  <c r="N163" i="24"/>
  <c r="O163" i="24"/>
  <c r="G162" i="24"/>
  <c r="H162" i="24"/>
  <c r="I162" i="24"/>
  <c r="J162" i="24"/>
  <c r="K162" i="24"/>
  <c r="L162" i="24"/>
  <c r="M162" i="24"/>
  <c r="N162" i="24"/>
  <c r="O162" i="24"/>
  <c r="G161" i="24"/>
  <c r="H161" i="24"/>
  <c r="I161" i="24"/>
  <c r="J161" i="24"/>
  <c r="K161" i="24"/>
  <c r="L161" i="24"/>
  <c r="M161" i="24"/>
  <c r="N161" i="24"/>
  <c r="O161" i="24"/>
  <c r="G160" i="24"/>
  <c r="H160" i="24"/>
  <c r="I160" i="24"/>
  <c r="J160" i="24"/>
  <c r="K160" i="24"/>
  <c r="L160" i="24"/>
  <c r="M160" i="24"/>
  <c r="N160" i="24"/>
  <c r="O160" i="24"/>
  <c r="G159" i="24"/>
  <c r="H159" i="24"/>
  <c r="I159" i="24"/>
  <c r="J159" i="24"/>
  <c r="K159" i="24"/>
  <c r="L159" i="24"/>
  <c r="M159" i="24"/>
  <c r="N159" i="24"/>
  <c r="O159" i="24"/>
  <c r="G158" i="24"/>
  <c r="H158" i="24"/>
  <c r="I158" i="24"/>
  <c r="J158" i="24"/>
  <c r="K158" i="24"/>
  <c r="L158" i="24"/>
  <c r="M158" i="24"/>
  <c r="N158" i="24"/>
  <c r="O158" i="24"/>
  <c r="G157" i="24"/>
  <c r="H157" i="24"/>
  <c r="I157" i="24"/>
  <c r="J157" i="24"/>
  <c r="K157" i="24"/>
  <c r="L157" i="24"/>
  <c r="M157" i="24"/>
  <c r="N157" i="24"/>
  <c r="O157" i="24"/>
  <c r="G156" i="24"/>
  <c r="H156" i="24"/>
  <c r="I156" i="24"/>
  <c r="J156" i="24"/>
  <c r="K156" i="24"/>
  <c r="L156" i="24"/>
  <c r="M156" i="24"/>
  <c r="N156" i="24"/>
  <c r="O156" i="24"/>
  <c r="G155" i="24"/>
  <c r="H155" i="24"/>
  <c r="I155" i="24"/>
  <c r="J155" i="24"/>
  <c r="K155" i="24"/>
  <c r="L155" i="24"/>
  <c r="M155" i="24"/>
  <c r="N155" i="24"/>
  <c r="O155" i="24"/>
  <c r="G154" i="24"/>
  <c r="H154" i="24"/>
  <c r="I154" i="24"/>
  <c r="J154" i="24"/>
  <c r="K154" i="24"/>
  <c r="L154" i="24"/>
  <c r="M154" i="24"/>
  <c r="N154" i="24"/>
  <c r="O154" i="24"/>
  <c r="G153" i="24"/>
  <c r="H153" i="24"/>
  <c r="I153" i="24"/>
  <c r="J153" i="24"/>
  <c r="K153" i="24"/>
  <c r="L153" i="24"/>
  <c r="M153" i="24"/>
  <c r="N153" i="24"/>
  <c r="O153" i="24"/>
  <c r="G152" i="24"/>
  <c r="H152" i="24"/>
  <c r="I152" i="24"/>
  <c r="J152" i="24"/>
  <c r="K152" i="24"/>
  <c r="L152" i="24"/>
  <c r="M152" i="24"/>
  <c r="N152" i="24"/>
  <c r="O152" i="24"/>
  <c r="G151" i="24"/>
  <c r="H151" i="24"/>
  <c r="I151" i="24"/>
  <c r="J151" i="24"/>
  <c r="K151" i="24"/>
  <c r="L151" i="24"/>
  <c r="M151" i="24"/>
  <c r="N151" i="24"/>
  <c r="O151" i="24"/>
  <c r="G150" i="24"/>
  <c r="H150" i="24"/>
  <c r="I150" i="24"/>
  <c r="J150" i="24"/>
  <c r="K150" i="24"/>
  <c r="L150" i="24"/>
  <c r="M150" i="24"/>
  <c r="N150" i="24"/>
  <c r="O150" i="24"/>
  <c r="G149" i="24"/>
  <c r="H149" i="24"/>
  <c r="I149" i="24"/>
  <c r="J149" i="24"/>
  <c r="K149" i="24"/>
  <c r="L149" i="24"/>
  <c r="M149" i="24"/>
  <c r="N149" i="24"/>
  <c r="O149" i="24"/>
  <c r="G148" i="24"/>
  <c r="H148" i="24"/>
  <c r="I148" i="24"/>
  <c r="J148" i="24"/>
  <c r="K148" i="24"/>
  <c r="L148" i="24"/>
  <c r="M148" i="24"/>
  <c r="N148" i="24"/>
  <c r="O148" i="24"/>
  <c r="G147" i="24"/>
  <c r="H147" i="24"/>
  <c r="I147" i="24"/>
  <c r="J147" i="24"/>
  <c r="K147" i="24"/>
  <c r="L147" i="24"/>
  <c r="M147" i="24"/>
  <c r="N147" i="24"/>
  <c r="O147" i="24"/>
  <c r="G146" i="24"/>
  <c r="H146" i="24"/>
  <c r="I146" i="24"/>
  <c r="J146" i="24"/>
  <c r="K146" i="24"/>
  <c r="L146" i="24"/>
  <c r="M146" i="24"/>
  <c r="N146" i="24"/>
  <c r="O146" i="24"/>
  <c r="G145" i="24"/>
  <c r="H145" i="24"/>
  <c r="I145" i="24"/>
  <c r="J145" i="24"/>
  <c r="K145" i="24"/>
  <c r="L145" i="24"/>
  <c r="M145" i="24"/>
  <c r="N145" i="24"/>
  <c r="O145" i="24"/>
  <c r="G144" i="24"/>
  <c r="H144" i="24"/>
  <c r="I144" i="24"/>
  <c r="J144" i="24"/>
  <c r="K144" i="24"/>
  <c r="L144" i="24"/>
  <c r="M144" i="24"/>
  <c r="N144" i="24"/>
  <c r="O144" i="24"/>
  <c r="G143" i="24"/>
  <c r="H143" i="24"/>
  <c r="I143" i="24"/>
  <c r="J143" i="24"/>
  <c r="K143" i="24"/>
  <c r="L143" i="24"/>
  <c r="M143" i="24"/>
  <c r="N143" i="24"/>
  <c r="O143" i="24"/>
  <c r="G142" i="24"/>
  <c r="H142" i="24"/>
  <c r="I142" i="24"/>
  <c r="J142" i="24"/>
  <c r="K142" i="24"/>
  <c r="L142" i="24"/>
  <c r="M142" i="24"/>
  <c r="N142" i="24"/>
  <c r="O142" i="24"/>
  <c r="G141" i="24"/>
  <c r="H141" i="24"/>
  <c r="I141" i="24"/>
  <c r="J141" i="24"/>
  <c r="K141" i="24"/>
  <c r="L141" i="24"/>
  <c r="M141" i="24"/>
  <c r="N141" i="24"/>
  <c r="O141" i="24"/>
  <c r="G140" i="24"/>
  <c r="H140" i="24"/>
  <c r="I140" i="24"/>
  <c r="J140" i="24"/>
  <c r="K140" i="24"/>
  <c r="L140" i="24"/>
  <c r="M140" i="24"/>
  <c r="N140" i="24"/>
  <c r="O140" i="24"/>
  <c r="G139" i="24"/>
  <c r="H139" i="24"/>
  <c r="I139" i="24"/>
  <c r="J139" i="24"/>
  <c r="K139" i="24"/>
  <c r="L139" i="24"/>
  <c r="M139" i="24"/>
  <c r="N139" i="24"/>
  <c r="O139" i="24"/>
  <c r="G138" i="24"/>
  <c r="H138" i="24"/>
  <c r="I138" i="24"/>
  <c r="J138" i="24"/>
  <c r="K138" i="24"/>
  <c r="L138" i="24"/>
  <c r="M138" i="24"/>
  <c r="N138" i="24"/>
  <c r="O138" i="24"/>
  <c r="G137" i="24"/>
  <c r="H137" i="24"/>
  <c r="I137" i="24"/>
  <c r="J137" i="24"/>
  <c r="K137" i="24"/>
  <c r="L137" i="24"/>
  <c r="M137" i="24"/>
  <c r="N137" i="24"/>
  <c r="O137" i="24"/>
  <c r="G136" i="24"/>
  <c r="H136" i="24"/>
  <c r="I136" i="24"/>
  <c r="J136" i="24"/>
  <c r="K136" i="24"/>
  <c r="L136" i="24"/>
  <c r="M136" i="24"/>
  <c r="N136" i="24"/>
  <c r="O136" i="24"/>
  <c r="G135" i="24"/>
  <c r="H135" i="24"/>
  <c r="I135" i="24"/>
  <c r="J135" i="24"/>
  <c r="K135" i="24"/>
  <c r="L135" i="24"/>
  <c r="M135" i="24"/>
  <c r="N135" i="24"/>
  <c r="O135" i="24"/>
  <c r="G134" i="24"/>
  <c r="H134" i="24"/>
  <c r="I134" i="24"/>
  <c r="J134" i="24"/>
  <c r="K134" i="24"/>
  <c r="L134" i="24"/>
  <c r="M134" i="24"/>
  <c r="N134" i="24"/>
  <c r="O134" i="24"/>
  <c r="G133" i="24"/>
  <c r="H133" i="24"/>
  <c r="I133" i="24"/>
  <c r="J133" i="24"/>
  <c r="K133" i="24"/>
  <c r="L133" i="24"/>
  <c r="M133" i="24"/>
  <c r="N133" i="24"/>
  <c r="O133" i="24"/>
  <c r="G132" i="24"/>
  <c r="H132" i="24"/>
  <c r="I132" i="24"/>
  <c r="J132" i="24"/>
  <c r="K132" i="24"/>
  <c r="L132" i="24"/>
  <c r="M132" i="24"/>
  <c r="N132" i="24"/>
  <c r="O132" i="24"/>
  <c r="G131" i="24"/>
  <c r="H131" i="24"/>
  <c r="I131" i="24"/>
  <c r="J131" i="24"/>
  <c r="K131" i="24"/>
  <c r="L131" i="24"/>
  <c r="M131" i="24"/>
  <c r="N131" i="24"/>
  <c r="O131" i="24"/>
  <c r="G130" i="24"/>
  <c r="H130" i="24"/>
  <c r="I130" i="24"/>
  <c r="J130" i="24"/>
  <c r="K130" i="24"/>
  <c r="L130" i="24"/>
  <c r="M130" i="24"/>
  <c r="N130" i="24"/>
  <c r="O130" i="24"/>
  <c r="G129" i="24"/>
  <c r="H129" i="24"/>
  <c r="I129" i="24"/>
  <c r="J129" i="24"/>
  <c r="K129" i="24"/>
  <c r="L129" i="24"/>
  <c r="M129" i="24"/>
  <c r="N129" i="24"/>
  <c r="O129" i="24"/>
  <c r="G128" i="24"/>
  <c r="H128" i="24"/>
  <c r="I128" i="24"/>
  <c r="J128" i="24"/>
  <c r="K128" i="24"/>
  <c r="L128" i="24"/>
  <c r="M128" i="24"/>
  <c r="N128" i="24"/>
  <c r="O128" i="24"/>
  <c r="G127" i="24"/>
  <c r="H127" i="24"/>
  <c r="I127" i="24"/>
  <c r="J127" i="24"/>
  <c r="K127" i="24"/>
  <c r="L127" i="24"/>
  <c r="M127" i="24"/>
  <c r="N127" i="24"/>
  <c r="O127" i="24"/>
  <c r="G126" i="24"/>
  <c r="H126" i="24"/>
  <c r="I126" i="24"/>
  <c r="J126" i="24"/>
  <c r="K126" i="24"/>
  <c r="L126" i="24"/>
  <c r="M126" i="24"/>
  <c r="N126" i="24"/>
  <c r="O126" i="24"/>
  <c r="G125" i="24"/>
  <c r="H125" i="24"/>
  <c r="I125" i="24"/>
  <c r="J125" i="24"/>
  <c r="K125" i="24"/>
  <c r="L125" i="24"/>
  <c r="M125" i="24"/>
  <c r="N125" i="24"/>
  <c r="O125" i="24"/>
  <c r="G124" i="24"/>
  <c r="H124" i="24"/>
  <c r="I124" i="24"/>
  <c r="J124" i="24"/>
  <c r="K124" i="24"/>
  <c r="L124" i="24"/>
  <c r="M124" i="24"/>
  <c r="N124" i="24"/>
  <c r="O124" i="24"/>
  <c r="G123" i="24"/>
  <c r="H123" i="24"/>
  <c r="I123" i="24"/>
  <c r="J123" i="24"/>
  <c r="K123" i="24"/>
  <c r="L123" i="24"/>
  <c r="M123" i="24"/>
  <c r="N123" i="24"/>
  <c r="O123" i="24"/>
  <c r="G122" i="24"/>
  <c r="H122" i="24"/>
  <c r="I122" i="24"/>
  <c r="J122" i="24"/>
  <c r="K122" i="24"/>
  <c r="L122" i="24"/>
  <c r="M122" i="24"/>
  <c r="N122" i="24"/>
  <c r="O122" i="24"/>
  <c r="G121" i="24"/>
  <c r="H121" i="24"/>
  <c r="I121" i="24"/>
  <c r="J121" i="24"/>
  <c r="K121" i="24"/>
  <c r="L121" i="24"/>
  <c r="M121" i="24"/>
  <c r="N121" i="24"/>
  <c r="O121" i="24"/>
  <c r="G120" i="24"/>
  <c r="H120" i="24"/>
  <c r="I120" i="24"/>
  <c r="J120" i="24"/>
  <c r="K120" i="24"/>
  <c r="L120" i="24"/>
  <c r="M120" i="24"/>
  <c r="N120" i="24"/>
  <c r="O120" i="24"/>
  <c r="G119" i="24"/>
  <c r="H119" i="24"/>
  <c r="I119" i="24"/>
  <c r="J119" i="24"/>
  <c r="K119" i="24"/>
  <c r="L119" i="24"/>
  <c r="M119" i="24"/>
  <c r="N119" i="24"/>
  <c r="O119" i="24"/>
  <c r="G118" i="24"/>
  <c r="H118" i="24"/>
  <c r="I118" i="24"/>
  <c r="J118" i="24"/>
  <c r="K118" i="24"/>
  <c r="L118" i="24"/>
  <c r="M118" i="24"/>
  <c r="N118" i="24"/>
  <c r="O118" i="24"/>
  <c r="G117" i="24"/>
  <c r="H117" i="24"/>
  <c r="I117" i="24"/>
  <c r="J117" i="24"/>
  <c r="K117" i="24"/>
  <c r="L117" i="24"/>
  <c r="M117" i="24"/>
  <c r="N117" i="24"/>
  <c r="O117" i="24"/>
  <c r="G116" i="24"/>
  <c r="H116" i="24"/>
  <c r="I116" i="24"/>
  <c r="J116" i="24"/>
  <c r="K116" i="24"/>
  <c r="L116" i="24"/>
  <c r="M116" i="24"/>
  <c r="N116" i="24"/>
  <c r="O116" i="24"/>
  <c r="G115" i="24"/>
  <c r="H115" i="24"/>
  <c r="I115" i="24"/>
  <c r="J115" i="24"/>
  <c r="K115" i="24"/>
  <c r="L115" i="24"/>
  <c r="M115" i="24"/>
  <c r="N115" i="24"/>
  <c r="O115" i="24"/>
  <c r="G114" i="24"/>
  <c r="H114" i="24"/>
  <c r="I114" i="24"/>
  <c r="J114" i="24"/>
  <c r="K114" i="24"/>
  <c r="L114" i="24"/>
  <c r="M114" i="24"/>
  <c r="N114" i="24"/>
  <c r="O114" i="24"/>
  <c r="G113" i="24"/>
  <c r="H113" i="24"/>
  <c r="I113" i="24"/>
  <c r="J113" i="24"/>
  <c r="K113" i="24"/>
  <c r="L113" i="24"/>
  <c r="M113" i="24"/>
  <c r="N113" i="24"/>
  <c r="O113" i="24"/>
  <c r="G112" i="24"/>
  <c r="H112" i="24"/>
  <c r="I112" i="24"/>
  <c r="J112" i="24"/>
  <c r="K112" i="24"/>
  <c r="L112" i="24"/>
  <c r="M112" i="24"/>
  <c r="N112" i="24"/>
  <c r="O112" i="24"/>
  <c r="G111" i="24"/>
  <c r="H111" i="24"/>
  <c r="I111" i="24"/>
  <c r="J111" i="24"/>
  <c r="K111" i="24"/>
  <c r="L111" i="24"/>
  <c r="M111" i="24"/>
  <c r="N111" i="24"/>
  <c r="O111" i="24"/>
  <c r="G110" i="24"/>
  <c r="H110" i="24"/>
  <c r="I110" i="24"/>
  <c r="J110" i="24"/>
  <c r="K110" i="24"/>
  <c r="L110" i="24"/>
  <c r="M110" i="24"/>
  <c r="N110" i="24"/>
  <c r="O110" i="24"/>
  <c r="G109" i="24"/>
  <c r="H109" i="24"/>
  <c r="I109" i="24"/>
  <c r="J109" i="24"/>
  <c r="K109" i="24"/>
  <c r="L109" i="24"/>
  <c r="M109" i="24"/>
  <c r="N109" i="24"/>
  <c r="O109" i="24"/>
  <c r="G108" i="24"/>
  <c r="H108" i="24"/>
  <c r="I108" i="24"/>
  <c r="J108" i="24"/>
  <c r="K108" i="24"/>
  <c r="L108" i="24"/>
  <c r="M108" i="24"/>
  <c r="N108" i="24"/>
  <c r="O108" i="24"/>
  <c r="G107" i="24"/>
  <c r="H107" i="24"/>
  <c r="I107" i="24"/>
  <c r="J107" i="24"/>
  <c r="K107" i="24"/>
  <c r="L107" i="24"/>
  <c r="M107" i="24"/>
  <c r="N107" i="24"/>
  <c r="O107" i="24"/>
  <c r="G106" i="24"/>
  <c r="H106" i="24"/>
  <c r="I106" i="24"/>
  <c r="J106" i="24"/>
  <c r="K106" i="24"/>
  <c r="L106" i="24"/>
  <c r="M106" i="24"/>
  <c r="N106" i="24"/>
  <c r="O106" i="24"/>
  <c r="G105" i="24"/>
  <c r="H105" i="24"/>
  <c r="I105" i="24"/>
  <c r="J105" i="24"/>
  <c r="K105" i="24"/>
  <c r="L105" i="24"/>
  <c r="M105" i="24"/>
  <c r="N105" i="24"/>
  <c r="O105" i="24"/>
  <c r="G104" i="24"/>
  <c r="H104" i="24"/>
  <c r="I104" i="24"/>
  <c r="J104" i="24"/>
  <c r="K104" i="24"/>
  <c r="L104" i="24"/>
  <c r="M104" i="24"/>
  <c r="N104" i="24"/>
  <c r="O104" i="24"/>
  <c r="G103" i="24"/>
  <c r="H103" i="24"/>
  <c r="I103" i="24"/>
  <c r="J103" i="24"/>
  <c r="K103" i="24"/>
  <c r="L103" i="24"/>
  <c r="M103" i="24"/>
  <c r="N103" i="24"/>
  <c r="O103" i="24"/>
  <c r="G102" i="24"/>
  <c r="H102" i="24"/>
  <c r="I102" i="24"/>
  <c r="J102" i="24"/>
  <c r="K102" i="24"/>
  <c r="L102" i="24"/>
  <c r="M102" i="24"/>
  <c r="N102" i="24"/>
  <c r="O102" i="24"/>
  <c r="G101" i="24"/>
  <c r="H101" i="24"/>
  <c r="I101" i="24"/>
  <c r="J101" i="24"/>
  <c r="K101" i="24"/>
  <c r="L101" i="24"/>
  <c r="M101" i="24"/>
  <c r="N101" i="24"/>
  <c r="O101" i="24"/>
  <c r="G100" i="24"/>
  <c r="H100" i="24"/>
  <c r="I100" i="24"/>
  <c r="J100" i="24"/>
  <c r="K100" i="24"/>
  <c r="L100" i="24"/>
  <c r="M100" i="24"/>
  <c r="N100" i="24"/>
  <c r="O100" i="24"/>
  <c r="G99" i="24"/>
  <c r="H99" i="24"/>
  <c r="I99" i="24"/>
  <c r="J99" i="24"/>
  <c r="K99" i="24"/>
  <c r="L99" i="24"/>
  <c r="M99" i="24"/>
  <c r="N99" i="24"/>
  <c r="O99" i="24"/>
  <c r="G98" i="24"/>
  <c r="H98" i="24"/>
  <c r="I98" i="24"/>
  <c r="J98" i="24"/>
  <c r="K98" i="24"/>
  <c r="L98" i="24"/>
  <c r="M98" i="24"/>
  <c r="N98" i="24"/>
  <c r="O98" i="24"/>
  <c r="G97" i="24"/>
  <c r="H97" i="24"/>
  <c r="I97" i="24"/>
  <c r="J97" i="24"/>
  <c r="K97" i="24"/>
  <c r="L97" i="24"/>
  <c r="M97" i="24"/>
  <c r="N97" i="24"/>
  <c r="O97" i="24"/>
  <c r="G96" i="24"/>
  <c r="H96" i="24"/>
  <c r="I96" i="24"/>
  <c r="J96" i="24"/>
  <c r="K96" i="24"/>
  <c r="L96" i="24"/>
  <c r="M96" i="24"/>
  <c r="N96" i="24"/>
  <c r="O96" i="24"/>
  <c r="G95" i="24"/>
  <c r="H95" i="24"/>
  <c r="I95" i="24"/>
  <c r="J95" i="24"/>
  <c r="K95" i="24"/>
  <c r="L95" i="24"/>
  <c r="M95" i="24"/>
  <c r="N95" i="24"/>
  <c r="O95" i="24"/>
  <c r="G94" i="24"/>
  <c r="H94" i="24"/>
  <c r="I94" i="24"/>
  <c r="J94" i="24"/>
  <c r="K94" i="24"/>
  <c r="L94" i="24"/>
  <c r="M94" i="24"/>
  <c r="N94" i="24"/>
  <c r="O94" i="24"/>
  <c r="G93" i="24"/>
  <c r="H93" i="24"/>
  <c r="I93" i="24"/>
  <c r="J93" i="24"/>
  <c r="K93" i="24"/>
  <c r="L93" i="24"/>
  <c r="M93" i="24"/>
  <c r="N93" i="24"/>
  <c r="O93" i="24"/>
  <c r="G92" i="24"/>
  <c r="H92" i="24"/>
  <c r="I92" i="24"/>
  <c r="J92" i="24"/>
  <c r="K92" i="24"/>
  <c r="L92" i="24"/>
  <c r="M92" i="24"/>
  <c r="N92" i="24"/>
  <c r="O92" i="24"/>
  <c r="G91" i="24"/>
  <c r="H91" i="24"/>
  <c r="I91" i="24"/>
  <c r="J91" i="24"/>
  <c r="K91" i="24"/>
  <c r="L91" i="24"/>
  <c r="M91" i="24"/>
  <c r="N91" i="24"/>
  <c r="O91" i="24"/>
  <c r="G90" i="24"/>
  <c r="H90" i="24"/>
  <c r="I90" i="24"/>
  <c r="J90" i="24"/>
  <c r="K90" i="24"/>
  <c r="L90" i="24"/>
  <c r="M90" i="24"/>
  <c r="N90" i="24"/>
  <c r="O90" i="24"/>
  <c r="G89" i="24"/>
  <c r="H89" i="24"/>
  <c r="I89" i="24"/>
  <c r="J89" i="24"/>
  <c r="K89" i="24"/>
  <c r="L89" i="24"/>
  <c r="M89" i="24"/>
  <c r="N89" i="24"/>
  <c r="O89" i="24"/>
  <c r="G88" i="24"/>
  <c r="H88" i="24"/>
  <c r="I88" i="24"/>
  <c r="J88" i="24"/>
  <c r="K88" i="24"/>
  <c r="L88" i="24"/>
  <c r="M88" i="24"/>
  <c r="N88" i="24"/>
  <c r="O88" i="24"/>
  <c r="G87" i="24"/>
  <c r="H87" i="24"/>
  <c r="I87" i="24"/>
  <c r="J87" i="24"/>
  <c r="K87" i="24"/>
  <c r="L87" i="24"/>
  <c r="M87" i="24"/>
  <c r="N87" i="24"/>
  <c r="O87" i="24"/>
  <c r="G86" i="24"/>
  <c r="H86" i="24"/>
  <c r="I86" i="24"/>
  <c r="J86" i="24"/>
  <c r="K86" i="24"/>
  <c r="L86" i="24"/>
  <c r="M86" i="24"/>
  <c r="N86" i="24"/>
  <c r="O86" i="24"/>
  <c r="G85" i="24"/>
  <c r="H85" i="24"/>
  <c r="I85" i="24"/>
  <c r="J85" i="24"/>
  <c r="K85" i="24"/>
  <c r="L85" i="24"/>
  <c r="M85" i="24"/>
  <c r="N85" i="24"/>
  <c r="O85" i="24"/>
  <c r="G84" i="24"/>
  <c r="H84" i="24"/>
  <c r="I84" i="24"/>
  <c r="J84" i="24"/>
  <c r="K84" i="24"/>
  <c r="L84" i="24"/>
  <c r="M84" i="24"/>
  <c r="N84" i="24"/>
  <c r="O84" i="24"/>
  <c r="G83" i="24"/>
  <c r="H83" i="24"/>
  <c r="I83" i="24"/>
  <c r="J83" i="24"/>
  <c r="K83" i="24"/>
  <c r="L83" i="24"/>
  <c r="M83" i="24"/>
  <c r="N83" i="24"/>
  <c r="O83" i="24"/>
  <c r="G82" i="24"/>
  <c r="H82" i="24"/>
  <c r="I82" i="24"/>
  <c r="J82" i="24"/>
  <c r="K82" i="24"/>
  <c r="L82" i="24"/>
  <c r="M82" i="24"/>
  <c r="N82" i="24"/>
  <c r="O82" i="24"/>
  <c r="G81" i="24"/>
  <c r="H81" i="24"/>
  <c r="I81" i="24"/>
  <c r="J81" i="24"/>
  <c r="K81" i="24"/>
  <c r="L81" i="24"/>
  <c r="M81" i="24"/>
  <c r="N81" i="24"/>
  <c r="O81" i="24"/>
  <c r="G80" i="24"/>
  <c r="H80" i="24"/>
  <c r="I80" i="24"/>
  <c r="J80" i="24"/>
  <c r="K80" i="24"/>
  <c r="L80" i="24"/>
  <c r="M80" i="24"/>
  <c r="N80" i="24"/>
  <c r="O80" i="24"/>
  <c r="G79" i="24"/>
  <c r="H79" i="24"/>
  <c r="I79" i="24"/>
  <c r="J79" i="24"/>
  <c r="K79" i="24"/>
  <c r="L79" i="24"/>
  <c r="M79" i="24"/>
  <c r="N79" i="24"/>
  <c r="O79" i="24"/>
  <c r="G78" i="24"/>
  <c r="H78" i="24"/>
  <c r="I78" i="24"/>
  <c r="J78" i="24"/>
  <c r="K78" i="24"/>
  <c r="L78" i="24"/>
  <c r="M78" i="24"/>
  <c r="N78" i="24"/>
  <c r="O78" i="24"/>
  <c r="G77" i="24"/>
  <c r="H77" i="24"/>
  <c r="I77" i="24"/>
  <c r="J77" i="24"/>
  <c r="K77" i="24"/>
  <c r="L77" i="24"/>
  <c r="M77" i="24"/>
  <c r="N77" i="24"/>
  <c r="O77" i="24"/>
  <c r="G76" i="24"/>
  <c r="H76" i="24"/>
  <c r="I76" i="24"/>
  <c r="J76" i="24"/>
  <c r="K76" i="24"/>
  <c r="L76" i="24"/>
  <c r="M76" i="24"/>
  <c r="N76" i="24"/>
  <c r="O76" i="24"/>
  <c r="G75" i="24"/>
  <c r="H75" i="24"/>
  <c r="I75" i="24"/>
  <c r="J75" i="24"/>
  <c r="K75" i="24"/>
  <c r="L75" i="24"/>
  <c r="M75" i="24"/>
  <c r="N75" i="24"/>
  <c r="O75" i="24"/>
  <c r="G74" i="24"/>
  <c r="H74" i="24"/>
  <c r="I74" i="24"/>
  <c r="J74" i="24"/>
  <c r="K74" i="24"/>
  <c r="L74" i="24"/>
  <c r="M74" i="24"/>
  <c r="N74" i="24"/>
  <c r="O74" i="24"/>
  <c r="G73" i="24"/>
  <c r="H73" i="24"/>
  <c r="I73" i="24"/>
  <c r="J73" i="24"/>
  <c r="K73" i="24"/>
  <c r="L73" i="24"/>
  <c r="M73" i="24"/>
  <c r="N73" i="24"/>
  <c r="O73" i="24"/>
  <c r="G72" i="24"/>
  <c r="H72" i="24"/>
  <c r="I72" i="24"/>
  <c r="J72" i="24"/>
  <c r="K72" i="24"/>
  <c r="L72" i="24"/>
  <c r="M72" i="24"/>
  <c r="N72" i="24"/>
  <c r="O72" i="24"/>
  <c r="G71" i="24"/>
  <c r="H71" i="24"/>
  <c r="I71" i="24"/>
  <c r="J71" i="24"/>
  <c r="K71" i="24"/>
  <c r="L71" i="24"/>
  <c r="M71" i="24"/>
  <c r="N71" i="24"/>
  <c r="O71" i="24"/>
  <c r="G70" i="24"/>
  <c r="H70" i="24"/>
  <c r="I70" i="24"/>
  <c r="J70" i="24"/>
  <c r="K70" i="24"/>
  <c r="L70" i="24"/>
  <c r="M70" i="24"/>
  <c r="N70" i="24"/>
  <c r="O70" i="24"/>
  <c r="G69" i="24"/>
  <c r="H69" i="24"/>
  <c r="I69" i="24"/>
  <c r="J69" i="24"/>
  <c r="K69" i="24"/>
  <c r="L69" i="24"/>
  <c r="M69" i="24"/>
  <c r="N69" i="24"/>
  <c r="O69" i="24"/>
  <c r="G68" i="24"/>
  <c r="H68" i="24"/>
  <c r="I68" i="24"/>
  <c r="J68" i="24"/>
  <c r="K68" i="24"/>
  <c r="L68" i="24"/>
  <c r="M68" i="24"/>
  <c r="N68" i="24"/>
  <c r="O68" i="24"/>
  <c r="G67" i="24"/>
  <c r="H67" i="24"/>
  <c r="I67" i="24"/>
  <c r="J67" i="24"/>
  <c r="K67" i="24"/>
  <c r="L67" i="24"/>
  <c r="M67" i="24"/>
  <c r="N67" i="24"/>
  <c r="O67" i="24"/>
  <c r="G66" i="24"/>
  <c r="H66" i="24"/>
  <c r="I66" i="24"/>
  <c r="J66" i="24"/>
  <c r="K66" i="24"/>
  <c r="L66" i="24"/>
  <c r="M66" i="24"/>
  <c r="N66" i="24"/>
  <c r="O66" i="24"/>
  <c r="K65" i="24"/>
  <c r="J65" i="24"/>
  <c r="I65" i="24"/>
  <c r="H65" i="24"/>
  <c r="G65" i="24"/>
  <c r="O65" i="24"/>
  <c r="N65" i="24"/>
  <c r="M65" i="24"/>
  <c r="L65" i="24"/>
  <c r="G64" i="24"/>
  <c r="H64" i="24"/>
  <c r="I64" i="24"/>
  <c r="J64" i="24"/>
  <c r="K64" i="24"/>
  <c r="L64" i="24"/>
  <c r="M64" i="24"/>
  <c r="N64" i="24"/>
  <c r="O64" i="24"/>
  <c r="G63" i="24"/>
  <c r="H63" i="24"/>
  <c r="I63" i="24"/>
  <c r="J63" i="24"/>
  <c r="K63" i="24"/>
  <c r="L63" i="24"/>
  <c r="M63" i="24"/>
  <c r="N63" i="24"/>
  <c r="O63" i="24"/>
  <c r="G62" i="24"/>
  <c r="H62" i="24"/>
  <c r="I62" i="24"/>
  <c r="J62" i="24"/>
  <c r="K62" i="24"/>
  <c r="L62" i="24"/>
  <c r="M62" i="24"/>
  <c r="N62" i="24"/>
  <c r="O62" i="24"/>
  <c r="G61" i="24"/>
  <c r="H61" i="24"/>
  <c r="I61" i="24"/>
  <c r="J61" i="24"/>
  <c r="K61" i="24"/>
  <c r="L61" i="24"/>
  <c r="M61" i="24"/>
  <c r="N61" i="24"/>
  <c r="O61" i="24"/>
  <c r="G60" i="24"/>
  <c r="H60" i="24"/>
  <c r="I60" i="24"/>
  <c r="J60" i="24"/>
  <c r="K60" i="24"/>
  <c r="L60" i="24"/>
  <c r="M60" i="24"/>
  <c r="N60" i="24"/>
  <c r="O60" i="24"/>
  <c r="G59" i="24"/>
  <c r="H59" i="24"/>
  <c r="I59" i="24"/>
  <c r="J59" i="24"/>
  <c r="K59" i="24"/>
  <c r="L59" i="24"/>
  <c r="M59" i="24"/>
  <c r="N59" i="24"/>
  <c r="O59" i="24"/>
  <c r="G58" i="24"/>
  <c r="H58" i="24"/>
  <c r="I58" i="24"/>
  <c r="J58" i="24"/>
  <c r="K58" i="24"/>
  <c r="L58" i="24"/>
  <c r="M58" i="24"/>
  <c r="N58" i="24"/>
  <c r="O58" i="24"/>
  <c r="G57" i="24"/>
  <c r="H57" i="24"/>
  <c r="I57" i="24"/>
  <c r="J57" i="24"/>
  <c r="K57" i="24"/>
  <c r="L57" i="24"/>
  <c r="M57" i="24"/>
  <c r="N57" i="24"/>
  <c r="O57" i="24"/>
  <c r="G56" i="24"/>
  <c r="H56" i="24"/>
  <c r="I56" i="24"/>
  <c r="J56" i="24"/>
  <c r="K56" i="24"/>
  <c r="L56" i="24"/>
  <c r="M56" i="24"/>
  <c r="N56" i="24"/>
  <c r="O56" i="24"/>
  <c r="G55" i="24"/>
  <c r="H55" i="24"/>
  <c r="I55" i="24"/>
  <c r="J55" i="24"/>
  <c r="K55" i="24"/>
  <c r="L55" i="24"/>
  <c r="M55" i="24"/>
  <c r="N55" i="24"/>
  <c r="O55" i="24"/>
  <c r="G54" i="24"/>
  <c r="H54" i="24"/>
  <c r="I54" i="24"/>
  <c r="J54" i="24"/>
  <c r="K54" i="24"/>
  <c r="L54" i="24"/>
  <c r="M54" i="24"/>
  <c r="N54" i="24"/>
  <c r="O54" i="24"/>
  <c r="G53" i="24"/>
  <c r="H53" i="24"/>
  <c r="I53" i="24"/>
  <c r="J53" i="24"/>
  <c r="K53" i="24"/>
  <c r="L53" i="24"/>
  <c r="M53" i="24"/>
  <c r="N53" i="24"/>
  <c r="O53" i="24"/>
  <c r="G52" i="24"/>
  <c r="H52" i="24"/>
  <c r="I52" i="24"/>
  <c r="J52" i="24"/>
  <c r="K52" i="24"/>
  <c r="L52" i="24"/>
  <c r="M52" i="24"/>
  <c r="N52" i="24"/>
  <c r="O52" i="24"/>
  <c r="G51" i="24"/>
  <c r="H51" i="24"/>
  <c r="I51" i="24"/>
  <c r="J51" i="24"/>
  <c r="K51" i="24"/>
  <c r="L51" i="24"/>
  <c r="M51" i="24"/>
  <c r="N51" i="24"/>
  <c r="O51" i="24"/>
  <c r="G50" i="24"/>
  <c r="H50" i="24"/>
  <c r="I50" i="24"/>
  <c r="J50" i="24"/>
  <c r="K50" i="24"/>
  <c r="L50" i="24"/>
  <c r="M50" i="24"/>
  <c r="N50" i="24"/>
  <c r="O50" i="24"/>
  <c r="G49" i="24"/>
  <c r="H49" i="24"/>
  <c r="I49" i="24"/>
  <c r="J49" i="24"/>
  <c r="K49" i="24"/>
  <c r="L49" i="24"/>
  <c r="M49" i="24"/>
  <c r="N49" i="24"/>
  <c r="O49" i="24"/>
  <c r="G48" i="24"/>
  <c r="H48" i="24"/>
  <c r="I48" i="24"/>
  <c r="J48" i="24"/>
  <c r="K48" i="24"/>
  <c r="L48" i="24"/>
  <c r="M48" i="24"/>
  <c r="N48" i="24"/>
  <c r="O48" i="24"/>
  <c r="G47" i="24"/>
  <c r="H47" i="24"/>
  <c r="I47" i="24"/>
  <c r="J47" i="24"/>
  <c r="K47" i="24"/>
  <c r="L47" i="24"/>
  <c r="M47" i="24"/>
  <c r="N47" i="24"/>
  <c r="O47" i="24"/>
  <c r="G46" i="24"/>
  <c r="H46" i="24"/>
  <c r="I46" i="24"/>
  <c r="J46" i="24"/>
  <c r="K46" i="24"/>
  <c r="L46" i="24"/>
  <c r="M46" i="24"/>
  <c r="N46" i="24"/>
  <c r="O46" i="24"/>
  <c r="G45" i="24"/>
  <c r="H45" i="24"/>
  <c r="I45" i="24"/>
  <c r="J45" i="24"/>
  <c r="K45" i="24"/>
  <c r="L45" i="24"/>
  <c r="M45" i="24"/>
  <c r="N45" i="24"/>
  <c r="O45" i="24"/>
  <c r="G44" i="24"/>
  <c r="H44" i="24"/>
  <c r="I44" i="24"/>
  <c r="J44" i="24"/>
  <c r="K44" i="24"/>
  <c r="L44" i="24"/>
  <c r="M44" i="24"/>
  <c r="N44" i="24"/>
  <c r="O44" i="24"/>
  <c r="G43" i="24"/>
  <c r="H43" i="24"/>
  <c r="I43" i="24"/>
  <c r="J43" i="24"/>
  <c r="K43" i="24"/>
  <c r="L43" i="24"/>
  <c r="M43" i="24"/>
  <c r="N43" i="24"/>
  <c r="O43" i="24"/>
  <c r="G42" i="24"/>
  <c r="H42" i="24"/>
  <c r="I42" i="24"/>
  <c r="J42" i="24"/>
  <c r="K42" i="24"/>
  <c r="L42" i="24"/>
  <c r="M42" i="24"/>
  <c r="N42" i="24"/>
  <c r="O42" i="24"/>
  <c r="G41" i="24"/>
  <c r="H41" i="24"/>
  <c r="I41" i="24"/>
  <c r="J41" i="24"/>
  <c r="K41" i="24"/>
  <c r="L41" i="24"/>
  <c r="M41" i="24"/>
  <c r="N41" i="24"/>
  <c r="O41" i="24"/>
  <c r="G40" i="24"/>
  <c r="H40" i="24"/>
  <c r="I40" i="24"/>
  <c r="J40" i="24"/>
  <c r="K40" i="24"/>
  <c r="L40" i="24"/>
  <c r="M40" i="24"/>
  <c r="N40" i="24"/>
  <c r="O40" i="24"/>
  <c r="G39" i="24"/>
  <c r="H39" i="24"/>
  <c r="I39" i="24"/>
  <c r="J39" i="24"/>
  <c r="K39" i="24"/>
  <c r="L39" i="24"/>
  <c r="M39" i="24"/>
  <c r="N39" i="24"/>
  <c r="O39" i="24"/>
  <c r="G38" i="24"/>
  <c r="H38" i="24"/>
  <c r="I38" i="24"/>
  <c r="J38" i="24"/>
  <c r="K38" i="24"/>
  <c r="L38" i="24"/>
  <c r="M38" i="24"/>
  <c r="N38" i="24"/>
  <c r="O38" i="24"/>
  <c r="G37" i="24"/>
  <c r="H37" i="24"/>
  <c r="I37" i="24"/>
  <c r="J37" i="24"/>
  <c r="K37" i="24"/>
  <c r="L37" i="24"/>
  <c r="M37" i="24"/>
  <c r="N37" i="24"/>
  <c r="O37" i="24"/>
  <c r="G36" i="24"/>
  <c r="H36" i="24"/>
  <c r="I36" i="24"/>
  <c r="J36" i="24"/>
  <c r="K36" i="24"/>
  <c r="L36" i="24"/>
  <c r="M36" i="24"/>
  <c r="N36" i="24"/>
  <c r="O36" i="24"/>
  <c r="G35" i="24"/>
  <c r="H35" i="24"/>
  <c r="I35" i="24"/>
  <c r="J35" i="24"/>
  <c r="K35" i="24"/>
  <c r="L35" i="24"/>
  <c r="M35" i="24"/>
  <c r="N35" i="24"/>
  <c r="O35" i="24"/>
  <c r="G34" i="24"/>
  <c r="H34" i="24"/>
  <c r="I34" i="24"/>
  <c r="J34" i="24"/>
  <c r="K34" i="24"/>
  <c r="L34" i="24"/>
  <c r="M34" i="24"/>
  <c r="N34" i="24"/>
  <c r="O34" i="24"/>
  <c r="G33" i="24"/>
  <c r="H33" i="24"/>
  <c r="I33" i="24"/>
  <c r="J33" i="24"/>
  <c r="K33" i="24"/>
  <c r="L33" i="24"/>
  <c r="M33" i="24"/>
  <c r="N33" i="24"/>
  <c r="O33" i="24"/>
  <c r="G32" i="24"/>
  <c r="H32" i="24"/>
  <c r="I32" i="24"/>
  <c r="J32" i="24"/>
  <c r="K32" i="24"/>
  <c r="L32" i="24"/>
  <c r="M32" i="24"/>
  <c r="N32" i="24"/>
  <c r="O32" i="24"/>
  <c r="G31" i="24"/>
  <c r="H31" i="24"/>
  <c r="I31" i="24"/>
  <c r="J31" i="24"/>
  <c r="K31" i="24"/>
  <c r="L31" i="24"/>
  <c r="M31" i="24"/>
  <c r="N31" i="24"/>
  <c r="O31" i="24"/>
  <c r="G30" i="24"/>
  <c r="H30" i="24"/>
  <c r="I30" i="24"/>
  <c r="J30" i="24"/>
  <c r="K30" i="24"/>
  <c r="L30" i="24"/>
  <c r="M30" i="24"/>
  <c r="N30" i="24"/>
  <c r="O30" i="24"/>
  <c r="G29" i="24"/>
  <c r="H29" i="24"/>
  <c r="I29" i="24"/>
  <c r="J29" i="24"/>
  <c r="K29" i="24"/>
  <c r="L29" i="24"/>
  <c r="M29" i="24"/>
  <c r="N29" i="24"/>
  <c r="O29" i="24"/>
  <c r="G28" i="24"/>
  <c r="H28" i="24"/>
  <c r="I28" i="24"/>
  <c r="J28" i="24"/>
  <c r="K28" i="24"/>
  <c r="L28" i="24"/>
  <c r="M28" i="24"/>
  <c r="N28" i="24"/>
  <c r="O28" i="24"/>
  <c r="G27" i="24"/>
  <c r="H27" i="24"/>
  <c r="I27" i="24"/>
  <c r="J27" i="24"/>
  <c r="K27" i="24"/>
  <c r="L27" i="24"/>
  <c r="M27" i="24"/>
  <c r="N27" i="24"/>
  <c r="O27" i="24"/>
  <c r="G26" i="24"/>
  <c r="H26" i="24"/>
  <c r="I26" i="24"/>
  <c r="J26" i="24"/>
  <c r="K26" i="24"/>
  <c r="L26" i="24"/>
  <c r="M26" i="24"/>
  <c r="N26" i="24"/>
  <c r="O26" i="24"/>
  <c r="G25" i="24"/>
  <c r="H25" i="24"/>
  <c r="I25" i="24"/>
  <c r="J25" i="24"/>
  <c r="K25" i="24"/>
  <c r="L25" i="24"/>
  <c r="M25" i="24"/>
  <c r="N25" i="24"/>
  <c r="O25" i="24"/>
  <c r="G24" i="24"/>
  <c r="H24" i="24"/>
  <c r="I24" i="24"/>
  <c r="J24" i="24"/>
  <c r="K24" i="24"/>
  <c r="L24" i="24"/>
  <c r="M24" i="24"/>
  <c r="N24" i="24"/>
  <c r="O24" i="24"/>
  <c r="G23" i="24"/>
  <c r="H23" i="24"/>
  <c r="I23" i="24"/>
  <c r="J23" i="24"/>
  <c r="K23" i="24"/>
  <c r="L23" i="24"/>
  <c r="M23" i="24"/>
  <c r="N23" i="24"/>
  <c r="O23" i="24"/>
  <c r="G22" i="24"/>
  <c r="H22" i="24"/>
  <c r="I22" i="24"/>
  <c r="J22" i="24"/>
  <c r="K22" i="24"/>
  <c r="L22" i="24"/>
  <c r="M22" i="24"/>
  <c r="N22" i="24"/>
  <c r="O22" i="24"/>
  <c r="G21" i="24"/>
  <c r="H21" i="24"/>
  <c r="I21" i="24"/>
  <c r="J21" i="24"/>
  <c r="K21" i="24"/>
  <c r="L21" i="24"/>
  <c r="M21" i="24"/>
  <c r="N21" i="24"/>
  <c r="O21" i="24"/>
  <c r="G20" i="24"/>
  <c r="H20" i="24"/>
  <c r="I20" i="24"/>
  <c r="J20" i="24"/>
  <c r="K20" i="24"/>
  <c r="L20" i="24"/>
  <c r="M20" i="24"/>
  <c r="N20" i="24"/>
  <c r="O20" i="24"/>
  <c r="G19" i="24"/>
  <c r="H19" i="24"/>
  <c r="I19" i="24"/>
  <c r="J19" i="24"/>
  <c r="K19" i="24"/>
  <c r="L19" i="24"/>
  <c r="M19" i="24"/>
  <c r="N19" i="24"/>
  <c r="O19" i="24"/>
  <c r="G18" i="24"/>
  <c r="H18" i="24"/>
  <c r="I18" i="24"/>
  <c r="J18" i="24"/>
  <c r="K18" i="24"/>
  <c r="L18" i="24"/>
  <c r="M18" i="24"/>
  <c r="N18" i="24"/>
  <c r="O18" i="24"/>
  <c r="G17" i="24"/>
  <c r="H17" i="24"/>
  <c r="I17" i="24"/>
  <c r="J17" i="24"/>
  <c r="K17" i="24"/>
  <c r="L17" i="24"/>
  <c r="M17" i="24"/>
  <c r="N17" i="24"/>
  <c r="O17" i="24"/>
  <c r="G16" i="24"/>
  <c r="H16" i="24"/>
  <c r="I16" i="24"/>
  <c r="J16" i="24"/>
  <c r="K16" i="24"/>
  <c r="L16" i="24"/>
  <c r="M16" i="24"/>
  <c r="N16" i="24"/>
  <c r="O16" i="24"/>
  <c r="G15" i="24"/>
  <c r="H15" i="24"/>
  <c r="I15" i="24"/>
  <c r="J15" i="24"/>
  <c r="K15" i="24"/>
  <c r="L15" i="24"/>
  <c r="M15" i="24"/>
  <c r="N15" i="24"/>
  <c r="O15" i="24"/>
  <c r="G14" i="24"/>
  <c r="H14" i="24"/>
  <c r="I14" i="24"/>
  <c r="J14" i="24"/>
  <c r="K14" i="24"/>
  <c r="L14" i="24"/>
  <c r="M14" i="24"/>
  <c r="N14" i="24"/>
  <c r="O14" i="24"/>
  <c r="G13" i="24"/>
  <c r="H13" i="24"/>
  <c r="I13" i="24"/>
  <c r="J13" i="24"/>
  <c r="K13" i="24"/>
  <c r="L13" i="24"/>
  <c r="M13" i="24"/>
  <c r="N13" i="24"/>
  <c r="O13" i="24"/>
  <c r="G12" i="24"/>
  <c r="H12" i="24"/>
  <c r="I12" i="24"/>
  <c r="J12" i="24"/>
  <c r="K12" i="24"/>
  <c r="L12" i="24"/>
  <c r="M12" i="24"/>
  <c r="N12" i="24"/>
  <c r="O12" i="24"/>
  <c r="G11" i="24"/>
  <c r="H11" i="24"/>
  <c r="I11" i="24"/>
  <c r="J11" i="24"/>
  <c r="K11" i="24"/>
  <c r="L11" i="24"/>
  <c r="M11" i="24"/>
  <c r="N11" i="24"/>
  <c r="O11" i="24"/>
  <c r="G10" i="24"/>
  <c r="H10" i="24"/>
  <c r="I10" i="24"/>
  <c r="J10" i="24"/>
  <c r="K10" i="24"/>
  <c r="L10" i="24"/>
  <c r="M10" i="24"/>
  <c r="N10" i="24"/>
  <c r="O10" i="24"/>
  <c r="G9" i="24"/>
  <c r="H9" i="24"/>
  <c r="I9" i="24"/>
  <c r="J9" i="24"/>
  <c r="K9" i="24"/>
  <c r="L9" i="24"/>
  <c r="M9" i="24"/>
  <c r="N9" i="24"/>
  <c r="O9" i="24"/>
  <c r="G8" i="24"/>
  <c r="H8" i="24"/>
  <c r="I8" i="24"/>
  <c r="J8" i="24"/>
  <c r="K8" i="24"/>
  <c r="L8" i="24"/>
  <c r="M8" i="24"/>
  <c r="N8" i="24"/>
  <c r="O8" i="24"/>
  <c r="G7" i="24"/>
  <c r="H7" i="24"/>
  <c r="I7" i="24"/>
  <c r="J7" i="24"/>
  <c r="K7" i="24"/>
  <c r="L7" i="24"/>
  <c r="M7" i="24"/>
  <c r="N7" i="24"/>
  <c r="O7" i="24"/>
  <c r="G6" i="24"/>
  <c r="H6" i="24"/>
  <c r="I6" i="24"/>
  <c r="J6" i="24"/>
  <c r="K6" i="24"/>
  <c r="L6" i="24"/>
  <c r="M6" i="24"/>
  <c r="N6" i="24"/>
  <c r="O6" i="24"/>
  <c r="G5" i="24"/>
  <c r="H5" i="24"/>
  <c r="I5" i="24"/>
  <c r="J5" i="24"/>
  <c r="K5" i="24"/>
  <c r="L5" i="24"/>
  <c r="M5" i="24"/>
  <c r="N5" i="24"/>
  <c r="O5" i="24"/>
  <c r="G4" i="24"/>
  <c r="H4" i="24"/>
  <c r="I4" i="24"/>
  <c r="J4" i="24"/>
  <c r="K4" i="24"/>
  <c r="L4" i="24"/>
  <c r="M4" i="24"/>
  <c r="N4" i="24"/>
  <c r="O4" i="24"/>
  <c r="G3" i="24"/>
  <c r="H3" i="24"/>
  <c r="I3" i="24"/>
  <c r="J3" i="24"/>
  <c r="K3" i="24"/>
  <c r="L3" i="24"/>
  <c r="M3" i="24"/>
  <c r="N3" i="24"/>
  <c r="O3" i="24"/>
  <c r="A2" i="24"/>
  <c r="AF646" i="17" a="1"/>
  <c r="AF646" i="17" s="1"/>
  <c r="AF478" i="17" a="1"/>
  <c r="AF478" i="17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E792" i="19"/>
  <c r="S458" i="17"/>
  <c r="U458" i="17" s="1"/>
  <c r="S461" i="17"/>
  <c r="U461" i="17" s="1"/>
  <c r="S456" i="17"/>
  <c r="U456" i="17" s="1"/>
  <c r="H791" i="14"/>
  <c r="E791" i="19"/>
  <c r="H5" i="14"/>
  <c r="U790" i="17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S791" i="17"/>
  <c r="U791" i="17" s="1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<sst xmlns="http://schemas.openxmlformats.org/spreadsheetml/2006/main" count="18271" uniqueCount="3029">
  <si>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</si>
  <si>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</si>
  <si>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</si>
  <si>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</si>
  <si>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</si>
  <si>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</si>
  <si>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</si>
  <si>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</si>
  <si>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</si>
  <si>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</si>
  <si>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</si>
  <si>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</si>
  <si>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</si>
  <si>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</si>
  <si>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</si>
  <si>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</si>
  <si>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</si>
  <si>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</si>
  <si>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</si>
  <si>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</si>
  <si>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</si>
  <si>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</si>
  <si>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</si>
  <si>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</si>
  <si>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</si>
  <si>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</si>
  <si>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</si>
  <si>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</si>
  <si>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</si>
  <si>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</si>
  <si>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</si>
  <si>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</si>
  <si>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</si>
  <si>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</si>
  <si>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</si>
  <si>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</si>
  <si>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</si>
  <si>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</si>
  <si>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</si>
  <si>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</si>
  <si>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</si>
  <si>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</si>
  <si>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</si>
  <si>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</si>
  <si>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</si>
  <si>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</si>
  <si>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</si>
  <si>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</si>
  <si>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</si>
  <si>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</si>
  <si>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</si>
  <si>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</si>
  <si>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</si>
  <si>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</si>
  <si>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</si>
  <si>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</si>
  <si>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</si>
  <si>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</si>
  <si>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</si>
  <si>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</si>
  <si>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</si>
  <si>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</si>
  <si>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</si>
  <si>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</si>
  <si>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</si>
  <si>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</si>
  <si>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</si>
  <si>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</si>
  <si>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</si>
  <si>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</si>
  <si>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</si>
  <si>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</si>
  <si>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</si>
  <si>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</si>
  <si>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</si>
  <si>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</si>
  <si>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</si>
  <si>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</si>
  <si>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</si>
  <si>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</si>
  <si>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</si>
  <si>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</si>
  <si>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</si>
  <si>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</si>
  <si>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</si>
  <si>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</si>
  <si>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</si>
  <si>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</si>
  <si>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</si>
  <si>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</si>
  <si>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</si>
  <si>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</si>
  <si>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</si>
  <si>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</si>
  <si>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</si>
  <si>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</si>
  <si>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</si>
  <si>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</si>
  <si>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</si>
  <si>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</si>
  <si>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</si>
  <si>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</si>
  <si>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</si>
  <si>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</si>
  <si>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</si>
  <si>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</si>
  <si>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</si>
  <si>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</si>
  <si>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</si>
  <si>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</si>
  <si>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</si>
  <si>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</si>
  <si>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</si>
  <si>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</si>
  <si>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</si>
  <si>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</si>
  <si>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</si>
  <si>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</si>
  <si>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</si>
  <si>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</si>
  <si>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</si>
  <si>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</si>
  <si>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</si>
  <si>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</si>
  <si>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</si>
  <si>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</si>
  <si>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</si>
  <si>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</si>
  <si>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</si>
  <si>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</si>
  <si>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</si>
  <si>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</si>
  <si>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</si>
  <si>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</si>
  <si>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</si>
  <si>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</si>
  <si>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</si>
  <si>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</si>
  <si>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</si>
  <si>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</si>
  <si>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</si>
  <si>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</si>
  <si>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</si>
  <si>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</si>
  <si>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</si>
  <si>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</si>
  <si>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</si>
  <si>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</si>
  <si>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</si>
  <si>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</si>
  <si>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</si>
  <si>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</si>
  <si>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</si>
  <si>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</si>
  <si>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</si>
  <si>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</si>
  <si>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</si>
  <si>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</si>
  <si>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</si>
  <si>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</si>
  <si>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</si>
  <si>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</si>
  <si>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</si>
  <si>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</si>
  <si>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</si>
  <si>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</si>
  <si>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</si>
  <si>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</si>
  <si>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</si>
  <si>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</si>
  <si>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</si>
  <si>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</si>
  <si>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</si>
  <si>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</si>
  <si>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</si>
  <si>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</si>
  <si>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</si>
  <si>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</si>
  <si>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</si>
  <si>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</si>
  <si>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</si>
  <si>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</si>
  <si>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</si>
  <si>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</si>
  <si>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</si>
  <si>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</si>
  <si>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</si>
  <si>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</si>
  <si>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</si>
  <si>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</si>
  <si>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</si>
  <si>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</si>
  <si>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</si>
  <si>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</si>
  <si>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</si>
  <si>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</si>
  <si>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</si>
  <si>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</si>
  <si>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</si>
  <si>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</si>
  <si>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</si>
  <si>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</si>
  <si>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</si>
  <si>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</si>
  <si>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</si>
  <si>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</si>
  <si>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</si>
  <si>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</si>
  <si>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</si>
  <si>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</si>
  <si>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</si>
  <si>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</si>
  <si>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</si>
  <si>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</si>
  <si>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</si>
  <si>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</si>
  <si>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</si>
  <si>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</si>
  <si>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</si>
  <si>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</si>
  <si>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</si>
  <si>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</si>
  <si>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</si>
  <si>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</si>
  <si>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</si>
  <si>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</si>
  <si>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</si>
  <si>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</si>
  <si>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</si>
  <si>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</si>
  <si>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</si>
  <si>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</si>
  <si>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</si>
  <si>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</si>
  <si>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</si>
  <si>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</si>
  <si>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</si>
  <si>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</si>
  <si>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</si>
  <si>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</si>
  <si>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</si>
  <si>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</si>
  <si>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</si>
  <si>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</si>
  <si>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</si>
  <si>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</si>
  <si>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</si>
  <si>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</si>
  <si>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</si>
  <si>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</si>
  <si>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</si>
  <si>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</si>
  <si>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</si>
  <si>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</si>
  <si>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</si>
  <si>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</si>
  <si>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</si>
  <si>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</si>
  <si>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</si>
  <si>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</si>
  <si>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</si>
  <si>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</si>
  <si>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</si>
  <si>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</si>
  <si>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</si>
  <si>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</si>
  <si>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</si>
  <si>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</si>
  <si>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</si>
  <si>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</si>
  <si>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</si>
  <si>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</si>
  <si>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</si>
  <si>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</si>
  <si>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</si>
  <si>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</si>
  <si>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</si>
  <si>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</si>
  <si>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</si>
  <si>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</si>
  <si>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</si>
  <si>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</si>
  <si>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</si>
  <si>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</si>
  <si>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</si>
  <si>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</si>
  <si>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</si>
  <si>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</si>
  <si>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</si>
  <si>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</si>
  <si>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</si>
  <si>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</si>
  <si>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</si>
  <si>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</si>
  <si>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</si>
  <si>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</si>
  <si>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</si>
  <si>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</si>
  <si>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</si>
  <si>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</si>
  <si>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</si>
  <si>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</si>
  <si>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</si>
  <si>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</si>
  <si>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</si>
  <si>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</si>
  <si>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</si>
  <si>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</si>
  <si>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</si>
  <si>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</si>
  <si>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</si>
  <si>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</si>
  <si>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</si>
  <si>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</si>
  <si>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</si>
  <si>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</si>
  <si>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</si>
  <si>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</si>
  <si>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</si>
  <si>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</si>
  <si>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</si>
  <si>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</si>
  <si>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</si>
  <si>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</si>
  <si>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</si>
  <si>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</si>
  <si>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</si>
  <si>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</si>
  <si>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</si>
  <si>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</si>
  <si>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</si>
  <si>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</si>
  <si>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</si>
  <si>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</si>
  <si>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</si>
  <si>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</si>
  <si>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</si>
  <si>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</si>
  <si>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</si>
  <si>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</si>
  <si>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</si>
  <si>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</si>
  <si>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</si>
  <si>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</si>
  <si>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</si>
  <si>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</si>
  <si>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</si>
  <si>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</si>
  <si>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</si>
  <si>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</si>
  <si>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</si>
  <si>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</si>
  <si>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</si>
  <si>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</si>
  <si>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</si>
  <si>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</si>
  <si>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</si>
  <si>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</si>
  <si>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</si>
  <si>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</si>
  <si>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</si>
  <si>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</si>
  <si>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</si>
  <si>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</si>
  <si>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</si>
  <si>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</si>
  <si>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</si>
  <si>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</si>
  <si>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</si>
  <si>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</si>
  <si>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</si>
  <si>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</si>
  <si>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</si>
  <si>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</si>
  <si>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</si>
  <si>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</si>
  <si>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</si>
  <si>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</si>
  <si>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</si>
  <si>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</si>
  <si>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</si>
  <si>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</si>
  <si>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</si>
  <si>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</si>
  <si>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</si>
  <si>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</si>
  <si>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</si>
  <si>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</si>
  <si>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</si>
  <si>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</si>
  <si>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</si>
  <si>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</si>
  <si>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</si>
  <si>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</si>
  <si>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</si>
  <si>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</si>
  <si>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</si>
  <si>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</si>
  <si>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</si>
  <si>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</si>
  <si>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</si>
  <si>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</si>
  <si>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</si>
  <si>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</si>
  <si>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</si>
  <si>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</si>
  <si>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</si>
  <si>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</si>
  <si>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</si>
  <si>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</si>
  <si>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</si>
  <si>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</si>
  <si>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</si>
  <si>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</si>
  <si>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</si>
  <si>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</si>
  <si>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</si>
  <si>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</si>
  <si>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</si>
  <si>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</si>
  <si>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</si>
  <si>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</si>
  <si>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</si>
  <si>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</si>
  <si>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</si>
  <si>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</si>
  <si>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</si>
  <si>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</si>
  <si>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</si>
  <si>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</si>
  <si>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</si>
  <si>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</si>
  <si>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</si>
  <si>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</si>
  <si>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</si>
  <si>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</si>
  <si>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</si>
  <si>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</si>
  <si>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</si>
  <si>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</si>
  <si>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</si>
  <si>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</si>
  <si>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</si>
  <si>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</si>
  <si>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</si>
  <si>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</si>
  <si>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</si>
  <si>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</si>
  <si>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</si>
  <si>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</si>
  <si>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</si>
  <si>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</si>
  <si>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</si>
  <si>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</si>
  <si>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</si>
  <si>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</si>
  <si>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</si>
  <si>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</si>
  <si>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</si>
  <si>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</si>
  <si>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</si>
  <si>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</si>
  <si>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</si>
  <si>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</si>
  <si>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</si>
  <si>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</si>
  <si>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</si>
  <si>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</si>
  <si>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</si>
  <si>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</si>
  <si>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</si>
  <si>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</si>
  <si>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</si>
  <si>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</si>
  <si>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</si>
  <si>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</si>
  <si>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</si>
  <si>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</si>
  <si>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</si>
  <si>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</si>
  <si>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</si>
  <si>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</si>
  <si>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</si>
  <si>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</si>
  <si>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</si>
  <si>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</si>
  <si>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</si>
  <si>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</si>
  <si>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</si>
  <si>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</si>
  <si>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</si>
  <si>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</si>
  <si>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</si>
  <si>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</si>
  <si>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</si>
  <si>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</si>
  <si>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</si>
  <si>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</si>
  <si>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</si>
  <si>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</si>
  <si>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</si>
  <si>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</si>
  <si>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</si>
  <si>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</si>
  <si>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</si>
  <si>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</si>
  <si>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</si>
  <si>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</si>
  <si>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</si>
  <si>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</si>
  <si>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</si>
  <si>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</si>
  <si>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</si>
  <si>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</si>
  <si>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</si>
  <si>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</si>
  <si>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</si>
  <si>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</si>
  <si>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</si>
  <si>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</si>
  <si>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</si>
  <si>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</si>
  <si>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</si>
  <si>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</si>
  <si>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</si>
  <si>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</si>
  <si>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</si>
  <si>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</si>
  <si>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</si>
  <si>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</si>
  <si>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</si>
  <si>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</si>
  <si>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</si>
  <si>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</si>
  <si>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</si>
  <si>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</si>
  <si>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</si>
  <si>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</si>
  <si>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</si>
  <si>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</si>
  <si>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</si>
  <si>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</si>
  <si>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</si>
  <si>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</si>
  <si>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</si>
  <si>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</si>
  <si>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</si>
  <si>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</si>
  <si>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</si>
  <si>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</si>
  <si>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</si>
  <si>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</si>
  <si>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</si>
  <si>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</si>
  <si>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</si>
  <si>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</si>
  <si>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</si>
  <si>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</si>
  <si>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</si>
  <si>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</si>
  <si>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</si>
  <si>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</si>
  <si>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</si>
  <si>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</si>
  <si>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</si>
  <si>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</si>
  <si>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</si>
  <si>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</si>
  <si>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</si>
  <si>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</si>
  <si>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</si>
  <si>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</si>
  <si>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</si>
  <si>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</si>
  <si>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</si>
  <si>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</si>
  <si>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</si>
  <si>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</si>
  <si>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</si>
  <si>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</si>
  <si>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</si>
  <si>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</si>
  <si>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</si>
  <si>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</si>
  <si>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</si>
  <si>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</si>
  <si>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</si>
  <si>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</si>
  <si>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</si>
  <si>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</si>
  <si>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</si>
  <si>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</si>
  <si>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</si>
  <si>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</si>
  <si>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</si>
  <si>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</si>
  <si>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</si>
  <si>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</si>
  <si>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</si>
  <si>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</si>
  <si>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</si>
  <si>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</si>
  <si>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</si>
  <si>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</si>
  <si>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</si>
  <si>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</si>
  <si>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</si>
  <si>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</si>
  <si>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</si>
  <si>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</si>
  <si>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</si>
  <si>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</si>
  <si>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</si>
  <si>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</si>
  <si>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</si>
  <si>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</si>
  <si>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</si>
  <si>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</si>
  <si>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</si>
  <si>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</si>
  <si>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</si>
  <si>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</si>
  <si>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</si>
  <si>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</si>
  <si>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</si>
  <si>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</si>
  <si>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</si>
  <si>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</si>
  <si>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</si>
  <si>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</si>
  <si>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</si>
  <si>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</si>
  <si>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</si>
  <si>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</si>
  <si>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</si>
  <si>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</si>
  <si>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</si>
  <si>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</si>
  <si>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</si>
  <si>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</si>
  <si>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</si>
  <si>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</si>
  <si>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</si>
  <si>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</si>
  <si>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</si>
  <si>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</si>
  <si>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</si>
  <si>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</si>
  <si>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</si>
  <si>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</si>
  <si>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</si>
  <si>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</si>
  <si>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</si>
  <si>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</si>
  <si>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</si>
  <si>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</si>
  <si>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</si>
  <si>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</si>
  <si>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</si>
  <si>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</si>
  <si>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</si>
  <si>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</si>
  <si>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</si>
  <si>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</si>
  <si>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</si>
  <si>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</si>
  <si>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</si>
  <si>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</si>
  <si>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</si>
  <si>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</si>
  <si>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</si>
  <si>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</si>
  <si>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</si>
  <si>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</si>
  <si>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</si>
  <si>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</si>
  <si>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</si>
  <si>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</si>
  <si>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</si>
  <si>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</si>
  <si>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</si>
  <si>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</si>
  <si>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</si>
  <si>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</si>
  <si>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</si>
  <si>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</si>
  <si>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</si>
  <si>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</si>
  <si>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</si>
  <si>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</si>
  <si>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</si>
  <si>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</si>
  <si>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</si>
  <si>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</si>
  <si>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</si>
  <si>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</si>
  <si>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</si>
  <si>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</si>
  <si>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</si>
  <si>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</si>
  <si>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</si>
  <si>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</si>
  <si>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</si>
  <si>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</si>
  <si>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</si>
  <si>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</si>
  <si>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</si>
  <si>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</si>
  <si>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</si>
  <si>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</si>
  <si>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</si>
  <si>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</si>
  <si>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</si>
  <si>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</si>
  <si>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</si>
  <si>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</si>
  <si>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</si>
  <si>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</si>
  <si>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</si>
  <si>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</si>
  <si>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</si>
  <si>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</si>
  <si>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</si>
  <si>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</si>
  <si>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</si>
  <si>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</si>
  <si>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</si>
  <si>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</si>
  <si>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</si>
  <si>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</si>
  <si>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</si>
  <si>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</si>
  <si>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</si>
  <si>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</si>
  <si>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</si>
  <si>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</si>
  <si>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</si>
  <si>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</si>
  <si>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</si>
  <si>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</si>
  <si>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</si>
  <si>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</si>
  <si>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</si>
  <si>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</si>
  <si>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</si>
  <si>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</si>
  <si>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</si>
  <si>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</si>
  <si>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</si>
  <si>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</si>
  <si>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</si>
  <si>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</si>
  <si>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</si>
  <si>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</si>
  <si>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</si>
  <si>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</si>
  <si>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</si>
  <si>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</si>
  <si>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</si>
  <si>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</si>
  <si>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</si>
  <si>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</si>
  <si>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</si>
  <si>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</si>
  <si>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</si>
  <si>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</si>
  <si>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</si>
  <si>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</si>
  <si>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</si>
  <si>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</si>
  <si>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</si>
  <si>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</si>
  <si>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</si>
  <si>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</si>
  <si>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</si>
  <si>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</si>
  <si>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</si>
  <si>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</si>
  <si>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</si>
  <si>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</si>
  <si>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</si>
  <si>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</si>
  <si>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</si>
  <si>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</si>
  <si>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</si>
  <si>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</si>
  <si>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</si>
  <si>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</si>
  <si>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</si>
  <si>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</si>
  <si>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</si>
  <si>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</si>
  <si>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</si>
  <si>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</si>
  <si>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</si>
  <si>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</si>
  <si>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</si>
  <si>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</si>
  <si>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</si>
  <si>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</si>
  <si>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</si>
  <si>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</si>
  <si>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</si>
  <si>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</si>
  <si>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</si>
  <si>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</si>
  <si>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</si>
  <si>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</si>
  <si>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</si>
  <si>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</si>
  <si>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</si>
  <si>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</si>
  <si>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</si>
  <si>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</si>
  <si>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</si>
  <si>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</si>
  <si>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</si>
  <si>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</si>
  <si>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</si>
  <si>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</si>
  <si>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</si>
  <si>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</si>
  <si>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</si>
  <si>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</si>
  <si>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</si>
  <si>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</si>
  <si>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</si>
  <si>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</si>
  <si>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</si>
  <si>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</si>
  <si>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</si>
  <si>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</si>
  <si>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</si>
  <si>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</si>
  <si>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</si>
  <si>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</si>
  <si>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</si>
  <si>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</si>
  <si>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</si>
  <si>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</si>
  <si>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</si>
  <si>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</si>
  <si>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</si>
  <si>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</si>
  <si>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</si>
  <si>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</si>
  <si>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</si>
  <si>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</si>
  <si>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</si>
  <si>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</si>
  <si>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</si>
  <si>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</si>
  <si>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</si>
  <si>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</si>
  <si>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</si>
  <si>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</si>
  <si>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</si>
  <si>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</si>
  <si>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</si>
  <si>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</si>
  <si>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</si>
  <si>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</si>
  <si>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</si>
  <si>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</si>
  <si>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</si>
  <si>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</si>
  <si>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</si>
  <si>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</si>
  <si>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</si>
  <si>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</si>
  <si>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</si>
  <si>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</si>
  <si>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</si>
  <si>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</si>
  <si>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</si>
  <si>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</si>
  <si>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</si>
  <si>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</si>
  <si>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</si>
  <si>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</si>
  <si>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</si>
  <si>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</si>
  <si>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</si>
  <si>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</si>
  <si>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</si>
  <si>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</si>
  <si>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</si>
  <si>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</si>
  <si>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</si>
  <si>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</si>
  <si>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</si>
  <si>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</si>
  <si>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</si>
  <si>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</si>
  <si>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</si>
  <si>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</si>
  <si>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</si>
  <si>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</si>
  <si>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</si>
  <si>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</si>
  <si>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</si>
  <si>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</si>
  <si>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</si>
  <si>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</si>
  <si>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</si>
  <si>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</si>
  <si>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</si>
  <si>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</si>
  <si>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</si>
  <si>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</si>
  <si>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</si>
  <si>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</si>
  <si>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</si>
  <si>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</si>
  <si>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</si>
  <si>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</si>
  <si>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</si>
  <si>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</si>
  <si>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</si>
  <si>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</si>
  <si>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</si>
  <si>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</si>
  <si>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</si>
  <si>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</si>
  <si>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</si>
  <si>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</si>
  <si>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</si>
  <si>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</si>
  <si>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</si>
  <si>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</si>
  <si>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</si>
  <si>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</si>
  <si>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</si>
  <si>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</si>
  <si>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</si>
  <si>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</si>
  <si>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</si>
  <si>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</si>
  <si>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</si>
  <si>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</si>
  <si>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</si>
  <si>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</si>
  <si>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</si>
  <si>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</si>
  <si>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</si>
  <si>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</si>
  <si>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</si>
  <si>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</si>
  <si>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</si>
  <si>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</si>
  <si>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</si>
  <si>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</si>
  <si>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</si>
  <si>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</si>
  <si>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</si>
  <si>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</si>
  <si>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</si>
  <si>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</si>
  <si>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</si>
  <si>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</si>
  <si>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</si>
  <si>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</si>
  <si>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</si>
  <si>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</si>
  <si>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</si>
  <si>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</si>
  <si>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</si>
  <si>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</si>
  <si>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</si>
  <si>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</si>
  <si>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</si>
  <si>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</si>
  <si>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</si>
  <si>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</si>
  <si>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</si>
  <si>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</si>
  <si>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</si>
  <si>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</si>
  <si>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</si>
  <si>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</si>
  <si>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</si>
  <si>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</si>
  <si>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</si>
  <si>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</si>
  <si>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</si>
  <si>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</si>
  <si>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</si>
  <si>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</si>
  <si>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</si>
  <si>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</si>
  <si>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</si>
  <si>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</si>
  <si>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</si>
  <si>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</si>
  <si>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</si>
  <si>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</si>
  <si>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</si>
  <si>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</si>
  <si>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</si>
  <si>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</si>
  <si>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</si>
  <si>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</si>
  <si>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</si>
  <si>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</si>
  <si>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</si>
  <si>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</si>
  <si>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</si>
  <si>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</si>
  <si>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</si>
  <si>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</si>
  <si>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</si>
  <si>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</si>
  <si>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</si>
  <si>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</si>
  <si>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</si>
  <si>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</si>
  <si>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</si>
  <si>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</si>
  <si>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</si>
  <si>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</si>
  <si>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</si>
  <si>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</si>
  <si>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</si>
  <si>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</si>
  <si>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</si>
  <si>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</si>
  <si>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</si>
  <si>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</si>
  <si>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</si>
  <si>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</si>
  <si>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</si>
  <si>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</si>
  <si>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</si>
  <si>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</si>
  <si>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</si>
  <si>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</si>
  <si>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</si>
  <si>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</si>
  <si>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</si>
  <si>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</si>
  <si>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</si>
  <si>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</si>
  <si>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</si>
  <si>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</si>
  <si>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</si>
  <si>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</si>
  <si>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</si>
  <si>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</si>
  <si>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</si>
  <si>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</si>
  <si>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</si>
  <si>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</si>
  <si>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</si>
  <si>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</si>
  <si>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</si>
  <si>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</si>
  <si>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</si>
  <si>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</si>
  <si>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</si>
  <si>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</si>
  <si>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</si>
  <si>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</si>
  <si>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</si>
  <si>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</si>
  <si>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</si>
  <si>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</si>
  <si>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</si>
  <si>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</si>
  <si>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</si>
  <si>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</si>
  <si>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</si>
  <si>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</si>
  <si>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</si>
  <si>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</si>
  <si>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</si>
  <si>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</si>
  <si>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</si>
  <si>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</si>
  <si>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</si>
  <si>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</si>
  <si>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</si>
  <si>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</si>
  <si>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</si>
  <si>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</si>
  <si>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</si>
  <si>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</si>
  <si>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</si>
  <si>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</si>
  <si>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</si>
  <si>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</si>
  <si>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</si>
  <si>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</si>
  <si>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</si>
  <si>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</si>
  <si>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</si>
  <si>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</si>
  <si>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</si>
  <si>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</si>
  <si>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</si>
  <si>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</si>
  <si>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</si>
  <si>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</si>
  <si>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</si>
  <si>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</si>
  <si>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</si>
  <si>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</si>
  <si>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</si>
  <si>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</si>
  <si>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</si>
  <si>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</si>
  <si>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</si>
  <si>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</si>
  <si>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</si>
  <si>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</si>
  <si>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</si>
  <si>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</si>
  <si>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</si>
  <si>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</si>
  <si>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</si>
  <si>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</si>
  <si>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</si>
  <si>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</si>
  <si>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</si>
  <si>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</si>
  <si>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</si>
  <si>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</si>
  <si>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</si>
  <si>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</si>
  <si>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</si>
  <si>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</si>
  <si>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</si>
  <si>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</si>
  <si>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RZD P36</t>
  </si>
  <si>
    <t>SNCF 150B</t>
  </si>
  <si>
    <t>FS 895</t>
  </si>
  <si>
    <t>PKP OKz32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</si>
  <si>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</si>
  <si>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</si>
  <si>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</si>
  <si>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</si>
  <si>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</si>
  <si>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</si>
  <si>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</si>
  <si>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</si>
  <si>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</si>
  <si>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</si>
  <si>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</si>
  <si>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</si>
  <si>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</si>
  <si>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</si>
  <si>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</si>
  <si>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</si>
  <si>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</si>
  <si>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</si>
  <si>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</si>
  <si>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CN U-1</t>
  </si>
  <si>
    <t>Indian Railways XB</t>
  </si>
  <si>
    <t>Iraqi State Railways PC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</si>
  <si>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</si>
  <si>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</si>
  <si>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</si>
  <si>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</si>
  <si>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</si>
  <si>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</si>
  <si>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</si>
  <si>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</si>
  <si>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</si>
  <si>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</si>
  <si>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</si>
  <si>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</si>
  <si>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</si>
  <si>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</si>
  <si>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</si>
  <si>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</si>
  <si>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</si>
  <si>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</si>
  <si>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</si>
  <si>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</si>
  <si>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</si>
  <si>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</si>
  <si>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</si>
  <si>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</si>
  <si>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</si>
  <si>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</si>
  <si>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</si>
  <si>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</si>
  <si>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</si>
  <si>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</si>
  <si>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</si>
  <si>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</si>
  <si>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</si>
  <si>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</si>
  <si>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</si>
  <si>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</si>
  <si>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</si>
  <si>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</si>
  <si>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</si>
  <si>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</si>
  <si>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</si>
  <si>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</si>
  <si>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</si>
  <si>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</si>
  <si>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</si>
  <si>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</si>
  <si>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</si>
  <si>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</si>
  <si>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</si>
  <si>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</si>
  <si>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</si>
  <si>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</si>
  <si>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</si>
  <si>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</si>
  <si>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</si>
  <si>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</si>
  <si>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</si>
  <si>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</si>
  <si>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</si>
  <si>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</si>
  <si>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</si>
  <si>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</si>
  <si>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</si>
  <si>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</si>
  <si>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</si>
  <si>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</si>
  <si>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</si>
  <si>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</si>
  <si>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</si>
  <si>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</si>
  <si>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</si>
  <si>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</si>
  <si>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</si>
  <si>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</si>
  <si>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</si>
  <si>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</si>
  <si>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</si>
  <si>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</si>
  <si>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</si>
  <si>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</si>
  <si>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</si>
  <si>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</si>
  <si>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</si>
  <si>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</si>
  <si>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</si>
  <si>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</si>
  <si>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</si>
  <si>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</si>
  <si>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</si>
  <si>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</si>
  <si>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</si>
  <si>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</si>
  <si>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</si>
  <si>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</si>
  <si>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</si>
  <si>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</si>
  <si>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</si>
  <si>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</si>
  <si>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</si>
  <si>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</si>
  <si>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</si>
  <si>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</si>
  <si>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</si>
  <si>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</si>
  <si>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</si>
  <si>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</si>
  <si>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</si>
  <si>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</si>
  <si>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</si>
  <si>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</si>
  <si>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</si>
  <si>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</si>
  <si>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</si>
  <si>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</si>
  <si>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</si>
  <si>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</si>
  <si>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</si>
  <si>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</si>
  <si>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</si>
  <si>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</si>
  <si>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</si>
  <si>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</si>
  <si>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</si>
  <si>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</si>
  <si>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</si>
  <si>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</si>
  <si>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</si>
  <si>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</si>
  <si>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</si>
  <si>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</si>
  <si>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</si>
  <si>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</si>
  <si>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</si>
  <si>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</si>
  <si>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</si>
  <si>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</si>
  <si>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</si>
  <si>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</si>
  <si>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</si>
  <si>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</si>
  <si>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</si>
  <si>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</si>
  <si>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</si>
  <si>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</si>
  <si>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</si>
  <si>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</si>
  <si>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</si>
  <si>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</si>
  <si>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</si>
  <si>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</si>
  <si>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</si>
  <si>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</si>
  <si>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</si>
  <si>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</si>
  <si>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</si>
  <si>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</si>
  <si>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</si>
  <si>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</si>
  <si>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</si>
  <si>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</si>
  <si>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</si>
  <si>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</si>
  <si>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</si>
  <si>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</si>
  <si>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</si>
  <si>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</si>
  <si>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</si>
  <si>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</si>
  <si>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</si>
  <si>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</si>
  <si>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</si>
  <si>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</si>
  <si>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</si>
  <si>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</si>
  <si>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</si>
  <si>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</si>
  <si>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</si>
  <si>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</si>
  <si>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</si>
  <si>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</si>
  <si>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</si>
  <si>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</si>
  <si>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</si>
  <si>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</si>
  <si>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</si>
  <si>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</si>
  <si>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</si>
  <si>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</si>
  <si>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</si>
  <si>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</si>
  <si>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</si>
  <si>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</si>
  <si>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</si>
  <si>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</si>
  <si>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</si>
  <si>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</si>
  <si>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</si>
  <si>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</si>
  <si>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</si>
  <si>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</si>
  <si>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</si>
  <si>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</si>
  <si>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</si>
  <si>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</si>
  <si>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</si>
  <si>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</si>
  <si>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</si>
  <si>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</si>
  <si>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</si>
  <si>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</si>
  <si>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</si>
  <si>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</si>
  <si>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</si>
  <si>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</si>
  <si>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</si>
  <si>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</si>
  <si>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</si>
  <si>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</si>
  <si>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</si>
  <si>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</si>
  <si>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</si>
  <si>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</si>
  <si>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</si>
  <si>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</si>
  <si>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</si>
  <si>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</si>
  <si>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</si>
  <si>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</si>
  <si>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</si>
  <si>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</si>
  <si>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</si>
  <si>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</si>
  <si>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</si>
  <si>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</si>
  <si>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</si>
  <si>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</si>
  <si>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</si>
  <si>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</si>
  <si>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</si>
  <si>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</si>
  <si>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</si>
  <si>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</si>
  <si>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</si>
  <si>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</si>
  <si>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</si>
  <si>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</si>
  <si>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</si>
  <si>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</si>
  <si>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</si>
  <si>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</si>
  <si>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</si>
  <si>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</si>
  <si>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</si>
  <si>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</si>
  <si>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</si>
  <si>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</si>
  <si>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</si>
  <si>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</si>
  <si>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</si>
  <si>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</si>
  <si>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</si>
  <si>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</si>
  <si>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</si>
  <si>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</si>
  <si>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</si>
  <si>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</si>
  <si>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</si>
  <si>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</si>
  <si>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</si>
  <si>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</si>
  <si>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</si>
  <si>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</si>
  <si>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</si>
  <si>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</si>
  <si>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</si>
  <si>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</si>
  <si>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</si>
  <si>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</si>
  <si>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</si>
  <si>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</si>
  <si>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</si>
  <si>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</si>
  <si>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</si>
  <si>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</si>
  <si>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</si>
  <si>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</si>
  <si>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</si>
  <si>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</si>
  <si>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</si>
  <si>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</si>
  <si>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</si>
  <si>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</si>
  <si>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</si>
  <si>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</si>
  <si>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</si>
  <si>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</si>
  <si>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</si>
  <si>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</si>
  <si>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</si>
  <si>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</si>
  <si>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</si>
  <si>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</si>
  <si>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</si>
  <si>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</si>
  <si>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</si>
  <si>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</si>
  <si>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</si>
  <si>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</si>
  <si>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</si>
  <si>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</si>
  <si>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</si>
  <si>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</si>
  <si>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</si>
  <si>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</si>
  <si>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</si>
  <si>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</si>
  <si>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</si>
  <si>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</si>
  <si>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</si>
  <si>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</si>
  <si>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</si>
  <si>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</si>
  <si>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</si>
  <si>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</si>
  <si>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</si>
  <si>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</si>
  <si>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</si>
  <si>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</si>
  <si>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</si>
  <si>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</si>
  <si>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</si>
  <si>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</si>
  <si>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</si>
  <si>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</si>
  <si>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</si>
  <si>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</si>
  <si>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</si>
  <si>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</si>
  <si>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</si>
  <si>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</si>
  <si>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</si>
  <si>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</si>
  <si>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</si>
  <si>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</si>
  <si>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</si>
  <si>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</si>
  <si>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</si>
  <si>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</si>
  <si>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</si>
  <si>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</si>
  <si>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</si>
  <si>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</si>
  <si>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</si>
  <si>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</si>
  <si>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</si>
  <si>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</si>
  <si>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</si>
  <si>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</si>
  <si>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</si>
  <si>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</si>
  <si>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</si>
  <si>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</si>
  <si>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</si>
  <si>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</si>
  <si>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</si>
  <si>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</si>
  <si>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</si>
  <si>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</si>
  <si>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</si>
  <si>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</si>
  <si>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</si>
  <si>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</si>
  <si>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</si>
  <si>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</si>
  <si>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</si>
  <si>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</si>
  <si>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</si>
  <si>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</si>
  <si>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</si>
  <si>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</si>
  <si>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</si>
  <si>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</si>
  <si>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</si>
  <si>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</si>
  <si>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</si>
  <si>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</si>
  <si>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</si>
  <si>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</si>
  <si>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</si>
  <si>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</si>
  <si>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</si>
  <si>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</si>
  <si>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</si>
  <si>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</si>
  <si>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</si>
  <si>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</si>
  <si>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</si>
  <si>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</si>
  <si>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</si>
  <si>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</si>
  <si>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</si>
  <si>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</si>
  <si>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</si>
  <si>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</si>
  <si>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</si>
  <si>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</si>
  <si>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</si>
  <si>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</si>
  <si>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</si>
  <si>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</si>
  <si>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</si>
  <si>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</si>
  <si>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</si>
  <si>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</si>
  <si>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</si>
  <si>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</si>
  <si>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</si>
  <si>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</si>
  <si>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</si>
  <si>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</si>
  <si>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</si>
  <si>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</si>
  <si>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</si>
  <si>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</si>
  <si>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</si>
  <si>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</si>
  <si>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</si>
  <si>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</si>
  <si>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</si>
  <si>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</si>
  <si>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</si>
  <si>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</si>
  <si>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</si>
  <si>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</si>
  <si>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</si>
  <si>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</si>
  <si>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</si>
  <si>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</si>
  <si>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</si>
  <si>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</si>
  <si>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</si>
  <si>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</si>
  <si>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</si>
  <si>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</si>
  <si>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</si>
  <si>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</si>
  <si>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</si>
  <si>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</si>
  <si>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</si>
  <si>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</si>
  <si>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</si>
  <si>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</si>
  <si>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</si>
  <si>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</si>
  <si>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</si>
  <si>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</si>
  <si>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</si>
  <si>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</si>
  <si>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</si>
  <si>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</si>
  <si>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</si>
  <si>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</si>
  <si>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</si>
  <si>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</si>
  <si>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</si>
  <si>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</si>
  <si>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</si>
  <si>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</si>
  <si>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</si>
  <si>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</si>
  <si>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</si>
  <si>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</si>
  <si>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</si>
  <si>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</si>
  <si>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</si>
  <si>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</si>
  <si>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</si>
  <si>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</si>
  <si>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</si>
  <si>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</si>
  <si>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</si>
  <si>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</si>
  <si>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</si>
  <si>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</si>
  <si>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</si>
  <si>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</si>
  <si>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</si>
  <si>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</si>
  <si>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</si>
  <si>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</si>
  <si>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</si>
  <si>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</si>
  <si>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</si>
  <si>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</si>
  <si>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</si>
  <si>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</si>
  <si>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</si>
  <si>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</si>
  <si>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</si>
  <si>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</si>
  <si>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</si>
  <si>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</si>
  <si>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</si>
  <si>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</si>
  <si>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</si>
  <si>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</si>
  <si>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</si>
  <si>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</si>
  <si>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</si>
  <si>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</si>
  <si>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</si>
  <si>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</si>
  <si>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</si>
  <si>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</si>
  <si>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</si>
  <si>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</si>
  <si>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</si>
  <si>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</si>
  <si>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</si>
  <si>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</si>
  <si>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</si>
  <si>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</si>
  <si>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</si>
  <si>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</si>
  <si>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</si>
  <si>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</si>
  <si>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</si>
  <si>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</si>
  <si>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</si>
  <si>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</si>
  <si>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</si>
  <si>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</si>
  <si>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</si>
  <si>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</si>
  <si>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</si>
  <si>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</si>
  <si>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</si>
  <si>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</si>
  <si>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</si>
  <si>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</si>
  <si>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</si>
  <si>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</si>
  <si>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</si>
  <si>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</si>
  <si>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</si>
  <si>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</si>
  <si>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</si>
  <si>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</si>
  <si>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</si>
  <si>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</si>
  <si>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</si>
  <si>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</si>
  <si>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</si>
  <si>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</si>
  <si>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</si>
  <si>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</si>
  <si>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</si>
  <si>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</si>
  <si>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</si>
  <si>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</si>
  <si>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</si>
  <si>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</si>
  <si>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</si>
  <si>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</si>
  <si>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</si>
  <si>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</si>
  <si>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</si>
  <si>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</si>
  <si>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</si>
  <si>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</si>
  <si>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</si>
  <si>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</si>
  <si>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</si>
  <si>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</si>
  <si>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</si>
  <si>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</si>
  <si>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</si>
  <si>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</si>
  <si>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</si>
  <si>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</si>
  <si>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</si>
  <si>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</si>
  <si>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</si>
  <si>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</si>
  <si>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</si>
  <si>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</si>
  <si>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</si>
  <si>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</si>
  <si>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</si>
  <si>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</si>
  <si>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</si>
  <si>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</si>
  <si>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</si>
  <si>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</si>
  <si>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</si>
  <si>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</si>
  <si>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</si>
  <si>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</si>
  <si>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</si>
  <si>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</si>
  <si>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</si>
  <si>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</si>
  <si>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</si>
  <si>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</si>
  <si>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</si>
  <si>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</si>
  <si>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</si>
  <si>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</si>
  <si>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</si>
  <si>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</si>
  <si>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</si>
  <si>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</si>
  <si>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</si>
  <si>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</si>
  <si>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</si>
  <si>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</si>
  <si>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</si>
  <si>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</si>
  <si>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</si>
  <si>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</si>
  <si>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</si>
  <si>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</si>
  <si>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</si>
  <si>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</si>
  <si>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</si>
  <si>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</si>
  <si>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</si>
  <si>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</si>
  <si>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</si>
  <si>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</si>
  <si>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</si>
  <si>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</si>
  <si>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</si>
  <si>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</si>
  <si>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</si>
  <si>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</si>
  <si>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</si>
  <si>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</si>
  <si>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</si>
  <si>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</si>
  <si>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</si>
  <si>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</si>
  <si>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</si>
  <si>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</si>
  <si>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</si>
  <si>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</si>
  <si>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</si>
  <si>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</si>
  <si>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</si>
  <si>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</si>
  <si>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</si>
  <si>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</si>
  <si>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</si>
  <si>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</si>
  <si>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</si>
  <si>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</si>
  <si>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</si>
  <si>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</si>
  <si>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</si>
  <si>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</si>
  <si>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</si>
  <si>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</si>
  <si>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</si>
  <si>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</si>
  <si>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</si>
  <si>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</si>
  <si>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</si>
  <si>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</si>
  <si>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</si>
  <si>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</si>
  <si>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</si>
  <si>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</si>
  <si>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</si>
  <si>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</si>
  <si>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</si>
  <si>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</si>
  <si>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</si>
  <si>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</si>
  <si>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</si>
  <si>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</si>
  <si>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</si>
  <si>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</si>
  <si>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</si>
  <si>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</si>
  <si>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</si>
  <si>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</si>
  <si>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</si>
  <si>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</si>
  <si>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</si>
  <si>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</si>
  <si>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</si>
  <si>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</si>
  <si>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</si>
  <si>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</si>
  <si>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</si>
  <si>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</si>
  <si>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</si>
  <si>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</si>
  <si>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</si>
  <si>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</si>
  <si>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</si>
  <si>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</si>
  <si>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</si>
  <si>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</si>
  <si>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</si>
  <si>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</si>
  <si>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</si>
  <si>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</si>
  <si>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</si>
  <si>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</si>
  <si>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</si>
  <si>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</si>
  <si>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</si>
  <si>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</si>
  <si>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</si>
  <si>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</si>
  <si>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</si>
  <si>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</si>
  <si>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</si>
  <si>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</si>
  <si>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</si>
  <si>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</si>
  <si>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</si>
  <si>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</si>
  <si>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</si>
  <si>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</si>
  <si>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</si>
  <si>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</si>
  <si>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</si>
  <si>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</si>
  <si>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</si>
  <si>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</si>
  <si>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</si>
  <si>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</si>
  <si>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</si>
  <si>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</si>
  <si>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</si>
  <si>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</si>
  <si>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</si>
  <si>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</si>
  <si>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</si>
  <si>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</si>
  <si>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</si>
  <si>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</si>
  <si>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</si>
  <si>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</si>
  <si>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</si>
  <si>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</si>
  <si>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</si>
  <si>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</si>
  <si>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</si>
  <si>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</si>
  <si>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</si>
  <si>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</si>
  <si>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</si>
  <si>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</si>
  <si>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</si>
  <si>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</si>
  <si>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</si>
  <si>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</si>
  <si>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</si>
  <si>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</si>
  <si>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</si>
  <si>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</si>
  <si>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</si>
  <si>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</si>
  <si>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</si>
  <si>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</si>
  <si>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</si>
  <si>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</si>
  <si>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</si>
  <si>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</si>
  <si>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</si>
  <si>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</si>
  <si>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</si>
  <si>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</si>
  <si>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</si>
  <si>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</si>
  <si>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</si>
  <si>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</si>
  <si>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</si>
  <si>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</si>
  <si>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</si>
  <si>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</si>
  <si>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</si>
  <si>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</si>
  <si>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</si>
  <si>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</si>
  <si>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</si>
  <si>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</si>
  <si>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</si>
  <si>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</si>
  <si>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</si>
  <si>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</si>
  <si>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</si>
  <si>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</si>
  <si>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</si>
  <si>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</si>
  <si>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</si>
  <si>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</si>
  <si>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</si>
  <si>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</si>
  <si>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</si>
  <si>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</si>
  <si>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</si>
  <si>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</si>
  <si>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</si>
  <si>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</si>
  <si>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</si>
  <si>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</si>
  <si>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</si>
  <si>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</si>
  <si>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</si>
  <si>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</si>
  <si>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</si>
  <si>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</si>
  <si>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</si>
  <si>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</si>
  <si>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</si>
  <si>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</si>
  <si>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</si>
  <si>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</si>
  <si>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</si>
  <si>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</si>
  <si>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</si>
  <si>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</si>
  <si>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</si>
  <si>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</si>
  <si>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</si>
  <si>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</si>
  <si>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</si>
  <si>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</si>
  <si>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</si>
  <si>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</si>
  <si>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</si>
  <si>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</si>
  <si>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</si>
  <si>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</si>
  <si>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</si>
  <si>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</si>
  <si>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</si>
  <si>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</si>
  <si>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</si>
  <si>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</si>
  <si>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</si>
  <si>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</si>
  <si>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</si>
  <si>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</si>
  <si>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</si>
  <si>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</si>
  <si>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</si>
  <si>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</si>
  <si>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</si>
  <si>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</si>
  <si>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</si>
  <si>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</si>
  <si>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</si>
  <si>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</si>
  <si>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</si>
  <si>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</si>
  <si>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</si>
  <si>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</si>
  <si>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</si>
  <si>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</si>
  <si>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</si>
  <si>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</si>
  <si>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</si>
  <si>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</si>
  <si>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</si>
  <si>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</si>
  <si>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</si>
  <si>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</si>
  <si>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</si>
  <si>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</si>
  <si>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</si>
  <si>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</si>
  <si>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</si>
  <si>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</si>
  <si>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</si>
  <si>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</si>
  <si>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</si>
  <si>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</si>
  <si>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</si>
  <si>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</si>
  <si>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</si>
  <si>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</si>
  <si>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</si>
  <si>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</si>
  <si>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</si>
  <si>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</si>
  <si>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</si>
  <si>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</si>
  <si>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</si>
  <si>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</si>
  <si>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</si>
  <si>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</si>
  <si>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</si>
  <si>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</si>
  <si>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</si>
  <si>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</si>
  <si>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</si>
  <si>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</si>
  <si>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</si>
  <si>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</si>
  <si>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</si>
  <si>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</si>
  <si>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</si>
  <si>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</si>
  <si>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</si>
  <si>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</si>
  <si>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</si>
  <si>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</si>
  <si>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</si>
  <si>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</si>
  <si>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</si>
  <si>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</si>
  <si>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</si>
  <si>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</si>
  <si>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</si>
  <si>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</si>
  <si>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</si>
  <si>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</si>
  <si>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</si>
  <si>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</si>
  <si>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</si>
  <si>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</si>
  <si>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</si>
  <si>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</si>
  <si>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</si>
  <si>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</si>
  <si>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</si>
  <si>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</si>
  <si>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</si>
  <si>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</si>
  <si>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</si>
  <si>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</si>
  <si>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</si>
  <si>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</si>
  <si>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</si>
  <si>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</si>
  <si>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</si>
  <si>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</si>
  <si>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</si>
  <si>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</si>
  <si>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</si>
  <si>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</si>
  <si>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</si>
  <si>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</si>
  <si>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</si>
  <si>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</si>
  <si>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</si>
  <si>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</si>
  <si>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</si>
  <si>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</si>
  <si>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</si>
  <si>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</si>
  <si>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</si>
  <si>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</si>
  <si>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</si>
  <si>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</si>
  <si>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</si>
  <si>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</si>
  <si>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</si>
  <si>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</si>
  <si>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</si>
  <si>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</si>
  <si>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</si>
  <si>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</si>
  <si>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</si>
  <si>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</si>
  <si>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</si>
  <si>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</si>
  <si>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</si>
  <si>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</si>
  <si>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</si>
  <si>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</si>
  <si>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</si>
  <si>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</si>
  <si>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</si>
  <si>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</si>
  <si>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</si>
  <si>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</si>
  <si>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</si>
  <si>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</si>
  <si>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</si>
  <si>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</si>
  <si>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</si>
  <si>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</si>
  <si>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</si>
  <si>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</si>
  <si>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</si>
  <si>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</si>
  <si>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</si>
  <si>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</si>
  <si>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</si>
  <si>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</si>
  <si>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</si>
  <si>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</si>
  <si>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</si>
  <si>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</si>
  <si>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</si>
  <si>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</si>
  <si>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</si>
  <si>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</si>
  <si>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</si>
  <si>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</si>
  <si>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</si>
  <si>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</si>
  <si>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</si>
  <si>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</si>
  <si>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</si>
  <si>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</si>
  <si>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</si>
  <si>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</si>
  <si>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</si>
  <si>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</si>
  <si>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</si>
  <si>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</si>
  <si>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</si>
  <si>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</si>
  <si>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</si>
  <si>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</si>
  <si>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</si>
  <si>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</si>
  <si>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</si>
  <si>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</si>
  <si>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</si>
  <si>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</si>
  <si>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</si>
  <si>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</si>
  <si>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</si>
  <si>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</si>
  <si>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</si>
  <si>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</si>
  <si>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</si>
  <si>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</si>
  <si>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</si>
  <si>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</si>
  <si>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</si>
  <si>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</si>
  <si>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</si>
  <si>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</si>
  <si>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</si>
  <si>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</si>
  <si>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</si>
  <si>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</si>
  <si>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</si>
  <si>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</si>
  <si>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</si>
  <si>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</si>
  <si>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</si>
  <si>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</si>
  <si>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</si>
  <si>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</si>
  <si>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</si>
  <si>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</si>
  <si>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</si>
  <si>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</si>
  <si>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</si>
  <si>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</si>
  <si>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</si>
  <si>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</si>
  <si>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</si>
  <si>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</si>
  <si>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</si>
  <si>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</si>
  <si>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</si>
  <si>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</si>
  <si>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</si>
  <si>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</si>
  <si>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</si>
  <si>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</si>
  <si>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</si>
  <si>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</si>
  <si>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</si>
  <si>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</si>
  <si>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</si>
  <si>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</si>
  <si>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</si>
  <si>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</si>
  <si>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</si>
  <si>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</si>
  <si>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</si>
  <si>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</si>
  <si>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</si>
  <si>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</si>
  <si>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</si>
  <si>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</si>
  <si>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</si>
  <si>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</si>
  <si>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</si>
  <si>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</si>
  <si>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</si>
  <si>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</si>
  <si>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</si>
  <si>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</si>
  <si>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</si>
  <si>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</si>
  <si>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</si>
  <si>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</si>
  <si>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</si>
  <si>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</si>
  <si>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</si>
  <si>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</si>
  <si>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</si>
  <si>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</si>
  <si>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</si>
  <si>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</si>
  <si>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</si>
  <si>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</si>
  <si>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</si>
  <si>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</si>
  <si>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</si>
  <si>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</si>
  <si>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</si>
  <si>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</si>
  <si>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</si>
  <si>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</si>
  <si>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</si>
  <si>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</si>
  <si>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</si>
  <si>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</si>
  <si>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</si>
  <si>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</si>
  <si>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</si>
  <si>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</si>
  <si>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</si>
  <si>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</si>
  <si>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</si>
  <si>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</si>
  <si>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</si>
  <si>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</si>
  <si>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</si>
  <si>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</si>
  <si>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</si>
  <si>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</si>
  <si>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</si>
  <si>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</si>
  <si>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</si>
  <si>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</si>
  <si>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</si>
  <si>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</si>
  <si>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</si>
  <si>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</si>
  <si>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</si>
  <si>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</si>
  <si>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</si>
  <si>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</si>
  <si>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</si>
  <si>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</si>
  <si>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</si>
  <si>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</si>
  <si>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</si>
  <si>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</si>
  <si>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</si>
  <si>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</si>
  <si>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</si>
  <si>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</si>
  <si>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</si>
  <si>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</si>
  <si>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</si>
  <si>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</si>
  <si>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</si>
  <si>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</si>
  <si>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</si>
  <si>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</si>
  <si>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</si>
  <si>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</si>
  <si>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</si>
  <si>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</si>
  <si>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</si>
  <si>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</si>
  <si>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</si>
  <si>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</si>
  <si>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</si>
  <si>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</si>
  <si>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</si>
  <si>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</si>
  <si>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</si>
  <si>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</si>
  <si>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</si>
  <si>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</si>
  <si>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</si>
  <si>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</si>
  <si>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</si>
  <si>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</si>
  <si>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</si>
  <si>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</si>
  <si>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</si>
  <si>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</si>
  <si>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</si>
  <si>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</si>
  <si>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</si>
  <si>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</si>
  <si>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</si>
  <si>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</si>
  <si>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</si>
  <si>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</si>
  <si>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</si>
  <si>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</si>
  <si>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</si>
  <si>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</si>
  <si>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</si>
  <si>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</si>
  <si>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</si>
  <si>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</si>
  <si>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</si>
  <si>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</si>
  <si>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</si>
  <si>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</si>
  <si>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</si>
  <si>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</si>
  <si>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</si>
  <si>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</si>
  <si>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</si>
  <si>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</si>
  <si>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</si>
  <si>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</si>
  <si>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</si>
  <si>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</si>
  <si>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</si>
  <si>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</si>
  <si>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</si>
  <si>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</si>
  <si>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</si>
  <si>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</si>
  <si>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</si>
  <si>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</si>
  <si>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</si>
  <si>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</si>
  <si>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</si>
  <si>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</si>
  <si>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</si>
  <si>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</si>
  <si>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</si>
  <si>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</si>
  <si>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</si>
  <si>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</si>
  <si>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</si>
  <si>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</si>
  <si>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</si>
  <si>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</si>
  <si>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</si>
  <si>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</si>
  <si>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https://fr.wikipedia.org/wiki/140-101_%C3%A0_370_%C3%89tat_ou_140_C_SNCF</t>
  </si>
  <si>
    <t>https://fr.wikipedia.org/wiki/T14_AL_et_ex-Prusse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</si>
  <si>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</si>
  <si>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</si>
  <si>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</si>
  <si>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</si>
  <si>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</si>
  <si>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</si>
  <si>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</si>
  <si>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</si>
  <si>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</si>
  <si>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</si>
  <si>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</si>
  <si>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</si>
  <si>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</si>
  <si>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https://da.wikipedia.org/wiki/Litra_E</t>
  </si>
  <si>
    <t>https://de.wikipedia.org/wiki/DR-Baureihe_52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</si>
  <si>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</si>
  <si>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</si>
  <si>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</si>
  <si>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</si>
  <si>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</si>
  <si>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</si>
  <si>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</si>
  <si>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</si>
  <si>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</si>
  <si>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</si>
  <si>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</si>
  <si>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</si>
  <si>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</si>
  <si>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</si>
  <si>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</si>
  <si>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</si>
  <si>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</si>
  <si>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</si>
  <si>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</si>
  <si>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</si>
  <si>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</si>
  <si>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</si>
  <si>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</si>
  <si>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</si>
  <si>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</si>
  <si>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</si>
  <si>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</si>
  <si>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</si>
  <si>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</si>
  <si>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</si>
  <si>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</si>
  <si>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</si>
  <si>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</si>
  <si>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</si>
  <si>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</si>
  <si>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</si>
  <si>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</si>
  <si>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</si>
  <si>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</si>
  <si>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</si>
  <si>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https://de.wikipedia.org/wiki/DR_18_201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</si>
  <si>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</si>
  <si>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</si>
  <si>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</si>
  <si>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</si>
  <si>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</si>
  <si>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</si>
  <si>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</si>
  <si>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</si>
  <si>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</si>
  <si>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</si>
  <si>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</si>
  <si>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</si>
  <si>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</si>
  <si>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</si>
  <si>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</si>
  <si>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</si>
  <si>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</si>
  <si>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</si>
  <si>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</si>
  <si>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</si>
  <si>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</si>
  <si>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</si>
  <si>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</si>
  <si>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</si>
  <si>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</si>
  <si>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</si>
  <si>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</si>
  <si>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</si>
  <si>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</si>
  <si>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</si>
  <si>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</si>
  <si>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</si>
  <si>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</si>
  <si>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</si>
  <si>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</si>
  <si>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</si>
  <si>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</si>
  <si>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</si>
  <si>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</si>
  <si>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</si>
  <si>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</si>
  <si>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</si>
  <si>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</si>
  <si>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</si>
  <si>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</si>
  <si>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</si>
  <si>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</si>
  <si>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</si>
  <si>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</si>
  <si>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</si>
  <si>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</si>
  <si>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</si>
  <si>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</si>
  <si>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</si>
  <si>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</si>
  <si>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</si>
  <si>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</si>
  <si>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</si>
  <si>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</si>
  <si>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</si>
  <si>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</si>
  <si>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</si>
  <si>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</si>
  <si>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</si>
  <si>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</si>
  <si>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</si>
  <si>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</si>
  <si>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</si>
  <si>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</si>
  <si>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</si>
  <si>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</si>
  <si>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</si>
  <si>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</si>
  <si>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</si>
  <si>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</si>
  <si>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</si>
  <si>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</si>
  <si>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</si>
  <si>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</si>
  <si>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</si>
  <si>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</si>
  <si>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</si>
  <si>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</si>
  <si>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</si>
  <si>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</si>
  <si>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</si>
  <si>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</si>
  <si>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</si>
  <si>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</si>
  <si>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</si>
  <si>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</si>
  <si>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</si>
  <si>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</si>
  <si>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</si>
  <si>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</si>
  <si>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</si>
  <si>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</si>
  <si>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</si>
  <si>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</si>
  <si>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</si>
  <si>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</si>
  <si>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</si>
  <si>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</si>
  <si>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</si>
  <si>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</si>
  <si>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</si>
  <si>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</si>
  <si>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</si>
  <si>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</si>
  <si>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</si>
  <si>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</si>
  <si>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</si>
  <si>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</si>
  <si>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</si>
  <si>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</si>
  <si>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</si>
  <si>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https://es.wikipedia.org/wiki/Belgrano_Cargas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</si>
  <si>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</si>
  <si>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</si>
  <si>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</si>
  <si>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</si>
  <si>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</si>
  <si>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</si>
  <si>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</si>
  <si>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</si>
  <si>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</si>
  <si>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</si>
  <si>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</si>
  <si>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</si>
  <si>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</si>
  <si>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</si>
  <si>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</si>
  <si>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</si>
  <si>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</si>
  <si>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</si>
  <si>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</si>
  <si>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</si>
  <si>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</si>
  <si>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</si>
  <si>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</si>
  <si>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</si>
  <si>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</si>
  <si>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</si>
  <si>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</si>
  <si>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</si>
  <si>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</si>
  <si>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</si>
  <si>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</si>
  <si>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</si>
  <si>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</si>
  <si>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</si>
  <si>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</si>
  <si>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</si>
  <si>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</si>
  <si>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</si>
  <si>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</si>
  <si>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</si>
  <si>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</si>
  <si>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</si>
  <si>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</si>
  <si>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</si>
  <si>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</si>
  <si>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</si>
  <si>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</si>
  <si>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</si>
  <si>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</si>
  <si>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</si>
  <si>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</si>
  <si>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</si>
  <si>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</si>
  <si>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</si>
  <si>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</si>
  <si>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</si>
  <si>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</si>
  <si>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</si>
  <si>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</si>
  <si>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</si>
  <si>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</si>
  <si>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</si>
  <si>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</si>
  <si>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</si>
  <si>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</si>
  <si>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</si>
  <si>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</si>
  <si>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</si>
  <si>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</si>
  <si>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</si>
  <si>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</si>
  <si>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</si>
  <si>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</si>
  <si>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</si>
  <si>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</si>
  <si>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</si>
  <si>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</si>
  <si>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</si>
  <si>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</si>
  <si>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</si>
  <si>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</si>
  <si>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</si>
  <si>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</si>
  <si>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</si>
  <si>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</si>
  <si>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</si>
  <si>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</si>
  <si>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</si>
  <si>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</si>
  <si>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</si>
  <si>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</si>
  <si>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</si>
  <si>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</si>
  <si>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</si>
  <si>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</si>
  <si>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</si>
  <si>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</si>
  <si>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</si>
  <si>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</si>
  <si>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</si>
  <si>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</si>
  <si>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</si>
  <si>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</si>
  <si>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</si>
  <si>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</si>
  <si>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</si>
  <si>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</si>
  <si>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</si>
  <si>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</si>
  <si>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</si>
  <si>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</si>
  <si>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</si>
  <si>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</si>
  <si>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</si>
  <si>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</si>
  <si>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</si>
  <si>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</si>
  <si>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</si>
  <si>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</si>
  <si>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</si>
  <si>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</si>
  <si>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</si>
  <si>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</si>
  <si>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</si>
  <si>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</si>
  <si>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</si>
  <si>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</si>
  <si>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</si>
  <si>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</si>
  <si>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</si>
  <si>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</si>
  <si>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</si>
  <si>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</si>
  <si>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</si>
  <si>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</si>
  <si>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</si>
  <si>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</si>
  <si>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</si>
  <si>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</si>
  <si>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</si>
  <si>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</si>
  <si>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</si>
  <si>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</si>
  <si>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</si>
  <si>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</si>
  <si>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</si>
  <si>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</si>
  <si>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</si>
  <si>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</si>
  <si>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</si>
  <si>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</si>
  <si>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</si>
  <si>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</si>
  <si>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</si>
  <si>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</si>
  <si>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</si>
  <si>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</si>
  <si>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</si>
  <si>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</si>
  <si>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</si>
  <si>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</si>
  <si>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</si>
  <si>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</si>
  <si>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</si>
  <si>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</si>
  <si>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</si>
  <si>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</si>
  <si>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</si>
  <si>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</si>
  <si>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</si>
  <si>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</si>
  <si>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</si>
  <si>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</si>
  <si>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</si>
  <si>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</si>
  <si>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</si>
  <si>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</si>
  <si>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</si>
  <si>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</si>
  <si>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</si>
  <si>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</si>
  <si>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</si>
  <si>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</si>
  <si>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</si>
  <si>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</si>
  <si>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</si>
  <si>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</si>
  <si>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</si>
  <si>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</si>
  <si>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</si>
  <si>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</si>
  <si>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</si>
  <si>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</si>
  <si>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</si>
  <si>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</si>
  <si>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</si>
  <si>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</si>
  <si>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</si>
  <si>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</si>
  <si>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</si>
  <si>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</si>
  <si>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</si>
  <si>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</si>
  <si>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</si>
  <si>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</si>
  <si>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</si>
  <si>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</si>
  <si>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</si>
  <si>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</si>
  <si>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</si>
  <si>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</si>
  <si>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</si>
  <si>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</si>
  <si>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</si>
  <si>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</si>
  <si>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</si>
  <si>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</si>
  <si>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</si>
  <si>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</si>
  <si>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</si>
  <si>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</si>
  <si>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</si>
  <si>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</si>
  <si>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</si>
  <si>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</si>
  <si>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</si>
  <si>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</si>
  <si>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</si>
  <si>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</si>
  <si>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</si>
  <si>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</si>
  <si>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</si>
  <si>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</si>
  <si>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</si>
  <si>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</si>
  <si>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</si>
  <si>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</si>
  <si>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</si>
  <si>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</si>
  <si>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</si>
  <si>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</si>
  <si>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</si>
  <si>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</si>
  <si>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</si>
  <si>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</si>
  <si>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</si>
  <si>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</si>
  <si>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</si>
  <si>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</si>
  <si>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</si>
  <si>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</si>
  <si>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</si>
  <si>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</si>
  <si>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</si>
  <si>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</si>
  <si>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</si>
  <si>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</si>
  <si>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</si>
  <si>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</si>
  <si>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</si>
  <si>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</si>
  <si>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</si>
  <si>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</si>
  <si>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</si>
  <si>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</si>
  <si>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</si>
  <si>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</si>
  <si>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</si>
  <si>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</si>
  <si>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</si>
  <si>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</si>
  <si>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</si>
  <si>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</si>
  <si>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</si>
  <si>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</si>
  <si>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</si>
  <si>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</si>
  <si>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</si>
  <si>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</si>
  <si>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</si>
  <si>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</si>
  <si>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</si>
  <si>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</si>
  <si>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</si>
  <si>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</si>
  <si>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</si>
  <si>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</si>
  <si>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</si>
  <si>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</si>
  <si>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</si>
  <si>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</si>
  <si>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</si>
  <si>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</si>
  <si>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</si>
  <si>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</si>
  <si>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</si>
  <si>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</si>
  <si>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</si>
  <si>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</si>
  <si>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</si>
  <si>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</si>
  <si>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</si>
  <si>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</si>
  <si>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</si>
  <si>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</si>
  <si>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</si>
  <si>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</si>
  <si>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</si>
  <si>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</si>
  <si>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</si>
  <si>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</si>
  <si>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</si>
  <si>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</si>
  <si>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</si>
  <si>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</si>
  <si>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</si>
  <si>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</si>
  <si>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</si>
  <si>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</si>
  <si>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</si>
  <si>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</si>
  <si>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</si>
  <si>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</si>
  <si>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</si>
  <si>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</si>
  <si>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</si>
  <si>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</si>
  <si>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</si>
  <si>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</si>
  <si>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</si>
  <si>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</si>
  <si>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</si>
  <si>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</si>
  <si>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</si>
  <si>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</si>
  <si>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</si>
  <si>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</si>
  <si>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</si>
  <si>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</si>
  <si>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</si>
  <si>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</si>
  <si>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</si>
  <si>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</si>
  <si>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</si>
  <si>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</si>
  <si>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</si>
  <si>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</si>
  <si>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</si>
  <si>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</si>
  <si>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</si>
  <si>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</si>
  <si>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</si>
  <si>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</si>
  <si>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</si>
  <si>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</si>
  <si>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</si>
  <si>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</si>
  <si>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</si>
  <si>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</si>
  <si>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</si>
  <si>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</si>
  <si>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</si>
  <si>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</si>
  <si>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</si>
  <si>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</si>
  <si>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</si>
  <si>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</si>
  <si>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</si>
  <si>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</si>
  <si>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</si>
  <si>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</si>
  <si>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</si>
  <si>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</si>
  <si>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</si>
  <si>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</si>
  <si>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</si>
  <si>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</si>
  <si>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</si>
  <si>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</si>
  <si>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</si>
  <si>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</si>
  <si>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</si>
  <si>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</si>
  <si>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</si>
  <si>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</si>
  <si>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</si>
  <si>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</si>
  <si>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</si>
  <si>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</si>
  <si>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</si>
  <si>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</si>
  <si>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</si>
  <si>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</si>
  <si>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</si>
  <si>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</si>
  <si>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</si>
  <si>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</si>
  <si>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</si>
  <si>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</si>
  <si>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</si>
  <si>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</si>
  <si>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</si>
  <si>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</si>
  <si>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</si>
  <si>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</si>
  <si>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</si>
  <si>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</si>
  <si>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</si>
  <si>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</si>
  <si>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</si>
  <si>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</si>
  <si>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</si>
  <si>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</si>
  <si>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</si>
  <si>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</si>
  <si>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</si>
  <si>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</si>
  <si>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</si>
  <si>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</si>
  <si>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</si>
  <si>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</si>
  <si>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</si>
  <si>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</si>
  <si>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</si>
  <si>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</si>
  <si>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</si>
  <si>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</si>
  <si>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</si>
  <si>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</si>
  <si>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</si>
  <si>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</si>
  <si>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</si>
  <si>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</si>
  <si>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(Freight)</t>
  </si>
  <si>
    <t>Express (Passenger)</t>
  </si>
  <si>
    <t>Heavy Freight</t>
  </si>
  <si>
    <t>Metro/Rapid Transit</t>
  </si>
  <si>
    <t>Shunter (Freight)</t>
  </si>
  <si>
    <t>Ultra-High-Speed (Freight)</t>
  </si>
  <si>
    <t>Ultra-High-Speed (Pax)</t>
  </si>
  <si>
    <t>Count of VEHIDCODE</t>
  </si>
  <si>
    <t>Commuter / Urban</t>
  </si>
  <si>
    <t>Light Freight</t>
  </si>
  <si>
    <t>General Purpose</t>
  </si>
  <si>
    <t>Express Mail / Parcel</t>
  </si>
  <si>
    <t>Regional Passenger</t>
  </si>
  <si>
    <t>Standard Freight</t>
  </si>
  <si>
    <t>Express (Universal)</t>
  </si>
  <si>
    <t>Powered/Unpowered Sundry</t>
  </si>
  <si>
    <t>INTRO_20YR</t>
  </si>
  <si>
    <t>REGION_CONC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</si>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</sst>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0" fillId="0" borderId="0" xfId="0" applyNumberFormat="1"/>
    <xf numFmtId="1" fontId="0" fillId="0" borderId="10" xfId="0" applyNumberFormat="1" applyBorder="1" applyAlignment="1">
      <alignment wrapText="1"/>
    </xf>
    <xf numFmtId="0" fontId="26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5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555946064815" createdVersion="8" refreshedVersion="8" minRefreshableVersion="3" recordCount="792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17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Express (Freight)"/>
        <s v="Express Mail / Parcel"/>
        <s v="Ultra-High-Speed (Freight)"/>
        <m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/>
    </cacheField>
    <cacheField name="SOUTHERN_EUROPE" numFmtId="0">
      <sharedItems containsBlank="1"/>
    </cacheField>
    <cacheField name="EASTERN_EUROPE" numFmtId="0">
      <sharedItems containsBlank="1"/>
    </cacheField>
    <cacheField name="WESTERN_EUROPE" numFmtId="0">
      <sharedItems containsBlank="1"/>
    </cacheField>
    <cacheField name="NORTHERN_EUROPE" numFmtId="0">
      <sharedItems containsBlank="1"/>
    </cacheField>
    <cacheField name="NORTH_AMERICA" numFmtId="0">
      <sharedItems containsBlank="1"/>
    </cacheField>
    <cacheField name="SOUTH_AMERICA" numFmtId="0">
      <sharedItems containsBlank="1"/>
    </cacheField>
    <cacheField name="OCEANI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2">
  <r>
    <s v="mglv_Maglev_Wagon_Powered"/>
    <x v="0"/>
    <x v="0"/>
    <s v="ALL_REGION"/>
    <s v="NO_REGION"/>
    <s v="ALL_REGION_NO_REGION"/>
    <x v="0"/>
    <b v="1"/>
    <b v="1"/>
    <b v="1"/>
    <b v="1"/>
    <b v="1"/>
    <b v="1"/>
    <b v="1"/>
    <b v="1"/>
  </r>
  <r>
    <s v="mglv_Maglev_Wagon_Unpowered"/>
    <x v="0"/>
    <x v="0"/>
    <s v="ALL_REGION"/>
    <s v="NO_REGION"/>
    <s v="ALL_REGION_NO_REGION"/>
    <x v="0"/>
    <b v="1"/>
    <b v="1"/>
    <b v="1"/>
    <b v="1"/>
    <b v="1"/>
    <b v="1"/>
    <b v="1"/>
    <b v="1"/>
  </r>
  <r>
    <s v="rbs_Austria_NOLB_1"/>
    <x v="1"/>
    <x v="1"/>
    <s v="WESTERN_EUROPE"/>
    <s v="NO_REGION"/>
    <s v="WESTERN_EUROPE_NO_REGION"/>
    <x v="1"/>
    <b v="0"/>
    <b v="0"/>
    <b v="0"/>
    <b v="1"/>
    <b v="0"/>
    <b v="0"/>
    <b v="0"/>
    <b v="0"/>
  </r>
  <r>
    <s v="rbs_Italy_FS_86"/>
    <x v="1"/>
    <x v="1"/>
    <s v="SOUTHERN_EUROPE"/>
    <s v="NO_REGION"/>
    <s v="SOUTHERN_EUROPE_NO_REGION"/>
    <x v="1"/>
    <b v="0"/>
    <b v="1"/>
    <b v="0"/>
    <b v="0"/>
    <b v="0"/>
    <b v="0"/>
    <b v="0"/>
    <b v="0"/>
  </r>
  <r>
    <s v="rbs_Australia_Victorian_Railways_Rowan_Railmotor"/>
    <x v="2"/>
    <x v="1"/>
    <s v="OCEANIA"/>
    <s v="NO_REGION"/>
    <s v="OCEANIA_NO_REGION"/>
    <x v="1"/>
    <b v="0"/>
    <b v="0"/>
    <b v="0"/>
    <b v="0"/>
    <b v="0"/>
    <b v="0"/>
    <b v="0"/>
    <b v="1"/>
  </r>
  <r>
    <s v="rbs_Switzerland_UeBB_Czm_1_2"/>
    <x v="1"/>
    <x v="1"/>
    <s v="WESTERN_EUROPE"/>
    <s v="NO_REGION"/>
    <s v="WESTERN_EUROPE_NO_REGION"/>
    <x v="1"/>
    <b v="0"/>
    <b v="0"/>
    <b v="0"/>
    <b v="1"/>
    <b v="0"/>
    <b v="0"/>
    <b v="0"/>
    <b v="0"/>
  </r>
  <r>
    <s v="rbs_Germany_Bavarian_MCCi"/>
    <x v="1"/>
    <x v="1"/>
    <s v="WESTERN_EUROPE"/>
    <s v="NO_REGION"/>
    <s v="WESTERN_EUROPE_NO_REGION"/>
    <x v="1"/>
    <b v="0"/>
    <b v="0"/>
    <b v="0"/>
    <b v="1"/>
    <b v="0"/>
    <b v="0"/>
    <b v="0"/>
    <b v="0"/>
  </r>
  <r>
    <s v="rbs_South_Africa_CSAR_Railmotor"/>
    <x v="1"/>
    <x v="1"/>
    <s v="AFRICA"/>
    <s v="NO_REGION"/>
    <s v="AFRICA_NO_REGION"/>
    <x v="0"/>
    <b v="0"/>
    <b v="0"/>
    <b v="0"/>
    <b v="0"/>
    <b v="0"/>
    <b v="0"/>
    <b v="0"/>
    <b v="0"/>
  </r>
  <r>
    <s v="rbs_Australia_Victorian_Railways_Motor_Car_3"/>
    <x v="1"/>
    <x v="1"/>
    <s v="OCEANIA"/>
    <s v="NO_REGION"/>
    <s v="OCEANIA_NO_REGION"/>
    <x v="1"/>
    <b v="0"/>
    <b v="0"/>
    <b v="0"/>
    <b v="0"/>
    <b v="0"/>
    <b v="0"/>
    <b v="0"/>
    <b v="1"/>
  </r>
  <r>
    <s v="rbs_Austria_kkStB_4_0"/>
    <x v="2"/>
    <x v="2"/>
    <s v="WESTERN_EUROPE"/>
    <s v="NO_REGION"/>
    <s v="WESTERN_EUROPE_NO_REGION"/>
    <x v="1"/>
    <b v="0"/>
    <b v="0"/>
    <b v="0"/>
    <b v="1"/>
    <b v="0"/>
    <b v="0"/>
    <b v="0"/>
    <b v="0"/>
  </r>
  <r>
    <s v="rbd_Australia_Victorian_Railways_AEC_RM1"/>
    <x v="3"/>
    <x v="1"/>
    <s v="OCEANIA"/>
    <s v="NO_REGION"/>
    <s v="OCEANIA_NO_REGION"/>
    <x v="1"/>
    <b v="0"/>
    <b v="0"/>
    <b v="0"/>
    <b v="0"/>
    <b v="0"/>
    <b v="0"/>
    <b v="0"/>
    <b v="1"/>
  </r>
  <r>
    <s v="rbd_Germany_DB_VT_133"/>
    <x v="3"/>
    <x v="1"/>
    <s v="WESTERN_EUROPE"/>
    <s v="NO_REGION"/>
    <s v="WESTERN_EUROPE_NO_REGION"/>
    <x v="1"/>
    <b v="0"/>
    <b v="0"/>
    <b v="0"/>
    <b v="1"/>
    <b v="0"/>
    <b v="0"/>
    <b v="0"/>
    <b v="0"/>
  </r>
  <r>
    <s v="rbd_United_Kingdom_GWR_AEC_Railcar"/>
    <x v="3"/>
    <x v="1"/>
    <s v="NORTHERN_EUROPE"/>
    <s v="NO_REGION"/>
    <s v="NORTHERN_EUROPE_NO_REGION"/>
    <x v="1"/>
    <b v="0"/>
    <b v="0"/>
    <b v="0"/>
    <b v="0"/>
    <b v="1"/>
    <b v="0"/>
    <b v="0"/>
    <b v="0"/>
  </r>
  <r>
    <s v="rbd_Austria_OBB_5042"/>
    <x v="3"/>
    <x v="1"/>
    <s v="WESTERN_EUROPE"/>
    <s v="NO_REGION"/>
    <s v="WESTERN_EUROPE_NO_REGION"/>
    <x v="1"/>
    <b v="0"/>
    <b v="0"/>
    <b v="0"/>
    <b v="1"/>
    <b v="0"/>
    <b v="0"/>
    <b v="0"/>
    <b v="0"/>
  </r>
  <r>
    <s v="rbd_New_Zealand_NZR_RM31"/>
    <x v="4"/>
    <x v="1"/>
    <s v="OCEANIA"/>
    <s v="NO_REGION"/>
    <s v="OCEANIA_NO_REGION"/>
    <x v="1"/>
    <b v="0"/>
    <b v="0"/>
    <b v="0"/>
    <b v="0"/>
    <b v="0"/>
    <b v="0"/>
    <b v="0"/>
    <b v="1"/>
  </r>
  <r>
    <s v="rbd_Portugal_CP_0100"/>
    <x v="4"/>
    <x v="1"/>
    <s v="SOUTHERN_EUROPE"/>
    <s v="NO_REGION"/>
    <s v="SOUTHERN_EUROPE_NO_REGION"/>
    <x v="1"/>
    <b v="0"/>
    <b v="1"/>
    <b v="0"/>
    <b v="0"/>
    <b v="0"/>
    <b v="0"/>
    <b v="0"/>
    <b v="0"/>
  </r>
  <r>
    <s v="rbd_USA_Amtrak_Budd_RDC"/>
    <x v="4"/>
    <x v="1"/>
    <s v="NORTH_AMERICA"/>
    <s v="NO_REGION"/>
    <s v="NORTH_AMERICA_NO_REGION"/>
    <x v="1"/>
    <b v="0"/>
    <b v="0"/>
    <b v="0"/>
    <b v="0"/>
    <b v="0"/>
    <b v="1"/>
    <b v="0"/>
    <b v="0"/>
  </r>
  <r>
    <s v="rbd_Germany_DB_VT_989"/>
    <x v="4"/>
    <x v="1"/>
    <s v="WESTERN_EUROPE"/>
    <s v="NO_REGION"/>
    <s v="WESTERN_EUROPE_NO_REGION"/>
    <x v="1"/>
    <b v="0"/>
    <b v="0"/>
    <b v="0"/>
    <b v="1"/>
    <b v="0"/>
    <b v="0"/>
    <b v="0"/>
    <b v="0"/>
  </r>
  <r>
    <s v="rbd_Germany_OHE_520_GDT"/>
    <x v="4"/>
    <x v="1"/>
    <s v="WESTERN_EUROPE"/>
    <s v="NO_REGION"/>
    <s v="WESTERN_EUROPE_NO_REGION"/>
    <x v="1"/>
    <b v="0"/>
    <b v="0"/>
    <b v="0"/>
    <b v="1"/>
    <b v="0"/>
    <b v="0"/>
    <b v="0"/>
    <b v="0"/>
  </r>
  <r>
    <s v="rbd_Netherlands_NS_20_Kameel"/>
    <x v="4"/>
    <x v="1"/>
    <s v="WESTERN_EUROPE"/>
    <s v="NO_REGION"/>
    <s v="WESTERN_EUROPE_NO_REGION"/>
    <x v="1"/>
    <b v="0"/>
    <b v="0"/>
    <b v="0"/>
    <b v="1"/>
    <b v="0"/>
    <b v="0"/>
    <b v="0"/>
    <b v="0"/>
  </r>
  <r>
    <s v="rbd_Netherlands_NS_DH1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rbd_Austria_OBB_5047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rbd_United_Kingdom_BR_153_Super_Sprinter"/>
    <x v="5"/>
    <x v="1"/>
    <s v="NORTHERN_EUROPE"/>
    <s v="NO_REGION"/>
    <s v="NORTHERN_EUROPE_NO_REGION"/>
    <x v="1"/>
    <b v="0"/>
    <b v="0"/>
    <b v="0"/>
    <b v="0"/>
    <b v="1"/>
    <b v="0"/>
    <b v="0"/>
    <b v="0"/>
  </r>
  <r>
    <s v="rbd_Czech_Republic_CD_809"/>
    <x v="5"/>
    <x v="1"/>
    <s v="EASTERN_EUROPE"/>
    <s v="NO_REGION"/>
    <s v="EASTERN_EUROPE_NO_REGION"/>
    <x v="1"/>
    <b v="0"/>
    <b v="0"/>
    <b v="1"/>
    <b v="0"/>
    <b v="0"/>
    <b v="0"/>
    <b v="0"/>
    <b v="0"/>
  </r>
  <r>
    <s v="rbd_Germany_DB_670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rbd_Lithuania_Lithuanian_Railways_AR2"/>
    <x v="5"/>
    <x v="1"/>
    <s v="NORTHERN_EUROPE"/>
    <s v="NO_REGION"/>
    <s v="NORTHERN_EUROPE_NO_REGION"/>
    <x v="1"/>
    <b v="0"/>
    <b v="0"/>
    <b v="0"/>
    <b v="0"/>
    <b v="1"/>
    <b v="0"/>
    <b v="0"/>
    <b v="0"/>
  </r>
  <r>
    <s v="rbd_Austria_kkStB_19"/>
    <x v="1"/>
    <x v="1"/>
    <s v="WESTERN_EUROPE"/>
    <s v="NO_REGION"/>
    <s v="WESTERN_EUROPE_NO_REGION"/>
    <x v="1"/>
    <b v="0"/>
    <b v="0"/>
    <b v="0"/>
    <b v="1"/>
    <b v="0"/>
    <b v="0"/>
    <b v="0"/>
    <b v="0"/>
  </r>
  <r>
    <s v="rbd_USA_Virginia_Truckee_Motor_Car_22"/>
    <x v="1"/>
    <x v="1"/>
    <s v="NORTH_AMERICA"/>
    <s v="NO_REGION"/>
    <s v="NORTH_AMERICA_NO_REGION"/>
    <x v="1"/>
    <b v="0"/>
    <b v="0"/>
    <b v="0"/>
    <b v="0"/>
    <b v="0"/>
    <b v="1"/>
    <b v="0"/>
    <b v="0"/>
  </r>
  <r>
    <s v="rbd_Germany_Saxon_DET_1_2"/>
    <x v="1"/>
    <x v="1"/>
    <s v="WESTERN_EUROPE"/>
    <s v="NO_REGION"/>
    <s v="WESTERN_EUROPE_NO_REGION"/>
    <x v="1"/>
    <b v="0"/>
    <b v="0"/>
    <b v="0"/>
    <b v="1"/>
    <b v="0"/>
    <b v="0"/>
    <b v="0"/>
    <b v="0"/>
  </r>
  <r>
    <s v="rbd_UK_WC_PR_Drewry_Railcar"/>
    <x v="3"/>
    <x v="1"/>
    <s v="NORTHERN_EUROPE"/>
    <s v="NO_REGION"/>
    <s v="NORTHERN_EUROPE_NO_REGION"/>
    <x v="1"/>
    <b v="0"/>
    <b v="0"/>
    <b v="0"/>
    <b v="0"/>
    <b v="1"/>
    <b v="0"/>
    <b v="0"/>
    <b v="0"/>
  </r>
  <r>
    <s v="rbd_Germany_BSt_6001"/>
    <x v="3"/>
    <x v="1"/>
    <s v="WESTERN_EUROPE"/>
    <s v="NO_REGION"/>
    <s v="WESTERN_EUROPE_NO_REGION"/>
    <x v="1"/>
    <b v="0"/>
    <b v="0"/>
    <b v="0"/>
    <b v="1"/>
    <b v="0"/>
    <b v="0"/>
    <b v="0"/>
    <b v="0"/>
  </r>
  <r>
    <s v="rbd_Australia_Victorian_Railways_DERM"/>
    <x v="3"/>
    <x v="1"/>
    <s v="OCEANIA"/>
    <s v="NO_REGION"/>
    <s v="OCEANIA_NO_REGION"/>
    <x v="1"/>
    <b v="0"/>
    <b v="0"/>
    <b v="0"/>
    <b v="0"/>
    <b v="0"/>
    <b v="0"/>
    <b v="0"/>
    <b v="1"/>
  </r>
  <r>
    <s v="rbd_Czech_Republic_CD_M120"/>
    <x v="3"/>
    <x v="1"/>
    <s v="EASTERN_EUROPE"/>
    <s v="NO_REGION"/>
    <s v="EASTERN_EUROPE_NO_REGION"/>
    <x v="1"/>
    <b v="0"/>
    <b v="0"/>
    <b v="1"/>
    <b v="0"/>
    <b v="0"/>
    <b v="0"/>
    <b v="0"/>
    <b v="0"/>
  </r>
  <r>
    <s v="rbd_Germany_Schienenzeppelin"/>
    <x v="3"/>
    <x v="3"/>
    <s v="WESTERN_EUROPE"/>
    <s v="NO_REGION"/>
    <s v="WESTERN_EUROPE_NO_REGION"/>
    <x v="1"/>
    <b v="0"/>
    <b v="0"/>
    <b v="0"/>
    <b v="1"/>
    <b v="0"/>
    <b v="0"/>
    <b v="0"/>
    <b v="0"/>
  </r>
  <r>
    <s v="rbd_Denmark_DSB_MO"/>
    <x v="3"/>
    <x v="1"/>
    <s v="NORTHERN_EUROPE"/>
    <s v="NO_REGION"/>
    <s v="NORTHERN_EUROPE_NO_REGION"/>
    <x v="1"/>
    <b v="0"/>
    <b v="0"/>
    <b v="0"/>
    <b v="0"/>
    <b v="1"/>
    <b v="0"/>
    <b v="0"/>
    <b v="0"/>
  </r>
  <r>
    <s v="rbd_Norway_NSB_Cmb_17"/>
    <x v="3"/>
    <x v="1"/>
    <s v="NORTHERN_EUROPE"/>
    <s v="NO_REGION"/>
    <s v="NORTHERN_EUROPE_NO_REGION"/>
    <x v="1"/>
    <b v="0"/>
    <b v="0"/>
    <b v="0"/>
    <b v="0"/>
    <b v="1"/>
    <b v="0"/>
    <b v="0"/>
    <b v="0"/>
  </r>
  <r>
    <s v="rbd_Czech_Republic_CD_M290"/>
    <x v="3"/>
    <x v="1"/>
    <s v="EASTERN_EUROPE"/>
    <s v="NO_REGION"/>
    <s v="EASTERN_EUROPE_NO_REGION"/>
    <x v="1"/>
    <b v="0"/>
    <b v="0"/>
    <b v="1"/>
    <b v="0"/>
    <b v="0"/>
    <b v="0"/>
    <b v="0"/>
    <b v="0"/>
  </r>
  <r>
    <s v="rbd_Netherlands_NS_omBC"/>
    <x v="3"/>
    <x v="1"/>
    <s v="WESTERN_EUROPE"/>
    <s v="NO_REGION"/>
    <s v="WESTERN_EUROPE_NO_REGION"/>
    <x v="1"/>
    <b v="0"/>
    <b v="0"/>
    <b v="0"/>
    <b v="1"/>
    <b v="0"/>
    <b v="0"/>
    <b v="0"/>
    <b v="0"/>
  </r>
  <r>
    <s v="rbd_Australia_NSWGR_Class_400"/>
    <x v="3"/>
    <x v="1"/>
    <s v="OCEANIA"/>
    <s v="NO_REGION"/>
    <s v="OCEANIA_NO_REGION"/>
    <x v="1"/>
    <b v="0"/>
    <b v="0"/>
    <b v="0"/>
    <b v="0"/>
    <b v="0"/>
    <b v="0"/>
    <b v="0"/>
    <b v="1"/>
  </r>
  <r>
    <s v="rbd_Portugal_CP_USD_9050"/>
    <x v="4"/>
    <x v="1"/>
    <s v="SOUTHERN_EUROPE"/>
    <s v="NO_REGION"/>
    <s v="SOUTHERN_EUROPE_NO_REGION"/>
    <x v="1"/>
    <b v="0"/>
    <b v="1"/>
    <b v="0"/>
    <b v="0"/>
    <b v="0"/>
    <b v="0"/>
    <b v="0"/>
    <b v="0"/>
  </r>
  <r>
    <s v="rbd_Belgium_SNCB_Class_42"/>
    <x v="4"/>
    <x v="1"/>
    <s v="WESTERN_EUROPE"/>
    <s v="NO_REGION"/>
    <s v="WESTERN_EUROPE_NO_REGION"/>
    <x v="1"/>
    <b v="0"/>
    <b v="0"/>
    <b v="0"/>
    <b v="1"/>
    <b v="0"/>
    <b v="0"/>
    <b v="0"/>
    <b v="0"/>
  </r>
  <r>
    <s v="rbd_Bulgaria_BDZ_19"/>
    <x v="6"/>
    <x v="1"/>
    <s v="EASTERN_EUROPE"/>
    <s v="NO_REGION"/>
    <s v="EASTERN_EUROPE_NO_REGION"/>
    <x v="1"/>
    <b v="0"/>
    <b v="0"/>
    <b v="1"/>
    <b v="0"/>
    <b v="0"/>
    <b v="0"/>
    <b v="0"/>
    <b v="0"/>
  </r>
  <r>
    <s v="rbd_Greece_OSE_AA71"/>
    <x v="6"/>
    <x v="1"/>
    <s v="SOUTHERN_EUROPE"/>
    <s v="NO_REGION"/>
    <s v="SOUTHERN_EUROPE_NO_REGION"/>
    <x v="1"/>
    <b v="0"/>
    <b v="1"/>
    <b v="0"/>
    <b v="0"/>
    <b v="0"/>
    <b v="0"/>
    <b v="0"/>
    <b v="0"/>
  </r>
  <r>
    <s v="rbd_Tunisia_SNCFT_Z431"/>
    <x v="6"/>
    <x v="1"/>
    <s v="AFRICA"/>
    <s v="NO_REGION"/>
    <s v="AFRICA_NO_REGION"/>
    <x v="0"/>
    <b v="0"/>
    <b v="0"/>
    <b v="0"/>
    <b v="0"/>
    <b v="0"/>
    <b v="0"/>
    <b v="0"/>
    <b v="0"/>
  </r>
  <r>
    <s v="rbd_USA_Amtrak_SPV_200"/>
    <x v="6"/>
    <x v="1"/>
    <s v="NORTH_AMERICA"/>
    <s v="NO_REGION"/>
    <s v="NORTH_AMERICA_NO_REGION"/>
    <x v="1"/>
    <b v="0"/>
    <b v="0"/>
    <b v="0"/>
    <b v="0"/>
    <b v="0"/>
    <b v="1"/>
    <b v="0"/>
    <b v="0"/>
  </r>
  <r>
    <s v="rbd_Finland_VR_Dm12"/>
    <x v="0"/>
    <x v="1"/>
    <s v="NORTHERN_EUROPE"/>
    <s v="NO_REGION"/>
    <s v="NORTHERN_EUROPE_NO_REGION"/>
    <x v="1"/>
    <b v="0"/>
    <b v="0"/>
    <b v="0"/>
    <b v="0"/>
    <b v="1"/>
    <b v="0"/>
    <b v="0"/>
    <b v="0"/>
  </r>
  <r>
    <s v="rbd_Czech_Republic_CD_840"/>
    <x v="0"/>
    <x v="1"/>
    <s v="EASTERN_EUROPE"/>
    <s v="NO_REGION"/>
    <s v="EASTERN_EUROPE_NO_REGION"/>
    <x v="1"/>
    <b v="0"/>
    <b v="0"/>
    <b v="1"/>
    <b v="0"/>
    <b v="0"/>
    <b v="0"/>
    <b v="0"/>
    <b v="0"/>
  </r>
  <r>
    <s v="rbd_Italy_FS_ALn_668"/>
    <x v="4"/>
    <x v="1"/>
    <s v="SOUTHERN_EUROPE"/>
    <s v="NO_REGION"/>
    <s v="SOUTHERN_EUROPE_NO_REGION"/>
    <x v="1"/>
    <b v="0"/>
    <b v="1"/>
    <b v="0"/>
    <b v="0"/>
    <b v="0"/>
    <b v="0"/>
    <b v="0"/>
    <b v="0"/>
  </r>
  <r>
    <s v="rbe_Czech_Republic_CD_M400"/>
    <x v="1"/>
    <x v="1"/>
    <s v="EASTERN_EUROPE"/>
    <s v="NO_REGION"/>
    <s v="EASTERN_EUROPE_NO_REGION"/>
    <x v="1"/>
    <b v="0"/>
    <b v="0"/>
    <b v="1"/>
    <b v="0"/>
    <b v="0"/>
    <b v="0"/>
    <b v="0"/>
    <b v="0"/>
  </r>
  <r>
    <s v="rbe_France_SNCF_Z_7100"/>
    <x v="6"/>
    <x v="1"/>
    <s v="WESTERN_EUROPE"/>
    <s v="NO_REGION"/>
    <s v="WESTERN_EUROPE_NO_REGION"/>
    <x v="1"/>
    <b v="0"/>
    <b v="0"/>
    <b v="0"/>
    <b v="1"/>
    <b v="0"/>
    <b v="0"/>
    <b v="0"/>
    <b v="0"/>
  </r>
  <r>
    <s v="rbe_Germany_Buckower_Kleinbahn_Nr_1_3"/>
    <x v="3"/>
    <x v="1"/>
    <s v="WESTERN_EUROPE"/>
    <s v="NO_REGION"/>
    <s v="WESTERN_EUROPE_NO_REGION"/>
    <x v="1"/>
    <b v="0"/>
    <b v="0"/>
    <b v="0"/>
    <b v="1"/>
    <b v="0"/>
    <b v="0"/>
    <b v="0"/>
    <b v="0"/>
  </r>
  <r>
    <s v="rbe_Germany_DB_4792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rbe_Slovakia_ZSSK_490"/>
    <x v="3"/>
    <x v="1"/>
    <s v="EASTERN_EUROPE"/>
    <s v="NO_REGION"/>
    <s v="EASTERN_EUROPE_NO_REGION"/>
    <x v="1"/>
    <b v="0"/>
    <b v="0"/>
    <b v="1"/>
    <b v="0"/>
    <b v="0"/>
    <b v="0"/>
    <b v="0"/>
    <b v="0"/>
  </r>
  <r>
    <s v="rbe_Italy_FS_ALe_840"/>
    <x v="4"/>
    <x v="1"/>
    <s v="SOUTHERN_EUROPE"/>
    <s v="NO_REGION"/>
    <s v="SOUTHERN_EUROPE_NO_REGION"/>
    <x v="1"/>
    <b v="0"/>
    <b v="1"/>
    <b v="0"/>
    <b v="0"/>
    <b v="0"/>
    <b v="0"/>
    <b v="0"/>
    <b v="0"/>
  </r>
  <r>
    <s v="rbe_Italy_FG_ALe_80"/>
    <x v="5"/>
    <x v="1"/>
    <s v="SOUTHERN_EUROPE"/>
    <s v="NO_REGION"/>
    <s v="SOUTHERN_EUROPE_NO_REGION"/>
    <x v="1"/>
    <b v="0"/>
    <b v="1"/>
    <b v="0"/>
    <b v="0"/>
    <b v="0"/>
    <b v="0"/>
    <b v="0"/>
    <b v="0"/>
  </r>
  <r>
    <s v="rbe_Italy_FS_E623"/>
    <x v="4"/>
    <x v="1"/>
    <s v="SOUTHERN_EUROPE"/>
    <s v="NO_REGION"/>
    <s v="SOUTHERN_EUROPE_NO_REGION"/>
    <x v="1"/>
    <b v="0"/>
    <b v="1"/>
    <b v="0"/>
    <b v="0"/>
    <b v="0"/>
    <b v="0"/>
    <b v="0"/>
    <b v="0"/>
  </r>
  <r>
    <s v="rbe_Morocco_ONCFM_ZAB1000"/>
    <x v="3"/>
    <x v="1"/>
    <s v="AFRICA"/>
    <s v="NO_REGION"/>
    <s v="AFRICA_NO_REGION"/>
    <x v="0"/>
    <b v="0"/>
    <b v="0"/>
    <b v="0"/>
    <b v="0"/>
    <b v="0"/>
    <b v="0"/>
    <b v="0"/>
    <b v="0"/>
  </r>
  <r>
    <s v="rbe_Poland_PKP_EN81"/>
    <x v="0"/>
    <x v="1"/>
    <s v="EASTERN_EUROPE"/>
    <s v="NO_REGION"/>
    <s v="EASTERN_EUROPE_NO_REGION"/>
    <x v="1"/>
    <b v="0"/>
    <b v="0"/>
    <b v="1"/>
    <b v="0"/>
    <b v="0"/>
    <b v="0"/>
    <b v="0"/>
    <b v="0"/>
  </r>
  <r>
    <s v="rbe_Austria_OBB_4855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rbe_Austria_MBS_ET_10109"/>
    <x v="0"/>
    <x v="1"/>
    <s v="WESTERN_EUROPE"/>
    <s v="NO_REGION"/>
    <s v="WESTERN_EUROPE_NO_REGION"/>
    <x v="1"/>
    <b v="0"/>
    <b v="0"/>
    <b v="0"/>
    <b v="1"/>
    <b v="0"/>
    <b v="0"/>
    <b v="0"/>
    <b v="0"/>
  </r>
  <r>
    <s v="rbe_Germany_DB_ET_85"/>
    <x v="3"/>
    <x v="1"/>
    <s v="WESTERN_EUROPE"/>
    <s v="NO_REGION"/>
    <s v="WESTERN_EUROPE_NO_REGION"/>
    <x v="1"/>
    <b v="0"/>
    <b v="0"/>
    <b v="0"/>
    <b v="1"/>
    <b v="0"/>
    <b v="0"/>
    <b v="0"/>
    <b v="0"/>
  </r>
  <r>
    <s v="rbe_Sweden_SJ_X16"/>
    <x v="4"/>
    <x v="1"/>
    <s v="NORTHERN_EUROPE"/>
    <s v="NO_REGION"/>
    <s v="NORTHERN_EUROPE_NO_REGION"/>
    <x v="1"/>
    <b v="0"/>
    <b v="0"/>
    <b v="0"/>
    <b v="0"/>
    <b v="1"/>
    <b v="0"/>
    <b v="0"/>
    <b v="0"/>
  </r>
  <r>
    <s v="rbe_USA_Pennsylvania_Railroad_Silverliner_II"/>
    <x v="6"/>
    <x v="1"/>
    <s v="NORTH_AMERICA"/>
    <s v="NO_REGION"/>
    <s v="NORTH_AMERICA_NO_REGION"/>
    <x v="1"/>
    <b v="0"/>
    <b v="0"/>
    <b v="0"/>
    <b v="0"/>
    <b v="0"/>
    <b v="1"/>
    <b v="0"/>
    <b v="0"/>
  </r>
  <r>
    <s v="rbe_USA_SEPTA_Silverliner_V"/>
    <x v="0"/>
    <x v="4"/>
    <s v="NORTH_AMERICA"/>
    <s v="NO_REGION"/>
    <s v="NORTH_AMERICA_NO_REGION"/>
    <x v="1"/>
    <b v="0"/>
    <b v="0"/>
    <b v="0"/>
    <b v="0"/>
    <b v="0"/>
    <b v="1"/>
    <b v="0"/>
    <b v="0"/>
  </r>
  <r>
    <s v="steam_Belgium_Le_Belge"/>
    <x v="7"/>
    <x v="5"/>
    <s v="WESTERN_EUROPE"/>
    <s v="NO_REGION"/>
    <s v="WESTERN_EUROPE_NO_REGION"/>
    <x v="1"/>
    <b v="0"/>
    <b v="0"/>
    <b v="0"/>
    <b v="1"/>
    <b v="0"/>
    <b v="0"/>
    <b v="0"/>
    <b v="0"/>
  </r>
  <r>
    <s v="steam_USA_4_4_0_American"/>
    <x v="8"/>
    <x v="6"/>
    <s v="NORTH_AMERICA"/>
    <s v="NO_REGION"/>
    <s v="NORTH_AMERICA_NO_REGION"/>
    <x v="1"/>
    <b v="0"/>
    <b v="0"/>
    <b v="0"/>
    <b v="0"/>
    <b v="0"/>
    <b v="1"/>
    <b v="0"/>
    <b v="0"/>
  </r>
  <r>
    <s v="steam_Switzerland_SBB_Ec_2_5"/>
    <x v="8"/>
    <x v="5"/>
    <s v="WESTERN_EUROPE"/>
    <s v="NO_REGION"/>
    <s v="WESTERN_EUROPE_NO_REGION"/>
    <x v="1"/>
    <b v="0"/>
    <b v="0"/>
    <b v="0"/>
    <b v="1"/>
    <b v="0"/>
    <b v="0"/>
    <b v="0"/>
    <b v="0"/>
  </r>
  <r>
    <s v="steam_USA_4_6_0_Ten_wheeler"/>
    <x v="9"/>
    <x v="6"/>
    <s v="NORTH_AMERICA"/>
    <s v="NO_REGION"/>
    <s v="NORTH_AMERICA_NO_REGION"/>
    <x v="1"/>
    <b v="0"/>
    <b v="0"/>
    <b v="0"/>
    <b v="0"/>
    <b v="0"/>
    <b v="1"/>
    <b v="0"/>
    <b v="0"/>
  </r>
  <r>
    <s v="steam_USA_2_8_0_Consolidation"/>
    <x v="9"/>
    <x v="6"/>
    <s v="NORTH_AMERICA"/>
    <s v="NO_REGION"/>
    <s v="NORTH_AMERICA_NO_REGION"/>
    <x v="1"/>
    <b v="0"/>
    <b v="0"/>
    <b v="0"/>
    <b v="0"/>
    <b v="0"/>
    <b v="1"/>
    <b v="0"/>
    <b v="0"/>
  </r>
  <r>
    <s v="steam_Hungary_MAV_377"/>
    <x v="2"/>
    <x v="5"/>
    <s v="EASTERN_EUROPE"/>
    <s v="NO_REGION"/>
    <s v="EASTERN_EUROPE_NO_REGION"/>
    <x v="1"/>
    <b v="0"/>
    <b v="0"/>
    <b v="1"/>
    <b v="0"/>
    <b v="0"/>
    <b v="0"/>
    <b v="0"/>
    <b v="0"/>
  </r>
  <r>
    <s v="steam_Austria_KkStB_99"/>
    <x v="2"/>
    <x v="5"/>
    <s v="WESTERN_EUROPE"/>
    <s v="NO_REGION"/>
    <s v="WESTERN_EUROPE_NO_REGION"/>
    <x v="1"/>
    <b v="0"/>
    <b v="0"/>
    <b v="0"/>
    <b v="1"/>
    <b v="0"/>
    <b v="0"/>
    <b v="0"/>
    <b v="0"/>
  </r>
  <r>
    <s v="steam_UK_Caledonian_Railway_439"/>
    <x v="1"/>
    <x v="6"/>
    <s v="NORTHERN_EUROPE"/>
    <s v="NO_REGION"/>
    <s v="NORTHERN_EUROPE_NO_REGION"/>
    <x v="1"/>
    <b v="0"/>
    <b v="0"/>
    <b v="0"/>
    <b v="0"/>
    <b v="1"/>
    <b v="0"/>
    <b v="0"/>
    <b v="0"/>
  </r>
  <r>
    <s v="steam_Switzerland_SBB_A_3_5"/>
    <x v="1"/>
    <x v="6"/>
    <s v="WESTERN_EUROPE"/>
    <s v="NO_REGION"/>
    <s v="WESTERN_EUROPE_NO_REGION"/>
    <x v="1"/>
    <b v="0"/>
    <b v="0"/>
    <b v="0"/>
    <b v="1"/>
    <b v="0"/>
    <b v="0"/>
    <b v="0"/>
    <b v="0"/>
  </r>
  <r>
    <s v="steam_Switzerland_SBB_E_3_3"/>
    <x v="1"/>
    <x v="5"/>
    <s v="WESTERN_EUROPE"/>
    <s v="NO_REGION"/>
    <s v="WESTERN_EUROPE_NO_REGION"/>
    <x v="1"/>
    <b v="0"/>
    <b v="0"/>
    <b v="0"/>
    <b v="1"/>
    <b v="0"/>
    <b v="0"/>
    <b v="0"/>
    <b v="0"/>
  </r>
  <r>
    <s v="steam_Austria_KkStB_299"/>
    <x v="1"/>
    <x v="5"/>
    <s v="WESTERN_EUROPE"/>
    <s v="NO_REGION"/>
    <s v="WESTERN_EUROPE_NO_REGION"/>
    <x v="1"/>
    <b v="0"/>
    <b v="0"/>
    <b v="0"/>
    <b v="1"/>
    <b v="0"/>
    <b v="0"/>
    <b v="0"/>
    <b v="0"/>
  </r>
  <r>
    <s v="steam_New_Zealand_NZR_X_Class"/>
    <x v="1"/>
    <x v="5"/>
    <s v="OCEANIA"/>
    <s v="NO_REGION"/>
    <s v="OCEANIA_NO_REGION"/>
    <x v="1"/>
    <b v="0"/>
    <b v="0"/>
    <b v="0"/>
    <b v="0"/>
    <b v="0"/>
    <b v="0"/>
    <b v="0"/>
    <b v="1"/>
  </r>
  <r>
    <s v="steam_Croatia_HZ_51"/>
    <x v="1"/>
    <x v="5"/>
    <s v="EASTERN_EUROPE"/>
    <s v="NO_REGION"/>
    <s v="EASTERN_EUROPE_NO_REGION"/>
    <x v="1"/>
    <b v="0"/>
    <b v="0"/>
    <b v="1"/>
    <b v="0"/>
    <b v="0"/>
    <b v="0"/>
    <b v="0"/>
    <b v="0"/>
  </r>
  <r>
    <s v="steam_Italy_FS_880"/>
    <x v="1"/>
    <x v="6"/>
    <s v="SOUTHERN_EUROPE"/>
    <s v="NO_REGION"/>
    <s v="SOUTHERN_EUROPE_NO_REGION"/>
    <x v="1"/>
    <b v="0"/>
    <b v="1"/>
    <b v="0"/>
    <b v="0"/>
    <b v="0"/>
    <b v="0"/>
    <b v="0"/>
    <b v="0"/>
  </r>
  <r>
    <s v="steam_Argentina_FCNEA_11B_2_8_0"/>
    <x v="1"/>
    <x v="6"/>
    <s v="SOUTH_AMERICA"/>
    <s v="NO_REGION"/>
    <s v="SOUTH_AMERICA_NO_REGION"/>
    <x v="1"/>
    <b v="0"/>
    <b v="0"/>
    <b v="0"/>
    <b v="0"/>
    <b v="0"/>
    <b v="0"/>
    <b v="1"/>
    <b v="0"/>
  </r>
  <r>
    <s v="steam_France_SNCF_140C"/>
    <x v="1"/>
    <x v="6"/>
    <s v="WESTERN_EUROPE"/>
    <s v="NO_REGION"/>
    <s v="WESTERN_EUROPE_NO_REGION"/>
    <x v="1"/>
    <b v="0"/>
    <b v="0"/>
    <b v="0"/>
    <b v="1"/>
    <b v="0"/>
    <b v="0"/>
    <b v="0"/>
    <b v="0"/>
  </r>
  <r>
    <s v="steam_France_SNCF_141TA"/>
    <x v="1"/>
    <x v="6"/>
    <s v="WESTERN_EUROPE"/>
    <s v="NO_REGION"/>
    <s v="WESTERN_EUROPE_NO_REGION"/>
    <x v="1"/>
    <b v="0"/>
    <b v="0"/>
    <b v="0"/>
    <b v="1"/>
    <b v="0"/>
    <b v="0"/>
    <b v="0"/>
    <b v="0"/>
  </r>
  <r>
    <s v="steam_UK_GWR_4900"/>
    <x v="3"/>
    <x v="7"/>
    <s v="NORTHERN_EUROPE"/>
    <s v="NO_REGION"/>
    <s v="NORTHERN_EUROPE_NO_REGION"/>
    <x v="1"/>
    <b v="0"/>
    <b v="0"/>
    <b v="0"/>
    <b v="0"/>
    <b v="1"/>
    <b v="0"/>
    <b v="0"/>
    <b v="0"/>
  </r>
  <r>
    <s v="steam_UK_GWR_5700"/>
    <x v="3"/>
    <x v="6"/>
    <s v="NORTHERN_EUROPE"/>
    <s v="NO_REGION"/>
    <s v="NORTHERN_EUROPE_NO_REGION"/>
    <x v="1"/>
    <b v="0"/>
    <b v="0"/>
    <b v="0"/>
    <b v="0"/>
    <b v="1"/>
    <b v="0"/>
    <b v="0"/>
    <b v="0"/>
  </r>
  <r>
    <s v="steam_Netherlands_NS_6300"/>
    <x v="3"/>
    <x v="6"/>
    <s v="WESTERN_EUROPE"/>
    <s v="NO_REGION"/>
    <s v="WESTERN_EUROPE_NO_REGION"/>
    <x v="1"/>
    <b v="0"/>
    <b v="0"/>
    <b v="0"/>
    <b v="1"/>
    <b v="0"/>
    <b v="0"/>
    <b v="0"/>
    <b v="0"/>
  </r>
  <r>
    <s v="steam_USA_AT_SF_5000"/>
    <x v="3"/>
    <x v="8"/>
    <s v="NORTH_AMERICA"/>
    <s v="NO_REGION"/>
    <s v="NORTH_AMERICA_NO_REGION"/>
    <x v="1"/>
    <b v="0"/>
    <b v="0"/>
    <b v="0"/>
    <b v="0"/>
    <b v="0"/>
    <b v="1"/>
    <b v="0"/>
    <b v="0"/>
  </r>
  <r>
    <s v="steam_Germany_Prussian_S10"/>
    <x v="1"/>
    <x v="6"/>
    <s v="WESTERN_EUROPE"/>
    <s v="NO_REGION"/>
    <s v="WESTERN_EUROPE_NO_REGION"/>
    <x v="1"/>
    <b v="0"/>
    <b v="0"/>
    <b v="0"/>
    <b v="1"/>
    <b v="0"/>
    <b v="0"/>
    <b v="0"/>
    <b v="0"/>
  </r>
  <r>
    <s v="steam_UK_LMS_5MT_Black_Five"/>
    <x v="3"/>
    <x v="7"/>
    <s v="NORTHERN_EUROPE"/>
    <s v="NO_REGION"/>
    <s v="NORTHERN_EUROPE_NO_REGION"/>
    <x v="1"/>
    <b v="0"/>
    <b v="0"/>
    <b v="0"/>
    <b v="0"/>
    <b v="1"/>
    <b v="0"/>
    <b v="0"/>
    <b v="0"/>
  </r>
  <r>
    <s v="steam_Russia_RZD_9P"/>
    <x v="3"/>
    <x v="5"/>
    <s v="ASIA"/>
    <s v="NO_REGION"/>
    <s v="ASIA_NO_REGION"/>
    <x v="1"/>
    <b v="1"/>
    <b v="0"/>
    <b v="0"/>
    <b v="0"/>
    <b v="0"/>
    <b v="0"/>
    <b v="0"/>
    <b v="0"/>
  </r>
  <r>
    <s v="steam_UK_LNER_A4_Gresley"/>
    <x v="3"/>
    <x v="7"/>
    <s v="NORTHERN_EUROPE"/>
    <s v="NO_REGION"/>
    <s v="NORTHERN_EUROPE_NO_REGION"/>
    <x v="1"/>
    <b v="0"/>
    <b v="0"/>
    <b v="0"/>
    <b v="0"/>
    <b v="1"/>
    <b v="0"/>
    <b v="0"/>
    <b v="0"/>
  </r>
  <r>
    <s v="steam_Canada_CPR_Royal_Hudson"/>
    <x v="3"/>
    <x v="7"/>
    <s v="NORTH_AMERICA"/>
    <s v="NO_REGION"/>
    <s v="NORTH_AMERICA_NO_REGION"/>
    <x v="1"/>
    <b v="0"/>
    <b v="0"/>
    <b v="0"/>
    <b v="0"/>
    <b v="0"/>
    <b v="1"/>
    <b v="0"/>
    <b v="0"/>
  </r>
  <r>
    <s v="steam_Denmark_DSB_E"/>
    <x v="3"/>
    <x v="6"/>
    <s v="NORTHERN_EUROPE"/>
    <s v="NO_REGION"/>
    <s v="NORTHERN_EUROPE_NO_REGION"/>
    <x v="1"/>
    <b v="0"/>
    <b v="0"/>
    <b v="0"/>
    <b v="0"/>
    <b v="1"/>
    <b v="0"/>
    <b v="0"/>
    <b v="0"/>
  </r>
  <r>
    <s v="steam_Germany_DB_52"/>
    <x v="3"/>
    <x v="8"/>
    <s v="WESTERN_EUROPE"/>
    <s v="NO_REGION"/>
    <s v="WESTERN_EUROPE_NO_REGION"/>
    <x v="1"/>
    <b v="0"/>
    <b v="0"/>
    <b v="0"/>
    <b v="1"/>
    <b v="0"/>
    <b v="0"/>
    <b v="0"/>
    <b v="0"/>
  </r>
  <r>
    <s v="steam_UK_LNER_A1_Peppercorn"/>
    <x v="4"/>
    <x v="7"/>
    <s v="NORTHERN_EUROPE"/>
    <s v="NO_REGION"/>
    <s v="NORTHERN_EUROPE_NO_REGION"/>
    <x v="1"/>
    <b v="0"/>
    <b v="0"/>
    <b v="0"/>
    <b v="0"/>
    <b v="1"/>
    <b v="0"/>
    <b v="0"/>
    <b v="0"/>
  </r>
  <r>
    <s v="steam_South_Africa_SAR_25"/>
    <x v="4"/>
    <x v="8"/>
    <s v="AFRICA"/>
    <s v="NO_REGION"/>
    <s v="AFRICA_NO_REGION"/>
    <x v="0"/>
    <b v="0"/>
    <b v="0"/>
    <b v="0"/>
    <b v="0"/>
    <b v="0"/>
    <b v="0"/>
    <b v="0"/>
    <b v="0"/>
  </r>
  <r>
    <s v="steam_Russia_RZD_P36"/>
    <x v="4"/>
    <x v="7"/>
    <s v="ASIA"/>
    <s v="NO_REGION"/>
    <s v="ASIA_NO_REGION"/>
    <x v="1"/>
    <b v="1"/>
    <b v="0"/>
    <b v="0"/>
    <b v="0"/>
    <b v="0"/>
    <b v="0"/>
    <b v="0"/>
    <b v="0"/>
  </r>
  <r>
    <s v="steam_France_SNCF_150B"/>
    <x v="3"/>
    <x v="6"/>
    <s v="WESTERN_EUROPE"/>
    <s v="NO_REGION"/>
    <s v="WESTERN_EUROPE_NO_REGION"/>
    <x v="1"/>
    <b v="0"/>
    <b v="0"/>
    <b v="0"/>
    <b v="1"/>
    <b v="0"/>
    <b v="0"/>
    <b v="0"/>
    <b v="0"/>
  </r>
  <r>
    <s v="steam_Italy_FS_895"/>
    <x v="1"/>
    <x v="5"/>
    <s v="SOUTHERN_EUROPE"/>
    <s v="NO_REGION"/>
    <s v="SOUTHERN_EUROPE_NO_REGION"/>
    <x v="1"/>
    <b v="0"/>
    <b v="1"/>
    <b v="0"/>
    <b v="0"/>
    <b v="0"/>
    <b v="0"/>
    <b v="0"/>
    <b v="0"/>
  </r>
  <r>
    <s v="steam_Poland_PKP_Okz32"/>
    <x v="3"/>
    <x v="6"/>
    <s v="EASTERN_EUROPE"/>
    <s v="NO_REGION"/>
    <s v="EASTERN_EUROPE_NO_REGION"/>
    <x v="1"/>
    <b v="0"/>
    <b v="0"/>
    <b v="1"/>
    <b v="0"/>
    <b v="0"/>
    <b v="0"/>
    <b v="0"/>
    <b v="0"/>
  </r>
  <r>
    <s v="steam_Switzerland_SBB_C_5_6"/>
    <x v="1"/>
    <x v="8"/>
    <s v="WESTERN_EUROPE"/>
    <s v="NO_REGION"/>
    <s v="WESTERN_EUROPE_NO_REGION"/>
    <x v="1"/>
    <b v="0"/>
    <b v="0"/>
    <b v="0"/>
    <b v="1"/>
    <b v="0"/>
    <b v="0"/>
    <b v="0"/>
    <b v="0"/>
  </r>
  <r>
    <s v="steam_USA_UP_4000_Big_Boy"/>
    <x v="4"/>
    <x v="7"/>
    <s v="NORTH_AMERICA"/>
    <s v="NO_REGION"/>
    <s v="NORTH_AMERICA_NO_REGION"/>
    <x v="1"/>
    <b v="0"/>
    <b v="0"/>
    <b v="0"/>
    <b v="0"/>
    <b v="0"/>
    <b v="1"/>
    <b v="0"/>
    <b v="0"/>
  </r>
  <r>
    <s v="steam_Netherlands_NRS_11"/>
    <x v="8"/>
    <x v="6"/>
    <s v="WESTERN_EUROPE"/>
    <s v="NO_REGION"/>
    <s v="WESTERN_EUROPE_NO_REGION"/>
    <x v="1"/>
    <b v="0"/>
    <b v="0"/>
    <b v="0"/>
    <b v="1"/>
    <b v="0"/>
    <b v="0"/>
    <b v="0"/>
    <b v="0"/>
  </r>
  <r>
    <s v="steam_UK_GWR_Iron_DUKe_Class"/>
    <x v="8"/>
    <x v="7"/>
    <s v="NORTHERN_EUROPE"/>
    <s v="NO_REGION"/>
    <s v="NORTHERN_EUROPE_NO_REGION"/>
    <x v="1"/>
    <b v="0"/>
    <b v="0"/>
    <b v="0"/>
    <b v="0"/>
    <b v="1"/>
    <b v="0"/>
    <b v="0"/>
    <b v="0"/>
  </r>
  <r>
    <s v="steam_Australia_Sidney_Railway_Locomotive_No1"/>
    <x v="8"/>
    <x v="5"/>
    <s v="OCEANIA"/>
    <s v="NO_REGION"/>
    <s v="OCEANIA_NO_REGION"/>
    <x v="1"/>
    <b v="0"/>
    <b v="0"/>
    <b v="0"/>
    <b v="0"/>
    <b v="0"/>
    <b v="0"/>
    <b v="0"/>
    <b v="1"/>
  </r>
  <r>
    <s v="steam_USA_Central_Pacific_4_2_2"/>
    <x v="9"/>
    <x v="6"/>
    <s v="NORTH_AMERICA"/>
    <s v="NO_REGION"/>
    <s v="NORTH_AMERICA_NO_REGION"/>
    <x v="1"/>
    <b v="0"/>
    <b v="0"/>
    <b v="0"/>
    <b v="0"/>
    <b v="0"/>
    <b v="1"/>
    <b v="0"/>
    <b v="0"/>
  </r>
  <r>
    <s v="steam_Netherlands_NS_700"/>
    <x v="9"/>
    <x v="6"/>
    <s v="WESTERN_EUROPE"/>
    <s v="NO_REGION"/>
    <s v="WESTERN_EUROPE_NO_REGION"/>
    <x v="1"/>
    <b v="0"/>
    <b v="0"/>
    <b v="0"/>
    <b v="1"/>
    <b v="0"/>
    <b v="0"/>
    <b v="0"/>
    <b v="0"/>
  </r>
  <r>
    <s v="steam_South_Africa_Natal_Government_Railways_2_6_0T"/>
    <x v="9"/>
    <x v="5"/>
    <s v="AFRICA"/>
    <s v="NO_REGION"/>
    <s v="AFRICA_NO_REGION"/>
    <x v="0"/>
    <b v="0"/>
    <b v="0"/>
    <b v="0"/>
    <b v="0"/>
    <b v="0"/>
    <b v="0"/>
    <b v="0"/>
    <b v="0"/>
  </r>
  <r>
    <s v="steam_Australia_NSWGR_Z25_Class"/>
    <x v="2"/>
    <x v="6"/>
    <s v="OCEANIA"/>
    <s v="NO_REGION"/>
    <s v="OCEANIA_NO_REGION"/>
    <x v="1"/>
    <b v="0"/>
    <b v="0"/>
    <b v="0"/>
    <b v="0"/>
    <b v="0"/>
    <b v="0"/>
    <b v="0"/>
    <b v="1"/>
  </r>
  <r>
    <s v="steam_Canada_Canadian_Pacific_374"/>
    <x v="2"/>
    <x v="6"/>
    <s v="NORTH_AMERICA"/>
    <s v="NO_REGION"/>
    <s v="NORTH_AMERICA_NO_REGION"/>
    <x v="1"/>
    <b v="0"/>
    <b v="0"/>
    <b v="0"/>
    <b v="0"/>
    <b v="0"/>
    <b v="1"/>
    <b v="0"/>
    <b v="0"/>
  </r>
  <r>
    <s v="steam_South_Africa_PPR_35_tonner_4_6_0T"/>
    <x v="2"/>
    <x v="5"/>
    <s v="AFRICA"/>
    <s v="NO_REGION"/>
    <s v="AFRICA_NO_REGION"/>
    <x v="0"/>
    <b v="0"/>
    <b v="0"/>
    <b v="0"/>
    <b v="0"/>
    <b v="0"/>
    <b v="0"/>
    <b v="0"/>
    <b v="0"/>
  </r>
  <r>
    <s v="steam_Spain_RENFE_Class_040"/>
    <x v="2"/>
    <x v="5"/>
    <s v="SOUTHERN_EUROPE"/>
    <s v="NO_REGION"/>
    <s v="SOUTHERN_EUROPE_NO_REGION"/>
    <x v="1"/>
    <b v="0"/>
    <b v="1"/>
    <b v="0"/>
    <b v="0"/>
    <b v="0"/>
    <b v="0"/>
    <b v="0"/>
    <b v="0"/>
  </r>
  <r>
    <s v="steam_Germany_Saxon_IV_K"/>
    <x v="2"/>
    <x v="5"/>
    <s v="WESTERN_EUROPE"/>
    <s v="NO_REGION"/>
    <s v="WESTERN_EUROPE_NO_REGION"/>
    <x v="1"/>
    <b v="0"/>
    <b v="0"/>
    <b v="0"/>
    <b v="1"/>
    <b v="0"/>
    <b v="0"/>
    <b v="0"/>
    <b v="0"/>
  </r>
  <r>
    <s v="steam_Germany_Prussian_S_3"/>
    <x v="2"/>
    <x v="6"/>
    <s v="WESTERN_EUROPE"/>
    <s v="NO_REGION"/>
    <s v="WESTERN_EUROPE_NO_REGION"/>
    <x v="1"/>
    <b v="0"/>
    <b v="0"/>
    <b v="0"/>
    <b v="1"/>
    <b v="0"/>
    <b v="0"/>
    <b v="0"/>
    <b v="0"/>
  </r>
  <r>
    <s v="steam_Norway_NSB_Class_XXI"/>
    <x v="2"/>
    <x v="5"/>
    <s v="NORTHERN_EUROPE"/>
    <s v="NO_REGION"/>
    <s v="NORTHERN_EUROPE_NO_REGION"/>
    <x v="1"/>
    <b v="0"/>
    <b v="0"/>
    <b v="0"/>
    <b v="0"/>
    <b v="1"/>
    <b v="0"/>
    <b v="0"/>
    <b v="0"/>
  </r>
  <r>
    <s v="steam_USA_PRR_D16"/>
    <x v="2"/>
    <x v="7"/>
    <s v="NORTH_AMERICA"/>
    <s v="NO_REGION"/>
    <s v="NORTH_AMERICA_NO_REGION"/>
    <x v="1"/>
    <b v="0"/>
    <b v="0"/>
    <b v="0"/>
    <b v="0"/>
    <b v="0"/>
    <b v="1"/>
    <b v="0"/>
    <b v="0"/>
  </r>
  <r>
    <s v="steam_Netherlands_NS_8100"/>
    <x v="1"/>
    <x v="5"/>
    <s v="WESTERN_EUROPE"/>
    <s v="NO_REGION"/>
    <s v="WESTERN_EUROPE_NO_REGION"/>
    <x v="1"/>
    <b v="0"/>
    <b v="0"/>
    <b v="0"/>
    <b v="1"/>
    <b v="0"/>
    <b v="0"/>
    <b v="0"/>
    <b v="0"/>
  </r>
  <r>
    <s v="steam_South_Africa_SAR_MD_Class"/>
    <x v="1"/>
    <x v="8"/>
    <s v="AFRICA"/>
    <s v="NO_REGION"/>
    <s v="AFRICA_NO_REGION"/>
    <x v="0"/>
    <b v="0"/>
    <b v="0"/>
    <b v="0"/>
    <b v="0"/>
    <b v="0"/>
    <b v="0"/>
    <b v="0"/>
    <b v="0"/>
  </r>
  <r>
    <s v="steam_Angola_South_West_African_2_8_0"/>
    <x v="1"/>
    <x v="5"/>
    <s v="AFRICA"/>
    <s v="NO_REGION"/>
    <s v="AFRICA_NO_REGION"/>
    <x v="0"/>
    <b v="0"/>
    <b v="0"/>
    <b v="0"/>
    <b v="0"/>
    <b v="0"/>
    <b v="0"/>
    <b v="0"/>
    <b v="0"/>
  </r>
  <r>
    <s v="steam_UK_LNER_N7"/>
    <x v="1"/>
    <x v="6"/>
    <s v="NORTHERN_EUROPE"/>
    <s v="NO_REGION"/>
    <s v="NORTHERN_EUROPE_NO_REGION"/>
    <x v="1"/>
    <b v="0"/>
    <b v="0"/>
    <b v="0"/>
    <b v="0"/>
    <b v="1"/>
    <b v="0"/>
    <b v="0"/>
    <b v="0"/>
  </r>
  <r>
    <s v="steam_Germany_Saxon_XX_HV"/>
    <x v="1"/>
    <x v="8"/>
    <s v="WESTERN_EUROPE"/>
    <s v="NO_REGION"/>
    <s v="WESTERN_EUROPE_NO_REGION"/>
    <x v="1"/>
    <b v="0"/>
    <b v="0"/>
    <b v="0"/>
    <b v="1"/>
    <b v="0"/>
    <b v="0"/>
    <b v="0"/>
    <b v="0"/>
  </r>
  <r>
    <s v="steam_Belgium_NMBS_Type_7"/>
    <x v="3"/>
    <x v="6"/>
    <s v="WESTERN_EUROPE"/>
    <s v="NO_REGION"/>
    <s v="WESTERN_EUROPE_NO_REGION"/>
    <x v="1"/>
    <b v="0"/>
    <b v="0"/>
    <b v="0"/>
    <b v="1"/>
    <b v="0"/>
    <b v="0"/>
    <b v="0"/>
    <b v="0"/>
  </r>
  <r>
    <s v="steam_Ireland_DSER_15"/>
    <x v="3"/>
    <x v="7"/>
    <s v="NORTHERN_EUROPE"/>
    <s v="NO_REGION"/>
    <s v="NORTHERN_EUROPE_NO_REGION"/>
    <x v="1"/>
    <b v="0"/>
    <b v="0"/>
    <b v="0"/>
    <b v="0"/>
    <b v="1"/>
    <b v="0"/>
    <b v="0"/>
    <b v="0"/>
  </r>
  <r>
    <s v="steam_USA_Sierra_Railroad_28"/>
    <x v="3"/>
    <x v="6"/>
    <s v="NORTH_AMERICA"/>
    <s v="NO_REGION"/>
    <s v="NORTH_AMERICA_NO_REGION"/>
    <x v="1"/>
    <b v="0"/>
    <b v="0"/>
    <b v="0"/>
    <b v="0"/>
    <b v="0"/>
    <b v="1"/>
    <b v="0"/>
    <b v="0"/>
  </r>
  <r>
    <s v="steam_Canada_CN_U_1_Class"/>
    <x v="3"/>
    <x v="7"/>
    <s v="NORTH_AMERICA"/>
    <s v="NO_REGION"/>
    <s v="NORTH_AMERICA_NO_REGION"/>
    <x v="1"/>
    <b v="0"/>
    <b v="0"/>
    <b v="0"/>
    <b v="0"/>
    <b v="0"/>
    <b v="1"/>
    <b v="0"/>
    <b v="0"/>
  </r>
  <r>
    <s v="steam_India_Indian_Railways_XB_Class"/>
    <x v="3"/>
    <x v="8"/>
    <s v="ASIA"/>
    <s v="NO_REGION"/>
    <s v="ASIA_NO_REGION"/>
    <x v="1"/>
    <b v="1"/>
    <b v="0"/>
    <b v="0"/>
    <b v="0"/>
    <b v="0"/>
    <b v="0"/>
    <b v="0"/>
    <b v="0"/>
  </r>
  <r>
    <s v="steam_Iraq_Iraqi_State_Railways_PC_Class"/>
    <x v="4"/>
    <x v="8"/>
    <s v="ASIA"/>
    <s v="NO_REGION"/>
    <s v="ASIA_NO_REGION"/>
    <x v="1"/>
    <b v="1"/>
    <b v="0"/>
    <b v="0"/>
    <b v="0"/>
    <b v="0"/>
    <b v="0"/>
    <b v="0"/>
    <b v="0"/>
  </r>
  <r>
    <s v="steam_Egypt_ENR_1100"/>
    <x v="4"/>
    <x v="6"/>
    <s v="AFRICA"/>
    <s v="NO_REGION"/>
    <s v="AFRICA_NO_REGION"/>
    <x v="0"/>
    <b v="0"/>
    <b v="0"/>
    <b v="0"/>
    <b v="0"/>
    <b v="0"/>
    <b v="0"/>
    <b v="0"/>
    <b v="0"/>
  </r>
  <r>
    <s v="steam_UK_GWR_1600_Class"/>
    <x v="4"/>
    <x v="6"/>
    <s v="NORTHERN_EUROPE"/>
    <s v="NO_REGION"/>
    <s v="NORTHERN_EUROPE_NO_REGION"/>
    <x v="1"/>
    <b v="0"/>
    <b v="0"/>
    <b v="0"/>
    <b v="0"/>
    <b v="1"/>
    <b v="0"/>
    <b v="0"/>
    <b v="0"/>
  </r>
  <r>
    <s v="steam_Australia_Victorian_Railways_R_Class"/>
    <x v="4"/>
    <x v="7"/>
    <s v="OCEANIA"/>
    <s v="NO_REGION"/>
    <s v="OCEANIA_NO_REGION"/>
    <x v="1"/>
    <b v="0"/>
    <b v="0"/>
    <b v="0"/>
    <b v="0"/>
    <b v="0"/>
    <b v="0"/>
    <b v="0"/>
    <b v="1"/>
  </r>
  <r>
    <s v="steam_Germany_DB_9977_79"/>
    <x v="4"/>
    <x v="5"/>
    <s v="WESTERN_EUROPE"/>
    <s v="NO_REGION"/>
    <s v="WESTERN_EUROPE_NO_REGION"/>
    <x v="1"/>
    <b v="0"/>
    <b v="0"/>
    <b v="0"/>
    <b v="1"/>
    <b v="0"/>
    <b v="0"/>
    <b v="0"/>
    <b v="0"/>
  </r>
  <r>
    <s v="steam_Germany_DB_18_201"/>
    <x v="6"/>
    <x v="7"/>
    <s v="WESTERN_EUROPE"/>
    <s v="NO_REGION"/>
    <s v="WESTERN_EUROPE_NO_REGION"/>
    <x v="1"/>
    <b v="0"/>
    <b v="0"/>
    <b v="0"/>
    <b v="1"/>
    <b v="0"/>
    <b v="0"/>
    <b v="0"/>
    <b v="0"/>
  </r>
  <r>
    <s v="steam_New_Zealand_NZR_WAB"/>
    <x v="3"/>
    <x v="2"/>
    <s v="OCEANIA"/>
    <s v="NO_REGION"/>
    <s v="OCEANIA_NO_REGION"/>
    <x v="1"/>
    <b v="0"/>
    <b v="0"/>
    <b v="0"/>
    <b v="0"/>
    <b v="0"/>
    <b v="0"/>
    <b v="0"/>
    <b v="1"/>
  </r>
  <r>
    <s v="steam_Australia_NSWGR_D57"/>
    <x v="3"/>
    <x v="8"/>
    <s v="OCEANIA"/>
    <s v="NO_REGION"/>
    <s v="OCEANIA_NO_REGION"/>
    <x v="1"/>
    <b v="0"/>
    <b v="0"/>
    <b v="0"/>
    <b v="0"/>
    <b v="0"/>
    <b v="0"/>
    <b v="0"/>
    <b v="1"/>
  </r>
  <r>
    <s v="steam_Australia_South_Australian_Railways_520"/>
    <x v="4"/>
    <x v="8"/>
    <s v="OCEANIA"/>
    <s v="NO_REGION"/>
    <s v="OCEANIA_NO_REGION"/>
    <x v="1"/>
    <b v="0"/>
    <b v="0"/>
    <b v="0"/>
    <b v="0"/>
    <b v="0"/>
    <b v="0"/>
    <b v="0"/>
    <b v="1"/>
  </r>
  <r>
    <s v="steam_Australia_NSWGR_AD60"/>
    <x v="4"/>
    <x v="8"/>
    <s v="OCEANIA"/>
    <s v="NO_REGION"/>
    <s v="OCEANIA_NO_REGION"/>
    <x v="1"/>
    <b v="0"/>
    <b v="0"/>
    <b v="0"/>
    <b v="0"/>
    <b v="0"/>
    <b v="0"/>
    <b v="0"/>
    <b v="1"/>
  </r>
  <r>
    <s v="steam_Uruguay_AFE_N1_2_6_0"/>
    <x v="1"/>
    <x v="2"/>
    <s v="SOUTH_AMERICA"/>
    <s v="NO_REGION"/>
    <s v="SOUTH_AMERICA_NO_REGION"/>
    <x v="1"/>
    <b v="0"/>
    <b v="0"/>
    <b v="0"/>
    <b v="0"/>
    <b v="0"/>
    <b v="0"/>
    <b v="1"/>
    <b v="0"/>
  </r>
  <r>
    <s v="steam_Argentina_FCCA_PS11"/>
    <x v="3"/>
    <x v="7"/>
    <s v="SOUTH_AMERICA"/>
    <s v="NO_REGION"/>
    <s v="SOUTH_AMERICA_NO_REGION"/>
    <x v="1"/>
    <b v="0"/>
    <b v="0"/>
    <b v="0"/>
    <b v="0"/>
    <b v="0"/>
    <b v="0"/>
    <b v="1"/>
    <b v="0"/>
  </r>
  <r>
    <s v="steam_South_Africa_Harbour_Board_EL_0_4_0"/>
    <x v="9"/>
    <x v="5"/>
    <s v="AFRICA"/>
    <s v="NO_REGION"/>
    <s v="AFRICA_NO_REGION"/>
    <x v="0"/>
    <b v="0"/>
    <b v="0"/>
    <b v="0"/>
    <b v="0"/>
    <b v="0"/>
    <b v="0"/>
    <b v="0"/>
    <b v="0"/>
  </r>
  <r>
    <s v="steam_Mozambique_Beira_Railway_BR6_F2_Falcon"/>
    <x v="2"/>
    <x v="5"/>
    <s v="AFRICA"/>
    <s v="NO_REGION"/>
    <s v="AFRICA_NO_REGION"/>
    <x v="0"/>
    <b v="0"/>
    <b v="0"/>
    <b v="0"/>
    <b v="0"/>
    <b v="0"/>
    <b v="0"/>
    <b v="0"/>
    <b v="0"/>
  </r>
  <r>
    <s v="steam_Eritrea_Eritrean_Railway_R440"/>
    <x v="1"/>
    <x v="5"/>
    <s v="AFRICA"/>
    <s v="NO_REGION"/>
    <s v="AFRICA_NO_REGION"/>
    <x v="0"/>
    <b v="0"/>
    <b v="0"/>
    <b v="0"/>
    <b v="0"/>
    <b v="0"/>
    <b v="0"/>
    <b v="0"/>
    <b v="0"/>
  </r>
  <r>
    <s v="steam_Kenya_East_African_Railway_23"/>
    <x v="3"/>
    <x v="2"/>
    <s v="AFRICA"/>
    <s v="NO_REGION"/>
    <s v="AFRICA_NO_REGION"/>
    <x v="0"/>
    <b v="0"/>
    <b v="0"/>
    <b v="0"/>
    <b v="0"/>
    <b v="0"/>
    <b v="0"/>
    <b v="0"/>
    <b v="0"/>
  </r>
  <r>
    <s v="steam_Kenya_East_African_Railway_21"/>
    <x v="3"/>
    <x v="2"/>
    <s v="AFRICA"/>
    <s v="NO_REGION"/>
    <s v="AFRICA_NO_REGION"/>
    <x v="0"/>
    <b v="0"/>
    <b v="0"/>
    <b v="0"/>
    <b v="0"/>
    <b v="0"/>
    <b v="0"/>
    <b v="0"/>
    <b v="0"/>
  </r>
  <r>
    <s v="steam_Zimbabwe_Zimbabwe_Railways_15"/>
    <x v="4"/>
    <x v="8"/>
    <s v="AFRICA"/>
    <s v="NO_REGION"/>
    <s v="AFRICA_NO_REGION"/>
    <x v="0"/>
    <b v="0"/>
    <b v="0"/>
    <b v="0"/>
    <b v="0"/>
    <b v="0"/>
    <b v="0"/>
    <b v="0"/>
    <b v="0"/>
  </r>
  <r>
    <s v="steam_South_Africa_SAR_GMA_4_8_2_2_8_4"/>
    <x v="4"/>
    <x v="8"/>
    <s v="AFRICA"/>
    <s v="NO_REGION"/>
    <s v="AFRICA_NO_REGION"/>
    <x v="0"/>
    <b v="0"/>
    <b v="0"/>
    <b v="0"/>
    <b v="0"/>
    <b v="0"/>
    <b v="0"/>
    <b v="0"/>
    <b v="0"/>
  </r>
  <r>
    <s v="steam_Kenya_East_African_Railway_31"/>
    <x v="4"/>
    <x v="2"/>
    <s v="AFRICA"/>
    <s v="NO_REGION"/>
    <s v="AFRICA_NO_REGION"/>
    <x v="0"/>
    <b v="0"/>
    <b v="0"/>
    <b v="0"/>
    <b v="0"/>
    <b v="0"/>
    <b v="0"/>
    <b v="0"/>
    <b v="0"/>
  </r>
  <r>
    <s v="steam_India_Fairy_Queen"/>
    <x v="8"/>
    <x v="5"/>
    <s v="ASIA"/>
    <s v="NO_REGION"/>
    <s v="ASIA_NO_REGION"/>
    <x v="1"/>
    <b v="1"/>
    <b v="0"/>
    <b v="0"/>
    <b v="0"/>
    <b v="0"/>
    <b v="0"/>
    <b v="0"/>
    <b v="0"/>
  </r>
  <r>
    <s v="steam_India_DHR_B"/>
    <x v="2"/>
    <x v="5"/>
    <s v="ASIA"/>
    <s v="NO_REGION"/>
    <s v="ASIA_NO_REGION"/>
    <x v="1"/>
    <b v="1"/>
    <b v="0"/>
    <b v="0"/>
    <b v="0"/>
    <b v="0"/>
    <b v="0"/>
    <b v="0"/>
    <b v="0"/>
  </r>
  <r>
    <s v="steam_China_China_Railways_H"/>
    <x v="2"/>
    <x v="2"/>
    <s v="ASIA"/>
    <s v="NO_REGION"/>
    <s v="ASIA_NO_REGION"/>
    <x v="1"/>
    <b v="1"/>
    <b v="0"/>
    <b v="0"/>
    <b v="0"/>
    <b v="0"/>
    <b v="0"/>
    <b v="0"/>
    <b v="0"/>
  </r>
  <r>
    <s v="steam_Russia_RZD_U"/>
    <x v="1"/>
    <x v="2"/>
    <s v="ASIA"/>
    <s v="NO_REGION"/>
    <s v="ASIA_NO_REGION"/>
    <x v="1"/>
    <b v="1"/>
    <b v="0"/>
    <b v="0"/>
    <b v="0"/>
    <b v="0"/>
    <b v="0"/>
    <b v="0"/>
    <b v="0"/>
  </r>
  <r>
    <s v="steam_Russia_RZD_E"/>
    <x v="1"/>
    <x v="8"/>
    <s v="ASIA"/>
    <s v="NO_REGION"/>
    <s v="ASIA_NO_REGION"/>
    <x v="1"/>
    <b v="1"/>
    <b v="0"/>
    <b v="0"/>
    <b v="0"/>
    <b v="0"/>
    <b v="0"/>
    <b v="0"/>
    <b v="0"/>
  </r>
  <r>
    <s v="steam_Israel_Israel_Railways_H"/>
    <x v="1"/>
    <x v="2"/>
    <s v="ASIA"/>
    <s v="NO_REGION"/>
    <s v="ASIA_NO_REGION"/>
    <x v="1"/>
    <b v="1"/>
    <b v="0"/>
    <b v="0"/>
    <b v="0"/>
    <b v="0"/>
    <b v="0"/>
    <b v="0"/>
    <b v="0"/>
  </r>
  <r>
    <s v="steam_Italy_FS_480"/>
    <x v="3"/>
    <x v="2"/>
    <s v="SOUTHERN_EUROPE"/>
    <s v="NO_REGION"/>
    <s v="SOUTHERN_EUROPE_NO_REGION"/>
    <x v="1"/>
    <b v="0"/>
    <b v="1"/>
    <b v="0"/>
    <b v="0"/>
    <b v="0"/>
    <b v="0"/>
    <b v="0"/>
    <b v="0"/>
  </r>
  <r>
    <s v="steam_Italy_FS_691"/>
    <x v="3"/>
    <x v="7"/>
    <s v="SOUTHERN_EUROPE"/>
    <s v="NO_REGION"/>
    <s v="SOUTHERN_EUROPE_NO_REGION"/>
    <x v="1"/>
    <b v="0"/>
    <b v="1"/>
    <b v="0"/>
    <b v="0"/>
    <b v="0"/>
    <b v="0"/>
    <b v="0"/>
    <b v="0"/>
  </r>
  <r>
    <s v="steam_Greece_SEK_Lb"/>
    <x v="4"/>
    <x v="2"/>
    <s v="SOUTHERN_EUROPE"/>
    <s v="NO_REGION"/>
    <s v="SOUTHERN_EUROPE_NO_REGION"/>
    <x v="1"/>
    <b v="0"/>
    <b v="1"/>
    <b v="0"/>
    <b v="0"/>
    <b v="0"/>
    <b v="0"/>
    <b v="0"/>
    <b v="0"/>
  </r>
  <r>
    <s v="steam_Albania_HSH_01"/>
    <x v="4"/>
    <x v="2"/>
    <s v="SOUTHERN_EUROPE"/>
    <s v="NO_REGION"/>
    <s v="SOUTHERN_EUROPE_NO_REGION"/>
    <x v="1"/>
    <b v="0"/>
    <b v="1"/>
    <b v="0"/>
    <b v="0"/>
    <b v="0"/>
    <b v="0"/>
    <b v="0"/>
    <b v="0"/>
  </r>
  <r>
    <s v="steam_Spain_RENFE_242F"/>
    <x v="4"/>
    <x v="7"/>
    <s v="SOUTHERN_EUROPE"/>
    <s v="NO_REGION"/>
    <s v="SOUTHERN_EUROPE_NO_REGION"/>
    <x v="1"/>
    <b v="0"/>
    <b v="1"/>
    <b v="0"/>
    <b v="0"/>
    <b v="0"/>
    <b v="0"/>
    <b v="0"/>
    <b v="0"/>
  </r>
  <r>
    <s v="steam_Czech_Republic_CD_5341"/>
    <x v="1"/>
    <x v="2"/>
    <s v="EASTERN_EUROPE"/>
    <s v="NO_REGION"/>
    <s v="EASTERN_EUROPE_NO_REGION"/>
    <x v="1"/>
    <b v="0"/>
    <b v="0"/>
    <b v="1"/>
    <b v="0"/>
    <b v="0"/>
    <b v="0"/>
    <b v="0"/>
    <b v="0"/>
  </r>
  <r>
    <s v="steam_Poland_PKP_Ok22"/>
    <x v="3"/>
    <x v="2"/>
    <s v="EASTERN_EUROPE"/>
    <s v="NO_REGION"/>
    <s v="EASTERN_EUROPE_NO_REGION"/>
    <x v="1"/>
    <b v="0"/>
    <b v="0"/>
    <b v="1"/>
    <b v="0"/>
    <b v="0"/>
    <b v="0"/>
    <b v="0"/>
    <b v="0"/>
  </r>
  <r>
    <s v="steam_Croatia_HZ_11"/>
    <x v="3"/>
    <x v="8"/>
    <s v="EASTERN_EUROPE"/>
    <s v="NO_REGION"/>
    <s v="EASTERN_EUROPE_NO_REGION"/>
    <x v="1"/>
    <b v="0"/>
    <b v="0"/>
    <b v="1"/>
    <b v="0"/>
    <b v="0"/>
    <b v="0"/>
    <b v="0"/>
    <b v="0"/>
  </r>
  <r>
    <s v="steam_Hungary_MAV_242"/>
    <x v="3"/>
    <x v="7"/>
    <s v="EASTERN_EUROPE"/>
    <s v="NO_REGION"/>
    <s v="EASTERN_EUROPE_NO_REGION"/>
    <x v="1"/>
    <b v="0"/>
    <b v="0"/>
    <b v="1"/>
    <b v="0"/>
    <b v="0"/>
    <b v="0"/>
    <b v="0"/>
    <b v="0"/>
  </r>
  <r>
    <s v="steam_Czech_Republic_CD_4590"/>
    <x v="4"/>
    <x v="8"/>
    <s v="EASTERN_EUROPE"/>
    <s v="NO_REGION"/>
    <s v="EASTERN_EUROPE_NO_REGION"/>
    <x v="1"/>
    <b v="0"/>
    <b v="0"/>
    <b v="1"/>
    <b v="0"/>
    <b v="0"/>
    <b v="0"/>
    <b v="0"/>
    <b v="0"/>
  </r>
  <r>
    <s v="steam_Poland_PKP_OI49"/>
    <x v="4"/>
    <x v="8"/>
    <s v="EASTERN_EUROPE"/>
    <s v="NO_REGION"/>
    <s v="EASTERN_EUROPE_NO_REGION"/>
    <x v="1"/>
    <b v="0"/>
    <b v="0"/>
    <b v="1"/>
    <b v="0"/>
    <b v="0"/>
    <b v="0"/>
    <b v="0"/>
    <b v="0"/>
  </r>
  <r>
    <s v="steam_Austria_KKStB_310"/>
    <x v="1"/>
    <x v="2"/>
    <s v="WESTERN_EUROPE"/>
    <s v="NO_REGION"/>
    <s v="WESTERN_EUROPE_NO_REGION"/>
    <x v="1"/>
    <b v="0"/>
    <b v="0"/>
    <b v="0"/>
    <b v="1"/>
    <b v="0"/>
    <b v="0"/>
    <b v="0"/>
    <b v="0"/>
  </r>
  <r>
    <s v="steam_USA_Southern_Pacific_GS_4_Daylight"/>
    <x v="4"/>
    <x v="7"/>
    <s v="NORTH_AMERICA"/>
    <s v="NO_REGION"/>
    <s v="NORTH_AMERICA_NO_REGION"/>
    <x v="1"/>
    <b v="0"/>
    <b v="0"/>
    <b v="0"/>
    <b v="0"/>
    <b v="0"/>
    <b v="1"/>
    <b v="0"/>
    <b v="0"/>
  </r>
  <r>
    <s v="steam_Ireland_GS_WR_101"/>
    <x v="9"/>
    <x v="5"/>
    <s v="NORTHERN_EUROPE"/>
    <s v="NO_REGION"/>
    <s v="NORTHERN_EUROPE_NO_REGION"/>
    <x v="1"/>
    <b v="0"/>
    <b v="0"/>
    <b v="0"/>
    <b v="0"/>
    <b v="1"/>
    <b v="0"/>
    <b v="0"/>
    <b v="0"/>
  </r>
  <r>
    <s v="steam_USA_NYC_H_6A_Light_Mikado"/>
    <x v="1"/>
    <x v="8"/>
    <s v="NORTH_AMERICA"/>
    <s v="NO_REGION"/>
    <s v="NORTH_AMERICA_NO_REGION"/>
    <x v="1"/>
    <b v="0"/>
    <b v="0"/>
    <b v="0"/>
    <b v="0"/>
    <b v="0"/>
    <b v="1"/>
    <b v="0"/>
    <b v="0"/>
  </r>
  <r>
    <s v="steam_Argentina_FCGR_315"/>
    <x v="9"/>
    <x v="5"/>
    <s v="SOUTH_AMERICA"/>
    <s v="NO_REGION"/>
    <s v="SOUTH_AMERICA_NO_REGION"/>
    <x v="1"/>
    <b v="0"/>
    <b v="0"/>
    <b v="0"/>
    <b v="0"/>
    <b v="0"/>
    <b v="0"/>
    <b v="1"/>
    <b v="0"/>
  </r>
  <r>
    <s v="steam_Australia_NSWGR_C35"/>
    <x v="1"/>
    <x v="6"/>
    <s v="OCEANIA"/>
    <s v="NO_REGION"/>
    <s v="OCEANIA_NO_REGION"/>
    <x v="1"/>
    <b v="0"/>
    <b v="0"/>
    <b v="0"/>
    <b v="0"/>
    <b v="0"/>
    <b v="0"/>
    <b v="0"/>
    <b v="1"/>
  </r>
  <r>
    <s v="steam_Belgium_NMBS_SNCB_Type_29"/>
    <x v="4"/>
    <x v="6"/>
    <s v="WESTERN_EUROPE"/>
    <s v="NO_REGION"/>
    <s v="WESTERN_EUROPE_NO_REGION"/>
    <x v="1"/>
    <b v="0"/>
    <b v="0"/>
    <b v="0"/>
    <b v="1"/>
    <b v="0"/>
    <b v="0"/>
    <b v="0"/>
    <b v="0"/>
  </r>
  <r>
    <s v="steam_Chile_FCAB_4_8_2"/>
    <x v="4"/>
    <x v="8"/>
    <s v="SOUTH_AMERICA"/>
    <s v="NO_REGION"/>
    <s v="SOUTH_AMERICA_NO_REGION"/>
    <x v="1"/>
    <b v="0"/>
    <b v="0"/>
    <b v="0"/>
    <b v="0"/>
    <b v="0"/>
    <b v="0"/>
    <b v="1"/>
    <b v="0"/>
  </r>
  <r>
    <s v="steam_China_Railways_QJ"/>
    <x v="4"/>
    <x v="8"/>
    <s v="ASIA"/>
    <s v="NO_REGION"/>
    <s v="ASIA_NO_REGION"/>
    <x v="1"/>
    <b v="1"/>
    <b v="0"/>
    <b v="0"/>
    <b v="0"/>
    <b v="0"/>
    <b v="0"/>
    <b v="0"/>
    <b v="0"/>
  </r>
  <r>
    <s v="diesel_Germany_DB_Kof_II"/>
    <x v="3"/>
    <x v="5"/>
    <s v="WESTERN_EUROPE"/>
    <s v="NO_REGION"/>
    <s v="WESTERN_EUROPE_NO_REGION"/>
    <x v="1"/>
    <b v="0"/>
    <b v="0"/>
    <b v="0"/>
    <b v="1"/>
    <b v="0"/>
    <b v="0"/>
    <b v="0"/>
    <b v="0"/>
  </r>
  <r>
    <s v="diesel_USA_CNJ_ALCo_GE_IR_Boxcab"/>
    <x v="3"/>
    <x v="5"/>
    <s v="NORTH_AMERICA"/>
    <s v="NO_REGION"/>
    <s v="NORTH_AMERICA_NO_REGION"/>
    <x v="1"/>
    <b v="0"/>
    <b v="0"/>
    <b v="0"/>
    <b v="0"/>
    <b v="0"/>
    <b v="1"/>
    <b v="0"/>
    <b v="0"/>
  </r>
  <r>
    <s v="diesel_Netherlands_NS_200"/>
    <x v="3"/>
    <x v="5"/>
    <s v="WESTERN_EUROPE"/>
    <s v="NO_REGION"/>
    <s v="WESTERN_EUROPE_NO_REGION"/>
    <x v="1"/>
    <b v="0"/>
    <b v="0"/>
    <b v="0"/>
    <b v="1"/>
    <b v="0"/>
    <b v="0"/>
    <b v="0"/>
    <b v="0"/>
  </r>
  <r>
    <s v="diesel_Germany_DB_270"/>
    <x v="3"/>
    <x v="5"/>
    <s v="WESTERN_EUROPE"/>
    <s v="NO_REGION"/>
    <s v="WESTERN_EUROPE_NO_REGION"/>
    <x v="1"/>
    <b v="0"/>
    <b v="0"/>
    <b v="0"/>
    <b v="1"/>
    <b v="0"/>
    <b v="0"/>
    <b v="0"/>
    <b v="0"/>
  </r>
  <r>
    <s v="diesel_Switzerland_SBB_Am_4_6"/>
    <x v="4"/>
    <x v="6"/>
    <s v="WESTERN_EUROPE"/>
    <s v="NO_REGION"/>
    <s v="WESTERN_EUROPE_NO_REGION"/>
    <x v="1"/>
    <b v="0"/>
    <b v="0"/>
    <b v="0"/>
    <b v="1"/>
    <b v="0"/>
    <b v="0"/>
    <b v="0"/>
    <b v="0"/>
  </r>
  <r>
    <s v="diesel_Australia_NSWGR_79"/>
    <x v="4"/>
    <x v="5"/>
    <s v="OCEANIA"/>
    <s v="NO_REGION"/>
    <s v="OCEANIA_NO_REGION"/>
    <x v="1"/>
    <b v="0"/>
    <b v="0"/>
    <b v="0"/>
    <b v="0"/>
    <b v="0"/>
    <b v="0"/>
    <b v="0"/>
    <b v="1"/>
  </r>
  <r>
    <s v="diesel_USA_Western_Pacific_ALCO_S_2"/>
    <x v="4"/>
    <x v="6"/>
    <s v="NORTH_AMERICA"/>
    <s v="NO_REGION"/>
    <s v="NORTH_AMERICA_NO_REGION"/>
    <x v="1"/>
    <b v="0"/>
    <b v="0"/>
    <b v="0"/>
    <b v="0"/>
    <b v="0"/>
    <b v="1"/>
    <b v="0"/>
    <b v="0"/>
  </r>
  <r>
    <s v="diesel_USA_AT_SF_EMD_F3"/>
    <x v="4"/>
    <x v="7"/>
    <s v="NORTH_AMERICA"/>
    <s v="NO_REGION"/>
    <s v="NORTH_AMERICA_NO_REGION"/>
    <x v="1"/>
    <b v="0"/>
    <b v="0"/>
    <b v="0"/>
    <b v="0"/>
    <b v="0"/>
    <b v="1"/>
    <b v="0"/>
    <b v="0"/>
  </r>
  <r>
    <s v="diesel_USA_UP_EMD_E8"/>
    <x v="4"/>
    <x v="7"/>
    <s v="NORTH_AMERICA"/>
    <s v="NO_REGION"/>
    <s v="NORTH_AMERICA_NO_REGION"/>
    <x v="1"/>
    <b v="0"/>
    <b v="0"/>
    <b v="0"/>
    <b v="0"/>
    <b v="0"/>
    <b v="1"/>
    <b v="0"/>
    <b v="0"/>
  </r>
  <r>
    <s v="diesel_Brazil_EFCB_ALCO_RS_3"/>
    <x v="4"/>
    <x v="6"/>
    <s v="SOUTH_AMERICA"/>
    <s v="NO_REGION"/>
    <s v="SOUTH_AMERICA_NO_REGION"/>
    <x v="1"/>
    <b v="0"/>
    <b v="0"/>
    <b v="0"/>
    <b v="0"/>
    <b v="0"/>
    <b v="0"/>
    <b v="1"/>
    <b v="0"/>
  </r>
  <r>
    <s v="diesel_Netherlands_NS_600"/>
    <x v="4"/>
    <x v="5"/>
    <s v="WESTERN_EUROPE"/>
    <s v="NO_REGION"/>
    <s v="WESTERN_EUROPE_NO_REGION"/>
    <x v="1"/>
    <b v="0"/>
    <b v="0"/>
    <b v="0"/>
    <b v="1"/>
    <b v="0"/>
    <b v="0"/>
    <b v="0"/>
    <b v="0"/>
  </r>
  <r>
    <s v="diesel_USA_Pennsylvania_Railroad_RF_16_Sharknose"/>
    <x v="4"/>
    <x v="6"/>
    <s v="NORTH_AMERICA"/>
    <s v="NO_REGION"/>
    <s v="NORTH_AMERICA_NO_REGION"/>
    <x v="1"/>
    <b v="0"/>
    <b v="0"/>
    <b v="0"/>
    <b v="0"/>
    <b v="0"/>
    <b v="1"/>
    <b v="0"/>
    <b v="0"/>
  </r>
  <r>
    <s v="diesel_Uruguay_AFE_1500"/>
    <x v="4"/>
    <x v="6"/>
    <s v="SOUTH_AMERICA"/>
    <s v="NO_REGION"/>
    <s v="SOUTH_AMERICA_NO_REGION"/>
    <x v="1"/>
    <b v="0"/>
    <b v="0"/>
    <b v="0"/>
    <b v="0"/>
    <b v="0"/>
    <b v="0"/>
    <b v="1"/>
    <b v="0"/>
  </r>
  <r>
    <s v="diesel_Canada_CPR_Trainmaster"/>
    <x v="4"/>
    <x v="8"/>
    <s v="NORTH_AMERICA"/>
    <s v="NO_REGION"/>
    <s v="NORTH_AMERICA_NO_REGION"/>
    <x v="1"/>
    <b v="0"/>
    <b v="0"/>
    <b v="0"/>
    <b v="0"/>
    <b v="0"/>
    <b v="1"/>
    <b v="0"/>
    <b v="0"/>
  </r>
  <r>
    <s v="diesel_Liberia_Liberia_Railways_Class_08"/>
    <x v="4"/>
    <x v="5"/>
    <s v="AFRICA"/>
    <s v="NO_REGION"/>
    <s v="AFRICA_NO_REGION"/>
    <x v="0"/>
    <b v="0"/>
    <b v="0"/>
    <b v="0"/>
    <b v="0"/>
    <b v="0"/>
    <b v="0"/>
    <b v="0"/>
    <b v="0"/>
  </r>
  <r>
    <s v="diesel_Austria_OBB_2060"/>
    <x v="4"/>
    <x v="5"/>
    <s v="WESTERN_EUROPE"/>
    <s v="NO_REGION"/>
    <s v="WESTERN_EUROPE_NO_REGION"/>
    <x v="1"/>
    <b v="0"/>
    <b v="0"/>
    <b v="0"/>
    <b v="1"/>
    <b v="0"/>
    <b v="0"/>
    <b v="0"/>
    <b v="0"/>
  </r>
  <r>
    <s v="diesel_Canada_CNR_SW1200"/>
    <x v="4"/>
    <x v="6"/>
    <s v="NORTH_AMERICA"/>
    <s v="NO_REGION"/>
    <s v="NORTH_AMERICA_NO_REGION"/>
    <x v="1"/>
    <b v="0"/>
    <b v="0"/>
    <b v="0"/>
    <b v="0"/>
    <b v="0"/>
    <b v="1"/>
    <b v="0"/>
    <b v="0"/>
  </r>
  <r>
    <s v="diesel_Canada_VIA_Rail_FP9"/>
    <x v="4"/>
    <x v="6"/>
    <s v="NORTH_AMERICA"/>
    <s v="NO_REGION"/>
    <s v="NORTH_AMERICA_NO_REGION"/>
    <x v="1"/>
    <b v="0"/>
    <b v="0"/>
    <b v="0"/>
    <b v="0"/>
    <b v="0"/>
    <b v="1"/>
    <b v="0"/>
    <b v="0"/>
  </r>
  <r>
    <s v="diesel_Hungary_MAV_M44"/>
    <x v="4"/>
    <x v="6"/>
    <s v="EASTERN_EUROPE"/>
    <s v="NO_REGION"/>
    <s v="EASTERN_EUROPE_NO_REGION"/>
    <x v="1"/>
    <b v="0"/>
    <b v="0"/>
    <b v="1"/>
    <b v="0"/>
    <b v="0"/>
    <b v="0"/>
    <b v="0"/>
    <b v="0"/>
  </r>
  <r>
    <s v="diesel_Hungary_MAV_M28"/>
    <x v="4"/>
    <x v="5"/>
    <s v="EASTERN_EUROPE"/>
    <s v="NO_REGION"/>
    <s v="EASTERN_EUROPE_NO_REGION"/>
    <x v="1"/>
    <b v="0"/>
    <b v="0"/>
    <b v="1"/>
    <b v="0"/>
    <b v="0"/>
    <b v="0"/>
    <b v="0"/>
    <b v="0"/>
  </r>
  <r>
    <s v="diesel_Belgium_NMBS_SNCB_83"/>
    <x v="4"/>
    <x v="5"/>
    <s v="WESTERN_EUROPE"/>
    <s v="NO_REGION"/>
    <s v="WESTERN_EUROPE_NO_REGION"/>
    <x v="1"/>
    <b v="0"/>
    <b v="0"/>
    <b v="0"/>
    <b v="1"/>
    <b v="0"/>
    <b v="0"/>
    <b v="0"/>
    <b v="0"/>
  </r>
  <r>
    <s v="diesel_Germany_DB_220"/>
    <x v="4"/>
    <x v="6"/>
    <s v="WESTERN_EUROPE"/>
    <s v="NO_REGION"/>
    <s v="WESTERN_EUROPE_NO_REGION"/>
    <x v="1"/>
    <b v="0"/>
    <b v="0"/>
    <b v="0"/>
    <b v="1"/>
    <b v="0"/>
    <b v="0"/>
    <b v="0"/>
    <b v="0"/>
  </r>
  <r>
    <s v="diesel_USA_Amtrak_FL9"/>
    <x v="4"/>
    <x v="6"/>
    <s v="NORTH_AMERICA"/>
    <s v="NO_REGION"/>
    <s v="NORTH_AMERICA_NO_REGION"/>
    <x v="1"/>
    <b v="0"/>
    <b v="0"/>
    <b v="0"/>
    <b v="0"/>
    <b v="0"/>
    <b v="1"/>
    <b v="0"/>
    <b v="0"/>
  </r>
  <r>
    <s v="diesel_Czech_Republic_CD_720_ChME2"/>
    <x v="4"/>
    <x v="6"/>
    <s v="EASTERN_EUROPE"/>
    <s v="NO_REGION"/>
    <s v="EASTERN_EUROPE_NO_REGION"/>
    <x v="1"/>
    <b v="0"/>
    <b v="0"/>
    <b v="1"/>
    <b v="0"/>
    <b v="0"/>
    <b v="0"/>
    <b v="0"/>
    <b v="0"/>
  </r>
  <r>
    <s v="diesel_Finland_VR_Dr12"/>
    <x v="4"/>
    <x v="6"/>
    <s v="NORTHERN_EUROPE"/>
    <s v="NO_REGION"/>
    <s v="NORTHERN_EUROPE_NO_REGION"/>
    <x v="1"/>
    <b v="0"/>
    <b v="0"/>
    <b v="0"/>
    <b v="0"/>
    <b v="1"/>
    <b v="0"/>
    <b v="0"/>
    <b v="0"/>
  </r>
  <r>
    <s v="diesel_Romania_CFR_060_DA"/>
    <x v="4"/>
    <x v="6"/>
    <s v="EASTERN_EUROPE"/>
    <s v="NO_REGION"/>
    <s v="EASTERN_EUROPE_NO_REGION"/>
    <x v="1"/>
    <b v="0"/>
    <b v="0"/>
    <b v="1"/>
    <b v="0"/>
    <b v="0"/>
    <b v="0"/>
    <b v="0"/>
    <b v="0"/>
  </r>
  <r>
    <s v="diesel_Brazil_BF_EMD_GL8"/>
    <x v="6"/>
    <x v="6"/>
    <s v="SOUTH_AMERICA"/>
    <s v="NO_REGION"/>
    <s v="SOUTH_AMERICA_NO_REGION"/>
    <x v="1"/>
    <b v="0"/>
    <b v="0"/>
    <b v="0"/>
    <b v="0"/>
    <b v="0"/>
    <b v="0"/>
    <b v="1"/>
    <b v="0"/>
  </r>
  <r>
    <s v="diesel_Brazil_EFVM_ML4000"/>
    <x v="6"/>
    <x v="8"/>
    <s v="SOUTH_AMERICA"/>
    <s v="NO_REGION"/>
    <s v="SOUTH_AMERICA_NO_REGION"/>
    <x v="1"/>
    <b v="0"/>
    <b v="0"/>
    <b v="0"/>
    <b v="0"/>
    <b v="0"/>
    <b v="0"/>
    <b v="1"/>
    <b v="0"/>
  </r>
  <r>
    <s v="diesel_Russia_RZD_TEP60"/>
    <x v="6"/>
    <x v="7"/>
    <s v="ASIA"/>
    <s v="NO_REGION"/>
    <s v="ASIA_NO_REGION"/>
    <x v="1"/>
    <b v="1"/>
    <b v="0"/>
    <b v="0"/>
    <b v="0"/>
    <b v="0"/>
    <b v="0"/>
    <b v="0"/>
    <b v="0"/>
  </r>
  <r>
    <s v="diesel_Belgium_NMBS_SNCB_62"/>
    <x v="6"/>
    <x v="6"/>
    <s v="WESTERN_EUROPE"/>
    <s v="NO_REGION"/>
    <s v="WESTERN_EUROPE_NO_REGION"/>
    <x v="1"/>
    <b v="0"/>
    <b v="0"/>
    <b v="0"/>
    <b v="1"/>
    <b v="0"/>
    <b v="0"/>
    <b v="0"/>
    <b v="0"/>
  </r>
  <r>
    <s v="diesel_Denmark_DSB_MaK_100"/>
    <x v="6"/>
    <x v="5"/>
    <s v="NORTHERN_EUROPE"/>
    <s v="NO_REGION"/>
    <s v="NORTHERN_EUROPE_NO_REGION"/>
    <x v="1"/>
    <b v="0"/>
    <b v="0"/>
    <b v="0"/>
    <b v="0"/>
    <b v="1"/>
    <b v="0"/>
    <b v="0"/>
    <b v="0"/>
  </r>
  <r>
    <s v="diesel_India_Indian_Railways_WDM_2"/>
    <x v="6"/>
    <x v="6"/>
    <s v="ASIA"/>
    <s v="NO_REGION"/>
    <s v="ASIA_NO_REGION"/>
    <x v="1"/>
    <b v="1"/>
    <b v="0"/>
    <b v="0"/>
    <b v="0"/>
    <b v="0"/>
    <b v="0"/>
    <b v="0"/>
    <b v="0"/>
  </r>
  <r>
    <s v="diesel_UK_BR_14"/>
    <x v="6"/>
    <x v="6"/>
    <s v="NORTHERN_EUROPE"/>
    <s v="NO_REGION"/>
    <s v="NORTHERN_EUROPE_NO_REGION"/>
    <x v="1"/>
    <b v="0"/>
    <b v="0"/>
    <b v="0"/>
    <b v="0"/>
    <b v="1"/>
    <b v="0"/>
    <b v="0"/>
    <b v="0"/>
  </r>
  <r>
    <s v="diesel_Russia_RZD_ChME3"/>
    <x v="6"/>
    <x v="6"/>
    <s v="ASIA"/>
    <s v="NO_REGION"/>
    <s v="ASIA_NO_REGION"/>
    <x v="1"/>
    <b v="1"/>
    <b v="0"/>
    <b v="0"/>
    <b v="0"/>
    <b v="0"/>
    <b v="0"/>
    <b v="0"/>
    <b v="0"/>
  </r>
  <r>
    <s v="diesel_Argentina_MF_GM_EMD_J16CW_AC"/>
    <x v="6"/>
    <x v="6"/>
    <s v="SOUTH_AMERICA"/>
    <s v="NO_REGION"/>
    <s v="SOUTH_AMERICA_NO_REGION"/>
    <x v="1"/>
    <b v="0"/>
    <b v="0"/>
    <b v="0"/>
    <b v="0"/>
    <b v="0"/>
    <b v="0"/>
    <b v="1"/>
    <b v="0"/>
  </r>
  <r>
    <s v="diesel_Russia_RZD_M62"/>
    <x v="6"/>
    <x v="6"/>
    <s v="ASIA"/>
    <s v="NO_REGION"/>
    <s v="ASIA_NO_REGION"/>
    <x v="1"/>
    <b v="1"/>
    <b v="0"/>
    <b v="0"/>
    <b v="0"/>
    <b v="0"/>
    <b v="0"/>
    <b v="0"/>
    <b v="0"/>
  </r>
  <r>
    <s v="diesel_Australia_NSWGR_422"/>
    <x v="6"/>
    <x v="6"/>
    <s v="OCEANIA"/>
    <s v="NO_REGION"/>
    <s v="OCEANIA_NO_REGION"/>
    <x v="1"/>
    <b v="0"/>
    <b v="0"/>
    <b v="0"/>
    <b v="0"/>
    <b v="0"/>
    <b v="0"/>
    <b v="0"/>
    <b v="1"/>
  </r>
  <r>
    <s v="diesel_Egypt_ENR_G22W"/>
    <x v="6"/>
    <x v="6"/>
    <s v="AFRICA"/>
    <s v="NO_REGION"/>
    <s v="AFRICA_NO_REGION"/>
    <x v="0"/>
    <b v="0"/>
    <b v="0"/>
    <b v="0"/>
    <b v="0"/>
    <b v="0"/>
    <b v="0"/>
    <b v="0"/>
    <b v="0"/>
  </r>
  <r>
    <s v="diesel_USA_UP_EMD_DDA40X"/>
    <x v="6"/>
    <x v="6"/>
    <s v="NORTH_AMERICA"/>
    <s v="NO_REGION"/>
    <s v="NORTH_AMERICA_NO_REGION"/>
    <x v="1"/>
    <b v="0"/>
    <b v="0"/>
    <b v="0"/>
    <b v="0"/>
    <b v="0"/>
    <b v="1"/>
    <b v="0"/>
    <b v="0"/>
  </r>
  <r>
    <s v="diesel_Australia_Queensland_Rail_2100"/>
    <x v="6"/>
    <x v="6"/>
    <s v="OCEANIA"/>
    <s v="NO_REGION"/>
    <s v="OCEANIA_NO_REGION"/>
    <x v="1"/>
    <b v="0"/>
    <b v="0"/>
    <b v="0"/>
    <b v="0"/>
    <b v="0"/>
    <b v="0"/>
    <b v="0"/>
    <b v="1"/>
  </r>
  <r>
    <s v="diesel_Croatia_HZ_2062"/>
    <x v="6"/>
    <x v="6"/>
    <s v="EASTERN_EUROPE"/>
    <s v="NO_REGION"/>
    <s v="EASTERN_EUROPE_NO_REGION"/>
    <x v="1"/>
    <b v="0"/>
    <b v="0"/>
    <b v="1"/>
    <b v="0"/>
    <b v="0"/>
    <b v="0"/>
    <b v="0"/>
    <b v="0"/>
  </r>
  <r>
    <s v="diesel_Sweden_SJ_V4"/>
    <x v="6"/>
    <x v="6"/>
    <s v="NORTHERN_EUROPE"/>
    <s v="NO_REGION"/>
    <s v="NORTHERN_EUROPE_NO_REGION"/>
    <x v="1"/>
    <b v="0"/>
    <b v="0"/>
    <b v="0"/>
    <b v="0"/>
    <b v="1"/>
    <b v="0"/>
    <b v="0"/>
    <b v="0"/>
  </r>
  <r>
    <s v="diesel_Canada_CNR_MLW_M420W"/>
    <x v="6"/>
    <x v="6"/>
    <s v="NORTH_AMERICA"/>
    <s v="NO_REGION"/>
    <s v="NORTH_AMERICA_NO_REGION"/>
    <x v="1"/>
    <b v="0"/>
    <b v="0"/>
    <b v="0"/>
    <b v="0"/>
    <b v="0"/>
    <b v="1"/>
    <b v="0"/>
    <b v="0"/>
  </r>
  <r>
    <s v="diesel_USA_Amtrak_SDP_40F"/>
    <x v="6"/>
    <x v="6"/>
    <s v="NORTH_AMERICA"/>
    <s v="NO_REGION"/>
    <s v="NORTH_AMERICA_NO_REGION"/>
    <x v="1"/>
    <b v="0"/>
    <b v="0"/>
    <b v="0"/>
    <b v="0"/>
    <b v="0"/>
    <b v="1"/>
    <b v="0"/>
    <b v="0"/>
  </r>
  <r>
    <s v="diesel_China_China_Railways_DFH3"/>
    <x v="6"/>
    <x v="6"/>
    <s v="ASIA"/>
    <s v="NO_REGION"/>
    <s v="ASIA_NO_REGION"/>
    <x v="1"/>
    <b v="1"/>
    <b v="0"/>
    <b v="0"/>
    <b v="0"/>
    <b v="0"/>
    <b v="0"/>
    <b v="0"/>
    <b v="0"/>
  </r>
  <r>
    <s v="diesel_Panama_Panama_Canal_Railway_EMD_F40PH"/>
    <x v="0"/>
    <x v="7"/>
    <s v="NORTH_AMERICA"/>
    <s v="NO_REGION"/>
    <s v="NORTH_AMERICA_NO_REGION"/>
    <x v="1"/>
    <b v="0"/>
    <b v="0"/>
    <b v="0"/>
    <b v="0"/>
    <b v="0"/>
    <b v="1"/>
    <b v="0"/>
    <b v="0"/>
  </r>
  <r>
    <s v="diesel_Portugal_CP_1900"/>
    <x v="5"/>
    <x v="6"/>
    <s v="SOUTHERN_EUROPE"/>
    <s v="NO_REGION"/>
    <s v="SOUTHERN_EUROPE_NO_REGION"/>
    <x v="1"/>
    <b v="0"/>
    <b v="1"/>
    <b v="0"/>
    <b v="0"/>
    <b v="0"/>
    <b v="0"/>
    <b v="0"/>
    <b v="0"/>
  </r>
  <r>
    <s v="diesel_Finland_VR_Dr16"/>
    <x v="5"/>
    <x v="6"/>
    <s v="NORTHERN_EUROPE"/>
    <s v="NO_REGION"/>
    <s v="NORTHERN_EUROPE_NO_REGION"/>
    <x v="1"/>
    <b v="0"/>
    <b v="0"/>
    <b v="0"/>
    <b v="0"/>
    <b v="1"/>
    <b v="0"/>
    <b v="0"/>
    <b v="0"/>
  </r>
  <r>
    <s v="diesel_Russia_RZD_TEP80"/>
    <x v="5"/>
    <x v="7"/>
    <s v="ASIA"/>
    <s v="NO_REGION"/>
    <s v="ASIA_NO_REGION"/>
    <x v="1"/>
    <b v="1"/>
    <b v="0"/>
    <b v="0"/>
    <b v="0"/>
    <b v="0"/>
    <b v="0"/>
    <b v="0"/>
    <b v="0"/>
  </r>
  <r>
    <s v="diesel_Australia_Australian_National_AN"/>
    <x v="5"/>
    <x v="6"/>
    <s v="OCEANIA"/>
    <s v="NO_REGION"/>
    <s v="OCEANIA_NO_REGION"/>
    <x v="1"/>
    <b v="0"/>
    <b v="0"/>
    <b v="0"/>
    <b v="0"/>
    <b v="0"/>
    <b v="0"/>
    <b v="0"/>
    <b v="1"/>
  </r>
  <r>
    <s v="diesel_USA_Amtrak_P42DC_Genesis"/>
    <x v="5"/>
    <x v="7"/>
    <s v="NORTH_AMERICA"/>
    <s v="NO_REGION"/>
    <s v="NORTH_AMERICA_NO_REGION"/>
    <x v="1"/>
    <b v="0"/>
    <b v="0"/>
    <b v="0"/>
    <b v="0"/>
    <b v="0"/>
    <b v="1"/>
    <b v="0"/>
    <b v="0"/>
  </r>
  <r>
    <s v="diesel_Turkey_TCDD_DH7000"/>
    <x v="5"/>
    <x v="5"/>
    <s v="ASIA"/>
    <s v="NO_REGION"/>
    <s v="ASIA_NO_REGION"/>
    <x v="1"/>
    <b v="1"/>
    <b v="0"/>
    <b v="0"/>
    <b v="0"/>
    <b v="0"/>
    <b v="0"/>
    <b v="0"/>
    <b v="0"/>
  </r>
  <r>
    <s v="diesel_Argentina_MF_GE_U20C"/>
    <x v="5"/>
    <x v="6"/>
    <s v="SOUTH_AMERICA"/>
    <s v="NO_REGION"/>
    <s v="SOUTH_AMERICA_NO_REGION"/>
    <x v="1"/>
    <b v="0"/>
    <b v="0"/>
    <b v="0"/>
    <b v="0"/>
    <b v="0"/>
    <b v="0"/>
    <b v="1"/>
    <b v="0"/>
  </r>
  <r>
    <s v="diesel_Belgium_NMBS_SNCB_7800"/>
    <x v="5"/>
    <x v="6"/>
    <s v="WESTERN_EUROPE"/>
    <s v="NO_REGION"/>
    <s v="WESTERN_EUROPE_NO_REGION"/>
    <x v="1"/>
    <b v="0"/>
    <b v="0"/>
    <b v="0"/>
    <b v="1"/>
    <b v="0"/>
    <b v="0"/>
    <b v="0"/>
    <b v="0"/>
  </r>
  <r>
    <s v="diesel_UK_BR_66"/>
    <x v="5"/>
    <x v="6"/>
    <s v="NORTHERN_EUROPE"/>
    <s v="NO_REGION"/>
    <s v="NORTHERN_EUROPE_NO_REGION"/>
    <x v="1"/>
    <b v="0"/>
    <b v="0"/>
    <b v="0"/>
    <b v="0"/>
    <b v="1"/>
    <b v="0"/>
    <b v="0"/>
    <b v="0"/>
  </r>
  <r>
    <s v="diesel_UK_BR_67"/>
    <x v="5"/>
    <x v="7"/>
    <s v="NORTHERN_EUROPE"/>
    <s v="NO_REGION"/>
    <s v="NORTHERN_EUROPE_NO_REGION"/>
    <x v="1"/>
    <b v="0"/>
    <b v="0"/>
    <b v="0"/>
    <b v="0"/>
    <b v="1"/>
    <b v="0"/>
    <b v="0"/>
    <b v="0"/>
  </r>
  <r>
    <s v="diesel_Iran_RAI_DE43CA_Prima"/>
    <x v="0"/>
    <x v="7"/>
    <s v="ASIA"/>
    <s v="NO_REGION"/>
    <s v="ASIA_NO_REGION"/>
    <x v="1"/>
    <b v="1"/>
    <b v="0"/>
    <b v="0"/>
    <b v="0"/>
    <b v="0"/>
    <b v="0"/>
    <b v="0"/>
    <b v="0"/>
  </r>
  <r>
    <s v="diesel_Ukraine_UZ_TEP150"/>
    <x v="0"/>
    <x v="7"/>
    <s v="EASTERN_EUROPE"/>
    <s v="NO_REGION"/>
    <s v="EASTERN_EUROPE_NO_REGION"/>
    <x v="1"/>
    <b v="0"/>
    <b v="0"/>
    <b v="1"/>
    <b v="0"/>
    <b v="0"/>
    <b v="0"/>
    <b v="0"/>
    <b v="0"/>
  </r>
  <r>
    <s v="diesel_China_China_Railways_HXN5"/>
    <x v="0"/>
    <x v="8"/>
    <s v="ASIA"/>
    <s v="NO_REGION"/>
    <s v="ASIA_NO_REGION"/>
    <x v="1"/>
    <b v="1"/>
    <b v="0"/>
    <b v="0"/>
    <b v="0"/>
    <b v="0"/>
    <b v="0"/>
    <b v="0"/>
    <b v="0"/>
  </r>
  <r>
    <s v="diesel_Germany_DB_261_Gravita_10BB"/>
    <x v="0"/>
    <x v="6"/>
    <s v="WESTERN_EUROPE"/>
    <s v="NO_REGION"/>
    <s v="WESTERN_EUROPE_NO_REGION"/>
    <x v="1"/>
    <b v="0"/>
    <b v="0"/>
    <b v="0"/>
    <b v="1"/>
    <b v="0"/>
    <b v="0"/>
    <b v="0"/>
    <b v="0"/>
  </r>
  <r>
    <s v="diesel_Russia_RZD_GT1"/>
    <x v="0"/>
    <x v="8"/>
    <s v="ASIA"/>
    <s v="NO_REGION"/>
    <s v="ASIA_NO_REGION"/>
    <x v="1"/>
    <b v="1"/>
    <b v="0"/>
    <b v="0"/>
    <b v="0"/>
    <b v="0"/>
    <b v="0"/>
    <b v="0"/>
    <b v="0"/>
  </r>
  <r>
    <s v="diesel_China_MTR_8000"/>
    <x v="0"/>
    <x v="6"/>
    <s v="ASIA"/>
    <s v="NO_REGION"/>
    <s v="ASIA_NO_REGION"/>
    <x v="1"/>
    <b v="1"/>
    <b v="0"/>
    <b v="0"/>
    <b v="0"/>
    <b v="0"/>
    <b v="0"/>
    <b v="0"/>
    <b v="0"/>
  </r>
  <r>
    <s v="diesel_Germany_HVLE_V490"/>
    <x v="0"/>
    <x v="6"/>
    <s v="WESTERN_EUROPE"/>
    <s v="NO_REGION"/>
    <s v="WESTERN_EUROPE_NO_REGION"/>
    <x v="1"/>
    <b v="0"/>
    <b v="0"/>
    <b v="0"/>
    <b v="1"/>
    <b v="0"/>
    <b v="0"/>
    <b v="0"/>
    <b v="0"/>
  </r>
  <r>
    <s v="diesel_Russia_RZD_Emch_3"/>
    <x v="6"/>
    <x v="6"/>
    <s v="ASIA"/>
    <s v="NO_REGION"/>
    <s v="ASIA_NO_REGION"/>
    <x v="1"/>
    <b v="1"/>
    <b v="0"/>
    <b v="0"/>
    <b v="0"/>
    <b v="0"/>
    <b v="0"/>
    <b v="0"/>
    <b v="0"/>
  </r>
  <r>
    <s v="diesel_Canada_CNR_9000"/>
    <x v="3"/>
    <x v="8"/>
    <s v="NORTH_AMERICA"/>
    <s v="NO_REGION"/>
    <s v="NORTH_AMERICA_NO_REGION"/>
    <x v="1"/>
    <b v="0"/>
    <b v="0"/>
    <b v="0"/>
    <b v="0"/>
    <b v="0"/>
    <b v="1"/>
    <b v="0"/>
    <b v="0"/>
  </r>
  <r>
    <s v="diesel_UK_LMS_7051_Diesel_Shunter"/>
    <x v="3"/>
    <x v="5"/>
    <s v="NORTHERN_EUROPE"/>
    <s v="NO_REGION"/>
    <s v="NORTHERN_EUROPE_NO_REGION"/>
    <x v="1"/>
    <b v="0"/>
    <b v="0"/>
    <b v="0"/>
    <b v="0"/>
    <b v="1"/>
    <b v="0"/>
    <b v="0"/>
    <b v="0"/>
  </r>
  <r>
    <s v="diesel_USA_Rock_Island_EMC_TA"/>
    <x v="3"/>
    <x v="7"/>
    <s v="NORTH_AMERICA"/>
    <s v="NO_REGION"/>
    <s v="NORTH_AMERICA_NO_REGION"/>
    <x v="1"/>
    <b v="0"/>
    <b v="0"/>
    <b v="0"/>
    <b v="0"/>
    <b v="0"/>
    <b v="1"/>
    <b v="0"/>
    <b v="0"/>
  </r>
  <r>
    <s v="diesel_USA_NYC_Baldwin_VO_660"/>
    <x v="3"/>
    <x v="6"/>
    <s v="NORTH_AMERICA"/>
    <s v="NO_REGION"/>
    <s v="NORTH_AMERICA_NO_REGION"/>
    <x v="1"/>
    <b v="0"/>
    <b v="0"/>
    <b v="0"/>
    <b v="0"/>
    <b v="0"/>
    <b v="1"/>
    <b v="0"/>
    <b v="0"/>
  </r>
  <r>
    <s v="diesel_UK_BR_Class_D3_7"/>
    <x v="3"/>
    <x v="5"/>
    <s v="NORTHERN_EUROPE"/>
    <s v="NO_REGION"/>
    <s v="NORTHERN_EUROPE_NO_REGION"/>
    <x v="1"/>
    <b v="0"/>
    <b v="0"/>
    <b v="0"/>
    <b v="0"/>
    <b v="1"/>
    <b v="0"/>
    <b v="0"/>
    <b v="0"/>
  </r>
  <r>
    <s v="diesel_Australia_Queensland_Railways_DL_Class"/>
    <x v="3"/>
    <x v="5"/>
    <s v="OCEANIA"/>
    <s v="NO_REGION"/>
    <s v="OCEANIA_NO_REGION"/>
    <x v="1"/>
    <b v="0"/>
    <b v="0"/>
    <b v="0"/>
    <b v="0"/>
    <b v="0"/>
    <b v="0"/>
    <b v="0"/>
    <b v="1"/>
  </r>
  <r>
    <s v="diesel_USA_PRR_FM_H_10_44"/>
    <x v="4"/>
    <x v="6"/>
    <s v="NORTH_AMERICA"/>
    <s v="NO_REGION"/>
    <s v="NORTH_AMERICA_NO_REGION"/>
    <x v="1"/>
    <b v="0"/>
    <b v="0"/>
    <b v="0"/>
    <b v="0"/>
    <b v="0"/>
    <b v="1"/>
    <b v="0"/>
    <b v="0"/>
  </r>
  <r>
    <s v="diesel_Algeria_SNTF_Baldwin_DRS6_4_1000"/>
    <x v="4"/>
    <x v="6"/>
    <s v="AFRICA"/>
    <s v="NO_REGION"/>
    <s v="AFRICA_NO_REGION"/>
    <x v="0"/>
    <b v="0"/>
    <b v="0"/>
    <b v="0"/>
    <b v="0"/>
    <b v="0"/>
    <b v="0"/>
    <b v="0"/>
    <b v="0"/>
  </r>
  <r>
    <s v="diesel_Ireland_CIE_113"/>
    <x v="4"/>
    <x v="6"/>
    <s v="NORTHERN_EUROPE"/>
    <s v="NO_REGION"/>
    <s v="NORTHERN_EUROPE_NO_REGION"/>
    <x v="1"/>
    <b v="0"/>
    <b v="0"/>
    <b v="0"/>
    <b v="0"/>
    <b v="1"/>
    <b v="0"/>
    <b v="0"/>
    <b v="0"/>
  </r>
  <r>
    <s v="diesel_Brazil_EFC_3300_Baldwin_AS_616"/>
    <x v="4"/>
    <x v="8"/>
    <s v="SOUTH_AMERICA"/>
    <s v="NO_REGION"/>
    <s v="SOUTH_AMERICA_NO_REGION"/>
    <x v="1"/>
    <b v="0"/>
    <b v="0"/>
    <b v="0"/>
    <b v="0"/>
    <b v="0"/>
    <b v="0"/>
    <b v="1"/>
    <b v="0"/>
  </r>
  <r>
    <s v="diesel_Mexico_CHP_500_FM_H_16_44"/>
    <x v="4"/>
    <x v="6"/>
    <s v="NORTH_AMERICA"/>
    <s v="NO_REGION"/>
    <s v="NORTH_AMERICA_NO_REGION"/>
    <x v="1"/>
    <b v="0"/>
    <b v="0"/>
    <b v="0"/>
    <b v="0"/>
    <b v="0"/>
    <b v="1"/>
    <b v="0"/>
    <b v="0"/>
  </r>
  <r>
    <s v="diesel_Australia_South_Australian_Railways_900"/>
    <x v="4"/>
    <x v="6"/>
    <s v="OCEANIA"/>
    <s v="NO_REGION"/>
    <s v="OCEANIA_NO_REGION"/>
    <x v="1"/>
    <b v="0"/>
    <b v="0"/>
    <b v="0"/>
    <b v="0"/>
    <b v="0"/>
    <b v="0"/>
    <b v="0"/>
    <b v="1"/>
  </r>
  <r>
    <s v="diesel_Sri_Lanka_Sri_Lanka_Railways_M2"/>
    <x v="4"/>
    <x v="6"/>
    <s v="ASIA"/>
    <s v="NO_REGION"/>
    <s v="ASIA_NO_REGION"/>
    <x v="1"/>
    <b v="1"/>
    <b v="0"/>
    <b v="0"/>
    <b v="0"/>
    <b v="0"/>
    <b v="0"/>
    <b v="0"/>
    <b v="0"/>
  </r>
  <r>
    <s v="diesel_Ireland_CIE_001"/>
    <x v="4"/>
    <x v="6"/>
    <s v="NORTHERN_EUROPE"/>
    <s v="NO_REGION"/>
    <s v="NORTHERN_EUROPE_NO_REGION"/>
    <x v="1"/>
    <b v="0"/>
    <b v="0"/>
    <b v="0"/>
    <b v="0"/>
    <b v="1"/>
    <b v="0"/>
    <b v="0"/>
    <b v="0"/>
  </r>
  <r>
    <s v="diesel_Italy_FS_D341"/>
    <x v="4"/>
    <x v="6"/>
    <s v="SOUTHERN_EUROPE"/>
    <s v="NO_REGION"/>
    <s v="SOUTHERN_EUROPE_NO_REGION"/>
    <x v="1"/>
    <b v="0"/>
    <b v="1"/>
    <b v="0"/>
    <b v="0"/>
    <b v="0"/>
    <b v="0"/>
    <b v="0"/>
    <b v="0"/>
  </r>
  <r>
    <s v="diesel_Australia_NSWGR_44"/>
    <x v="4"/>
    <x v="6"/>
    <s v="OCEANIA"/>
    <s v="NO_REGION"/>
    <s v="OCEANIA_NO_REGION"/>
    <x v="1"/>
    <b v="0"/>
    <b v="0"/>
    <b v="0"/>
    <b v="0"/>
    <b v="0"/>
    <b v="0"/>
    <b v="0"/>
    <b v="1"/>
  </r>
  <r>
    <s v="diesel_Zimbabwe_Zimbabwe_Railways_DH_1"/>
    <x v="4"/>
    <x v="6"/>
    <s v="AFRICA"/>
    <s v="NO_REGION"/>
    <s v="AFRICA_NO_REGION"/>
    <x v="0"/>
    <b v="0"/>
    <b v="0"/>
    <b v="0"/>
    <b v="0"/>
    <b v="0"/>
    <b v="0"/>
    <b v="0"/>
    <b v="0"/>
  </r>
  <r>
    <s v="diesel_South_Korea_Korail_6000_EMD_SD18"/>
    <x v="6"/>
    <x v="8"/>
    <s v="ASIA"/>
    <s v="NO_REGION"/>
    <s v="ASIA_NO_REGION"/>
    <x v="1"/>
    <b v="1"/>
    <b v="0"/>
    <b v="0"/>
    <b v="0"/>
    <b v="0"/>
    <b v="0"/>
    <b v="0"/>
    <b v="0"/>
  </r>
  <r>
    <s v="diesel_Italy_FS_D345"/>
    <x v="6"/>
    <x v="6"/>
    <s v="SOUTHERN_EUROPE"/>
    <s v="NO_REGION"/>
    <s v="SOUTHERN_EUROPE_NO_REGION"/>
    <x v="1"/>
    <b v="0"/>
    <b v="1"/>
    <b v="0"/>
    <b v="0"/>
    <b v="0"/>
    <b v="0"/>
    <b v="0"/>
    <b v="0"/>
  </r>
  <r>
    <s v="diesel_Norway_NSB_Di4"/>
    <x v="5"/>
    <x v="6"/>
    <s v="NORTHERN_EUROPE"/>
    <s v="NO_REGION"/>
    <s v="NORTHERN_EUROPE_NO_REGION"/>
    <x v="1"/>
    <b v="0"/>
    <b v="0"/>
    <b v="0"/>
    <b v="0"/>
    <b v="1"/>
    <b v="0"/>
    <b v="0"/>
    <b v="0"/>
  </r>
  <r>
    <s v="diesel_China_China_Railways_DF8"/>
    <x v="5"/>
    <x v="8"/>
    <s v="ASIA"/>
    <s v="NO_REGION"/>
    <s v="ASIA_NO_REGION"/>
    <x v="1"/>
    <b v="1"/>
    <b v="0"/>
    <b v="0"/>
    <b v="0"/>
    <b v="0"/>
    <b v="0"/>
    <b v="0"/>
    <b v="0"/>
  </r>
  <r>
    <s v="diesel_Australia_Pacific_National_G_Class"/>
    <x v="5"/>
    <x v="6"/>
    <s v="OCEANIA"/>
    <s v="NO_REGION"/>
    <s v="OCEANIA_NO_REGION"/>
    <x v="1"/>
    <b v="0"/>
    <b v="0"/>
    <b v="0"/>
    <b v="0"/>
    <b v="0"/>
    <b v="0"/>
    <b v="0"/>
    <b v="1"/>
  </r>
  <r>
    <s v="diesel_UK_BR_60"/>
    <x v="5"/>
    <x v="6"/>
    <s v="NORTHERN_EUROPE"/>
    <s v="NO_REGION"/>
    <s v="NORTHERN_EUROPE_NO_REGION"/>
    <x v="1"/>
    <b v="0"/>
    <b v="0"/>
    <b v="0"/>
    <b v="0"/>
    <b v="1"/>
    <b v="0"/>
    <b v="0"/>
    <b v="0"/>
  </r>
  <r>
    <s v="diesel_Australia_Westrail_P_Class"/>
    <x v="5"/>
    <x v="6"/>
    <s v="OCEANIA"/>
    <s v="NO_REGION"/>
    <s v="OCEANIA_NO_REGION"/>
    <x v="1"/>
    <b v="0"/>
    <b v="0"/>
    <b v="0"/>
    <b v="0"/>
    <b v="0"/>
    <b v="0"/>
    <b v="0"/>
    <b v="1"/>
  </r>
  <r>
    <s v="diesel_Saudi_Arabia_Saudi_Railways_4000_EMD_SD70ACS"/>
    <x v="5"/>
    <x v="8"/>
    <s v="ASIA"/>
    <s v="NO_REGION"/>
    <s v="ASIA_NO_REGION"/>
    <x v="1"/>
    <b v="1"/>
    <b v="0"/>
    <b v="0"/>
    <b v="0"/>
    <b v="0"/>
    <b v="0"/>
    <b v="0"/>
    <b v="0"/>
  </r>
  <r>
    <s v="diesel_Ireland_IE_201"/>
    <x v="5"/>
    <x v="7"/>
    <s v="NORTHERN_EUROPE"/>
    <s v="NO_REGION"/>
    <s v="NORTHERN_EUROPE_NO_REGION"/>
    <x v="1"/>
    <b v="0"/>
    <b v="0"/>
    <b v="0"/>
    <b v="0"/>
    <b v="1"/>
    <b v="0"/>
    <b v="0"/>
    <b v="0"/>
  </r>
  <r>
    <s v="diesel_USA_Metrolink_EMD_F59PH"/>
    <x v="5"/>
    <x v="7"/>
    <s v="NORTH_AMERICA"/>
    <s v="NO_REGION"/>
    <s v="NORTH_AMERICA_NO_REGION"/>
    <x v="1"/>
    <b v="0"/>
    <b v="0"/>
    <b v="0"/>
    <b v="0"/>
    <b v="0"/>
    <b v="1"/>
    <b v="0"/>
    <b v="0"/>
  </r>
  <r>
    <s v="diesel_France_SNCF_461000"/>
    <x v="0"/>
    <x v="6"/>
    <s v="WESTERN_EUROPE"/>
    <s v="NO_REGION"/>
    <s v="WESTERN_EUROPE_NO_REGION"/>
    <x v="1"/>
    <b v="0"/>
    <b v="0"/>
    <b v="0"/>
    <b v="1"/>
    <b v="0"/>
    <b v="0"/>
    <b v="0"/>
    <b v="0"/>
  </r>
  <r>
    <s v="diesel_Italy_ACT_D_200"/>
    <x v="0"/>
    <x v="6"/>
    <s v="SOUTHERN_EUROPE"/>
    <s v="NO_REGION"/>
    <s v="SOUTHERN_EUROPE_NO_REGION"/>
    <x v="1"/>
    <b v="0"/>
    <b v="1"/>
    <b v="0"/>
    <b v="0"/>
    <b v="0"/>
    <b v="0"/>
    <b v="0"/>
    <b v="0"/>
  </r>
  <r>
    <s v="diesel_Canada_GO_Transit_MP40PH_3C"/>
    <x v="0"/>
    <x v="6"/>
    <s v="NORTH_AMERICA"/>
    <s v="NO_REGION"/>
    <s v="NORTH_AMERICA_NO_REGION"/>
    <x v="1"/>
    <b v="0"/>
    <b v="0"/>
    <b v="0"/>
    <b v="0"/>
    <b v="0"/>
    <b v="1"/>
    <b v="0"/>
    <b v="0"/>
  </r>
  <r>
    <s v="diesel_Spain_RENFE_Class_334"/>
    <x v="0"/>
    <x v="7"/>
    <s v="SOUTHERN_EUROPE"/>
    <s v="NO_REGION"/>
    <s v="SOUTHERN_EUROPE_NO_REGION"/>
    <x v="1"/>
    <b v="0"/>
    <b v="1"/>
    <b v="0"/>
    <b v="0"/>
    <b v="0"/>
    <b v="0"/>
    <b v="0"/>
    <b v="0"/>
  </r>
  <r>
    <s v="diesel_Indonesia_Indonesia_Railways_CC300"/>
    <x v="0"/>
    <x v="6"/>
    <s v="OCEANIA"/>
    <s v="NO_REGION"/>
    <s v="OCEANIA_NO_REGION"/>
    <x v="1"/>
    <b v="0"/>
    <b v="0"/>
    <b v="0"/>
    <b v="0"/>
    <b v="0"/>
    <b v="0"/>
    <b v="0"/>
    <b v="1"/>
  </r>
  <r>
    <s v="diesel_Argentina_Great_Southern_Railway_DH501"/>
    <x v="3"/>
    <x v="8"/>
    <s v="SOUTH_AMERICA"/>
    <s v="NO_REGION"/>
    <s v="SOUTH_AMERICA_NO_REGION"/>
    <x v="1"/>
    <b v="0"/>
    <b v="0"/>
    <b v="0"/>
    <b v="0"/>
    <b v="0"/>
    <b v="0"/>
    <b v="1"/>
    <b v="0"/>
  </r>
  <r>
    <s v="diesel_Brazil_EE_VFFLB"/>
    <x v="3"/>
    <x v="6"/>
    <s v="SOUTH_AMERICA"/>
    <s v="NO_REGION"/>
    <s v="SOUTH_AMERICA_NO_REGION"/>
    <x v="1"/>
    <b v="0"/>
    <b v="0"/>
    <b v="0"/>
    <b v="0"/>
    <b v="0"/>
    <b v="0"/>
    <b v="1"/>
    <b v="0"/>
  </r>
  <r>
    <s v="diesel_Chile_EFE_GE_U5B"/>
    <x v="6"/>
    <x v="6"/>
    <s v="SOUTH_AMERICA"/>
    <s v="NO_REGION"/>
    <s v="SOUTH_AMERICA_NO_REGION"/>
    <x v="1"/>
    <b v="0"/>
    <b v="0"/>
    <b v="0"/>
    <b v="0"/>
    <b v="0"/>
    <b v="0"/>
    <b v="1"/>
    <b v="0"/>
  </r>
  <r>
    <s v="diesel_Peru_Ferrocarril_Central_Andino_Alco_RSD_39"/>
    <x v="6"/>
    <x v="6"/>
    <s v="SOUTH_AMERICA"/>
    <s v="NO_REGION"/>
    <s v="SOUTH_AMERICA_NO_REGION"/>
    <x v="1"/>
    <b v="0"/>
    <b v="0"/>
    <b v="0"/>
    <b v="0"/>
    <b v="0"/>
    <b v="0"/>
    <b v="1"/>
    <b v="0"/>
  </r>
  <r>
    <s v="diesel_Brazil_EFVM_EMD_DDM45"/>
    <x v="6"/>
    <x v="8"/>
    <s v="SOUTH_AMERICA"/>
    <s v="NO_REGION"/>
    <s v="SOUTH_AMERICA_NO_REGION"/>
    <x v="1"/>
    <b v="0"/>
    <b v="0"/>
    <b v="0"/>
    <b v="0"/>
    <b v="0"/>
    <b v="0"/>
    <b v="1"/>
    <b v="0"/>
  </r>
  <r>
    <s v="diesel_Peru_Ferrocarril_Central_Andino_GE_C39_8"/>
    <x v="5"/>
    <x v="8"/>
    <s v="SOUTH_AMERICA"/>
    <s v="NO_REGION"/>
    <s v="SOUTH_AMERICA_NO_REGION"/>
    <x v="1"/>
    <b v="0"/>
    <b v="0"/>
    <b v="0"/>
    <b v="0"/>
    <b v="0"/>
    <b v="0"/>
    <b v="1"/>
    <b v="0"/>
  </r>
  <r>
    <s v="diesel_Argentina_SOFSE_3193"/>
    <x v="5"/>
    <x v="6"/>
    <s v="SOUTH_AMERICA"/>
    <s v="NO_REGION"/>
    <s v="SOUTH_AMERICA_NO_REGION"/>
    <x v="1"/>
    <b v="0"/>
    <b v="0"/>
    <b v="0"/>
    <b v="0"/>
    <b v="0"/>
    <b v="0"/>
    <b v="1"/>
    <b v="0"/>
  </r>
  <r>
    <s v="diesel_Argentina_SOFSE_CNR_CKD8"/>
    <x v="0"/>
    <x v="6"/>
    <s v="SOUTH_AMERICA"/>
    <s v="NO_REGION"/>
    <s v="SOUTH_AMERICA_NO_REGION"/>
    <x v="1"/>
    <b v="0"/>
    <b v="0"/>
    <b v="0"/>
    <b v="0"/>
    <b v="0"/>
    <b v="0"/>
    <b v="1"/>
    <b v="0"/>
  </r>
  <r>
    <s v="diesel_South_Africa_SAR_DS"/>
    <x v="3"/>
    <x v="5"/>
    <s v="AFRICA"/>
    <s v="NO_REGION"/>
    <s v="AFRICA_NO_REGION"/>
    <x v="0"/>
    <b v="0"/>
    <b v="0"/>
    <b v="0"/>
    <b v="0"/>
    <b v="0"/>
    <b v="0"/>
    <b v="0"/>
    <b v="0"/>
  </r>
  <r>
    <s v="diesel_Algeria_SNTF_040_DG"/>
    <x v="4"/>
    <x v="6"/>
    <s v="AFRICA"/>
    <s v="NO_REGION"/>
    <s v="AFRICA_NO_REGION"/>
    <x v="0"/>
    <b v="0"/>
    <b v="0"/>
    <b v="0"/>
    <b v="0"/>
    <b v="0"/>
    <b v="0"/>
    <b v="0"/>
    <b v="0"/>
  </r>
  <r>
    <s v="diesel_Tunisia_SNCFT_040_DF"/>
    <x v="6"/>
    <x v="6"/>
    <s v="AFRICA"/>
    <s v="NO_REGION"/>
    <s v="AFRICA_NO_REGION"/>
    <x v="0"/>
    <b v="0"/>
    <b v="0"/>
    <b v="0"/>
    <b v="0"/>
    <b v="0"/>
    <b v="0"/>
    <b v="0"/>
    <b v="0"/>
  </r>
  <r>
    <s v="diesel_Egypt_ENR_TE114E"/>
    <x v="6"/>
    <x v="6"/>
    <s v="AFRICA"/>
    <s v="NO_REGION"/>
    <s v="AFRICA_NO_REGION"/>
    <x v="0"/>
    <b v="0"/>
    <b v="0"/>
    <b v="0"/>
    <b v="0"/>
    <b v="0"/>
    <b v="0"/>
    <b v="0"/>
    <b v="0"/>
  </r>
  <r>
    <s v="diesel_Tunisia_SNCFT_040_DJ"/>
    <x v="6"/>
    <x v="6"/>
    <s v="AFRICA"/>
    <s v="NO_REGION"/>
    <s v="AFRICA_NO_REGION"/>
    <x v="0"/>
    <b v="0"/>
    <b v="0"/>
    <b v="0"/>
    <b v="0"/>
    <b v="0"/>
    <b v="0"/>
    <b v="0"/>
    <b v="0"/>
  </r>
  <r>
    <s v="diesel_Morocco_ONCF_DF_100"/>
    <x v="5"/>
    <x v="6"/>
    <s v="AFRICA"/>
    <s v="NO_REGION"/>
    <s v="AFRICA_NO_REGION"/>
    <x v="0"/>
    <b v="0"/>
    <b v="0"/>
    <b v="0"/>
    <b v="0"/>
    <b v="0"/>
    <b v="0"/>
    <b v="0"/>
    <b v="0"/>
  </r>
  <r>
    <s v="diesel_Ukraine_UZ_TEP10L"/>
    <x v="6"/>
    <x v="6"/>
    <s v="EASTERN_EUROPE"/>
    <s v="NO_REGION"/>
    <s v="EASTERN_EUROPE_NO_REGION"/>
    <x v="1"/>
    <b v="0"/>
    <b v="0"/>
    <b v="1"/>
    <b v="0"/>
    <b v="0"/>
    <b v="0"/>
    <b v="0"/>
    <b v="0"/>
  </r>
  <r>
    <s v="diesel_Belarus_BCh_2TE10M"/>
    <x v="5"/>
    <x v="8"/>
    <s v="EASTERN_EUROPE"/>
    <s v="NO_REGION"/>
    <s v="EASTERN_EUROPE_NO_REGION"/>
    <x v="1"/>
    <b v="0"/>
    <b v="0"/>
    <b v="1"/>
    <b v="0"/>
    <b v="0"/>
    <b v="0"/>
    <b v="0"/>
    <b v="0"/>
  </r>
  <r>
    <s v="diesel_Poland_PKP_SP32"/>
    <x v="5"/>
    <x v="6"/>
    <s v="EASTERN_EUROPE"/>
    <s v="NO_REGION"/>
    <s v="EASTERN_EUROPE_NO_REGION"/>
    <x v="1"/>
    <b v="0"/>
    <b v="0"/>
    <b v="1"/>
    <b v="0"/>
    <b v="0"/>
    <b v="0"/>
    <b v="0"/>
    <b v="0"/>
  </r>
  <r>
    <s v="diesel_Ukraine_UZ_2TE126"/>
    <x v="5"/>
    <x v="8"/>
    <s v="EASTERN_EUROPE"/>
    <s v="NO_REGION"/>
    <s v="EASTERN_EUROPE_NO_REGION"/>
    <x v="1"/>
    <b v="0"/>
    <b v="0"/>
    <b v="1"/>
    <b v="0"/>
    <b v="0"/>
    <b v="0"/>
    <b v="0"/>
    <b v="0"/>
  </r>
  <r>
    <s v="diesel_Ukraine_UZ_2TE10Ut"/>
    <x v="5"/>
    <x v="8"/>
    <s v="EASTERN_EUROPE"/>
    <s v="NO_REGION"/>
    <s v="EASTERN_EUROPE_NO_REGION"/>
    <x v="1"/>
    <b v="0"/>
    <b v="0"/>
    <b v="1"/>
    <b v="0"/>
    <b v="0"/>
    <b v="0"/>
    <b v="0"/>
    <b v="0"/>
  </r>
  <r>
    <s v="diesel_Serbia_ZS_621"/>
    <x v="5"/>
    <x v="6"/>
    <s v="EASTERN_EUROPE"/>
    <s v="NO_REGION"/>
    <s v="EASTERN_EUROPE_NO_REGION"/>
    <x v="1"/>
    <b v="0"/>
    <b v="0"/>
    <b v="1"/>
    <b v="0"/>
    <b v="0"/>
    <b v="0"/>
    <b v="0"/>
    <b v="0"/>
  </r>
  <r>
    <s v="diesel_Italy_FS_207"/>
    <x v="3"/>
    <x v="5"/>
    <s v="SOUTHERN_EUROPE"/>
    <s v="NO_REGION"/>
    <s v="SOUTHERN_EUROPE_NO_REGION"/>
    <x v="1"/>
    <b v="0"/>
    <b v="1"/>
    <b v="0"/>
    <b v="0"/>
    <b v="0"/>
    <b v="0"/>
    <b v="0"/>
    <b v="0"/>
  </r>
  <r>
    <s v="diesel_Russia_RZD_Db"/>
    <x v="4"/>
    <x v="6"/>
    <s v="ASIA"/>
    <s v="NO_REGION"/>
    <s v="ASIA_NO_REGION"/>
    <x v="1"/>
    <b v="1"/>
    <b v="0"/>
    <b v="0"/>
    <b v="0"/>
    <b v="0"/>
    <b v="0"/>
    <b v="0"/>
    <b v="0"/>
  </r>
  <r>
    <s v="diesel_Portugal_CP_1500"/>
    <x v="4"/>
    <x v="6"/>
    <s v="SOUTHERN_EUROPE"/>
    <s v="NO_REGION"/>
    <s v="SOUTHERN_EUROPE_NO_REGION"/>
    <x v="1"/>
    <b v="0"/>
    <b v="1"/>
    <b v="0"/>
    <b v="0"/>
    <b v="0"/>
    <b v="0"/>
    <b v="0"/>
    <b v="0"/>
  </r>
  <r>
    <s v="diesel_France_SNCF_BB_67400"/>
    <x v="6"/>
    <x v="6"/>
    <s v="WESTERN_EUROPE"/>
    <s v="NO_REGION"/>
    <s v="WESTERN_EUROPE_NO_REGION"/>
    <x v="1"/>
    <b v="0"/>
    <b v="0"/>
    <b v="0"/>
    <b v="1"/>
    <b v="0"/>
    <b v="0"/>
    <b v="0"/>
    <b v="0"/>
  </r>
  <r>
    <s v="diesel_Netherlands_NS_6400"/>
    <x v="5"/>
    <x v="6"/>
    <s v="WESTERN_EUROPE"/>
    <s v="NO_REGION"/>
    <s v="WESTERN_EUROPE_NO_REGION"/>
    <x v="1"/>
    <b v="0"/>
    <b v="0"/>
    <b v="0"/>
    <b v="1"/>
    <b v="0"/>
    <b v="0"/>
    <b v="0"/>
    <b v="0"/>
  </r>
  <r>
    <s v="diesel_Egypt_ENR_2400_GE_ES40ACi"/>
    <x v="0"/>
    <x v="6"/>
    <s v="AFRICA"/>
    <s v="NO_REGION"/>
    <s v="AFRICA_NO_REGION"/>
    <x v="0"/>
    <b v="0"/>
    <b v="0"/>
    <b v="0"/>
    <b v="0"/>
    <b v="0"/>
    <b v="0"/>
    <b v="0"/>
    <b v="0"/>
  </r>
  <r>
    <s v="diesel_South_Africa_SAR_Afro_4000"/>
    <x v="0"/>
    <x v="6"/>
    <s v="AFRICA"/>
    <s v="NO_REGION"/>
    <s v="AFRICA_NO_REGION"/>
    <x v="0"/>
    <b v="0"/>
    <b v="0"/>
    <b v="0"/>
    <b v="0"/>
    <b v="0"/>
    <b v="0"/>
    <b v="0"/>
    <b v="0"/>
  </r>
  <r>
    <s v="diesel_Spain_RENFE_308"/>
    <x v="6"/>
    <x v="6"/>
    <s v="SOUTHERN_EUROPE"/>
    <s v="NO_REGION"/>
    <s v="SOUTHERN_EUROPE_NO_REGION"/>
    <x v="1"/>
    <b v="0"/>
    <b v="1"/>
    <b v="0"/>
    <b v="0"/>
    <b v="0"/>
    <b v="0"/>
    <b v="0"/>
    <b v="0"/>
  </r>
  <r>
    <s v="diesel_Australia_Pacific_National_XR_XRB"/>
    <x v="0"/>
    <x v="2"/>
    <s v="OCEANIA"/>
    <s v="NO_REGION"/>
    <s v="OCEANIA_NO_REGION"/>
    <x v="1"/>
    <b v="0"/>
    <b v="0"/>
    <b v="0"/>
    <b v="0"/>
    <b v="0"/>
    <b v="0"/>
    <b v="0"/>
    <b v="1"/>
  </r>
  <r>
    <s v="diesel_Norway_CargoNet_312"/>
    <x v="0"/>
    <x v="6"/>
    <s v="NORTHERN_EUROPE"/>
    <s v="NO_REGION"/>
    <s v="NORTHERN_EUROPE_NO_REGION"/>
    <x v="1"/>
    <b v="0"/>
    <b v="0"/>
    <b v="0"/>
    <b v="0"/>
    <b v="1"/>
    <b v="0"/>
    <b v="0"/>
    <b v="0"/>
  </r>
  <r>
    <s v="diesel_Australia_Pacific_National_92"/>
    <x v="0"/>
    <x v="2"/>
    <s v="OCEANIA"/>
    <s v="NO_REGION"/>
    <s v="OCEANIA_NO_REGION"/>
    <x v="1"/>
    <b v="0"/>
    <b v="0"/>
    <b v="0"/>
    <b v="0"/>
    <b v="0"/>
    <b v="0"/>
    <b v="0"/>
    <b v="1"/>
  </r>
  <r>
    <s v="diesel_UK_BR_68"/>
    <x v="0"/>
    <x v="7"/>
    <s v="NORTHERN_EUROPE"/>
    <s v="NO_REGION"/>
    <s v="NORTHERN_EUROPE_NO_REGION"/>
    <x v="1"/>
    <b v="0"/>
    <b v="0"/>
    <b v="0"/>
    <b v="0"/>
    <b v="1"/>
    <b v="0"/>
    <b v="0"/>
    <b v="0"/>
  </r>
  <r>
    <s v="diesel_USA_Amtrak_Charger"/>
    <x v="0"/>
    <x v="7"/>
    <s v="NORTH_AMERICA"/>
    <s v="NO_REGION"/>
    <s v="NORTH_AMERICA_NO_REGION"/>
    <x v="1"/>
    <b v="0"/>
    <b v="0"/>
    <b v="0"/>
    <b v="0"/>
    <b v="0"/>
    <b v="1"/>
    <b v="0"/>
    <b v="0"/>
  </r>
  <r>
    <s v="mtro_Argentina_Le_Brugeoise"/>
    <x v="1"/>
    <x v="9"/>
    <s v="SOUTH_AMERICA"/>
    <s v="NO_REGION"/>
    <s v="SOUTH_AMERICA_NO_REGION"/>
    <x v="1"/>
    <b v="0"/>
    <b v="0"/>
    <b v="0"/>
    <b v="0"/>
    <b v="0"/>
    <b v="0"/>
    <b v="1"/>
    <b v="0"/>
  </r>
  <r>
    <s v="mtro_USA_NY_R1"/>
    <x v="3"/>
    <x v="9"/>
    <s v="NORTH_AMERICA"/>
    <s v="NO_REGION"/>
    <s v="NORTH_AMERICA_NO_REGION"/>
    <x v="1"/>
    <b v="0"/>
    <b v="0"/>
    <b v="0"/>
    <b v="0"/>
    <b v="0"/>
    <b v="1"/>
    <b v="0"/>
    <b v="0"/>
  </r>
  <r>
    <s v="mtro_Germany_DB_ET_171"/>
    <x v="4"/>
    <x v="9"/>
    <s v="WESTERN_EUROPE"/>
    <s v="NO_REGION"/>
    <s v="WESTERN_EUROPE_NO_REGION"/>
    <x v="1"/>
    <b v="0"/>
    <b v="0"/>
    <b v="0"/>
    <b v="1"/>
    <b v="0"/>
    <b v="0"/>
    <b v="0"/>
    <b v="0"/>
  </r>
  <r>
    <s v="mtro_France_Paris_M2_840"/>
    <x v="4"/>
    <x v="9"/>
    <s v="WESTERN_EUROPE"/>
    <s v="NO_REGION"/>
    <s v="WESTERN_EUROPE_NO_REGION"/>
    <x v="1"/>
    <b v="0"/>
    <b v="0"/>
    <b v="0"/>
    <b v="1"/>
    <b v="0"/>
    <b v="0"/>
    <b v="0"/>
    <b v="0"/>
  </r>
  <r>
    <s v="mtro_Portugal_Lisbon_ML7"/>
    <x v="4"/>
    <x v="9"/>
    <s v="SOUTHERN_EUROPE"/>
    <s v="NO_REGION"/>
    <s v="SOUTHERN_EUROPE_NO_REGION"/>
    <x v="1"/>
    <b v="0"/>
    <b v="1"/>
    <b v="0"/>
    <b v="0"/>
    <b v="0"/>
    <b v="0"/>
    <b v="0"/>
    <b v="0"/>
  </r>
  <r>
    <s v="mtro_Hungary_Budapest_Ev3_200"/>
    <x v="6"/>
    <x v="9"/>
    <s v="EASTERN_EUROPE"/>
    <s v="NO_REGION"/>
    <s v="EASTERN_EUROPE_NO_REGION"/>
    <x v="1"/>
    <b v="0"/>
    <b v="0"/>
    <b v="1"/>
    <b v="0"/>
    <b v="0"/>
    <b v="0"/>
    <b v="0"/>
    <b v="0"/>
  </r>
  <r>
    <s v="mtro_Norway_Oslo_T1000"/>
    <x v="6"/>
    <x v="9"/>
    <s v="NORTHERN_EUROPE"/>
    <s v="NO_REGION"/>
    <s v="NORTHERN_EUROPE_NO_REGION"/>
    <x v="1"/>
    <b v="0"/>
    <b v="0"/>
    <b v="0"/>
    <b v="0"/>
    <b v="1"/>
    <b v="0"/>
    <b v="0"/>
    <b v="0"/>
  </r>
  <r>
    <s v="mtro_Canada_Toronto_H_series"/>
    <x v="6"/>
    <x v="9"/>
    <s v="NORTH_AMERICA"/>
    <s v="NO_REGION"/>
    <s v="NORTH_AMERICA_NO_REGION"/>
    <x v="1"/>
    <b v="0"/>
    <b v="0"/>
    <b v="0"/>
    <b v="0"/>
    <b v="0"/>
    <b v="1"/>
    <b v="0"/>
    <b v="0"/>
  </r>
  <r>
    <s v="mtro_Germany_Munchen_MVG_A2"/>
    <x v="6"/>
    <x v="9"/>
    <s v="WESTERN_EUROPE"/>
    <s v="NO_REGION"/>
    <s v="WESTERN_EUROPE_NO_REGION"/>
    <x v="1"/>
    <b v="0"/>
    <b v="0"/>
    <b v="0"/>
    <b v="1"/>
    <b v="0"/>
    <b v="0"/>
    <b v="0"/>
    <b v="0"/>
  </r>
  <r>
    <s v="mtro_USA_NY_R44"/>
    <x v="6"/>
    <x v="9"/>
    <s v="NORTH_AMERICA"/>
    <s v="NO_REGION"/>
    <s v="NORTH_AMERICA_NO_REGION"/>
    <x v="1"/>
    <b v="0"/>
    <b v="0"/>
    <b v="0"/>
    <b v="0"/>
    <b v="0"/>
    <b v="1"/>
    <b v="0"/>
    <b v="0"/>
  </r>
  <r>
    <s v="mtro_Netherlands_Amsterdam_Type_M1"/>
    <x v="6"/>
    <x v="9"/>
    <s v="WESTERN_EUROPE"/>
    <s v="NO_REGION"/>
    <s v="WESTERN_EUROPE_NO_REGION"/>
    <x v="1"/>
    <b v="0"/>
    <b v="0"/>
    <b v="0"/>
    <b v="1"/>
    <b v="0"/>
    <b v="0"/>
    <b v="0"/>
    <b v="0"/>
  </r>
  <r>
    <s v="mtro_Sweden_Stockholm_C8"/>
    <x v="6"/>
    <x v="9"/>
    <s v="NORTHERN_EUROPE"/>
    <s v="NO_REGION"/>
    <s v="NORTHERN_EUROPE_NO_REGION"/>
    <x v="1"/>
    <b v="0"/>
    <b v="0"/>
    <b v="0"/>
    <b v="0"/>
    <b v="1"/>
    <b v="0"/>
    <b v="0"/>
    <b v="0"/>
  </r>
  <r>
    <s v="mtro_North_Korea_Pyongyang_D_stock"/>
    <x v="5"/>
    <x v="9"/>
    <s v="ASIA"/>
    <s v="NO_REGION"/>
    <s v="ASIA_NO_REGION"/>
    <x v="1"/>
    <b v="1"/>
    <b v="0"/>
    <b v="0"/>
    <b v="0"/>
    <b v="0"/>
    <b v="0"/>
    <b v="0"/>
    <b v="0"/>
  </r>
  <r>
    <s v="mtro_Finland_Helsinki_M100"/>
    <x v="6"/>
    <x v="9"/>
    <s v="NORTHERN_EUROPE"/>
    <s v="NO_REGION"/>
    <s v="NORTHERN_EUROPE_NO_REGION"/>
    <x v="1"/>
    <b v="0"/>
    <b v="0"/>
    <b v="0"/>
    <b v="0"/>
    <b v="1"/>
    <b v="0"/>
    <b v="0"/>
    <b v="0"/>
  </r>
  <r>
    <s v="mtro_Brazil_Sao_Paulo_Serie_5500"/>
    <x v="6"/>
    <x v="9"/>
    <s v="SOUTH_AMERICA"/>
    <s v="NO_REGION"/>
    <s v="SOUTH_AMERICA_NO_REGION"/>
    <x v="1"/>
    <b v="0"/>
    <b v="0"/>
    <b v="0"/>
    <b v="0"/>
    <b v="0"/>
    <b v="0"/>
    <b v="1"/>
    <b v="0"/>
  </r>
  <r>
    <s v="mtro_Russia_Moscow_81_720"/>
    <x v="5"/>
    <x v="9"/>
    <s v="ASIA"/>
    <s v="NO_REGION"/>
    <s v="ASIA_NO_REGION"/>
    <x v="1"/>
    <b v="1"/>
    <b v="0"/>
    <b v="0"/>
    <b v="0"/>
    <b v="0"/>
    <b v="0"/>
    <b v="0"/>
    <b v="0"/>
  </r>
  <r>
    <s v="mtro_Japan_Tokyo_S01"/>
    <x v="5"/>
    <x v="9"/>
    <s v="ASIA"/>
    <s v="NO_REGION"/>
    <s v="ASIA_NO_REGION"/>
    <x v="1"/>
    <b v="1"/>
    <b v="0"/>
    <b v="0"/>
    <b v="0"/>
    <b v="0"/>
    <b v="0"/>
    <b v="0"/>
    <b v="0"/>
  </r>
  <r>
    <s v="mtro_Egypt_Cairo_1987_Stock"/>
    <x v="5"/>
    <x v="9"/>
    <s v="AFRICA"/>
    <s v="NO_REGION"/>
    <s v="AFRICA_NO_REGION"/>
    <x v="0"/>
    <b v="0"/>
    <b v="0"/>
    <b v="0"/>
    <b v="0"/>
    <b v="0"/>
    <b v="0"/>
    <b v="0"/>
    <b v="0"/>
  </r>
  <r>
    <s v="mtro_UK_DLR_P86"/>
    <x v="5"/>
    <x v="9"/>
    <s v="NORTHERN_EUROPE"/>
    <s v="NO_REGION"/>
    <s v="NORTHERN_EUROPE_NO_REGION"/>
    <x v="1"/>
    <b v="0"/>
    <b v="0"/>
    <b v="0"/>
    <b v="0"/>
    <b v="1"/>
    <b v="0"/>
    <b v="0"/>
    <b v="0"/>
  </r>
  <r>
    <s v="mtro_Russia_Moscow_81_7175M"/>
    <x v="5"/>
    <x v="9"/>
    <s v="ASIA"/>
    <s v="NO_REGION"/>
    <s v="ASIA_NO_REGION"/>
    <x v="1"/>
    <b v="1"/>
    <b v="0"/>
    <b v="0"/>
    <b v="0"/>
    <b v="0"/>
    <b v="0"/>
    <b v="0"/>
    <b v="0"/>
  </r>
  <r>
    <s v="mtro_USA_Boston_01800"/>
    <x v="5"/>
    <x v="9"/>
    <s v="NORTH_AMERICA"/>
    <s v="NO_REGION"/>
    <s v="NORTH_AMERICA_NO_REGION"/>
    <x v="1"/>
    <b v="0"/>
    <b v="0"/>
    <b v="0"/>
    <b v="0"/>
    <b v="0"/>
    <b v="1"/>
    <b v="0"/>
    <b v="0"/>
  </r>
  <r>
    <s v="mtro_USA_LA_A650"/>
    <x v="5"/>
    <x v="9"/>
    <s v="NORTH_AMERICA"/>
    <s v="NO_REGION"/>
    <s v="NORTH_AMERICA_NO_REGION"/>
    <x v="1"/>
    <b v="0"/>
    <b v="0"/>
    <b v="0"/>
    <b v="0"/>
    <b v="0"/>
    <b v="1"/>
    <b v="0"/>
    <b v="0"/>
  </r>
  <r>
    <s v="mtro_Taiwan_Taipei_C301"/>
    <x v="5"/>
    <x v="9"/>
    <s v="ASIA"/>
    <s v="NO_REGION"/>
    <s v="ASIA_NO_REGION"/>
    <x v="1"/>
    <b v="1"/>
    <b v="0"/>
    <b v="0"/>
    <b v="0"/>
    <b v="0"/>
    <b v="0"/>
    <b v="0"/>
    <b v="0"/>
  </r>
  <r>
    <s v="mtro_Netherlands_Amsterdam_CAF_90"/>
    <x v="5"/>
    <x v="9"/>
    <s v="WESTERN_EUROPE"/>
    <s v="NO_REGION"/>
    <s v="WESTERN_EUROPE_NO_REGION"/>
    <x v="1"/>
    <b v="0"/>
    <b v="0"/>
    <b v="0"/>
    <b v="1"/>
    <b v="0"/>
    <b v="0"/>
    <b v="0"/>
    <b v="0"/>
  </r>
  <r>
    <s v="mtro_France_Paris_MP89"/>
    <x v="5"/>
    <x v="9"/>
    <s v="WESTERN_EUROPE"/>
    <s v="NO_REGION"/>
    <s v="WESTERN_EUROPE_NO_REGION"/>
    <x v="1"/>
    <b v="0"/>
    <b v="0"/>
    <b v="0"/>
    <b v="1"/>
    <b v="0"/>
    <b v="0"/>
    <b v="0"/>
    <b v="0"/>
  </r>
  <r>
    <s v="mtro_Russia_Moscow_81_740"/>
    <x v="0"/>
    <x v="9"/>
    <s v="ASIA"/>
    <s v="NO_REGION"/>
    <s v="ASIA_NO_REGION"/>
    <x v="1"/>
    <b v="1"/>
    <b v="0"/>
    <b v="0"/>
    <b v="0"/>
    <b v="0"/>
    <b v="0"/>
    <b v="0"/>
    <b v="0"/>
  </r>
  <r>
    <s v="mtro_Singapore_Singapore_C830_Metropolis"/>
    <x v="0"/>
    <x v="9"/>
    <s v="ASIA"/>
    <s v="NO_REGION"/>
    <s v="ASIA_NO_REGION"/>
    <x v="1"/>
    <b v="1"/>
    <b v="0"/>
    <b v="0"/>
    <b v="0"/>
    <b v="0"/>
    <b v="0"/>
    <b v="0"/>
    <b v="0"/>
  </r>
  <r>
    <s v="mtro_Norway_Oslo_MX3000"/>
    <x v="0"/>
    <x v="9"/>
    <s v="NORTHERN_EUROPE"/>
    <s v="NO_REGION"/>
    <s v="NORTHERN_EUROPE_NO_REGION"/>
    <x v="1"/>
    <b v="0"/>
    <b v="0"/>
    <b v="0"/>
    <b v="0"/>
    <b v="1"/>
    <b v="0"/>
    <b v="0"/>
    <b v="0"/>
  </r>
  <r>
    <s v="mtro_Japan_Osaka_30000"/>
    <x v="0"/>
    <x v="9"/>
    <s v="ASIA"/>
    <s v="NO_REGION"/>
    <s v="ASIA_NO_REGION"/>
    <x v="1"/>
    <b v="1"/>
    <b v="0"/>
    <b v="0"/>
    <b v="0"/>
    <b v="0"/>
    <b v="0"/>
    <b v="0"/>
    <b v="0"/>
  </r>
  <r>
    <s v="mtro_Singapore_Singapore_C151A"/>
    <x v="0"/>
    <x v="9"/>
    <s v="ASIA"/>
    <s v="NO_REGION"/>
    <s v="ASIA_NO_REGION"/>
    <x v="1"/>
    <b v="1"/>
    <b v="0"/>
    <b v="0"/>
    <b v="0"/>
    <b v="0"/>
    <b v="0"/>
    <b v="0"/>
    <b v="0"/>
  </r>
  <r>
    <s v="mtro_USA_Washington_7000"/>
    <x v="0"/>
    <x v="9"/>
    <s v="NORTH_AMERICA"/>
    <s v="NO_REGION"/>
    <s v="NORTH_AMERICA_NO_REGION"/>
    <x v="1"/>
    <b v="0"/>
    <b v="0"/>
    <b v="0"/>
    <b v="0"/>
    <b v="0"/>
    <b v="1"/>
    <b v="0"/>
    <b v="0"/>
  </r>
  <r>
    <s v="mtro_Greece_Thessaloniki_2014"/>
    <x v="10"/>
    <x v="9"/>
    <s v="SOUTHERN_EUROPE"/>
    <s v="NO_REGION"/>
    <s v="SOUTHERN_EUROPE_NO_REGION"/>
    <x v="1"/>
    <b v="0"/>
    <b v="1"/>
    <b v="0"/>
    <b v="0"/>
    <b v="0"/>
    <b v="0"/>
    <b v="0"/>
    <b v="0"/>
  </r>
  <r>
    <s v="mtro_Germany_Berlin_U_Bahn_A_I"/>
    <x v="1"/>
    <x v="9"/>
    <s v="WESTERN_EUROPE"/>
    <s v="NO_REGION"/>
    <s v="WESTERN_EUROPE_NO_REGION"/>
    <x v="1"/>
    <b v="0"/>
    <b v="0"/>
    <b v="0"/>
    <b v="1"/>
    <b v="0"/>
    <b v="0"/>
    <b v="0"/>
    <b v="0"/>
  </r>
  <r>
    <s v="mtro_USA_NY_Hedley_Hi_V"/>
    <x v="1"/>
    <x v="9"/>
    <s v="NORTH_AMERICA"/>
    <s v="NO_REGION"/>
    <s v="NORTH_AMERICA_NO_REGION"/>
    <x v="1"/>
    <b v="0"/>
    <b v="0"/>
    <b v="0"/>
    <b v="0"/>
    <b v="0"/>
    <b v="1"/>
    <b v="0"/>
    <b v="0"/>
  </r>
  <r>
    <s v="mtro_Japan_Osaka_1000"/>
    <x v="3"/>
    <x v="9"/>
    <s v="ASIA"/>
    <s v="NO_REGION"/>
    <s v="ASIA_NO_REGION"/>
    <x v="1"/>
    <b v="1"/>
    <b v="0"/>
    <b v="0"/>
    <b v="0"/>
    <b v="0"/>
    <b v="0"/>
    <b v="0"/>
    <b v="0"/>
  </r>
  <r>
    <s v="mtro_Russia_Moscow_Type_A"/>
    <x v="3"/>
    <x v="9"/>
    <s v="ASIA"/>
    <s v="NO_REGION"/>
    <s v="ASIA_NO_REGION"/>
    <x v="1"/>
    <b v="1"/>
    <b v="0"/>
    <b v="0"/>
    <b v="0"/>
    <b v="0"/>
    <b v="0"/>
    <b v="0"/>
    <b v="0"/>
  </r>
  <r>
    <s v="mtro_USA_NY_R10"/>
    <x v="4"/>
    <x v="9"/>
    <s v="NORTH_AMERICA"/>
    <s v="NO_REGION"/>
    <s v="NORTH_AMERICA_NO_REGION"/>
    <x v="1"/>
    <b v="0"/>
    <b v="0"/>
    <b v="0"/>
    <b v="0"/>
    <b v="0"/>
    <b v="1"/>
    <b v="0"/>
    <b v="0"/>
  </r>
  <r>
    <s v="mtro_Italy_Rome_MR_100"/>
    <x v="4"/>
    <x v="9"/>
    <s v="SOUTHERN_EUROPE"/>
    <s v="NO_REGION"/>
    <s v="SOUTHERN_EUROPE_NO_REGION"/>
    <x v="1"/>
    <b v="0"/>
    <b v="1"/>
    <b v="0"/>
    <b v="0"/>
    <b v="0"/>
    <b v="0"/>
    <b v="0"/>
    <b v="0"/>
  </r>
  <r>
    <s v="mtro_Russia_Moscow_Type_D"/>
    <x v="4"/>
    <x v="9"/>
    <s v="ASIA"/>
    <s v="NO_REGION"/>
    <s v="ASIA_NO_REGION"/>
    <x v="1"/>
    <b v="1"/>
    <b v="0"/>
    <b v="0"/>
    <b v="0"/>
    <b v="0"/>
    <b v="0"/>
    <b v="0"/>
    <b v="0"/>
  </r>
  <r>
    <s v="mtro_Netherlands_Rotterdam_MG2_Type_M"/>
    <x v="6"/>
    <x v="9"/>
    <s v="WESTERN_EUROPE"/>
    <s v="NO_REGION"/>
    <s v="WESTERN_EUROPE_NO_REGION"/>
    <x v="1"/>
    <b v="0"/>
    <b v="0"/>
    <b v="0"/>
    <b v="1"/>
    <b v="0"/>
    <b v="0"/>
    <b v="0"/>
    <b v="0"/>
  </r>
  <r>
    <s v="mtro_Czech_Republic_Prague_ECS_Set"/>
    <x v="6"/>
    <x v="9"/>
    <s v="EASTERN_EUROPE"/>
    <s v="NO_REGION"/>
    <s v="EASTERN_EUROPE_NO_REGION"/>
    <x v="1"/>
    <b v="0"/>
    <b v="0"/>
    <b v="1"/>
    <b v="0"/>
    <b v="0"/>
    <b v="0"/>
    <b v="0"/>
    <b v="0"/>
  </r>
  <r>
    <s v="mtro_Argentina_Buenos_Aires_Serie_1200"/>
    <x v="5"/>
    <x v="9"/>
    <s v="SOUTH_AMERICA"/>
    <s v="NO_REGION"/>
    <s v="SOUTH_AMERICA_NO_REGION"/>
    <x v="1"/>
    <b v="0"/>
    <b v="0"/>
    <b v="0"/>
    <b v="0"/>
    <b v="0"/>
    <b v="0"/>
    <b v="1"/>
    <b v="0"/>
  </r>
  <r>
    <s v="mtro_Chile_Santiago_NS_93"/>
    <x v="5"/>
    <x v="9"/>
    <s v="SOUTH_AMERICA"/>
    <s v="NO_REGION"/>
    <s v="SOUTH_AMERICA_NO_REGION"/>
    <x v="1"/>
    <b v="0"/>
    <b v="0"/>
    <b v="0"/>
    <b v="0"/>
    <b v="0"/>
    <b v="0"/>
    <b v="1"/>
    <b v="0"/>
  </r>
  <r>
    <s v="mtro_Chile_Santiago_AS_2002"/>
    <x v="0"/>
    <x v="9"/>
    <s v="SOUTH_AMERICA"/>
    <s v="NO_REGION"/>
    <s v="SOUTH_AMERICA_NO_REGION"/>
    <x v="1"/>
    <b v="0"/>
    <b v="0"/>
    <b v="0"/>
    <b v="0"/>
    <b v="0"/>
    <b v="0"/>
    <b v="1"/>
    <b v="0"/>
  </r>
  <r>
    <s v="mtro_Brazil_Recife_VLT_Mobile_3"/>
    <x v="0"/>
    <x v="9"/>
    <s v="SOUTH_AMERICA"/>
    <s v="NO_REGION"/>
    <s v="SOUTH_AMERICA_NO_REGION"/>
    <x v="1"/>
    <b v="0"/>
    <b v="0"/>
    <b v="0"/>
    <b v="0"/>
    <b v="0"/>
    <b v="0"/>
    <b v="1"/>
    <b v="0"/>
  </r>
  <r>
    <s v="mtro_Spain_Madrid_Series_5000"/>
    <x v="6"/>
    <x v="9"/>
    <s v="SOUTHERN_EUROPE"/>
    <s v="NO_REGION"/>
    <s v="SOUTHERN_EUROPE_NO_REGION"/>
    <x v="1"/>
    <b v="0"/>
    <b v="1"/>
    <b v="0"/>
    <b v="0"/>
    <b v="0"/>
    <b v="0"/>
    <b v="0"/>
    <b v="0"/>
  </r>
  <r>
    <s v="mtro_Italy_Rome_S_300"/>
    <x v="5"/>
    <x v="9"/>
    <s v="SOUTHERN_EUROPE"/>
    <s v="NO_REGION"/>
    <s v="SOUTHERN_EUROPE_NO_REGION"/>
    <x v="1"/>
    <b v="0"/>
    <b v="1"/>
    <b v="0"/>
    <b v="0"/>
    <b v="0"/>
    <b v="0"/>
    <b v="0"/>
    <b v="0"/>
  </r>
  <r>
    <s v="mtro_Algeria_Algiers_CAF_2011_Stock"/>
    <x v="0"/>
    <x v="9"/>
    <s v="AFRICA"/>
    <s v="NO_REGION"/>
    <s v="AFRICA_NO_REGION"/>
    <x v="0"/>
    <b v="0"/>
    <b v="0"/>
    <b v="0"/>
    <b v="0"/>
    <b v="0"/>
    <b v="0"/>
    <b v="0"/>
    <b v="0"/>
  </r>
  <r>
    <s v="mtro_Germany_Berlin_U_Bahn_IK"/>
    <x v="0"/>
    <x v="9"/>
    <s v="WESTERN_EUROPE"/>
    <s v="NO_REGION"/>
    <s v="WESTERN_EUROPE_NO_REGION"/>
    <x v="1"/>
    <b v="0"/>
    <b v="0"/>
    <b v="0"/>
    <b v="1"/>
    <b v="0"/>
    <b v="0"/>
    <b v="0"/>
    <b v="0"/>
  </r>
  <r>
    <s v="mtro_USA_Chicago_L_6000"/>
    <x v="4"/>
    <x v="9"/>
    <s v="NORTH_AMERICA"/>
    <s v="NO_REGION"/>
    <s v="NORTH_AMERICA_NO_REGION"/>
    <x v="1"/>
    <b v="0"/>
    <b v="0"/>
    <b v="0"/>
    <b v="0"/>
    <b v="0"/>
    <b v="1"/>
    <b v="0"/>
    <b v="0"/>
  </r>
  <r>
    <s v="mtro_UK_London_1903_Stock"/>
    <x v="1"/>
    <x v="9"/>
    <s v="NORTHERN_EUROPE"/>
    <s v="NO_REGION"/>
    <s v="NORTHERN_EUROPE_NO_REGION"/>
    <x v="1"/>
    <b v="0"/>
    <b v="0"/>
    <b v="0"/>
    <b v="0"/>
    <b v="1"/>
    <b v="0"/>
    <b v="0"/>
    <b v="0"/>
  </r>
  <r>
    <s v="mtro_UK_London_1938_Stock"/>
    <x v="3"/>
    <x v="9"/>
    <s v="NORTHERN_EUROPE"/>
    <s v="NO_REGION"/>
    <s v="NORTHERN_EUROPE_NO_REGION"/>
    <x v="1"/>
    <b v="0"/>
    <b v="0"/>
    <b v="0"/>
    <b v="0"/>
    <b v="1"/>
    <b v="0"/>
    <b v="0"/>
    <b v="0"/>
  </r>
  <r>
    <s v="electric_UK_NER_EF1"/>
    <x v="1"/>
    <x v="5"/>
    <s v="NORTHERN_EUROPE"/>
    <s v="NO_REGION"/>
    <s v="NORTHERN_EUROPE_NO_REGION"/>
    <x v="1"/>
    <b v="0"/>
    <b v="0"/>
    <b v="0"/>
    <b v="0"/>
    <b v="1"/>
    <b v="0"/>
    <b v="0"/>
    <b v="0"/>
  </r>
  <r>
    <s v="electric_Japan_JNR_EB10"/>
    <x v="3"/>
    <x v="5"/>
    <s v="ASIA"/>
    <s v="NO_REGION"/>
    <s v="ASIA_NO_REGION"/>
    <x v="1"/>
    <b v="1"/>
    <b v="0"/>
    <b v="0"/>
    <b v="0"/>
    <b v="0"/>
    <b v="0"/>
    <b v="0"/>
    <b v="0"/>
  </r>
  <r>
    <s v="electric_Japan_JNR_EF55"/>
    <x v="3"/>
    <x v="6"/>
    <s v="ASIA"/>
    <s v="NO_REGION"/>
    <s v="ASIA_NO_REGION"/>
    <x v="1"/>
    <b v="1"/>
    <b v="0"/>
    <b v="0"/>
    <b v="0"/>
    <b v="0"/>
    <b v="0"/>
    <b v="0"/>
    <b v="0"/>
  </r>
  <r>
    <s v="electric_Netherlands_NS_1000"/>
    <x v="4"/>
    <x v="6"/>
    <s v="WESTERN_EUROPE"/>
    <s v="NO_REGION"/>
    <s v="WESTERN_EUROPE_NO_REGION"/>
    <x v="1"/>
    <b v="0"/>
    <b v="0"/>
    <b v="0"/>
    <b v="1"/>
    <b v="0"/>
    <b v="0"/>
    <b v="0"/>
    <b v="0"/>
  </r>
  <r>
    <s v="electric_Netherlands_NS_1600"/>
    <x v="5"/>
    <x v="7"/>
    <s v="WESTERN_EUROPE"/>
    <s v="NO_REGION"/>
    <s v="WESTERN_EUROPE_NO_REGION"/>
    <x v="1"/>
    <b v="0"/>
    <b v="0"/>
    <b v="0"/>
    <b v="1"/>
    <b v="0"/>
    <b v="0"/>
    <b v="0"/>
    <b v="0"/>
  </r>
  <r>
    <s v="electric_Australia_Victorian_Railways_E_Class"/>
    <x v="3"/>
    <x v="6"/>
    <s v="OCEANIA"/>
    <s v="NO_REGION"/>
    <s v="OCEANIA_NO_REGION"/>
    <x v="1"/>
    <b v="0"/>
    <b v="0"/>
    <b v="0"/>
    <b v="0"/>
    <b v="0"/>
    <b v="0"/>
    <b v="0"/>
    <b v="1"/>
  </r>
  <r>
    <s v="electric_UK_NER_ES1"/>
    <x v="1"/>
    <x v="5"/>
    <s v="NORTHERN_EUROPE"/>
    <s v="NO_REGION"/>
    <s v="NORTHERN_EUROPE_NO_REGION"/>
    <x v="1"/>
    <b v="0"/>
    <b v="0"/>
    <b v="0"/>
    <b v="0"/>
    <b v="1"/>
    <b v="0"/>
    <b v="0"/>
    <b v="0"/>
  </r>
  <r>
    <s v="electric_USA_NYC_S_motor"/>
    <x v="1"/>
    <x v="6"/>
    <s v="NORTH_AMERICA"/>
    <s v="NO_REGION"/>
    <s v="NORTH_AMERICA_NO_REGION"/>
    <x v="1"/>
    <b v="0"/>
    <b v="0"/>
    <b v="0"/>
    <b v="0"/>
    <b v="0"/>
    <b v="1"/>
    <b v="0"/>
    <b v="0"/>
  </r>
  <r>
    <s v="electric_Japan_Aichi_Railroad_DeKi_400"/>
    <x v="3"/>
    <x v="5"/>
    <s v="ASIA"/>
    <s v="NO_REGION"/>
    <s v="ASIA_NO_REGION"/>
    <x v="1"/>
    <b v="1"/>
    <b v="0"/>
    <b v="0"/>
    <b v="0"/>
    <b v="0"/>
    <b v="0"/>
    <b v="0"/>
    <b v="0"/>
  </r>
  <r>
    <s v="electric_India_Indian_Railways_WCG_1"/>
    <x v="3"/>
    <x v="6"/>
    <s v="ASIA"/>
    <s v="NO_REGION"/>
    <s v="ASIA_NO_REGION"/>
    <x v="1"/>
    <b v="1"/>
    <b v="0"/>
    <b v="0"/>
    <b v="0"/>
    <b v="0"/>
    <b v="0"/>
    <b v="0"/>
    <b v="0"/>
  </r>
  <r>
    <s v="electric_France_SNCF_BB_9004"/>
    <x v="4"/>
    <x v="6"/>
    <s v="WESTERN_EUROPE"/>
    <s v="NO_REGION"/>
    <s v="WESTERN_EUROPE_NO_REGION"/>
    <x v="1"/>
    <b v="0"/>
    <b v="0"/>
    <b v="0"/>
    <b v="1"/>
    <b v="0"/>
    <b v="0"/>
    <b v="0"/>
    <b v="0"/>
  </r>
  <r>
    <s v="electric_Indonesia_ESS_3200"/>
    <x v="3"/>
    <x v="6"/>
    <s v="OCEANIA"/>
    <s v="NO_REGION"/>
    <s v="OCEANIA_NO_REGION"/>
    <x v="1"/>
    <b v="0"/>
    <b v="0"/>
    <b v="0"/>
    <b v="0"/>
    <b v="0"/>
    <b v="0"/>
    <b v="0"/>
    <b v="1"/>
  </r>
  <r>
    <s v="electric_UK_BR_77_Metrovic"/>
    <x v="4"/>
    <x v="6"/>
    <s v="NORTHERN_EUROPE"/>
    <s v="NO_REGION"/>
    <s v="NORTHERN_EUROPE_NO_REGION"/>
    <x v="1"/>
    <b v="0"/>
    <b v="0"/>
    <b v="0"/>
    <b v="0"/>
    <b v="1"/>
    <b v="0"/>
    <b v="0"/>
    <b v="0"/>
  </r>
  <r>
    <s v="electric_UK_NER_EE1"/>
    <x v="3"/>
    <x v="6"/>
    <s v="NORTHERN_EUROPE"/>
    <s v="NO_REGION"/>
    <s v="NORTHERN_EUROPE_NO_REGION"/>
    <x v="1"/>
    <b v="0"/>
    <b v="0"/>
    <b v="0"/>
    <b v="0"/>
    <b v="1"/>
    <b v="0"/>
    <b v="0"/>
    <b v="0"/>
  </r>
  <r>
    <s v="electric_USA_Milwaukee_Road_ES_2"/>
    <x v="1"/>
    <x v="6"/>
    <s v="NORTH_AMERICA"/>
    <s v="NO_REGION"/>
    <s v="NORTH_AMERICA_NO_REGION"/>
    <x v="1"/>
    <b v="0"/>
    <b v="0"/>
    <b v="0"/>
    <b v="0"/>
    <b v="0"/>
    <b v="1"/>
    <b v="0"/>
    <b v="0"/>
  </r>
  <r>
    <s v="electric_USA_Milwaukee_Road_EP_2_Bipolar"/>
    <x v="1"/>
    <x v="8"/>
    <s v="NORTH_AMERICA"/>
    <s v="NO_REGION"/>
    <s v="NORTH_AMERICA_NO_REGION"/>
    <x v="1"/>
    <b v="0"/>
    <b v="0"/>
    <b v="0"/>
    <b v="0"/>
    <b v="0"/>
    <b v="1"/>
    <b v="0"/>
    <b v="0"/>
  </r>
  <r>
    <s v="electric_Chile_EFE_E_28"/>
    <x v="3"/>
    <x v="6"/>
    <s v="SOUTH_AMERICA"/>
    <s v="NO_REGION"/>
    <s v="SOUTH_AMERICA_NO_REGION"/>
    <x v="1"/>
    <b v="0"/>
    <b v="0"/>
    <b v="0"/>
    <b v="0"/>
    <b v="0"/>
    <b v="0"/>
    <b v="1"/>
    <b v="0"/>
  </r>
  <r>
    <s v="electric_Italy_FS_E428"/>
    <x v="3"/>
    <x v="6"/>
    <s v="SOUTHERN_EUROPE"/>
    <s v="NO_REGION"/>
    <s v="SOUTHERN_EUROPE_NO_REGION"/>
    <x v="1"/>
    <b v="0"/>
    <b v="1"/>
    <b v="0"/>
    <b v="0"/>
    <b v="0"/>
    <b v="0"/>
    <b v="0"/>
    <b v="0"/>
  </r>
  <r>
    <s v="electric_South_Africa_SAR_ES_Class"/>
    <x v="3"/>
    <x v="6"/>
    <s v="AFRICA"/>
    <s v="NO_REGION"/>
    <s v="AFRICA_NO_REGION"/>
    <x v="0"/>
    <b v="0"/>
    <b v="0"/>
    <b v="0"/>
    <b v="0"/>
    <b v="0"/>
    <b v="0"/>
    <b v="0"/>
    <b v="0"/>
  </r>
  <r>
    <s v="electric_Poland_PKP_EU06"/>
    <x v="6"/>
    <x v="6"/>
    <s v="EASTERN_EUROPE"/>
    <s v="NO_REGION"/>
    <s v="EASTERN_EUROPE_NO_REGION"/>
    <x v="1"/>
    <b v="0"/>
    <b v="0"/>
    <b v="1"/>
    <b v="0"/>
    <b v="0"/>
    <b v="0"/>
    <b v="0"/>
    <b v="0"/>
  </r>
  <r>
    <s v="electric_Poland_PKP_ET41"/>
    <x v="6"/>
    <x v="8"/>
    <s v="EASTERN_EUROPE"/>
    <s v="NO_REGION"/>
    <s v="EASTERN_EUROPE_NO_REGION"/>
    <x v="1"/>
    <b v="0"/>
    <b v="0"/>
    <b v="1"/>
    <b v="0"/>
    <b v="0"/>
    <b v="0"/>
    <b v="0"/>
    <b v="0"/>
  </r>
  <r>
    <s v="electric_Poland_PKP_EP09"/>
    <x v="5"/>
    <x v="7"/>
    <s v="EASTERN_EUROPE"/>
    <s v="NO_REGION"/>
    <s v="EASTERN_EUROPE_NO_REGION"/>
    <x v="1"/>
    <b v="0"/>
    <b v="0"/>
    <b v="1"/>
    <b v="0"/>
    <b v="0"/>
    <b v="0"/>
    <b v="0"/>
    <b v="0"/>
  </r>
  <r>
    <s v="electric_Slovakia_ZSSK_162"/>
    <x v="5"/>
    <x v="6"/>
    <s v="EASTERN_EUROPE"/>
    <s v="NO_REGION"/>
    <s v="EASTERN_EUROPE_NO_REGION"/>
    <x v="1"/>
    <b v="0"/>
    <b v="0"/>
    <b v="1"/>
    <b v="0"/>
    <b v="0"/>
    <b v="0"/>
    <b v="0"/>
    <b v="0"/>
  </r>
  <r>
    <s v="electric_Italy_FS_E646"/>
    <x v="6"/>
    <x v="6"/>
    <s v="SOUTHERN_EUROPE"/>
    <s v="NO_REGION"/>
    <s v="SOUTHERN_EUROPE_NO_REGION"/>
    <x v="1"/>
    <b v="0"/>
    <b v="1"/>
    <b v="0"/>
    <b v="0"/>
    <b v="0"/>
    <b v="0"/>
    <b v="0"/>
    <b v="0"/>
  </r>
  <r>
    <s v="electric_Italy_FS_E424"/>
    <x v="4"/>
    <x v="6"/>
    <s v="SOUTHERN_EUROPE"/>
    <s v="NO_REGION"/>
    <s v="SOUTHERN_EUROPE_NO_REGION"/>
    <x v="1"/>
    <b v="0"/>
    <b v="1"/>
    <b v="0"/>
    <b v="0"/>
    <b v="0"/>
    <b v="0"/>
    <b v="0"/>
    <b v="0"/>
  </r>
  <r>
    <s v="electric_Italy_FS_E444"/>
    <x v="6"/>
    <x v="7"/>
    <s v="SOUTHERN_EUROPE"/>
    <s v="NO_REGION"/>
    <s v="SOUTHERN_EUROPE_NO_REGION"/>
    <x v="1"/>
    <b v="0"/>
    <b v="1"/>
    <b v="0"/>
    <b v="0"/>
    <b v="0"/>
    <b v="0"/>
    <b v="0"/>
    <b v="0"/>
  </r>
  <r>
    <s v="electric_Italy_FS_E633"/>
    <x v="6"/>
    <x v="6"/>
    <s v="SOUTHERN_EUROPE"/>
    <s v="NO_REGION"/>
    <s v="SOUTHERN_EUROPE_NO_REGION"/>
    <x v="1"/>
    <b v="0"/>
    <b v="1"/>
    <b v="0"/>
    <b v="0"/>
    <b v="0"/>
    <b v="0"/>
    <b v="0"/>
    <b v="0"/>
  </r>
  <r>
    <s v="electric_Belgium_NMBS_Class_255"/>
    <x v="6"/>
    <x v="6"/>
    <s v="WESTERN_EUROPE"/>
    <s v="NO_REGION"/>
    <s v="WESTERN_EUROPE_NO_REGION"/>
    <x v="1"/>
    <b v="0"/>
    <b v="0"/>
    <b v="0"/>
    <b v="1"/>
    <b v="0"/>
    <b v="0"/>
    <b v="0"/>
    <b v="0"/>
  </r>
  <r>
    <s v="electric_Spain_RENFE_250"/>
    <x v="5"/>
    <x v="7"/>
    <s v="SOUTHERN_EUROPE"/>
    <s v="NO_REGION"/>
    <s v="SOUTHERN_EUROPE_NO_REGION"/>
    <x v="1"/>
    <b v="0"/>
    <b v="1"/>
    <b v="0"/>
    <b v="0"/>
    <b v="0"/>
    <b v="0"/>
    <b v="0"/>
    <b v="0"/>
  </r>
  <r>
    <s v="electric_Chile_EFE_E_29"/>
    <x v="4"/>
    <x v="6"/>
    <s v="SOUTH_AMERICA"/>
    <s v="NO_REGION"/>
    <s v="SOUTH_AMERICA_NO_REGION"/>
    <x v="1"/>
    <b v="0"/>
    <b v="0"/>
    <b v="0"/>
    <b v="0"/>
    <b v="0"/>
    <b v="0"/>
    <b v="1"/>
    <b v="0"/>
  </r>
  <r>
    <s v="electric_Chile_EFE_E_17"/>
    <x v="6"/>
    <x v="2"/>
    <s v="SOUTH_AMERICA"/>
    <s v="NO_REGION"/>
    <s v="SOUTH_AMERICA_NO_REGION"/>
    <x v="1"/>
    <b v="0"/>
    <b v="0"/>
    <b v="0"/>
    <b v="0"/>
    <b v="0"/>
    <b v="0"/>
    <b v="1"/>
    <b v="0"/>
  </r>
  <r>
    <s v="electric_Morocco_ONCF_E_700"/>
    <x v="4"/>
    <x v="6"/>
    <s v="AFRICA"/>
    <s v="NO_REGION"/>
    <s v="AFRICA_NO_REGION"/>
    <x v="0"/>
    <b v="0"/>
    <b v="0"/>
    <b v="0"/>
    <b v="0"/>
    <b v="0"/>
    <b v="0"/>
    <b v="0"/>
    <b v="0"/>
  </r>
  <r>
    <s v="electric_India_Indian_Railways_WCM_1"/>
    <x v="4"/>
    <x v="6"/>
    <s v="ASIA"/>
    <s v="NO_REGION"/>
    <s v="ASIA_NO_REGION"/>
    <x v="1"/>
    <b v="1"/>
    <b v="0"/>
    <b v="0"/>
    <b v="0"/>
    <b v="0"/>
    <b v="0"/>
    <b v="0"/>
    <b v="0"/>
  </r>
  <r>
    <s v="electric_South_Africa_SAR_E38"/>
    <x v="5"/>
    <x v="2"/>
    <s v="AFRICA"/>
    <s v="NO_REGION"/>
    <s v="AFRICA_NO_REGION"/>
    <x v="0"/>
    <b v="0"/>
    <b v="0"/>
    <b v="0"/>
    <b v="0"/>
    <b v="0"/>
    <b v="0"/>
    <b v="0"/>
    <b v="0"/>
  </r>
  <r>
    <s v="electric_Chile_EFE_E_269"/>
    <x v="5"/>
    <x v="7"/>
    <s v="SOUTH_AMERICA"/>
    <s v="NO_REGION"/>
    <s v="SOUTH_AMERICA_NO_REGION"/>
    <x v="1"/>
    <b v="0"/>
    <b v="0"/>
    <b v="0"/>
    <b v="0"/>
    <b v="0"/>
    <b v="0"/>
    <b v="1"/>
    <b v="0"/>
  </r>
  <r>
    <s v="electric_Czech_Republic_CD_363"/>
    <x v="5"/>
    <x v="6"/>
    <s v="EASTERN_EUROPE"/>
    <s v="NO_REGION"/>
    <s v="EASTERN_EUROPE_NO_REGION"/>
    <x v="1"/>
    <b v="0"/>
    <b v="0"/>
    <b v="1"/>
    <b v="0"/>
    <b v="0"/>
    <b v="0"/>
    <b v="0"/>
    <b v="0"/>
  </r>
  <r>
    <s v="electric_Norway_NSB_EL7"/>
    <x v="1"/>
    <x v="5"/>
    <s v="NORTHERN_EUROPE"/>
    <s v="NO_REGION"/>
    <s v="NORTHERN_EUROPE_NO_REGION"/>
    <x v="1"/>
    <b v="0"/>
    <b v="0"/>
    <b v="0"/>
    <b v="0"/>
    <b v="1"/>
    <b v="0"/>
    <b v="0"/>
    <b v="0"/>
  </r>
  <r>
    <s v="electric_USA_Pennsylvania_Railroad_FF_1"/>
    <x v="1"/>
    <x v="8"/>
    <s v="NORTH_AMERICA"/>
    <s v="NO_REGION"/>
    <s v="NORTH_AMERICA_NO_REGION"/>
    <x v="1"/>
    <b v="0"/>
    <b v="0"/>
    <b v="0"/>
    <b v="0"/>
    <b v="0"/>
    <b v="1"/>
    <b v="0"/>
    <b v="0"/>
  </r>
  <r>
    <s v="electric_Austria_OBB_1161"/>
    <x v="3"/>
    <x v="5"/>
    <s v="WESTERN_EUROPE"/>
    <s v="NO_REGION"/>
    <s v="WESTERN_EUROPE_NO_REGION"/>
    <x v="1"/>
    <b v="0"/>
    <b v="0"/>
    <b v="0"/>
    <b v="1"/>
    <b v="0"/>
    <b v="0"/>
    <b v="0"/>
    <b v="0"/>
  </r>
  <r>
    <s v="electric_Germany_DB_169"/>
    <x v="3"/>
    <x v="5"/>
    <s v="WESTERN_EUROPE"/>
    <s v="NO_REGION"/>
    <s v="WESTERN_EUROPE_NO_REGION"/>
    <x v="1"/>
    <b v="0"/>
    <b v="0"/>
    <b v="0"/>
    <b v="1"/>
    <b v="0"/>
    <b v="0"/>
    <b v="0"/>
    <b v="0"/>
  </r>
  <r>
    <s v="electric_Norway_NSB_EL10"/>
    <x v="3"/>
    <x v="5"/>
    <s v="NORTHERN_EUROPE"/>
    <s v="NO_REGION"/>
    <s v="NORTHERN_EUROPE_NO_REGION"/>
    <x v="1"/>
    <b v="0"/>
    <b v="0"/>
    <b v="0"/>
    <b v="0"/>
    <b v="1"/>
    <b v="0"/>
    <b v="0"/>
    <b v="0"/>
  </r>
  <r>
    <s v="electric_Germany_DB_104"/>
    <x v="3"/>
    <x v="6"/>
    <s v="WESTERN_EUROPE"/>
    <s v="NO_REGION"/>
    <s v="WESTERN_EUROPE_NO_REGION"/>
    <x v="1"/>
    <b v="0"/>
    <b v="0"/>
    <b v="0"/>
    <b v="1"/>
    <b v="0"/>
    <b v="0"/>
    <b v="0"/>
    <b v="0"/>
  </r>
  <r>
    <s v="electric_USA_Pennsylvania_Railroad_GG_1"/>
    <x v="3"/>
    <x v="7"/>
    <s v="NORTH_AMERICA"/>
    <s v="NO_REGION"/>
    <s v="NORTH_AMERICA_NO_REGION"/>
    <x v="1"/>
    <b v="0"/>
    <b v="0"/>
    <b v="0"/>
    <b v="0"/>
    <b v="0"/>
    <b v="1"/>
    <b v="0"/>
    <b v="0"/>
  </r>
  <r>
    <s v="electric_Austria_OBB_1020_Crocodile"/>
    <x v="4"/>
    <x v="6"/>
    <s v="WESTERN_EUROPE"/>
    <s v="NO_REGION"/>
    <s v="WESTERN_EUROPE_NO_REGION"/>
    <x v="1"/>
    <b v="0"/>
    <b v="0"/>
    <b v="0"/>
    <b v="1"/>
    <b v="0"/>
    <b v="0"/>
    <b v="0"/>
    <b v="0"/>
  </r>
  <r>
    <s v="electric_Germany_DB_1031"/>
    <x v="6"/>
    <x v="7"/>
    <s v="WESTERN_EUROPE"/>
    <s v="NO_REGION"/>
    <s v="WESTERN_EUROPE_NO_REGION"/>
    <x v="1"/>
    <b v="0"/>
    <b v="0"/>
    <b v="0"/>
    <b v="1"/>
    <b v="0"/>
    <b v="0"/>
    <b v="0"/>
    <b v="0"/>
  </r>
  <r>
    <s v="electric_Germany_DB_E_919"/>
    <x v="3"/>
    <x v="6"/>
    <s v="WESTERN_EUROPE"/>
    <s v="NO_REGION"/>
    <s v="WESTERN_EUROPE_NO_REGION"/>
    <x v="1"/>
    <b v="0"/>
    <b v="0"/>
    <b v="0"/>
    <b v="1"/>
    <b v="0"/>
    <b v="0"/>
    <b v="0"/>
    <b v="0"/>
  </r>
  <r>
    <s v="electric_Switzerland_BLS_Ce_4_4"/>
    <x v="4"/>
    <x v="6"/>
    <s v="WESTERN_EUROPE"/>
    <s v="NO_REGION"/>
    <s v="WESTERN_EUROPE_NO_REGION"/>
    <x v="1"/>
    <b v="0"/>
    <b v="0"/>
    <b v="0"/>
    <b v="1"/>
    <b v="0"/>
    <b v="0"/>
    <b v="0"/>
    <b v="0"/>
  </r>
  <r>
    <s v="electric_Switzerland_SBB_Ae_6_6"/>
    <x v="4"/>
    <x v="6"/>
    <s v="WESTERN_EUROPE"/>
    <s v="NO_REGION"/>
    <s v="WESTERN_EUROPE_NO_REGION"/>
    <x v="1"/>
    <b v="0"/>
    <b v="0"/>
    <b v="0"/>
    <b v="1"/>
    <b v="0"/>
    <b v="0"/>
    <b v="0"/>
    <b v="0"/>
  </r>
  <r>
    <s v="electric_Switzerland_SBB_Re460_Lok_2000"/>
    <x v="5"/>
    <x v="10"/>
    <s v="WESTERN_EUROPE"/>
    <s v="NO_REGION"/>
    <s v="WESTERN_EUROPE_NO_REGION"/>
    <x v="1"/>
    <b v="0"/>
    <b v="0"/>
    <b v="0"/>
    <b v="1"/>
    <b v="0"/>
    <b v="0"/>
    <b v="0"/>
    <b v="0"/>
  </r>
  <r>
    <s v="electric_Switzerland_SBB_Eem_923"/>
    <x v="0"/>
    <x v="6"/>
    <s v="WESTERN_EUROPE"/>
    <s v="NO_REGION"/>
    <s v="WESTERN_EUROPE_NO_REGION"/>
    <x v="1"/>
    <b v="0"/>
    <b v="0"/>
    <b v="0"/>
    <b v="1"/>
    <b v="0"/>
    <b v="0"/>
    <b v="0"/>
    <b v="0"/>
  </r>
  <r>
    <s v="electric_Austria_OBB_1044"/>
    <x v="6"/>
    <x v="7"/>
    <s v="WESTERN_EUROPE"/>
    <s v="NO_REGION"/>
    <s v="WESTERN_EUROPE_NO_REGION"/>
    <x v="1"/>
    <b v="0"/>
    <b v="0"/>
    <b v="0"/>
    <b v="1"/>
    <b v="0"/>
    <b v="0"/>
    <b v="0"/>
    <b v="0"/>
  </r>
  <r>
    <s v="electric_Austria_OBB_1063"/>
    <x v="5"/>
    <x v="6"/>
    <s v="WESTERN_EUROPE"/>
    <s v="NO_REGION"/>
    <s v="WESTERN_EUROPE_NO_REGION"/>
    <x v="1"/>
    <b v="0"/>
    <b v="0"/>
    <b v="0"/>
    <b v="1"/>
    <b v="0"/>
    <b v="0"/>
    <b v="0"/>
    <b v="0"/>
  </r>
  <r>
    <s v="electric_Sweden_MTAB_Dm3"/>
    <x v="4"/>
    <x v="8"/>
    <s v="NORTHERN_EUROPE"/>
    <s v="NO_REGION"/>
    <s v="NORTHERN_EUROPE_NO_REGION"/>
    <x v="1"/>
    <b v="0"/>
    <b v="0"/>
    <b v="0"/>
    <b v="0"/>
    <b v="1"/>
    <b v="0"/>
    <b v="0"/>
    <b v="0"/>
  </r>
  <r>
    <s v="electric_Sweden_MTAB_IORE"/>
    <x v="0"/>
    <x v="8"/>
    <s v="NORTHERN_EUROPE"/>
    <s v="NO_REGION"/>
    <s v="NORTHERN_EUROPE_NO_REGION"/>
    <x v="1"/>
    <b v="0"/>
    <b v="0"/>
    <b v="0"/>
    <b v="0"/>
    <b v="1"/>
    <b v="0"/>
    <b v="0"/>
    <b v="0"/>
  </r>
  <r>
    <s v="electric_Sweden_SJ_O_Class"/>
    <x v="1"/>
    <x v="6"/>
    <s v="NORTHERN_EUROPE"/>
    <s v="NO_REGION"/>
    <s v="NORTHERN_EUROPE_NO_REGION"/>
    <x v="1"/>
    <b v="0"/>
    <b v="0"/>
    <b v="0"/>
    <b v="0"/>
    <b v="1"/>
    <b v="0"/>
    <b v="0"/>
    <b v="0"/>
  </r>
  <r>
    <s v="electric_Sweden_SJ_F_Class"/>
    <x v="4"/>
    <x v="6"/>
    <s v="NORTHERN_EUROPE"/>
    <s v="NO_REGION"/>
    <s v="NORTHERN_EUROPE_NO_REGION"/>
    <x v="1"/>
    <b v="0"/>
    <b v="0"/>
    <b v="0"/>
    <b v="0"/>
    <b v="1"/>
    <b v="0"/>
    <b v="0"/>
    <b v="0"/>
  </r>
  <r>
    <s v="electric_Norway_NSB_EL17"/>
    <x v="5"/>
    <x v="2"/>
    <s v="NORTHERN_EUROPE"/>
    <s v="NO_REGION"/>
    <s v="NORTHERN_EUROPE_NO_REGION"/>
    <x v="1"/>
    <b v="0"/>
    <b v="0"/>
    <b v="0"/>
    <b v="0"/>
    <b v="1"/>
    <b v="0"/>
    <b v="0"/>
    <b v="0"/>
  </r>
  <r>
    <s v="electric_Germany_Prussian_ES_6"/>
    <x v="1"/>
    <x v="6"/>
    <s v="WESTERN_EUROPE"/>
    <s v="NO_REGION"/>
    <s v="WESTERN_EUROPE_NO_REGION"/>
    <x v="1"/>
    <b v="0"/>
    <b v="0"/>
    <b v="0"/>
    <b v="1"/>
    <b v="0"/>
    <b v="0"/>
    <b v="0"/>
    <b v="0"/>
  </r>
  <r>
    <s v="electric_USA_Virginian_Railway_EL_2B"/>
    <x v="4"/>
    <x v="8"/>
    <s v="NORTH_AMERICA"/>
    <s v="NO_REGION"/>
    <s v="NORTH_AMERICA_NO_REGION"/>
    <x v="1"/>
    <b v="0"/>
    <b v="0"/>
    <b v="0"/>
    <b v="0"/>
    <b v="0"/>
    <b v="1"/>
    <b v="0"/>
    <b v="0"/>
  </r>
  <r>
    <s v="electric_USA_GN_W_1"/>
    <x v="4"/>
    <x v="8"/>
    <s v="NORTH_AMERICA"/>
    <s v="NO_REGION"/>
    <s v="NORTH_AMERICA_NO_REGION"/>
    <x v="1"/>
    <b v="0"/>
    <b v="0"/>
    <b v="0"/>
    <b v="0"/>
    <b v="0"/>
    <b v="1"/>
    <b v="0"/>
    <b v="0"/>
  </r>
  <r>
    <s v="electric_USA_PRR_B1"/>
    <x v="3"/>
    <x v="5"/>
    <s v="NORTH_AMERICA"/>
    <s v="NO_REGION"/>
    <s v="NORTH_AMERICA_NO_REGION"/>
    <x v="1"/>
    <b v="0"/>
    <b v="0"/>
    <b v="0"/>
    <b v="0"/>
    <b v="0"/>
    <b v="1"/>
    <b v="0"/>
    <b v="0"/>
  </r>
  <r>
    <s v="electric_Australia_Aurizon_E40_AG_V1"/>
    <x v="0"/>
    <x v="6"/>
    <s v="OCEANIA"/>
    <s v="NO_REGION"/>
    <s v="OCEANIA_NO_REGION"/>
    <x v="1"/>
    <b v="0"/>
    <b v="0"/>
    <b v="0"/>
    <b v="0"/>
    <b v="0"/>
    <b v="0"/>
    <b v="0"/>
    <b v="1"/>
  </r>
  <r>
    <s v="electric_China_China_Railways_SS6"/>
    <x v="5"/>
    <x v="6"/>
    <s v="ASIA"/>
    <s v="NO_REGION"/>
    <s v="ASIA_NO_REGION"/>
    <x v="1"/>
    <b v="1"/>
    <b v="0"/>
    <b v="0"/>
    <b v="0"/>
    <b v="0"/>
    <b v="0"/>
    <b v="0"/>
    <b v="0"/>
  </r>
  <r>
    <s v="electric_China_China_Railways_SS3"/>
    <x v="6"/>
    <x v="2"/>
    <s v="ASIA"/>
    <s v="NO_REGION"/>
    <s v="ASIA_NO_REGION"/>
    <x v="1"/>
    <b v="1"/>
    <b v="0"/>
    <b v="0"/>
    <b v="0"/>
    <b v="0"/>
    <b v="0"/>
    <b v="0"/>
    <b v="0"/>
  </r>
  <r>
    <s v="electric_China_China_Railways_HXD3"/>
    <x v="0"/>
    <x v="8"/>
    <s v="ASIA"/>
    <s v="NO_REGION"/>
    <s v="ASIA_NO_REGION"/>
    <x v="1"/>
    <b v="1"/>
    <b v="0"/>
    <b v="0"/>
    <b v="0"/>
    <b v="0"/>
    <b v="0"/>
    <b v="0"/>
    <b v="0"/>
  </r>
  <r>
    <s v="electric_China_China_Railways_HXD1D"/>
    <x v="0"/>
    <x v="7"/>
    <s v="ASIA"/>
    <s v="NO_REGION"/>
    <s v="ASIA_NO_REGION"/>
    <x v="1"/>
    <b v="1"/>
    <b v="0"/>
    <b v="0"/>
    <b v="0"/>
    <b v="0"/>
    <b v="0"/>
    <b v="0"/>
    <b v="0"/>
  </r>
  <r>
    <s v="electric_China_China_Railways_6K"/>
    <x v="5"/>
    <x v="6"/>
    <s v="ASIA"/>
    <s v="NO_REGION"/>
    <s v="ASIA_NO_REGION"/>
    <x v="1"/>
    <b v="1"/>
    <b v="0"/>
    <b v="0"/>
    <b v="0"/>
    <b v="0"/>
    <b v="0"/>
    <b v="0"/>
    <b v="0"/>
  </r>
  <r>
    <s v="electric_USA_PRR_E44"/>
    <x v="6"/>
    <x v="8"/>
    <s v="NORTH_AMERICA"/>
    <s v="NO_REGION"/>
    <s v="NORTH_AMERICA_NO_REGION"/>
    <x v="1"/>
    <b v="0"/>
    <b v="0"/>
    <b v="0"/>
    <b v="0"/>
    <b v="0"/>
    <b v="1"/>
    <b v="0"/>
    <b v="0"/>
  </r>
  <r>
    <s v="electric_Croatia_HZ_1141"/>
    <x v="6"/>
    <x v="6"/>
    <s v="EASTERN_EUROPE"/>
    <s v="NO_REGION"/>
    <s v="EASTERN_EUROPE_NO_REGION"/>
    <x v="1"/>
    <b v="0"/>
    <b v="0"/>
    <b v="1"/>
    <b v="0"/>
    <b v="0"/>
    <b v="0"/>
    <b v="0"/>
    <b v="0"/>
  </r>
  <r>
    <s v="electric_Hungary_MAV_Class_V43"/>
    <x v="6"/>
    <x v="6"/>
    <s v="EASTERN_EUROPE"/>
    <s v="NO_REGION"/>
    <s v="EASTERN_EUROPE_NO_REGION"/>
    <x v="1"/>
    <b v="0"/>
    <b v="0"/>
    <b v="1"/>
    <b v="0"/>
    <b v="0"/>
    <b v="0"/>
    <b v="0"/>
    <b v="0"/>
  </r>
  <r>
    <s v="electric_Portugal_CP_2500"/>
    <x v="4"/>
    <x v="6"/>
    <s v="SOUTHERN_EUROPE"/>
    <s v="NO_REGION"/>
    <s v="SOUTHERN_EUROPE_NO_REGION"/>
    <x v="1"/>
    <b v="0"/>
    <b v="1"/>
    <b v="0"/>
    <b v="0"/>
    <b v="0"/>
    <b v="0"/>
    <b v="0"/>
    <b v="0"/>
  </r>
  <r>
    <s v="electric_Portugal_CP_2600"/>
    <x v="6"/>
    <x v="6"/>
    <s v="SOUTHERN_EUROPE"/>
    <s v="NO_REGION"/>
    <s v="SOUTHERN_EUROPE_NO_REGION"/>
    <x v="1"/>
    <b v="0"/>
    <b v="1"/>
    <b v="0"/>
    <b v="0"/>
    <b v="0"/>
    <b v="0"/>
    <b v="0"/>
    <b v="0"/>
  </r>
  <r>
    <s v="electric_South_Africa_SAR_20E"/>
    <x v="0"/>
    <x v="6"/>
    <s v="AFRICA"/>
    <s v="NO_REGION"/>
    <s v="AFRICA_NO_REGION"/>
    <x v="0"/>
    <b v="0"/>
    <b v="0"/>
    <b v="0"/>
    <b v="0"/>
    <b v="0"/>
    <b v="0"/>
    <b v="0"/>
    <b v="0"/>
  </r>
  <r>
    <s v="electric_South_Korea_Korail_8200"/>
    <x v="0"/>
    <x v="6"/>
    <s v="ASIA"/>
    <s v="NO_REGION"/>
    <s v="ASIA_NO_REGION"/>
    <x v="1"/>
    <b v="1"/>
    <b v="0"/>
    <b v="0"/>
    <b v="0"/>
    <b v="0"/>
    <b v="0"/>
    <b v="0"/>
    <b v="0"/>
  </r>
  <r>
    <s v="electric_Ukraine_UZ_DS3"/>
    <x v="0"/>
    <x v="7"/>
    <s v="EASTERN_EUROPE"/>
    <s v="NO_REGION"/>
    <s v="EASTERN_EUROPE_NO_REGION"/>
    <x v="1"/>
    <b v="0"/>
    <b v="0"/>
    <b v="1"/>
    <b v="0"/>
    <b v="0"/>
    <b v="0"/>
    <b v="0"/>
    <b v="0"/>
  </r>
  <r>
    <s v="electric_Czech_Republic_CD_S499"/>
    <x v="6"/>
    <x v="6"/>
    <s v="EASTERN_EUROPE"/>
    <s v="NO_REGION"/>
    <s v="EASTERN_EUROPE_NO_REGION"/>
    <x v="1"/>
    <b v="0"/>
    <b v="0"/>
    <b v="1"/>
    <b v="0"/>
    <b v="0"/>
    <b v="0"/>
    <b v="0"/>
    <b v="0"/>
  </r>
  <r>
    <s v="electric_Italy_FS_E491"/>
    <x v="5"/>
    <x v="6"/>
    <s v="SOUTHERN_EUROPE"/>
    <s v="NO_REGION"/>
    <s v="SOUTHERN_EUROPE_NO_REGION"/>
    <x v="1"/>
    <b v="0"/>
    <b v="1"/>
    <b v="0"/>
    <b v="0"/>
    <b v="0"/>
    <b v="0"/>
    <b v="0"/>
    <b v="0"/>
  </r>
  <r>
    <s v="electric_Macedonia_Macedonian_Railways_462"/>
    <x v="6"/>
    <x v="6"/>
    <s v="SOUTHERN_EUROPE"/>
    <s v="NO_REGION"/>
    <s v="SOUTHERN_EUROPE_NO_REGION"/>
    <x v="1"/>
    <b v="0"/>
    <b v="1"/>
    <b v="0"/>
    <b v="0"/>
    <b v="0"/>
    <b v="0"/>
    <b v="0"/>
    <b v="0"/>
  </r>
  <r>
    <s v="electric_Morocco_ONCFM_E_500"/>
    <x v="3"/>
    <x v="2"/>
    <s v="AFRICA"/>
    <s v="NO_REGION"/>
    <s v="AFRICA_NO_REGION"/>
    <x v="0"/>
    <b v="0"/>
    <b v="0"/>
    <b v="0"/>
    <b v="0"/>
    <b v="0"/>
    <b v="0"/>
    <b v="0"/>
    <b v="0"/>
  </r>
  <r>
    <s v="electric_UK_BR_85"/>
    <x v="6"/>
    <x v="7"/>
    <s v="NORTHERN_EUROPE"/>
    <s v="NO_REGION"/>
    <s v="NORTHERN_EUROPE_NO_REGION"/>
    <x v="1"/>
    <b v="0"/>
    <b v="0"/>
    <b v="0"/>
    <b v="0"/>
    <b v="1"/>
    <b v="0"/>
    <b v="0"/>
    <b v="0"/>
  </r>
  <r>
    <s v="electric_Mexico_FNM_GE_E60C_2"/>
    <x v="5"/>
    <x v="8"/>
    <s v="NORTH_AMERICA"/>
    <s v="NO_REGION"/>
    <s v="NORTH_AMERICA_NO_REGION"/>
    <x v="1"/>
    <b v="0"/>
    <b v="0"/>
    <b v="0"/>
    <b v="0"/>
    <b v="0"/>
    <b v="1"/>
    <b v="0"/>
    <b v="0"/>
  </r>
  <r>
    <s v="electric_Morocco_ONCF_E_1400_Prima_II"/>
    <x v="0"/>
    <x v="7"/>
    <s v="AFRICA"/>
    <s v="NO_REGION"/>
    <s v="AFRICA_NO_REGION"/>
    <x v="0"/>
    <b v="0"/>
    <b v="0"/>
    <b v="0"/>
    <b v="0"/>
    <b v="0"/>
    <b v="0"/>
    <b v="0"/>
    <b v="0"/>
  </r>
  <r>
    <s v="electric_New_Zealand_NZR_EA"/>
    <x v="6"/>
    <x v="6"/>
    <s v="OCEANIA"/>
    <s v="NO_REGION"/>
    <s v="OCEANIA_NO_REGION"/>
    <x v="1"/>
    <b v="0"/>
    <b v="0"/>
    <b v="0"/>
    <b v="0"/>
    <b v="0"/>
    <b v="0"/>
    <b v="0"/>
    <b v="1"/>
  </r>
  <r>
    <s v="electric_Canada_BC_Rail_GF6C"/>
    <x v="5"/>
    <x v="8"/>
    <s v="NORTH_AMERICA"/>
    <s v="NO_REGION"/>
    <s v="NORTH_AMERICA_NO_REGION"/>
    <x v="1"/>
    <b v="0"/>
    <b v="0"/>
    <b v="0"/>
    <b v="0"/>
    <b v="0"/>
    <b v="1"/>
    <b v="0"/>
    <b v="0"/>
  </r>
  <r>
    <s v="electric_France_SNCF_BB_22200"/>
    <x v="6"/>
    <x v="7"/>
    <s v="WESTERN_EUROPE"/>
    <s v="NO_REGION"/>
    <s v="WESTERN_EUROPE_NO_REGION"/>
    <x v="1"/>
    <b v="0"/>
    <b v="0"/>
    <b v="0"/>
    <b v="1"/>
    <b v="0"/>
    <b v="0"/>
    <b v="0"/>
    <b v="0"/>
  </r>
  <r>
    <s v="electric_France_SNCF_BB_26000"/>
    <x v="5"/>
    <x v="7"/>
    <s v="WESTERN_EUROPE"/>
    <s v="NO_REGION"/>
    <s v="WESTERN_EUROPE_NO_REGION"/>
    <x v="1"/>
    <b v="0"/>
    <b v="0"/>
    <b v="0"/>
    <b v="1"/>
    <b v="0"/>
    <b v="0"/>
    <b v="0"/>
    <b v="0"/>
  </r>
  <r>
    <s v="electric_France_SNCF_BB_25500"/>
    <x v="6"/>
    <x v="6"/>
    <s v="WESTERN_EUROPE"/>
    <s v="NO_REGION"/>
    <s v="WESTERN_EUROPE_NO_REGION"/>
    <x v="1"/>
    <b v="0"/>
    <b v="0"/>
    <b v="0"/>
    <b v="1"/>
    <b v="0"/>
    <b v="0"/>
    <b v="0"/>
    <b v="0"/>
  </r>
  <r>
    <s v="electric_Germany_DB_182_ES64U_Taurus"/>
    <x v="0"/>
    <x v="10"/>
    <s v="WESTERN_EUROPE"/>
    <s v="NO_REGION"/>
    <s v="WESTERN_EUROPE_NO_REGION"/>
    <x v="1"/>
    <b v="0"/>
    <b v="0"/>
    <b v="0"/>
    <b v="1"/>
    <b v="0"/>
    <b v="0"/>
    <b v="0"/>
    <b v="0"/>
  </r>
  <r>
    <s v="electric_Japan_JR_EH500"/>
    <x v="5"/>
    <x v="6"/>
    <s v="ASIA"/>
    <s v="NO_REGION"/>
    <s v="ASIA_NO_REGION"/>
    <x v="1"/>
    <b v="1"/>
    <b v="0"/>
    <b v="0"/>
    <b v="0"/>
    <b v="0"/>
    <b v="0"/>
    <b v="0"/>
    <b v="0"/>
  </r>
  <r>
    <s v="electric_USA_Amtrak_EMD_AEM_7"/>
    <x v="6"/>
    <x v="7"/>
    <s v="NORTH_AMERICA"/>
    <s v="NO_REGION"/>
    <s v="NORTH_AMERICA_NO_REGION"/>
    <x v="1"/>
    <b v="0"/>
    <b v="0"/>
    <b v="0"/>
    <b v="0"/>
    <b v="0"/>
    <b v="1"/>
    <b v="0"/>
    <b v="0"/>
  </r>
  <r>
    <s v="electric_USA_Amtrak_HHP_8"/>
    <x v="5"/>
    <x v="7"/>
    <s v="NORTH_AMERICA"/>
    <s v="NO_REGION"/>
    <s v="NORTH_AMERICA_NO_REGION"/>
    <x v="1"/>
    <b v="0"/>
    <b v="0"/>
    <b v="0"/>
    <b v="0"/>
    <b v="0"/>
    <b v="1"/>
    <b v="0"/>
    <b v="0"/>
  </r>
  <r>
    <s v="electric_Czech_Republic_CD_380"/>
    <x v="0"/>
    <x v="7"/>
    <s v="EASTERN_EUROPE"/>
    <s v="NO_REGION"/>
    <s v="EASTERN_EUROPE_NO_REGION"/>
    <x v="1"/>
    <b v="0"/>
    <b v="0"/>
    <b v="1"/>
    <b v="0"/>
    <b v="0"/>
    <b v="0"/>
    <b v="0"/>
    <b v="0"/>
  </r>
  <r>
    <s v="electric_Spain_RENFE_252"/>
    <x v="5"/>
    <x v="7"/>
    <s v="SOUTHERN_EUROPE"/>
    <s v="NO_REGION"/>
    <s v="SOUTHERN_EUROPE_NO_REGION"/>
    <x v="1"/>
    <b v="0"/>
    <b v="1"/>
    <b v="0"/>
    <b v="0"/>
    <b v="0"/>
    <b v="0"/>
    <b v="0"/>
    <b v="0"/>
  </r>
  <r>
    <s v="electric_Germany_DB_185_TRAXX_F140"/>
    <x v="0"/>
    <x v="6"/>
    <s v="WESTERN_EUROPE"/>
    <s v="NO_REGION"/>
    <s v="WESTERN_EUROPE_NO_REGION"/>
    <x v="1"/>
    <b v="0"/>
    <b v="0"/>
    <b v="0"/>
    <b v="1"/>
    <b v="0"/>
    <b v="0"/>
    <b v="0"/>
    <b v="0"/>
  </r>
  <r>
    <s v="electric_Italy_FS_E550"/>
    <x v="1"/>
    <x v="6"/>
    <s v="SOUTHERN_EUROPE"/>
    <s v="NO_REGION"/>
    <s v="SOUTHERN_EUROPE_NO_REGION"/>
    <x v="1"/>
    <b v="0"/>
    <b v="1"/>
    <b v="0"/>
    <b v="0"/>
    <b v="0"/>
    <b v="0"/>
    <b v="0"/>
    <b v="0"/>
  </r>
  <r>
    <s v="electric_Japan_JNR_EF81"/>
    <x v="6"/>
    <x v="2"/>
    <s v="ASIA"/>
    <s v="NO_REGION"/>
    <s v="ASIA_NO_REGION"/>
    <x v="1"/>
    <b v="1"/>
    <b v="0"/>
    <b v="0"/>
    <b v="0"/>
    <b v="0"/>
    <b v="0"/>
    <b v="0"/>
    <b v="0"/>
  </r>
  <r>
    <s v="electric_UK_BR_92"/>
    <x v="5"/>
    <x v="6"/>
    <s v="NORTHERN_EUROPE"/>
    <s v="NO_REGION"/>
    <s v="NORTHERN_EUROPE_NO_REGION"/>
    <x v="1"/>
    <b v="0"/>
    <b v="0"/>
    <b v="0"/>
    <b v="0"/>
    <b v="1"/>
    <b v="0"/>
    <b v="0"/>
    <b v="0"/>
  </r>
  <r>
    <s v="electric_USA_Amtrak_ACS_64"/>
    <x v="0"/>
    <x v="7"/>
    <s v="NORTH_AMERICA"/>
    <s v="NO_REGION"/>
    <s v="NORTH_AMERICA_NO_REGION"/>
    <x v="1"/>
    <b v="0"/>
    <b v="0"/>
    <b v="0"/>
    <b v="0"/>
    <b v="0"/>
    <b v="1"/>
    <b v="0"/>
    <b v="0"/>
  </r>
  <r>
    <s v="electric_France_SNCF_CC_40100"/>
    <x v="6"/>
    <x v="10"/>
    <s v="WESTERN_EUROPE"/>
    <s v="NO_REGION"/>
    <s v="WESTERN_EUROPE_NO_REGION"/>
    <x v="1"/>
    <b v="0"/>
    <b v="0"/>
    <b v="0"/>
    <b v="1"/>
    <b v="0"/>
    <b v="0"/>
    <b v="0"/>
    <b v="0"/>
  </r>
  <r>
    <s v="electric_Belgium_NMBS_SNCB_13_HLE"/>
    <x v="5"/>
    <x v="7"/>
    <s v="WESTERN_EUROPE"/>
    <s v="NO_REGION"/>
    <s v="WESTERN_EUROPE_NO_REGION"/>
    <x v="1"/>
    <b v="0"/>
    <b v="0"/>
    <b v="0"/>
    <b v="1"/>
    <b v="0"/>
    <b v="0"/>
    <b v="0"/>
    <b v="0"/>
  </r>
  <r>
    <s v="dmu_Germany_DB_VT_040_Flying_Hamburger"/>
    <x v="3"/>
    <x v="4"/>
    <s v="WESTERN_EUROPE"/>
    <s v="NO_REGION"/>
    <s v="WESTERN_EUROPE_NO_REGION"/>
    <x v="1"/>
    <b v="0"/>
    <b v="0"/>
    <b v="0"/>
    <b v="1"/>
    <b v="0"/>
    <b v="0"/>
    <b v="0"/>
    <b v="0"/>
  </r>
  <r>
    <s v="dmu_Australia_NSWGR_Silver_City_Comet"/>
    <x v="3"/>
    <x v="7"/>
    <s v="OCEANIA"/>
    <s v="NO_REGION"/>
    <s v="OCEANIA_NO_REGION"/>
    <x v="1"/>
    <b v="0"/>
    <b v="0"/>
    <b v="0"/>
    <b v="0"/>
    <b v="0"/>
    <b v="0"/>
    <b v="0"/>
    <b v="1"/>
  </r>
  <r>
    <s v="dmu_Czech_Republic_CD_M131"/>
    <x v="4"/>
    <x v="1"/>
    <s v="EASTERN_EUROPE"/>
    <s v="NO_REGION"/>
    <s v="EASTERN_EUROPE_NO_REGION"/>
    <x v="1"/>
    <b v="0"/>
    <b v="0"/>
    <b v="1"/>
    <b v="0"/>
    <b v="0"/>
    <b v="0"/>
    <b v="0"/>
    <b v="0"/>
  </r>
  <r>
    <s v="dmu_Germany_DB_VT_085"/>
    <x v="4"/>
    <x v="11"/>
    <s v="WESTERN_EUROPE"/>
    <s v="NO_REGION"/>
    <s v="WESTERN_EUROPE_NO_REGION"/>
    <x v="1"/>
    <b v="0"/>
    <b v="0"/>
    <b v="0"/>
    <b v="1"/>
    <b v="0"/>
    <b v="0"/>
    <b v="0"/>
    <b v="0"/>
  </r>
  <r>
    <s v="dmu_Australia_Queensland_Rail_400"/>
    <x v="4"/>
    <x v="1"/>
    <s v="OCEANIA"/>
    <s v="NO_REGION"/>
    <s v="OCEANIA_NO_REGION"/>
    <x v="1"/>
    <b v="0"/>
    <b v="0"/>
    <b v="0"/>
    <b v="0"/>
    <b v="0"/>
    <b v="0"/>
    <b v="0"/>
    <b v="1"/>
  </r>
  <r>
    <s v="dmu_Germany_DB_VT_115"/>
    <x v="4"/>
    <x v="4"/>
    <s v="WESTERN_EUROPE"/>
    <s v="NO_REGION"/>
    <s v="WESTERN_EUROPE_NO_REGION"/>
    <x v="1"/>
    <b v="0"/>
    <b v="0"/>
    <b v="0"/>
    <b v="1"/>
    <b v="0"/>
    <b v="0"/>
    <b v="0"/>
    <b v="0"/>
  </r>
  <r>
    <s v="dmu_Netherlands_NS_Plan_U_DE_III"/>
    <x v="6"/>
    <x v="1"/>
    <s v="WESTERN_EUROPE"/>
    <s v="NO_REGION"/>
    <s v="WESTERN_EUROPE_NO_REGION"/>
    <x v="1"/>
    <b v="0"/>
    <b v="0"/>
    <b v="0"/>
    <b v="1"/>
    <b v="0"/>
    <b v="0"/>
    <b v="0"/>
    <b v="0"/>
  </r>
  <r>
    <s v="dmu_Canada_CNR_Turbo_Train"/>
    <x v="6"/>
    <x v="4"/>
    <s v="NORTH_AMERICA"/>
    <s v="NO_REGION"/>
    <s v="NORTH_AMERICA_NO_REGION"/>
    <x v="1"/>
    <b v="0"/>
    <b v="0"/>
    <b v="0"/>
    <b v="0"/>
    <b v="0"/>
    <b v="1"/>
    <b v="0"/>
    <b v="0"/>
  </r>
  <r>
    <s v="dmu_Serbia_ZS_811"/>
    <x v="6"/>
    <x v="1"/>
    <s v="EASTERN_EUROPE"/>
    <s v="NO_REGION"/>
    <s v="EASTERN_EUROPE_NO_REGION"/>
    <x v="1"/>
    <b v="0"/>
    <b v="0"/>
    <b v="1"/>
    <b v="0"/>
    <b v="0"/>
    <b v="0"/>
    <b v="0"/>
    <b v="0"/>
  </r>
  <r>
    <s v="dmu_UK_BR_43_IC125"/>
    <x v="6"/>
    <x v="7"/>
    <s v="NORTHERN_EUROPE"/>
    <s v="NO_REGION"/>
    <s v="NORTHERN_EUROPE_NO_REGION"/>
    <x v="1"/>
    <b v="0"/>
    <b v="0"/>
    <b v="0"/>
    <b v="0"/>
    <b v="1"/>
    <b v="0"/>
    <b v="0"/>
    <b v="0"/>
  </r>
  <r>
    <s v="dmu_Canada_VIA_Rail_LRC"/>
    <x v="5"/>
    <x v="6"/>
    <s v="NORTH_AMERICA"/>
    <s v="NO_REGION"/>
    <s v="NORTH_AMERICA_NO_REGION"/>
    <x v="1"/>
    <b v="0"/>
    <b v="0"/>
    <b v="0"/>
    <b v="0"/>
    <b v="0"/>
    <b v="1"/>
    <b v="0"/>
    <b v="0"/>
  </r>
  <r>
    <s v="dmu_Sweden_SJ_Y2"/>
    <x v="5"/>
    <x v="4"/>
    <s v="NORTHERN_EUROPE"/>
    <s v="NO_REGION"/>
    <s v="NORTHERN_EUROPE_NO_REGION"/>
    <x v="1"/>
    <b v="0"/>
    <b v="0"/>
    <b v="0"/>
    <b v="0"/>
    <b v="1"/>
    <b v="0"/>
    <b v="0"/>
    <b v="0"/>
  </r>
  <r>
    <s v="dmu_Spain_RENFE_594_TRD"/>
    <x v="5"/>
    <x v="4"/>
    <s v="SOUTHERN_EUROPE"/>
    <s v="NO_REGION"/>
    <s v="SOUTHERN_EUROPE_NO_REGION"/>
    <x v="1"/>
    <b v="0"/>
    <b v="1"/>
    <b v="0"/>
    <b v="0"/>
    <b v="0"/>
    <b v="0"/>
    <b v="0"/>
    <b v="0"/>
  </r>
  <r>
    <s v="dmu_UK_BR_168"/>
    <x v="5"/>
    <x v="4"/>
    <s v="NORTHERN_EUROPE"/>
    <s v="NO_REGION"/>
    <s v="NORTHERN_EUROPE_NO_REGION"/>
    <x v="1"/>
    <b v="0"/>
    <b v="0"/>
    <b v="0"/>
    <b v="0"/>
    <b v="1"/>
    <b v="0"/>
    <b v="0"/>
    <b v="0"/>
  </r>
  <r>
    <s v="dmu_Germany_DB_612_Regio_Swinger"/>
    <x v="5"/>
    <x v="4"/>
    <s v="WESTERN_EUROPE"/>
    <s v="NO_REGION"/>
    <s v="WESTERN_EUROPE_NO_REGION"/>
    <x v="1"/>
    <b v="0"/>
    <b v="0"/>
    <b v="0"/>
    <b v="1"/>
    <b v="0"/>
    <b v="0"/>
    <b v="0"/>
    <b v="0"/>
  </r>
  <r>
    <s v="dmu_Germany_DB_642_Desiro"/>
    <x v="0"/>
    <x v="1"/>
    <s v="WESTERN_EUROPE"/>
    <s v="NO_REGION"/>
    <s v="WESTERN_EUROPE_NO_REGION"/>
    <x v="1"/>
    <b v="0"/>
    <b v="0"/>
    <b v="0"/>
    <b v="1"/>
    <b v="0"/>
    <b v="0"/>
    <b v="0"/>
    <b v="0"/>
  </r>
  <r>
    <s v="dmu_Denmark_Arriva_Lint_41"/>
    <x v="0"/>
    <x v="1"/>
    <s v="NORTHERN_EUROPE"/>
    <s v="NO_REGION"/>
    <s v="NORTHERN_EUROPE_NO_REGION"/>
    <x v="1"/>
    <b v="0"/>
    <b v="0"/>
    <b v="0"/>
    <b v="0"/>
    <b v="1"/>
    <b v="0"/>
    <b v="0"/>
    <b v="0"/>
  </r>
  <r>
    <s v="dmu_Norway_NSB_BM_93_Talent"/>
    <x v="0"/>
    <x v="1"/>
    <s v="NORTHERN_EUROPE"/>
    <s v="NO_REGION"/>
    <s v="NORTHERN_EUROPE_NO_REGION"/>
    <x v="1"/>
    <b v="0"/>
    <b v="0"/>
    <b v="0"/>
    <b v="0"/>
    <b v="1"/>
    <b v="0"/>
    <b v="0"/>
    <b v="0"/>
  </r>
  <r>
    <s v="dmu_Australia_Transwa_Prospector"/>
    <x v="0"/>
    <x v="4"/>
    <s v="OCEANIA"/>
    <s v="NO_REGION"/>
    <s v="OCEANIA_NO_REGION"/>
    <x v="1"/>
    <b v="0"/>
    <b v="0"/>
    <b v="0"/>
    <b v="0"/>
    <b v="0"/>
    <b v="0"/>
    <b v="0"/>
    <b v="1"/>
  </r>
  <r>
    <s v="dmu_Australia_CityRail_Hunter_Railcar"/>
    <x v="0"/>
    <x v="4"/>
    <s v="OCEANIA"/>
    <s v="NO_REGION"/>
    <s v="OCEANIA_NO_REGION"/>
    <x v="1"/>
    <b v="0"/>
    <b v="0"/>
    <b v="0"/>
    <b v="0"/>
    <b v="0"/>
    <b v="0"/>
    <b v="0"/>
    <b v="1"/>
  </r>
  <r>
    <s v="dmu_Russia_RZD_RA2"/>
    <x v="0"/>
    <x v="1"/>
    <s v="ASIA"/>
    <s v="NO_REGION"/>
    <s v="ASIA_NO_REGION"/>
    <x v="1"/>
    <b v="1"/>
    <b v="0"/>
    <b v="0"/>
    <b v="0"/>
    <b v="0"/>
    <b v="0"/>
    <b v="0"/>
    <b v="0"/>
  </r>
  <r>
    <s v="dmu_Denmark_DSB_IC4"/>
    <x v="0"/>
    <x v="4"/>
    <s v="NORTHERN_EUROPE"/>
    <s v="NO_REGION"/>
    <s v="NORTHERN_EUROPE_NO_REGION"/>
    <x v="1"/>
    <b v="0"/>
    <b v="0"/>
    <b v="0"/>
    <b v="0"/>
    <b v="1"/>
    <b v="0"/>
    <b v="0"/>
    <b v="0"/>
  </r>
  <r>
    <s v="dmu_Croatia_HZ_7022"/>
    <x v="0"/>
    <x v="4"/>
    <s v="EASTERN_EUROPE"/>
    <s v="NO_REGION"/>
    <s v="EASTERN_EUROPE_NO_REGION"/>
    <x v="1"/>
    <b v="0"/>
    <b v="0"/>
    <b v="1"/>
    <b v="0"/>
    <b v="0"/>
    <b v="0"/>
    <b v="0"/>
    <b v="0"/>
  </r>
  <r>
    <s v="dmu_Turkey_TCDD_MT_5500"/>
    <x v="6"/>
    <x v="1"/>
    <s v="ASIA"/>
    <s v="NO_REGION"/>
    <s v="ASIA_NO_REGION"/>
    <x v="1"/>
    <b v="1"/>
    <b v="0"/>
    <b v="0"/>
    <b v="0"/>
    <b v="0"/>
    <b v="0"/>
    <b v="0"/>
    <b v="0"/>
  </r>
  <r>
    <s v="dmu_Japan_JNR_KiHa_181"/>
    <x v="6"/>
    <x v="1"/>
    <s v="ASIA"/>
    <s v="NO_REGION"/>
    <s v="ASIA_NO_REGION"/>
    <x v="1"/>
    <b v="1"/>
    <b v="0"/>
    <b v="0"/>
    <b v="0"/>
    <b v="0"/>
    <b v="0"/>
    <b v="0"/>
    <b v="0"/>
  </r>
  <r>
    <s v="dmu_Czech_Republic_CD_814"/>
    <x v="6"/>
    <x v="1"/>
    <s v="EASTERN_EUROPE"/>
    <s v="NO_REGION"/>
    <s v="EASTERN_EUROPE_NO_REGION"/>
    <x v="1"/>
    <b v="0"/>
    <b v="0"/>
    <b v="1"/>
    <b v="0"/>
    <b v="0"/>
    <b v="0"/>
    <b v="0"/>
    <b v="0"/>
  </r>
  <r>
    <s v="dmu_UK_BR_150_0_Sprinter"/>
    <x v="5"/>
    <x v="1"/>
    <s v="NORTHERN_EUROPE"/>
    <s v="NO_REGION"/>
    <s v="NORTHERN_EUROPE_NO_REGION"/>
    <x v="1"/>
    <b v="0"/>
    <b v="0"/>
    <b v="0"/>
    <b v="0"/>
    <b v="1"/>
    <b v="0"/>
    <b v="0"/>
    <b v="0"/>
  </r>
  <r>
    <s v="dmu_Iran_RAI_141_Pacer"/>
    <x v="5"/>
    <x v="1"/>
    <s v="ASIA"/>
    <s v="NO_REGION"/>
    <s v="ASIA_NO_REGION"/>
    <x v="1"/>
    <b v="1"/>
    <b v="0"/>
    <b v="0"/>
    <b v="0"/>
    <b v="0"/>
    <b v="0"/>
    <b v="0"/>
    <b v="0"/>
  </r>
  <r>
    <s v="dmu_Israel_Israel_Railways_IC3"/>
    <x v="5"/>
    <x v="4"/>
    <s v="ASIA"/>
    <s v="NO_REGION"/>
    <s v="ASIA_NO_REGION"/>
    <x v="1"/>
    <b v="1"/>
    <b v="0"/>
    <b v="0"/>
    <b v="0"/>
    <b v="0"/>
    <b v="0"/>
    <b v="0"/>
    <b v="0"/>
  </r>
  <r>
    <s v="dmu_Australia_TransAdelaide_3100"/>
    <x v="5"/>
    <x v="1"/>
    <s v="OCEANIA"/>
    <s v="NO_REGION"/>
    <s v="OCEANIA_NO_REGION"/>
    <x v="1"/>
    <b v="0"/>
    <b v="0"/>
    <b v="0"/>
    <b v="0"/>
    <b v="0"/>
    <b v="0"/>
    <b v="0"/>
    <b v="1"/>
  </r>
  <r>
    <s v="dmu_Australia_NSWGR_Xplorer"/>
    <x v="5"/>
    <x v="1"/>
    <s v="OCEANIA"/>
    <s v="NO_REGION"/>
    <s v="OCEANIA_NO_REGION"/>
    <x v="1"/>
    <b v="0"/>
    <b v="0"/>
    <b v="0"/>
    <b v="0"/>
    <b v="0"/>
    <b v="0"/>
    <b v="0"/>
    <b v="1"/>
  </r>
  <r>
    <s v="dmu_Japan_JR_KiHa_189"/>
    <x v="0"/>
    <x v="1"/>
    <s v="ASIA"/>
    <s v="NO_REGION"/>
    <s v="ASIA_NO_REGION"/>
    <x v="1"/>
    <b v="1"/>
    <b v="0"/>
    <b v="0"/>
    <b v="0"/>
    <b v="0"/>
    <b v="0"/>
    <b v="0"/>
    <b v="0"/>
  </r>
  <r>
    <s v="dmu_Sri_Lanka_Sri_Lanka_Railways_S11"/>
    <x v="0"/>
    <x v="1"/>
    <s v="ASIA"/>
    <s v="NO_REGION"/>
    <s v="ASIA_NO_REGION"/>
    <x v="1"/>
    <b v="1"/>
    <b v="0"/>
    <b v="0"/>
    <b v="0"/>
    <b v="0"/>
    <b v="0"/>
    <b v="0"/>
    <b v="0"/>
  </r>
  <r>
    <s v="dmu_Slovakia_ZSSK_861"/>
    <x v="0"/>
    <x v="1"/>
    <s v="EASTERN_EUROPE"/>
    <s v="NO_REGION"/>
    <s v="EASTERN_EUROPE_NO_REGION"/>
    <x v="1"/>
    <b v="0"/>
    <b v="0"/>
    <b v="1"/>
    <b v="0"/>
    <b v="0"/>
    <b v="0"/>
    <b v="0"/>
    <b v="0"/>
  </r>
  <r>
    <s v="dmu_Chile_EFE_TLD_500"/>
    <x v="5"/>
    <x v="1"/>
    <s v="SOUTH_AMERICA"/>
    <s v="NO_REGION"/>
    <s v="SOUTH_AMERICA_NO_REGION"/>
    <x v="1"/>
    <b v="0"/>
    <b v="0"/>
    <b v="0"/>
    <b v="0"/>
    <b v="0"/>
    <b v="0"/>
    <b v="1"/>
    <b v="0"/>
  </r>
  <r>
    <s v="dmu_Cameroon_Camrail_ZE_500"/>
    <x v="6"/>
    <x v="1"/>
    <s v="AFRICA"/>
    <s v="NO_REGION"/>
    <s v="AFRICA_NO_REGION"/>
    <x v="0"/>
    <b v="0"/>
    <b v="0"/>
    <b v="0"/>
    <b v="0"/>
    <b v="0"/>
    <b v="0"/>
    <b v="0"/>
    <b v="0"/>
  </r>
  <r>
    <s v="dmu_UK_BR_251_Blue_Pullman"/>
    <x v="6"/>
    <x v="1"/>
    <s v="NORTHERN_EUROPE"/>
    <s v="NO_REGION"/>
    <s v="NORTHERN_EUROPE_NO_REGION"/>
    <x v="1"/>
    <b v="0"/>
    <b v="0"/>
    <b v="0"/>
    <b v="0"/>
    <b v="1"/>
    <b v="0"/>
    <b v="0"/>
    <b v="0"/>
  </r>
  <r>
    <s v="dmu_Australia_WAGR_ADK_ADB"/>
    <x v="6"/>
    <x v="1"/>
    <s v="OCEANIA"/>
    <s v="NO_REGION"/>
    <s v="OCEANIA_NO_REGION"/>
    <x v="1"/>
    <b v="0"/>
    <b v="0"/>
    <b v="0"/>
    <b v="0"/>
    <b v="0"/>
    <b v="0"/>
    <b v="0"/>
    <b v="1"/>
  </r>
  <r>
    <s v="dmu_France_SNCF_X_4630"/>
    <x v="6"/>
    <x v="1"/>
    <s v="WESTERN_EUROPE"/>
    <s v="NO_REGION"/>
    <s v="WESTERN_EUROPE_NO_REGION"/>
    <x v="1"/>
    <b v="0"/>
    <b v="0"/>
    <b v="0"/>
    <b v="1"/>
    <b v="0"/>
    <b v="0"/>
    <b v="0"/>
    <b v="0"/>
  </r>
  <r>
    <s v="dmu_France_SNCF_T_2000"/>
    <x v="6"/>
    <x v="4"/>
    <s v="WESTERN_EUROPE"/>
    <s v="NO_REGION"/>
    <s v="WESTERN_EUROPE_NO_REGION"/>
    <x v="1"/>
    <b v="0"/>
    <b v="0"/>
    <b v="0"/>
    <b v="1"/>
    <b v="0"/>
    <b v="0"/>
    <b v="0"/>
    <b v="0"/>
  </r>
  <r>
    <s v="dmu_Netherlands_NS_DH2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dmu_Germany_DB_6282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dmu_Algeria_SNTF_ZZ_2200_Autorail"/>
    <x v="0"/>
    <x v="4"/>
    <s v="AFRICA"/>
    <s v="NO_REGION"/>
    <s v="AFRICA_NO_REGION"/>
    <x v="0"/>
    <b v="0"/>
    <b v="0"/>
    <b v="0"/>
    <b v="0"/>
    <b v="0"/>
    <b v="0"/>
    <b v="0"/>
    <b v="0"/>
  </r>
  <r>
    <s v="dmu_Tunisia_SNCFT_AMT_800"/>
    <x v="0"/>
    <x v="1"/>
    <s v="AFRICA"/>
    <s v="NO_REGION"/>
    <s v="AFRICA_NO_REGION"/>
    <x v="0"/>
    <b v="0"/>
    <b v="0"/>
    <b v="0"/>
    <b v="0"/>
    <b v="0"/>
    <b v="0"/>
    <b v="0"/>
    <b v="0"/>
  </r>
  <r>
    <s v="dmu_Ghana_Ghana_Railways_DEMU"/>
    <x v="0"/>
    <x v="1"/>
    <s v="AFRICA"/>
    <s v="NO_REGION"/>
    <s v="AFRICA_NO_REGION"/>
    <x v="0"/>
    <b v="0"/>
    <b v="0"/>
    <b v="0"/>
    <b v="0"/>
    <b v="0"/>
    <b v="0"/>
    <b v="0"/>
    <b v="0"/>
  </r>
  <r>
    <s v="dmu_Australia_Queensland_Rail_Diesel_Tilt_Train"/>
    <x v="0"/>
    <x v="7"/>
    <s v="OCEANIA"/>
    <s v="NO_REGION"/>
    <s v="OCEANIA_NO_REGION"/>
    <x v="1"/>
    <b v="0"/>
    <b v="0"/>
    <b v="0"/>
    <b v="0"/>
    <b v="0"/>
    <b v="0"/>
    <b v="0"/>
    <b v="1"/>
  </r>
  <r>
    <s v="dmu_Canada_UP_Express_Nippon_Sharyo_DMU"/>
    <x v="0"/>
    <x v="1"/>
    <s v="NORTH_AMERICA"/>
    <s v="NO_REGION"/>
    <s v="NORTH_AMERICA_NO_REGION"/>
    <x v="1"/>
    <b v="0"/>
    <b v="0"/>
    <b v="0"/>
    <b v="0"/>
    <b v="0"/>
    <b v="1"/>
    <b v="0"/>
    <b v="0"/>
  </r>
  <r>
    <s v="dmu_Argentina_FCGU_CMM_400_2"/>
    <x v="0"/>
    <x v="1"/>
    <s v="SOUTH_AMERICA"/>
    <s v="NO_REGION"/>
    <s v="SOUTH_AMERICA_NO_REGION"/>
    <x v="1"/>
    <b v="0"/>
    <b v="0"/>
    <b v="0"/>
    <b v="0"/>
    <b v="0"/>
    <b v="0"/>
    <b v="1"/>
    <b v="0"/>
  </r>
  <r>
    <s v="dmu_Italy_FS_ALn_442_448"/>
    <x v="4"/>
    <x v="1"/>
    <s v="SOUTHERN_EUROPE"/>
    <s v="NO_REGION"/>
    <s v="SOUTHERN_EUROPE_NO_REGION"/>
    <x v="1"/>
    <b v="0"/>
    <b v="1"/>
    <b v="0"/>
    <b v="0"/>
    <b v="0"/>
    <b v="0"/>
    <b v="0"/>
    <b v="0"/>
  </r>
  <r>
    <s v="dmu_Portugal_CP_0400"/>
    <x v="6"/>
    <x v="1"/>
    <s v="SOUTHERN_EUROPE"/>
    <s v="NO_REGION"/>
    <s v="SOUTHERN_EUROPE_NO_REGION"/>
    <x v="1"/>
    <b v="0"/>
    <b v="1"/>
    <b v="0"/>
    <b v="0"/>
    <b v="0"/>
    <b v="0"/>
    <b v="0"/>
    <b v="0"/>
  </r>
  <r>
    <s v="dmu_Portugal_CP_0600"/>
    <x v="6"/>
    <x v="1"/>
    <s v="SOUTHERN_EUROPE"/>
    <s v="NO_REGION"/>
    <s v="SOUTHERN_EUROPE_NO_REGION"/>
    <x v="1"/>
    <b v="0"/>
    <b v="1"/>
    <b v="0"/>
    <b v="0"/>
    <b v="0"/>
    <b v="0"/>
    <b v="0"/>
    <b v="0"/>
  </r>
  <r>
    <s v="dmu_Spain_FEVE_2400_Apollos"/>
    <x v="5"/>
    <x v="1"/>
    <s v="SOUTHERN_EUROPE"/>
    <s v="NO_REGION"/>
    <s v="SOUTHERN_EUROPE_NO_REGION"/>
    <x v="1"/>
    <b v="0"/>
    <b v="1"/>
    <b v="0"/>
    <b v="0"/>
    <b v="0"/>
    <b v="0"/>
    <b v="0"/>
    <b v="0"/>
  </r>
  <r>
    <s v="cargodmu_Germany_DB_691_CargoSprinter"/>
    <x v="5"/>
    <x v="12"/>
    <s v="WESTERN_EUROPE"/>
    <s v="NO_REGION"/>
    <s v="WESTERN_EUROPE_NO_REGION"/>
    <x v="1"/>
    <b v="0"/>
    <b v="0"/>
    <b v="0"/>
    <b v="1"/>
    <b v="0"/>
    <b v="0"/>
    <b v="0"/>
    <b v="0"/>
  </r>
  <r>
    <s v="emu_Australia_Sydney_Trains_A_Set_Waratah"/>
    <x v="0"/>
    <x v="1"/>
    <s v="OCEANIA"/>
    <s v="NO_REGION"/>
    <s v="OCEANIA_NO_REGION"/>
    <x v="1"/>
    <b v="0"/>
    <b v="0"/>
    <b v="0"/>
    <b v="0"/>
    <b v="0"/>
    <b v="0"/>
    <b v="0"/>
    <b v="1"/>
  </r>
  <r>
    <s v="emu_Denmark_DSB_S_Tog_II"/>
    <x v="6"/>
    <x v="1"/>
    <s v="NORTHERN_EUROPE"/>
    <s v="NO_REGION"/>
    <s v="NORTHERN_EUROPE_NO_REGION"/>
    <x v="1"/>
    <b v="0"/>
    <b v="0"/>
    <b v="0"/>
    <b v="0"/>
    <b v="1"/>
    <b v="0"/>
    <b v="0"/>
    <b v="0"/>
  </r>
  <r>
    <s v="emu_Denmark_DSB_S_Tog_IV"/>
    <x v="5"/>
    <x v="1"/>
    <s v="NORTHERN_EUROPE"/>
    <s v="NO_REGION"/>
    <s v="NORTHERN_EUROPE_NO_REGION"/>
    <x v="1"/>
    <b v="0"/>
    <b v="0"/>
    <b v="0"/>
    <b v="0"/>
    <b v="1"/>
    <b v="0"/>
    <b v="0"/>
    <b v="0"/>
  </r>
  <r>
    <s v="emu_Italy_ATAC_ECD_21_30"/>
    <x v="3"/>
    <x v="1"/>
    <s v="SOUTHERN_EUROPE"/>
    <s v="NO_REGION"/>
    <s v="SOUTHERN_EUROPE_NO_REGION"/>
    <x v="1"/>
    <b v="0"/>
    <b v="1"/>
    <b v="0"/>
    <b v="0"/>
    <b v="0"/>
    <b v="0"/>
    <b v="0"/>
    <b v="0"/>
  </r>
  <r>
    <s v="emu_Netherlands_NS_Mat24"/>
    <x v="3"/>
    <x v="1"/>
    <s v="WESTERN_EUROPE"/>
    <s v="NO_REGION"/>
    <s v="WESTERN_EUROPE_NO_REGION"/>
    <x v="1"/>
    <b v="0"/>
    <b v="0"/>
    <b v="0"/>
    <b v="1"/>
    <b v="0"/>
    <b v="0"/>
    <b v="0"/>
    <b v="0"/>
  </r>
  <r>
    <s v="emu_Netherlands_NS_Mat36"/>
    <x v="3"/>
    <x v="1"/>
    <s v="WESTERN_EUROPE"/>
    <s v="NO_REGION"/>
    <s v="WESTERN_EUROPE_NO_REGION"/>
    <x v="1"/>
    <b v="0"/>
    <b v="0"/>
    <b v="0"/>
    <b v="1"/>
    <b v="0"/>
    <b v="0"/>
    <b v="0"/>
    <b v="0"/>
  </r>
  <r>
    <s v="emu_Netherlands_NS_Mat54"/>
    <x v="4"/>
    <x v="1"/>
    <s v="WESTERN_EUROPE"/>
    <s v="NO_REGION"/>
    <s v="WESTERN_EUROPE_NO_REGION"/>
    <x v="1"/>
    <b v="0"/>
    <b v="0"/>
    <b v="0"/>
    <b v="1"/>
    <b v="0"/>
    <b v="0"/>
    <b v="0"/>
    <b v="0"/>
  </r>
  <r>
    <s v="emu_Netherlands_NS_Plan_Y"/>
    <x v="6"/>
    <x v="1"/>
    <s v="WESTERN_EUROPE"/>
    <s v="NO_REGION"/>
    <s v="WESTERN_EUROPE_NO_REGION"/>
    <x v="1"/>
    <b v="0"/>
    <b v="0"/>
    <b v="0"/>
    <b v="1"/>
    <b v="0"/>
    <b v="0"/>
    <b v="0"/>
    <b v="0"/>
  </r>
  <r>
    <s v="emu_Netherlands_NS_ICM_4000"/>
    <x v="6"/>
    <x v="1"/>
    <s v="WESTERN_EUROPE"/>
    <s v="NO_REGION"/>
    <s v="WESTERN_EUROPE_NO_REGION"/>
    <x v="1"/>
    <b v="0"/>
    <b v="0"/>
    <b v="0"/>
    <b v="1"/>
    <b v="0"/>
    <b v="0"/>
    <b v="0"/>
    <b v="0"/>
  </r>
  <r>
    <s v="emu_Netherlands_NS_DD_IRM_VIRM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emu_Netherlands_NS_mDDm_390"/>
    <x v="5"/>
    <x v="4"/>
    <s v="WESTERN_EUROPE"/>
    <s v="NO_REGION"/>
    <s v="WESTERN_EUROPE_NO_REGION"/>
    <x v="1"/>
    <b v="0"/>
    <b v="0"/>
    <b v="0"/>
    <b v="1"/>
    <b v="0"/>
    <b v="0"/>
    <b v="0"/>
    <b v="0"/>
  </r>
  <r>
    <s v="emu_Poland_PKP_EW90"/>
    <x v="3"/>
    <x v="1"/>
    <s v="EASTERN_EUROPE"/>
    <s v="NO_REGION"/>
    <s v="EASTERN_EUROPE_NO_REGION"/>
    <x v="1"/>
    <b v="0"/>
    <b v="0"/>
    <b v="1"/>
    <b v="0"/>
    <b v="0"/>
    <b v="0"/>
    <b v="0"/>
    <b v="0"/>
  </r>
  <r>
    <s v="emu_Italy_FS_ETR200"/>
    <x v="3"/>
    <x v="4"/>
    <s v="SOUTHERN_EUROPE"/>
    <s v="NO_REGION"/>
    <s v="SOUTHERN_EUROPE_NO_REGION"/>
    <x v="1"/>
    <b v="0"/>
    <b v="1"/>
    <b v="0"/>
    <b v="0"/>
    <b v="0"/>
    <b v="0"/>
    <b v="0"/>
    <b v="0"/>
  </r>
  <r>
    <s v="emu_Italy_FS_ETR300_Settebello"/>
    <x v="4"/>
    <x v="4"/>
    <s v="SOUTHERN_EUROPE"/>
    <s v="NO_REGION"/>
    <s v="SOUTHERN_EUROPE_NO_REGION"/>
    <x v="1"/>
    <b v="0"/>
    <b v="1"/>
    <b v="0"/>
    <b v="0"/>
    <b v="0"/>
    <b v="0"/>
    <b v="0"/>
    <b v="0"/>
  </r>
  <r>
    <s v="emu_Italy_FS_ETR500"/>
    <x v="5"/>
    <x v="10"/>
    <s v="SOUTHERN_EUROPE"/>
    <s v="NO_REGION"/>
    <s v="SOUTHERN_EUROPE_NO_REGION"/>
    <x v="1"/>
    <b v="0"/>
    <b v="1"/>
    <b v="0"/>
    <b v="0"/>
    <b v="0"/>
    <b v="0"/>
    <b v="0"/>
    <b v="0"/>
  </r>
  <r>
    <s v="emu_Italy_FS_ALe426"/>
    <x v="5"/>
    <x v="1"/>
    <s v="SOUTHERN_EUROPE"/>
    <s v="NO_REGION"/>
    <s v="SOUTHERN_EUROPE_NO_REGION"/>
    <x v="1"/>
    <b v="0"/>
    <b v="1"/>
    <b v="0"/>
    <b v="0"/>
    <b v="0"/>
    <b v="0"/>
    <b v="0"/>
    <b v="0"/>
  </r>
  <r>
    <s v="emu_Morocco_ONCF_ZMC"/>
    <x v="5"/>
    <x v="4"/>
    <s v="AFRICA"/>
    <s v="NO_REGION"/>
    <s v="AFRICA_NO_REGION"/>
    <x v="0"/>
    <b v="0"/>
    <b v="0"/>
    <b v="0"/>
    <b v="0"/>
    <b v="0"/>
    <b v="0"/>
    <b v="0"/>
    <b v="0"/>
  </r>
  <r>
    <s v="emu_Poland_PKP_EW54"/>
    <x v="4"/>
    <x v="1"/>
    <s v="EASTERN_EUROPE"/>
    <s v="NO_REGION"/>
    <s v="EASTERN_EUROPE_NO_REGION"/>
    <x v="1"/>
    <b v="0"/>
    <b v="0"/>
    <b v="1"/>
    <b v="0"/>
    <b v="0"/>
    <b v="0"/>
    <b v="0"/>
    <b v="0"/>
  </r>
  <r>
    <s v="emu_Italy_FS_ALe_801"/>
    <x v="6"/>
    <x v="1"/>
    <s v="SOUTHERN_EUROPE"/>
    <s v="NO_REGION"/>
    <s v="SOUTHERN_EUROPE_NO_REGION"/>
    <x v="1"/>
    <b v="0"/>
    <b v="1"/>
    <b v="0"/>
    <b v="0"/>
    <b v="0"/>
    <b v="0"/>
    <b v="0"/>
    <b v="0"/>
  </r>
  <r>
    <s v="emu_Austria_OBB_4030"/>
    <x v="4"/>
    <x v="1"/>
    <s v="WESTERN_EUROPE"/>
    <s v="NO_REGION"/>
    <s v="WESTERN_EUROPE_NO_REGION"/>
    <x v="1"/>
    <b v="0"/>
    <b v="0"/>
    <b v="0"/>
    <b v="1"/>
    <b v="0"/>
    <b v="0"/>
    <b v="0"/>
    <b v="0"/>
  </r>
  <r>
    <s v="emu_Austria_OBB_4041"/>
    <x v="3"/>
    <x v="1"/>
    <s v="WESTERN_EUROPE"/>
    <s v="NO_REGION"/>
    <s v="WESTERN_EUROPE_NO_REGION"/>
    <x v="1"/>
    <b v="0"/>
    <b v="0"/>
    <b v="0"/>
    <b v="1"/>
    <b v="0"/>
    <b v="0"/>
    <b v="0"/>
    <b v="0"/>
  </r>
  <r>
    <s v="emu_Austria_WESTbahn_4010_KISS"/>
    <x v="0"/>
    <x v="4"/>
    <s v="WESTERN_EUROPE"/>
    <s v="NO_REGION"/>
    <s v="WESTERN_EUROPE_NO_REGION"/>
    <x v="1"/>
    <b v="0"/>
    <b v="0"/>
    <b v="0"/>
    <b v="1"/>
    <b v="0"/>
    <b v="0"/>
    <b v="0"/>
    <b v="0"/>
  </r>
  <r>
    <s v="emu_Germany_DB_ET420"/>
    <x v="6"/>
    <x v="1"/>
    <s v="WESTERN_EUROPE"/>
    <s v="NO_REGION"/>
    <s v="WESTERN_EUROPE_NO_REGION"/>
    <x v="1"/>
    <b v="0"/>
    <b v="0"/>
    <b v="0"/>
    <b v="1"/>
    <b v="0"/>
    <b v="0"/>
    <b v="0"/>
    <b v="0"/>
  </r>
  <r>
    <s v="emu_Norway_NSB_BM73"/>
    <x v="5"/>
    <x v="4"/>
    <s v="NORTHERN_EUROPE"/>
    <s v="NO_REGION"/>
    <s v="NORTHERN_EUROPE_NO_REGION"/>
    <x v="1"/>
    <b v="0"/>
    <b v="0"/>
    <b v="0"/>
    <b v="0"/>
    <b v="1"/>
    <b v="0"/>
    <b v="0"/>
    <b v="0"/>
  </r>
  <r>
    <s v="emu_Norway_NSB_BM65"/>
    <x v="4"/>
    <x v="1"/>
    <s v="NORTHERN_EUROPE"/>
    <s v="NO_REGION"/>
    <s v="NORTHERN_EUROPE_NO_REGION"/>
    <x v="1"/>
    <b v="0"/>
    <b v="0"/>
    <b v="0"/>
    <b v="0"/>
    <b v="1"/>
    <b v="0"/>
    <b v="0"/>
    <b v="0"/>
  </r>
  <r>
    <s v="emu_Sweden_SJ_X2000"/>
    <x v="5"/>
    <x v="7"/>
    <s v="NORTHERN_EUROPE"/>
    <s v="NO_REGION"/>
    <s v="NORTHERN_EUROPE_NO_REGION"/>
    <x v="1"/>
    <b v="0"/>
    <b v="0"/>
    <b v="0"/>
    <b v="0"/>
    <b v="1"/>
    <b v="0"/>
    <b v="0"/>
    <b v="0"/>
  </r>
  <r>
    <s v="emu_Switzerland_SBB_RABDe_510"/>
    <x v="6"/>
    <x v="1"/>
    <s v="WESTERN_EUROPE"/>
    <s v="NO_REGION"/>
    <s v="WESTERN_EUROPE_NO_REGION"/>
    <x v="1"/>
    <b v="0"/>
    <b v="0"/>
    <b v="0"/>
    <b v="1"/>
    <b v="0"/>
    <b v="0"/>
    <b v="0"/>
    <b v="0"/>
  </r>
  <r>
    <s v="emu_Switzerland_SBB_RBDe_560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emu_Switzerland_SBB_RABe_523_Flirt"/>
    <x v="0"/>
    <x v="4"/>
    <s v="WESTERN_EUROPE"/>
    <s v="NO_REGION"/>
    <s v="WESTERN_EUROPE_NO_REGION"/>
    <x v="1"/>
    <b v="0"/>
    <b v="0"/>
    <b v="0"/>
    <b v="1"/>
    <b v="0"/>
    <b v="0"/>
    <b v="0"/>
    <b v="0"/>
  </r>
  <r>
    <s v="emu_USA_Amtrak_Budd_Metroliner"/>
    <x v="6"/>
    <x v="4"/>
    <s v="NORTH_AMERICA"/>
    <s v="NO_REGION"/>
    <s v="NORTH_AMERICA_NO_REGION"/>
    <x v="1"/>
    <b v="0"/>
    <b v="0"/>
    <b v="0"/>
    <b v="0"/>
    <b v="0"/>
    <b v="1"/>
    <b v="0"/>
    <b v="0"/>
  </r>
  <r>
    <s v="emu_Germany_DB_403_ICE_3"/>
    <x v="0"/>
    <x v="3"/>
    <s v="WESTERN_EUROPE"/>
    <s v="NO_REGION"/>
    <s v="WESTERN_EUROPE_NO_REGION"/>
    <x v="1"/>
    <b v="0"/>
    <b v="0"/>
    <b v="0"/>
    <b v="1"/>
    <b v="0"/>
    <b v="0"/>
    <b v="0"/>
    <b v="0"/>
  </r>
  <r>
    <s v="emu_Bulgaria_BDZ_10_Desiro"/>
    <x v="0"/>
    <x v="1"/>
    <s v="EASTERN_EUROPE"/>
    <s v="NO_REGION"/>
    <s v="EASTERN_EUROPE_NO_REGION"/>
    <x v="1"/>
    <b v="0"/>
    <b v="0"/>
    <b v="1"/>
    <b v="0"/>
    <b v="0"/>
    <b v="0"/>
    <b v="0"/>
    <b v="0"/>
  </r>
  <r>
    <s v="emu_Finland_VR_Sm2"/>
    <x v="6"/>
    <x v="1"/>
    <s v="NORTHERN_EUROPE"/>
    <s v="NO_REGION"/>
    <s v="NORTHERN_EUROPE_NO_REGION"/>
    <x v="1"/>
    <b v="0"/>
    <b v="0"/>
    <b v="0"/>
    <b v="0"/>
    <b v="1"/>
    <b v="0"/>
    <b v="0"/>
    <b v="0"/>
  </r>
  <r>
    <s v="emu_Finland_VR_Sm4"/>
    <x v="5"/>
    <x v="4"/>
    <s v="NORTHERN_EUROPE"/>
    <s v="NO_REGION"/>
    <s v="NORTHERN_EUROPE_NO_REGION"/>
    <x v="1"/>
    <b v="0"/>
    <b v="0"/>
    <b v="0"/>
    <b v="0"/>
    <b v="1"/>
    <b v="0"/>
    <b v="0"/>
    <b v="0"/>
  </r>
  <r>
    <s v="emu_Hungary_MAV_BDVmot"/>
    <x v="5"/>
    <x v="1"/>
    <s v="EASTERN_EUROPE"/>
    <s v="NO_REGION"/>
    <s v="EASTERN_EUROPE_NO_REGION"/>
    <x v="1"/>
    <b v="0"/>
    <b v="0"/>
    <b v="1"/>
    <b v="0"/>
    <b v="0"/>
    <b v="0"/>
    <b v="0"/>
    <b v="0"/>
  </r>
  <r>
    <s v="emu_Europe_Sureot"/>
    <x v="10"/>
    <x v="3"/>
    <s v="ALL_EUROPE"/>
    <s v="NO_REGION"/>
    <s v="ALL_EUROPE_NO_REGION"/>
    <x v="1"/>
    <b v="0"/>
    <b v="1"/>
    <b v="1"/>
    <b v="1"/>
    <b v="1"/>
    <b v="0"/>
    <b v="0"/>
    <b v="0"/>
  </r>
  <r>
    <s v="emu_Japan_JNR_Shinkansen_Series_0"/>
    <x v="6"/>
    <x v="4"/>
    <s v="ASIA"/>
    <s v="NO_REGION"/>
    <s v="ASIA_NO_REGION"/>
    <x v="1"/>
    <b v="1"/>
    <b v="0"/>
    <b v="0"/>
    <b v="0"/>
    <b v="0"/>
    <b v="0"/>
    <b v="0"/>
    <b v="0"/>
  </r>
  <r>
    <s v="emu_Japan_JR_Shinkansen_Series_700"/>
    <x v="5"/>
    <x v="3"/>
    <s v="ASIA"/>
    <s v="NO_REGION"/>
    <s v="ASIA_NO_REGION"/>
    <x v="1"/>
    <b v="1"/>
    <b v="0"/>
    <b v="0"/>
    <b v="0"/>
    <b v="0"/>
    <b v="0"/>
    <b v="0"/>
    <b v="0"/>
  </r>
  <r>
    <s v="emu_Japan_JR_Shinkansen_Series_E1_Max"/>
    <x v="5"/>
    <x v="3"/>
    <s v="ASIA"/>
    <s v="NO_REGION"/>
    <s v="ASIA_NO_REGION"/>
    <x v="1"/>
    <b v="1"/>
    <b v="0"/>
    <b v="0"/>
    <b v="0"/>
    <b v="0"/>
    <b v="0"/>
    <b v="0"/>
    <b v="0"/>
  </r>
  <r>
    <s v="emu_Luxembourg_CFL_2200_Coradia_Duplex"/>
    <x v="5"/>
    <x v="4"/>
    <s v="WESTERN_EUROPE"/>
    <s v="NO_REGION"/>
    <s v="WESTERN_EUROPE_NO_REGION"/>
    <x v="1"/>
    <b v="0"/>
    <b v="0"/>
    <b v="0"/>
    <b v="1"/>
    <b v="0"/>
    <b v="0"/>
    <b v="0"/>
    <b v="0"/>
  </r>
  <r>
    <s v="emu_Macedonia_Macedonian_Railways_412"/>
    <x v="5"/>
    <x v="1"/>
    <s v="SOUTHERN_EUROPE"/>
    <s v="NO_REGION"/>
    <s v="SOUTHERN_EUROPE_NO_REGION"/>
    <x v="1"/>
    <b v="0"/>
    <b v="1"/>
    <b v="0"/>
    <b v="0"/>
    <b v="0"/>
    <b v="0"/>
    <b v="0"/>
    <b v="0"/>
  </r>
  <r>
    <s v="emu_Romania_CFR_58"/>
    <x v="6"/>
    <x v="1"/>
    <s v="EASTERN_EUROPE"/>
    <s v="NO_REGION"/>
    <s v="EASTERN_EUROPE_NO_REGION"/>
    <x v="1"/>
    <b v="0"/>
    <b v="0"/>
    <b v="1"/>
    <b v="0"/>
    <b v="0"/>
    <b v="0"/>
    <b v="0"/>
    <b v="0"/>
  </r>
  <r>
    <s v="emu_South_Africa_Gautrain_Electrostar"/>
    <x v="0"/>
    <x v="4"/>
    <s v="AFRICA"/>
    <s v="NO_REGION"/>
    <s v="AFRICA_NO_REGION"/>
    <x v="0"/>
    <b v="0"/>
    <b v="0"/>
    <b v="0"/>
    <b v="0"/>
    <b v="0"/>
    <b v="0"/>
    <b v="0"/>
    <b v="0"/>
  </r>
  <r>
    <s v="emu_Turkey_TCDD_E8000"/>
    <x v="4"/>
    <x v="1"/>
    <s v="ASIA"/>
    <s v="NO_REGION"/>
    <s v="ASIA_NO_REGION"/>
    <x v="1"/>
    <b v="1"/>
    <b v="0"/>
    <b v="0"/>
    <b v="0"/>
    <b v="0"/>
    <b v="0"/>
    <b v="0"/>
    <b v="0"/>
  </r>
  <r>
    <s v="emu_China_Railways_CHR380A"/>
    <x v="0"/>
    <x v="3"/>
    <s v="ASIA"/>
    <s v="NO_REGION"/>
    <s v="ASIA_NO_REGION"/>
    <x v="1"/>
    <b v="1"/>
    <b v="0"/>
    <b v="0"/>
    <b v="0"/>
    <b v="0"/>
    <b v="0"/>
    <b v="0"/>
    <b v="0"/>
  </r>
  <r>
    <s v="emu_USA_PRR_MP54"/>
    <x v="1"/>
    <x v="1"/>
    <s v="NORTH_AMERICA"/>
    <s v="NO_REGION"/>
    <s v="NORTH_AMERICA_NO_REGION"/>
    <x v="1"/>
    <b v="0"/>
    <b v="0"/>
    <b v="0"/>
    <b v="0"/>
    <b v="0"/>
    <b v="1"/>
    <b v="0"/>
    <b v="0"/>
  </r>
  <r>
    <s v="emu_Italy_NTV_AGV"/>
    <x v="0"/>
    <x v="3"/>
    <s v="SOUTHERN_EUROPE"/>
    <s v="NO_REGION"/>
    <s v="SOUTHERN_EUROPE_NO_REGION"/>
    <x v="1"/>
    <b v="0"/>
    <b v="1"/>
    <b v="0"/>
    <b v="0"/>
    <b v="0"/>
    <b v="0"/>
    <b v="0"/>
    <b v="0"/>
  </r>
  <r>
    <s v="emu_Italy_NTV_AGV_Duplex"/>
    <x v="0"/>
    <x v="3"/>
    <s v="SOUTHERN_EUROPE"/>
    <s v="NO_REGION"/>
    <s v="SOUTHERN_EUROPE_NO_REGION"/>
    <x v="1"/>
    <b v="0"/>
    <b v="1"/>
    <b v="0"/>
    <b v="0"/>
    <b v="0"/>
    <b v="0"/>
    <b v="0"/>
    <b v="0"/>
  </r>
  <r>
    <s v="emu_Netherlands_NS_Hispeed_V250_Albatros"/>
    <x v="0"/>
    <x v="3"/>
    <s v="WESTERN_EUROPE"/>
    <s v="NO_REGION"/>
    <s v="WESTERN_EUROPE_NO_REGION"/>
    <x v="1"/>
    <b v="0"/>
    <b v="0"/>
    <b v="0"/>
    <b v="1"/>
    <b v="0"/>
    <b v="0"/>
    <b v="0"/>
    <b v="0"/>
  </r>
  <r>
    <s v="emu_Netherlands_NS_4800_HSA"/>
    <x v="0"/>
    <x v="3"/>
    <s v="WESTERN_EUROPE"/>
    <s v="NO_REGION"/>
    <s v="WESTERN_EUROPE_NO_REGION"/>
    <x v="1"/>
    <b v="0"/>
    <b v="0"/>
    <b v="0"/>
    <b v="1"/>
    <b v="0"/>
    <b v="0"/>
    <b v="0"/>
    <b v="0"/>
  </r>
  <r>
    <s v="emu_Switzerland_SBB_Rae_TEE_II"/>
    <x v="6"/>
    <x v="4"/>
    <s v="WESTERN_EUROPE"/>
    <s v="NO_REGION"/>
    <s v="WESTERN_EUROPE_NO_REGION"/>
    <x v="1"/>
    <b v="0"/>
    <b v="0"/>
    <b v="0"/>
    <b v="1"/>
    <b v="0"/>
    <b v="0"/>
    <b v="0"/>
    <b v="0"/>
  </r>
  <r>
    <s v="emu_USA_Erie_Lackawanna_MU_Cars"/>
    <x v="3"/>
    <x v="1"/>
    <s v="NORTH_AMERICA"/>
    <s v="NO_REGION"/>
    <s v="NORTH_AMERICA_NO_REGION"/>
    <x v="1"/>
    <b v="0"/>
    <b v="0"/>
    <b v="0"/>
    <b v="0"/>
    <b v="0"/>
    <b v="1"/>
    <b v="0"/>
    <b v="0"/>
  </r>
  <r>
    <s v="emu_France_SNCF_TGV_Sud_Est"/>
    <x v="5"/>
    <x v="10"/>
    <s v="WESTERN_EUROPE"/>
    <s v="NO_REGION"/>
    <s v="WESTERN_EUROPE_NO_REGION"/>
    <x v="1"/>
    <b v="0"/>
    <b v="0"/>
    <b v="0"/>
    <b v="1"/>
    <b v="0"/>
    <b v="0"/>
    <b v="0"/>
    <b v="0"/>
  </r>
  <r>
    <s v="emu_France_SNCF_TGV_Duplex"/>
    <x v="5"/>
    <x v="10"/>
    <s v="WESTERN_EUROPE"/>
    <s v="NO_REGION"/>
    <s v="WESTERN_EUROPE_NO_REGION"/>
    <x v="1"/>
    <b v="0"/>
    <b v="0"/>
    <b v="0"/>
    <b v="1"/>
    <b v="0"/>
    <b v="0"/>
    <b v="0"/>
    <b v="0"/>
  </r>
  <r>
    <s v="emu_France_Thalys_PBKA"/>
    <x v="5"/>
    <x v="10"/>
    <s v="WESTERN_EUROPE"/>
    <s v="NO_REGION"/>
    <s v="WESTERN_EUROPE_NO_REGION"/>
    <x v="1"/>
    <b v="0"/>
    <b v="0"/>
    <b v="0"/>
    <b v="1"/>
    <b v="0"/>
    <b v="0"/>
    <b v="0"/>
    <b v="0"/>
  </r>
  <r>
    <s v="emu_Czech_Republic_CD_680_Pendolino"/>
    <x v="5"/>
    <x v="4"/>
    <s v="EASTERN_EUROPE"/>
    <s v="NO_REGION"/>
    <s v="EASTERN_EUROPE_NO_REGION"/>
    <x v="1"/>
    <b v="0"/>
    <b v="0"/>
    <b v="1"/>
    <b v="0"/>
    <b v="0"/>
    <b v="0"/>
    <b v="0"/>
    <b v="0"/>
  </r>
  <r>
    <s v="emu_Spain_RENFE_120"/>
    <x v="0"/>
    <x v="3"/>
    <s v="SOUTHERN_EUROPE"/>
    <s v="NO_REGION"/>
    <s v="SOUTHERN_EUROPE_NO_REGION"/>
    <x v="1"/>
    <b v="0"/>
    <b v="1"/>
    <b v="0"/>
    <b v="0"/>
    <b v="0"/>
    <b v="0"/>
    <b v="0"/>
    <b v="0"/>
  </r>
  <r>
    <s v="emu_USA_Amtrak_Acela_Express"/>
    <x v="5"/>
    <x v="10"/>
    <s v="NORTH_AMERICA"/>
    <s v="NO_REGION"/>
    <s v="NORTH_AMERICA_NO_REGION"/>
    <x v="1"/>
    <b v="0"/>
    <b v="0"/>
    <b v="0"/>
    <b v="0"/>
    <b v="0"/>
    <b v="1"/>
    <b v="0"/>
    <b v="0"/>
  </r>
  <r>
    <s v="singlemtro_USA_Brooklyn_Union_Gate_Car"/>
    <x v="2"/>
    <x v="9"/>
    <s v="NORTH_AMERICA"/>
    <s v="NO_REGION"/>
    <s v="NORTH_AMERICA_NO_REGION"/>
    <x v="1"/>
    <b v="0"/>
    <b v="0"/>
    <b v="0"/>
    <b v="0"/>
    <b v="0"/>
    <b v="1"/>
    <b v="0"/>
    <b v="0"/>
  </r>
  <r>
    <s v="singlemtro_Hungary_Budapest_1894_Stock"/>
    <x v="2"/>
    <x v="9"/>
    <s v="EASTERN_EUROPE"/>
    <s v="NO_REGION"/>
    <s v="EASTERN_EUROPE_NO_REGION"/>
    <x v="1"/>
    <b v="0"/>
    <b v="0"/>
    <b v="1"/>
    <b v="0"/>
    <b v="0"/>
    <b v="0"/>
    <b v="0"/>
    <b v="0"/>
  </r>
  <r>
    <s v="singlemtro_USA_Chicago_L_Northwest_Elevated_1907_Stock"/>
    <x v="1"/>
    <x v="9"/>
    <s v="NORTH_AMERICA"/>
    <s v="NO_REGION"/>
    <s v="NORTH_AMERICA_NO_REGION"/>
    <x v="1"/>
    <b v="0"/>
    <b v="0"/>
    <b v="0"/>
    <b v="0"/>
    <b v="0"/>
    <b v="1"/>
    <b v="0"/>
    <b v="0"/>
  </r>
  <r>
    <s v="singlemtro_Germany_Berlin_U_Bahn_C_II"/>
    <x v="3"/>
    <x v="9"/>
    <s v="WESTERN_EUROPE"/>
    <s v="NO_REGION"/>
    <s v="WESTERN_EUROPE_NO_REGION"/>
    <x v="1"/>
    <b v="0"/>
    <b v="0"/>
    <b v="0"/>
    <b v="1"/>
    <b v="0"/>
    <b v="0"/>
    <b v="0"/>
    <b v="0"/>
  </r>
  <r>
    <s v="rbm_World_Turbobus"/>
    <x v="11"/>
    <x v="3"/>
    <s v="ALL_REGION"/>
    <s v="NO_REGION"/>
    <s v="ALL_REGION_NO_REGION"/>
    <x v="0"/>
    <b v="1"/>
    <b v="1"/>
    <b v="1"/>
    <b v="1"/>
    <b v="1"/>
    <b v="1"/>
    <b v="1"/>
    <b v="1"/>
  </r>
  <r>
    <s v="mglv_Germany_DB_182_ES64UM_Mutus"/>
    <x v="0"/>
    <x v="10"/>
    <s v="WESTERN_EUROPE"/>
    <s v="NO_REGION"/>
    <s v="WESTERN_EUROPE_NO_REGION"/>
    <x v="1"/>
    <b v="0"/>
    <b v="0"/>
    <b v="0"/>
    <b v="1"/>
    <b v="0"/>
    <b v="0"/>
    <b v="0"/>
    <b v="0"/>
  </r>
  <r>
    <s v="mglv_China_Transrapid"/>
    <x v="0"/>
    <x v="3"/>
    <s v="ASIA"/>
    <s v="NO_REGION"/>
    <s v="ASIA_NO_REGION"/>
    <x v="1"/>
    <b v="1"/>
    <b v="0"/>
    <b v="0"/>
    <b v="0"/>
    <b v="0"/>
    <b v="0"/>
    <b v="0"/>
    <b v="0"/>
  </r>
  <r>
    <s v="mglv_Japan_MLX01_901"/>
    <x v="10"/>
    <x v="3"/>
    <s v="ASIA"/>
    <s v="NO_REGION"/>
    <s v="ASIA_NO_REGION"/>
    <x v="1"/>
    <b v="1"/>
    <b v="0"/>
    <b v="0"/>
    <b v="0"/>
    <b v="0"/>
    <b v="0"/>
    <b v="0"/>
    <b v="0"/>
  </r>
  <r>
    <s v="mglv_Wagon_Gen7M_Boxcar_Type1"/>
    <x v="0"/>
    <x v="13"/>
    <s v="REGIONTYPE1"/>
    <s v="NO_REGION"/>
    <s v="REGIONTYPE1_NO_REGION"/>
    <x v="0"/>
    <b v="1"/>
    <b v="1"/>
    <b v="1"/>
    <b v="1"/>
    <b v="1"/>
    <b v="0"/>
    <b v="0"/>
    <b v="0"/>
  </r>
  <r>
    <s v="mglv_Wagon_Gen7M_Boxcar_Type2"/>
    <x v="0"/>
    <x v="13"/>
    <s v="REGIONTYPE2"/>
    <s v="NO_REGION"/>
    <s v="REGIONTYPE2_NO_REGION"/>
    <x v="0"/>
    <b v="1"/>
    <b v="0"/>
    <b v="0"/>
    <b v="0"/>
    <b v="0"/>
    <b v="1"/>
    <b v="1"/>
    <b v="0"/>
  </r>
  <r>
    <s v="mglv_Wagon_Gen7M_Car_Transporter"/>
    <x v="10"/>
    <x v="13"/>
    <s v="ALL_REGION"/>
    <s v="NO_REGION"/>
    <s v="ALL_REGION_NO_REGION"/>
    <x v="0"/>
    <b v="1"/>
    <b v="1"/>
    <b v="1"/>
    <b v="1"/>
    <b v="1"/>
    <b v="1"/>
    <b v="1"/>
    <b v="1"/>
  </r>
  <r>
    <s v="mglv_Wagon_Gen7M_Centerbeam"/>
    <x v="0"/>
    <x v="13"/>
    <s v="ALL_REGION"/>
    <s v="NO_REGION"/>
    <s v="ALL_REGION_NO_REGION"/>
    <x v="0"/>
    <b v="1"/>
    <b v="1"/>
    <b v="1"/>
    <b v="1"/>
    <b v="1"/>
    <b v="1"/>
    <b v="1"/>
    <b v="1"/>
  </r>
  <r>
    <s v="mglv_Wagon_Gen7M_Container_Carrier"/>
    <x v="0"/>
    <x v="13"/>
    <s v="ALL_REGION"/>
    <s v="NO_REGION"/>
    <s v="ALL_REGION_NO_REGION"/>
    <x v="0"/>
    <b v="1"/>
    <b v="1"/>
    <b v="1"/>
    <b v="1"/>
    <b v="1"/>
    <b v="1"/>
    <b v="1"/>
    <b v="1"/>
  </r>
  <r>
    <s v="mglv_Wagon_Gen7M_Container_Doublestack"/>
    <x v="0"/>
    <x v="13"/>
    <s v="ALL_REGION"/>
    <s v="NO_REGION"/>
    <s v="ALL_REGION_NO_REGION"/>
    <x v="0"/>
    <b v="1"/>
    <b v="1"/>
    <b v="1"/>
    <b v="1"/>
    <b v="1"/>
    <b v="1"/>
    <b v="1"/>
    <b v="1"/>
  </r>
  <r>
    <s v="mglv_Wagon_Gen7M_Flatcar"/>
    <x v="0"/>
    <x v="13"/>
    <s v="ALL_REGION"/>
    <s v="NO_REGION"/>
    <s v="ALL_REGION_NO_REGION"/>
    <x v="0"/>
    <b v="1"/>
    <b v="1"/>
    <b v="1"/>
    <b v="1"/>
    <b v="1"/>
    <b v="1"/>
    <b v="1"/>
    <b v="1"/>
  </r>
  <r>
    <s v="mglv_Wagon_Gen7M_Gondola"/>
    <x v="0"/>
    <x v="13"/>
    <s v="ALL_REGION"/>
    <s v="NO_REGION"/>
    <s v="ALL_REGION_NO_REGION"/>
    <x v="0"/>
    <b v="1"/>
    <b v="1"/>
    <b v="1"/>
    <b v="1"/>
    <b v="1"/>
    <b v="1"/>
    <b v="1"/>
    <b v="1"/>
  </r>
  <r>
    <s v="mglv_Wagon_Gen7M_Heavy_Flatcar"/>
    <x v="10"/>
    <x v="12"/>
    <s v="ALL_REGION"/>
    <s v="NO_REGION"/>
    <s v="ALL_REGION_NO_REGION"/>
    <x v="0"/>
    <b v="1"/>
    <b v="1"/>
    <b v="1"/>
    <b v="1"/>
    <b v="1"/>
    <b v="1"/>
    <b v="1"/>
    <b v="1"/>
  </r>
  <r>
    <s v="mglv_Wagon_Gen7M_Hopper_Type1"/>
    <x v="10"/>
    <x v="13"/>
    <s v="REGIONTYPE1"/>
    <s v="NO_REGION"/>
    <s v="REGIONTYPE1_NO_REGION"/>
    <x v="0"/>
    <b v="1"/>
    <b v="1"/>
    <b v="1"/>
    <b v="1"/>
    <b v="1"/>
    <b v="0"/>
    <b v="0"/>
    <b v="0"/>
  </r>
  <r>
    <s v="mglv_Wagon_Gen7M_Hopper_Type2"/>
    <x v="10"/>
    <x v="13"/>
    <s v="ALL_REGION"/>
    <s v="NO_REGION"/>
    <s v="ALL_REGION_NO_REGION"/>
    <x v="0"/>
    <b v="1"/>
    <b v="1"/>
    <b v="1"/>
    <b v="1"/>
    <b v="1"/>
    <b v="1"/>
    <b v="1"/>
    <b v="1"/>
  </r>
  <r>
    <s v="mglv_Wagon_Gen7M_Silo_Type1"/>
    <x v="10"/>
    <x v="13"/>
    <s v="REGIONTYPE1"/>
    <s v="NO_REGION"/>
    <s v="REGIONTYPE1_NO_REGION"/>
    <x v="0"/>
    <b v="1"/>
    <b v="1"/>
    <b v="1"/>
    <b v="1"/>
    <b v="1"/>
    <b v="0"/>
    <b v="0"/>
    <b v="0"/>
  </r>
  <r>
    <s v="mglv_Wagon_Gen7M_Silo_Type2"/>
    <x v="10"/>
    <x v="13"/>
    <s v="REGIONTYPE2"/>
    <s v="NO_REGION"/>
    <s v="REGIONTYPE2_NO_REGION"/>
    <x v="0"/>
    <b v="1"/>
    <b v="0"/>
    <b v="0"/>
    <b v="0"/>
    <b v="0"/>
    <b v="1"/>
    <b v="1"/>
    <b v="0"/>
  </r>
  <r>
    <s v="mglv_Wagon_Gen7M_Superheavy_Flatcar"/>
    <x v="0"/>
    <x v="12"/>
    <s v="ALL_REGION"/>
    <s v="NO_REGION"/>
    <s v="ALL_REGION_NO_REGION"/>
    <x v="0"/>
    <b v="1"/>
    <b v="1"/>
    <b v="1"/>
    <b v="1"/>
    <b v="1"/>
    <b v="1"/>
    <b v="1"/>
    <b v="1"/>
  </r>
  <r>
    <s v="mglv_Wagon_Gen7M_Tanker"/>
    <x v="10"/>
    <x v="13"/>
    <s v="ALL_REGION"/>
    <s v="NO_REGION"/>
    <s v="ALL_REGION_NO_REGION"/>
    <x v="0"/>
    <b v="1"/>
    <b v="1"/>
    <b v="1"/>
    <b v="1"/>
    <b v="1"/>
    <b v="1"/>
    <b v="1"/>
    <b v="1"/>
  </r>
  <r>
    <s v="rbd_Japan_JR_Shikoku_1000"/>
    <x v="5"/>
    <x v="1"/>
    <s v="ASIA"/>
    <s v="NO_REGION"/>
    <s v="ASIA_NO_REGION"/>
    <x v="1"/>
    <b v="1"/>
    <b v="0"/>
    <b v="0"/>
    <b v="0"/>
    <b v="0"/>
    <b v="0"/>
    <b v="0"/>
    <b v="0"/>
  </r>
  <r>
    <s v="rbd_Japan_JR_KiHa_E120"/>
    <x v="0"/>
    <x v="1"/>
    <s v="ASIA"/>
    <s v="NO_REGION"/>
    <s v="ASIA_NO_REGION"/>
    <x v="1"/>
    <b v="1"/>
    <b v="0"/>
    <b v="0"/>
    <b v="0"/>
    <b v="0"/>
    <b v="0"/>
    <b v="0"/>
    <b v="0"/>
  </r>
  <r>
    <s v="rbd_Chile_EFE_Buscarril"/>
    <x v="6"/>
    <x v="1"/>
    <s v="SOUTH_AMERICA"/>
    <s v="NO_REGION"/>
    <s v="SOUTH_AMERICA_NO_REGION"/>
    <x v="1"/>
    <b v="0"/>
    <b v="0"/>
    <b v="0"/>
    <b v="0"/>
    <b v="0"/>
    <b v="0"/>
    <b v="1"/>
    <b v="0"/>
  </r>
  <r>
    <s v="rbd_Argentina_FCPBA_M_Railcar"/>
    <x v="3"/>
    <x v="1"/>
    <s v="SOUTH_AMERICA"/>
    <s v="NO_REGION"/>
    <s v="SOUTH_AMERICA_NO_REGION"/>
    <x v="1"/>
    <b v="0"/>
    <b v="0"/>
    <b v="0"/>
    <b v="0"/>
    <b v="0"/>
    <b v="0"/>
    <b v="1"/>
    <b v="0"/>
  </r>
  <r>
    <s v="rbd_Eritrea_Eritrean_Railway_A62_70_Littorina"/>
    <x v="3"/>
    <x v="1"/>
    <s v="AFRICA"/>
    <s v="NO_REGION"/>
    <s v="AFRICA_NO_REGION"/>
    <x v="0"/>
    <b v="0"/>
    <b v="0"/>
    <b v="0"/>
    <b v="0"/>
    <b v="0"/>
    <b v="0"/>
    <b v="0"/>
    <b v="0"/>
  </r>
  <r>
    <s v="rbe_Switzerland_AB_CFe_3_3"/>
    <x v="1"/>
    <x v="1"/>
    <s v="WESTERN_EUROPE"/>
    <s v="NO_REGION"/>
    <s v="WESTERN_EUROPE_NO_REGION"/>
    <x v="1"/>
    <b v="0"/>
    <b v="0"/>
    <b v="0"/>
    <b v="1"/>
    <b v="0"/>
    <b v="0"/>
    <b v="0"/>
    <b v="0"/>
  </r>
  <r>
    <s v="rbe_Switzerland_TPC_BVB_Be_2_2"/>
    <x v="1"/>
    <x v="1"/>
    <s v="WESTERN_EUROPE"/>
    <s v="NO_REGION"/>
    <s v="WESTERN_EUROPE_NO_REGION"/>
    <x v="1"/>
    <b v="0"/>
    <b v="0"/>
    <b v="0"/>
    <b v="1"/>
    <b v="0"/>
    <b v="0"/>
    <b v="0"/>
    <b v="0"/>
  </r>
  <r>
    <s v="rbe_Switzerland_MVR_Beh_2_4"/>
    <x v="5"/>
    <x v="1"/>
    <s v="WESTERN_EUROPE"/>
    <s v="NO_REGION"/>
    <s v="WESTERN_EUROPE_NO_REGION"/>
    <x v="1"/>
    <b v="0"/>
    <b v="0"/>
    <b v="0"/>
    <b v="1"/>
    <b v="0"/>
    <b v="0"/>
    <b v="0"/>
    <b v="0"/>
  </r>
  <r>
    <s v="rbe_Spain_Ferrocarril_de_Soller_1_3"/>
    <x v="3"/>
    <x v="1"/>
    <s v="SOUTHERN_EUROPE"/>
    <s v="NO_REGION"/>
    <s v="SOUTHERN_EUROPE_NO_REGION"/>
    <x v="1"/>
    <b v="0"/>
    <b v="1"/>
    <b v="0"/>
    <b v="0"/>
    <b v="0"/>
    <b v="0"/>
    <b v="0"/>
    <b v="0"/>
  </r>
  <r>
    <s v="rbe_Japan_Choshi_DeHa_1000"/>
    <x v="6"/>
    <x v="1"/>
    <s v="ASIA"/>
    <s v="NO_REGION"/>
    <s v="ASIA_NO_REGION"/>
    <x v="1"/>
    <b v="1"/>
    <b v="0"/>
    <b v="0"/>
    <b v="0"/>
    <b v="0"/>
    <b v="0"/>
    <b v="0"/>
    <b v="0"/>
  </r>
  <r>
    <s v="steam_Switzerland_RhB_G_3_4"/>
    <x v="2"/>
    <x v="5"/>
    <s v="WESTERN_EUROPE"/>
    <s v="NO_REGION"/>
    <s v="WESTERN_EUROPE_NO_REGION"/>
    <x v="1"/>
    <b v="0"/>
    <b v="0"/>
    <b v="0"/>
    <b v="1"/>
    <b v="0"/>
    <b v="0"/>
    <b v="0"/>
    <b v="0"/>
  </r>
  <r>
    <s v="steam_Japan_JNR_Class_E10"/>
    <x v="4"/>
    <x v="6"/>
    <s v="ASIA"/>
    <s v="NO_REGION"/>
    <s v="ASIA_NO_REGION"/>
    <x v="1"/>
    <b v="1"/>
    <b v="0"/>
    <b v="0"/>
    <b v="0"/>
    <b v="0"/>
    <b v="0"/>
    <b v="0"/>
    <b v="0"/>
  </r>
  <r>
    <s v="steam_Japan_JNR_7100"/>
    <x v="2"/>
    <x v="5"/>
    <s v="ASIA"/>
    <s v="NO_REGION"/>
    <s v="ASIA_NO_REGION"/>
    <x v="1"/>
    <b v="1"/>
    <b v="0"/>
    <b v="0"/>
    <b v="0"/>
    <b v="0"/>
    <b v="0"/>
    <b v="0"/>
    <b v="0"/>
  </r>
  <r>
    <s v="steam_Japan_JNR_860"/>
    <x v="2"/>
    <x v="5"/>
    <s v="ASIA"/>
    <s v="NO_REGION"/>
    <s v="ASIA_NO_REGION"/>
    <x v="1"/>
    <b v="1"/>
    <b v="0"/>
    <b v="0"/>
    <b v="0"/>
    <b v="0"/>
    <b v="0"/>
    <b v="0"/>
    <b v="0"/>
  </r>
  <r>
    <s v="steam_Japan_JNR_9600"/>
    <x v="1"/>
    <x v="2"/>
    <s v="ASIA"/>
    <s v="NO_REGION"/>
    <s v="ASIA_NO_REGION"/>
    <x v="1"/>
    <b v="1"/>
    <b v="0"/>
    <b v="0"/>
    <b v="0"/>
    <b v="0"/>
    <b v="0"/>
    <b v="0"/>
    <b v="0"/>
  </r>
  <r>
    <s v="steam_Japan_JNR_D50"/>
    <x v="3"/>
    <x v="6"/>
    <s v="ASIA"/>
    <s v="NO_REGION"/>
    <s v="ASIA_NO_REGION"/>
    <x v="1"/>
    <b v="1"/>
    <b v="0"/>
    <b v="0"/>
    <b v="0"/>
    <b v="0"/>
    <b v="0"/>
    <b v="0"/>
    <b v="0"/>
  </r>
  <r>
    <s v="diesel_Japan_JNR_DF50"/>
    <x v="4"/>
    <x v="6"/>
    <s v="ASIA"/>
    <s v="NO_REGION"/>
    <s v="ASIA_NO_REGION"/>
    <x v="1"/>
    <b v="1"/>
    <b v="0"/>
    <b v="0"/>
    <b v="0"/>
    <b v="0"/>
    <b v="0"/>
    <b v="0"/>
    <b v="0"/>
  </r>
  <r>
    <s v="electric_Switzerland_RhB_DE_2_2"/>
    <x v="1"/>
    <x v="5"/>
    <s v="WESTERN_EUROPE"/>
    <s v="NO_REGION"/>
    <s v="WESTERN_EUROPE_NO_REGION"/>
    <x v="1"/>
    <b v="0"/>
    <b v="0"/>
    <b v="0"/>
    <b v="1"/>
    <b v="0"/>
    <b v="0"/>
    <b v="0"/>
    <b v="0"/>
  </r>
  <r>
    <s v="electric_Japan_JNR_EH10"/>
    <x v="4"/>
    <x v="6"/>
    <s v="ASIA"/>
    <s v="NO_REGION"/>
    <s v="ASIA_NO_REGION"/>
    <x v="1"/>
    <b v="1"/>
    <b v="0"/>
    <b v="0"/>
    <b v="0"/>
    <b v="0"/>
    <b v="0"/>
    <b v="0"/>
    <b v="0"/>
  </r>
  <r>
    <s v="electric_Japan_JNR_EF64"/>
    <x v="6"/>
    <x v="6"/>
    <s v="ASIA"/>
    <s v="NO_REGION"/>
    <s v="ASIA_NO_REGION"/>
    <x v="1"/>
    <b v="1"/>
    <b v="0"/>
    <b v="0"/>
    <b v="0"/>
    <b v="0"/>
    <b v="0"/>
    <b v="0"/>
    <b v="0"/>
  </r>
  <r>
    <s v="electric_New_Zealand_NZR_EO_Class"/>
    <x v="3"/>
    <x v="6"/>
    <s v="OCEANIA"/>
    <s v="NO_REGION"/>
    <s v="OCEANIA_NO_REGION"/>
    <x v="1"/>
    <b v="0"/>
    <b v="0"/>
    <b v="0"/>
    <b v="0"/>
    <b v="0"/>
    <b v="0"/>
    <b v="0"/>
    <b v="1"/>
  </r>
  <r>
    <s v="electric_Australia_NSWGR_71"/>
    <x v="4"/>
    <x v="6"/>
    <s v="OCEANIA"/>
    <s v="NO_REGION"/>
    <s v="OCEANIA_NO_REGION"/>
    <x v="1"/>
    <b v="0"/>
    <b v="0"/>
    <b v="0"/>
    <b v="0"/>
    <b v="0"/>
    <b v="0"/>
    <b v="0"/>
    <b v="1"/>
  </r>
  <r>
    <s v="electric_South_Africa_SAR_4E"/>
    <x v="4"/>
    <x v="8"/>
    <s v="AFRICA"/>
    <s v="NO_REGION"/>
    <s v="AFRICA_NO_REGION"/>
    <x v="0"/>
    <b v="0"/>
    <b v="0"/>
    <b v="0"/>
    <b v="0"/>
    <b v="0"/>
    <b v="0"/>
    <b v="0"/>
    <b v="0"/>
  </r>
  <r>
    <s v="electric_South_Africa_SAR_5E1"/>
    <x v="6"/>
    <x v="6"/>
    <s v="AFRICA"/>
    <s v="NO_REGION"/>
    <s v="AFRICA_NO_REGION"/>
    <x v="0"/>
    <b v="0"/>
    <b v="0"/>
    <b v="0"/>
    <b v="0"/>
    <b v="0"/>
    <b v="0"/>
    <b v="0"/>
    <b v="0"/>
  </r>
  <r>
    <s v="electric_South_Africa_SAR_6E"/>
    <x v="6"/>
    <x v="6"/>
    <s v="AFRICA"/>
    <s v="NO_REGION"/>
    <s v="AFRICA_NO_REGION"/>
    <x v="0"/>
    <b v="0"/>
    <b v="0"/>
    <b v="0"/>
    <b v="0"/>
    <b v="0"/>
    <b v="0"/>
    <b v="0"/>
    <b v="0"/>
  </r>
  <r>
    <s v="electric_Switzerland_RhB_Ge_4_4_I"/>
    <x v="4"/>
    <x v="6"/>
    <s v="WESTERN_EUROPE"/>
    <s v="NO_REGION"/>
    <s v="WESTERN_EUROPE_NO_REGION"/>
    <x v="1"/>
    <b v="0"/>
    <b v="0"/>
    <b v="0"/>
    <b v="1"/>
    <b v="0"/>
    <b v="0"/>
    <b v="0"/>
    <b v="0"/>
  </r>
  <r>
    <s v="electric_Switzerland_RhB_Ge_6_6_Krokodil"/>
    <x v="3"/>
    <x v="6"/>
    <s v="WESTERN_EUROPE"/>
    <s v="NO_REGION"/>
    <s v="WESTERN_EUROPE_NO_REGION"/>
    <x v="1"/>
    <b v="0"/>
    <b v="0"/>
    <b v="0"/>
    <b v="1"/>
    <b v="0"/>
    <b v="0"/>
    <b v="0"/>
    <b v="0"/>
  </r>
  <r>
    <s v="electric_Brasil_MRS_He_4_4"/>
    <x v="0"/>
    <x v="2"/>
    <s v="SOUTH_AMERICA"/>
    <s v="NO_REGION"/>
    <s v="SOUTH_AMERICA_NO_REGION"/>
    <x v="1"/>
    <b v="0"/>
    <b v="0"/>
    <b v="0"/>
    <b v="0"/>
    <b v="0"/>
    <b v="0"/>
    <b v="1"/>
    <b v="0"/>
  </r>
  <r>
    <s v="electric_South_Africa_SAR_7E"/>
    <x v="6"/>
    <x v="2"/>
    <s v="AFRICA"/>
    <s v="NO_REGION"/>
    <s v="AFRICA_NO_REGION"/>
    <x v="0"/>
    <b v="0"/>
    <b v="0"/>
    <b v="0"/>
    <b v="0"/>
    <b v="0"/>
    <b v="0"/>
    <b v="0"/>
    <b v="0"/>
  </r>
  <r>
    <s v="electric_South_Africa_SAR_11E"/>
    <x v="5"/>
    <x v="8"/>
    <s v="AFRICA"/>
    <s v="NO_REGION"/>
    <s v="AFRICA_NO_REGION"/>
    <x v="0"/>
    <b v="0"/>
    <b v="0"/>
    <b v="0"/>
    <b v="0"/>
    <b v="0"/>
    <b v="0"/>
    <b v="0"/>
    <b v="0"/>
  </r>
  <r>
    <s v="electric_New_Zealand_TranzRail_EF"/>
    <x v="5"/>
    <x v="6"/>
    <s v="OCEANIA"/>
    <s v="NO_REGION"/>
    <s v="OCEANIA_NO_REGION"/>
    <x v="1"/>
    <b v="0"/>
    <b v="0"/>
    <b v="0"/>
    <b v="0"/>
    <b v="0"/>
    <b v="0"/>
    <b v="0"/>
    <b v="1"/>
  </r>
  <r>
    <s v="emu_Japan_Odakyu_3100_Series_Romance"/>
    <x v="6"/>
    <x v="1"/>
    <s v="ASIA"/>
    <s v="NO_REGION"/>
    <s v="ASIA_NO_REGION"/>
    <x v="1"/>
    <b v="1"/>
    <b v="0"/>
    <b v="0"/>
    <b v="0"/>
    <b v="0"/>
    <b v="0"/>
    <b v="0"/>
    <b v="0"/>
  </r>
  <r>
    <s v="emu_Japan_Odakyu_10000_Series_Romance"/>
    <x v="5"/>
    <x v="1"/>
    <s v="ASIA"/>
    <s v="NO_REGION"/>
    <s v="ASIA_NO_REGION"/>
    <x v="1"/>
    <b v="1"/>
    <b v="0"/>
    <b v="0"/>
    <b v="0"/>
    <b v="0"/>
    <b v="0"/>
    <b v="0"/>
    <b v="0"/>
  </r>
  <r>
    <s v="emu_Australia_Sydney_Trains_S_Set"/>
    <x v="6"/>
    <x v="1"/>
    <s v="OCEANIA"/>
    <s v="NO_REGION"/>
    <s v="OCEANIA_NO_REGION"/>
    <x v="1"/>
    <b v="0"/>
    <b v="0"/>
    <b v="0"/>
    <b v="0"/>
    <b v="0"/>
    <b v="0"/>
    <b v="0"/>
    <b v="1"/>
  </r>
  <r>
    <s v="emu_Australia_Sydney_Trains_OSCars"/>
    <x v="0"/>
    <x v="1"/>
    <s v="OCEANIA"/>
    <s v="NO_REGION"/>
    <s v="OCEANIA_NO_REGION"/>
    <x v="1"/>
    <b v="0"/>
    <b v="0"/>
    <b v="0"/>
    <b v="0"/>
    <b v="0"/>
    <b v="0"/>
    <b v="0"/>
    <b v="1"/>
  </r>
  <r>
    <s v="emu_Australia_Victorian_Railways_Swing_Door"/>
    <x v="1"/>
    <x v="1"/>
    <s v="OCEANIA"/>
    <s v="NO_REGION"/>
    <s v="OCEANIA_NO_REGION"/>
    <x v="1"/>
    <b v="0"/>
    <b v="0"/>
    <b v="0"/>
    <b v="0"/>
    <b v="0"/>
    <b v="0"/>
    <b v="0"/>
    <b v="1"/>
  </r>
  <r>
    <s v="emu_New_Zealand_NZR_EM_ET_Class"/>
    <x v="6"/>
    <x v="1"/>
    <s v="OCEANIA"/>
    <s v="NO_REGION"/>
    <s v="OCEANIA_NO_REGION"/>
    <x v="1"/>
    <b v="0"/>
    <b v="0"/>
    <b v="0"/>
    <b v="0"/>
    <b v="0"/>
    <b v="0"/>
    <b v="0"/>
    <b v="1"/>
  </r>
  <r>
    <s v="emu_South_Africa_SAR_5M2"/>
    <x v="4"/>
    <x v="1"/>
    <s v="AFRICA"/>
    <s v="NO_REGION"/>
    <s v="AFRICA_NO_REGION"/>
    <x v="0"/>
    <b v="0"/>
    <b v="0"/>
    <b v="0"/>
    <b v="0"/>
    <b v="0"/>
    <b v="0"/>
    <b v="0"/>
    <b v="0"/>
  </r>
  <r>
    <s v="emu_Chile_EFE_XTrapolis_100"/>
    <x v="0"/>
    <x v="1"/>
    <s v="SOUTH_AMERICA"/>
    <s v="NO_REGION"/>
    <s v="SOUTH_AMERICA_NO_REGION"/>
    <x v="1"/>
    <b v="0"/>
    <b v="0"/>
    <b v="0"/>
    <b v="0"/>
    <b v="0"/>
    <b v="0"/>
    <b v="1"/>
    <b v="0"/>
  </r>
  <r>
    <s v="emu_Chile_EFE_AES_Railcar"/>
    <x v="6"/>
    <x v="1"/>
    <s v="SOUTH_AMERICA"/>
    <s v="NO_REGION"/>
    <s v="SOUTH_AMERICA_NO_REGION"/>
    <x v="1"/>
    <b v="0"/>
    <b v="0"/>
    <b v="0"/>
    <b v="0"/>
    <b v="0"/>
    <b v="0"/>
    <b v="1"/>
    <b v="0"/>
  </r>
  <r>
    <s v="emu_Tunisia_SNCFT_YZ_E"/>
    <x v="5"/>
    <x v="1"/>
    <s v="AFRICA"/>
    <s v="NO_REGION"/>
    <s v="AFRICA_NO_REGION"/>
    <x v="0"/>
    <b v="0"/>
    <b v="0"/>
    <b v="0"/>
    <b v="0"/>
    <b v="0"/>
    <b v="0"/>
    <b v="0"/>
    <b v="0"/>
  </r>
  <r>
    <s v="emu_Australia_Queensland_Rail_Tilt_Train"/>
    <x v="5"/>
    <x v="4"/>
    <s v="OCEANIA"/>
    <s v="NO_REGION"/>
    <s v="OCEANIA_NO_REGION"/>
    <x v="1"/>
    <b v="0"/>
    <b v="0"/>
    <b v="0"/>
    <b v="0"/>
    <b v="0"/>
    <b v="0"/>
    <b v="0"/>
    <b v="1"/>
  </r>
  <r>
    <s v="electric_Russia_RZD_VL15"/>
    <x v="5"/>
    <x v="8"/>
    <s v="ASIA"/>
    <s v="NO_REGION"/>
    <s v="ASIA_NO_REGION"/>
    <x v="1"/>
    <b v="1"/>
    <b v="0"/>
    <b v="0"/>
    <b v="0"/>
    <b v="0"/>
    <b v="0"/>
    <b v="0"/>
    <b v="0"/>
  </r>
  <r>
    <s v="electric_Russia_RZD_VL11"/>
    <x v="6"/>
    <x v="8"/>
    <s v="ASIA"/>
    <s v="NO_REGION"/>
    <s v="ASIA_NO_REGION"/>
    <x v="1"/>
    <b v="1"/>
    <b v="0"/>
    <b v="0"/>
    <b v="0"/>
    <b v="0"/>
    <b v="0"/>
    <b v="0"/>
    <b v="0"/>
  </r>
  <r>
    <s v="electric_Russia_RZD_VL22M"/>
    <x v="4"/>
    <x v="6"/>
    <s v="ASIA"/>
    <s v="NO_REGION"/>
    <s v="ASIA_NO_REGION"/>
    <x v="1"/>
    <b v="1"/>
    <b v="0"/>
    <b v="0"/>
    <b v="0"/>
    <b v="0"/>
    <b v="0"/>
    <b v="0"/>
    <b v="0"/>
  </r>
  <r>
    <s v="electric_Ukraine_UZ_DE1"/>
    <x v="5"/>
    <x v="8"/>
    <s v="EASTERN_EUROPE"/>
    <s v="NO_REGION"/>
    <s v="EASTERN_EUROPE_NO_REGION"/>
    <x v="1"/>
    <b v="0"/>
    <b v="0"/>
    <b v="1"/>
    <b v="0"/>
    <b v="0"/>
    <b v="0"/>
    <b v="0"/>
    <b v="0"/>
  </r>
  <r>
    <s v="electric_Russia_RZD_ChS3"/>
    <x v="6"/>
    <x v="6"/>
    <s v="ASIA"/>
    <s v="NO_REGION"/>
    <s v="ASIA_NO_REGION"/>
    <x v="1"/>
    <b v="1"/>
    <b v="0"/>
    <b v="0"/>
    <b v="0"/>
    <b v="0"/>
    <b v="0"/>
    <b v="0"/>
    <b v="0"/>
  </r>
  <r>
    <s v="electric_Ukraine_UZ_ChS7"/>
    <x v="5"/>
    <x v="7"/>
    <s v="EASTERN_EUROPE"/>
    <s v="NO_REGION"/>
    <s v="EASTERN_EUROPE_NO_REGION"/>
    <x v="1"/>
    <b v="0"/>
    <b v="0"/>
    <b v="1"/>
    <b v="0"/>
    <b v="0"/>
    <b v="0"/>
    <b v="0"/>
    <b v="0"/>
  </r>
  <r>
    <s v="electric_Brasil_RFFSA_GE_C_C_4400"/>
    <x v="6"/>
    <x v="2"/>
    <s v="SOUTH_AMERICA"/>
    <s v="NO_REGION"/>
    <s v="SOUTH_AMERICA_NO_REGION"/>
    <x v="1"/>
    <b v="0"/>
    <b v="0"/>
    <b v="0"/>
    <b v="0"/>
    <b v="0"/>
    <b v="0"/>
    <b v="1"/>
    <b v="0"/>
  </r>
  <r>
    <s v="electric_Russia_RZD_VL85"/>
    <x v="5"/>
    <x v="8"/>
    <s v="ASIA"/>
    <s v="NO_REGION"/>
    <s v="ASIA_NO_REGION"/>
    <x v="1"/>
    <b v="1"/>
    <b v="0"/>
    <b v="0"/>
    <b v="0"/>
    <b v="0"/>
    <b v="0"/>
    <b v="0"/>
    <b v="0"/>
  </r>
  <r>
    <s v="electric_Russia_RZD_VL41"/>
    <x v="6"/>
    <x v="6"/>
    <s v="ASIA"/>
    <s v="NO_REGION"/>
    <s v="ASIA_NO_REGION"/>
    <x v="1"/>
    <b v="1"/>
    <b v="0"/>
    <b v="0"/>
    <b v="0"/>
    <b v="0"/>
    <b v="0"/>
    <b v="0"/>
    <b v="0"/>
  </r>
  <r>
    <s v="electric_India_Indian_Railways_WAP_4"/>
    <x v="5"/>
    <x v="6"/>
    <s v="ASIA"/>
    <s v="NO_REGION"/>
    <s v="ASIA_NO_REGION"/>
    <x v="1"/>
    <b v="1"/>
    <b v="0"/>
    <b v="0"/>
    <b v="0"/>
    <b v="0"/>
    <b v="0"/>
    <b v="0"/>
    <b v="0"/>
  </r>
  <r>
    <s v="electric_Finland_VR_Sr1"/>
    <x v="6"/>
    <x v="6"/>
    <s v="NORTHERN_EUROPE"/>
    <s v="NO_REGION"/>
    <s v="NORTHERN_EUROPE_NO_REGION"/>
    <x v="1"/>
    <b v="0"/>
    <b v="0"/>
    <b v="0"/>
    <b v="0"/>
    <b v="1"/>
    <b v="0"/>
    <b v="0"/>
    <b v="0"/>
  </r>
  <r>
    <s v="electric_Kazakhstan_KTZ_KZ4A"/>
    <x v="0"/>
    <x v="7"/>
    <s v="ASIA"/>
    <s v="NO_REGION"/>
    <s v="ASIA_NO_REGION"/>
    <x v="1"/>
    <b v="1"/>
    <b v="0"/>
    <b v="0"/>
    <b v="0"/>
    <b v="0"/>
    <b v="0"/>
    <b v="0"/>
    <b v="0"/>
  </r>
  <r>
    <s v="electric_Kazakhstan_KTZ_KZ8A"/>
    <x v="0"/>
    <x v="8"/>
    <s v="ASIA"/>
    <s v="NO_REGION"/>
    <s v="ASIA_NO_REGION"/>
    <x v="1"/>
    <b v="1"/>
    <b v="0"/>
    <b v="0"/>
    <b v="0"/>
    <b v="0"/>
    <b v="0"/>
    <b v="0"/>
    <b v="0"/>
  </r>
  <r>
    <s v="electric_Russia_RZD_EP20"/>
    <x v="0"/>
    <x v="7"/>
    <s v="ASIA"/>
    <s v="NO_REGION"/>
    <s v="ASIA_NO_REGION"/>
    <x v="1"/>
    <b v="1"/>
    <b v="0"/>
    <b v="0"/>
    <b v="0"/>
    <b v="0"/>
    <b v="0"/>
    <b v="0"/>
    <b v="0"/>
  </r>
  <r>
    <s v="rbd_Finland_VR_Dm7"/>
    <x v="4"/>
    <x v="1"/>
    <s v="NORTHERN_EUROPE"/>
    <s v="NO_REGION"/>
    <s v="NORTHERN_EUROPE_NO_REGION"/>
    <x v="1"/>
    <b v="0"/>
    <b v="0"/>
    <b v="0"/>
    <b v="0"/>
    <b v="1"/>
    <b v="0"/>
    <b v="0"/>
    <b v="0"/>
  </r>
  <r>
    <s v="rbd_Russia_RZD_ACh2"/>
    <x v="5"/>
    <x v="1"/>
    <s v="ASIA"/>
    <s v="NO_REGION"/>
    <s v="ASIA_NO_REGION"/>
    <x v="1"/>
    <b v="1"/>
    <b v="0"/>
    <b v="0"/>
    <b v="0"/>
    <b v="0"/>
    <b v="0"/>
    <b v="0"/>
    <b v="0"/>
  </r>
  <r>
    <s v="emu_Russia_RZD_ER200"/>
    <x v="6"/>
    <x v="4"/>
    <s v="ASIA"/>
    <s v="NO_REGION"/>
    <s v="ASIA_NO_REGION"/>
    <x v="1"/>
    <b v="1"/>
    <b v="0"/>
    <b v="0"/>
    <b v="0"/>
    <b v="0"/>
    <b v="0"/>
    <b v="0"/>
    <b v="0"/>
  </r>
  <r>
    <s v="emu_Russia_RZD_S"/>
    <x v="3"/>
    <x v="1"/>
    <s v="ASIA"/>
    <s v="NO_REGION"/>
    <s v="ASIA_NO_REGION"/>
    <x v="1"/>
    <b v="1"/>
    <b v="0"/>
    <b v="0"/>
    <b v="0"/>
    <b v="0"/>
    <b v="0"/>
    <b v="0"/>
    <b v="0"/>
  </r>
  <r>
    <s v="emu_Croatia_HZ_6112"/>
    <x v="0"/>
    <x v="4"/>
    <s v="EASTERN_EUROPE"/>
    <s v="NO_REGION"/>
    <s v="EASTERN_EUROPE_NO_REGION"/>
    <x v="1"/>
    <b v="0"/>
    <b v="0"/>
    <b v="1"/>
    <b v="0"/>
    <b v="0"/>
    <b v="0"/>
    <b v="0"/>
    <b v="0"/>
  </r>
  <r>
    <s v="emu_Russia_RZD_ES1_Lastochka"/>
    <x v="0"/>
    <x v="4"/>
    <s v="ASIA"/>
    <s v="NO_REGION"/>
    <s v="ASIA_NO_REGION"/>
    <x v="1"/>
    <b v="1"/>
    <b v="0"/>
    <b v="0"/>
    <b v="0"/>
    <b v="0"/>
    <b v="0"/>
    <b v="0"/>
    <b v="0"/>
  </r>
  <r>
    <s v="mtro_Metro_Wagon_Powered"/>
    <x v="1"/>
    <x v="0"/>
    <s v="ALL_REGION"/>
    <s v="NO_REGION"/>
    <s v="ALL_REGION_NO_REGION"/>
    <x v="0"/>
    <b v="1"/>
    <b v="1"/>
    <b v="1"/>
    <b v="1"/>
    <b v="1"/>
    <b v="1"/>
    <b v="1"/>
    <b v="1"/>
  </r>
  <r>
    <s v="mtro_Metro_Wagon_Unpowered"/>
    <x v="1"/>
    <x v="0"/>
    <s v="ALL_REGION"/>
    <s v="NO_REGION"/>
    <s v="ALL_REGION_NO_REGION"/>
    <x v="0"/>
    <b v="1"/>
    <b v="1"/>
    <b v="1"/>
    <b v="1"/>
    <b v="1"/>
    <b v="1"/>
    <b v="1"/>
    <b v="1"/>
  </r>
  <r>
    <s v="mu_MU_Cargo_Wagon_Powered"/>
    <x v="5"/>
    <x v="0"/>
    <s v="ALL_REGION"/>
    <s v="NO_REGION"/>
    <s v="ALL_REGION_NO_REGION"/>
    <x v="0"/>
    <b v="1"/>
    <b v="1"/>
    <b v="1"/>
    <b v="1"/>
    <b v="1"/>
    <b v="1"/>
    <b v="1"/>
    <b v="1"/>
  </r>
  <r>
    <s v="mu_MU_Cargo_Wagon_Unpowered"/>
    <x v="5"/>
    <x v="0"/>
    <s v="ALL_REGION"/>
    <s v="NO_REGION"/>
    <s v="ALL_REGION_NO_REGION"/>
    <x v="0"/>
    <b v="1"/>
    <b v="1"/>
    <b v="1"/>
    <b v="1"/>
    <b v="1"/>
    <b v="1"/>
    <b v="1"/>
    <b v="1"/>
  </r>
  <r>
    <s v="mu_MU_Wagon_Powered"/>
    <x v="1"/>
    <x v="0"/>
    <s v="ALL_REGION"/>
    <s v="NO_REGION"/>
    <s v="ALL_REGION_NO_REGION"/>
    <x v="0"/>
    <b v="1"/>
    <b v="1"/>
    <b v="1"/>
    <b v="1"/>
    <b v="1"/>
    <b v="1"/>
    <b v="1"/>
    <b v="1"/>
  </r>
  <r>
    <s v="mu_MU_Wagon_Unpowered"/>
    <x v="1"/>
    <x v="0"/>
    <s v="ALL_REGION"/>
    <s v="NO_REGION"/>
    <s v="ALL_REGION_NO_REGION"/>
    <x v="0"/>
    <b v="1"/>
    <b v="1"/>
    <b v="1"/>
    <b v="1"/>
    <b v="1"/>
    <b v="1"/>
    <b v="1"/>
    <b v="1"/>
  </r>
  <r>
    <s v="mu_Wagon_Gen1_Flat_Wagon"/>
    <x v="7"/>
    <x v="2"/>
    <s v="ALL_REGION"/>
    <s v="NO_REGION"/>
    <s v="ALL_REGION_NO_REGION"/>
    <x v="0"/>
    <b v="1"/>
    <b v="1"/>
    <b v="1"/>
    <b v="1"/>
    <b v="1"/>
    <b v="1"/>
    <b v="1"/>
    <b v="1"/>
  </r>
  <r>
    <s v="mu_Wagon_Gen1_Boxcar"/>
    <x v="7"/>
    <x v="2"/>
    <s v="ALL_REGION"/>
    <s v="NO_REGION"/>
    <s v="ALL_REGION_NO_REGION"/>
    <x v="0"/>
    <b v="1"/>
    <b v="1"/>
    <b v="1"/>
    <b v="1"/>
    <b v="1"/>
    <b v="1"/>
    <b v="1"/>
    <b v="1"/>
  </r>
  <r>
    <s v="mu_Wagon_Gen1_Tanker"/>
    <x v="7"/>
    <x v="2"/>
    <s v="ALL_REGION"/>
    <s v="NO_REGION"/>
    <s v="ALL_REGION_NO_REGION"/>
    <x v="0"/>
    <b v="1"/>
    <b v="1"/>
    <b v="1"/>
    <b v="1"/>
    <b v="1"/>
    <b v="1"/>
    <b v="1"/>
    <b v="1"/>
  </r>
  <r>
    <s v="mu_Wagon_Gen1_Open_Wagon"/>
    <x v="7"/>
    <x v="2"/>
    <s v="ALL_REGION"/>
    <s v="NO_REGION"/>
    <s v="ALL_REGION_NO_REGION"/>
    <x v="0"/>
    <b v="1"/>
    <b v="1"/>
    <b v="1"/>
    <b v="1"/>
    <b v="1"/>
    <b v="1"/>
    <b v="1"/>
    <b v="1"/>
  </r>
  <r>
    <s v="mu_Wagon_Gen2_Flat_Wagon"/>
    <x v="1"/>
    <x v="2"/>
    <s v="ALL_REGION"/>
    <s v="NO_REGION"/>
    <s v="ALL_REGION_NO_REGION"/>
    <x v="0"/>
    <b v="1"/>
    <b v="1"/>
    <b v="1"/>
    <b v="1"/>
    <b v="1"/>
    <b v="1"/>
    <b v="1"/>
    <b v="1"/>
  </r>
  <r>
    <s v="mu_Wagon_Gen2_Boxcar_Type1"/>
    <x v="2"/>
    <x v="2"/>
    <s v="REGIONTYPE1"/>
    <s v="NO_REGION"/>
    <s v="REGIONTYPE1_NO_REGION"/>
    <x v="0"/>
    <b v="1"/>
    <b v="1"/>
    <b v="1"/>
    <b v="1"/>
    <b v="1"/>
    <b v="0"/>
    <b v="0"/>
    <b v="0"/>
  </r>
  <r>
    <s v="mu_Wagon_Gen2_Boxcar_Type2"/>
    <x v="2"/>
    <x v="2"/>
    <s v="REGIONTYPE2"/>
    <s v="NO_REGION"/>
    <s v="REGIONTYPE2_NO_REGION"/>
    <x v="0"/>
    <b v="1"/>
    <b v="0"/>
    <b v="0"/>
    <b v="0"/>
    <b v="0"/>
    <b v="1"/>
    <b v="1"/>
    <b v="0"/>
  </r>
  <r>
    <s v="mu_Wagon_Gen2_Tanker"/>
    <x v="1"/>
    <x v="2"/>
    <s v="ALL_REGION"/>
    <s v="NO_REGION"/>
    <s v="ALL_REGION_NO_REGION"/>
    <x v="0"/>
    <b v="1"/>
    <b v="1"/>
    <b v="1"/>
    <b v="1"/>
    <b v="1"/>
    <b v="1"/>
    <b v="1"/>
    <b v="1"/>
  </r>
  <r>
    <s v="mu_Wagon_Gen2_Open_Wagon"/>
    <x v="2"/>
    <x v="2"/>
    <s v="ALL_REGION"/>
    <s v="NO_REGION"/>
    <s v="ALL_REGION_NO_REGION"/>
    <x v="0"/>
    <b v="1"/>
    <b v="1"/>
    <b v="1"/>
    <b v="1"/>
    <b v="1"/>
    <b v="1"/>
    <b v="1"/>
    <b v="1"/>
  </r>
  <r>
    <s v="mu_Wagon_Gen2_Silo"/>
    <x v="1"/>
    <x v="2"/>
    <s v="ALL_REGION"/>
    <s v="NO_REGION"/>
    <s v="ALL_REGION_NO_REGION"/>
    <x v="0"/>
    <b v="1"/>
    <b v="1"/>
    <b v="1"/>
    <b v="1"/>
    <b v="1"/>
    <b v="1"/>
    <b v="1"/>
    <b v="1"/>
  </r>
  <r>
    <s v="mu_Wagon_Gen2_Hopper"/>
    <x v="2"/>
    <x v="2"/>
    <s v="ALL_REGION"/>
    <s v="NO_REGION"/>
    <s v="ALL_REGION_NO_REGION"/>
    <x v="0"/>
    <b v="1"/>
    <b v="1"/>
    <b v="1"/>
    <b v="1"/>
    <b v="1"/>
    <b v="1"/>
    <b v="1"/>
    <b v="1"/>
  </r>
  <r>
    <s v="mu_Wagon_Gen3_Flat_Wagon"/>
    <x v="3"/>
    <x v="2"/>
    <s v="ALL_REGION"/>
    <s v="NO_REGION"/>
    <s v="ALL_REGION_NO_REGION"/>
    <x v="0"/>
    <b v="1"/>
    <b v="1"/>
    <b v="1"/>
    <b v="1"/>
    <b v="1"/>
    <b v="1"/>
    <b v="1"/>
    <b v="1"/>
  </r>
  <r>
    <s v="mu_Wagon_Gen3_Boxcar_Type1"/>
    <x v="3"/>
    <x v="2"/>
    <s v="REGIONTYPE1"/>
    <s v="NO_REGION"/>
    <s v="REGIONTYPE1_NO_REGION"/>
    <x v="0"/>
    <b v="1"/>
    <b v="1"/>
    <b v="1"/>
    <b v="1"/>
    <b v="1"/>
    <b v="0"/>
    <b v="0"/>
    <b v="0"/>
  </r>
  <r>
    <s v="mu_Wagon_Gen3_Boxcar_Type2"/>
    <x v="3"/>
    <x v="2"/>
    <s v="REGIONTYPE2"/>
    <s v="NO_REGION"/>
    <s v="REGIONTYPE2_NO_REGION"/>
    <x v="0"/>
    <b v="1"/>
    <b v="0"/>
    <b v="0"/>
    <b v="0"/>
    <b v="0"/>
    <b v="1"/>
    <b v="1"/>
    <b v="0"/>
  </r>
  <r>
    <s v="mu_Wagon_Gen3_Tanker"/>
    <x v="3"/>
    <x v="2"/>
    <s v="ALL_REGION"/>
    <s v="NO_REGION"/>
    <s v="ALL_REGION_NO_REGION"/>
    <x v="0"/>
    <b v="1"/>
    <b v="1"/>
    <b v="1"/>
    <b v="1"/>
    <b v="1"/>
    <b v="1"/>
    <b v="1"/>
    <b v="1"/>
  </r>
  <r>
    <s v="mu_Wagon_Gen3_Open_Wagon"/>
    <x v="3"/>
    <x v="2"/>
    <s v="ALL_REGION"/>
    <s v="NO_REGION"/>
    <s v="ALL_REGION_NO_REGION"/>
    <x v="0"/>
    <b v="1"/>
    <b v="1"/>
    <b v="1"/>
    <b v="1"/>
    <b v="1"/>
    <b v="1"/>
    <b v="1"/>
    <b v="1"/>
  </r>
  <r>
    <s v="mu_Wagon_Gen3_Silo_Type1"/>
    <x v="3"/>
    <x v="2"/>
    <s v="REGIONTYPE1"/>
    <s v="NO_REGION"/>
    <s v="REGIONTYPE1_NO_REGION"/>
    <x v="0"/>
    <b v="1"/>
    <b v="1"/>
    <b v="1"/>
    <b v="1"/>
    <b v="1"/>
    <b v="0"/>
    <b v="0"/>
    <b v="0"/>
  </r>
  <r>
    <s v="mu_Wagon_Gen3_Silo_Type2"/>
    <x v="3"/>
    <x v="2"/>
    <s v="REGIONTYPE2"/>
    <s v="NO_REGION"/>
    <s v="REGIONTYPE2_NO_REGION"/>
    <x v="0"/>
    <b v="1"/>
    <b v="0"/>
    <b v="0"/>
    <b v="0"/>
    <b v="0"/>
    <b v="1"/>
    <b v="1"/>
    <b v="0"/>
  </r>
  <r>
    <s v="mu_Wagon_Gen3_Hopper"/>
    <x v="3"/>
    <x v="2"/>
    <s v="ALL_REGION"/>
    <s v="NO_REGION"/>
    <s v="ALL_REGION_NO_REGION"/>
    <x v="0"/>
    <b v="1"/>
    <b v="1"/>
    <b v="1"/>
    <b v="1"/>
    <b v="1"/>
    <b v="1"/>
    <b v="1"/>
    <b v="1"/>
  </r>
  <r>
    <s v="mu_Wagon_Gen4_Flatcar"/>
    <x v="6"/>
    <x v="2"/>
    <s v="ALL_REGION"/>
    <s v="NO_REGION"/>
    <s v="ALL_REGION_NO_REGION"/>
    <x v="0"/>
    <b v="1"/>
    <b v="1"/>
    <b v="1"/>
    <b v="1"/>
    <b v="1"/>
    <b v="1"/>
    <b v="1"/>
    <b v="1"/>
  </r>
  <r>
    <s v="mu_Wagon_Gen4_Heavy_Flatcar"/>
    <x v="6"/>
    <x v="2"/>
    <s v="ALL_REGION"/>
    <s v="NO_REGION"/>
    <s v="ALL_REGION_NO_REGION"/>
    <x v="0"/>
    <b v="1"/>
    <b v="1"/>
    <b v="1"/>
    <b v="1"/>
    <b v="1"/>
    <b v="1"/>
    <b v="1"/>
    <b v="1"/>
  </r>
  <r>
    <s v="mu_Wagon_Gen4_Boxcar_Type1"/>
    <x v="4"/>
    <x v="12"/>
    <s v="REGIONTYPE1"/>
    <s v="NO_REGION"/>
    <s v="REGIONTYPE1_NO_REGION"/>
    <x v="0"/>
    <b v="1"/>
    <b v="1"/>
    <b v="1"/>
    <b v="1"/>
    <b v="1"/>
    <b v="0"/>
    <b v="0"/>
    <b v="0"/>
  </r>
  <r>
    <s v="mu_Wagon_Gen4_Boxcar_Type2"/>
    <x v="4"/>
    <x v="12"/>
    <s v="REGIONTYPE2"/>
    <s v="NO_REGION"/>
    <s v="REGIONTYPE2_NO_REGION"/>
    <x v="0"/>
    <b v="1"/>
    <b v="0"/>
    <b v="0"/>
    <b v="0"/>
    <b v="0"/>
    <b v="1"/>
    <b v="1"/>
    <b v="0"/>
  </r>
  <r>
    <s v="mu_Wagon_Gen4_Tanker"/>
    <x v="4"/>
    <x v="2"/>
    <s v="ALL_REGION"/>
    <s v="NO_REGION"/>
    <s v="ALL_REGION_NO_REGION"/>
    <x v="0"/>
    <b v="1"/>
    <b v="1"/>
    <b v="1"/>
    <b v="1"/>
    <b v="1"/>
    <b v="1"/>
    <b v="1"/>
    <b v="1"/>
  </r>
  <r>
    <s v="mu_Wagon_Gen4_Gondola"/>
    <x v="4"/>
    <x v="2"/>
    <s v="ALL_REGION"/>
    <s v="NO_REGION"/>
    <s v="ALL_REGION_NO_REGION"/>
    <x v="0"/>
    <b v="1"/>
    <b v="1"/>
    <b v="1"/>
    <b v="1"/>
    <b v="1"/>
    <b v="1"/>
    <b v="1"/>
    <b v="1"/>
  </r>
  <r>
    <s v="mu_Wagon_Gen4_Silo_Type1"/>
    <x v="4"/>
    <x v="2"/>
    <s v="REGIONTYPE1"/>
    <s v="NO_REGION"/>
    <s v="REGIONTYPE1_NO_REGION"/>
    <x v="0"/>
    <b v="1"/>
    <b v="1"/>
    <b v="1"/>
    <b v="1"/>
    <b v="1"/>
    <b v="0"/>
    <b v="0"/>
    <b v="0"/>
  </r>
  <r>
    <s v="mu_Wagon_Gen4_Silo_Type2"/>
    <x v="4"/>
    <x v="2"/>
    <s v="REGIONTYPE2"/>
    <s v="NO_REGION"/>
    <s v="REGIONTYPE2_NO_REGION"/>
    <x v="0"/>
    <b v="1"/>
    <b v="0"/>
    <b v="0"/>
    <b v="0"/>
    <b v="0"/>
    <b v="1"/>
    <b v="1"/>
    <b v="0"/>
  </r>
  <r>
    <s v="mu_Wagon_Gen4_Hopper_Type1"/>
    <x v="6"/>
    <x v="2"/>
    <s v="REGIONTYPE1"/>
    <s v="NO_REGION"/>
    <s v="REGIONTYPE1_NO_REGION"/>
    <x v="0"/>
    <b v="1"/>
    <b v="1"/>
    <b v="1"/>
    <b v="1"/>
    <b v="1"/>
    <b v="0"/>
    <b v="0"/>
    <b v="0"/>
  </r>
  <r>
    <s v="mu_Wagon_Gen4_Hopper_Type2"/>
    <x v="6"/>
    <x v="2"/>
    <s v="REGIONTYPE2"/>
    <s v="NO_REGION"/>
    <s v="REGIONTYPE2_NO_REGION"/>
    <x v="0"/>
    <b v="1"/>
    <b v="0"/>
    <b v="0"/>
    <b v="0"/>
    <b v="0"/>
    <b v="1"/>
    <b v="1"/>
    <b v="0"/>
  </r>
  <r>
    <s v="mu_Wagon_Gen4_Car_Transporter"/>
    <x v="6"/>
    <x v="2"/>
    <s v="ALL_REGION"/>
    <s v="NO_REGION"/>
    <s v="ALL_REGION_NO_REGION"/>
    <x v="0"/>
    <b v="1"/>
    <b v="1"/>
    <b v="1"/>
    <b v="1"/>
    <b v="1"/>
    <b v="1"/>
    <b v="1"/>
    <b v="1"/>
  </r>
  <r>
    <s v="mu_Wagon_Gen4_Container_Carrier"/>
    <x v="6"/>
    <x v="12"/>
    <s v="ALL_REGION"/>
    <s v="NO_REGION"/>
    <s v="ALL_REGION_NO_REGION"/>
    <x v="0"/>
    <b v="1"/>
    <b v="1"/>
    <b v="1"/>
    <b v="1"/>
    <b v="1"/>
    <b v="1"/>
    <b v="1"/>
    <b v="1"/>
  </r>
  <r>
    <s v="mu_Wagon_Gen4_Centerbeam"/>
    <x v="4"/>
    <x v="2"/>
    <s v="ALL_REGION"/>
    <s v="NO_REGION"/>
    <s v="ALL_REGION_NO_REGION"/>
    <x v="0"/>
    <b v="1"/>
    <b v="1"/>
    <b v="1"/>
    <b v="1"/>
    <b v="1"/>
    <b v="1"/>
    <b v="1"/>
    <b v="1"/>
  </r>
  <r>
    <s v="mu_Wagon_Gen5_Flatcar"/>
    <x v="5"/>
    <x v="12"/>
    <s v="ALL_REGION"/>
    <s v="NO_REGION"/>
    <s v="ALL_REGION_NO_REGION"/>
    <x v="0"/>
    <b v="1"/>
    <b v="1"/>
    <b v="1"/>
    <b v="1"/>
    <b v="1"/>
    <b v="1"/>
    <b v="1"/>
    <b v="1"/>
  </r>
  <r>
    <s v="mu_Wagon_Gen5_Heavy_Flatcar"/>
    <x v="0"/>
    <x v="2"/>
    <s v="ALL_REGION"/>
    <s v="NO_REGION"/>
    <s v="ALL_REGION_NO_REGION"/>
    <x v="0"/>
    <b v="1"/>
    <b v="1"/>
    <b v="1"/>
    <b v="1"/>
    <b v="1"/>
    <b v="1"/>
    <b v="1"/>
    <b v="1"/>
  </r>
  <r>
    <s v="mu_Wagon_Gen5_Boxcar_Type1"/>
    <x v="5"/>
    <x v="12"/>
    <s v="REGIONTYPE1"/>
    <s v="NO_REGION"/>
    <s v="REGIONTYPE1_NO_REGION"/>
    <x v="0"/>
    <b v="1"/>
    <b v="1"/>
    <b v="1"/>
    <b v="1"/>
    <b v="1"/>
    <b v="0"/>
    <b v="0"/>
    <b v="0"/>
  </r>
  <r>
    <s v="mu_Wagon_Gen5_Boxcar_Type2"/>
    <x v="5"/>
    <x v="12"/>
    <s v="REGIONTYPE2"/>
    <s v="NO_REGION"/>
    <s v="REGIONTYPE2_NO_REGION"/>
    <x v="0"/>
    <b v="1"/>
    <b v="0"/>
    <b v="0"/>
    <b v="0"/>
    <b v="0"/>
    <b v="1"/>
    <b v="1"/>
    <b v="0"/>
  </r>
  <r>
    <s v="mu_Wagon_Gen5_Tanker"/>
    <x v="0"/>
    <x v="12"/>
    <s v="ALL_REGION"/>
    <s v="NO_REGION"/>
    <s v="ALL_REGION_NO_REGION"/>
    <x v="0"/>
    <b v="1"/>
    <b v="1"/>
    <b v="1"/>
    <b v="1"/>
    <b v="1"/>
    <b v="1"/>
    <b v="1"/>
    <b v="1"/>
  </r>
  <r>
    <s v="mu_Wagon_Gen5_Gondola"/>
    <x v="5"/>
    <x v="12"/>
    <s v="ALL_REGION"/>
    <s v="NO_REGION"/>
    <s v="ALL_REGION_NO_REGION"/>
    <x v="0"/>
    <b v="1"/>
    <b v="1"/>
    <b v="1"/>
    <b v="1"/>
    <b v="1"/>
    <b v="1"/>
    <b v="1"/>
    <b v="1"/>
  </r>
  <r>
    <s v="mu_Wagon_Gen5_Silo_Type1"/>
    <x v="0"/>
    <x v="12"/>
    <s v="REGIONTYPE1"/>
    <s v="NO_REGION"/>
    <s v="REGIONTYPE1_NO_REGION"/>
    <x v="0"/>
    <b v="1"/>
    <b v="1"/>
    <b v="1"/>
    <b v="1"/>
    <b v="1"/>
    <b v="0"/>
    <b v="0"/>
    <b v="0"/>
  </r>
  <r>
    <s v="mu_Wagon_Gen5_Silo_Type2"/>
    <x v="0"/>
    <x v="12"/>
    <s v="REGIONTYPE2"/>
    <s v="NO_REGION"/>
    <s v="REGIONTYPE2_NO_REGION"/>
    <x v="0"/>
    <b v="1"/>
    <b v="0"/>
    <b v="0"/>
    <b v="0"/>
    <b v="0"/>
    <b v="1"/>
    <b v="1"/>
    <b v="0"/>
  </r>
  <r>
    <s v="mu_Wagon_Gen5_Hopper_Type1"/>
    <x v="0"/>
    <x v="12"/>
    <s v="REGIONTYPE1"/>
    <s v="NO_REGION"/>
    <s v="REGIONTYPE1_NO_REGION"/>
    <x v="0"/>
    <b v="1"/>
    <b v="1"/>
    <b v="1"/>
    <b v="1"/>
    <b v="1"/>
    <b v="0"/>
    <b v="0"/>
    <b v="0"/>
  </r>
  <r>
    <s v="mu_Wagon_Gen5_Hopper_Type2"/>
    <x v="0"/>
    <x v="12"/>
    <s v="ALL_REGION"/>
    <s v="NO_REGION"/>
    <s v="ALL_REGION_NO_REGION"/>
    <x v="0"/>
    <b v="1"/>
    <b v="1"/>
    <b v="1"/>
    <b v="1"/>
    <b v="1"/>
    <b v="1"/>
    <b v="1"/>
    <b v="1"/>
  </r>
  <r>
    <s v="mu_Wagon_Gen5_Car_Transporter"/>
    <x v="0"/>
    <x v="13"/>
    <s v="ALL_REGION"/>
    <s v="NO_REGION"/>
    <s v="ALL_REGION_NO_REGION"/>
    <x v="0"/>
    <b v="1"/>
    <b v="1"/>
    <b v="1"/>
    <b v="1"/>
    <b v="1"/>
    <b v="1"/>
    <b v="1"/>
    <b v="1"/>
  </r>
  <r>
    <s v="mu_Wagon_Gen5_Container_Carrier"/>
    <x v="5"/>
    <x v="13"/>
    <s v="ALL_REGION"/>
    <s v="NO_REGION"/>
    <s v="ALL_REGION_NO_REGION"/>
    <x v="0"/>
    <b v="1"/>
    <b v="1"/>
    <b v="1"/>
    <b v="1"/>
    <b v="1"/>
    <b v="1"/>
    <b v="1"/>
    <b v="1"/>
  </r>
  <r>
    <s v="mu_Wagon_Gen5_Centerbeam"/>
    <x v="5"/>
    <x v="12"/>
    <s v="ALL_REGION"/>
    <s v="NO_REGION"/>
    <s v="ALL_REGION_NO_REGION"/>
    <x v="0"/>
    <b v="1"/>
    <b v="1"/>
    <b v="1"/>
    <b v="1"/>
    <b v="1"/>
    <b v="1"/>
    <b v="1"/>
    <b v="1"/>
  </r>
  <r>
    <s v="mu_Wagon_Gen5_Container_Doublestack"/>
    <x v="5"/>
    <x v="12"/>
    <s v="ALL_REGION"/>
    <s v="NO_REGION"/>
    <s v="ALL_REGION_NO_REGION"/>
    <x v="0"/>
    <b v="1"/>
    <b v="1"/>
    <b v="1"/>
    <b v="1"/>
    <b v="1"/>
    <b v="1"/>
    <b v="1"/>
    <b v="1"/>
  </r>
  <r>
    <s v="mu_Wagon_Gen5_Superheavy_Flatcar"/>
    <x v="5"/>
    <x v="2"/>
    <s v="ALL_REGION"/>
    <s v="NO_REGION"/>
    <s v="ALL_REGION_NO_REGION"/>
    <x v="0"/>
    <b v="1"/>
    <b v="1"/>
    <b v="1"/>
    <b v="1"/>
    <b v="1"/>
    <b v="1"/>
    <b v="1"/>
    <b v="1"/>
  </r>
  <r>
    <s v="mu_Wagon_Gen6_Flatcar"/>
    <x v="0"/>
    <x v="13"/>
    <s v="ALL_REGION"/>
    <s v="NO_REGION"/>
    <s v="ALL_REGION_NO_REGION"/>
    <x v="0"/>
    <b v="1"/>
    <b v="1"/>
    <b v="1"/>
    <b v="1"/>
    <b v="1"/>
    <b v="1"/>
    <b v="1"/>
    <b v="1"/>
  </r>
  <r>
    <s v="mu_Wagon_Gen6_Heavy_Flatcar"/>
    <x v="10"/>
    <x v="12"/>
    <s v="ALL_REGION"/>
    <s v="NO_REGION"/>
    <s v="ALL_REGION_NO_REGION"/>
    <x v="0"/>
    <b v="1"/>
    <b v="1"/>
    <b v="1"/>
    <b v="1"/>
    <b v="1"/>
    <b v="1"/>
    <b v="1"/>
    <b v="1"/>
  </r>
  <r>
    <s v="mu_Wagon_Gen6_Boxcar_Type1"/>
    <x v="0"/>
    <x v="13"/>
    <s v="REGIONTYPE1"/>
    <s v="NO_REGION"/>
    <s v="REGIONTYPE1_NO_REGION"/>
    <x v="0"/>
    <b v="1"/>
    <b v="1"/>
    <b v="1"/>
    <b v="1"/>
    <b v="1"/>
    <b v="0"/>
    <b v="0"/>
    <b v="0"/>
  </r>
  <r>
    <s v="mu_Wagon_Gen6_Boxcar_Type2"/>
    <x v="0"/>
    <x v="13"/>
    <s v="REGIONTYPE2"/>
    <s v="NO_REGION"/>
    <s v="REGIONTYPE2_NO_REGION"/>
    <x v="0"/>
    <b v="1"/>
    <b v="0"/>
    <b v="0"/>
    <b v="0"/>
    <b v="0"/>
    <b v="1"/>
    <b v="1"/>
    <b v="0"/>
  </r>
  <r>
    <s v="mu_Wagon_Gen6_Tanker"/>
    <x v="10"/>
    <x v="13"/>
    <s v="ALL_REGION"/>
    <s v="NO_REGION"/>
    <s v="ALL_REGION_NO_REGION"/>
    <x v="0"/>
    <b v="1"/>
    <b v="1"/>
    <b v="1"/>
    <b v="1"/>
    <b v="1"/>
    <b v="1"/>
    <b v="1"/>
    <b v="1"/>
  </r>
  <r>
    <s v="mu_Wagon_Gen6_Gondola"/>
    <x v="0"/>
    <x v="13"/>
    <s v="ALL_REGION"/>
    <s v="NO_REGION"/>
    <s v="ALL_REGION_NO_REGION"/>
    <x v="0"/>
    <b v="1"/>
    <b v="1"/>
    <b v="1"/>
    <b v="1"/>
    <b v="1"/>
    <b v="1"/>
    <b v="1"/>
    <b v="1"/>
  </r>
  <r>
    <s v="mu_Wagon_Gen6_Silo_Type1"/>
    <x v="10"/>
    <x v="13"/>
    <s v="REGIONTYPE1"/>
    <s v="NO_REGION"/>
    <s v="REGIONTYPE1_NO_REGION"/>
    <x v="0"/>
    <b v="1"/>
    <b v="1"/>
    <b v="1"/>
    <b v="1"/>
    <b v="1"/>
    <b v="0"/>
    <b v="0"/>
    <b v="0"/>
  </r>
  <r>
    <s v="mu_Wagon_Gen6_Silo_Type2"/>
    <x v="10"/>
    <x v="13"/>
    <s v="REGIONTYPE2"/>
    <s v="NO_REGION"/>
    <s v="REGIONTYPE2_NO_REGION"/>
    <x v="0"/>
    <b v="1"/>
    <b v="0"/>
    <b v="0"/>
    <b v="0"/>
    <b v="0"/>
    <b v="1"/>
    <b v="1"/>
    <b v="0"/>
  </r>
  <r>
    <s v="mu_Wagon_Gen6_Hopper_Type1"/>
    <x v="10"/>
    <x v="13"/>
    <s v="REGIONTYPE1"/>
    <s v="NO_REGION"/>
    <s v="REGIONTYPE1_NO_REGION"/>
    <x v="0"/>
    <b v="1"/>
    <b v="1"/>
    <b v="1"/>
    <b v="1"/>
    <b v="1"/>
    <b v="0"/>
    <b v="0"/>
    <b v="0"/>
  </r>
  <r>
    <s v="mu_Wagon_Gen6_Hopper_Type2"/>
    <x v="10"/>
    <x v="13"/>
    <s v="ALL_REGION"/>
    <s v="NO_REGION"/>
    <s v="ALL_REGION_NO_REGION"/>
    <x v="0"/>
    <b v="1"/>
    <b v="1"/>
    <b v="1"/>
    <b v="1"/>
    <b v="1"/>
    <b v="1"/>
    <b v="1"/>
    <b v="1"/>
  </r>
  <r>
    <s v="mu_Wagon_Gen6_Car_Transporter"/>
    <x v="10"/>
    <x v="13"/>
    <s v="ALL_REGION"/>
    <s v="NO_REGION"/>
    <s v="ALL_REGION_NO_REGION"/>
    <x v="0"/>
    <b v="1"/>
    <b v="1"/>
    <b v="1"/>
    <b v="1"/>
    <b v="1"/>
    <b v="1"/>
    <b v="1"/>
    <b v="1"/>
  </r>
  <r>
    <s v="mu_Wagon_Gen6_Container_Carrier"/>
    <x v="0"/>
    <x v="13"/>
    <s v="ALL_REGION"/>
    <s v="NO_REGION"/>
    <s v="ALL_REGION_NO_REGION"/>
    <x v="0"/>
    <b v="1"/>
    <b v="1"/>
    <b v="1"/>
    <b v="1"/>
    <b v="1"/>
    <b v="1"/>
    <b v="1"/>
    <b v="1"/>
  </r>
  <r>
    <s v="mu_Wagon_Gen6_Centerbeam"/>
    <x v="0"/>
    <x v="13"/>
    <s v="ALL_REGION"/>
    <s v="NO_REGION"/>
    <s v="ALL_REGION_NO_REGION"/>
    <x v="0"/>
    <b v="1"/>
    <b v="1"/>
    <b v="1"/>
    <b v="1"/>
    <b v="1"/>
    <b v="1"/>
    <b v="1"/>
    <b v="1"/>
  </r>
  <r>
    <s v="mu_Wagon_Gen6_Container_Doublestack"/>
    <x v="0"/>
    <x v="13"/>
    <s v="ALL_REGION"/>
    <s v="NO_REGION"/>
    <s v="ALL_REGION_NO_REGION"/>
    <x v="0"/>
    <b v="1"/>
    <b v="1"/>
    <b v="1"/>
    <b v="1"/>
    <b v="1"/>
    <b v="1"/>
    <b v="1"/>
    <b v="1"/>
  </r>
  <r>
    <s v="mu_Wagon_Gen6_Superheavy_Flatcar"/>
    <x v="0"/>
    <x v="12"/>
    <s v="ALL_REGION"/>
    <s v="NO_REGION"/>
    <s v="ALL_REGION_NO_REGION"/>
    <x v="0"/>
    <b v="1"/>
    <b v="1"/>
    <b v="1"/>
    <b v="1"/>
    <b v="1"/>
    <b v="1"/>
    <b v="1"/>
    <b v="1"/>
  </r>
  <r>
    <s v="mu_Wagon_Service_Car_Type1"/>
    <x v="12"/>
    <x v="5"/>
    <s v="REGIONTYPE1"/>
    <s v="NO_REGION"/>
    <s v="REGIONTYPE1_NO_REGION"/>
    <x v="0"/>
    <b v="1"/>
    <b v="1"/>
    <b v="1"/>
    <b v="1"/>
    <b v="1"/>
    <b v="0"/>
    <b v="0"/>
    <b v="0"/>
  </r>
  <r>
    <s v="mu_Wagon_Service_Car_Type2"/>
    <x v="12"/>
    <x v="5"/>
    <s v="REGIONTYPE2"/>
    <s v="NO_REGION"/>
    <s v="REGIONTYPE2_NO_REGION"/>
    <x v="0"/>
    <b v="1"/>
    <b v="0"/>
    <b v="0"/>
    <b v="0"/>
    <b v="0"/>
    <b v="1"/>
    <b v="1"/>
    <b v="0"/>
  </r>
  <r>
    <s v="mu_Coach_Gen1_Wooden_2_axle_Compartment_Coach"/>
    <x v="7"/>
    <x v="1"/>
    <s v="REGIONTYPE1"/>
    <s v="OCEANIA"/>
    <s v="REGIONTYPE1_OCEANIA"/>
    <x v="0"/>
    <b v="1"/>
    <b v="1"/>
    <b v="1"/>
    <b v="1"/>
    <b v="1"/>
    <b v="0"/>
    <b v="0"/>
    <b v="1"/>
  </r>
  <r>
    <s v="mu_Coach_Gen1_Wooden_2_axle_Regional_Coach"/>
    <x v="7"/>
    <x v="1"/>
    <s v="ALL_REGION"/>
    <s v="NO_REGION"/>
    <s v="ALL_REGION_NO_REGION"/>
    <x v="0"/>
    <b v="1"/>
    <b v="1"/>
    <b v="1"/>
    <b v="1"/>
    <b v="1"/>
    <b v="1"/>
    <b v="1"/>
    <b v="1"/>
  </r>
  <r>
    <s v="mu_Coach_Gen1_Wooden_2_axle_Mail_Coach"/>
    <x v="7"/>
    <x v="14"/>
    <s v="ALL_REGION"/>
    <s v="NO_REGION"/>
    <s v="ALL_REGION_NO_REGION"/>
    <x v="0"/>
    <b v="1"/>
    <b v="1"/>
    <b v="1"/>
    <b v="1"/>
    <b v="1"/>
    <b v="1"/>
    <b v="1"/>
    <b v="1"/>
  </r>
  <r>
    <s v="mu_Coach_Gen1_Clerestory_Compartment_Coach"/>
    <x v="8"/>
    <x v="1"/>
    <s v="REGIONTYPE1"/>
    <s v="OCEANIA"/>
    <s v="REGIONTYPE1_OCEANIA"/>
    <x v="0"/>
    <b v="1"/>
    <b v="1"/>
    <b v="1"/>
    <b v="1"/>
    <b v="1"/>
    <b v="0"/>
    <b v="0"/>
    <b v="1"/>
  </r>
  <r>
    <s v="mu_Coach_Gen1_Clerestory_Regional_Coach"/>
    <x v="8"/>
    <x v="1"/>
    <s v="ALL_REGION"/>
    <s v="NO_REGION"/>
    <s v="ALL_REGION_NO_REGION"/>
    <x v="0"/>
    <b v="1"/>
    <b v="1"/>
    <b v="1"/>
    <b v="1"/>
    <b v="1"/>
    <b v="1"/>
    <b v="1"/>
    <b v="1"/>
  </r>
  <r>
    <s v="mu_Coach_Gen1_Clerestory_Mail_Coach"/>
    <x v="8"/>
    <x v="14"/>
    <s v="ALL_REGION"/>
    <s v="NO_REGION"/>
    <s v="ALL_REGION_NO_REGION"/>
    <x v="0"/>
    <b v="1"/>
    <b v="1"/>
    <b v="1"/>
    <b v="1"/>
    <b v="1"/>
    <b v="1"/>
    <b v="1"/>
    <b v="1"/>
  </r>
  <r>
    <s v="mu_Coach_Gen1_Wooden_3_axle_Compartment_Coach"/>
    <x v="8"/>
    <x v="1"/>
    <s v="REGIONTYPE1"/>
    <s v="OCEANIA"/>
    <s v="REGIONTYPE1_OCEANIA"/>
    <x v="0"/>
    <b v="1"/>
    <b v="1"/>
    <b v="1"/>
    <b v="1"/>
    <b v="1"/>
    <b v="0"/>
    <b v="0"/>
    <b v="1"/>
  </r>
  <r>
    <s v="mu_Coach_Gen1_Wooden_3_axle_Regional_Coach"/>
    <x v="8"/>
    <x v="1"/>
    <s v="REGIONTYPE1"/>
    <s v="OCEANIA"/>
    <s v="REGIONTYPE1_OCEANIA"/>
    <x v="0"/>
    <b v="1"/>
    <b v="1"/>
    <b v="1"/>
    <b v="1"/>
    <b v="1"/>
    <b v="0"/>
    <b v="0"/>
    <b v="1"/>
  </r>
  <r>
    <s v="mu_Coach_Gen1_Wooden_3_axle_Mail_Coach"/>
    <x v="8"/>
    <x v="14"/>
    <s v="REGIONTYPE1"/>
    <s v="OCEANIA"/>
    <s v="REGIONTYPE1_OCEANIA"/>
    <x v="0"/>
    <b v="1"/>
    <b v="1"/>
    <b v="1"/>
    <b v="1"/>
    <b v="1"/>
    <b v="0"/>
    <b v="0"/>
    <b v="1"/>
  </r>
  <r>
    <s v="mu_Coach_Gen2_Heavyweight_Intercity_Coach"/>
    <x v="1"/>
    <x v="11"/>
    <s v="ALL_AMERICA"/>
    <s v="OCEANIA"/>
    <s v="ALL_AMERICA_OCEANIA"/>
    <x v="1"/>
    <b v="0"/>
    <b v="0"/>
    <b v="0"/>
    <b v="0"/>
    <b v="0"/>
    <b v="1"/>
    <b v="1"/>
    <b v="1"/>
  </r>
  <r>
    <s v="mu_Coach_Gen2_Heavyweight_Mail_Coach"/>
    <x v="1"/>
    <x v="12"/>
    <s v="ALL_AMERICA"/>
    <s v="OCEANIA"/>
    <s v="ALL_AMERICA_OCEANIA"/>
    <x v="1"/>
    <b v="0"/>
    <b v="0"/>
    <b v="0"/>
    <b v="0"/>
    <b v="0"/>
    <b v="1"/>
    <b v="1"/>
    <b v="1"/>
  </r>
  <r>
    <s v="mu_Coach_Gen2_Steel_Intercity_Coach"/>
    <x v="1"/>
    <x v="11"/>
    <s v="REGIONTYPE1"/>
    <s v="OCEANIA"/>
    <s v="REGIONTYPE1_OCEANIA"/>
    <x v="0"/>
    <b v="1"/>
    <b v="1"/>
    <b v="1"/>
    <b v="1"/>
    <b v="1"/>
    <b v="0"/>
    <b v="0"/>
    <b v="1"/>
  </r>
  <r>
    <s v="mu_Coach_Gen2_Steel_Compartment_Coach"/>
    <x v="1"/>
    <x v="1"/>
    <s v="REGIONTYPE1"/>
    <s v="OCEANIA"/>
    <s v="REGIONTYPE1_OCEANIA"/>
    <x v="0"/>
    <b v="1"/>
    <b v="1"/>
    <b v="1"/>
    <b v="1"/>
    <b v="1"/>
    <b v="0"/>
    <b v="0"/>
    <b v="1"/>
  </r>
  <r>
    <s v="mu_Coach_Gen2_Steel_Regional_Coach"/>
    <x v="1"/>
    <x v="1"/>
    <s v="REGIONTYPE1"/>
    <s v="OCEANIA"/>
    <s v="REGIONTYPE1_OCEANIA"/>
    <x v="0"/>
    <b v="1"/>
    <b v="1"/>
    <b v="1"/>
    <b v="1"/>
    <b v="1"/>
    <b v="0"/>
    <b v="0"/>
    <b v="1"/>
  </r>
  <r>
    <s v="mu_Coach_Gen2_Steel_Mail_Coach"/>
    <x v="1"/>
    <x v="12"/>
    <s v="REGIONTYPE1"/>
    <s v="OCEANIA"/>
    <s v="REGIONTYPE1_OCEANIA"/>
    <x v="0"/>
    <b v="1"/>
    <b v="1"/>
    <b v="1"/>
    <b v="1"/>
    <b v="1"/>
    <b v="0"/>
    <b v="0"/>
    <b v="1"/>
  </r>
  <r>
    <s v="mu_Coach_Gen2_Steel_2_axle_Compartment_Coach"/>
    <x v="3"/>
    <x v="1"/>
    <s v="REGIONTYPE1"/>
    <s v="OCEANIA"/>
    <s v="REGIONTYPE1_OCEANIA"/>
    <x v="0"/>
    <b v="1"/>
    <b v="1"/>
    <b v="1"/>
    <b v="1"/>
    <b v="1"/>
    <b v="0"/>
    <b v="0"/>
    <b v="1"/>
  </r>
  <r>
    <s v="mu_Coach_Gen2_Steel_2_axle_Regional_Coach"/>
    <x v="3"/>
    <x v="1"/>
    <s v="ALL_REGION"/>
    <s v="NO_REGION"/>
    <s v="ALL_REGION_NO_REGION"/>
    <x v="0"/>
    <b v="1"/>
    <b v="1"/>
    <b v="1"/>
    <b v="1"/>
    <b v="1"/>
    <b v="1"/>
    <b v="1"/>
    <b v="1"/>
  </r>
  <r>
    <s v="mu_Coach_Gen2_Steel_2_axle_Mail_Coach"/>
    <x v="3"/>
    <x v="14"/>
    <s v="ALL_REGION"/>
    <s v="NO_REGION"/>
    <s v="ALL_REGION_NO_REGION"/>
    <x v="0"/>
    <b v="1"/>
    <b v="1"/>
    <b v="1"/>
    <b v="1"/>
    <b v="1"/>
    <b v="1"/>
    <b v="1"/>
    <b v="1"/>
  </r>
  <r>
    <s v="mu_Coach_Gen2_Steel_3_axle_Compartment_Coach"/>
    <x v="3"/>
    <x v="1"/>
    <s v="REGIONTYPE1"/>
    <s v="OCEANIA"/>
    <s v="REGIONTYPE1_OCEANIA"/>
    <x v="0"/>
    <b v="1"/>
    <b v="1"/>
    <b v="1"/>
    <b v="1"/>
    <b v="1"/>
    <b v="0"/>
    <b v="0"/>
    <b v="1"/>
  </r>
  <r>
    <s v="mu_Coach_Gen2_Steel_3_axle_Regional_Coach"/>
    <x v="3"/>
    <x v="1"/>
    <s v="REGIONTYPE1"/>
    <s v="OCEANIA"/>
    <s v="REGIONTYPE1_OCEANIA"/>
    <x v="0"/>
    <b v="1"/>
    <b v="1"/>
    <b v="1"/>
    <b v="1"/>
    <b v="1"/>
    <b v="0"/>
    <b v="0"/>
    <b v="1"/>
  </r>
  <r>
    <s v="mu_Coach_Gen2_Steel_3_axle_Mail_Coach"/>
    <x v="3"/>
    <x v="14"/>
    <s v="REGIONTYPE1"/>
    <s v="OCEANIA"/>
    <s v="REGIONTYPE1_OCEANIA"/>
    <x v="0"/>
    <b v="1"/>
    <b v="1"/>
    <b v="1"/>
    <b v="1"/>
    <b v="1"/>
    <b v="0"/>
    <b v="0"/>
    <b v="1"/>
  </r>
  <r>
    <s v="mu_Coach_Gen3_Steel_Lightweight_Intercity_Coach"/>
    <x v="3"/>
    <x v="11"/>
    <s v="REGIONTYPE3"/>
    <s v="ALL_AMERICA"/>
    <s v="REGIONTYPE3_ALL_AMERICA"/>
    <x v="1"/>
    <b v="1"/>
    <b v="0"/>
    <b v="0"/>
    <b v="0"/>
    <b v="0"/>
    <b v="1"/>
    <b v="1"/>
    <b v="1"/>
  </r>
  <r>
    <s v="mu_Coach_Gen3_Steel_Lightweight_Regional_Coach"/>
    <x v="3"/>
    <x v="11"/>
    <s v="REGIONTYPE3"/>
    <s v="ALL_AMERICA"/>
    <s v="REGIONTYPE3_ALL_AMERICA"/>
    <x v="1"/>
    <b v="1"/>
    <b v="0"/>
    <b v="0"/>
    <b v="0"/>
    <b v="0"/>
    <b v="1"/>
    <b v="1"/>
    <b v="1"/>
  </r>
  <r>
    <s v="mu_Coach_Gen3_Steel_Lightweight_Mail_Coach"/>
    <x v="3"/>
    <x v="12"/>
    <s v="REGIONTYPE3"/>
    <s v="ALL_AMERICA"/>
    <s v="REGIONTYPE3_ALL_AMERICA"/>
    <x v="1"/>
    <b v="1"/>
    <b v="0"/>
    <b v="0"/>
    <b v="0"/>
    <b v="0"/>
    <b v="1"/>
    <b v="1"/>
    <b v="1"/>
  </r>
  <r>
    <s v="mu_Coach_Gen3_Aluminium_Lightweight_Intercity_Coach"/>
    <x v="4"/>
    <x v="4"/>
    <s v="REGIONTYPE1"/>
    <s v="OCEANIA"/>
    <s v="REGIONTYPE1_OCEANIA"/>
    <x v="0"/>
    <b v="1"/>
    <b v="1"/>
    <b v="1"/>
    <b v="1"/>
    <b v="1"/>
    <b v="0"/>
    <b v="0"/>
    <b v="1"/>
  </r>
  <r>
    <s v="mu_Coach_Gen3_Aluminium_Lightweight_Regional_Coach"/>
    <x v="4"/>
    <x v="11"/>
    <s v="ALL_AMERICA"/>
    <s v="OCEANIA"/>
    <s v="ALL_AMERICA_OCEANIA"/>
    <x v="1"/>
    <b v="0"/>
    <b v="0"/>
    <b v="0"/>
    <b v="0"/>
    <b v="0"/>
    <b v="1"/>
    <b v="1"/>
    <b v="1"/>
  </r>
  <r>
    <s v="mu_Coach_Gen3_Aluminium_Lightweight_Mail_Coach"/>
    <x v="4"/>
    <x v="13"/>
    <s v="ALL_AMERICA"/>
    <s v="OCEANIA"/>
    <s v="ALL_AMERICA_OCEANIA"/>
    <x v="1"/>
    <b v="0"/>
    <b v="0"/>
    <b v="0"/>
    <b v="0"/>
    <b v="0"/>
    <b v="1"/>
    <b v="1"/>
    <b v="1"/>
  </r>
  <r>
    <s v="mu_Coach_Gen3_Gallery_Car"/>
    <x v="4"/>
    <x v="11"/>
    <s v="ALL_AMERICA"/>
    <s v="OCEANIA"/>
    <s v="ALL_AMERICA_OCEANIA"/>
    <x v="1"/>
    <b v="0"/>
    <b v="0"/>
    <b v="0"/>
    <b v="0"/>
    <b v="0"/>
    <b v="1"/>
    <b v="1"/>
    <b v="1"/>
  </r>
  <r>
    <s v="mu_Coach_Gen3_Mk1_Intercity_Coach"/>
    <x v="4"/>
    <x v="11"/>
    <s v="REGIONTYPE1"/>
    <s v="NO_REGION"/>
    <s v="REGIONTYPE1_NO_REGION"/>
    <x v="0"/>
    <b v="1"/>
    <b v="1"/>
    <b v="1"/>
    <b v="1"/>
    <b v="1"/>
    <b v="0"/>
    <b v="0"/>
    <b v="0"/>
  </r>
  <r>
    <s v="mu_Coach_Gen3_Mk1_Regional_Coach"/>
    <x v="4"/>
    <x v="11"/>
    <s v="REGIONTYPE1"/>
    <s v="NO_REGION"/>
    <s v="REGIONTYPE1_NO_REGION"/>
    <x v="0"/>
    <b v="1"/>
    <b v="1"/>
    <b v="1"/>
    <b v="1"/>
    <b v="1"/>
    <b v="0"/>
    <b v="0"/>
    <b v="0"/>
  </r>
  <r>
    <s v="mu_Coach_Gen3_Mk1_Mail_Coach"/>
    <x v="4"/>
    <x v="12"/>
    <s v="REGIONTYPE1"/>
    <s v="NO_REGION"/>
    <s v="REGIONTYPE1_NO_REGION"/>
    <x v="0"/>
    <b v="1"/>
    <b v="1"/>
    <b v="1"/>
    <b v="1"/>
    <b v="1"/>
    <b v="0"/>
    <b v="0"/>
    <b v="0"/>
  </r>
  <r>
    <s v="mu_Coach_Gen3_UIC_X_Intercity_Coach"/>
    <x v="4"/>
    <x v="4"/>
    <s v="REGIONTYPE1"/>
    <s v="NO_REGION"/>
    <s v="REGIONTYPE1_NO_REGION"/>
    <x v="0"/>
    <b v="1"/>
    <b v="1"/>
    <b v="1"/>
    <b v="1"/>
    <b v="1"/>
    <b v="0"/>
    <b v="0"/>
    <b v="0"/>
  </r>
  <r>
    <s v="mu_Coach_Gen3_TEE_Intercity_Coach"/>
    <x v="4"/>
    <x v="4"/>
    <s v="ALL_EUROPE"/>
    <s v="NO_REGION"/>
    <s v="ALL_EUROPE_NO_REGION"/>
    <x v="1"/>
    <b v="0"/>
    <b v="1"/>
    <b v="1"/>
    <b v="1"/>
    <b v="1"/>
    <b v="0"/>
    <b v="0"/>
    <b v="0"/>
  </r>
  <r>
    <s v="mu_Coach_Gen3_UIC_X_Regional_Coach"/>
    <x v="4"/>
    <x v="11"/>
    <s v="REGIONTYPE1"/>
    <s v="NO_REGION"/>
    <s v="REGIONTYPE1_NO_REGION"/>
    <x v="0"/>
    <b v="1"/>
    <b v="1"/>
    <b v="1"/>
    <b v="1"/>
    <b v="1"/>
    <b v="0"/>
    <b v="0"/>
    <b v="0"/>
  </r>
  <r>
    <s v="mu_Coach_Gen3_Umbauwagen_Local_Coach"/>
    <x v="4"/>
    <x v="1"/>
    <s v="REGIONTYPE1"/>
    <s v="NO_REGION"/>
    <s v="REGIONTYPE1_NO_REGION"/>
    <x v="0"/>
    <b v="1"/>
    <b v="1"/>
    <b v="1"/>
    <b v="1"/>
    <b v="1"/>
    <b v="0"/>
    <b v="0"/>
    <b v="0"/>
  </r>
  <r>
    <s v="mu_Coach_Gen3_Doppelstockwagen_Local_Coach"/>
    <x v="4"/>
    <x v="1"/>
    <s v="REGIONTYPE1"/>
    <s v="NO_REGION"/>
    <s v="REGIONTYPE1_NO_REGION"/>
    <x v="0"/>
    <b v="1"/>
    <b v="1"/>
    <b v="1"/>
    <b v="1"/>
    <b v="1"/>
    <b v="0"/>
    <b v="0"/>
    <b v="0"/>
  </r>
  <r>
    <s v="mu_Coach_Gen3_UIC_X_Mail_Coach"/>
    <x v="4"/>
    <x v="13"/>
    <s v="REGIONTYPE1"/>
    <s v="NO_REGION"/>
    <s v="REGIONTYPE1_NO_REGION"/>
    <x v="0"/>
    <b v="1"/>
    <b v="1"/>
    <b v="1"/>
    <b v="1"/>
    <b v="1"/>
    <b v="0"/>
    <b v="0"/>
    <b v="0"/>
  </r>
  <r>
    <s v="mu_Coach_Gen3_Indian_Intercity_Coach"/>
    <x v="4"/>
    <x v="11"/>
    <s v="ASIA"/>
    <s v="NO_REGION"/>
    <s v="ASIA_NO_REGION"/>
    <x v="1"/>
    <b v="1"/>
    <b v="0"/>
    <b v="0"/>
    <b v="0"/>
    <b v="0"/>
    <b v="0"/>
    <b v="0"/>
    <b v="0"/>
  </r>
  <r>
    <s v="mu_Coach_Gen3_Indian_Local_Coach"/>
    <x v="4"/>
    <x v="1"/>
    <s v="ASIA"/>
    <s v="NO_REGION"/>
    <s v="ASIA_NO_REGION"/>
    <x v="1"/>
    <b v="1"/>
    <b v="0"/>
    <b v="0"/>
    <b v="0"/>
    <b v="0"/>
    <b v="0"/>
    <b v="0"/>
    <b v="0"/>
  </r>
  <r>
    <s v="mu_Coach_Gen3_Indian_Regional_Coach"/>
    <x v="4"/>
    <x v="1"/>
    <s v="ASIA"/>
    <s v="NO_REGION"/>
    <s v="ASIA_NO_REGION"/>
    <x v="1"/>
    <b v="1"/>
    <b v="0"/>
    <b v="0"/>
    <b v="0"/>
    <b v="0"/>
    <b v="0"/>
    <b v="0"/>
    <b v="0"/>
  </r>
  <r>
    <s v="mu_Coach_Gen3_Indian_Mail_Coach"/>
    <x v="4"/>
    <x v="14"/>
    <s v="ASIA"/>
    <s v="NO_REGION"/>
    <s v="ASIA_NO_REGION"/>
    <x v="1"/>
    <b v="1"/>
    <b v="0"/>
    <b v="0"/>
    <b v="0"/>
    <b v="0"/>
    <b v="0"/>
    <b v="0"/>
    <b v="0"/>
  </r>
  <r>
    <s v="mu_Coach_Gen4_Eurofima_Intercity_Coach"/>
    <x v="6"/>
    <x v="4"/>
    <s v="REGIONTYPE1"/>
    <s v="NO_REGION"/>
    <s v="REGIONTYPE1_NO_REGION"/>
    <x v="0"/>
    <b v="1"/>
    <b v="1"/>
    <b v="1"/>
    <b v="1"/>
    <b v="1"/>
    <b v="0"/>
    <b v="0"/>
    <b v="0"/>
  </r>
  <r>
    <s v="mu_Coach_Gen4_InterRegio_Coach"/>
    <x v="6"/>
    <x v="4"/>
    <s v="REGIONTYPE1"/>
    <s v="NO_REGION"/>
    <s v="REGIONTYPE1_NO_REGION"/>
    <x v="0"/>
    <b v="1"/>
    <b v="1"/>
    <b v="1"/>
    <b v="1"/>
    <b v="1"/>
    <b v="0"/>
    <b v="0"/>
    <b v="0"/>
  </r>
  <r>
    <s v="mu_Coach_Gen4_Silberling_Commuter_Coach"/>
    <x v="6"/>
    <x v="1"/>
    <s v="REGIONTYPE1"/>
    <s v="NO_REGION"/>
    <s v="REGIONTYPE1_NO_REGION"/>
    <x v="0"/>
    <b v="1"/>
    <b v="1"/>
    <b v="1"/>
    <b v="1"/>
    <b v="1"/>
    <b v="0"/>
    <b v="0"/>
    <b v="0"/>
  </r>
  <r>
    <s v="mu_Coach_Gen4_Eurofima_Mail_Coach"/>
    <x v="6"/>
    <x v="13"/>
    <s v="REGIONTYPE1"/>
    <s v="NO_REGION"/>
    <s v="REGIONTYPE1_NO_REGION"/>
    <x v="0"/>
    <b v="1"/>
    <b v="1"/>
    <b v="1"/>
    <b v="1"/>
    <b v="1"/>
    <b v="0"/>
    <b v="0"/>
    <b v="0"/>
  </r>
  <r>
    <s v="mu_Coach_Gen4_Double_Decker_Coach"/>
    <x v="6"/>
    <x v="11"/>
    <s v="ALL_EUROPE"/>
    <s v="ASIA"/>
    <s v="ALL_EUROPE_ASIA"/>
    <x v="1"/>
    <b v="1"/>
    <b v="1"/>
    <b v="1"/>
    <b v="1"/>
    <b v="1"/>
    <b v="0"/>
    <b v="0"/>
    <b v="0"/>
  </r>
  <r>
    <s v="mu_Coach_Gen4_Russian_Intercity_Coach"/>
    <x v="6"/>
    <x v="11"/>
    <s v="ALL_EUROPE"/>
    <s v="ASIA"/>
    <s v="ALL_EUROPE_ASIA"/>
    <x v="1"/>
    <b v="1"/>
    <b v="1"/>
    <b v="1"/>
    <b v="1"/>
    <b v="1"/>
    <b v="0"/>
    <b v="0"/>
    <b v="0"/>
  </r>
  <r>
    <s v="mu_Coach_Gen4_Russian_Regional_Coach"/>
    <x v="6"/>
    <x v="11"/>
    <s v="ALL_EUROPE"/>
    <s v="ASIA"/>
    <s v="ALL_EUROPE_ASIA"/>
    <x v="1"/>
    <b v="1"/>
    <b v="1"/>
    <b v="1"/>
    <b v="1"/>
    <b v="1"/>
    <b v="0"/>
    <b v="0"/>
    <b v="0"/>
  </r>
  <r>
    <s v="mu_Coach_Gen4_Russian_Mail_Coach"/>
    <x v="6"/>
    <x v="13"/>
    <s v="ALL_EUROPE"/>
    <s v="ASIA"/>
    <s v="ALL_EUROPE_ASIA"/>
    <x v="1"/>
    <b v="1"/>
    <b v="1"/>
    <b v="1"/>
    <b v="1"/>
    <b v="1"/>
    <b v="0"/>
    <b v="0"/>
    <b v="0"/>
  </r>
  <r>
    <s v="mu_Coach_Gen4_Superliner_Coach"/>
    <x v="5"/>
    <x v="4"/>
    <s v="ALL_AMERICA"/>
    <s v="OCEANIA"/>
    <s v="ALL_AMERICA_OCEANIA"/>
    <x v="1"/>
    <b v="0"/>
    <b v="0"/>
    <b v="0"/>
    <b v="0"/>
    <b v="0"/>
    <b v="1"/>
    <b v="1"/>
    <b v="1"/>
  </r>
  <r>
    <s v="mu_Coach_Gen4_Superliner_California"/>
    <x v="5"/>
    <x v="4"/>
    <s v="ALL_AMERICA"/>
    <s v="OCEANIA"/>
    <s v="ALL_AMERICA_OCEANIA"/>
    <x v="1"/>
    <b v="0"/>
    <b v="0"/>
    <b v="0"/>
    <b v="0"/>
    <b v="0"/>
    <b v="1"/>
    <b v="1"/>
    <b v="1"/>
  </r>
  <r>
    <s v="mu_Coach_Gen4_Amfleet_Regional_Coach"/>
    <x v="6"/>
    <x v="4"/>
    <s v="ALL_AMERICA"/>
    <s v="OCEANIA"/>
    <s v="ALL_AMERICA_OCEANIA"/>
    <x v="1"/>
    <b v="0"/>
    <b v="0"/>
    <b v="0"/>
    <b v="0"/>
    <b v="0"/>
    <b v="1"/>
    <b v="1"/>
    <b v="1"/>
  </r>
  <r>
    <s v="mu_Coach_Gen4_Amfleet_Intercity_Coach"/>
    <x v="6"/>
    <x v="4"/>
    <s v="ALL_AMERICA"/>
    <s v="OCEANIA"/>
    <s v="ALL_AMERICA_OCEANIA"/>
    <x v="1"/>
    <b v="0"/>
    <b v="0"/>
    <b v="0"/>
    <b v="0"/>
    <b v="0"/>
    <b v="1"/>
    <b v="1"/>
    <b v="1"/>
  </r>
  <r>
    <s v="mu_Coach_Gen4_Comet_Commuter_Coach"/>
    <x v="6"/>
    <x v="4"/>
    <s v="ALL_AMERICA"/>
    <s v="OCEANIA"/>
    <s v="ALL_AMERICA_OCEANIA"/>
    <x v="1"/>
    <b v="0"/>
    <b v="0"/>
    <b v="0"/>
    <b v="0"/>
    <b v="0"/>
    <b v="1"/>
    <b v="1"/>
    <b v="1"/>
  </r>
  <r>
    <s v="mu_Coach_Gen4_Horizon_Regional_Coach"/>
    <x v="6"/>
    <x v="4"/>
    <s v="ALL_AMERICA"/>
    <s v="OCEANIA"/>
    <s v="ALL_AMERICA_OCEANIA"/>
    <x v="1"/>
    <b v="0"/>
    <b v="0"/>
    <b v="0"/>
    <b v="0"/>
    <b v="0"/>
    <b v="1"/>
    <b v="1"/>
    <b v="1"/>
  </r>
  <r>
    <s v="mu_Coach_Gen4_Horizon_Baggage_Coach"/>
    <x v="6"/>
    <x v="13"/>
    <s v="ALL_AMERICA"/>
    <s v="OCEANIA"/>
    <s v="ALL_AMERICA_OCEANIA"/>
    <x v="1"/>
    <b v="0"/>
    <b v="0"/>
    <b v="0"/>
    <b v="0"/>
    <b v="0"/>
    <b v="1"/>
    <b v="1"/>
    <b v="1"/>
  </r>
  <r>
    <s v="mu_Coach_Gen4_Bombardier_Bi_level"/>
    <x v="6"/>
    <x v="4"/>
    <s v="ALL_AMERICA"/>
    <s v="OCEANIA"/>
    <s v="ALL_AMERICA_OCEANIA"/>
    <x v="1"/>
    <b v="0"/>
    <b v="0"/>
    <b v="0"/>
    <b v="0"/>
    <b v="0"/>
    <b v="1"/>
    <b v="1"/>
    <b v="1"/>
  </r>
  <r>
    <s v="mu_Coach_Gen5_High_Speed_Coach"/>
    <x v="0"/>
    <x v="3"/>
    <s v="ALL_REGION"/>
    <s v="NO_REGION"/>
    <s v="ALL_REGION_NO_REGION"/>
    <x v="0"/>
    <b v="1"/>
    <b v="1"/>
    <b v="1"/>
    <b v="1"/>
    <b v="1"/>
    <b v="1"/>
    <b v="1"/>
    <b v="1"/>
  </r>
  <r>
    <s v="mu_Coach_Gen5_Modern_Regional_Coach"/>
    <x v="0"/>
    <x v="4"/>
    <s v="ALL_REGION"/>
    <s v="NO_REGION"/>
    <s v="ALL_REGION_NO_REGION"/>
    <x v="0"/>
    <b v="1"/>
    <b v="1"/>
    <b v="1"/>
    <b v="1"/>
    <b v="1"/>
    <b v="1"/>
    <b v="1"/>
    <b v="1"/>
  </r>
  <r>
    <s v="mu_Coach_Gen5_Modern_Commuter_Coach"/>
    <x v="0"/>
    <x v="4"/>
    <s v="ALL_REGION"/>
    <s v="NO_REGION"/>
    <s v="ALL_REGION_NO_REGION"/>
    <x v="0"/>
    <b v="1"/>
    <b v="1"/>
    <b v="1"/>
    <b v="1"/>
    <b v="1"/>
    <b v="1"/>
    <b v="1"/>
    <b v="1"/>
  </r>
  <r>
    <s v="mu_Coach_Gen5_Modern_Double_Decker_Coach"/>
    <x v="0"/>
    <x v="4"/>
    <s v="ALL_REGION"/>
    <s v="NO_REGION"/>
    <s v="ALL_REGION_NO_REGION"/>
    <x v="0"/>
    <b v="1"/>
    <b v="1"/>
    <b v="1"/>
    <b v="1"/>
    <b v="1"/>
    <b v="1"/>
    <b v="1"/>
    <b v="1"/>
  </r>
  <r>
    <s v="mu_Coach_Gen5_High_Speed_Double_Decker_IC2000"/>
    <x v="0"/>
    <x v="4"/>
    <s v="ALL_REGION"/>
    <s v="NO_REGION"/>
    <s v="ALL_REGION_NO_REGION"/>
    <x v="0"/>
    <b v="1"/>
    <b v="1"/>
    <b v="1"/>
    <b v="1"/>
    <b v="1"/>
    <b v="1"/>
    <b v="1"/>
    <b v="1"/>
  </r>
  <r>
    <s v="mu_Coach_Gen5_High_Speed_Mail_Coach"/>
    <x v="0"/>
    <x v="15"/>
    <s v="ALL_REGION"/>
    <s v="NO_REGION"/>
    <s v="ALL_REGION_NO_REGION"/>
    <x v="0"/>
    <b v="1"/>
    <b v="1"/>
    <b v="1"/>
    <b v="1"/>
    <b v="1"/>
    <b v="1"/>
    <b v="1"/>
    <b v="1"/>
  </r>
  <r>
    <s v="mu_Coach_Gen5_Talgo_Pendular"/>
    <x v="5"/>
    <x v="4"/>
    <s v="ALL_REGION"/>
    <s v="NO_REGION"/>
    <s v="ALL_REGION_NO_REGION"/>
    <x v="0"/>
    <b v="1"/>
    <b v="1"/>
    <b v="1"/>
    <b v="1"/>
    <b v="1"/>
    <b v="1"/>
    <b v="1"/>
    <b v="1"/>
  </r>
  <r>
    <s v="mu_Coach_Gen5_Talgo_Pendular_Mail"/>
    <x v="5"/>
    <x v="13"/>
    <s v="ALL_REGION"/>
    <s v="NO_REGION"/>
    <s v="ALL_REGION_NO_REGION"/>
    <x v="0"/>
    <b v="1"/>
    <b v="1"/>
    <b v="1"/>
    <b v="1"/>
    <b v="1"/>
    <b v="1"/>
    <b v="1"/>
    <b v="1"/>
  </r>
  <r>
    <s v="mu_Coach_Gen6_Grand_Voyager_Coach"/>
    <x v="10"/>
    <x v="3"/>
    <s v="ALL_REGION"/>
    <s v="NO_REGION"/>
    <s v="ALL_REGION_NO_REGION"/>
    <x v="0"/>
    <b v="1"/>
    <b v="1"/>
    <b v="1"/>
    <b v="1"/>
    <b v="1"/>
    <b v="1"/>
    <b v="1"/>
    <b v="1"/>
  </r>
  <r>
    <s v="mu_Coach_Gen6_Grand_Regio_Coach"/>
    <x v="10"/>
    <x v="3"/>
    <s v="ALL_REGION"/>
    <s v="NO_REGION"/>
    <s v="ALL_REGION_NO_REGION"/>
    <x v="0"/>
    <b v="1"/>
    <b v="1"/>
    <b v="1"/>
    <b v="1"/>
    <b v="1"/>
    <b v="1"/>
    <b v="1"/>
    <b v="1"/>
  </r>
  <r>
    <s v="mu_Coach_Gen6_Metropolis_Coach"/>
    <x v="10"/>
    <x v="1"/>
    <s v="ALL_REGION"/>
    <s v="NO_REGION"/>
    <s v="ALL_REGION_NO_REGION"/>
    <x v="0"/>
    <b v="1"/>
    <b v="1"/>
    <b v="1"/>
    <b v="1"/>
    <b v="1"/>
    <b v="1"/>
    <b v="1"/>
    <b v="1"/>
  </r>
  <r>
    <s v="mu_Coach_Gen6_Speedmail_Coach"/>
    <x v="10"/>
    <x v="15"/>
    <s v="ALL_REGION"/>
    <s v="NO_REGION"/>
    <s v="ALL_REGION_NO_REGION"/>
    <x v="0"/>
    <b v="1"/>
    <b v="1"/>
    <b v="1"/>
    <b v="1"/>
    <b v="1"/>
    <b v="1"/>
    <b v="1"/>
    <b v="1"/>
  </r>
  <r>
    <s v="mu_Coach_Gen6_Super_Regio_Coach"/>
    <x v="10"/>
    <x v="4"/>
    <s v="ALL_REGION"/>
    <s v="NO_REGION"/>
    <s v="ALL_REGION_NO_REGION"/>
    <x v="0"/>
    <b v="1"/>
    <b v="1"/>
    <b v="1"/>
    <b v="1"/>
    <b v="1"/>
    <b v="1"/>
    <b v="1"/>
    <b v="1"/>
  </r>
  <r>
    <s v="mu_Coach_Gen6_Super_Voyager_Coach"/>
    <x v="10"/>
    <x v="3"/>
    <s v="ALL_REGION"/>
    <s v="NO_REGION"/>
    <s v="ALL_REGION_NO_REGION"/>
    <x v="0"/>
    <b v="1"/>
    <b v="1"/>
    <b v="1"/>
    <b v="1"/>
    <b v="1"/>
    <b v="1"/>
    <b v="1"/>
    <b v="1"/>
  </r>
  <r>
    <s v="diesel_Gabon_Alsthom_AD30B"/>
    <x v="6"/>
    <x v="6"/>
    <s v="AFRICA"/>
    <s v="NO_REGION"/>
    <s v="AFRICA_NO_REGION"/>
    <x v="0"/>
    <b v="0"/>
    <b v="0"/>
    <b v="0"/>
    <b v="0"/>
    <b v="0"/>
    <b v="0"/>
    <b v="0"/>
    <b v="0"/>
  </r>
  <r>
    <s v="steam_South_Africa_Katanga_Mikado_2_8_2"/>
    <x v="1"/>
    <x v="5"/>
    <s v="AFRICA"/>
    <s v="NO_REGION"/>
    <s v="AFRICA_NO_REGION"/>
    <x v="0"/>
    <b v="0"/>
    <b v="0"/>
    <b v="0"/>
    <b v="0"/>
    <b v="0"/>
    <b v="0"/>
    <b v="0"/>
    <b v="0"/>
  </r>
  <r>
    <s v="cargoemu_Japan_JR_Freight_M250"/>
    <x v="0"/>
    <x v="12"/>
    <s v="ASIA"/>
    <s v="NO_REGION"/>
    <s v="ASIA_NO_REGION"/>
    <x v="1"/>
    <b v="1"/>
    <b v="0"/>
    <b v="0"/>
    <b v="0"/>
    <b v="0"/>
    <b v="0"/>
    <b v="0"/>
    <b v="0"/>
  </r>
  <r>
    <m/>
    <x v="13"/>
    <x v="16"/>
    <m/>
    <m/>
    <m/>
    <x v="2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5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17">
        <item x="1"/>
        <item x="13"/>
        <item x="4"/>
        <item x="7"/>
        <item x="14"/>
        <item x="6"/>
        <item x="8"/>
        <item x="2"/>
        <item x="9"/>
        <item x="0"/>
        <item x="11"/>
        <item x="5"/>
        <item x="12"/>
        <item x="15"/>
        <item x="3"/>
        <item x="10"/>
        <item x="16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792" totalsRowShown="0" headerRowDxfId="134">
  <autoFilter ref="A1:Q792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33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32"/>
    <tableColumn id="17" xr3:uid="{52550B53-5A6E-4D0B-A358-FCA22B56CC77}" name="WEB"/>
    <tableColumn id="15" xr3:uid="{C9DBDDFF-A526-4383-A426-8408C4B17785}" name="IS_POWERED_UNPOWERED_SUNDRY" dataDxfId="13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0">
      <calculatedColumnFormula>ISNUMBER(_xlfn.XMATCH(CONTROL[[#This Row],[VEHIDCODE]],TRACK_TYPES[VEHIDCODE],0))</calculatedColumnFormula>
    </tableColumn>
    <tableColumn id="11" xr3:uid="{D7F142C5-8884-454F-94AC-795FE6A81C81}" name="REGIONS" dataDxfId="129">
      <calculatedColumnFormula>ISNUMBER(_xlfn.XMATCH(CONTROL[[#This Row],[VEHIDCODE]],#REF!,0))</calculatedColumnFormula>
    </tableColumn>
    <tableColumn id="14" xr3:uid="{222C2DB1-CA5D-4369-995A-6A316AC5C947}" name="PROPERTIES" dataDxfId="128">
      <calculatedColumnFormula>ISNUMBER(_xlfn.XMATCH(CONTROL[[#This Row],[VEHIDCODE]],PROPERTIES[VEHIDCODE],0))</calculatedColumnFormula>
    </tableColumn>
    <tableColumn id="12" xr3:uid="{98C60329-4C14-461E-A11A-0FBD5B385214}" name="CONSTANTS" dataDxfId="127">
      <calculatedColumnFormula>ISNUMBER(_xlfn.XMATCH(CONTROL[[#This Row],[VEHIDCODE]],#REF!,0))</calculatedColumnFormula>
    </tableColumn>
    <tableColumn id="13" xr3:uid="{473FD571-A166-4EC8-8B7B-F1D30044570B}" name="FLAGS" dataDxfId="126">
      <calculatedColumnFormula>ISNUMBER(_xlfn.XMATCH(CONTROL[[#This Row],[VEHIDCODE]],FLAGS[VEHIDCODE],0))</calculatedColumnFormula>
    </tableColumn>
    <tableColumn id="10" xr3:uid="{7783F713-60B4-45CF-AEB3-EE02271B3D6F}" name="GRAPHICS_PROPERTIES" dataDxfId="125">
      <calculatedColumnFormula>ISNUMBER(_xlfn.XMATCH(CONTROL[[#This Row],[VEHIDCODE]],GRAPHICS_PROPERTIES[VEHIDCODE],0))</calculatedColumnFormula>
    </tableColumn>
    <tableColumn id="9" xr3:uid="{7B229E25-CF6B-4C5F-B4A4-FEC34CB93E9B}" name="ITEM" dataDxfId="124">
      <calculatedColumnFormula>"item_"&amp;CONTROL[[#This Row],[VEHIDCODE]]</calculatedColumnFormula>
    </tableColumn>
    <tableColumn id="8" xr3:uid="{327E5CDA-51AE-4721-ACBD-5E8C3D890998}" name="NAME" dataDxfId="12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792" totalsRowShown="0" headerRowDxfId="122">
  <autoFilter ref="A1:AG792" xr:uid="{6DCCB998-B5D1-4B0D-8701-BC0E171A94CA}"/>
  <tableColumns count="33">
    <tableColumn id="1" xr3:uid="{173D09BF-30BA-4FF2-B4FE-F09962415DA2}" name="VEHIDCODE" dataDxfId="12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20"/>
    <tableColumn id="19" xr3:uid="{FD65B400-35DE-464D-97AA-B59BB7DAE7DB}" name="COUNTRY_CODE" dataDxfId="11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18"/>
    <tableColumn id="58" xr3:uid="{37DCFD33-B11D-4E3C-9899-EA36DBD4DBC0}" name="LOADINGSPEED_VALUE" dataDxfId="11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1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15"/>
    <tableColumn id="24" xr3:uid="{FFD5C22B-7B16-440D-91CC-48C8761050DA}" name="TE_COEFFICIENT_CALC" dataDxfId="11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13"/>
    <tableColumn id="14" xr3:uid="{123AAB87-6D4C-406A-A5E1-A61DC2DDFFEE}" name="TE_COEFFICIENT" dataDxfId="11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11"/>
    <tableColumn id="18" xr3:uid="{EB0CE86B-9E06-4ADD-85C1-EA622DE32153}" name="WAGON_CAPACITY" dataDxfId="110"/>
    <tableColumn id="15" xr3:uid="{3558C882-A912-4F84-BDE6-BC0A2A676C4B}" name="WAGON_LENGTH" dataDxfId="109"/>
    <tableColumn id="71" xr3:uid="{3D8AA890-C1F2-4EBD-90E3-21F948960989}" name="PURCHASE_CARGO_CAPACITY" dataDxfId="20"/>
    <tableColumn id="30" xr3:uid="{235283C1-F061-434B-8C4A-AD474FB16FE8}" name="REGION1" dataDxfId="22"/>
    <tableColumn id="29" xr3:uid="{19EC58E3-4FB9-44BC-BFFA-4C7DCCC53DA8}" name="REGION2" dataDxfId="21"/>
    <tableColumn id="27" xr3:uid="{C00DC499-0060-4E48-A71D-AE565097985F}" name="REGION3" dataDxfId="19"/>
    <tableColumn id="56" xr3:uid="{188F57E8-1157-47DF-9E8F-B5F737649F6C}" name="PURCHASECOST_VALUE" dataDxfId="108"/>
    <tableColumn id="28" xr3:uid="{B24767B4-97D7-4814-9BBD-1231E1A0A0A7}" name="RUNNINGCOST_VALUE" dataDxfId="107"/>
    <tableColumn id="22" xr3:uid="{68BAA036-8189-4A5A-B0EF-3F284C15672C}" name="COST_CAT" dataDxfId="18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3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2" totalsRowShown="0" headerRowDxfId="105">
  <autoFilter ref="A1:AF792" xr:uid="{6DCCB998-B5D1-4B0D-8701-BC0E171A94CA}"/>
  <tableColumns count="32">
    <tableColumn id="1" xr3:uid="{CDEAF13A-A986-4600-A992-A08C1CA6142C}" name="VEHIDCODE" dataDxfId="104"/>
    <tableColumn id="55" xr3:uid="{839D134C-3027-42F4-BA04-3BA8BFF71A3B}" name="TRACK_TYPE_STANDARD_GAUGE_RAILTYPE_OHLE" dataDxfId="103"/>
    <tableColumn id="54" xr3:uid="{5D83FD10-ABCB-4FE7-A7DB-4A857A58D719}" name="TRACK_TYPE_STANDARD_GAUGE_RAILTYPE_25KV" dataDxfId="102"/>
    <tableColumn id="53" xr3:uid="{56183170-0B7F-45FB-91B4-356C62C246AD}" name="TRACK_TYPE_STANDARD_GAUGE_RAILTYPE_15KV" dataDxfId="101"/>
    <tableColumn id="52" xr3:uid="{5B71BE07-0EB9-4DEB-A8E8-252C9D979AC2}" name="TRACK_TYPE_STANDARD_GAUGE_RAILTYPE_3KV" dataDxfId="100"/>
    <tableColumn id="51" xr3:uid="{5A6435EB-111E-4AED-A8E1-AEFF82C34393}" name="TRACK_TYPE_STANDARD_GAUGE_RAILTYPE_1500V" dataDxfId="99"/>
    <tableColumn id="50" xr3:uid="{14CA70EA-0EE7-44BA-9D77-FC902C0596DD}" name="TRACK_TYPE_STANDARD_GAUGE_RAILTYPE_3RD" dataDxfId="98"/>
    <tableColumn id="49" xr3:uid="{3A15447A-9663-43FB-8EFF-8F8034548FB0}" name="TRACK_TYPE_STANDARD_GAUGE_RAILTYPE_4TH" dataDxfId="97"/>
    <tableColumn id="48" xr3:uid="{E44E324A-492F-4566-8DC9-0A6F58F40EA9}" name="TRACK_TYPE_STANDARD_GAUGE_RAILTYPE_DUAL" dataDxfId="96"/>
    <tableColumn id="47" xr3:uid="{FE3223C6-E685-4456-91E9-10AEB3B699E7}" name="TRACK_TYPE_STANDARD_GAUGE_RAILTYPE_NONE" dataDxfId="95"/>
    <tableColumn id="46" xr3:uid="{D39969E8-C0CA-4A59-A556-D29019991069}" name="TRACK_TYPE_NARROW_GAUGE_RAILTYPE_OHLE" dataDxfId="94"/>
    <tableColumn id="45" xr3:uid="{5266A9E9-D840-4460-AB81-A081897372F3}" name="TRACK_TYPE_NARROW_GAUGE_RAILTYPE_25KV" dataDxfId="93"/>
    <tableColumn id="44" xr3:uid="{7B4C44D1-C745-4291-86A0-777579742A84}" name="TRACK_TYPE_NARROW_GAUGE_RAILTYPE_15KV" dataDxfId="92"/>
    <tableColumn id="43" xr3:uid="{8736D285-A163-4DBE-84E1-870118B47F14}" name="TRACK_TYPE_NARROW_GAUGE_RAILTYPE_3KV" dataDxfId="91"/>
    <tableColumn id="42" xr3:uid="{6FBBA2FB-4743-4072-B4E0-C42BBDA1CC47}" name="TRACK_TYPE_NARROW_GAUGE_RAILTYPE_1500V" dataDxfId="90"/>
    <tableColumn id="41" xr3:uid="{D3ED2E70-19BF-4D92-A76B-0F0F03D31947}" name="TRACK_TYPE_NARROW_GAUGE_RAILTYPE_3RD" dataDxfId="89"/>
    <tableColumn id="40" xr3:uid="{F38AE7AF-B798-40A5-992A-13685296E710}" name="TRACK_TYPE_NARROW_GAUGE_RAILTYPE_4TH" dataDxfId="88"/>
    <tableColumn id="39" xr3:uid="{16463F64-2239-4E7F-8257-47F324BF8959}" name="TRACK_TYPE_NARROW_GAUGE_RAILTYPE_DUAL" dataDxfId="87"/>
    <tableColumn id="38" xr3:uid="{97037A15-9172-4057-863E-582804353817}" name="TRACK_TYPE_NARROW_GAUGE_RAILTYPE_NONE" dataDxfId="86"/>
    <tableColumn id="37" xr3:uid="{24999D59-5A4F-4A21-B8B4-EBDBF9F8BF1E}" name="TRACK_TYPE_BROAD_GAUGE_RAILTYPE_OHLE" dataDxfId="85"/>
    <tableColumn id="36" xr3:uid="{31AB3927-D18B-49AD-8EF5-C7E9FF4CEDF3}" name="TRACK_TYPE_BROAD_GAUGE_RAILTYPE_25KV" dataDxfId="84"/>
    <tableColumn id="35" xr3:uid="{CB3432E7-4DAE-4807-9CE5-4CB1ACECD395}" name="TRACK_TYPE_BROAD_GAUGE_RAILTYPE_15KV" dataDxfId="83"/>
    <tableColumn id="34" xr3:uid="{E3936FE4-2B46-4DC0-84C0-44C7892A0927}" name="TRACK_TYPE_BROAD_GAUGE_RAILTYPE_3KV" dataDxfId="82"/>
    <tableColumn id="33" xr3:uid="{A5FAA105-CF81-4A75-8967-5721104454E8}" name="TRACK_TYPE_BROAD_GAUGE_RAILTYPE_1500V" dataDxfId="81"/>
    <tableColumn id="32" xr3:uid="{439CDFDE-6BFC-446C-87CF-28C8FF65FCE0}" name="TRACK_TYPE_BROAD_GAUGE_RAILTYPE_3RD" dataDxfId="80"/>
    <tableColumn id="31" xr3:uid="{219AB5E3-CDFF-41B3-BD58-F7427606D15F}" name="TRACK_TYPE_BROAD_GAUGE_RAILTYPE_4TH" dataDxfId="79"/>
    <tableColumn id="30" xr3:uid="{01529768-EA0D-4662-B835-74641896CE3F}" name="TRACK_TYPE_BROAD_GAUGE_RAILTYPE_DUAL" dataDxfId="78"/>
    <tableColumn id="29" xr3:uid="{32C384AB-18DB-4161-B29B-A363A2547BB2}" name="TRACK_TYPE_BROAD_GAUGE_RAILTYPE_NONE" dataDxfId="77"/>
    <tableColumn id="26" xr3:uid="{1CFC6F26-22A8-42EE-972B-0F7ED6623B5A}" name="TRACK_TYPE_MONO" dataDxfId="76"/>
    <tableColumn id="25" xr3:uid="{62939270-15C1-494E-9C53-6EA9E8209C3B}" name="TRACK_TYPE_MGLV" dataDxfId="75"/>
    <tableColumn id="24" xr3:uid="{9DA86EDA-F2AB-4C2D-918E-5260313FD8B3}" name="TRACK_TYPE_MTRO" dataDxfId="74"/>
    <tableColumn id="21" xr3:uid="{E6F11214-E912-4D1C-980D-A111C93B0BED}" name="CHECK_ANY_TT" dataDxfId="73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2" totalsRowShown="0" headerRowDxfId="72">
  <autoFilter ref="A1:G792" xr:uid="{6DCCB998-B5D1-4B0D-8701-BC0E171A94CA}"/>
  <tableColumns count="7">
    <tableColumn id="1" xr3:uid="{327CDBB6-E1D6-4B9F-9625-C81419775134}" name="VEHIDCODE" dataDxfId="71"/>
    <tableColumn id="101" xr3:uid="{78690AEB-EA8F-4FC7-9651-C84D8F318EE9}" name="MISC_FLAGS_TRAIN_FLAG_2CC" dataDxfId="70"/>
    <tableColumn id="100" xr3:uid="{90DBB1A2-A86F-42C6-B2B8-64A2FD6690AB}" name="MISC_FLAGS_TRAIN_FLAG_MU" dataDxfId="69"/>
    <tableColumn id="99" xr3:uid="{DA6644B2-20CC-47E2-B1B5-10210B43738A}" name="MISC_FLAGS_TRAIN_FLAG_AUTOREFIT" dataDxfId="68"/>
    <tableColumn id="108" xr3:uid="{980A5687-92C0-42A0-811D-C3D4EA0876D1}" name="VISUAL_EFFECT_1" dataDxfId="6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2" totalsRowShown="0" headerRowDxfId="65">
  <autoFilter ref="A1:D792" xr:uid="{6DCCB998-B5D1-4B0D-8701-BC0E171A94CA}"/>
  <tableColumns count="4">
    <tableColumn id="1" xr3:uid="{0B6094CF-6CA6-410A-A041-C85FACC0820E}" name="VEHIDCODE" dataDxfId="64"/>
    <tableColumn id="7" xr3:uid="{3D8CAD9A-C0D1-459B-8D7C-DFC931F5B279}" name="PANTOGRAPH_POSITION" dataDxfId="63"/>
    <tableColumn id="6" xr3:uid="{E0637D36-B3FC-4486-87F9-603EB2076188}" name="TEMPLATE_ID" dataDxfId="62"/>
    <tableColumn id="9" xr3:uid="{FEF2BF9C-74F1-405C-9871-E4301805E364}" name="TEMPLATE_AMENDMENT_CODE" dataDxfId="6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0" headerRowBorderDxfId="59" tableBorderDxfId="5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7" headerRowBorderDxfId="56" tableBorderDxfId="5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4" dataDxfId="53" tableBorderDxfId="52">
  <autoFilter ref="A1:A17" xr:uid="{0B243503-43AD-403A-90CE-B69D05B25C30}"/>
  <tableColumns count="1">
    <tableColumn id="1" xr3:uid="{3709FB1B-DE08-4A3E-8CA6-F5322D2A3261}" name="VALID_REGIONS" dataDxfId="5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50" dataDxfId="49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48"/>
    <tableColumn id="2" xr3:uid="{CCC9A744-4F42-4023-A516-9395213016EB}" name="COUNTRY_DESCRIPTION" dataDxfId="4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5" headerRowBorderDxfId="46" tableBorderDxfId="44" totalsRowBorderDxfId="43">
  <autoFilter ref="K1:K25" xr:uid="{686D0694-AFBC-4B91-A3D3-72E1CCF00B7D}"/>
  <tableColumns count="1">
    <tableColumn id="1" xr3:uid="{7F0999BD-E0C9-463F-A054-2DA49D41A9EE}" name="VEHID_ID_CATEGORY" dataDxfId="4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1"/>
    <tableColumn id="4" xr3:uid="{3DDC8685-BA3D-40E8-A910-1E59013A762D}" name="Range End" dataDxfId="4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9" dataDxfId="38">
  <autoFilter ref="A1:N16" xr:uid="{863AE95D-BE34-47D8-B01B-1170BF25FDF2}"/>
  <tableColumns count="14">
    <tableColumn id="1" xr3:uid="{5F487593-655E-41B5-B155-86F88B53946D}" name="COST_CAT" dataDxfId="37"/>
    <tableColumn id="2" xr3:uid="{33F9C454-EDB2-4DA7-BF7A-64CBC12EBC9B}" name="P1" dataDxfId="36"/>
    <tableColumn id="3" xr3:uid="{25FB11D0-082D-4DE3-9821-1367939D8742}" name="P2" dataDxfId="35"/>
    <tableColumn id="4" xr3:uid="{19CDF402-C641-4217-A953-2A851DF85ADB}" name="P3" dataDxfId="34"/>
    <tableColumn id="5" xr3:uid="{1EF59E2C-32FF-4712-AD89-CBF77E507832}" name="P4" dataDxfId="33"/>
    <tableColumn id="6" xr3:uid="{04250F90-183D-4392-BE27-C420F795E1DC}" name="P5" dataDxfId="32"/>
    <tableColumn id="7" xr3:uid="{F7062C4F-5B57-4110-A21E-BDC8820130D9}" name="P6" dataDxfId="31"/>
    <tableColumn id="8" xr3:uid="{B47621AA-9D6F-4396-B3D9-BD8CF656F30E}" name="P7" dataDxfId="30"/>
    <tableColumn id="9" xr3:uid="{7055539E-C4C8-407D-91F5-6CB021EDE84F}" name="R1" dataDxfId="29"/>
    <tableColumn id="10" xr3:uid="{D17981EB-EB8A-4630-958C-3792D72CD53F}" name="R2" dataDxfId="28"/>
    <tableColumn id="11" xr3:uid="{85EDD15A-812B-4C42-B03A-D558B807622E}" name="R3" dataDxfId="27"/>
    <tableColumn id="12" xr3:uid="{61A73E38-33EC-41D1-B899-56F15EDBDD59}" name="R4" dataDxfId="26"/>
    <tableColumn id="13" xr3:uid="{7A83ADCF-C18F-402F-81A8-0F935E928ED9}" name="R5" dataDxfId="25"/>
    <tableColumn id="14" xr3:uid="{1140F6C7-9C3D-4800-9F3B-DC6E6EBE9541}" name="R6" dataDxfId="2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792"/>
  <sheetViews>
    <sheetView workbookViewId="0">
      <pane xSplit="1" ySplit="1" topLeftCell="M768" activePane="bottomRight" state="frozen"/>
      <selection pane="topRight" activeCell="B1" sqref="B1"/>
      <selection pane="bottomLeft" activeCell="A2" sqref="A2"/>
      <selection pane="bottomRight" activeCell="N768" sqref="N768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6" max="16" width="55.3046875" bestFit="1" customWidth="1"/>
    <col min="17" max="17" width="53.84375" bestFit="1" customWidth="1"/>
    <col min="18" max="18" width="55.3046875" customWidth="1"/>
    <col min="19" max="19" width="53.84375" customWidth="1"/>
  </cols>
  <sheetData>
    <row r="1" spans="1:17" ht="43.75">
      <c r="A1" s="1" t="s">
        <v>0</v>
      </c>
      <c r="B1" s="7" t="s">
        <v>903</v>
      </c>
      <c r="C1" s="7" t="s">
        <v>688</v>
      </c>
      <c r="D1" s="7" t="s">
        <v>979</v>
      </c>
      <c r="E1" s="7" t="s">
        <v>927</v>
      </c>
      <c r="F1" s="7" t="s">
        <v>2514</v>
      </c>
      <c r="G1" s="7" t="s">
        <v>2326</v>
      </c>
      <c r="H1" s="7" t="s">
        <v>1066</v>
      </c>
      <c r="I1" s="22" t="s">
        <v>924</v>
      </c>
      <c r="J1" s="7" t="s">
        <v>1060</v>
      </c>
      <c r="K1" s="7" t="s">
        <v>1062</v>
      </c>
      <c r="L1" s="7" t="s">
        <v>1065</v>
      </c>
      <c r="M1" s="7" t="s">
        <v>1063</v>
      </c>
      <c r="N1" s="7" t="s">
        <v>1064</v>
      </c>
      <c r="O1" s="7" t="s">
        <v>1061</v>
      </c>
      <c r="P1" s="8" t="s">
        <v>689</v>
      </c>
      <c r="Q1" s="8" t="s">
        <v>690</v>
      </c>
    </row>
    <row r="2" spans="1:17">
      <c r="A2" s="2" t="s">
        <v>743</v>
      </c>
      <c r="B2" s="32" t="str">
        <f>_xlfn.TEXTAFTER(CONTROL[[#This Row],[VEHIDCODE]],"_")</f>
        <v>Maglev_Wagon_Powered</v>
      </c>
      <c r="C2" t="s">
        <v>901</v>
      </c>
      <c r="D2" t="s">
        <v>973</v>
      </c>
      <c r="E2">
        <v>13005</v>
      </c>
      <c r="F2" t="s">
        <v>1067</v>
      </c>
      <c r="G2" t="s">
        <v>1776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Row],[VEHIDCODE]],#REF!,0))</f>
        <v>0</v>
      </c>
      <c r="L2" t="b">
        <f>ISNUMBER(_xlfn.XMATCH(CONTROL[[#This Row],[VEHIDCODE]],PROPERTIES[VEHIDCODE],0))</f>
        <v>1</v>
      </c>
      <c r="M2" t="b">
        <f>ISNUMBER(_xlfn.XMATCH(CONTROL[[#This Row],[VEHIDCODE]],#REF!,0))</f>
        <v>0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s="32" t="str">
        <f>"item_"&amp;CONTROL[[#This Row],[VEHIDCODE]]</f>
        <v>item_mglv_Maglev_Wagon_Powered</v>
      </c>
      <c r="Q2" s="32" t="str">
        <f>"str_"&amp;CONTROL[[#This Row],[VEHIDCODE]]</f>
        <v>str_mglv_Maglev_Wagon_Powered</v>
      </c>
    </row>
    <row r="3" spans="1:17">
      <c r="A3" s="2" t="s">
        <v>744</v>
      </c>
      <c r="B3" s="32" t="str">
        <f>_xlfn.TEXTAFTER(CONTROL[[#This Row],[VEHIDCODE]],"_")</f>
        <v>Maglev_Wagon_Unpowered</v>
      </c>
      <c r="C3" t="s">
        <v>901</v>
      </c>
      <c r="D3" t="s">
        <v>973</v>
      </c>
      <c r="E3">
        <v>13004</v>
      </c>
      <c r="F3" t="s">
        <v>1067</v>
      </c>
      <c r="G3" t="s">
        <v>1776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Row],[VEHIDCODE]],#REF!,0))</f>
        <v>0</v>
      </c>
      <c r="L3" t="b">
        <f>ISNUMBER(_xlfn.XMATCH(CONTROL[[#This Row],[VEHIDCODE]],PROPERTIES[VEHIDCODE],0))</f>
        <v>1</v>
      </c>
      <c r="M3" t="b">
        <f>ISNUMBER(_xlfn.XMATCH(CONTROL[[#This Row],[VEHIDCODE]],#REF!,0))</f>
        <v>0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s="32" t="str">
        <f>"item_"&amp;CONTROL[[#This Row],[VEHIDCODE]]</f>
        <v>item_mglv_Maglev_Wagon_Unpowered</v>
      </c>
      <c r="Q3" s="32" t="str">
        <f>"str_"&amp;CONTROL[[#This Row],[VEHIDCODE]]</f>
        <v>str_mglv_Maglev_Wagon_Unpowered</v>
      </c>
    </row>
    <row r="4" spans="1:17">
      <c r="A4" s="2" t="s">
        <v>22</v>
      </c>
      <c r="B4" s="32" t="str">
        <f>_xlfn.TEXTAFTER(CONTROL[[#This Row],[VEHIDCODE]],"_")</f>
        <v>Austria_NOLB_1</v>
      </c>
      <c r="C4" t="s">
        <v>718</v>
      </c>
      <c r="D4" t="s">
        <v>933</v>
      </c>
      <c r="E4">
        <v>1000</v>
      </c>
      <c r="F4" t="s">
        <v>1068</v>
      </c>
      <c r="G4" t="s">
        <v>2310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Row],[VEHIDCODE]],#REF!,0))</f>
        <v>0</v>
      </c>
      <c r="L4" t="b">
        <f>ISNUMBER(_xlfn.XMATCH(CONTROL[[#This Row],[VEHIDCODE]],PROPERTIES[VEHIDCODE],0))</f>
        <v>1</v>
      </c>
      <c r="M4" t="b">
        <f>ISNUMBER(_xlfn.XMATCH(CONTROL[[#This Row],[VEHIDCODE]],#REF!,0))</f>
        <v>0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s="32" t="str">
        <f>"item_"&amp;CONTROL[[#This Row],[VEHIDCODE]]</f>
        <v>item_rbs_Austria_NOLB_1</v>
      </c>
      <c r="Q4" s="32" t="str">
        <f>"str_"&amp;CONTROL[[#This Row],[VEHIDCODE]]</f>
        <v>str_rbs_Austria_NOLB_1</v>
      </c>
    </row>
    <row r="5" spans="1:17">
      <c r="A5" s="2" t="s">
        <v>25</v>
      </c>
      <c r="B5" s="32" t="str">
        <f>_xlfn.TEXTAFTER(CONTROL[[#This Row],[VEHIDCODE]],"_")</f>
        <v>Italy_FS_86</v>
      </c>
      <c r="C5" t="s">
        <v>718</v>
      </c>
      <c r="D5" t="s">
        <v>933</v>
      </c>
      <c r="E5">
        <v>1001</v>
      </c>
      <c r="F5" t="s">
        <v>1069</v>
      </c>
      <c r="G5" t="s">
        <v>2311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Row],[VEHIDCODE]],#REF!,0))</f>
        <v>0</v>
      </c>
      <c r="L5" t="b">
        <f>ISNUMBER(_xlfn.XMATCH(CONTROL[[#This Row],[VEHIDCODE]],PROPERTIES[VEHIDCODE],0))</f>
        <v>1</v>
      </c>
      <c r="M5" t="b">
        <f>ISNUMBER(_xlfn.XMATCH(CONTROL[[#This Row],[VEHIDCODE]],#REF!,0))</f>
        <v>0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s="32" t="str">
        <f>"item_"&amp;CONTROL[[#This Row],[VEHIDCODE]]</f>
        <v>item_rbs_Italy_FS_86</v>
      </c>
      <c r="Q5" s="32" t="str">
        <f>"str_"&amp;CONTROL[[#This Row],[VEHIDCODE]]</f>
        <v>str_rbs_Italy_FS_86</v>
      </c>
    </row>
    <row r="6" spans="1:17">
      <c r="A6" s="2" t="s">
        <v>26</v>
      </c>
      <c r="B6" s="32" t="str">
        <f>_xlfn.TEXTAFTER(CONTROL[[#This Row],[VEHIDCODE]],"_")</f>
        <v>Australia_Victorian_Railways_Rowan_Railmotor</v>
      </c>
      <c r="C6" t="s">
        <v>718</v>
      </c>
      <c r="D6" t="s">
        <v>933</v>
      </c>
      <c r="E6">
        <v>1002</v>
      </c>
      <c r="F6" t="s">
        <v>1070</v>
      </c>
      <c r="G6" t="s">
        <v>2312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Row],[VEHIDCODE]],#REF!,0))</f>
        <v>0</v>
      </c>
      <c r="L6" t="b">
        <f>ISNUMBER(_xlfn.XMATCH(CONTROL[[#This Row],[VEHIDCODE]],PROPERTIES[VEHIDCODE],0))</f>
        <v>1</v>
      </c>
      <c r="M6" t="b">
        <f>ISNUMBER(_xlfn.XMATCH(CONTROL[[#This Row],[VEHIDCODE]],#REF!,0))</f>
        <v>0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s="32" t="str">
        <f>"item_"&amp;CONTROL[[#This Row],[VEHIDCODE]]</f>
        <v>item_rbs_Australia_Victorian_Railways_Rowan_Railmotor</v>
      </c>
      <c r="Q6" s="32" t="str">
        <f>"str_"&amp;CONTROL[[#This Row],[VEHIDCODE]]</f>
        <v>str_rbs_Australia_Victorian_Railways_Rowan_Railmotor</v>
      </c>
    </row>
    <row r="7" spans="1:17">
      <c r="A7" s="2" t="s">
        <v>27</v>
      </c>
      <c r="B7" s="32" t="str">
        <f>_xlfn.TEXTAFTER(CONTROL[[#This Row],[VEHIDCODE]],"_")</f>
        <v>Switzerland_UeBB_Czm_1_2</v>
      </c>
      <c r="C7" t="s">
        <v>718</v>
      </c>
      <c r="D7" t="s">
        <v>933</v>
      </c>
      <c r="E7">
        <v>1003</v>
      </c>
      <c r="F7" t="s">
        <v>1071</v>
      </c>
      <c r="G7" t="s">
        <v>2313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Row],[VEHIDCODE]],#REF!,0))</f>
        <v>0</v>
      </c>
      <c r="L7" t="b">
        <f>ISNUMBER(_xlfn.XMATCH(CONTROL[[#This Row],[VEHIDCODE]],PROPERTIES[VEHIDCODE],0))</f>
        <v>1</v>
      </c>
      <c r="M7" t="b">
        <f>ISNUMBER(_xlfn.XMATCH(CONTROL[[#This Row],[VEHIDCODE]],#REF!,0))</f>
        <v>0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s="32" t="str">
        <f>"item_"&amp;CONTROL[[#This Row],[VEHIDCODE]]</f>
        <v>item_rbs_Switzerland_UeBB_Czm_1_2</v>
      </c>
      <c r="Q7" s="32" t="str">
        <f>"str_"&amp;CONTROL[[#This Row],[VEHIDCODE]]</f>
        <v>str_rbs_Switzerland_UeBB_Czm_1_2</v>
      </c>
    </row>
    <row r="8" spans="1:17">
      <c r="A8" s="2" t="s">
        <v>28</v>
      </c>
      <c r="B8" s="32" t="str">
        <f>_xlfn.TEXTAFTER(CONTROL[[#This Row],[VEHIDCODE]],"_")</f>
        <v>Germany_Bavarian_MCCi</v>
      </c>
      <c r="C8" t="s">
        <v>718</v>
      </c>
      <c r="D8" t="s">
        <v>933</v>
      </c>
      <c r="E8">
        <v>1004</v>
      </c>
      <c r="F8" t="s">
        <v>1072</v>
      </c>
      <c r="G8" t="s">
        <v>2315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Row],[VEHIDCODE]],#REF!,0))</f>
        <v>0</v>
      </c>
      <c r="L8" t="b">
        <f>ISNUMBER(_xlfn.XMATCH(CONTROL[[#This Row],[VEHIDCODE]],PROPERTIES[VEHIDCODE],0))</f>
        <v>1</v>
      </c>
      <c r="M8" t="b">
        <f>ISNUMBER(_xlfn.XMATCH(CONTROL[[#This Row],[VEHIDCODE]],#REF!,0))</f>
        <v>0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s="32" t="str">
        <f>"item_"&amp;CONTROL[[#This Row],[VEHIDCODE]]</f>
        <v>item_rbs_Germany_Bavarian_MCCi</v>
      </c>
      <c r="Q8" s="32" t="str">
        <f>"str_"&amp;CONTROL[[#This Row],[VEHIDCODE]]</f>
        <v>str_rbs_Germany_Bavarian_MCCi</v>
      </c>
    </row>
    <row r="9" spans="1:17">
      <c r="A9" s="2" t="s">
        <v>29</v>
      </c>
      <c r="B9" s="32" t="str">
        <f>_xlfn.TEXTAFTER(CONTROL[[#This Row],[VEHIDCODE]],"_")</f>
        <v>South_Africa_CSAR_Railmotor</v>
      </c>
      <c r="C9" t="s">
        <v>718</v>
      </c>
      <c r="D9" t="s">
        <v>933</v>
      </c>
      <c r="E9">
        <v>1005</v>
      </c>
      <c r="F9" t="s">
        <v>1073</v>
      </c>
      <c r="G9" t="s">
        <v>2314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Row],[VEHIDCODE]],#REF!,0))</f>
        <v>0</v>
      </c>
      <c r="L9" t="b">
        <f>ISNUMBER(_xlfn.XMATCH(CONTROL[[#This Row],[VEHIDCODE]],PROPERTIES[VEHIDCODE],0))</f>
        <v>1</v>
      </c>
      <c r="M9" t="b">
        <f>ISNUMBER(_xlfn.XMATCH(CONTROL[[#This Row],[VEHIDCODE]],#REF!,0))</f>
        <v>0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s="32" t="str">
        <f>"item_"&amp;CONTROL[[#This Row],[VEHIDCODE]]</f>
        <v>item_rbs_South_Africa_CSAR_Railmotor</v>
      </c>
      <c r="Q9" s="32" t="str">
        <f>"str_"&amp;CONTROL[[#This Row],[VEHIDCODE]]</f>
        <v>str_rbs_South_Africa_CSAR_Railmotor</v>
      </c>
    </row>
    <row r="10" spans="1:17">
      <c r="A10" s="2" t="s">
        <v>30</v>
      </c>
      <c r="B10" s="32" t="str">
        <f>_xlfn.TEXTAFTER(CONTROL[[#This Row],[VEHIDCODE]],"_")</f>
        <v>Australia_Victorian_Railways_Motor_Car_3</v>
      </c>
      <c r="C10" t="s">
        <v>718</v>
      </c>
      <c r="D10" t="s">
        <v>933</v>
      </c>
      <c r="E10">
        <v>1006</v>
      </c>
      <c r="F10" t="s">
        <v>1074</v>
      </c>
      <c r="G10" t="s">
        <v>2316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Row],[VEHIDCODE]],#REF!,0))</f>
        <v>0</v>
      </c>
      <c r="L10" t="b">
        <f>ISNUMBER(_xlfn.XMATCH(CONTROL[[#This Row],[VEHIDCODE]],PROPERTIES[VEHIDCODE],0))</f>
        <v>1</v>
      </c>
      <c r="M10" t="b">
        <f>ISNUMBER(_xlfn.XMATCH(CONTROL[[#This Row],[VEHIDCODE]],#REF!,0))</f>
        <v>0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s="32" t="str">
        <f>"item_"&amp;CONTROL[[#This Row],[VEHIDCODE]]</f>
        <v>item_rbs_Australia_Victorian_Railways_Motor_Car_3</v>
      </c>
      <c r="Q10" s="32" t="str">
        <f>"str_"&amp;CONTROL[[#This Row],[VEHIDCODE]]</f>
        <v>str_rbs_Australia_Victorian_Railways_Motor_Car_3</v>
      </c>
    </row>
    <row r="11" spans="1:17">
      <c r="A11" s="2" t="s">
        <v>31</v>
      </c>
      <c r="B11" s="32" t="str">
        <f>_xlfn.TEXTAFTER(CONTROL[[#This Row],[VEHIDCODE]],"_")</f>
        <v>Austria_kkStB_4_0</v>
      </c>
      <c r="C11" t="s">
        <v>718</v>
      </c>
      <c r="D11" t="s">
        <v>933</v>
      </c>
      <c r="E11">
        <v>1007</v>
      </c>
      <c r="F11" t="s">
        <v>1075</v>
      </c>
      <c r="G11" t="s">
        <v>2318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Row],[VEHIDCODE]],#REF!,0))</f>
        <v>0</v>
      </c>
      <c r="L11" t="b">
        <f>ISNUMBER(_xlfn.XMATCH(CONTROL[[#This Row],[VEHIDCODE]],PROPERTIES[VEHIDCODE],0))</f>
        <v>1</v>
      </c>
      <c r="M11" t="b">
        <f>ISNUMBER(_xlfn.XMATCH(CONTROL[[#This Row],[VEHIDCODE]],#REF!,0))</f>
        <v>0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s="32" t="str">
        <f>"item_"&amp;CONTROL[[#This Row],[VEHIDCODE]]</f>
        <v>item_rbs_Austria_kkStB_4_0</v>
      </c>
      <c r="Q11" s="32" t="str">
        <f>"str_"&amp;CONTROL[[#This Row],[VEHIDCODE]]</f>
        <v>str_rbs_Austria_kkStB_4_0</v>
      </c>
    </row>
    <row r="12" spans="1:17">
      <c r="A12" s="2" t="s">
        <v>34</v>
      </c>
      <c r="B12" s="32" t="str">
        <f>_xlfn.TEXTAFTER(CONTROL[[#This Row],[VEHIDCODE]],"_")</f>
        <v>Australia_Victorian_Railways_AEC_RM1</v>
      </c>
      <c r="C12" t="s">
        <v>719</v>
      </c>
      <c r="D12" t="s">
        <v>936</v>
      </c>
      <c r="E12">
        <v>2000</v>
      </c>
      <c r="F12" t="s">
        <v>1076</v>
      </c>
      <c r="G12" t="s">
        <v>2317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Row],[VEHIDCODE]],#REF!,0))</f>
        <v>0</v>
      </c>
      <c r="L12" t="b">
        <f>ISNUMBER(_xlfn.XMATCH(CONTROL[[#This Row],[VEHIDCODE]],PROPERTIES[VEHIDCODE],0))</f>
        <v>1</v>
      </c>
      <c r="M12" t="b">
        <f>ISNUMBER(_xlfn.XMATCH(CONTROL[[#This Row],[VEHIDCODE]],#REF!,0))</f>
        <v>0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s="32" t="str">
        <f>"item_"&amp;CONTROL[[#This Row],[VEHIDCODE]]</f>
        <v>item_rbd_Australia_Victorian_Railways_AEC_RM1</v>
      </c>
      <c r="Q12" s="32" t="str">
        <f>"str_"&amp;CONTROL[[#This Row],[VEHIDCODE]]</f>
        <v>str_rbd_Australia_Victorian_Railways_AEC_RM1</v>
      </c>
    </row>
    <row r="13" spans="1:17">
      <c r="A13" s="2" t="s">
        <v>36</v>
      </c>
      <c r="B13" s="32" t="str">
        <f>_xlfn.TEXTAFTER(CONTROL[[#This Row],[VEHIDCODE]],"_")</f>
        <v>Germany_DB_VT_133</v>
      </c>
      <c r="C13" t="s">
        <v>719</v>
      </c>
      <c r="D13" t="s">
        <v>936</v>
      </c>
      <c r="E13">
        <v>2001</v>
      </c>
      <c r="F13" t="s">
        <v>1077</v>
      </c>
      <c r="G13" t="s">
        <v>2319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Row],[VEHIDCODE]],#REF!,0))</f>
        <v>0</v>
      </c>
      <c r="L13" t="b">
        <f>ISNUMBER(_xlfn.XMATCH(CONTROL[[#This Row],[VEHIDCODE]],PROPERTIES[VEHIDCODE],0))</f>
        <v>1</v>
      </c>
      <c r="M13" t="b">
        <f>ISNUMBER(_xlfn.XMATCH(CONTROL[[#This Row],[VEHIDCODE]],#REF!,0))</f>
        <v>0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s="32" t="str">
        <f>"item_"&amp;CONTROL[[#This Row],[VEHIDCODE]]</f>
        <v>item_rbd_Germany_DB_VT_133</v>
      </c>
      <c r="Q13" s="32" t="str">
        <f>"str_"&amp;CONTROL[[#This Row],[VEHIDCODE]]</f>
        <v>str_rbd_Germany_DB_VT_133</v>
      </c>
    </row>
    <row r="14" spans="1:17">
      <c r="A14" s="2" t="s">
        <v>37</v>
      </c>
      <c r="B14" s="32" t="str">
        <f>_xlfn.TEXTAFTER(CONTROL[[#This Row],[VEHIDCODE]],"_")</f>
        <v>United_Kingdom_GWR_AEC_Railcar</v>
      </c>
      <c r="C14" t="s">
        <v>719</v>
      </c>
      <c r="D14" t="s">
        <v>936</v>
      </c>
      <c r="E14">
        <v>2002</v>
      </c>
      <c r="F14" t="s">
        <v>1078</v>
      </c>
      <c r="G14" t="s">
        <v>2320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Row],[VEHIDCODE]],#REF!,0))</f>
        <v>0</v>
      </c>
      <c r="L14" t="b">
        <f>ISNUMBER(_xlfn.XMATCH(CONTROL[[#This Row],[VEHIDCODE]],PROPERTIES[VEHIDCODE],0))</f>
        <v>1</v>
      </c>
      <c r="M14" t="b">
        <f>ISNUMBER(_xlfn.XMATCH(CONTROL[[#This Row],[VEHIDCODE]],#REF!,0))</f>
        <v>0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s="32" t="str">
        <f>"item_"&amp;CONTROL[[#This Row],[VEHIDCODE]]</f>
        <v>item_rbd_United_Kingdom_GWR_AEC_Railcar</v>
      </c>
      <c r="Q14" s="32" t="str">
        <f>"str_"&amp;CONTROL[[#This Row],[VEHIDCODE]]</f>
        <v>str_rbd_United_Kingdom_GWR_AEC_Railcar</v>
      </c>
    </row>
    <row r="15" spans="1:17">
      <c r="A15" s="2" t="s">
        <v>38</v>
      </c>
      <c r="B15" s="32" t="str">
        <f>_xlfn.TEXTAFTER(CONTROL[[#This Row],[VEHIDCODE]],"_")</f>
        <v>Austria_OBB_5042</v>
      </c>
      <c r="C15" t="s">
        <v>719</v>
      </c>
      <c r="D15" t="s">
        <v>936</v>
      </c>
      <c r="E15">
        <v>2003</v>
      </c>
      <c r="F15" t="s">
        <v>2522</v>
      </c>
      <c r="G15" t="s">
        <v>2321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Row],[VEHIDCODE]],#REF!,0))</f>
        <v>0</v>
      </c>
      <c r="L15" t="b">
        <f>ISNUMBER(_xlfn.XMATCH(CONTROL[[#This Row],[VEHIDCODE]],PROPERTIES[VEHIDCODE],0))</f>
        <v>1</v>
      </c>
      <c r="M15" t="b">
        <f>ISNUMBER(_xlfn.XMATCH(CONTROL[[#This Row],[VEHIDCODE]],#REF!,0))</f>
        <v>0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s="32" t="str">
        <f>"item_"&amp;CONTROL[[#This Row],[VEHIDCODE]]</f>
        <v>item_rbd_Austria_OBB_5042</v>
      </c>
      <c r="Q15" s="32" t="str">
        <f>"str_"&amp;CONTROL[[#This Row],[VEHIDCODE]]</f>
        <v>str_rbd_Austria_OBB_5042</v>
      </c>
    </row>
    <row r="16" spans="1:17">
      <c r="A16" s="2" t="s">
        <v>39</v>
      </c>
      <c r="B16" s="32" t="str">
        <f>_xlfn.TEXTAFTER(CONTROL[[#This Row],[VEHIDCODE]],"_")</f>
        <v>New_Zealand_NZR_RM31</v>
      </c>
      <c r="C16" t="s">
        <v>719</v>
      </c>
      <c r="D16" t="s">
        <v>936</v>
      </c>
      <c r="E16">
        <v>2004</v>
      </c>
      <c r="F16" t="s">
        <v>1079</v>
      </c>
      <c r="G16" t="s">
        <v>2322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Row],[VEHIDCODE]],#REF!,0))</f>
        <v>0</v>
      </c>
      <c r="L16" t="b">
        <f>ISNUMBER(_xlfn.XMATCH(CONTROL[[#This Row],[VEHIDCODE]],PROPERTIES[VEHIDCODE],0))</f>
        <v>1</v>
      </c>
      <c r="M16" t="b">
        <f>ISNUMBER(_xlfn.XMATCH(CONTROL[[#This Row],[VEHIDCODE]],#REF!,0))</f>
        <v>0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s="32" t="str">
        <f>"item_"&amp;CONTROL[[#This Row],[VEHIDCODE]]</f>
        <v>item_rbd_New_Zealand_NZR_RM31</v>
      </c>
      <c r="Q16" s="32" t="str">
        <f>"str_"&amp;CONTROL[[#This Row],[VEHIDCODE]]</f>
        <v>str_rbd_New_Zealand_NZR_RM31</v>
      </c>
    </row>
    <row r="17" spans="1:17">
      <c r="A17" s="2" t="s">
        <v>40</v>
      </c>
      <c r="B17" s="32" t="str">
        <f>_xlfn.TEXTAFTER(CONTROL[[#This Row],[VEHIDCODE]],"_")</f>
        <v>Portugal_CP_0100</v>
      </c>
      <c r="C17" t="s">
        <v>719</v>
      </c>
      <c r="D17" t="s">
        <v>936</v>
      </c>
      <c r="E17">
        <v>2005</v>
      </c>
      <c r="F17" t="s">
        <v>1080</v>
      </c>
      <c r="G17" t="s">
        <v>2323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Row],[VEHIDCODE]],#REF!,0))</f>
        <v>0</v>
      </c>
      <c r="L17" t="b">
        <f>ISNUMBER(_xlfn.XMATCH(CONTROL[[#This Row],[VEHIDCODE]],PROPERTIES[VEHIDCODE],0))</f>
        <v>1</v>
      </c>
      <c r="M17" t="b">
        <f>ISNUMBER(_xlfn.XMATCH(CONTROL[[#This Row],[VEHIDCODE]],#REF!,0))</f>
        <v>0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s="32" t="str">
        <f>"item_"&amp;CONTROL[[#This Row],[VEHIDCODE]]</f>
        <v>item_rbd_Portugal_CP_0100</v>
      </c>
      <c r="Q17" s="32" t="str">
        <f>"str_"&amp;CONTROL[[#This Row],[VEHIDCODE]]</f>
        <v>str_rbd_Portugal_CP_0100</v>
      </c>
    </row>
    <row r="18" spans="1:17">
      <c r="A18" s="2" t="s">
        <v>41</v>
      </c>
      <c r="B18" s="32" t="str">
        <f>_xlfn.TEXTAFTER(CONTROL[[#This Row],[VEHIDCODE]],"_")</f>
        <v>USA_Amtrak_Budd_RDC</v>
      </c>
      <c r="C18" t="s">
        <v>719</v>
      </c>
      <c r="D18" t="s">
        <v>936</v>
      </c>
      <c r="E18">
        <v>2006</v>
      </c>
      <c r="F18" t="s">
        <v>1081</v>
      </c>
      <c r="G18" t="s">
        <v>2324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Row],[VEHIDCODE]],#REF!,0))</f>
        <v>0</v>
      </c>
      <c r="L18" t="b">
        <f>ISNUMBER(_xlfn.XMATCH(CONTROL[[#This Row],[VEHIDCODE]],PROPERTIES[VEHIDCODE],0))</f>
        <v>1</v>
      </c>
      <c r="M18" t="b">
        <f>ISNUMBER(_xlfn.XMATCH(CONTROL[[#This Row],[VEHIDCODE]],#REF!,0))</f>
        <v>0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s="32" t="str">
        <f>"item_"&amp;CONTROL[[#This Row],[VEHIDCODE]]</f>
        <v>item_rbd_USA_Amtrak_Budd_RDC</v>
      </c>
      <c r="Q18" s="32" t="str">
        <f>"str_"&amp;CONTROL[[#This Row],[VEHIDCODE]]</f>
        <v>str_rbd_USA_Amtrak_Budd_RDC</v>
      </c>
    </row>
    <row r="19" spans="1:17">
      <c r="A19" s="2" t="s">
        <v>42</v>
      </c>
      <c r="B19" s="32" t="str">
        <f>_xlfn.TEXTAFTER(CONTROL[[#This Row],[VEHIDCODE]],"_")</f>
        <v>Germany_DB_VT_989</v>
      </c>
      <c r="C19" t="s">
        <v>719</v>
      </c>
      <c r="D19" t="s">
        <v>936</v>
      </c>
      <c r="E19">
        <v>2044</v>
      </c>
      <c r="F19" t="s">
        <v>1082</v>
      </c>
      <c r="G19" t="s">
        <v>2325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Row],[VEHIDCODE]],#REF!,0))</f>
        <v>0</v>
      </c>
      <c r="L19" t="b">
        <f>ISNUMBER(_xlfn.XMATCH(CONTROL[[#This Row],[VEHIDCODE]],PROPERTIES[VEHIDCODE],0))</f>
        <v>1</v>
      </c>
      <c r="M19" t="b">
        <f>ISNUMBER(_xlfn.XMATCH(CONTROL[[#This Row],[VEHIDCODE]],#REF!,0))</f>
        <v>0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s="32" t="str">
        <f>"item_"&amp;CONTROL[[#This Row],[VEHIDCODE]]</f>
        <v>item_rbd_Germany_DB_VT_989</v>
      </c>
      <c r="Q19" s="32" t="str">
        <f>"str_"&amp;CONTROL[[#This Row],[VEHIDCODE]]</f>
        <v>str_rbd_Germany_DB_VT_989</v>
      </c>
    </row>
    <row r="20" spans="1:17">
      <c r="A20" s="2" t="s">
        <v>43</v>
      </c>
      <c r="B20" s="32" t="str">
        <f>_xlfn.TEXTAFTER(CONTROL[[#This Row],[VEHIDCODE]],"_")</f>
        <v>Germany_OHE_520_GDT</v>
      </c>
      <c r="C20" t="s">
        <v>719</v>
      </c>
      <c r="D20" t="s">
        <v>936</v>
      </c>
      <c r="E20">
        <v>2008</v>
      </c>
      <c r="F20" t="s">
        <v>2328</v>
      </c>
      <c r="G20" t="s">
        <v>2327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Row],[VEHIDCODE]],#REF!,0))</f>
        <v>0</v>
      </c>
      <c r="L20" t="b">
        <f>ISNUMBER(_xlfn.XMATCH(CONTROL[[#This Row],[VEHIDCODE]],PROPERTIES[VEHIDCODE],0))</f>
        <v>1</v>
      </c>
      <c r="M20" t="b">
        <f>ISNUMBER(_xlfn.XMATCH(CONTROL[[#This Row],[VEHIDCODE]],#REF!,0))</f>
        <v>0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s="32" t="str">
        <f>"item_"&amp;CONTROL[[#This Row],[VEHIDCODE]]</f>
        <v>item_rbd_Germany_OHE_520_GDT</v>
      </c>
      <c r="Q20" s="32" t="str">
        <f>"str_"&amp;CONTROL[[#This Row],[VEHIDCODE]]</f>
        <v>str_rbd_Germany_OHE_520_GDT</v>
      </c>
    </row>
    <row r="21" spans="1:17">
      <c r="A21" s="2" t="s">
        <v>44</v>
      </c>
      <c r="B21" s="32" t="str">
        <f>_xlfn.TEXTAFTER(CONTROL[[#This Row],[VEHIDCODE]],"_")</f>
        <v>Netherlands_NS_20_Kameel</v>
      </c>
      <c r="C21" t="s">
        <v>719</v>
      </c>
      <c r="D21" t="s">
        <v>936</v>
      </c>
      <c r="E21">
        <v>2009</v>
      </c>
      <c r="F21" t="s">
        <v>1083</v>
      </c>
      <c r="G21" t="s">
        <v>2329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Row],[VEHIDCODE]],#REF!,0))</f>
        <v>0</v>
      </c>
      <c r="L21" t="b">
        <f>ISNUMBER(_xlfn.XMATCH(CONTROL[[#This Row],[VEHIDCODE]],PROPERTIES[VEHIDCODE],0))</f>
        <v>1</v>
      </c>
      <c r="M21" t="b">
        <f>ISNUMBER(_xlfn.XMATCH(CONTROL[[#This Row],[VEHIDCODE]],#REF!,0))</f>
        <v>0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s="32" t="str">
        <f>"item_"&amp;CONTROL[[#This Row],[VEHIDCODE]]</f>
        <v>item_rbd_Netherlands_NS_20_Kameel</v>
      </c>
      <c r="Q21" s="32" t="str">
        <f>"str_"&amp;CONTROL[[#This Row],[VEHIDCODE]]</f>
        <v>str_rbd_Netherlands_NS_20_Kameel</v>
      </c>
    </row>
    <row r="22" spans="1:17">
      <c r="A22" s="2" t="s">
        <v>45</v>
      </c>
      <c r="B22" s="32" t="str">
        <f>_xlfn.TEXTAFTER(CONTROL[[#This Row],[VEHIDCODE]],"_")</f>
        <v>Netherlands_NS_DH1</v>
      </c>
      <c r="C22" t="s">
        <v>719</v>
      </c>
      <c r="D22" t="s">
        <v>936</v>
      </c>
      <c r="E22">
        <v>2012</v>
      </c>
      <c r="F22" t="s">
        <v>1084</v>
      </c>
      <c r="G22" t="s">
        <v>2330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Row],[VEHIDCODE]],#REF!,0))</f>
        <v>0</v>
      </c>
      <c r="L22" t="b">
        <f>ISNUMBER(_xlfn.XMATCH(CONTROL[[#This Row],[VEHIDCODE]],PROPERTIES[VEHIDCODE],0))</f>
        <v>1</v>
      </c>
      <c r="M22" t="b">
        <f>ISNUMBER(_xlfn.XMATCH(CONTROL[[#This Row],[VEHIDCODE]],#REF!,0))</f>
        <v>0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s="32" t="str">
        <f>"item_"&amp;CONTROL[[#This Row],[VEHIDCODE]]</f>
        <v>item_rbd_Netherlands_NS_DH1</v>
      </c>
      <c r="Q22" s="32" t="str">
        <f>"str_"&amp;CONTROL[[#This Row],[VEHIDCODE]]</f>
        <v>str_rbd_Netherlands_NS_DH1</v>
      </c>
    </row>
    <row r="23" spans="1:17">
      <c r="A23" s="2" t="s">
        <v>46</v>
      </c>
      <c r="B23" s="32" t="str">
        <f>_xlfn.TEXTAFTER(CONTROL[[#This Row],[VEHIDCODE]],"_")</f>
        <v>Austria_OBB_5047</v>
      </c>
      <c r="C23" t="s">
        <v>719</v>
      </c>
      <c r="D23" t="s">
        <v>936</v>
      </c>
      <c r="E23">
        <v>2013</v>
      </c>
      <c r="F23" t="s">
        <v>2523</v>
      </c>
      <c r="G23" t="s">
        <v>2331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Row],[VEHIDCODE]],#REF!,0))</f>
        <v>0</v>
      </c>
      <c r="L23" t="b">
        <f>ISNUMBER(_xlfn.XMATCH(CONTROL[[#This Row],[VEHIDCODE]],PROPERTIES[VEHIDCODE],0))</f>
        <v>1</v>
      </c>
      <c r="M23" t="b">
        <f>ISNUMBER(_xlfn.XMATCH(CONTROL[[#This Row],[VEHIDCODE]],#REF!,0))</f>
        <v>0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s="32" t="str">
        <f>"item_"&amp;CONTROL[[#This Row],[VEHIDCODE]]</f>
        <v>item_rbd_Austria_OBB_5047</v>
      </c>
      <c r="Q23" s="32" t="str">
        <f>"str_"&amp;CONTROL[[#This Row],[VEHIDCODE]]</f>
        <v>str_rbd_Austria_OBB_5047</v>
      </c>
    </row>
    <row r="24" spans="1:17">
      <c r="A24" s="2" t="s">
        <v>47</v>
      </c>
      <c r="B24" s="32" t="str">
        <f>_xlfn.TEXTAFTER(CONTROL[[#This Row],[VEHIDCODE]],"_")</f>
        <v>United_Kingdom_BR_153_Super_Sprinter</v>
      </c>
      <c r="C24" t="s">
        <v>719</v>
      </c>
      <c r="D24" t="s">
        <v>936</v>
      </c>
      <c r="E24">
        <v>2014</v>
      </c>
      <c r="F24" t="s">
        <v>1085</v>
      </c>
      <c r="G24" t="s">
        <v>2332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Row],[VEHIDCODE]],#REF!,0))</f>
        <v>0</v>
      </c>
      <c r="L24" t="b">
        <f>ISNUMBER(_xlfn.XMATCH(CONTROL[[#This Row],[VEHIDCODE]],PROPERTIES[VEHIDCODE],0))</f>
        <v>1</v>
      </c>
      <c r="M24" t="b">
        <f>ISNUMBER(_xlfn.XMATCH(CONTROL[[#This Row],[VEHIDCODE]],#REF!,0))</f>
        <v>0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s="32" t="str">
        <f>"item_"&amp;CONTROL[[#This Row],[VEHIDCODE]]</f>
        <v>item_rbd_United_Kingdom_BR_153_Super_Sprinter</v>
      </c>
      <c r="Q24" s="32" t="str">
        <f>"str_"&amp;CONTROL[[#This Row],[VEHIDCODE]]</f>
        <v>str_rbd_United_Kingdom_BR_153_Super_Sprinter</v>
      </c>
    </row>
    <row r="25" spans="1:17">
      <c r="A25" s="2" t="s">
        <v>48</v>
      </c>
      <c r="B25" s="32" t="str">
        <f>_xlfn.TEXTAFTER(CONTROL[[#This Row],[VEHIDCODE]],"_")</f>
        <v>Czech_Republic_CD_809</v>
      </c>
      <c r="C25" t="s">
        <v>719</v>
      </c>
      <c r="D25" t="s">
        <v>936</v>
      </c>
      <c r="E25">
        <v>2015</v>
      </c>
      <c r="F25" t="s">
        <v>2814</v>
      </c>
      <c r="G25" t="s">
        <v>2333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Row],[VEHIDCODE]],#REF!,0))</f>
        <v>0</v>
      </c>
      <c r="L25" t="b">
        <f>ISNUMBER(_xlfn.XMATCH(CONTROL[[#This Row],[VEHIDCODE]],PROPERTIES[VEHIDCODE],0))</f>
        <v>1</v>
      </c>
      <c r="M25" t="b">
        <f>ISNUMBER(_xlfn.XMATCH(CONTROL[[#This Row],[VEHIDCODE]],#REF!,0))</f>
        <v>0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s="32" t="str">
        <f>"item_"&amp;CONTROL[[#This Row],[VEHIDCODE]]</f>
        <v>item_rbd_Czech_Republic_CD_809</v>
      </c>
      <c r="Q25" s="32" t="str">
        <f>"str_"&amp;CONTROL[[#This Row],[VEHIDCODE]]</f>
        <v>str_rbd_Czech_Republic_CD_809</v>
      </c>
    </row>
    <row r="26" spans="1:17">
      <c r="A26" s="2" t="s">
        <v>49</v>
      </c>
      <c r="B26" s="32" t="str">
        <f>_xlfn.TEXTAFTER(CONTROL[[#This Row],[VEHIDCODE]],"_")</f>
        <v>Germany_DB_670</v>
      </c>
      <c r="C26" t="s">
        <v>719</v>
      </c>
      <c r="D26" t="s">
        <v>936</v>
      </c>
      <c r="E26">
        <v>2017</v>
      </c>
      <c r="F26" t="s">
        <v>1086</v>
      </c>
      <c r="G26" t="s">
        <v>2334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Row],[VEHIDCODE]],#REF!,0))</f>
        <v>0</v>
      </c>
      <c r="L26" t="b">
        <f>ISNUMBER(_xlfn.XMATCH(CONTROL[[#This Row],[VEHIDCODE]],PROPERTIES[VEHIDCODE],0))</f>
        <v>1</v>
      </c>
      <c r="M26" t="b">
        <f>ISNUMBER(_xlfn.XMATCH(CONTROL[[#This Row],[VEHIDCODE]],#REF!,0))</f>
        <v>0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s="32" t="str">
        <f>"item_"&amp;CONTROL[[#This Row],[VEHIDCODE]]</f>
        <v>item_rbd_Germany_DB_670</v>
      </c>
      <c r="Q26" s="32" t="str">
        <f>"str_"&amp;CONTROL[[#This Row],[VEHIDCODE]]</f>
        <v>str_rbd_Germany_DB_670</v>
      </c>
    </row>
    <row r="27" spans="1:17">
      <c r="A27" s="2" t="s">
        <v>50</v>
      </c>
      <c r="B27" s="32" t="str">
        <f>_xlfn.TEXTAFTER(CONTROL[[#This Row],[VEHIDCODE]],"_")</f>
        <v>Lithuania_Lithuanian_Railways_AR2</v>
      </c>
      <c r="C27" t="s">
        <v>719</v>
      </c>
      <c r="D27" t="s">
        <v>936</v>
      </c>
      <c r="E27">
        <v>2018</v>
      </c>
      <c r="F27" t="s">
        <v>1087</v>
      </c>
      <c r="G27" t="s">
        <v>2335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Row],[VEHIDCODE]],#REF!,0))</f>
        <v>0</v>
      </c>
      <c r="L27" t="b">
        <f>ISNUMBER(_xlfn.XMATCH(CONTROL[[#This Row],[VEHIDCODE]],PROPERTIES[VEHIDCODE],0))</f>
        <v>1</v>
      </c>
      <c r="M27" t="b">
        <f>ISNUMBER(_xlfn.XMATCH(CONTROL[[#This Row],[VEHIDCODE]],#REF!,0))</f>
        <v>0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s="32" t="str">
        <f>"item_"&amp;CONTROL[[#This Row],[VEHIDCODE]]</f>
        <v>item_rbd_Lithuania_Lithuanian_Railways_AR2</v>
      </c>
      <c r="Q27" s="32" t="str">
        <f>"str_"&amp;CONTROL[[#This Row],[VEHIDCODE]]</f>
        <v>str_rbd_Lithuania_Lithuanian_Railways_AR2</v>
      </c>
    </row>
    <row r="28" spans="1:17">
      <c r="A28" s="2" t="s">
        <v>51</v>
      </c>
      <c r="B28" s="32" t="str">
        <f>_xlfn.TEXTAFTER(CONTROL[[#This Row],[VEHIDCODE]],"_")</f>
        <v>Austria_kkStB_19</v>
      </c>
      <c r="C28" t="s">
        <v>719</v>
      </c>
      <c r="D28" t="s">
        <v>936</v>
      </c>
      <c r="E28">
        <v>2019</v>
      </c>
      <c r="F28" t="s">
        <v>2336</v>
      </c>
      <c r="G28" t="s">
        <v>2337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Row],[VEHIDCODE]],#REF!,0))</f>
        <v>0</v>
      </c>
      <c r="L28" t="b">
        <f>ISNUMBER(_xlfn.XMATCH(CONTROL[[#This Row],[VEHIDCODE]],PROPERTIES[VEHIDCODE],0))</f>
        <v>1</v>
      </c>
      <c r="M28" t="b">
        <f>ISNUMBER(_xlfn.XMATCH(CONTROL[[#This Row],[VEHIDCODE]],#REF!,0))</f>
        <v>0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s="32" t="str">
        <f>"item_"&amp;CONTROL[[#This Row],[VEHIDCODE]]</f>
        <v>item_rbd_Austria_kkStB_19</v>
      </c>
      <c r="Q28" s="32" t="str">
        <f>"str_"&amp;CONTROL[[#This Row],[VEHIDCODE]]</f>
        <v>str_rbd_Austria_kkStB_19</v>
      </c>
    </row>
    <row r="29" spans="1:17">
      <c r="A29" s="2" t="s">
        <v>52</v>
      </c>
      <c r="B29" s="32" t="str">
        <f>_xlfn.TEXTAFTER(CONTROL[[#This Row],[VEHIDCODE]],"_")</f>
        <v>USA_Virginia_Truckee_Motor_Car_22</v>
      </c>
      <c r="C29" t="s">
        <v>719</v>
      </c>
      <c r="D29" t="s">
        <v>936</v>
      </c>
      <c r="E29">
        <v>2020</v>
      </c>
      <c r="F29" t="s">
        <v>1088</v>
      </c>
      <c r="G29" t="s">
        <v>2338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Row],[VEHIDCODE]],#REF!,0))</f>
        <v>0</v>
      </c>
      <c r="L29" t="b">
        <f>ISNUMBER(_xlfn.XMATCH(CONTROL[[#This Row],[VEHIDCODE]],PROPERTIES[VEHIDCODE],0))</f>
        <v>1</v>
      </c>
      <c r="M29" t="b">
        <f>ISNUMBER(_xlfn.XMATCH(CONTROL[[#This Row],[VEHIDCODE]],#REF!,0))</f>
        <v>0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s="32" t="str">
        <f>"item_"&amp;CONTROL[[#This Row],[VEHIDCODE]]</f>
        <v>item_rbd_USA_Virginia_Truckee_Motor_Car_22</v>
      </c>
      <c r="Q29" s="32" t="str">
        <f>"str_"&amp;CONTROL[[#This Row],[VEHIDCODE]]</f>
        <v>str_rbd_USA_Virginia_Truckee_Motor_Car_22</v>
      </c>
    </row>
    <row r="30" spans="1:17">
      <c r="A30" s="2" t="s">
        <v>53</v>
      </c>
      <c r="B30" s="32" t="str">
        <f>_xlfn.TEXTAFTER(CONTROL[[#This Row],[VEHIDCODE]],"_")</f>
        <v>Germany_Saxon_DET_1_2</v>
      </c>
      <c r="C30" t="s">
        <v>719</v>
      </c>
      <c r="D30" t="s">
        <v>936</v>
      </c>
      <c r="E30">
        <v>2021</v>
      </c>
      <c r="F30" t="s">
        <v>2340</v>
      </c>
      <c r="G30" t="s">
        <v>2339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Row],[VEHIDCODE]],#REF!,0))</f>
        <v>0</v>
      </c>
      <c r="L30" t="b">
        <f>ISNUMBER(_xlfn.XMATCH(CONTROL[[#This Row],[VEHIDCODE]],PROPERTIES[VEHIDCODE],0))</f>
        <v>1</v>
      </c>
      <c r="M30" t="b">
        <f>ISNUMBER(_xlfn.XMATCH(CONTROL[[#This Row],[VEHIDCODE]],#REF!,0))</f>
        <v>0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s="32" t="str">
        <f>"item_"&amp;CONTROL[[#This Row],[VEHIDCODE]]</f>
        <v>item_rbd_Germany_Saxon_DET_1_2</v>
      </c>
      <c r="Q30" s="32" t="str">
        <f>"str_"&amp;CONTROL[[#This Row],[VEHIDCODE]]</f>
        <v>str_rbd_Germany_Saxon_DET_1_2</v>
      </c>
    </row>
    <row r="31" spans="1:17">
      <c r="A31" s="2" t="s">
        <v>54</v>
      </c>
      <c r="B31" s="32" t="str">
        <f>_xlfn.TEXTAFTER(CONTROL[[#This Row],[VEHIDCODE]],"_")</f>
        <v>UK_WC_PR_Drewry_Railcar</v>
      </c>
      <c r="C31" t="s">
        <v>719</v>
      </c>
      <c r="D31" t="s">
        <v>936</v>
      </c>
      <c r="E31">
        <v>2022</v>
      </c>
      <c r="F31" t="s">
        <v>1089</v>
      </c>
      <c r="G31" t="s">
        <v>2341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Row],[VEHIDCODE]],#REF!,0))</f>
        <v>0</v>
      </c>
      <c r="L31" t="b">
        <f>ISNUMBER(_xlfn.XMATCH(CONTROL[[#This Row],[VEHIDCODE]],PROPERTIES[VEHIDCODE],0))</f>
        <v>1</v>
      </c>
      <c r="M31" t="b">
        <f>ISNUMBER(_xlfn.XMATCH(CONTROL[[#This Row],[VEHIDCODE]],#REF!,0))</f>
        <v>0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s="32" t="str">
        <f>"item_"&amp;CONTROL[[#This Row],[VEHIDCODE]]</f>
        <v>item_rbd_UK_WC_PR_Drewry_Railcar</v>
      </c>
      <c r="Q31" s="32" t="str">
        <f>"str_"&amp;CONTROL[[#This Row],[VEHIDCODE]]</f>
        <v>str_rbd_UK_WC_PR_Drewry_Railcar</v>
      </c>
    </row>
    <row r="32" spans="1:17">
      <c r="A32" s="2" t="s">
        <v>55</v>
      </c>
      <c r="B32" s="32" t="str">
        <f>_xlfn.TEXTAFTER(CONTROL[[#This Row],[VEHIDCODE]],"_")</f>
        <v>Germany_BSt_6001</v>
      </c>
      <c r="C32" t="s">
        <v>719</v>
      </c>
      <c r="D32" t="s">
        <v>936</v>
      </c>
      <c r="E32">
        <v>2023</v>
      </c>
      <c r="F32" t="s">
        <v>1090</v>
      </c>
      <c r="G32" t="s">
        <v>2342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Row],[VEHIDCODE]],#REF!,0))</f>
        <v>0</v>
      </c>
      <c r="L32" t="b">
        <f>ISNUMBER(_xlfn.XMATCH(CONTROL[[#This Row],[VEHIDCODE]],PROPERTIES[VEHIDCODE],0))</f>
        <v>1</v>
      </c>
      <c r="M32" t="b">
        <f>ISNUMBER(_xlfn.XMATCH(CONTROL[[#This Row],[VEHIDCODE]],#REF!,0))</f>
        <v>0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s="32" t="str">
        <f>"item_"&amp;CONTROL[[#This Row],[VEHIDCODE]]</f>
        <v>item_rbd_Germany_BSt_6001</v>
      </c>
      <c r="Q32" s="32" t="str">
        <f>"str_"&amp;CONTROL[[#This Row],[VEHIDCODE]]</f>
        <v>str_rbd_Germany_BSt_6001</v>
      </c>
    </row>
    <row r="33" spans="1:17">
      <c r="A33" s="2" t="s">
        <v>56</v>
      </c>
      <c r="B33" s="32" t="str">
        <f>_xlfn.TEXTAFTER(CONTROL[[#This Row],[VEHIDCODE]],"_")</f>
        <v>Australia_Victorian_Railways_DERM</v>
      </c>
      <c r="C33" t="s">
        <v>719</v>
      </c>
      <c r="D33" t="s">
        <v>936</v>
      </c>
      <c r="E33">
        <v>2024</v>
      </c>
      <c r="F33" t="s">
        <v>1091</v>
      </c>
      <c r="G33" t="s">
        <v>2343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Row],[VEHIDCODE]],#REF!,0))</f>
        <v>0</v>
      </c>
      <c r="L33" t="b">
        <f>ISNUMBER(_xlfn.XMATCH(CONTROL[[#This Row],[VEHIDCODE]],PROPERTIES[VEHIDCODE],0))</f>
        <v>1</v>
      </c>
      <c r="M33" t="b">
        <f>ISNUMBER(_xlfn.XMATCH(CONTROL[[#This Row],[VEHIDCODE]],#REF!,0))</f>
        <v>0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s="32" t="str">
        <f>"item_"&amp;CONTROL[[#This Row],[VEHIDCODE]]</f>
        <v>item_rbd_Australia_Victorian_Railways_DERM</v>
      </c>
      <c r="Q33" s="32" t="str">
        <f>"str_"&amp;CONTROL[[#This Row],[VEHIDCODE]]</f>
        <v>str_rbd_Australia_Victorian_Railways_DERM</v>
      </c>
    </row>
    <row r="34" spans="1:17">
      <c r="A34" s="2" t="s">
        <v>57</v>
      </c>
      <c r="B34" s="32" t="str">
        <f>_xlfn.TEXTAFTER(CONTROL[[#This Row],[VEHIDCODE]],"_")</f>
        <v>Czech_Republic_CD_M120</v>
      </c>
      <c r="C34" t="s">
        <v>719</v>
      </c>
      <c r="D34" t="s">
        <v>936</v>
      </c>
      <c r="E34">
        <v>2025</v>
      </c>
      <c r="F34" t="s">
        <v>2344</v>
      </c>
      <c r="G34" t="s">
        <v>2345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Row],[VEHIDCODE]],#REF!,0))</f>
        <v>0</v>
      </c>
      <c r="L34" t="b">
        <f>ISNUMBER(_xlfn.XMATCH(CONTROL[[#This Row],[VEHIDCODE]],PROPERTIES[VEHIDCODE],0))</f>
        <v>1</v>
      </c>
      <c r="M34" t="b">
        <f>ISNUMBER(_xlfn.XMATCH(CONTROL[[#This Row],[VEHIDCODE]],#REF!,0))</f>
        <v>0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s="32" t="str">
        <f>"item_"&amp;CONTROL[[#This Row],[VEHIDCODE]]</f>
        <v>item_rbd_Czech_Republic_CD_M120</v>
      </c>
      <c r="Q34" s="32" t="str">
        <f>"str_"&amp;CONTROL[[#This Row],[VEHIDCODE]]</f>
        <v>str_rbd_Czech_Republic_CD_M120</v>
      </c>
    </row>
    <row r="35" spans="1:17">
      <c r="A35" s="2" t="s">
        <v>58</v>
      </c>
      <c r="B35" s="32" t="str">
        <f>_xlfn.TEXTAFTER(CONTROL[[#This Row],[VEHIDCODE]],"_")</f>
        <v>Germany_Schienenzeppelin</v>
      </c>
      <c r="C35" t="s">
        <v>719</v>
      </c>
      <c r="D35" t="s">
        <v>936</v>
      </c>
      <c r="E35">
        <v>2026</v>
      </c>
      <c r="F35" t="s">
        <v>1092</v>
      </c>
      <c r="G35" t="s">
        <v>2346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Row],[VEHIDCODE]],#REF!,0))</f>
        <v>0</v>
      </c>
      <c r="L35" t="b">
        <f>ISNUMBER(_xlfn.XMATCH(CONTROL[[#This Row],[VEHIDCODE]],PROPERTIES[VEHIDCODE],0))</f>
        <v>1</v>
      </c>
      <c r="M35" t="b">
        <f>ISNUMBER(_xlfn.XMATCH(CONTROL[[#This Row],[VEHIDCODE]],#REF!,0))</f>
        <v>0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s="32" t="str">
        <f>"item_"&amp;CONTROL[[#This Row],[VEHIDCODE]]</f>
        <v>item_rbd_Germany_Schienenzeppelin</v>
      </c>
      <c r="Q35" s="32" t="str">
        <f>"str_"&amp;CONTROL[[#This Row],[VEHIDCODE]]</f>
        <v>str_rbd_Germany_Schienenzeppelin</v>
      </c>
    </row>
    <row r="36" spans="1:17">
      <c r="A36" s="2" t="s">
        <v>59</v>
      </c>
      <c r="B36" s="32" t="str">
        <f>_xlfn.TEXTAFTER(CONTROL[[#This Row],[VEHIDCODE]],"_")</f>
        <v>Denmark_DSB_MO</v>
      </c>
      <c r="C36" t="s">
        <v>719</v>
      </c>
      <c r="D36" t="s">
        <v>936</v>
      </c>
      <c r="E36">
        <v>2027</v>
      </c>
      <c r="F36" t="s">
        <v>2349</v>
      </c>
      <c r="G36" t="s">
        <v>2348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Row],[VEHIDCODE]],#REF!,0))</f>
        <v>0</v>
      </c>
      <c r="L36" t="b">
        <f>ISNUMBER(_xlfn.XMATCH(CONTROL[[#This Row],[VEHIDCODE]],PROPERTIES[VEHIDCODE],0))</f>
        <v>1</v>
      </c>
      <c r="M36" t="b">
        <f>ISNUMBER(_xlfn.XMATCH(CONTROL[[#This Row],[VEHIDCODE]],#REF!,0))</f>
        <v>0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s="32" t="str">
        <f>"item_"&amp;CONTROL[[#This Row],[VEHIDCODE]]</f>
        <v>item_rbd_Denmark_DSB_MO</v>
      </c>
      <c r="Q36" s="32" t="str">
        <f>"str_"&amp;CONTROL[[#This Row],[VEHIDCODE]]</f>
        <v>str_rbd_Denmark_DSB_MO</v>
      </c>
    </row>
    <row r="37" spans="1:17">
      <c r="A37" s="2" t="s">
        <v>60</v>
      </c>
      <c r="B37" s="32" t="str">
        <f>_xlfn.TEXTAFTER(CONTROL[[#This Row],[VEHIDCODE]],"_")</f>
        <v>Norway_NSB_Cmb_17</v>
      </c>
      <c r="C37" t="s">
        <v>719</v>
      </c>
      <c r="D37" t="s">
        <v>936</v>
      </c>
      <c r="E37">
        <v>2028</v>
      </c>
      <c r="F37" t="s">
        <v>1093</v>
      </c>
      <c r="G37" t="s">
        <v>2347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Row],[VEHIDCODE]],#REF!,0))</f>
        <v>0</v>
      </c>
      <c r="L37" t="b">
        <f>ISNUMBER(_xlfn.XMATCH(CONTROL[[#This Row],[VEHIDCODE]],PROPERTIES[VEHIDCODE],0))</f>
        <v>1</v>
      </c>
      <c r="M37" t="b">
        <f>ISNUMBER(_xlfn.XMATCH(CONTROL[[#This Row],[VEHIDCODE]],#REF!,0))</f>
        <v>0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s="32" t="str">
        <f>"item_"&amp;CONTROL[[#This Row],[VEHIDCODE]]</f>
        <v>item_rbd_Norway_NSB_Cmb_17</v>
      </c>
      <c r="Q37" s="32" t="str">
        <f>"str_"&amp;CONTROL[[#This Row],[VEHIDCODE]]</f>
        <v>str_rbd_Norway_NSB_Cmb_17</v>
      </c>
    </row>
    <row r="38" spans="1:17">
      <c r="A38" s="2" t="s">
        <v>61</v>
      </c>
      <c r="B38" s="32" t="str">
        <f>_xlfn.TEXTAFTER(CONTROL[[#This Row],[VEHIDCODE]],"_")</f>
        <v>Czech_Republic_CD_M290</v>
      </c>
      <c r="C38" t="s">
        <v>719</v>
      </c>
      <c r="D38" t="s">
        <v>936</v>
      </c>
      <c r="E38">
        <v>2029</v>
      </c>
      <c r="F38" t="s">
        <v>2815</v>
      </c>
      <c r="G38" t="s">
        <v>2350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Row],[VEHIDCODE]],#REF!,0))</f>
        <v>0</v>
      </c>
      <c r="L38" t="b">
        <f>ISNUMBER(_xlfn.XMATCH(CONTROL[[#This Row],[VEHIDCODE]],PROPERTIES[VEHIDCODE],0))</f>
        <v>1</v>
      </c>
      <c r="M38" t="b">
        <f>ISNUMBER(_xlfn.XMATCH(CONTROL[[#This Row],[VEHIDCODE]],#REF!,0))</f>
        <v>0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s="32" t="str">
        <f>"item_"&amp;CONTROL[[#This Row],[VEHIDCODE]]</f>
        <v>item_rbd_Czech_Republic_CD_M290</v>
      </c>
      <c r="Q38" s="32" t="str">
        <f>"str_"&amp;CONTROL[[#This Row],[VEHIDCODE]]</f>
        <v>str_rbd_Czech_Republic_CD_M290</v>
      </c>
    </row>
    <row r="39" spans="1:17">
      <c r="A39" s="2" t="s">
        <v>62</v>
      </c>
      <c r="B39" s="32" t="str">
        <f>_xlfn.TEXTAFTER(CONTROL[[#This Row],[VEHIDCODE]],"_")</f>
        <v>Netherlands_NS_omBC</v>
      </c>
      <c r="C39" t="s">
        <v>719</v>
      </c>
      <c r="D39" t="s">
        <v>936</v>
      </c>
      <c r="E39">
        <v>2030</v>
      </c>
      <c r="F39" t="s">
        <v>2352</v>
      </c>
      <c r="G39" t="s">
        <v>2351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Row],[VEHIDCODE]],#REF!,0))</f>
        <v>0</v>
      </c>
      <c r="L39" t="b">
        <f>ISNUMBER(_xlfn.XMATCH(CONTROL[[#This Row],[VEHIDCODE]],PROPERTIES[VEHIDCODE],0))</f>
        <v>1</v>
      </c>
      <c r="M39" t="b">
        <f>ISNUMBER(_xlfn.XMATCH(CONTROL[[#This Row],[VEHIDCODE]],#REF!,0))</f>
        <v>0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s="32" t="str">
        <f>"item_"&amp;CONTROL[[#This Row],[VEHIDCODE]]</f>
        <v>item_rbd_Netherlands_NS_omBC</v>
      </c>
      <c r="Q39" s="32" t="str">
        <f>"str_"&amp;CONTROL[[#This Row],[VEHIDCODE]]</f>
        <v>str_rbd_Netherlands_NS_omBC</v>
      </c>
    </row>
    <row r="40" spans="1:17">
      <c r="A40" s="2" t="s">
        <v>63</v>
      </c>
      <c r="B40" s="32" t="str">
        <f>_xlfn.TEXTAFTER(CONTROL[[#This Row],[VEHIDCODE]],"_")</f>
        <v>Australia_NSWGR_Class_400</v>
      </c>
      <c r="C40" t="s">
        <v>719</v>
      </c>
      <c r="D40" t="s">
        <v>936</v>
      </c>
      <c r="E40">
        <v>2031</v>
      </c>
      <c r="F40" t="s">
        <v>1094</v>
      </c>
      <c r="G40" t="s">
        <v>2353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Row],[VEHIDCODE]],#REF!,0))</f>
        <v>0</v>
      </c>
      <c r="L40" t="b">
        <f>ISNUMBER(_xlfn.XMATCH(CONTROL[[#This Row],[VEHIDCODE]],PROPERTIES[VEHIDCODE],0))</f>
        <v>1</v>
      </c>
      <c r="M40" t="b">
        <f>ISNUMBER(_xlfn.XMATCH(CONTROL[[#This Row],[VEHIDCODE]],#REF!,0))</f>
        <v>0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s="32" t="str">
        <f>"item_"&amp;CONTROL[[#This Row],[VEHIDCODE]]</f>
        <v>item_rbd_Australia_NSWGR_Class_400</v>
      </c>
      <c r="Q40" s="32" t="str">
        <f>"str_"&amp;CONTROL[[#This Row],[VEHIDCODE]]</f>
        <v>str_rbd_Australia_NSWGR_Class_400</v>
      </c>
    </row>
    <row r="41" spans="1:17">
      <c r="A41" s="2" t="s">
        <v>64</v>
      </c>
      <c r="B41" s="32" t="str">
        <f>_xlfn.TEXTAFTER(CONTROL[[#This Row],[VEHIDCODE]],"_")</f>
        <v>Portugal_CP_USD_9050</v>
      </c>
      <c r="C41" t="s">
        <v>719</v>
      </c>
      <c r="D41" t="s">
        <v>936</v>
      </c>
      <c r="E41">
        <v>2032</v>
      </c>
      <c r="F41" t="s">
        <v>1095</v>
      </c>
      <c r="G41" t="s">
        <v>2354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Row],[VEHIDCODE]],#REF!,0))</f>
        <v>0</v>
      </c>
      <c r="L41" t="b">
        <f>ISNUMBER(_xlfn.XMATCH(CONTROL[[#This Row],[VEHIDCODE]],PROPERTIES[VEHIDCODE],0))</f>
        <v>1</v>
      </c>
      <c r="M41" t="b">
        <f>ISNUMBER(_xlfn.XMATCH(CONTROL[[#This Row],[VEHIDCODE]],#REF!,0))</f>
        <v>0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s="32" t="str">
        <f>"item_"&amp;CONTROL[[#This Row],[VEHIDCODE]]</f>
        <v>item_rbd_Portugal_CP_USD_9050</v>
      </c>
      <c r="Q41" s="32" t="str">
        <f>"str_"&amp;CONTROL[[#This Row],[VEHIDCODE]]</f>
        <v>str_rbd_Portugal_CP_USD_9050</v>
      </c>
    </row>
    <row r="42" spans="1:17">
      <c r="A42" s="2" t="s">
        <v>65</v>
      </c>
      <c r="B42" s="32" t="str">
        <f>_xlfn.TEXTAFTER(CONTROL[[#This Row],[VEHIDCODE]],"_")</f>
        <v>Belgium_SNCB_Class_42</v>
      </c>
      <c r="C42" t="s">
        <v>719</v>
      </c>
      <c r="D42" t="s">
        <v>936</v>
      </c>
      <c r="E42">
        <v>2033</v>
      </c>
      <c r="F42" t="s">
        <v>2356</v>
      </c>
      <c r="G42" t="s">
        <v>2355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Row],[VEHIDCODE]],#REF!,0))</f>
        <v>0</v>
      </c>
      <c r="L42" t="b">
        <f>ISNUMBER(_xlfn.XMATCH(CONTROL[[#This Row],[VEHIDCODE]],PROPERTIES[VEHIDCODE],0))</f>
        <v>1</v>
      </c>
      <c r="M42" t="b">
        <f>ISNUMBER(_xlfn.XMATCH(CONTROL[[#This Row],[VEHIDCODE]],#REF!,0))</f>
        <v>0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s="32" t="str">
        <f>"item_"&amp;CONTROL[[#This Row],[VEHIDCODE]]</f>
        <v>item_rbd_Belgium_SNCB_Class_42</v>
      </c>
      <c r="Q42" s="32" t="str">
        <f>"str_"&amp;CONTROL[[#This Row],[VEHIDCODE]]</f>
        <v>str_rbd_Belgium_SNCB_Class_42</v>
      </c>
    </row>
    <row r="43" spans="1:17">
      <c r="A43" s="2" t="s">
        <v>66</v>
      </c>
      <c r="B43" s="32" t="str">
        <f>_xlfn.TEXTAFTER(CONTROL[[#This Row],[VEHIDCODE]],"_")</f>
        <v>Bulgaria_BDZ_19</v>
      </c>
      <c r="C43" t="s">
        <v>719</v>
      </c>
      <c r="D43" t="s">
        <v>936</v>
      </c>
      <c r="E43">
        <v>2034</v>
      </c>
      <c r="F43" t="s">
        <v>2358</v>
      </c>
      <c r="G43" t="s">
        <v>2357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Row],[VEHIDCODE]],#REF!,0))</f>
        <v>0</v>
      </c>
      <c r="L43" t="b">
        <f>ISNUMBER(_xlfn.XMATCH(CONTROL[[#This Row],[VEHIDCODE]],PROPERTIES[VEHIDCODE],0))</f>
        <v>1</v>
      </c>
      <c r="M43" t="b">
        <f>ISNUMBER(_xlfn.XMATCH(CONTROL[[#This Row],[VEHIDCODE]],#REF!,0))</f>
        <v>0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s="32" t="str">
        <f>"item_"&amp;CONTROL[[#This Row],[VEHIDCODE]]</f>
        <v>item_rbd_Bulgaria_BDZ_19</v>
      </c>
      <c r="Q43" s="32" t="str">
        <f>"str_"&amp;CONTROL[[#This Row],[VEHIDCODE]]</f>
        <v>str_rbd_Bulgaria_BDZ_19</v>
      </c>
    </row>
    <row r="44" spans="1:17">
      <c r="A44" s="2" t="s">
        <v>67</v>
      </c>
      <c r="B44" s="32" t="str">
        <f>_xlfn.TEXTAFTER(CONTROL[[#This Row],[VEHIDCODE]],"_")</f>
        <v>Greece_OSE_AA71</v>
      </c>
      <c r="C44" t="s">
        <v>719</v>
      </c>
      <c r="D44" t="s">
        <v>936</v>
      </c>
      <c r="E44">
        <v>2035</v>
      </c>
      <c r="F44" t="s">
        <v>1096</v>
      </c>
      <c r="G44" t="s">
        <v>2359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Row],[VEHIDCODE]],#REF!,0))</f>
        <v>0</v>
      </c>
      <c r="L44" t="b">
        <f>ISNUMBER(_xlfn.XMATCH(CONTROL[[#This Row],[VEHIDCODE]],PROPERTIES[VEHIDCODE],0))</f>
        <v>1</v>
      </c>
      <c r="M44" t="b">
        <f>ISNUMBER(_xlfn.XMATCH(CONTROL[[#This Row],[VEHIDCODE]],#REF!,0))</f>
        <v>0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s="32" t="str">
        <f>"item_"&amp;CONTROL[[#This Row],[VEHIDCODE]]</f>
        <v>item_rbd_Greece_OSE_AA71</v>
      </c>
      <c r="Q44" s="32" t="str">
        <f>"str_"&amp;CONTROL[[#This Row],[VEHIDCODE]]</f>
        <v>str_rbd_Greece_OSE_AA71</v>
      </c>
    </row>
    <row r="45" spans="1:17">
      <c r="A45" s="2" t="s">
        <v>68</v>
      </c>
      <c r="B45" s="32" t="str">
        <f>_xlfn.TEXTAFTER(CONTROL[[#This Row],[VEHIDCODE]],"_")</f>
        <v>Tunisia_SNCFT_Z431</v>
      </c>
      <c r="C45" t="s">
        <v>719</v>
      </c>
      <c r="D45" t="s">
        <v>936</v>
      </c>
      <c r="E45">
        <v>2036</v>
      </c>
      <c r="F45" t="s">
        <v>2360</v>
      </c>
      <c r="G45" t="s">
        <v>2361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Row],[VEHIDCODE]],#REF!,0))</f>
        <v>0</v>
      </c>
      <c r="L45" t="b">
        <f>ISNUMBER(_xlfn.XMATCH(CONTROL[[#This Row],[VEHIDCODE]],PROPERTIES[VEHIDCODE],0))</f>
        <v>1</v>
      </c>
      <c r="M45" t="b">
        <f>ISNUMBER(_xlfn.XMATCH(CONTROL[[#This Row],[VEHIDCODE]],#REF!,0))</f>
        <v>0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s="32" t="str">
        <f>"item_"&amp;CONTROL[[#This Row],[VEHIDCODE]]</f>
        <v>item_rbd_Tunisia_SNCFT_Z431</v>
      </c>
      <c r="Q45" s="32" t="str">
        <f>"str_"&amp;CONTROL[[#This Row],[VEHIDCODE]]</f>
        <v>str_rbd_Tunisia_SNCFT_Z431</v>
      </c>
    </row>
    <row r="46" spans="1:17">
      <c r="A46" s="2" t="s">
        <v>69</v>
      </c>
      <c r="B46" s="32" t="str">
        <f>_xlfn.TEXTAFTER(CONTROL[[#This Row],[VEHIDCODE]],"_")</f>
        <v>USA_Amtrak_SPV_200</v>
      </c>
      <c r="C46" t="s">
        <v>719</v>
      </c>
      <c r="D46" t="s">
        <v>936</v>
      </c>
      <c r="E46">
        <v>2037</v>
      </c>
      <c r="F46" t="s">
        <v>2362</v>
      </c>
      <c r="G46" t="s">
        <v>2363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Row],[VEHIDCODE]],#REF!,0))</f>
        <v>0</v>
      </c>
      <c r="L46" t="b">
        <f>ISNUMBER(_xlfn.XMATCH(CONTROL[[#This Row],[VEHIDCODE]],PROPERTIES[VEHIDCODE],0))</f>
        <v>1</v>
      </c>
      <c r="M46" t="b">
        <f>ISNUMBER(_xlfn.XMATCH(CONTROL[[#This Row],[VEHIDCODE]],#REF!,0))</f>
        <v>0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s="32" t="str">
        <f>"item_"&amp;CONTROL[[#This Row],[VEHIDCODE]]</f>
        <v>item_rbd_USA_Amtrak_SPV_200</v>
      </c>
      <c r="Q46" s="32" t="str">
        <f>"str_"&amp;CONTROL[[#This Row],[VEHIDCODE]]</f>
        <v>str_rbd_USA_Amtrak_SPV_200</v>
      </c>
    </row>
    <row r="47" spans="1:17">
      <c r="A47" s="2" t="s">
        <v>70</v>
      </c>
      <c r="B47" s="32" t="str">
        <f>_xlfn.TEXTAFTER(CONTROL[[#This Row],[VEHIDCODE]],"_")</f>
        <v>Finland_VR_Dm12</v>
      </c>
      <c r="C47" t="s">
        <v>719</v>
      </c>
      <c r="D47" t="s">
        <v>936</v>
      </c>
      <c r="E47">
        <v>2039</v>
      </c>
      <c r="F47" t="s">
        <v>1097</v>
      </c>
      <c r="G47" t="s">
        <v>2364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Row],[VEHIDCODE]],#REF!,0))</f>
        <v>0</v>
      </c>
      <c r="L47" t="b">
        <f>ISNUMBER(_xlfn.XMATCH(CONTROL[[#This Row],[VEHIDCODE]],PROPERTIES[VEHIDCODE],0))</f>
        <v>1</v>
      </c>
      <c r="M47" t="b">
        <f>ISNUMBER(_xlfn.XMATCH(CONTROL[[#This Row],[VEHIDCODE]],#REF!,0))</f>
        <v>0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s="32" t="str">
        <f>"item_"&amp;CONTROL[[#This Row],[VEHIDCODE]]</f>
        <v>item_rbd_Finland_VR_Dm12</v>
      </c>
      <c r="Q47" s="32" t="str">
        <f>"str_"&amp;CONTROL[[#This Row],[VEHIDCODE]]</f>
        <v>str_rbd_Finland_VR_Dm12</v>
      </c>
    </row>
    <row r="48" spans="1:17">
      <c r="A48" s="2" t="s">
        <v>71</v>
      </c>
      <c r="B48" s="32" t="str">
        <f>_xlfn.TEXTAFTER(CONTROL[[#This Row],[VEHIDCODE]],"_")</f>
        <v>Czech_Republic_CD_840</v>
      </c>
      <c r="C48" t="s">
        <v>719</v>
      </c>
      <c r="D48" t="s">
        <v>936</v>
      </c>
      <c r="E48">
        <v>2041</v>
      </c>
      <c r="F48" t="s">
        <v>2816</v>
      </c>
      <c r="G48" t="s">
        <v>2365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Row],[VEHIDCODE]],#REF!,0))</f>
        <v>0</v>
      </c>
      <c r="L48" t="b">
        <f>ISNUMBER(_xlfn.XMATCH(CONTROL[[#This Row],[VEHIDCODE]],PROPERTIES[VEHIDCODE],0))</f>
        <v>1</v>
      </c>
      <c r="M48" t="b">
        <f>ISNUMBER(_xlfn.XMATCH(CONTROL[[#This Row],[VEHIDCODE]],#REF!,0))</f>
        <v>0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s="32" t="str">
        <f>"item_"&amp;CONTROL[[#This Row],[VEHIDCODE]]</f>
        <v>item_rbd_Czech_Republic_CD_840</v>
      </c>
      <c r="Q48" s="32" t="str">
        <f>"str_"&amp;CONTROL[[#This Row],[VEHIDCODE]]</f>
        <v>str_rbd_Czech_Republic_CD_840</v>
      </c>
    </row>
    <row r="49" spans="1:17">
      <c r="A49" s="2" t="s">
        <v>72</v>
      </c>
      <c r="B49" s="32" t="str">
        <f>_xlfn.TEXTAFTER(CONTROL[[#This Row],[VEHIDCODE]],"_")</f>
        <v>Italy_FS_ALn_668</v>
      </c>
      <c r="C49" t="s">
        <v>719</v>
      </c>
      <c r="D49" t="s">
        <v>936</v>
      </c>
      <c r="E49">
        <v>2046</v>
      </c>
      <c r="F49" t="s">
        <v>2367</v>
      </c>
      <c r="G49" t="s">
        <v>2366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Row],[VEHIDCODE]],#REF!,0))</f>
        <v>0</v>
      </c>
      <c r="L49" t="b">
        <f>ISNUMBER(_xlfn.XMATCH(CONTROL[[#This Row],[VEHIDCODE]],PROPERTIES[VEHIDCODE],0))</f>
        <v>1</v>
      </c>
      <c r="M49" t="b">
        <f>ISNUMBER(_xlfn.XMATCH(CONTROL[[#This Row],[VEHIDCODE]],#REF!,0))</f>
        <v>0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s="32" t="str">
        <f>"item_"&amp;CONTROL[[#This Row],[VEHIDCODE]]</f>
        <v>item_rbd_Italy_FS_ALn_668</v>
      </c>
      <c r="Q49" s="32" t="str">
        <f>"str_"&amp;CONTROL[[#This Row],[VEHIDCODE]]</f>
        <v>str_rbd_Italy_FS_ALn_668</v>
      </c>
    </row>
    <row r="50" spans="1:17">
      <c r="A50" s="2" t="s">
        <v>73</v>
      </c>
      <c r="B50" s="32" t="str">
        <f>_xlfn.TEXTAFTER(CONTROL[[#This Row],[VEHIDCODE]],"_")</f>
        <v>Czech_Republic_CD_M400</v>
      </c>
      <c r="C50" t="s">
        <v>720</v>
      </c>
      <c r="D50" t="s">
        <v>937</v>
      </c>
      <c r="E50">
        <v>3005</v>
      </c>
      <c r="F50" t="s">
        <v>2817</v>
      </c>
      <c r="G50" t="s">
        <v>2368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Row],[VEHIDCODE]],#REF!,0))</f>
        <v>0</v>
      </c>
      <c r="L50" t="b">
        <f>ISNUMBER(_xlfn.XMATCH(CONTROL[[#This Row],[VEHIDCODE]],PROPERTIES[VEHIDCODE],0))</f>
        <v>1</v>
      </c>
      <c r="M50" t="b">
        <f>ISNUMBER(_xlfn.XMATCH(CONTROL[[#This Row],[VEHIDCODE]],#REF!,0))</f>
        <v>0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s="32" t="str">
        <f>"item_"&amp;CONTROL[[#This Row],[VEHIDCODE]]</f>
        <v>item_rbe_Czech_Republic_CD_M400</v>
      </c>
      <c r="Q50" s="32" t="str">
        <f>"str_"&amp;CONTROL[[#This Row],[VEHIDCODE]]</f>
        <v>str_rbe_Czech_Republic_CD_M400</v>
      </c>
    </row>
    <row r="51" spans="1:17">
      <c r="A51" s="2" t="s">
        <v>75</v>
      </c>
      <c r="B51" s="32" t="str">
        <f>_xlfn.TEXTAFTER(CONTROL[[#This Row],[VEHIDCODE]],"_")</f>
        <v>France_SNCF_Z_7100</v>
      </c>
      <c r="C51" t="s">
        <v>720</v>
      </c>
      <c r="D51" t="s">
        <v>937</v>
      </c>
      <c r="E51">
        <v>3012</v>
      </c>
      <c r="F51" t="s">
        <v>1098</v>
      </c>
      <c r="G51" t="s">
        <v>2369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Row],[VEHIDCODE]],#REF!,0))</f>
        <v>0</v>
      </c>
      <c r="L51" t="b">
        <f>ISNUMBER(_xlfn.XMATCH(CONTROL[[#This Row],[VEHIDCODE]],PROPERTIES[VEHIDCODE],0))</f>
        <v>1</v>
      </c>
      <c r="M51" t="b">
        <f>ISNUMBER(_xlfn.XMATCH(CONTROL[[#This Row],[VEHIDCODE]],#REF!,0))</f>
        <v>0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s="32" t="str">
        <f>"item_"&amp;CONTROL[[#This Row],[VEHIDCODE]]</f>
        <v>item_rbe_France_SNCF_Z_7100</v>
      </c>
      <c r="Q51" s="32" t="str">
        <f>"str_"&amp;CONTROL[[#This Row],[VEHIDCODE]]</f>
        <v>str_rbe_France_SNCF_Z_7100</v>
      </c>
    </row>
    <row r="52" spans="1:17">
      <c r="A52" s="2" t="s">
        <v>76</v>
      </c>
      <c r="B52" s="32" t="str">
        <f>_xlfn.TEXTAFTER(CONTROL[[#This Row],[VEHIDCODE]],"_")</f>
        <v>Germany_Buckower_Kleinbahn_Nr_1_3</v>
      </c>
      <c r="C52" t="s">
        <v>720</v>
      </c>
      <c r="D52" t="s">
        <v>937</v>
      </c>
      <c r="E52">
        <v>3021</v>
      </c>
      <c r="F52" t="s">
        <v>1099</v>
      </c>
      <c r="G52" t="s">
        <v>2370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Row],[VEHIDCODE]],#REF!,0))</f>
        <v>0</v>
      </c>
      <c r="L52" t="b">
        <f>ISNUMBER(_xlfn.XMATCH(CONTROL[[#This Row],[VEHIDCODE]],PROPERTIES[VEHIDCODE],0))</f>
        <v>1</v>
      </c>
      <c r="M52" t="b">
        <f>ISNUMBER(_xlfn.XMATCH(CONTROL[[#This Row],[VEHIDCODE]],#REF!,0))</f>
        <v>0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s="32" t="str">
        <f>"item_"&amp;CONTROL[[#This Row],[VEHIDCODE]]</f>
        <v>item_rbe_Germany_Buckower_Kleinbahn_Nr_1_3</v>
      </c>
      <c r="Q52" s="32" t="str">
        <f>"str_"&amp;CONTROL[[#This Row],[VEHIDCODE]]</f>
        <v>str_rbe_Germany_Buckower_Kleinbahn_Nr_1_3</v>
      </c>
    </row>
    <row r="53" spans="1:17">
      <c r="A53" s="2" t="s">
        <v>77</v>
      </c>
      <c r="B53" s="32" t="str">
        <f>_xlfn.TEXTAFTER(CONTROL[[#This Row],[VEHIDCODE]],"_")</f>
        <v>Germany_DB_4792</v>
      </c>
      <c r="C53" t="s">
        <v>720</v>
      </c>
      <c r="D53" t="s">
        <v>937</v>
      </c>
      <c r="E53">
        <v>3020</v>
      </c>
      <c r="F53" t="s">
        <v>2374</v>
      </c>
      <c r="G53" t="s">
        <v>2373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Row],[VEHIDCODE]],#REF!,0))</f>
        <v>0</v>
      </c>
      <c r="L53" t="b">
        <f>ISNUMBER(_xlfn.XMATCH(CONTROL[[#This Row],[VEHIDCODE]],PROPERTIES[VEHIDCODE],0))</f>
        <v>1</v>
      </c>
      <c r="M53" t="b">
        <f>ISNUMBER(_xlfn.XMATCH(CONTROL[[#This Row],[VEHIDCODE]],#REF!,0))</f>
        <v>0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s="32" t="str">
        <f>"item_"&amp;CONTROL[[#This Row],[VEHIDCODE]]</f>
        <v>item_rbe_Germany_DB_4792</v>
      </c>
      <c r="Q53" s="32" t="str">
        <f>"str_"&amp;CONTROL[[#This Row],[VEHIDCODE]]</f>
        <v>str_rbe_Germany_DB_4792</v>
      </c>
    </row>
    <row r="54" spans="1:17">
      <c r="A54" s="2" t="s">
        <v>78</v>
      </c>
      <c r="B54" s="32" t="str">
        <f>_xlfn.TEXTAFTER(CONTROL[[#This Row],[VEHIDCODE]],"_")</f>
        <v>Slovakia_ZSSK_490</v>
      </c>
      <c r="C54" t="s">
        <v>720</v>
      </c>
      <c r="D54" t="s">
        <v>937</v>
      </c>
      <c r="E54">
        <v>3008</v>
      </c>
      <c r="F54" t="s">
        <v>2372</v>
      </c>
      <c r="G54" t="s">
        <v>2371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Row],[VEHIDCODE]],#REF!,0))</f>
        <v>0</v>
      </c>
      <c r="L54" t="b">
        <f>ISNUMBER(_xlfn.XMATCH(CONTROL[[#This Row],[VEHIDCODE]],PROPERTIES[VEHIDCODE],0))</f>
        <v>1</v>
      </c>
      <c r="M54" t="b">
        <f>ISNUMBER(_xlfn.XMATCH(CONTROL[[#This Row],[VEHIDCODE]],#REF!,0))</f>
        <v>0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s="32" t="str">
        <f>"item_"&amp;CONTROL[[#This Row],[VEHIDCODE]]</f>
        <v>item_rbe_Slovakia_ZSSK_490</v>
      </c>
      <c r="Q54" s="32" t="str">
        <f>"str_"&amp;CONTROL[[#This Row],[VEHIDCODE]]</f>
        <v>str_rbe_Slovakia_ZSSK_490</v>
      </c>
    </row>
    <row r="55" spans="1:17">
      <c r="A55" s="2" t="s">
        <v>79</v>
      </c>
      <c r="B55" s="32" t="str">
        <f>_xlfn.TEXTAFTER(CONTROL[[#This Row],[VEHIDCODE]],"_")</f>
        <v>Italy_FS_ALe_840</v>
      </c>
      <c r="C55" t="s">
        <v>720</v>
      </c>
      <c r="D55" t="s">
        <v>937</v>
      </c>
      <c r="E55">
        <v>3004</v>
      </c>
      <c r="F55" t="s">
        <v>1100</v>
      </c>
      <c r="G55" t="s">
        <v>2375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Row],[VEHIDCODE]],#REF!,0))</f>
        <v>0</v>
      </c>
      <c r="L55" t="b">
        <f>ISNUMBER(_xlfn.XMATCH(CONTROL[[#This Row],[VEHIDCODE]],PROPERTIES[VEHIDCODE],0))</f>
        <v>1</v>
      </c>
      <c r="M55" t="b">
        <f>ISNUMBER(_xlfn.XMATCH(CONTROL[[#This Row],[VEHIDCODE]],#REF!,0))</f>
        <v>0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s="32" t="str">
        <f>"item_"&amp;CONTROL[[#This Row],[VEHIDCODE]]</f>
        <v>item_rbe_Italy_FS_ALe_840</v>
      </c>
      <c r="Q55" s="32" t="str">
        <f>"str_"&amp;CONTROL[[#This Row],[VEHIDCODE]]</f>
        <v>str_rbe_Italy_FS_ALe_840</v>
      </c>
    </row>
    <row r="56" spans="1:17">
      <c r="A56" s="2" t="s">
        <v>80</v>
      </c>
      <c r="B56" s="32" t="str">
        <f>_xlfn.TEXTAFTER(CONTROL[[#This Row],[VEHIDCODE]],"_")</f>
        <v>Italy_FG_ALe_80</v>
      </c>
      <c r="C56" t="s">
        <v>720</v>
      </c>
      <c r="D56" t="s">
        <v>937</v>
      </c>
      <c r="E56">
        <v>3014</v>
      </c>
      <c r="F56" t="s">
        <v>1101</v>
      </c>
      <c r="G56" t="s">
        <v>2376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Row],[VEHIDCODE]],#REF!,0))</f>
        <v>0</v>
      </c>
      <c r="L56" t="b">
        <f>ISNUMBER(_xlfn.XMATCH(CONTROL[[#This Row],[VEHIDCODE]],PROPERTIES[VEHIDCODE],0))</f>
        <v>1</v>
      </c>
      <c r="M56" t="b">
        <f>ISNUMBER(_xlfn.XMATCH(CONTROL[[#This Row],[VEHIDCODE]],#REF!,0))</f>
        <v>0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s="32" t="str">
        <f>"item_"&amp;CONTROL[[#This Row],[VEHIDCODE]]</f>
        <v>item_rbe_Italy_FG_ALe_80</v>
      </c>
      <c r="Q56" s="32" t="str">
        <f>"str_"&amp;CONTROL[[#This Row],[VEHIDCODE]]</f>
        <v>str_rbe_Italy_FG_ALe_80</v>
      </c>
    </row>
    <row r="57" spans="1:17">
      <c r="A57" s="2" t="s">
        <v>81</v>
      </c>
      <c r="B57" s="32" t="str">
        <f>_xlfn.TEXTAFTER(CONTROL[[#This Row],[VEHIDCODE]],"_")</f>
        <v>Italy_FS_E623</v>
      </c>
      <c r="C57" t="s">
        <v>720</v>
      </c>
      <c r="D57" t="s">
        <v>937</v>
      </c>
      <c r="E57">
        <v>3009</v>
      </c>
      <c r="F57" t="s">
        <v>1102</v>
      </c>
      <c r="G57" t="s">
        <v>2377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Row],[VEHIDCODE]],#REF!,0))</f>
        <v>0</v>
      </c>
      <c r="L57" t="b">
        <f>ISNUMBER(_xlfn.XMATCH(CONTROL[[#This Row],[VEHIDCODE]],PROPERTIES[VEHIDCODE],0))</f>
        <v>1</v>
      </c>
      <c r="M57" t="b">
        <f>ISNUMBER(_xlfn.XMATCH(CONTROL[[#This Row],[VEHIDCODE]],#REF!,0))</f>
        <v>0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s="32" t="str">
        <f>"item_"&amp;CONTROL[[#This Row],[VEHIDCODE]]</f>
        <v>item_rbe_Italy_FS_E623</v>
      </c>
      <c r="Q57" s="32" t="str">
        <f>"str_"&amp;CONTROL[[#This Row],[VEHIDCODE]]</f>
        <v>str_rbe_Italy_FS_E623</v>
      </c>
    </row>
    <row r="58" spans="1:17">
      <c r="A58" s="2" t="s">
        <v>82</v>
      </c>
      <c r="B58" s="32" t="str">
        <f>_xlfn.TEXTAFTER(CONTROL[[#This Row],[VEHIDCODE]],"_")</f>
        <v>Morocco_ONCFM_ZAB1000</v>
      </c>
      <c r="C58" t="s">
        <v>720</v>
      </c>
      <c r="D58" t="s">
        <v>937</v>
      </c>
      <c r="E58">
        <v>3001</v>
      </c>
      <c r="F58" t="s">
        <v>1786</v>
      </c>
      <c r="G58" t="s">
        <v>2378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Row],[VEHIDCODE]],#REF!,0))</f>
        <v>0</v>
      </c>
      <c r="L58" t="b">
        <f>ISNUMBER(_xlfn.XMATCH(CONTROL[[#This Row],[VEHIDCODE]],PROPERTIES[VEHIDCODE],0))</f>
        <v>1</v>
      </c>
      <c r="M58" t="b">
        <f>ISNUMBER(_xlfn.XMATCH(CONTROL[[#This Row],[VEHIDCODE]],#REF!,0))</f>
        <v>0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s="32" t="str">
        <f>"item_"&amp;CONTROL[[#This Row],[VEHIDCODE]]</f>
        <v>item_rbe_Morocco_ONCFM_ZAB1000</v>
      </c>
      <c r="Q58" s="32" t="str">
        <f>"str_"&amp;CONTROL[[#This Row],[VEHIDCODE]]</f>
        <v>str_rbe_Morocco_ONCFM_ZAB1000</v>
      </c>
    </row>
    <row r="59" spans="1:17">
      <c r="A59" s="2" t="s">
        <v>83</v>
      </c>
      <c r="B59" s="32" t="str">
        <f>_xlfn.TEXTAFTER(CONTROL[[#This Row],[VEHIDCODE]],"_")</f>
        <v>Poland_PKP_EN81</v>
      </c>
      <c r="C59" t="s">
        <v>720</v>
      </c>
      <c r="D59" t="s">
        <v>937</v>
      </c>
      <c r="E59">
        <v>3018</v>
      </c>
      <c r="F59" t="s">
        <v>1103</v>
      </c>
      <c r="G59" t="s">
        <v>2379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Row],[VEHIDCODE]],#REF!,0))</f>
        <v>0</v>
      </c>
      <c r="L59" t="b">
        <f>ISNUMBER(_xlfn.XMATCH(CONTROL[[#This Row],[VEHIDCODE]],PROPERTIES[VEHIDCODE],0))</f>
        <v>1</v>
      </c>
      <c r="M59" t="b">
        <f>ISNUMBER(_xlfn.XMATCH(CONTROL[[#This Row],[VEHIDCODE]],#REF!,0))</f>
        <v>0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s="32" t="str">
        <f>"item_"&amp;CONTROL[[#This Row],[VEHIDCODE]]</f>
        <v>item_rbe_Poland_PKP_EN81</v>
      </c>
      <c r="Q59" s="32" t="str">
        <f>"str_"&amp;CONTROL[[#This Row],[VEHIDCODE]]</f>
        <v>str_rbe_Poland_PKP_EN81</v>
      </c>
    </row>
    <row r="60" spans="1:17">
      <c r="A60" s="2" t="s">
        <v>84</v>
      </c>
      <c r="B60" s="32" t="str">
        <f>_xlfn.TEXTAFTER(CONTROL[[#This Row],[VEHIDCODE]],"_")</f>
        <v>Austria_OBB_4855</v>
      </c>
      <c r="C60" t="s">
        <v>720</v>
      </c>
      <c r="D60" t="s">
        <v>937</v>
      </c>
      <c r="E60">
        <v>3015</v>
      </c>
      <c r="F60" t="s">
        <v>2524</v>
      </c>
      <c r="G60" t="s">
        <v>2380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Row],[VEHIDCODE]],#REF!,0))</f>
        <v>0</v>
      </c>
      <c r="L60" t="b">
        <f>ISNUMBER(_xlfn.XMATCH(CONTROL[[#This Row],[VEHIDCODE]],PROPERTIES[VEHIDCODE],0))</f>
        <v>1</v>
      </c>
      <c r="M60" t="b">
        <f>ISNUMBER(_xlfn.XMATCH(CONTROL[[#This Row],[VEHIDCODE]],#REF!,0))</f>
        <v>0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s="32" t="str">
        <f>"item_"&amp;CONTROL[[#This Row],[VEHIDCODE]]</f>
        <v>item_rbe_Austria_OBB_4855</v>
      </c>
      <c r="Q60" s="32" t="str">
        <f>"str_"&amp;CONTROL[[#This Row],[VEHIDCODE]]</f>
        <v>str_rbe_Austria_OBB_4855</v>
      </c>
    </row>
    <row r="61" spans="1:17">
      <c r="A61" s="2" t="s">
        <v>85</v>
      </c>
      <c r="B61" s="32" t="str">
        <f>_xlfn.TEXTAFTER(CONTROL[[#This Row],[VEHIDCODE]],"_")</f>
        <v>Austria_MBS_ET_10109</v>
      </c>
      <c r="C61" t="s">
        <v>720</v>
      </c>
      <c r="D61" t="s">
        <v>937</v>
      </c>
      <c r="E61">
        <v>3017</v>
      </c>
      <c r="F61" t="s">
        <v>1104</v>
      </c>
      <c r="G61" t="s">
        <v>2381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Row],[VEHIDCODE]],#REF!,0))</f>
        <v>0</v>
      </c>
      <c r="L61" t="b">
        <f>ISNUMBER(_xlfn.XMATCH(CONTROL[[#This Row],[VEHIDCODE]],PROPERTIES[VEHIDCODE],0))</f>
        <v>1</v>
      </c>
      <c r="M61" t="b">
        <f>ISNUMBER(_xlfn.XMATCH(CONTROL[[#This Row],[VEHIDCODE]],#REF!,0))</f>
        <v>0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s="32" t="str">
        <f>"item_"&amp;CONTROL[[#This Row],[VEHIDCODE]]</f>
        <v>item_rbe_Austria_MBS_ET_10109</v>
      </c>
      <c r="Q61" s="32" t="str">
        <f>"str_"&amp;CONTROL[[#This Row],[VEHIDCODE]]</f>
        <v>str_rbe_Austria_MBS_ET_10109</v>
      </c>
    </row>
    <row r="62" spans="1:17">
      <c r="A62" s="2" t="s">
        <v>86</v>
      </c>
      <c r="B62" s="32" t="str">
        <f>_xlfn.TEXTAFTER(CONTROL[[#This Row],[VEHIDCODE]],"_")</f>
        <v>Germany_DB_ET_85</v>
      </c>
      <c r="C62" t="s">
        <v>720</v>
      </c>
      <c r="D62" t="s">
        <v>937</v>
      </c>
      <c r="E62">
        <v>3002</v>
      </c>
      <c r="F62" t="s">
        <v>1105</v>
      </c>
      <c r="G62" t="s">
        <v>2382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Row],[VEHIDCODE]],#REF!,0))</f>
        <v>0</v>
      </c>
      <c r="L62" t="b">
        <f>ISNUMBER(_xlfn.XMATCH(CONTROL[[#This Row],[VEHIDCODE]],PROPERTIES[VEHIDCODE],0))</f>
        <v>1</v>
      </c>
      <c r="M62" t="b">
        <f>ISNUMBER(_xlfn.XMATCH(CONTROL[[#This Row],[VEHIDCODE]],#REF!,0))</f>
        <v>0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s="32" t="str">
        <f>"item_"&amp;CONTROL[[#This Row],[VEHIDCODE]]</f>
        <v>item_rbe_Germany_DB_ET_85</v>
      </c>
      <c r="Q62" s="32" t="str">
        <f>"str_"&amp;CONTROL[[#This Row],[VEHIDCODE]]</f>
        <v>str_rbe_Germany_DB_ET_85</v>
      </c>
    </row>
    <row r="63" spans="1:17">
      <c r="A63" s="2" t="s">
        <v>87</v>
      </c>
      <c r="B63" s="32" t="str">
        <f>_xlfn.TEXTAFTER(CONTROL[[#This Row],[VEHIDCODE]],"_")</f>
        <v>Sweden_SJ_X16</v>
      </c>
      <c r="C63" t="s">
        <v>720</v>
      </c>
      <c r="D63" t="s">
        <v>937</v>
      </c>
      <c r="E63">
        <v>3010</v>
      </c>
      <c r="F63" t="s">
        <v>1106</v>
      </c>
      <c r="G63" t="s">
        <v>2383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Row],[VEHIDCODE]],#REF!,0))</f>
        <v>0</v>
      </c>
      <c r="L63" t="b">
        <f>ISNUMBER(_xlfn.XMATCH(CONTROL[[#This Row],[VEHIDCODE]],PROPERTIES[VEHIDCODE],0))</f>
        <v>1</v>
      </c>
      <c r="M63" t="b">
        <f>ISNUMBER(_xlfn.XMATCH(CONTROL[[#This Row],[VEHIDCODE]],#REF!,0))</f>
        <v>0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s="32" t="str">
        <f>"item_"&amp;CONTROL[[#This Row],[VEHIDCODE]]</f>
        <v>item_rbe_Sweden_SJ_X16</v>
      </c>
      <c r="Q63" s="32" t="str">
        <f>"str_"&amp;CONTROL[[#This Row],[VEHIDCODE]]</f>
        <v>str_rbe_Sweden_SJ_X16</v>
      </c>
    </row>
    <row r="64" spans="1:17">
      <c r="A64" s="2" t="s">
        <v>88</v>
      </c>
      <c r="B64" s="32" t="str">
        <f>_xlfn.TEXTAFTER(CONTROL[[#This Row],[VEHIDCODE]],"_")</f>
        <v>USA_Pennsylvania_Railroad_Silverliner_II</v>
      </c>
      <c r="C64" t="s">
        <v>720</v>
      </c>
      <c r="D64" t="s">
        <v>937</v>
      </c>
      <c r="E64">
        <v>3013</v>
      </c>
      <c r="F64" t="s">
        <v>1107</v>
      </c>
      <c r="G64" t="s">
        <v>2384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Row],[VEHIDCODE]],#REF!,0))</f>
        <v>0</v>
      </c>
      <c r="L64" t="b">
        <f>ISNUMBER(_xlfn.XMATCH(CONTROL[[#This Row],[VEHIDCODE]],PROPERTIES[VEHIDCODE],0))</f>
        <v>1</v>
      </c>
      <c r="M64" t="b">
        <f>ISNUMBER(_xlfn.XMATCH(CONTROL[[#This Row],[VEHIDCODE]],#REF!,0))</f>
        <v>0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s="32" t="str">
        <f>"item_"&amp;CONTROL[[#This Row],[VEHIDCODE]]</f>
        <v>item_rbe_USA_Pennsylvania_Railroad_Silverliner_II</v>
      </c>
      <c r="Q64" s="32" t="str">
        <f>"str_"&amp;CONTROL[[#This Row],[VEHIDCODE]]</f>
        <v>str_rbe_USA_Pennsylvania_Railroad_Silverliner_II</v>
      </c>
    </row>
    <row r="65" spans="1:17">
      <c r="A65" s="2" t="s">
        <v>89</v>
      </c>
      <c r="B65" s="32" t="str">
        <f>_xlfn.TEXTAFTER(CONTROL[[#This Row],[VEHIDCODE]],"_")</f>
        <v>USA_SEPTA_Silverliner_V</v>
      </c>
      <c r="C65" t="s">
        <v>720</v>
      </c>
      <c r="D65" t="s">
        <v>937</v>
      </c>
      <c r="E65">
        <v>3019</v>
      </c>
      <c r="F65" t="s">
        <v>1108</v>
      </c>
      <c r="G65" t="s">
        <v>2385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Row],[VEHIDCODE]],#REF!,0))</f>
        <v>0</v>
      </c>
      <c r="L65" t="b">
        <f>ISNUMBER(_xlfn.XMATCH(CONTROL[[#This Row],[VEHIDCODE]],PROPERTIES[VEHIDCODE],0))</f>
        <v>1</v>
      </c>
      <c r="M65" t="b">
        <f>ISNUMBER(_xlfn.XMATCH(CONTROL[[#This Row],[VEHIDCODE]],#REF!,0))</f>
        <v>0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s="32" t="str">
        <f>"item_"&amp;CONTROL[[#This Row],[VEHIDCODE]]</f>
        <v>item_rbe_USA_SEPTA_Silverliner_V</v>
      </c>
      <c r="Q65" s="32" t="str">
        <f>"str_"&amp;CONTROL[[#This Row],[VEHIDCODE]]</f>
        <v>str_rbe_USA_SEPTA_Silverliner_V</v>
      </c>
    </row>
    <row r="66" spans="1:17">
      <c r="A66" s="2" t="s">
        <v>90</v>
      </c>
      <c r="B66" s="32" t="str">
        <f>_xlfn.TEXTAFTER(CONTROL[[#This Row],[VEHIDCODE]],"_")</f>
        <v>Belgium_Le_Belge</v>
      </c>
      <c r="C66" t="s">
        <v>721</v>
      </c>
      <c r="D66" t="s">
        <v>939</v>
      </c>
      <c r="E66">
        <v>4000</v>
      </c>
      <c r="F66" t="s">
        <v>1109</v>
      </c>
      <c r="G66" t="s">
        <v>2386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Row],[VEHIDCODE]],#REF!,0))</f>
        <v>0</v>
      </c>
      <c r="L66" t="b">
        <f>ISNUMBER(_xlfn.XMATCH(CONTROL[[#This Row],[VEHIDCODE]],PROPERTIES[VEHIDCODE],0))</f>
        <v>1</v>
      </c>
      <c r="M66" t="b">
        <f>ISNUMBER(_xlfn.XMATCH(CONTROL[[#This Row],[VEHIDCODE]],#REF!,0))</f>
        <v>0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s="32" t="str">
        <f>"item_"&amp;CONTROL[[#This Row],[VEHIDCODE]]</f>
        <v>item_steam_Belgium_Le_Belge</v>
      </c>
      <c r="Q66" s="32" t="str">
        <f>"str_"&amp;CONTROL[[#This Row],[VEHIDCODE]]</f>
        <v>str_steam_Belgium_Le_Belge</v>
      </c>
    </row>
    <row r="67" spans="1:17">
      <c r="A67" s="2" t="s">
        <v>91</v>
      </c>
      <c r="B67" s="32" t="str">
        <f>_xlfn.TEXTAFTER(CONTROL[[#This Row],[VEHIDCODE]],"_")</f>
        <v>USA_4_4_0_American</v>
      </c>
      <c r="C67" t="s">
        <v>721</v>
      </c>
      <c r="D67" t="s">
        <v>939</v>
      </c>
      <c r="E67">
        <v>4036</v>
      </c>
      <c r="F67" t="s">
        <v>1110</v>
      </c>
      <c r="G67" t="s">
        <v>2387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Row],[VEHIDCODE]],#REF!,0))</f>
        <v>0</v>
      </c>
      <c r="L67" t="b">
        <f>ISNUMBER(_xlfn.XMATCH(CONTROL[[#This Row],[VEHIDCODE]],PROPERTIES[VEHIDCODE],0))</f>
        <v>1</v>
      </c>
      <c r="M67" t="b">
        <f>ISNUMBER(_xlfn.XMATCH(CONTROL[[#This Row],[VEHIDCODE]],#REF!,0))</f>
        <v>0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s="32" t="str">
        <f>"item_"&amp;CONTROL[[#This Row],[VEHIDCODE]]</f>
        <v>item_steam_USA_4_4_0_American</v>
      </c>
      <c r="Q67" s="32" t="str">
        <f>"str_"&amp;CONTROL[[#This Row],[VEHIDCODE]]</f>
        <v>str_steam_USA_4_4_0_American</v>
      </c>
    </row>
    <row r="68" spans="1:17">
      <c r="A68" s="2" t="s">
        <v>92</v>
      </c>
      <c r="B68" s="32" t="str">
        <f>_xlfn.TEXTAFTER(CONTROL[[#This Row],[VEHIDCODE]],"_")</f>
        <v>Switzerland_SBB_Ec_2_5</v>
      </c>
      <c r="C68" t="s">
        <v>721</v>
      </c>
      <c r="D68" t="s">
        <v>939</v>
      </c>
      <c r="E68">
        <v>4002</v>
      </c>
      <c r="F68" t="s">
        <v>1111</v>
      </c>
      <c r="G68" t="s">
        <v>2388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Row],[VEHIDCODE]],#REF!,0))</f>
        <v>0</v>
      </c>
      <c r="L68" t="b">
        <f>ISNUMBER(_xlfn.XMATCH(CONTROL[[#This Row],[VEHIDCODE]],PROPERTIES[VEHIDCODE],0))</f>
        <v>1</v>
      </c>
      <c r="M68" t="b">
        <f>ISNUMBER(_xlfn.XMATCH(CONTROL[[#This Row],[VEHIDCODE]],#REF!,0))</f>
        <v>0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s="32" t="str">
        <f>"item_"&amp;CONTROL[[#This Row],[VEHIDCODE]]</f>
        <v>item_steam_Switzerland_SBB_Ec_2_5</v>
      </c>
      <c r="Q68" s="32" t="str">
        <f>"str_"&amp;CONTROL[[#This Row],[VEHIDCODE]]</f>
        <v>str_steam_Switzerland_SBB_Ec_2_5</v>
      </c>
    </row>
    <row r="69" spans="1:17">
      <c r="A69" s="2" t="s">
        <v>93</v>
      </c>
      <c r="B69" s="32" t="str">
        <f>_xlfn.TEXTAFTER(CONTROL[[#This Row],[VEHIDCODE]],"_")</f>
        <v>USA_4_6_0_Ten_wheeler</v>
      </c>
      <c r="C69" t="s">
        <v>721</v>
      </c>
      <c r="D69" t="s">
        <v>939</v>
      </c>
      <c r="E69">
        <v>4037</v>
      </c>
      <c r="F69" t="s">
        <v>1112</v>
      </c>
      <c r="G69" t="s">
        <v>2389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Row],[VEHIDCODE]],#REF!,0))</f>
        <v>0</v>
      </c>
      <c r="L69" t="b">
        <f>ISNUMBER(_xlfn.XMATCH(CONTROL[[#This Row],[VEHIDCODE]],PROPERTIES[VEHIDCODE],0))</f>
        <v>1</v>
      </c>
      <c r="M69" t="b">
        <f>ISNUMBER(_xlfn.XMATCH(CONTROL[[#This Row],[VEHIDCODE]],#REF!,0))</f>
        <v>0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s="32" t="str">
        <f>"item_"&amp;CONTROL[[#This Row],[VEHIDCODE]]</f>
        <v>item_steam_USA_4_6_0_Ten_wheeler</v>
      </c>
      <c r="Q69" s="32" t="str">
        <f>"str_"&amp;CONTROL[[#This Row],[VEHIDCODE]]</f>
        <v>str_steam_USA_4_6_0_Ten_wheeler</v>
      </c>
    </row>
    <row r="70" spans="1:17">
      <c r="A70" s="2" t="s">
        <v>94</v>
      </c>
      <c r="B70" s="32" t="str">
        <f>_xlfn.TEXTAFTER(CONTROL[[#This Row],[VEHIDCODE]],"_")</f>
        <v>USA_2_8_0_Consolidation</v>
      </c>
      <c r="C70" t="s">
        <v>721</v>
      </c>
      <c r="D70" t="s">
        <v>939</v>
      </c>
      <c r="E70">
        <v>4004</v>
      </c>
      <c r="F70" t="s">
        <v>1113</v>
      </c>
      <c r="G70" t="s">
        <v>2390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Row],[VEHIDCODE]],#REF!,0))</f>
        <v>0</v>
      </c>
      <c r="L70" t="b">
        <f>ISNUMBER(_xlfn.XMATCH(CONTROL[[#This Row],[VEHIDCODE]],PROPERTIES[VEHIDCODE],0))</f>
        <v>1</v>
      </c>
      <c r="M70" t="b">
        <f>ISNUMBER(_xlfn.XMATCH(CONTROL[[#This Row],[VEHIDCODE]],#REF!,0))</f>
        <v>0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s="32" t="str">
        <f>"item_"&amp;CONTROL[[#This Row],[VEHIDCODE]]</f>
        <v>item_steam_USA_2_8_0_Consolidation</v>
      </c>
      <c r="Q70" s="32" t="str">
        <f>"str_"&amp;CONTROL[[#This Row],[VEHIDCODE]]</f>
        <v>str_steam_USA_2_8_0_Consolidation</v>
      </c>
    </row>
    <row r="71" spans="1:17">
      <c r="A71" s="2" t="s">
        <v>95</v>
      </c>
      <c r="B71" s="32" t="str">
        <f>_xlfn.TEXTAFTER(CONTROL[[#This Row],[VEHIDCODE]],"_")</f>
        <v>Hungary_MAV_377</v>
      </c>
      <c r="C71" t="s">
        <v>721</v>
      </c>
      <c r="D71" t="s">
        <v>939</v>
      </c>
      <c r="E71">
        <v>4005</v>
      </c>
      <c r="F71" t="s">
        <v>2532</v>
      </c>
      <c r="G71" t="s">
        <v>2391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Row],[VEHIDCODE]],#REF!,0))</f>
        <v>0</v>
      </c>
      <c r="L71" t="b">
        <f>ISNUMBER(_xlfn.XMATCH(CONTROL[[#This Row],[VEHIDCODE]],PROPERTIES[VEHIDCODE],0))</f>
        <v>1</v>
      </c>
      <c r="M71" t="b">
        <f>ISNUMBER(_xlfn.XMATCH(CONTROL[[#This Row],[VEHIDCODE]],#REF!,0))</f>
        <v>0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s="32" t="str">
        <f>"item_"&amp;CONTROL[[#This Row],[VEHIDCODE]]</f>
        <v>item_steam_Hungary_MAV_377</v>
      </c>
      <c r="Q71" s="32" t="str">
        <f>"str_"&amp;CONTROL[[#This Row],[VEHIDCODE]]</f>
        <v>str_steam_Hungary_MAV_377</v>
      </c>
    </row>
    <row r="72" spans="1:17">
      <c r="A72" s="2" t="s">
        <v>96</v>
      </c>
      <c r="B72" s="32" t="str">
        <f>_xlfn.TEXTAFTER(CONTROL[[#This Row],[VEHIDCODE]],"_")</f>
        <v>Austria_KkStB_99</v>
      </c>
      <c r="C72" t="s">
        <v>721</v>
      </c>
      <c r="D72" t="s">
        <v>939</v>
      </c>
      <c r="E72">
        <v>4006</v>
      </c>
      <c r="F72" t="s">
        <v>1114</v>
      </c>
      <c r="G72" t="s">
        <v>2392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Row],[VEHIDCODE]],#REF!,0))</f>
        <v>0</v>
      </c>
      <c r="L72" t="b">
        <f>ISNUMBER(_xlfn.XMATCH(CONTROL[[#This Row],[VEHIDCODE]],PROPERTIES[VEHIDCODE],0))</f>
        <v>1</v>
      </c>
      <c r="M72" t="b">
        <f>ISNUMBER(_xlfn.XMATCH(CONTROL[[#This Row],[VEHIDCODE]],#REF!,0))</f>
        <v>0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s="32" t="str">
        <f>"item_"&amp;CONTROL[[#This Row],[VEHIDCODE]]</f>
        <v>item_steam_Austria_KkStB_99</v>
      </c>
      <c r="Q72" s="32" t="str">
        <f>"str_"&amp;CONTROL[[#This Row],[VEHIDCODE]]</f>
        <v>str_steam_Austria_KkStB_99</v>
      </c>
    </row>
    <row r="73" spans="1:17">
      <c r="A73" s="2" t="s">
        <v>97</v>
      </c>
      <c r="B73" s="32" t="str">
        <f>_xlfn.TEXTAFTER(CONTROL[[#This Row],[VEHIDCODE]],"_")</f>
        <v>UK_Caledonian_Railway_439</v>
      </c>
      <c r="C73" t="s">
        <v>721</v>
      </c>
      <c r="D73" t="s">
        <v>939</v>
      </c>
      <c r="E73">
        <v>4007</v>
      </c>
      <c r="F73" t="s">
        <v>1115</v>
      </c>
      <c r="G73" t="s">
        <v>2393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Row],[VEHIDCODE]],#REF!,0))</f>
        <v>0</v>
      </c>
      <c r="L73" t="b">
        <f>ISNUMBER(_xlfn.XMATCH(CONTROL[[#This Row],[VEHIDCODE]],PROPERTIES[VEHIDCODE],0))</f>
        <v>1</v>
      </c>
      <c r="M73" t="b">
        <f>ISNUMBER(_xlfn.XMATCH(CONTROL[[#This Row],[VEHIDCODE]],#REF!,0))</f>
        <v>0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s="32" t="str">
        <f>"item_"&amp;CONTROL[[#This Row],[VEHIDCODE]]</f>
        <v>item_steam_UK_Caledonian_Railway_439</v>
      </c>
      <c r="Q73" s="32" t="str">
        <f>"str_"&amp;CONTROL[[#This Row],[VEHIDCODE]]</f>
        <v>str_steam_UK_Caledonian_Railway_439</v>
      </c>
    </row>
    <row r="74" spans="1:17">
      <c r="A74" s="2" t="s">
        <v>98</v>
      </c>
      <c r="B74" s="32" t="str">
        <f>_xlfn.TEXTAFTER(CONTROL[[#This Row],[VEHIDCODE]],"_")</f>
        <v>Switzerland_SBB_A_3_5</v>
      </c>
      <c r="C74" t="s">
        <v>721</v>
      </c>
      <c r="D74" t="s">
        <v>939</v>
      </c>
      <c r="E74">
        <v>4008</v>
      </c>
      <c r="F74" t="s">
        <v>1116</v>
      </c>
      <c r="G74" t="s">
        <v>2394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Row],[VEHIDCODE]],#REF!,0))</f>
        <v>0</v>
      </c>
      <c r="L74" t="b">
        <f>ISNUMBER(_xlfn.XMATCH(CONTROL[[#This Row],[VEHIDCODE]],PROPERTIES[VEHIDCODE],0))</f>
        <v>1</v>
      </c>
      <c r="M74" t="b">
        <f>ISNUMBER(_xlfn.XMATCH(CONTROL[[#This Row],[VEHIDCODE]],#REF!,0))</f>
        <v>0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s="32" t="str">
        <f>"item_"&amp;CONTROL[[#This Row],[VEHIDCODE]]</f>
        <v>item_steam_Switzerland_SBB_A_3_5</v>
      </c>
      <c r="Q74" s="32" t="str">
        <f>"str_"&amp;CONTROL[[#This Row],[VEHIDCODE]]</f>
        <v>str_steam_Switzerland_SBB_A_3_5</v>
      </c>
    </row>
    <row r="75" spans="1:17">
      <c r="A75" s="2" t="s">
        <v>99</v>
      </c>
      <c r="B75" s="32" t="str">
        <f>_xlfn.TEXTAFTER(CONTROL[[#This Row],[VEHIDCODE]],"_")</f>
        <v>Switzerland_SBB_E_3_3</v>
      </c>
      <c r="C75" t="s">
        <v>721</v>
      </c>
      <c r="D75" t="s">
        <v>939</v>
      </c>
      <c r="E75">
        <v>4009</v>
      </c>
      <c r="F75" t="s">
        <v>1117</v>
      </c>
      <c r="G75" t="s">
        <v>2395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Row],[VEHIDCODE]],#REF!,0))</f>
        <v>0</v>
      </c>
      <c r="L75" t="b">
        <f>ISNUMBER(_xlfn.XMATCH(CONTROL[[#This Row],[VEHIDCODE]],PROPERTIES[VEHIDCODE],0))</f>
        <v>1</v>
      </c>
      <c r="M75" t="b">
        <f>ISNUMBER(_xlfn.XMATCH(CONTROL[[#This Row],[VEHIDCODE]],#REF!,0))</f>
        <v>0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s="32" t="str">
        <f>"item_"&amp;CONTROL[[#This Row],[VEHIDCODE]]</f>
        <v>item_steam_Switzerland_SBB_E_3_3</v>
      </c>
      <c r="Q75" s="32" t="str">
        <f>"str_"&amp;CONTROL[[#This Row],[VEHIDCODE]]</f>
        <v>str_steam_Switzerland_SBB_E_3_3</v>
      </c>
    </row>
    <row r="76" spans="1:17">
      <c r="A76" s="2" t="s">
        <v>100</v>
      </c>
      <c r="B76" s="32" t="str">
        <f>_xlfn.TEXTAFTER(CONTROL[[#This Row],[VEHIDCODE]],"_")</f>
        <v>Austria_KkStB_299</v>
      </c>
      <c r="C76" t="s">
        <v>721</v>
      </c>
      <c r="D76" t="s">
        <v>939</v>
      </c>
      <c r="E76">
        <v>4010</v>
      </c>
      <c r="F76" t="s">
        <v>1118</v>
      </c>
      <c r="G76" t="s">
        <v>2396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Row],[VEHIDCODE]],#REF!,0))</f>
        <v>0</v>
      </c>
      <c r="L76" t="b">
        <f>ISNUMBER(_xlfn.XMATCH(CONTROL[[#This Row],[VEHIDCODE]],PROPERTIES[VEHIDCODE],0))</f>
        <v>1</v>
      </c>
      <c r="M76" t="b">
        <f>ISNUMBER(_xlfn.XMATCH(CONTROL[[#This Row],[VEHIDCODE]],#REF!,0))</f>
        <v>0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s="32" t="str">
        <f>"item_"&amp;CONTROL[[#This Row],[VEHIDCODE]]</f>
        <v>item_steam_Austria_KkStB_299</v>
      </c>
      <c r="Q76" s="32" t="str">
        <f>"str_"&amp;CONTROL[[#This Row],[VEHIDCODE]]</f>
        <v>str_steam_Austria_KkStB_299</v>
      </c>
    </row>
    <row r="77" spans="1:17">
      <c r="A77" s="2" t="s">
        <v>101</v>
      </c>
      <c r="B77" s="32" t="str">
        <f>_xlfn.TEXTAFTER(CONTROL[[#This Row],[VEHIDCODE]],"_")</f>
        <v>New_Zealand_NZR_X_Class</v>
      </c>
      <c r="C77" t="s">
        <v>721</v>
      </c>
      <c r="D77" t="s">
        <v>939</v>
      </c>
      <c r="E77">
        <v>4011</v>
      </c>
      <c r="F77" t="s">
        <v>1119</v>
      </c>
      <c r="G77" t="s">
        <v>2397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Row],[VEHIDCODE]],#REF!,0))</f>
        <v>0</v>
      </c>
      <c r="L77" t="b">
        <f>ISNUMBER(_xlfn.XMATCH(CONTROL[[#This Row],[VEHIDCODE]],PROPERTIES[VEHIDCODE],0))</f>
        <v>1</v>
      </c>
      <c r="M77" t="b">
        <f>ISNUMBER(_xlfn.XMATCH(CONTROL[[#This Row],[VEHIDCODE]],#REF!,0))</f>
        <v>0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s="32" t="str">
        <f>"item_"&amp;CONTROL[[#This Row],[VEHIDCODE]]</f>
        <v>item_steam_New_Zealand_NZR_X_Class</v>
      </c>
      <c r="Q77" s="32" t="str">
        <f>"str_"&amp;CONTROL[[#This Row],[VEHIDCODE]]</f>
        <v>str_steam_New_Zealand_NZR_X_Class</v>
      </c>
    </row>
    <row r="78" spans="1:17">
      <c r="A78" s="2" t="s">
        <v>102</v>
      </c>
      <c r="B78" s="32" t="str">
        <f>_xlfn.TEXTAFTER(CONTROL[[#This Row],[VEHIDCODE]],"_")</f>
        <v>Croatia_HZ_51</v>
      </c>
      <c r="C78" t="s">
        <v>721</v>
      </c>
      <c r="D78" t="s">
        <v>939</v>
      </c>
      <c r="E78">
        <v>4014</v>
      </c>
      <c r="F78" t="s">
        <v>2398</v>
      </c>
      <c r="G78" t="s">
        <v>2399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Row],[VEHIDCODE]],#REF!,0))</f>
        <v>0</v>
      </c>
      <c r="L78" t="b">
        <f>ISNUMBER(_xlfn.XMATCH(CONTROL[[#This Row],[VEHIDCODE]],PROPERTIES[VEHIDCODE],0))</f>
        <v>1</v>
      </c>
      <c r="M78" t="b">
        <f>ISNUMBER(_xlfn.XMATCH(CONTROL[[#This Row],[VEHIDCODE]],#REF!,0))</f>
        <v>0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s="32" t="str">
        <f>"item_"&amp;CONTROL[[#This Row],[VEHIDCODE]]</f>
        <v>item_steam_Croatia_HZ_51</v>
      </c>
      <c r="Q78" s="32" t="str">
        <f>"str_"&amp;CONTROL[[#This Row],[VEHIDCODE]]</f>
        <v>str_steam_Croatia_HZ_51</v>
      </c>
    </row>
    <row r="79" spans="1:17">
      <c r="A79" s="2" t="s">
        <v>103</v>
      </c>
      <c r="B79" s="32" t="str">
        <f>_xlfn.TEXTAFTER(CONTROL[[#This Row],[VEHIDCODE]],"_")</f>
        <v>Italy_FS_880</v>
      </c>
      <c r="C79" t="s">
        <v>721</v>
      </c>
      <c r="D79" t="s">
        <v>939</v>
      </c>
      <c r="E79">
        <v>4015</v>
      </c>
      <c r="F79" t="s">
        <v>1120</v>
      </c>
      <c r="G79" t="s">
        <v>2400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Row],[VEHIDCODE]],#REF!,0))</f>
        <v>0</v>
      </c>
      <c r="L79" t="b">
        <f>ISNUMBER(_xlfn.XMATCH(CONTROL[[#This Row],[VEHIDCODE]],PROPERTIES[VEHIDCODE],0))</f>
        <v>1</v>
      </c>
      <c r="M79" t="b">
        <f>ISNUMBER(_xlfn.XMATCH(CONTROL[[#This Row],[VEHIDCODE]],#REF!,0))</f>
        <v>0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s="32" t="str">
        <f>"item_"&amp;CONTROL[[#This Row],[VEHIDCODE]]</f>
        <v>item_steam_Italy_FS_880</v>
      </c>
      <c r="Q79" s="32" t="str">
        <f>"str_"&amp;CONTROL[[#This Row],[VEHIDCODE]]</f>
        <v>str_steam_Italy_FS_880</v>
      </c>
    </row>
    <row r="80" spans="1:17">
      <c r="A80" s="2" t="s">
        <v>104</v>
      </c>
      <c r="B80" s="32" t="str">
        <f>_xlfn.TEXTAFTER(CONTROL[[#This Row],[VEHIDCODE]],"_")</f>
        <v>Argentina_FCNEA_11B_2_8_0</v>
      </c>
      <c r="C80" t="s">
        <v>721</v>
      </c>
      <c r="D80" t="s">
        <v>939</v>
      </c>
      <c r="E80">
        <v>4016</v>
      </c>
      <c r="F80" t="s">
        <v>1121</v>
      </c>
      <c r="G80" t="s">
        <v>2401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Row],[VEHIDCODE]],#REF!,0))</f>
        <v>0</v>
      </c>
      <c r="L80" t="b">
        <f>ISNUMBER(_xlfn.XMATCH(CONTROL[[#This Row],[VEHIDCODE]],PROPERTIES[VEHIDCODE],0))</f>
        <v>1</v>
      </c>
      <c r="M80" t="b">
        <f>ISNUMBER(_xlfn.XMATCH(CONTROL[[#This Row],[VEHIDCODE]],#REF!,0))</f>
        <v>0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s="32" t="str">
        <f>"item_"&amp;CONTROL[[#This Row],[VEHIDCODE]]</f>
        <v>item_steam_Argentina_FCNEA_11B_2_8_0</v>
      </c>
      <c r="Q80" s="32" t="str">
        <f>"str_"&amp;CONTROL[[#This Row],[VEHIDCODE]]</f>
        <v>str_steam_Argentina_FCNEA_11B_2_8_0</v>
      </c>
    </row>
    <row r="81" spans="1:17">
      <c r="A81" s="2" t="s">
        <v>105</v>
      </c>
      <c r="B81" s="32" t="str">
        <f>_xlfn.TEXTAFTER(CONTROL[[#This Row],[VEHIDCODE]],"_")</f>
        <v>France_SNCF_140C</v>
      </c>
      <c r="C81" t="s">
        <v>721</v>
      </c>
      <c r="D81" t="s">
        <v>939</v>
      </c>
      <c r="E81">
        <v>4017</v>
      </c>
      <c r="F81" t="s">
        <v>1122</v>
      </c>
      <c r="G81" t="s">
        <v>2402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Row],[VEHIDCODE]],#REF!,0))</f>
        <v>0</v>
      </c>
      <c r="L81" t="b">
        <f>ISNUMBER(_xlfn.XMATCH(CONTROL[[#This Row],[VEHIDCODE]],PROPERTIES[VEHIDCODE],0))</f>
        <v>1</v>
      </c>
      <c r="M81" t="b">
        <f>ISNUMBER(_xlfn.XMATCH(CONTROL[[#This Row],[VEHIDCODE]],#REF!,0))</f>
        <v>0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s="32" t="str">
        <f>"item_"&amp;CONTROL[[#This Row],[VEHIDCODE]]</f>
        <v>item_steam_France_SNCF_140C</v>
      </c>
      <c r="Q81" s="32" t="str">
        <f>"str_"&amp;CONTROL[[#This Row],[VEHIDCODE]]</f>
        <v>str_steam_France_SNCF_140C</v>
      </c>
    </row>
    <row r="82" spans="1:17">
      <c r="A82" s="2" t="s">
        <v>106</v>
      </c>
      <c r="B82" s="32" t="str">
        <f>_xlfn.TEXTAFTER(CONTROL[[#This Row],[VEHIDCODE]],"_")</f>
        <v>France_SNCF_141TA</v>
      </c>
      <c r="C82" t="s">
        <v>721</v>
      </c>
      <c r="D82" t="s">
        <v>939</v>
      </c>
      <c r="E82">
        <v>4018</v>
      </c>
      <c r="F82" t="s">
        <v>1123</v>
      </c>
      <c r="G82" t="s">
        <v>2403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Row],[VEHIDCODE]],#REF!,0))</f>
        <v>0</v>
      </c>
      <c r="L82" t="b">
        <f>ISNUMBER(_xlfn.XMATCH(CONTROL[[#This Row],[VEHIDCODE]],PROPERTIES[VEHIDCODE],0))</f>
        <v>1</v>
      </c>
      <c r="M82" t="b">
        <f>ISNUMBER(_xlfn.XMATCH(CONTROL[[#This Row],[VEHIDCODE]],#REF!,0))</f>
        <v>0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s="32" t="str">
        <f>"item_"&amp;CONTROL[[#This Row],[VEHIDCODE]]</f>
        <v>item_steam_France_SNCF_141TA</v>
      </c>
      <c r="Q82" s="32" t="str">
        <f>"str_"&amp;CONTROL[[#This Row],[VEHIDCODE]]</f>
        <v>str_steam_France_SNCF_141TA</v>
      </c>
    </row>
    <row r="83" spans="1:17">
      <c r="A83" s="2" t="s">
        <v>107</v>
      </c>
      <c r="B83" s="32" t="str">
        <f>_xlfn.TEXTAFTER(CONTROL[[#This Row],[VEHIDCODE]],"_")</f>
        <v>UK_GWR_4900</v>
      </c>
      <c r="C83" t="s">
        <v>721</v>
      </c>
      <c r="D83" t="s">
        <v>939</v>
      </c>
      <c r="E83">
        <v>4019</v>
      </c>
      <c r="F83" t="s">
        <v>2405</v>
      </c>
      <c r="G83" t="s">
        <v>2404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Row],[VEHIDCODE]],#REF!,0))</f>
        <v>0</v>
      </c>
      <c r="L83" t="b">
        <f>ISNUMBER(_xlfn.XMATCH(CONTROL[[#This Row],[VEHIDCODE]],PROPERTIES[VEHIDCODE],0))</f>
        <v>1</v>
      </c>
      <c r="M83" t="b">
        <f>ISNUMBER(_xlfn.XMATCH(CONTROL[[#This Row],[VEHIDCODE]],#REF!,0))</f>
        <v>0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s="32" t="str">
        <f>"item_"&amp;CONTROL[[#This Row],[VEHIDCODE]]</f>
        <v>item_steam_UK_GWR_4900</v>
      </c>
      <c r="Q83" s="32" t="str">
        <f>"str_"&amp;CONTROL[[#This Row],[VEHIDCODE]]</f>
        <v>str_steam_UK_GWR_4900</v>
      </c>
    </row>
    <row r="84" spans="1:17">
      <c r="A84" s="2" t="s">
        <v>108</v>
      </c>
      <c r="B84" s="32" t="str">
        <f>_xlfn.TEXTAFTER(CONTROL[[#This Row],[VEHIDCODE]],"_")</f>
        <v>UK_GWR_5700</v>
      </c>
      <c r="C84" t="s">
        <v>721</v>
      </c>
      <c r="D84" t="s">
        <v>939</v>
      </c>
      <c r="E84">
        <v>4020</v>
      </c>
      <c r="F84" t="s">
        <v>2406</v>
      </c>
      <c r="G84" t="s">
        <v>2407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Row],[VEHIDCODE]],#REF!,0))</f>
        <v>0</v>
      </c>
      <c r="L84" t="b">
        <f>ISNUMBER(_xlfn.XMATCH(CONTROL[[#This Row],[VEHIDCODE]],PROPERTIES[VEHIDCODE],0))</f>
        <v>1</v>
      </c>
      <c r="M84" t="b">
        <f>ISNUMBER(_xlfn.XMATCH(CONTROL[[#This Row],[VEHIDCODE]],#REF!,0))</f>
        <v>0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s="32" t="str">
        <f>"item_"&amp;CONTROL[[#This Row],[VEHIDCODE]]</f>
        <v>item_steam_UK_GWR_5700</v>
      </c>
      <c r="Q84" s="32" t="str">
        <f>"str_"&amp;CONTROL[[#This Row],[VEHIDCODE]]</f>
        <v>str_steam_UK_GWR_5700</v>
      </c>
    </row>
    <row r="85" spans="1:17">
      <c r="A85" s="2" t="s">
        <v>109</v>
      </c>
      <c r="B85" s="32" t="str">
        <f>_xlfn.TEXTAFTER(CONTROL[[#This Row],[VEHIDCODE]],"_")</f>
        <v>Netherlands_NS_6300</v>
      </c>
      <c r="C85" t="s">
        <v>721</v>
      </c>
      <c r="D85" t="s">
        <v>939</v>
      </c>
      <c r="E85">
        <v>4021</v>
      </c>
      <c r="F85" t="s">
        <v>2408</v>
      </c>
      <c r="G85" t="s">
        <v>2409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Row],[VEHIDCODE]],#REF!,0))</f>
        <v>0</v>
      </c>
      <c r="L85" t="b">
        <f>ISNUMBER(_xlfn.XMATCH(CONTROL[[#This Row],[VEHIDCODE]],PROPERTIES[VEHIDCODE],0))</f>
        <v>1</v>
      </c>
      <c r="M85" t="b">
        <f>ISNUMBER(_xlfn.XMATCH(CONTROL[[#This Row],[VEHIDCODE]],#REF!,0))</f>
        <v>0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s="32" t="str">
        <f>"item_"&amp;CONTROL[[#This Row],[VEHIDCODE]]</f>
        <v>item_steam_Netherlands_NS_6300</v>
      </c>
      <c r="Q85" s="32" t="str">
        <f>"str_"&amp;CONTROL[[#This Row],[VEHIDCODE]]</f>
        <v>str_steam_Netherlands_NS_6300</v>
      </c>
    </row>
    <row r="86" spans="1:17">
      <c r="A86" s="2" t="s">
        <v>110</v>
      </c>
      <c r="B86" s="32" t="str">
        <f>_xlfn.TEXTAFTER(CONTROL[[#This Row],[VEHIDCODE]],"_")</f>
        <v>USA_AT_SF_5000</v>
      </c>
      <c r="C86" t="s">
        <v>721</v>
      </c>
      <c r="D86" t="s">
        <v>939</v>
      </c>
      <c r="E86">
        <v>4022</v>
      </c>
      <c r="F86" t="s">
        <v>2410</v>
      </c>
      <c r="G86" t="s">
        <v>2411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Row],[VEHIDCODE]],#REF!,0))</f>
        <v>0</v>
      </c>
      <c r="L86" t="b">
        <f>ISNUMBER(_xlfn.XMATCH(CONTROL[[#This Row],[VEHIDCODE]],PROPERTIES[VEHIDCODE],0))</f>
        <v>1</v>
      </c>
      <c r="M86" t="b">
        <f>ISNUMBER(_xlfn.XMATCH(CONTROL[[#This Row],[VEHIDCODE]],#REF!,0))</f>
        <v>0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s="32" t="str">
        <f>"item_"&amp;CONTROL[[#This Row],[VEHIDCODE]]</f>
        <v>item_steam_USA_AT_SF_5000</v>
      </c>
      <c r="Q86" s="32" t="str">
        <f>"str_"&amp;CONTROL[[#This Row],[VEHIDCODE]]</f>
        <v>str_steam_USA_AT_SF_5000</v>
      </c>
    </row>
    <row r="87" spans="1:17">
      <c r="A87" s="2" t="s">
        <v>111</v>
      </c>
      <c r="B87" s="32" t="str">
        <f>_xlfn.TEXTAFTER(CONTROL[[#This Row],[VEHIDCODE]],"_")</f>
        <v>Germany_Prussian_S10</v>
      </c>
      <c r="C87" t="s">
        <v>721</v>
      </c>
      <c r="D87" t="s">
        <v>939</v>
      </c>
      <c r="E87">
        <v>4024</v>
      </c>
      <c r="F87" t="s">
        <v>1124</v>
      </c>
      <c r="G87" t="s">
        <v>2412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Row],[VEHIDCODE]],#REF!,0))</f>
        <v>0</v>
      </c>
      <c r="L87" t="b">
        <f>ISNUMBER(_xlfn.XMATCH(CONTROL[[#This Row],[VEHIDCODE]],PROPERTIES[VEHIDCODE],0))</f>
        <v>1</v>
      </c>
      <c r="M87" t="b">
        <f>ISNUMBER(_xlfn.XMATCH(CONTROL[[#This Row],[VEHIDCODE]],#REF!,0))</f>
        <v>0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s="32" t="str">
        <f>"item_"&amp;CONTROL[[#This Row],[VEHIDCODE]]</f>
        <v>item_steam_Germany_Prussian_S10</v>
      </c>
      <c r="Q87" s="32" t="str">
        <f>"str_"&amp;CONTROL[[#This Row],[VEHIDCODE]]</f>
        <v>str_steam_Germany_Prussian_S10</v>
      </c>
    </row>
    <row r="88" spans="1:17">
      <c r="A88" s="2" t="s">
        <v>112</v>
      </c>
      <c r="B88" s="32" t="str">
        <f>_xlfn.TEXTAFTER(CONTROL[[#This Row],[VEHIDCODE]],"_")</f>
        <v>UK_LMS_5MT_Black_Five</v>
      </c>
      <c r="C88" t="s">
        <v>721</v>
      </c>
      <c r="D88" t="s">
        <v>939</v>
      </c>
      <c r="E88">
        <v>4025</v>
      </c>
      <c r="F88" t="s">
        <v>1125</v>
      </c>
      <c r="G88" t="s">
        <v>2413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Row],[VEHIDCODE]],#REF!,0))</f>
        <v>0</v>
      </c>
      <c r="L88" t="b">
        <f>ISNUMBER(_xlfn.XMATCH(CONTROL[[#This Row],[VEHIDCODE]],PROPERTIES[VEHIDCODE],0))</f>
        <v>1</v>
      </c>
      <c r="M88" t="b">
        <f>ISNUMBER(_xlfn.XMATCH(CONTROL[[#This Row],[VEHIDCODE]],#REF!,0))</f>
        <v>0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s="32" t="str">
        <f>"item_"&amp;CONTROL[[#This Row],[VEHIDCODE]]</f>
        <v>item_steam_UK_LMS_5MT_Black_Five</v>
      </c>
      <c r="Q88" s="32" t="str">
        <f>"str_"&amp;CONTROL[[#This Row],[VEHIDCODE]]</f>
        <v>str_steam_UK_LMS_5MT_Black_Five</v>
      </c>
    </row>
    <row r="89" spans="1:17">
      <c r="A89" s="2" t="s">
        <v>113</v>
      </c>
      <c r="B89" s="32" t="str">
        <f>_xlfn.TEXTAFTER(CONTROL[[#This Row],[VEHIDCODE]],"_")</f>
        <v>Russia_RZD_9P</v>
      </c>
      <c r="C89" t="s">
        <v>721</v>
      </c>
      <c r="D89" t="s">
        <v>939</v>
      </c>
      <c r="E89">
        <v>4026</v>
      </c>
      <c r="F89" t="s">
        <v>1126</v>
      </c>
      <c r="G89" t="s">
        <v>2414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Row],[VEHIDCODE]],#REF!,0))</f>
        <v>0</v>
      </c>
      <c r="L89" t="b">
        <f>ISNUMBER(_xlfn.XMATCH(CONTROL[[#This Row],[VEHIDCODE]],PROPERTIES[VEHIDCODE],0))</f>
        <v>1</v>
      </c>
      <c r="M89" t="b">
        <f>ISNUMBER(_xlfn.XMATCH(CONTROL[[#This Row],[VEHIDCODE]],#REF!,0))</f>
        <v>0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s="32" t="str">
        <f>"item_"&amp;CONTROL[[#This Row],[VEHIDCODE]]</f>
        <v>item_steam_Russia_RZD_9P</v>
      </c>
      <c r="Q89" s="32" t="str">
        <f>"str_"&amp;CONTROL[[#This Row],[VEHIDCODE]]</f>
        <v>str_steam_Russia_RZD_9P</v>
      </c>
    </row>
    <row r="90" spans="1:17">
      <c r="A90" s="2" t="s">
        <v>114</v>
      </c>
      <c r="B90" s="32" t="str">
        <f>_xlfn.TEXTAFTER(CONTROL[[#This Row],[VEHIDCODE]],"_")</f>
        <v>UK_LNER_A4_Gresley</v>
      </c>
      <c r="C90" t="s">
        <v>721</v>
      </c>
      <c r="D90" t="s">
        <v>939</v>
      </c>
      <c r="E90">
        <v>4028</v>
      </c>
      <c r="F90" t="s">
        <v>1127</v>
      </c>
      <c r="G90" t="s">
        <v>2415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Row],[VEHIDCODE]],#REF!,0))</f>
        <v>0</v>
      </c>
      <c r="L90" t="b">
        <f>ISNUMBER(_xlfn.XMATCH(CONTROL[[#This Row],[VEHIDCODE]],PROPERTIES[VEHIDCODE],0))</f>
        <v>1</v>
      </c>
      <c r="M90" t="b">
        <f>ISNUMBER(_xlfn.XMATCH(CONTROL[[#This Row],[VEHIDCODE]],#REF!,0))</f>
        <v>0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s="32" t="str">
        <f>"item_"&amp;CONTROL[[#This Row],[VEHIDCODE]]</f>
        <v>item_steam_UK_LNER_A4_Gresley</v>
      </c>
      <c r="Q90" s="32" t="str">
        <f>"str_"&amp;CONTROL[[#This Row],[VEHIDCODE]]</f>
        <v>str_steam_UK_LNER_A4_Gresley</v>
      </c>
    </row>
    <row r="91" spans="1:17">
      <c r="A91" s="2" t="s">
        <v>115</v>
      </c>
      <c r="B91" s="32" t="str">
        <f>_xlfn.TEXTAFTER(CONTROL[[#This Row],[VEHIDCODE]],"_")</f>
        <v>Canada_CPR_Royal_Hudson</v>
      </c>
      <c r="C91" t="s">
        <v>721</v>
      </c>
      <c r="D91" t="s">
        <v>939</v>
      </c>
      <c r="E91">
        <v>4029</v>
      </c>
      <c r="F91" t="s">
        <v>1128</v>
      </c>
      <c r="G91" t="s">
        <v>2416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Row],[VEHIDCODE]],#REF!,0))</f>
        <v>0</v>
      </c>
      <c r="L91" t="b">
        <f>ISNUMBER(_xlfn.XMATCH(CONTROL[[#This Row],[VEHIDCODE]],PROPERTIES[VEHIDCODE],0))</f>
        <v>1</v>
      </c>
      <c r="M91" t="b">
        <f>ISNUMBER(_xlfn.XMATCH(CONTROL[[#This Row],[VEHIDCODE]],#REF!,0))</f>
        <v>0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s="32" t="str">
        <f>"item_"&amp;CONTROL[[#This Row],[VEHIDCODE]]</f>
        <v>item_steam_Canada_CPR_Royal_Hudson</v>
      </c>
      <c r="Q91" s="32" t="str">
        <f>"str_"&amp;CONTROL[[#This Row],[VEHIDCODE]]</f>
        <v>str_steam_Canada_CPR_Royal_Hudson</v>
      </c>
    </row>
    <row r="92" spans="1:17">
      <c r="A92" s="2" t="s">
        <v>116</v>
      </c>
      <c r="B92" s="32" t="str">
        <f>_xlfn.TEXTAFTER(CONTROL[[#This Row],[VEHIDCODE]],"_")</f>
        <v>Denmark_DSB_E</v>
      </c>
      <c r="C92" t="s">
        <v>721</v>
      </c>
      <c r="D92" t="s">
        <v>939</v>
      </c>
      <c r="E92">
        <v>4038</v>
      </c>
      <c r="F92" t="s">
        <v>1129</v>
      </c>
      <c r="G92" t="s">
        <v>2417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Row],[VEHIDCODE]],#REF!,0))</f>
        <v>0</v>
      </c>
      <c r="L92" t="b">
        <f>ISNUMBER(_xlfn.XMATCH(CONTROL[[#This Row],[VEHIDCODE]],PROPERTIES[VEHIDCODE],0))</f>
        <v>1</v>
      </c>
      <c r="M92" t="b">
        <f>ISNUMBER(_xlfn.XMATCH(CONTROL[[#This Row],[VEHIDCODE]],#REF!,0))</f>
        <v>0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s="32" t="str">
        <f>"item_"&amp;CONTROL[[#This Row],[VEHIDCODE]]</f>
        <v>item_steam_Denmark_DSB_E</v>
      </c>
      <c r="Q92" s="32" t="str">
        <f>"str_"&amp;CONTROL[[#This Row],[VEHIDCODE]]</f>
        <v>str_steam_Denmark_DSB_E</v>
      </c>
    </row>
    <row r="93" spans="1:17">
      <c r="A93" s="2" t="s">
        <v>117</v>
      </c>
      <c r="B93" s="32" t="str">
        <f>_xlfn.TEXTAFTER(CONTROL[[#This Row],[VEHIDCODE]],"_")</f>
        <v>Germany_DB_52</v>
      </c>
      <c r="C93" t="s">
        <v>721</v>
      </c>
      <c r="D93" t="s">
        <v>939</v>
      </c>
      <c r="E93">
        <v>4031</v>
      </c>
      <c r="F93" t="s">
        <v>1130</v>
      </c>
      <c r="G93" t="s">
        <v>2418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Row],[VEHIDCODE]],#REF!,0))</f>
        <v>0</v>
      </c>
      <c r="L93" t="b">
        <f>ISNUMBER(_xlfn.XMATCH(CONTROL[[#This Row],[VEHIDCODE]],PROPERTIES[VEHIDCODE],0))</f>
        <v>1</v>
      </c>
      <c r="M93" t="b">
        <f>ISNUMBER(_xlfn.XMATCH(CONTROL[[#This Row],[VEHIDCODE]],#REF!,0))</f>
        <v>0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s="32" t="str">
        <f>"item_"&amp;CONTROL[[#This Row],[VEHIDCODE]]</f>
        <v>item_steam_Germany_DB_52</v>
      </c>
      <c r="Q93" s="32" t="str">
        <f>"str_"&amp;CONTROL[[#This Row],[VEHIDCODE]]</f>
        <v>str_steam_Germany_DB_52</v>
      </c>
    </row>
    <row r="94" spans="1:17">
      <c r="A94" s="2" t="s">
        <v>118</v>
      </c>
      <c r="B94" s="32" t="str">
        <f>_xlfn.TEXTAFTER(CONTROL[[#This Row],[VEHIDCODE]],"_")</f>
        <v>UK_LNER_A1_Peppercorn</v>
      </c>
      <c r="C94" t="s">
        <v>721</v>
      </c>
      <c r="D94" t="s">
        <v>939</v>
      </c>
      <c r="E94">
        <v>4033</v>
      </c>
      <c r="F94" t="s">
        <v>1131</v>
      </c>
      <c r="G94" t="s">
        <v>2419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Row],[VEHIDCODE]],#REF!,0))</f>
        <v>0</v>
      </c>
      <c r="L94" t="b">
        <f>ISNUMBER(_xlfn.XMATCH(CONTROL[[#This Row],[VEHIDCODE]],PROPERTIES[VEHIDCODE],0))</f>
        <v>1</v>
      </c>
      <c r="M94" t="b">
        <f>ISNUMBER(_xlfn.XMATCH(CONTROL[[#This Row],[VEHIDCODE]],#REF!,0))</f>
        <v>0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s="32" t="str">
        <f>"item_"&amp;CONTROL[[#This Row],[VEHIDCODE]]</f>
        <v>item_steam_UK_LNER_A1_Peppercorn</v>
      </c>
      <c r="Q94" s="32" t="str">
        <f>"str_"&amp;CONTROL[[#This Row],[VEHIDCODE]]</f>
        <v>str_steam_UK_LNER_A1_Peppercorn</v>
      </c>
    </row>
    <row r="95" spans="1:17">
      <c r="A95" s="2" t="s">
        <v>119</v>
      </c>
      <c r="B95" s="32" t="str">
        <f>_xlfn.TEXTAFTER(CONTROL[[#This Row],[VEHIDCODE]],"_")</f>
        <v>South_Africa_SAR_25</v>
      </c>
      <c r="C95" t="s">
        <v>721</v>
      </c>
      <c r="D95" t="s">
        <v>939</v>
      </c>
      <c r="E95">
        <v>4034</v>
      </c>
      <c r="F95" t="s">
        <v>2298</v>
      </c>
      <c r="G95" t="s">
        <v>2420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Row],[VEHIDCODE]],#REF!,0))</f>
        <v>0</v>
      </c>
      <c r="L95" t="b">
        <f>ISNUMBER(_xlfn.XMATCH(CONTROL[[#This Row],[VEHIDCODE]],PROPERTIES[VEHIDCODE],0))</f>
        <v>1</v>
      </c>
      <c r="M95" t="b">
        <f>ISNUMBER(_xlfn.XMATCH(CONTROL[[#This Row],[VEHIDCODE]],#REF!,0))</f>
        <v>0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s="32" t="str">
        <f>"item_"&amp;CONTROL[[#This Row],[VEHIDCODE]]</f>
        <v>item_steam_South_Africa_SAR_25</v>
      </c>
      <c r="Q95" s="32" t="str">
        <f>"str_"&amp;CONTROL[[#This Row],[VEHIDCODE]]</f>
        <v>str_steam_South_Africa_SAR_25</v>
      </c>
    </row>
    <row r="96" spans="1:17">
      <c r="A96" s="2" t="s">
        <v>120</v>
      </c>
      <c r="B96" s="32" t="str">
        <f>_xlfn.TEXTAFTER(CONTROL[[#This Row],[VEHIDCODE]],"_")</f>
        <v>Russia_RZD_P36</v>
      </c>
      <c r="C96" t="s">
        <v>721</v>
      </c>
      <c r="D96" t="s">
        <v>939</v>
      </c>
      <c r="E96">
        <v>4035</v>
      </c>
      <c r="F96" t="s">
        <v>1132</v>
      </c>
      <c r="G96" t="s">
        <v>2421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Row],[VEHIDCODE]],#REF!,0))</f>
        <v>0</v>
      </c>
      <c r="L96" t="b">
        <f>ISNUMBER(_xlfn.XMATCH(CONTROL[[#This Row],[VEHIDCODE]],PROPERTIES[VEHIDCODE],0))</f>
        <v>1</v>
      </c>
      <c r="M96" t="b">
        <f>ISNUMBER(_xlfn.XMATCH(CONTROL[[#This Row],[VEHIDCODE]],#REF!,0))</f>
        <v>0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s="32" t="str">
        <f>"item_"&amp;CONTROL[[#This Row],[VEHIDCODE]]</f>
        <v>item_steam_Russia_RZD_P36</v>
      </c>
      <c r="Q96" s="32" t="str">
        <f>"str_"&amp;CONTROL[[#This Row],[VEHIDCODE]]</f>
        <v>str_steam_Russia_RZD_P36</v>
      </c>
    </row>
    <row r="97" spans="1:17">
      <c r="A97" s="2" t="s">
        <v>121</v>
      </c>
      <c r="B97" s="32" t="str">
        <f>_xlfn.TEXTAFTER(CONTROL[[#This Row],[VEHIDCODE]],"_")</f>
        <v>France_SNCF_150B</v>
      </c>
      <c r="C97" t="s">
        <v>721</v>
      </c>
      <c r="D97" t="s">
        <v>939</v>
      </c>
      <c r="E97">
        <v>4023</v>
      </c>
      <c r="F97" t="s">
        <v>1133</v>
      </c>
      <c r="G97" t="s">
        <v>2422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Row],[VEHIDCODE]],#REF!,0))</f>
        <v>0</v>
      </c>
      <c r="L97" t="b">
        <f>ISNUMBER(_xlfn.XMATCH(CONTROL[[#This Row],[VEHIDCODE]],PROPERTIES[VEHIDCODE],0))</f>
        <v>1</v>
      </c>
      <c r="M97" t="b">
        <f>ISNUMBER(_xlfn.XMATCH(CONTROL[[#This Row],[VEHIDCODE]],#REF!,0))</f>
        <v>0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s="32" t="str">
        <f>"item_"&amp;CONTROL[[#This Row],[VEHIDCODE]]</f>
        <v>item_steam_France_SNCF_150B</v>
      </c>
      <c r="Q97" s="32" t="str">
        <f>"str_"&amp;CONTROL[[#This Row],[VEHIDCODE]]</f>
        <v>str_steam_France_SNCF_150B</v>
      </c>
    </row>
    <row r="98" spans="1:17">
      <c r="A98" s="2" t="s">
        <v>122</v>
      </c>
      <c r="B98" s="32" t="str">
        <f>_xlfn.TEXTAFTER(CONTROL[[#This Row],[VEHIDCODE]],"_")</f>
        <v>Italy_FS_895</v>
      </c>
      <c r="C98" t="s">
        <v>721</v>
      </c>
      <c r="D98" t="s">
        <v>939</v>
      </c>
      <c r="E98">
        <v>4012</v>
      </c>
      <c r="F98" t="s">
        <v>1134</v>
      </c>
      <c r="G98" t="s">
        <v>2423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Row],[VEHIDCODE]],#REF!,0))</f>
        <v>0</v>
      </c>
      <c r="L98" t="b">
        <f>ISNUMBER(_xlfn.XMATCH(CONTROL[[#This Row],[VEHIDCODE]],PROPERTIES[VEHIDCODE],0))</f>
        <v>1</v>
      </c>
      <c r="M98" t="b">
        <f>ISNUMBER(_xlfn.XMATCH(CONTROL[[#This Row],[VEHIDCODE]],#REF!,0))</f>
        <v>0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s="32" t="str">
        <f>"item_"&amp;CONTROL[[#This Row],[VEHIDCODE]]</f>
        <v>item_steam_Italy_FS_895</v>
      </c>
      <c r="Q98" s="32" t="str">
        <f>"str_"&amp;CONTROL[[#This Row],[VEHIDCODE]]</f>
        <v>str_steam_Italy_FS_895</v>
      </c>
    </row>
    <row r="99" spans="1:17">
      <c r="A99" s="2" t="s">
        <v>123</v>
      </c>
      <c r="B99" s="32" t="str">
        <f>_xlfn.TEXTAFTER(CONTROL[[#This Row],[VEHIDCODE]],"_")</f>
        <v>Poland_PKP_Okz32</v>
      </c>
      <c r="C99" t="s">
        <v>721</v>
      </c>
      <c r="D99" t="s">
        <v>939</v>
      </c>
      <c r="E99">
        <v>4027</v>
      </c>
      <c r="F99" t="s">
        <v>1135</v>
      </c>
      <c r="G99" t="s">
        <v>2424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Row],[VEHIDCODE]],#REF!,0))</f>
        <v>0</v>
      </c>
      <c r="L99" t="b">
        <f>ISNUMBER(_xlfn.XMATCH(CONTROL[[#This Row],[VEHIDCODE]],PROPERTIES[VEHIDCODE],0))</f>
        <v>1</v>
      </c>
      <c r="M99" t="b">
        <f>ISNUMBER(_xlfn.XMATCH(CONTROL[[#This Row],[VEHIDCODE]],#REF!,0))</f>
        <v>0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s="32" t="str">
        <f>"item_"&amp;CONTROL[[#This Row],[VEHIDCODE]]</f>
        <v>item_steam_Poland_PKP_Okz32</v>
      </c>
      <c r="Q99" s="32" t="str">
        <f>"str_"&amp;CONTROL[[#This Row],[VEHIDCODE]]</f>
        <v>str_steam_Poland_PKP_Okz32</v>
      </c>
    </row>
    <row r="100" spans="1:17">
      <c r="A100" s="2" t="s">
        <v>124</v>
      </c>
      <c r="B100" s="32" t="str">
        <f>_xlfn.TEXTAFTER(CONTROL[[#This Row],[VEHIDCODE]],"_")</f>
        <v>Switzerland_SBB_C_5_6</v>
      </c>
      <c r="C100" t="s">
        <v>721</v>
      </c>
      <c r="D100" t="s">
        <v>939</v>
      </c>
      <c r="E100">
        <v>4013</v>
      </c>
      <c r="F100" t="s">
        <v>2425</v>
      </c>
      <c r="G100" t="s">
        <v>2426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Row],[VEHIDCODE]],#REF!,0))</f>
        <v>0</v>
      </c>
      <c r="L100" t="b">
        <f>ISNUMBER(_xlfn.XMATCH(CONTROL[[#This Row],[VEHIDCODE]],PROPERTIES[VEHIDCODE],0))</f>
        <v>1</v>
      </c>
      <c r="M100" t="b">
        <f>ISNUMBER(_xlfn.XMATCH(CONTROL[[#This Row],[VEHIDCODE]],#REF!,0))</f>
        <v>0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s="32" t="str">
        <f>"item_"&amp;CONTROL[[#This Row],[VEHIDCODE]]</f>
        <v>item_steam_Switzerland_SBB_C_5_6</v>
      </c>
      <c r="Q100" s="32" t="str">
        <f>"str_"&amp;CONTROL[[#This Row],[VEHIDCODE]]</f>
        <v>str_steam_Switzerland_SBB_C_5_6</v>
      </c>
    </row>
    <row r="101" spans="1:17">
      <c r="A101" s="2" t="s">
        <v>125</v>
      </c>
      <c r="B101" s="32" t="str">
        <f>_xlfn.TEXTAFTER(CONTROL[[#This Row],[VEHIDCODE]],"_")</f>
        <v>USA_UP_4000_Big_Boy</v>
      </c>
      <c r="C101" t="s">
        <v>721</v>
      </c>
      <c r="D101" t="s">
        <v>939</v>
      </c>
      <c r="E101">
        <v>4039</v>
      </c>
      <c r="F101" t="s">
        <v>1136</v>
      </c>
      <c r="G101" t="s">
        <v>2427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Row],[VEHIDCODE]],#REF!,0))</f>
        <v>0</v>
      </c>
      <c r="L101" t="b">
        <f>ISNUMBER(_xlfn.XMATCH(CONTROL[[#This Row],[VEHIDCODE]],PROPERTIES[VEHIDCODE],0))</f>
        <v>1</v>
      </c>
      <c r="M101" t="b">
        <f>ISNUMBER(_xlfn.XMATCH(CONTROL[[#This Row],[VEHIDCODE]],#REF!,0))</f>
        <v>0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s="32" t="str">
        <f>"item_"&amp;CONTROL[[#This Row],[VEHIDCODE]]</f>
        <v>item_steam_USA_UP_4000_Big_Boy</v>
      </c>
      <c r="Q101" s="32" t="str">
        <f>"str_"&amp;CONTROL[[#This Row],[VEHIDCODE]]</f>
        <v>str_steam_USA_UP_4000_Big_Boy</v>
      </c>
    </row>
    <row r="102" spans="1:17">
      <c r="A102" s="2" t="s">
        <v>126</v>
      </c>
      <c r="B102" s="32" t="str">
        <f>_xlfn.TEXTAFTER(CONTROL[[#This Row],[VEHIDCODE]],"_")</f>
        <v>Netherlands_NRS_11</v>
      </c>
      <c r="C102" t="s">
        <v>721</v>
      </c>
      <c r="D102" t="s">
        <v>939</v>
      </c>
      <c r="E102">
        <v>4040</v>
      </c>
      <c r="F102" t="s">
        <v>1137</v>
      </c>
      <c r="G102" t="s">
        <v>2428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Row],[VEHIDCODE]],#REF!,0))</f>
        <v>0</v>
      </c>
      <c r="L102" t="b">
        <f>ISNUMBER(_xlfn.XMATCH(CONTROL[[#This Row],[VEHIDCODE]],PROPERTIES[VEHIDCODE],0))</f>
        <v>1</v>
      </c>
      <c r="M102" t="b">
        <f>ISNUMBER(_xlfn.XMATCH(CONTROL[[#This Row],[VEHIDCODE]],#REF!,0))</f>
        <v>0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s="32" t="str">
        <f>"item_"&amp;CONTROL[[#This Row],[VEHIDCODE]]</f>
        <v>item_steam_Netherlands_NRS_11</v>
      </c>
      <c r="Q102" s="32" t="str">
        <f>"str_"&amp;CONTROL[[#This Row],[VEHIDCODE]]</f>
        <v>str_steam_Netherlands_NRS_11</v>
      </c>
    </row>
    <row r="103" spans="1:17">
      <c r="A103" s="2" t="s">
        <v>127</v>
      </c>
      <c r="B103" s="32" t="str">
        <f>_xlfn.TEXTAFTER(CONTROL[[#This Row],[VEHIDCODE]],"_")</f>
        <v>UK_GWR_Iron_DUKe_Class</v>
      </c>
      <c r="C103" t="s">
        <v>721</v>
      </c>
      <c r="D103" t="s">
        <v>939</v>
      </c>
      <c r="E103">
        <v>4041</v>
      </c>
      <c r="F103" t="s">
        <v>1138</v>
      </c>
      <c r="G103" t="s">
        <v>2429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Row],[VEHIDCODE]],#REF!,0))</f>
        <v>0</v>
      </c>
      <c r="L103" t="b">
        <f>ISNUMBER(_xlfn.XMATCH(CONTROL[[#This Row],[VEHIDCODE]],PROPERTIES[VEHIDCODE],0))</f>
        <v>1</v>
      </c>
      <c r="M103" t="b">
        <f>ISNUMBER(_xlfn.XMATCH(CONTROL[[#This Row],[VEHIDCODE]],#REF!,0))</f>
        <v>0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s="32" t="str">
        <f>"item_"&amp;CONTROL[[#This Row],[VEHIDCODE]]</f>
        <v>item_steam_UK_GWR_Iron_DUKe_Class</v>
      </c>
      <c r="Q103" s="32" t="str">
        <f>"str_"&amp;CONTROL[[#This Row],[VEHIDCODE]]</f>
        <v>str_steam_UK_GWR_Iron_DUKe_Class</v>
      </c>
    </row>
    <row r="104" spans="1:17">
      <c r="A104" s="2" t="s">
        <v>128</v>
      </c>
      <c r="B104" s="32" t="str">
        <f>_xlfn.TEXTAFTER(CONTROL[[#This Row],[VEHIDCODE]],"_")</f>
        <v>Australia_Sidney_Railway_Locomotive_No1</v>
      </c>
      <c r="C104" t="s">
        <v>721</v>
      </c>
      <c r="D104" t="s">
        <v>939</v>
      </c>
      <c r="E104">
        <v>4042</v>
      </c>
      <c r="F104" t="s">
        <v>1139</v>
      </c>
      <c r="G104" t="s">
        <v>2430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Row],[VEHIDCODE]],#REF!,0))</f>
        <v>0</v>
      </c>
      <c r="L104" t="b">
        <f>ISNUMBER(_xlfn.XMATCH(CONTROL[[#This Row],[VEHIDCODE]],PROPERTIES[VEHIDCODE],0))</f>
        <v>1</v>
      </c>
      <c r="M104" t="b">
        <f>ISNUMBER(_xlfn.XMATCH(CONTROL[[#This Row],[VEHIDCODE]],#REF!,0))</f>
        <v>0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s="32" t="str">
        <f>"item_"&amp;CONTROL[[#This Row],[VEHIDCODE]]</f>
        <v>item_steam_Australia_Sidney_Railway_Locomotive_No1</v>
      </c>
      <c r="Q104" s="32" t="str">
        <f>"str_"&amp;CONTROL[[#This Row],[VEHIDCODE]]</f>
        <v>str_steam_Australia_Sidney_Railway_Locomotive_No1</v>
      </c>
    </row>
    <row r="105" spans="1:17">
      <c r="A105" s="2" t="s">
        <v>129</v>
      </c>
      <c r="B105" s="32" t="str">
        <f>_xlfn.TEXTAFTER(CONTROL[[#This Row],[VEHIDCODE]],"_")</f>
        <v>USA_Central_Pacific_4_2_2</v>
      </c>
      <c r="C105" t="s">
        <v>721</v>
      </c>
      <c r="D105" t="s">
        <v>939</v>
      </c>
      <c r="E105">
        <v>4043</v>
      </c>
      <c r="F105" t="s">
        <v>1140</v>
      </c>
      <c r="G105" t="s">
        <v>2431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Row],[VEHIDCODE]],#REF!,0))</f>
        <v>0</v>
      </c>
      <c r="L105" t="b">
        <f>ISNUMBER(_xlfn.XMATCH(CONTROL[[#This Row],[VEHIDCODE]],PROPERTIES[VEHIDCODE],0))</f>
        <v>1</v>
      </c>
      <c r="M105" t="b">
        <f>ISNUMBER(_xlfn.XMATCH(CONTROL[[#This Row],[VEHIDCODE]],#REF!,0))</f>
        <v>0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s="32" t="str">
        <f>"item_"&amp;CONTROL[[#This Row],[VEHIDCODE]]</f>
        <v>item_steam_USA_Central_Pacific_4_2_2</v>
      </c>
      <c r="Q105" s="32" t="str">
        <f>"str_"&amp;CONTROL[[#This Row],[VEHIDCODE]]</f>
        <v>str_steam_USA_Central_Pacific_4_2_2</v>
      </c>
    </row>
    <row r="106" spans="1:17">
      <c r="A106" s="2" t="s">
        <v>130</v>
      </c>
      <c r="B106" s="32" t="str">
        <f>_xlfn.TEXTAFTER(CONTROL[[#This Row],[VEHIDCODE]],"_")</f>
        <v>Netherlands_NS_700</v>
      </c>
      <c r="C106" t="s">
        <v>721</v>
      </c>
      <c r="D106" t="s">
        <v>939</v>
      </c>
      <c r="E106">
        <v>4044</v>
      </c>
      <c r="F106" t="s">
        <v>1141</v>
      </c>
      <c r="G106" t="s">
        <v>2432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Row],[VEHIDCODE]],#REF!,0))</f>
        <v>0</v>
      </c>
      <c r="L106" t="b">
        <f>ISNUMBER(_xlfn.XMATCH(CONTROL[[#This Row],[VEHIDCODE]],PROPERTIES[VEHIDCODE],0))</f>
        <v>1</v>
      </c>
      <c r="M106" t="b">
        <f>ISNUMBER(_xlfn.XMATCH(CONTROL[[#This Row],[VEHIDCODE]],#REF!,0))</f>
        <v>0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s="32" t="str">
        <f>"item_"&amp;CONTROL[[#This Row],[VEHIDCODE]]</f>
        <v>item_steam_Netherlands_NS_700</v>
      </c>
      <c r="Q106" s="32" t="str">
        <f>"str_"&amp;CONTROL[[#This Row],[VEHIDCODE]]</f>
        <v>str_steam_Netherlands_NS_700</v>
      </c>
    </row>
    <row r="107" spans="1:17">
      <c r="A107" s="2" t="s">
        <v>131</v>
      </c>
      <c r="B107" s="32" t="str">
        <f>_xlfn.TEXTAFTER(CONTROL[[#This Row],[VEHIDCODE]],"_")</f>
        <v>South_Africa_Natal_Government_Railways_2_6_0T</v>
      </c>
      <c r="C107" t="s">
        <v>721</v>
      </c>
      <c r="D107" t="s">
        <v>939</v>
      </c>
      <c r="E107">
        <v>4045</v>
      </c>
      <c r="F107" t="s">
        <v>1142</v>
      </c>
      <c r="G107" t="s">
        <v>2433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Row],[VEHIDCODE]],#REF!,0))</f>
        <v>0</v>
      </c>
      <c r="L107" t="b">
        <f>ISNUMBER(_xlfn.XMATCH(CONTROL[[#This Row],[VEHIDCODE]],PROPERTIES[VEHIDCODE],0))</f>
        <v>1</v>
      </c>
      <c r="M107" t="b">
        <f>ISNUMBER(_xlfn.XMATCH(CONTROL[[#This Row],[VEHIDCODE]],#REF!,0))</f>
        <v>0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s="32" t="str">
        <f>"item_"&amp;CONTROL[[#This Row],[VEHIDCODE]]</f>
        <v>item_steam_South_Africa_Natal_Government_Railways_2_6_0T</v>
      </c>
      <c r="Q107" s="32" t="str">
        <f>"str_"&amp;CONTROL[[#This Row],[VEHIDCODE]]</f>
        <v>str_steam_South_Africa_Natal_Government_Railways_2_6_0T</v>
      </c>
    </row>
    <row r="108" spans="1:17">
      <c r="A108" s="2" t="s">
        <v>132</v>
      </c>
      <c r="B108" s="32" t="str">
        <f>_xlfn.TEXTAFTER(CONTROL[[#This Row],[VEHIDCODE]],"_")</f>
        <v>Australia_NSWGR_Z25_Class</v>
      </c>
      <c r="C108" t="s">
        <v>721</v>
      </c>
      <c r="D108" t="s">
        <v>939</v>
      </c>
      <c r="E108">
        <v>4046</v>
      </c>
      <c r="F108" t="s">
        <v>1143</v>
      </c>
      <c r="G108" t="s">
        <v>2434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Row],[VEHIDCODE]],#REF!,0))</f>
        <v>0</v>
      </c>
      <c r="L108" t="b">
        <f>ISNUMBER(_xlfn.XMATCH(CONTROL[[#This Row],[VEHIDCODE]],PROPERTIES[VEHIDCODE],0))</f>
        <v>1</v>
      </c>
      <c r="M108" t="b">
        <f>ISNUMBER(_xlfn.XMATCH(CONTROL[[#This Row],[VEHIDCODE]],#REF!,0))</f>
        <v>0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s="32" t="str">
        <f>"item_"&amp;CONTROL[[#This Row],[VEHIDCODE]]</f>
        <v>item_steam_Australia_NSWGR_Z25_Class</v>
      </c>
      <c r="Q108" s="32" t="str">
        <f>"str_"&amp;CONTROL[[#This Row],[VEHIDCODE]]</f>
        <v>str_steam_Australia_NSWGR_Z25_Class</v>
      </c>
    </row>
    <row r="109" spans="1:17">
      <c r="A109" s="2" t="s">
        <v>133</v>
      </c>
      <c r="B109" s="32" t="str">
        <f>_xlfn.TEXTAFTER(CONTROL[[#This Row],[VEHIDCODE]],"_")</f>
        <v>Canada_Canadian_Pacific_374</v>
      </c>
      <c r="C109" t="s">
        <v>721</v>
      </c>
      <c r="D109" t="s">
        <v>939</v>
      </c>
      <c r="E109">
        <v>4047</v>
      </c>
      <c r="F109" t="s">
        <v>1144</v>
      </c>
      <c r="G109" t="s">
        <v>2436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Row],[VEHIDCODE]],#REF!,0))</f>
        <v>0</v>
      </c>
      <c r="L109" t="b">
        <f>ISNUMBER(_xlfn.XMATCH(CONTROL[[#This Row],[VEHIDCODE]],PROPERTIES[VEHIDCODE],0))</f>
        <v>1</v>
      </c>
      <c r="M109" t="b">
        <f>ISNUMBER(_xlfn.XMATCH(CONTROL[[#This Row],[VEHIDCODE]],#REF!,0))</f>
        <v>0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s="32" t="str">
        <f>"item_"&amp;CONTROL[[#This Row],[VEHIDCODE]]</f>
        <v>item_steam_Canada_Canadian_Pacific_374</v>
      </c>
      <c r="Q109" s="32" t="str">
        <f>"str_"&amp;CONTROL[[#This Row],[VEHIDCODE]]</f>
        <v>str_steam_Canada_Canadian_Pacific_374</v>
      </c>
    </row>
    <row r="110" spans="1:17">
      <c r="A110" s="2" t="s">
        <v>134</v>
      </c>
      <c r="B110" s="32" t="str">
        <f>_xlfn.TEXTAFTER(CONTROL[[#This Row],[VEHIDCODE]],"_")</f>
        <v>South_Africa_PPR_35_tonner_4_6_0T</v>
      </c>
      <c r="C110" t="s">
        <v>721</v>
      </c>
      <c r="D110" t="s">
        <v>939</v>
      </c>
      <c r="E110">
        <v>4072</v>
      </c>
      <c r="F110" t="s">
        <v>1145</v>
      </c>
      <c r="G110" t="s">
        <v>2435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Row],[VEHIDCODE]],#REF!,0))</f>
        <v>0</v>
      </c>
      <c r="L110" t="b">
        <f>ISNUMBER(_xlfn.XMATCH(CONTROL[[#This Row],[VEHIDCODE]],PROPERTIES[VEHIDCODE],0))</f>
        <v>1</v>
      </c>
      <c r="M110" t="b">
        <f>ISNUMBER(_xlfn.XMATCH(CONTROL[[#This Row],[VEHIDCODE]],#REF!,0))</f>
        <v>0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s="32" t="str">
        <f>"item_"&amp;CONTROL[[#This Row],[VEHIDCODE]]</f>
        <v>item_steam_South_Africa_PPR_35_tonner_4_6_0T</v>
      </c>
      <c r="Q110" s="32" t="str">
        <f>"str_"&amp;CONTROL[[#This Row],[VEHIDCODE]]</f>
        <v>str_steam_South_Africa_PPR_35_tonner_4_6_0T</v>
      </c>
    </row>
    <row r="111" spans="1:17">
      <c r="A111" s="2" t="s">
        <v>135</v>
      </c>
      <c r="B111" s="32" t="str">
        <f>_xlfn.TEXTAFTER(CONTROL[[#This Row],[VEHIDCODE]],"_")</f>
        <v>Spain_RENFE_Class_040</v>
      </c>
      <c r="C111" t="s">
        <v>721</v>
      </c>
      <c r="D111" t="s">
        <v>939</v>
      </c>
      <c r="E111">
        <v>4050</v>
      </c>
      <c r="F111" t="s">
        <v>1146</v>
      </c>
      <c r="G111" t="s">
        <v>2437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Row],[VEHIDCODE]],#REF!,0))</f>
        <v>0</v>
      </c>
      <c r="L111" t="b">
        <f>ISNUMBER(_xlfn.XMATCH(CONTROL[[#This Row],[VEHIDCODE]],PROPERTIES[VEHIDCODE],0))</f>
        <v>1</v>
      </c>
      <c r="M111" t="b">
        <f>ISNUMBER(_xlfn.XMATCH(CONTROL[[#This Row],[VEHIDCODE]],#REF!,0))</f>
        <v>0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s="32" t="str">
        <f>"item_"&amp;CONTROL[[#This Row],[VEHIDCODE]]</f>
        <v>item_steam_Spain_RENFE_Class_040</v>
      </c>
      <c r="Q111" s="32" t="str">
        <f>"str_"&amp;CONTROL[[#This Row],[VEHIDCODE]]</f>
        <v>str_steam_Spain_RENFE_Class_040</v>
      </c>
    </row>
    <row r="112" spans="1:17">
      <c r="A112" s="2" t="s">
        <v>136</v>
      </c>
      <c r="B112" s="32" t="str">
        <f>_xlfn.TEXTAFTER(CONTROL[[#This Row],[VEHIDCODE]],"_")</f>
        <v>Germany_Saxon_IV_K</v>
      </c>
      <c r="C112" t="s">
        <v>721</v>
      </c>
      <c r="D112" t="s">
        <v>939</v>
      </c>
      <c r="E112">
        <v>4051</v>
      </c>
      <c r="F112" t="s">
        <v>2294</v>
      </c>
      <c r="G112" t="s">
        <v>2438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Row],[VEHIDCODE]],#REF!,0))</f>
        <v>0</v>
      </c>
      <c r="L112" t="b">
        <f>ISNUMBER(_xlfn.XMATCH(CONTROL[[#This Row],[VEHIDCODE]],PROPERTIES[VEHIDCODE],0))</f>
        <v>1</v>
      </c>
      <c r="M112" t="b">
        <f>ISNUMBER(_xlfn.XMATCH(CONTROL[[#This Row],[VEHIDCODE]],#REF!,0))</f>
        <v>0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s="32" t="str">
        <f>"item_"&amp;CONTROL[[#This Row],[VEHIDCODE]]</f>
        <v>item_steam_Germany_Saxon_IV_K</v>
      </c>
      <c r="Q112" s="32" t="str">
        <f>"str_"&amp;CONTROL[[#This Row],[VEHIDCODE]]</f>
        <v>str_steam_Germany_Saxon_IV_K</v>
      </c>
    </row>
    <row r="113" spans="1:17">
      <c r="A113" s="2" t="s">
        <v>137</v>
      </c>
      <c r="B113" s="32" t="str">
        <f>_xlfn.TEXTAFTER(CONTROL[[#This Row],[VEHIDCODE]],"_")</f>
        <v>Germany_Prussian_S_3</v>
      </c>
      <c r="C113" t="s">
        <v>721</v>
      </c>
      <c r="D113" t="s">
        <v>939</v>
      </c>
      <c r="E113">
        <v>4052</v>
      </c>
      <c r="F113" t="s">
        <v>1147</v>
      </c>
      <c r="G113" t="s">
        <v>2439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Row],[VEHIDCODE]],#REF!,0))</f>
        <v>0</v>
      </c>
      <c r="L113" t="b">
        <f>ISNUMBER(_xlfn.XMATCH(CONTROL[[#This Row],[VEHIDCODE]],PROPERTIES[VEHIDCODE],0))</f>
        <v>1</v>
      </c>
      <c r="M113" t="b">
        <f>ISNUMBER(_xlfn.XMATCH(CONTROL[[#This Row],[VEHIDCODE]],#REF!,0))</f>
        <v>0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s="32" t="str">
        <f>"item_"&amp;CONTROL[[#This Row],[VEHIDCODE]]</f>
        <v>item_steam_Germany_Prussian_S_3</v>
      </c>
      <c r="Q113" s="32" t="str">
        <f>"str_"&amp;CONTROL[[#This Row],[VEHIDCODE]]</f>
        <v>str_steam_Germany_Prussian_S_3</v>
      </c>
    </row>
    <row r="114" spans="1:17">
      <c r="A114" s="2" t="s">
        <v>138</v>
      </c>
      <c r="B114" s="32" t="str">
        <f>_xlfn.TEXTAFTER(CONTROL[[#This Row],[VEHIDCODE]],"_")</f>
        <v>Norway_NSB_Class_XXI</v>
      </c>
      <c r="C114" t="s">
        <v>721</v>
      </c>
      <c r="D114" t="s">
        <v>939</v>
      </c>
      <c r="E114">
        <v>4053</v>
      </c>
      <c r="F114" t="s">
        <v>1148</v>
      </c>
      <c r="G114" t="s">
        <v>2440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Row],[VEHIDCODE]],#REF!,0))</f>
        <v>0</v>
      </c>
      <c r="L114" t="b">
        <f>ISNUMBER(_xlfn.XMATCH(CONTROL[[#This Row],[VEHIDCODE]],PROPERTIES[VEHIDCODE],0))</f>
        <v>1</v>
      </c>
      <c r="M114" t="b">
        <f>ISNUMBER(_xlfn.XMATCH(CONTROL[[#This Row],[VEHIDCODE]],#REF!,0))</f>
        <v>0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s="32" t="str">
        <f>"item_"&amp;CONTROL[[#This Row],[VEHIDCODE]]</f>
        <v>item_steam_Norway_NSB_Class_XXI</v>
      </c>
      <c r="Q114" s="32" t="str">
        <f>"str_"&amp;CONTROL[[#This Row],[VEHIDCODE]]</f>
        <v>str_steam_Norway_NSB_Class_XXI</v>
      </c>
    </row>
    <row r="115" spans="1:17">
      <c r="A115" s="2" t="s">
        <v>139</v>
      </c>
      <c r="B115" s="32" t="str">
        <f>_xlfn.TEXTAFTER(CONTROL[[#This Row],[VEHIDCODE]],"_")</f>
        <v>USA_PRR_D16</v>
      </c>
      <c r="C115" t="s">
        <v>721</v>
      </c>
      <c r="D115" t="s">
        <v>939</v>
      </c>
      <c r="E115">
        <v>4054</v>
      </c>
      <c r="F115" t="s">
        <v>1149</v>
      </c>
      <c r="G115" t="s">
        <v>2441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Row],[VEHIDCODE]],#REF!,0))</f>
        <v>0</v>
      </c>
      <c r="L115" t="b">
        <f>ISNUMBER(_xlfn.XMATCH(CONTROL[[#This Row],[VEHIDCODE]],PROPERTIES[VEHIDCODE],0))</f>
        <v>1</v>
      </c>
      <c r="M115" t="b">
        <f>ISNUMBER(_xlfn.XMATCH(CONTROL[[#This Row],[VEHIDCODE]],#REF!,0))</f>
        <v>0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s="32" t="str">
        <f>"item_"&amp;CONTROL[[#This Row],[VEHIDCODE]]</f>
        <v>item_steam_USA_PRR_D16</v>
      </c>
      <c r="Q115" s="32" t="str">
        <f>"str_"&amp;CONTROL[[#This Row],[VEHIDCODE]]</f>
        <v>str_steam_USA_PRR_D16</v>
      </c>
    </row>
    <row r="116" spans="1:17">
      <c r="A116" s="2" t="s">
        <v>140</v>
      </c>
      <c r="B116" s="32" t="str">
        <f>_xlfn.TEXTAFTER(CONTROL[[#This Row],[VEHIDCODE]],"_")</f>
        <v>Netherlands_NS_8100</v>
      </c>
      <c r="C116" t="s">
        <v>721</v>
      </c>
      <c r="D116" t="s">
        <v>939</v>
      </c>
      <c r="E116">
        <v>4055</v>
      </c>
      <c r="F116" t="s">
        <v>1150</v>
      </c>
      <c r="G116" t="s">
        <v>2442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Row],[VEHIDCODE]],#REF!,0))</f>
        <v>0</v>
      </c>
      <c r="L116" t="b">
        <f>ISNUMBER(_xlfn.XMATCH(CONTROL[[#This Row],[VEHIDCODE]],PROPERTIES[VEHIDCODE],0))</f>
        <v>1</v>
      </c>
      <c r="M116" t="b">
        <f>ISNUMBER(_xlfn.XMATCH(CONTROL[[#This Row],[VEHIDCODE]],#REF!,0))</f>
        <v>0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s="32" t="str">
        <f>"item_"&amp;CONTROL[[#This Row],[VEHIDCODE]]</f>
        <v>item_steam_Netherlands_NS_8100</v>
      </c>
      <c r="Q116" s="32" t="str">
        <f>"str_"&amp;CONTROL[[#This Row],[VEHIDCODE]]</f>
        <v>str_steam_Netherlands_NS_8100</v>
      </c>
    </row>
    <row r="117" spans="1:17">
      <c r="A117" s="2" t="s">
        <v>141</v>
      </c>
      <c r="B117" s="32" t="str">
        <f>_xlfn.TEXTAFTER(CONTROL[[#This Row],[VEHIDCODE]],"_")</f>
        <v>South_Africa_SAR_MD_Class</v>
      </c>
      <c r="C117" t="s">
        <v>721</v>
      </c>
      <c r="D117" t="s">
        <v>939</v>
      </c>
      <c r="E117">
        <v>4056</v>
      </c>
      <c r="F117" t="s">
        <v>2443</v>
      </c>
      <c r="G117" t="s">
        <v>2444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Row],[VEHIDCODE]],#REF!,0))</f>
        <v>0</v>
      </c>
      <c r="L117" t="b">
        <f>ISNUMBER(_xlfn.XMATCH(CONTROL[[#This Row],[VEHIDCODE]],PROPERTIES[VEHIDCODE],0))</f>
        <v>1</v>
      </c>
      <c r="M117" t="b">
        <f>ISNUMBER(_xlfn.XMATCH(CONTROL[[#This Row],[VEHIDCODE]],#REF!,0))</f>
        <v>0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s="32" t="str">
        <f>"item_"&amp;CONTROL[[#This Row],[VEHIDCODE]]</f>
        <v>item_steam_South_Africa_SAR_MD_Class</v>
      </c>
      <c r="Q117" s="32" t="str">
        <f>"str_"&amp;CONTROL[[#This Row],[VEHIDCODE]]</f>
        <v>str_steam_South_Africa_SAR_MD_Class</v>
      </c>
    </row>
    <row r="118" spans="1:17">
      <c r="A118" s="2" t="s">
        <v>142</v>
      </c>
      <c r="B118" s="32" t="str">
        <f>_xlfn.TEXTAFTER(CONTROL[[#This Row],[VEHIDCODE]],"_")</f>
        <v>Angola_South_West_African_2_8_0</v>
      </c>
      <c r="C118" t="s">
        <v>721</v>
      </c>
      <c r="D118" t="s">
        <v>939</v>
      </c>
      <c r="E118">
        <v>4057</v>
      </c>
      <c r="F118" t="s">
        <v>2446</v>
      </c>
      <c r="G118" t="s">
        <v>2445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Row],[VEHIDCODE]],#REF!,0))</f>
        <v>0</v>
      </c>
      <c r="L118" t="b">
        <f>ISNUMBER(_xlfn.XMATCH(CONTROL[[#This Row],[VEHIDCODE]],PROPERTIES[VEHIDCODE],0))</f>
        <v>1</v>
      </c>
      <c r="M118" t="b">
        <f>ISNUMBER(_xlfn.XMATCH(CONTROL[[#This Row],[VEHIDCODE]],#REF!,0))</f>
        <v>0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s="32" t="str">
        <f>"item_"&amp;CONTROL[[#This Row],[VEHIDCODE]]</f>
        <v>item_steam_Angola_South_West_African_2_8_0</v>
      </c>
      <c r="Q118" s="32" t="str">
        <f>"str_"&amp;CONTROL[[#This Row],[VEHIDCODE]]</f>
        <v>str_steam_Angola_South_West_African_2_8_0</v>
      </c>
    </row>
    <row r="119" spans="1:17">
      <c r="A119" s="2" t="s">
        <v>143</v>
      </c>
      <c r="B119" s="32" t="str">
        <f>_xlfn.TEXTAFTER(CONTROL[[#This Row],[VEHIDCODE]],"_")</f>
        <v>UK_LNER_N7</v>
      </c>
      <c r="C119" t="s">
        <v>721</v>
      </c>
      <c r="D119" t="s">
        <v>939</v>
      </c>
      <c r="E119">
        <v>4058</v>
      </c>
      <c r="F119" t="s">
        <v>1151</v>
      </c>
      <c r="G119" t="s">
        <v>2447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Row],[VEHIDCODE]],#REF!,0))</f>
        <v>0</v>
      </c>
      <c r="L119" t="b">
        <f>ISNUMBER(_xlfn.XMATCH(CONTROL[[#This Row],[VEHIDCODE]],PROPERTIES[VEHIDCODE],0))</f>
        <v>1</v>
      </c>
      <c r="M119" t="b">
        <f>ISNUMBER(_xlfn.XMATCH(CONTROL[[#This Row],[VEHIDCODE]],#REF!,0))</f>
        <v>0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s="32" t="str">
        <f>"item_"&amp;CONTROL[[#This Row],[VEHIDCODE]]</f>
        <v>item_steam_UK_LNER_N7</v>
      </c>
      <c r="Q119" s="32" t="str">
        <f>"str_"&amp;CONTROL[[#This Row],[VEHIDCODE]]</f>
        <v>str_steam_UK_LNER_N7</v>
      </c>
    </row>
    <row r="120" spans="1:17">
      <c r="A120" s="2" t="s">
        <v>144</v>
      </c>
      <c r="B120" s="32" t="str">
        <f>_xlfn.TEXTAFTER(CONTROL[[#This Row],[VEHIDCODE]],"_")</f>
        <v>Germany_Saxon_XX_HV</v>
      </c>
      <c r="C120" t="s">
        <v>721</v>
      </c>
      <c r="D120" t="s">
        <v>939</v>
      </c>
      <c r="E120">
        <v>4059</v>
      </c>
      <c r="F120" t="s">
        <v>2293</v>
      </c>
      <c r="G120" t="s">
        <v>2448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Row],[VEHIDCODE]],#REF!,0))</f>
        <v>0</v>
      </c>
      <c r="L120" t="b">
        <f>ISNUMBER(_xlfn.XMATCH(CONTROL[[#This Row],[VEHIDCODE]],PROPERTIES[VEHIDCODE],0))</f>
        <v>1</v>
      </c>
      <c r="M120" t="b">
        <f>ISNUMBER(_xlfn.XMATCH(CONTROL[[#This Row],[VEHIDCODE]],#REF!,0))</f>
        <v>0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s="32" t="str">
        <f>"item_"&amp;CONTROL[[#This Row],[VEHIDCODE]]</f>
        <v>item_steam_Germany_Saxon_XX_HV</v>
      </c>
      <c r="Q120" s="32" t="str">
        <f>"str_"&amp;CONTROL[[#This Row],[VEHIDCODE]]</f>
        <v>str_steam_Germany_Saxon_XX_HV</v>
      </c>
    </row>
    <row r="121" spans="1:17">
      <c r="A121" s="2" t="s">
        <v>145</v>
      </c>
      <c r="B121" s="32" t="str">
        <f>_xlfn.TEXTAFTER(CONTROL[[#This Row],[VEHIDCODE]],"_")</f>
        <v>Belgium_NMBS_Type_7</v>
      </c>
      <c r="C121" t="s">
        <v>721</v>
      </c>
      <c r="D121" t="s">
        <v>939</v>
      </c>
      <c r="E121">
        <v>4060</v>
      </c>
      <c r="F121" t="s">
        <v>1152</v>
      </c>
      <c r="G121" t="s">
        <v>2449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Row],[VEHIDCODE]],#REF!,0))</f>
        <v>0</v>
      </c>
      <c r="L121" t="b">
        <f>ISNUMBER(_xlfn.XMATCH(CONTROL[[#This Row],[VEHIDCODE]],PROPERTIES[VEHIDCODE],0))</f>
        <v>1</v>
      </c>
      <c r="M121" t="b">
        <f>ISNUMBER(_xlfn.XMATCH(CONTROL[[#This Row],[VEHIDCODE]],#REF!,0))</f>
        <v>0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s="32" t="str">
        <f>"item_"&amp;CONTROL[[#This Row],[VEHIDCODE]]</f>
        <v>item_steam_Belgium_NMBS_Type_7</v>
      </c>
      <c r="Q121" s="32" t="str">
        <f>"str_"&amp;CONTROL[[#This Row],[VEHIDCODE]]</f>
        <v>str_steam_Belgium_NMBS_Type_7</v>
      </c>
    </row>
    <row r="122" spans="1:17">
      <c r="A122" s="2" t="s">
        <v>146</v>
      </c>
      <c r="B122" s="32" t="str">
        <f>_xlfn.TEXTAFTER(CONTROL[[#This Row],[VEHIDCODE]],"_")</f>
        <v>Ireland_DSER_15</v>
      </c>
      <c r="C122" t="s">
        <v>721</v>
      </c>
      <c r="D122" t="s">
        <v>939</v>
      </c>
      <c r="E122">
        <v>4061</v>
      </c>
      <c r="F122" t="s">
        <v>1153</v>
      </c>
      <c r="G122" t="s">
        <v>2450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Row],[VEHIDCODE]],#REF!,0))</f>
        <v>0</v>
      </c>
      <c r="L122" t="b">
        <f>ISNUMBER(_xlfn.XMATCH(CONTROL[[#This Row],[VEHIDCODE]],PROPERTIES[VEHIDCODE],0))</f>
        <v>1</v>
      </c>
      <c r="M122" t="b">
        <f>ISNUMBER(_xlfn.XMATCH(CONTROL[[#This Row],[VEHIDCODE]],#REF!,0))</f>
        <v>0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s="32" t="str">
        <f>"item_"&amp;CONTROL[[#This Row],[VEHIDCODE]]</f>
        <v>item_steam_Ireland_DSER_15</v>
      </c>
      <c r="Q122" s="32" t="str">
        <f>"str_"&amp;CONTROL[[#This Row],[VEHIDCODE]]</f>
        <v>str_steam_Ireland_DSER_15</v>
      </c>
    </row>
    <row r="123" spans="1:17">
      <c r="A123" s="2" t="s">
        <v>147</v>
      </c>
      <c r="B123" s="32" t="str">
        <f>_xlfn.TEXTAFTER(CONTROL[[#This Row],[VEHIDCODE]],"_")</f>
        <v>USA_Sierra_Railroad_28</v>
      </c>
      <c r="C123" t="s">
        <v>721</v>
      </c>
      <c r="D123" t="s">
        <v>939</v>
      </c>
      <c r="E123">
        <v>4062</v>
      </c>
      <c r="F123" t="s">
        <v>1154</v>
      </c>
      <c r="G123" t="s">
        <v>2451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Row],[VEHIDCODE]],#REF!,0))</f>
        <v>0</v>
      </c>
      <c r="L123" t="b">
        <f>ISNUMBER(_xlfn.XMATCH(CONTROL[[#This Row],[VEHIDCODE]],PROPERTIES[VEHIDCODE],0))</f>
        <v>1</v>
      </c>
      <c r="M123" t="b">
        <f>ISNUMBER(_xlfn.XMATCH(CONTROL[[#This Row],[VEHIDCODE]],#REF!,0))</f>
        <v>0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s="32" t="str">
        <f>"item_"&amp;CONTROL[[#This Row],[VEHIDCODE]]</f>
        <v>item_steam_USA_Sierra_Railroad_28</v>
      </c>
      <c r="Q123" s="32" t="str">
        <f>"str_"&amp;CONTROL[[#This Row],[VEHIDCODE]]</f>
        <v>str_steam_USA_Sierra_Railroad_28</v>
      </c>
    </row>
    <row r="124" spans="1:17">
      <c r="A124" s="2" t="s">
        <v>148</v>
      </c>
      <c r="B124" s="32" t="str">
        <f>_xlfn.TEXTAFTER(CONTROL[[#This Row],[VEHIDCODE]],"_")</f>
        <v>Canada_CN_U_1_Class</v>
      </c>
      <c r="C124" t="s">
        <v>721</v>
      </c>
      <c r="D124" t="s">
        <v>939</v>
      </c>
      <c r="E124">
        <v>4063</v>
      </c>
      <c r="F124" t="s">
        <v>1155</v>
      </c>
      <c r="G124" t="s">
        <v>2452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Row],[VEHIDCODE]],#REF!,0))</f>
        <v>0</v>
      </c>
      <c r="L124" t="b">
        <f>ISNUMBER(_xlfn.XMATCH(CONTROL[[#This Row],[VEHIDCODE]],PROPERTIES[VEHIDCODE],0))</f>
        <v>1</v>
      </c>
      <c r="M124" t="b">
        <f>ISNUMBER(_xlfn.XMATCH(CONTROL[[#This Row],[VEHIDCODE]],#REF!,0))</f>
        <v>0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s="32" t="str">
        <f>"item_"&amp;CONTROL[[#This Row],[VEHIDCODE]]</f>
        <v>item_steam_Canada_CN_U_1_Class</v>
      </c>
      <c r="Q124" s="32" t="str">
        <f>"str_"&amp;CONTROL[[#This Row],[VEHIDCODE]]</f>
        <v>str_steam_Canada_CN_U_1_Class</v>
      </c>
    </row>
    <row r="125" spans="1:17">
      <c r="A125" s="2" t="s">
        <v>149</v>
      </c>
      <c r="B125" s="32" t="str">
        <f>_xlfn.TEXTAFTER(CONTROL[[#This Row],[VEHIDCODE]],"_")</f>
        <v>India_Indian_Railways_XB_Class</v>
      </c>
      <c r="C125" t="s">
        <v>721</v>
      </c>
      <c r="D125" t="s">
        <v>939</v>
      </c>
      <c r="E125">
        <v>4064</v>
      </c>
      <c r="F125" t="s">
        <v>1156</v>
      </c>
      <c r="G125" t="s">
        <v>2453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Row],[VEHIDCODE]],#REF!,0))</f>
        <v>0</v>
      </c>
      <c r="L125" t="b">
        <f>ISNUMBER(_xlfn.XMATCH(CONTROL[[#This Row],[VEHIDCODE]],PROPERTIES[VEHIDCODE],0))</f>
        <v>1</v>
      </c>
      <c r="M125" t="b">
        <f>ISNUMBER(_xlfn.XMATCH(CONTROL[[#This Row],[VEHIDCODE]],#REF!,0))</f>
        <v>0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s="32" t="str">
        <f>"item_"&amp;CONTROL[[#This Row],[VEHIDCODE]]</f>
        <v>item_steam_India_Indian_Railways_XB_Class</v>
      </c>
      <c r="Q125" s="32" t="str">
        <f>"str_"&amp;CONTROL[[#This Row],[VEHIDCODE]]</f>
        <v>str_steam_India_Indian_Railways_XB_Class</v>
      </c>
    </row>
    <row r="126" spans="1:17">
      <c r="A126" s="2" t="s">
        <v>150</v>
      </c>
      <c r="B126" s="32" t="str">
        <f>_xlfn.TEXTAFTER(CONTROL[[#This Row],[VEHIDCODE]],"_")</f>
        <v>Iraq_Iraqi_State_Railways_PC_Class</v>
      </c>
      <c r="C126" t="s">
        <v>721</v>
      </c>
      <c r="D126" t="s">
        <v>939</v>
      </c>
      <c r="E126">
        <v>4065</v>
      </c>
      <c r="F126" t="s">
        <v>1157</v>
      </c>
      <c r="G126" t="s">
        <v>2454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Row],[VEHIDCODE]],#REF!,0))</f>
        <v>0</v>
      </c>
      <c r="L126" t="b">
        <f>ISNUMBER(_xlfn.XMATCH(CONTROL[[#This Row],[VEHIDCODE]],PROPERTIES[VEHIDCODE],0))</f>
        <v>1</v>
      </c>
      <c r="M126" t="b">
        <f>ISNUMBER(_xlfn.XMATCH(CONTROL[[#This Row],[VEHIDCODE]],#REF!,0))</f>
        <v>0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s="32" t="str">
        <f>"item_"&amp;CONTROL[[#This Row],[VEHIDCODE]]</f>
        <v>item_steam_Iraq_Iraqi_State_Railways_PC_Class</v>
      </c>
      <c r="Q126" s="32" t="str">
        <f>"str_"&amp;CONTROL[[#This Row],[VEHIDCODE]]</f>
        <v>str_steam_Iraq_Iraqi_State_Railways_PC_Class</v>
      </c>
    </row>
    <row r="127" spans="1:17">
      <c r="A127" s="2" t="s">
        <v>151</v>
      </c>
      <c r="B127" s="32" t="str">
        <f>_xlfn.TEXTAFTER(CONTROL[[#This Row],[VEHIDCODE]],"_")</f>
        <v>Egypt_ENR_1100</v>
      </c>
      <c r="C127" t="s">
        <v>721</v>
      </c>
      <c r="D127" t="s">
        <v>939</v>
      </c>
      <c r="E127">
        <v>4066</v>
      </c>
      <c r="F127" t="s">
        <v>2455</v>
      </c>
      <c r="G127" t="s">
        <v>1776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Row],[VEHIDCODE]],#REF!,0))</f>
        <v>0</v>
      </c>
      <c r="L127" t="b">
        <f>ISNUMBER(_xlfn.XMATCH(CONTROL[[#This Row],[VEHIDCODE]],PROPERTIES[VEHIDCODE],0))</f>
        <v>1</v>
      </c>
      <c r="M127" t="b">
        <f>ISNUMBER(_xlfn.XMATCH(CONTROL[[#This Row],[VEHIDCODE]],#REF!,0))</f>
        <v>0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s="32" t="str">
        <f>"item_"&amp;CONTROL[[#This Row],[VEHIDCODE]]</f>
        <v>item_steam_Egypt_ENR_1100</v>
      </c>
      <c r="Q127" s="32" t="str">
        <f>"str_"&amp;CONTROL[[#This Row],[VEHIDCODE]]</f>
        <v>str_steam_Egypt_ENR_1100</v>
      </c>
    </row>
    <row r="128" spans="1:17">
      <c r="A128" s="2" t="s">
        <v>152</v>
      </c>
      <c r="B128" s="32" t="str">
        <f>_xlfn.TEXTAFTER(CONTROL[[#This Row],[VEHIDCODE]],"_")</f>
        <v>UK_GWR_1600_Class</v>
      </c>
      <c r="C128" t="s">
        <v>721</v>
      </c>
      <c r="D128" t="s">
        <v>939</v>
      </c>
      <c r="E128">
        <v>4068</v>
      </c>
      <c r="F128" t="s">
        <v>1158</v>
      </c>
      <c r="G128" t="s">
        <v>2456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Row],[VEHIDCODE]],#REF!,0))</f>
        <v>0</v>
      </c>
      <c r="L128" t="b">
        <f>ISNUMBER(_xlfn.XMATCH(CONTROL[[#This Row],[VEHIDCODE]],PROPERTIES[VEHIDCODE],0))</f>
        <v>1</v>
      </c>
      <c r="M128" t="b">
        <f>ISNUMBER(_xlfn.XMATCH(CONTROL[[#This Row],[VEHIDCODE]],#REF!,0))</f>
        <v>0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s="32" t="str">
        <f>"item_"&amp;CONTROL[[#This Row],[VEHIDCODE]]</f>
        <v>item_steam_UK_GWR_1600_Class</v>
      </c>
      <c r="Q128" s="32" t="str">
        <f>"str_"&amp;CONTROL[[#This Row],[VEHIDCODE]]</f>
        <v>str_steam_UK_GWR_1600_Class</v>
      </c>
    </row>
    <row r="129" spans="1:17">
      <c r="A129" s="2" t="s">
        <v>153</v>
      </c>
      <c r="B129" s="32" t="str">
        <f>_xlfn.TEXTAFTER(CONTROL[[#This Row],[VEHIDCODE]],"_")</f>
        <v>Australia_Victorian_Railways_R_Class</v>
      </c>
      <c r="C129" t="s">
        <v>721</v>
      </c>
      <c r="D129" t="s">
        <v>939</v>
      </c>
      <c r="E129">
        <v>4069</v>
      </c>
      <c r="F129" t="s">
        <v>1159</v>
      </c>
      <c r="G129" t="s">
        <v>2457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Row],[VEHIDCODE]],#REF!,0))</f>
        <v>0</v>
      </c>
      <c r="L129" t="b">
        <f>ISNUMBER(_xlfn.XMATCH(CONTROL[[#This Row],[VEHIDCODE]],PROPERTIES[VEHIDCODE],0))</f>
        <v>1</v>
      </c>
      <c r="M129" t="b">
        <f>ISNUMBER(_xlfn.XMATCH(CONTROL[[#This Row],[VEHIDCODE]],#REF!,0))</f>
        <v>0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s="32" t="str">
        <f>"item_"&amp;CONTROL[[#This Row],[VEHIDCODE]]</f>
        <v>item_steam_Australia_Victorian_Railways_R_Class</v>
      </c>
      <c r="Q129" s="32" t="str">
        <f>"str_"&amp;CONTROL[[#This Row],[VEHIDCODE]]</f>
        <v>str_steam_Australia_Victorian_Railways_R_Class</v>
      </c>
    </row>
    <row r="130" spans="1:17">
      <c r="A130" s="2" t="s">
        <v>154</v>
      </c>
      <c r="B130" s="32" t="str">
        <f>_xlfn.TEXTAFTER(CONTROL[[#This Row],[VEHIDCODE]],"_")</f>
        <v>Germany_DB_9977_79</v>
      </c>
      <c r="C130" t="s">
        <v>721</v>
      </c>
      <c r="D130" t="s">
        <v>939</v>
      </c>
      <c r="E130">
        <v>4070</v>
      </c>
      <c r="F130" t="s">
        <v>1160</v>
      </c>
      <c r="G130" t="s">
        <v>2458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Row],[VEHIDCODE]],#REF!,0))</f>
        <v>0</v>
      </c>
      <c r="L130" t="b">
        <f>ISNUMBER(_xlfn.XMATCH(CONTROL[[#This Row],[VEHIDCODE]],PROPERTIES[VEHIDCODE],0))</f>
        <v>1</v>
      </c>
      <c r="M130" t="b">
        <f>ISNUMBER(_xlfn.XMATCH(CONTROL[[#This Row],[VEHIDCODE]],#REF!,0))</f>
        <v>0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s="32" t="str">
        <f>"item_"&amp;CONTROL[[#This Row],[VEHIDCODE]]</f>
        <v>item_steam_Germany_DB_9977_79</v>
      </c>
      <c r="Q130" s="32" t="str">
        <f>"str_"&amp;CONTROL[[#This Row],[VEHIDCODE]]</f>
        <v>str_steam_Germany_DB_9977_79</v>
      </c>
    </row>
    <row r="131" spans="1:17">
      <c r="A131" s="2" t="s">
        <v>155</v>
      </c>
      <c r="B131" s="32" t="str">
        <f>_xlfn.TEXTAFTER(CONTROL[[#This Row],[VEHIDCODE]],"_")</f>
        <v>Germany_DB_18_201</v>
      </c>
      <c r="C131" t="s">
        <v>721</v>
      </c>
      <c r="D131" t="s">
        <v>939</v>
      </c>
      <c r="E131">
        <v>4071</v>
      </c>
      <c r="F131" t="s">
        <v>1161</v>
      </c>
      <c r="G131" t="s">
        <v>2459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Row],[VEHIDCODE]],#REF!,0))</f>
        <v>0</v>
      </c>
      <c r="L131" t="b">
        <f>ISNUMBER(_xlfn.XMATCH(CONTROL[[#This Row],[VEHIDCODE]],PROPERTIES[VEHIDCODE],0))</f>
        <v>1</v>
      </c>
      <c r="M131" t="b">
        <f>ISNUMBER(_xlfn.XMATCH(CONTROL[[#This Row],[VEHIDCODE]],#REF!,0))</f>
        <v>0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s="32" t="str">
        <f>"item_"&amp;CONTROL[[#This Row],[VEHIDCODE]]</f>
        <v>item_steam_Germany_DB_18_201</v>
      </c>
      <c r="Q131" s="32" t="str">
        <f>"str_"&amp;CONTROL[[#This Row],[VEHIDCODE]]</f>
        <v>str_steam_Germany_DB_18_201</v>
      </c>
    </row>
    <row r="132" spans="1:17">
      <c r="A132" s="2" t="s">
        <v>156</v>
      </c>
      <c r="B132" s="32" t="str">
        <f>_xlfn.TEXTAFTER(CONTROL[[#This Row],[VEHIDCODE]],"_")</f>
        <v>New_Zealand_NZR_WAB</v>
      </c>
      <c r="C132" t="s">
        <v>721</v>
      </c>
      <c r="D132" t="s">
        <v>939</v>
      </c>
      <c r="E132">
        <v>4090</v>
      </c>
      <c r="F132" t="s">
        <v>1162</v>
      </c>
      <c r="G132" t="s">
        <v>2460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Row],[VEHIDCODE]],#REF!,0))</f>
        <v>0</v>
      </c>
      <c r="L132" t="b">
        <f>ISNUMBER(_xlfn.XMATCH(CONTROL[[#This Row],[VEHIDCODE]],PROPERTIES[VEHIDCODE],0))</f>
        <v>1</v>
      </c>
      <c r="M132" t="b">
        <f>ISNUMBER(_xlfn.XMATCH(CONTROL[[#This Row],[VEHIDCODE]],#REF!,0))</f>
        <v>0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s="32" t="str">
        <f>"item_"&amp;CONTROL[[#This Row],[VEHIDCODE]]</f>
        <v>item_steam_New_Zealand_NZR_WAB</v>
      </c>
      <c r="Q132" s="32" t="str">
        <f>"str_"&amp;CONTROL[[#This Row],[VEHIDCODE]]</f>
        <v>str_steam_New_Zealand_NZR_WAB</v>
      </c>
    </row>
    <row r="133" spans="1:17">
      <c r="A133" s="2" t="s">
        <v>157</v>
      </c>
      <c r="B133" s="32" t="str">
        <f>_xlfn.TEXTAFTER(CONTROL[[#This Row],[VEHIDCODE]],"_")</f>
        <v>Australia_NSWGR_D57</v>
      </c>
      <c r="C133" t="s">
        <v>721</v>
      </c>
      <c r="D133" t="s">
        <v>939</v>
      </c>
      <c r="E133">
        <v>4095</v>
      </c>
      <c r="F133" t="s">
        <v>1163</v>
      </c>
      <c r="G133" t="s">
        <v>2461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Row],[VEHIDCODE]],#REF!,0))</f>
        <v>0</v>
      </c>
      <c r="L133" t="b">
        <f>ISNUMBER(_xlfn.XMATCH(CONTROL[[#This Row],[VEHIDCODE]],PROPERTIES[VEHIDCODE],0))</f>
        <v>1</v>
      </c>
      <c r="M133" t="b">
        <f>ISNUMBER(_xlfn.XMATCH(CONTROL[[#This Row],[VEHIDCODE]],#REF!,0))</f>
        <v>0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s="32" t="str">
        <f>"item_"&amp;CONTROL[[#This Row],[VEHIDCODE]]</f>
        <v>item_steam_Australia_NSWGR_D57</v>
      </c>
      <c r="Q133" s="32" t="str">
        <f>"str_"&amp;CONTROL[[#This Row],[VEHIDCODE]]</f>
        <v>str_steam_Australia_NSWGR_D57</v>
      </c>
    </row>
    <row r="134" spans="1:17">
      <c r="A134" s="2" t="s">
        <v>158</v>
      </c>
      <c r="B134" s="32" t="str">
        <f>_xlfn.TEXTAFTER(CONTROL[[#This Row],[VEHIDCODE]],"_")</f>
        <v>Australia_South_Australian_Railways_520</v>
      </c>
      <c r="C134" t="s">
        <v>721</v>
      </c>
      <c r="D134" t="s">
        <v>939</v>
      </c>
      <c r="E134">
        <v>4101</v>
      </c>
      <c r="F134" t="s">
        <v>1164</v>
      </c>
      <c r="G134" t="s">
        <v>2462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Row],[VEHIDCODE]],#REF!,0))</f>
        <v>0</v>
      </c>
      <c r="L134" t="b">
        <f>ISNUMBER(_xlfn.XMATCH(CONTROL[[#This Row],[VEHIDCODE]],PROPERTIES[VEHIDCODE],0))</f>
        <v>1</v>
      </c>
      <c r="M134" t="b">
        <f>ISNUMBER(_xlfn.XMATCH(CONTROL[[#This Row],[VEHIDCODE]],#REF!,0))</f>
        <v>0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s="32" t="str">
        <f>"item_"&amp;CONTROL[[#This Row],[VEHIDCODE]]</f>
        <v>item_steam_Australia_South_Australian_Railways_520</v>
      </c>
      <c r="Q134" s="32" t="str">
        <f>"str_"&amp;CONTROL[[#This Row],[VEHIDCODE]]</f>
        <v>str_steam_Australia_South_Australian_Railways_520</v>
      </c>
    </row>
    <row r="135" spans="1:17">
      <c r="A135" s="2" t="s">
        <v>159</v>
      </c>
      <c r="B135" s="32" t="str">
        <f>_xlfn.TEXTAFTER(CONTROL[[#This Row],[VEHIDCODE]],"_")</f>
        <v>Australia_NSWGR_AD60</v>
      </c>
      <c r="C135" t="s">
        <v>721</v>
      </c>
      <c r="D135" t="s">
        <v>939</v>
      </c>
      <c r="E135">
        <v>4105</v>
      </c>
      <c r="F135" t="s">
        <v>1165</v>
      </c>
      <c r="G135" t="s">
        <v>2463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Row],[VEHIDCODE]],#REF!,0))</f>
        <v>0</v>
      </c>
      <c r="L135" t="b">
        <f>ISNUMBER(_xlfn.XMATCH(CONTROL[[#This Row],[VEHIDCODE]],PROPERTIES[VEHIDCODE],0))</f>
        <v>1</v>
      </c>
      <c r="M135" t="b">
        <f>ISNUMBER(_xlfn.XMATCH(CONTROL[[#This Row],[VEHIDCODE]],#REF!,0))</f>
        <v>0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s="32" t="str">
        <f>"item_"&amp;CONTROL[[#This Row],[VEHIDCODE]]</f>
        <v>item_steam_Australia_NSWGR_AD60</v>
      </c>
      <c r="Q135" s="32" t="str">
        <f>"str_"&amp;CONTROL[[#This Row],[VEHIDCODE]]</f>
        <v>str_steam_Australia_NSWGR_AD60</v>
      </c>
    </row>
    <row r="136" spans="1:17">
      <c r="A136" s="2" t="s">
        <v>160</v>
      </c>
      <c r="B136" s="32" t="str">
        <f>_xlfn.TEXTAFTER(CONTROL[[#This Row],[VEHIDCODE]],"_")</f>
        <v>Uruguay_AFE_N1_2_6_0</v>
      </c>
      <c r="C136" t="s">
        <v>721</v>
      </c>
      <c r="D136" t="s">
        <v>939</v>
      </c>
      <c r="E136">
        <v>4081</v>
      </c>
      <c r="F136" t="s">
        <v>1166</v>
      </c>
      <c r="G136" t="s">
        <v>2464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Row],[VEHIDCODE]],#REF!,0))</f>
        <v>0</v>
      </c>
      <c r="L136" t="b">
        <f>ISNUMBER(_xlfn.XMATCH(CONTROL[[#This Row],[VEHIDCODE]],PROPERTIES[VEHIDCODE],0))</f>
        <v>1</v>
      </c>
      <c r="M136" t="b">
        <f>ISNUMBER(_xlfn.XMATCH(CONTROL[[#This Row],[VEHIDCODE]],#REF!,0))</f>
        <v>0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s="32" t="str">
        <f>"item_"&amp;CONTROL[[#This Row],[VEHIDCODE]]</f>
        <v>item_steam_Uruguay_AFE_N1_2_6_0</v>
      </c>
      <c r="Q136" s="32" t="str">
        <f>"str_"&amp;CONTROL[[#This Row],[VEHIDCODE]]</f>
        <v>str_steam_Uruguay_AFE_N1_2_6_0</v>
      </c>
    </row>
    <row r="137" spans="1:17">
      <c r="A137" s="2" t="s">
        <v>161</v>
      </c>
      <c r="B137" s="32" t="str">
        <f>_xlfn.TEXTAFTER(CONTROL[[#This Row],[VEHIDCODE]],"_")</f>
        <v>Argentina_FCCA_PS11</v>
      </c>
      <c r="C137" t="s">
        <v>721</v>
      </c>
      <c r="D137" t="s">
        <v>939</v>
      </c>
      <c r="E137">
        <v>4096</v>
      </c>
      <c r="F137" t="s">
        <v>1167</v>
      </c>
      <c r="G137" t="s">
        <v>2466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Row],[VEHIDCODE]],#REF!,0))</f>
        <v>0</v>
      </c>
      <c r="L137" t="b">
        <f>ISNUMBER(_xlfn.XMATCH(CONTROL[[#This Row],[VEHIDCODE]],PROPERTIES[VEHIDCODE],0))</f>
        <v>1</v>
      </c>
      <c r="M137" t="b">
        <f>ISNUMBER(_xlfn.XMATCH(CONTROL[[#This Row],[VEHIDCODE]],#REF!,0))</f>
        <v>0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s="32" t="str">
        <f>"item_"&amp;CONTROL[[#This Row],[VEHIDCODE]]</f>
        <v>item_steam_Argentina_FCCA_PS11</v>
      </c>
      <c r="Q137" s="32" t="str">
        <f>"str_"&amp;CONTROL[[#This Row],[VEHIDCODE]]</f>
        <v>str_steam_Argentina_FCCA_PS11</v>
      </c>
    </row>
    <row r="138" spans="1:17">
      <c r="A138" s="2" t="s">
        <v>162</v>
      </c>
      <c r="B138" s="32" t="str">
        <f>_xlfn.TEXTAFTER(CONTROL[[#This Row],[VEHIDCODE]],"_")</f>
        <v>South_Africa_Harbour_Board_EL_0_4_0</v>
      </c>
      <c r="C138" t="s">
        <v>721</v>
      </c>
      <c r="D138" t="s">
        <v>939</v>
      </c>
      <c r="E138">
        <v>4074</v>
      </c>
      <c r="F138" t="s">
        <v>2467</v>
      </c>
      <c r="G138" t="s">
        <v>2468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Row],[VEHIDCODE]],#REF!,0))</f>
        <v>0</v>
      </c>
      <c r="L138" t="b">
        <f>ISNUMBER(_xlfn.XMATCH(CONTROL[[#This Row],[VEHIDCODE]],PROPERTIES[VEHIDCODE],0))</f>
        <v>1</v>
      </c>
      <c r="M138" t="b">
        <f>ISNUMBER(_xlfn.XMATCH(CONTROL[[#This Row],[VEHIDCODE]],#REF!,0))</f>
        <v>0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s="32" t="str">
        <f>"item_"&amp;CONTROL[[#This Row],[VEHIDCODE]]</f>
        <v>item_steam_South_Africa_Harbour_Board_EL_0_4_0</v>
      </c>
      <c r="Q138" s="32" t="str">
        <f>"str_"&amp;CONTROL[[#This Row],[VEHIDCODE]]</f>
        <v>str_steam_South_Africa_Harbour_Board_EL_0_4_0</v>
      </c>
    </row>
    <row r="139" spans="1:17">
      <c r="A139" s="2" t="s">
        <v>163</v>
      </c>
      <c r="B139" s="32" t="str">
        <f>_xlfn.TEXTAFTER(CONTROL[[#This Row],[VEHIDCODE]],"_")</f>
        <v>Mozambique_Beira_Railway_BR6_F2_Falcon</v>
      </c>
      <c r="C139" t="s">
        <v>721</v>
      </c>
      <c r="D139" t="s">
        <v>939</v>
      </c>
      <c r="E139">
        <v>4078</v>
      </c>
      <c r="F139" t="s">
        <v>1168</v>
      </c>
      <c r="G139" t="s">
        <v>2469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Row],[VEHIDCODE]],#REF!,0))</f>
        <v>0</v>
      </c>
      <c r="L139" t="b">
        <f>ISNUMBER(_xlfn.XMATCH(CONTROL[[#This Row],[VEHIDCODE]],PROPERTIES[VEHIDCODE],0))</f>
        <v>1</v>
      </c>
      <c r="M139" t="b">
        <f>ISNUMBER(_xlfn.XMATCH(CONTROL[[#This Row],[VEHIDCODE]],#REF!,0))</f>
        <v>0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s="32" t="str">
        <f>"item_"&amp;CONTROL[[#This Row],[VEHIDCODE]]</f>
        <v>item_steam_Mozambique_Beira_Railway_BR6_F2_Falcon</v>
      </c>
      <c r="Q139" s="32" t="str">
        <f>"str_"&amp;CONTROL[[#This Row],[VEHIDCODE]]</f>
        <v>str_steam_Mozambique_Beira_Railway_BR6_F2_Falcon</v>
      </c>
    </row>
    <row r="140" spans="1:17">
      <c r="A140" s="2" t="s">
        <v>164</v>
      </c>
      <c r="B140" s="32" t="str">
        <f>_xlfn.TEXTAFTER(CONTROL[[#This Row],[VEHIDCODE]],"_")</f>
        <v>Eritrea_Eritrean_Railway_R440</v>
      </c>
      <c r="C140" t="s">
        <v>721</v>
      </c>
      <c r="D140" t="s">
        <v>939</v>
      </c>
      <c r="E140">
        <v>4083</v>
      </c>
      <c r="F140" t="s">
        <v>1169</v>
      </c>
      <c r="G140" t="s">
        <v>2470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Row],[VEHIDCODE]],#REF!,0))</f>
        <v>0</v>
      </c>
      <c r="L140" t="b">
        <f>ISNUMBER(_xlfn.XMATCH(CONTROL[[#This Row],[VEHIDCODE]],PROPERTIES[VEHIDCODE],0))</f>
        <v>1</v>
      </c>
      <c r="M140" t="b">
        <f>ISNUMBER(_xlfn.XMATCH(CONTROL[[#This Row],[VEHIDCODE]],#REF!,0))</f>
        <v>0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s="32" t="str">
        <f>"item_"&amp;CONTROL[[#This Row],[VEHIDCODE]]</f>
        <v>item_steam_Eritrea_Eritrean_Railway_R440</v>
      </c>
      <c r="Q140" s="32" t="str">
        <f>"str_"&amp;CONTROL[[#This Row],[VEHIDCODE]]</f>
        <v>str_steam_Eritrea_Eritrean_Railway_R440</v>
      </c>
    </row>
    <row r="141" spans="1:17">
      <c r="A141" s="2" t="s">
        <v>165</v>
      </c>
      <c r="B141" s="32" t="str">
        <f>_xlfn.TEXTAFTER(CONTROL[[#This Row],[VEHIDCODE]],"_")</f>
        <v>Kenya_East_African_Railway_23</v>
      </c>
      <c r="C141" t="s">
        <v>721</v>
      </c>
      <c r="D141" t="s">
        <v>939</v>
      </c>
      <c r="E141">
        <v>4088</v>
      </c>
      <c r="F141" t="s">
        <v>1170</v>
      </c>
      <c r="G141" t="s">
        <v>2471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Row],[VEHIDCODE]],#REF!,0))</f>
        <v>0</v>
      </c>
      <c r="L141" t="b">
        <f>ISNUMBER(_xlfn.XMATCH(CONTROL[[#This Row],[VEHIDCODE]],PROPERTIES[VEHIDCODE],0))</f>
        <v>1</v>
      </c>
      <c r="M141" t="b">
        <f>ISNUMBER(_xlfn.XMATCH(CONTROL[[#This Row],[VEHIDCODE]],#REF!,0))</f>
        <v>0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s="32" t="str">
        <f>"item_"&amp;CONTROL[[#This Row],[VEHIDCODE]]</f>
        <v>item_steam_Kenya_East_African_Railway_23</v>
      </c>
      <c r="Q141" s="32" t="str">
        <f>"str_"&amp;CONTROL[[#This Row],[VEHIDCODE]]</f>
        <v>str_steam_Kenya_East_African_Railway_23</v>
      </c>
    </row>
    <row r="142" spans="1:17">
      <c r="A142" s="2" t="s">
        <v>166</v>
      </c>
      <c r="B142" s="32" t="str">
        <f>_xlfn.TEXTAFTER(CONTROL[[#This Row],[VEHIDCODE]],"_")</f>
        <v>Kenya_East_African_Railway_21</v>
      </c>
      <c r="C142" t="s">
        <v>721</v>
      </c>
      <c r="D142" t="s">
        <v>939</v>
      </c>
      <c r="E142">
        <v>4093</v>
      </c>
      <c r="F142" t="s">
        <v>1171</v>
      </c>
      <c r="G142" t="s">
        <v>2472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Row],[VEHIDCODE]],#REF!,0))</f>
        <v>0</v>
      </c>
      <c r="L142" t="b">
        <f>ISNUMBER(_xlfn.XMATCH(CONTROL[[#This Row],[VEHIDCODE]],PROPERTIES[VEHIDCODE],0))</f>
        <v>1</v>
      </c>
      <c r="M142" t="b">
        <f>ISNUMBER(_xlfn.XMATCH(CONTROL[[#This Row],[VEHIDCODE]],#REF!,0))</f>
        <v>0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s="32" t="str">
        <f>"item_"&amp;CONTROL[[#This Row],[VEHIDCODE]]</f>
        <v>item_steam_Kenya_East_African_Railway_21</v>
      </c>
      <c r="Q142" s="32" t="str">
        <f>"str_"&amp;CONTROL[[#This Row],[VEHIDCODE]]</f>
        <v>str_steam_Kenya_East_African_Railway_21</v>
      </c>
    </row>
    <row r="143" spans="1:17">
      <c r="A143" s="2" t="s">
        <v>167</v>
      </c>
      <c r="B143" s="32" t="str">
        <f>_xlfn.TEXTAFTER(CONTROL[[#This Row],[VEHIDCODE]],"_")</f>
        <v>Zimbabwe_Zimbabwe_Railways_15</v>
      </c>
      <c r="C143" t="s">
        <v>721</v>
      </c>
      <c r="D143" t="s">
        <v>939</v>
      </c>
      <c r="E143">
        <v>4098</v>
      </c>
      <c r="F143" t="s">
        <v>1172</v>
      </c>
      <c r="G143" t="s">
        <v>2473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Row],[VEHIDCODE]],#REF!,0))</f>
        <v>0</v>
      </c>
      <c r="L143" t="b">
        <f>ISNUMBER(_xlfn.XMATCH(CONTROL[[#This Row],[VEHIDCODE]],PROPERTIES[VEHIDCODE],0))</f>
        <v>1</v>
      </c>
      <c r="M143" t="b">
        <f>ISNUMBER(_xlfn.XMATCH(CONTROL[[#This Row],[VEHIDCODE]],#REF!,0))</f>
        <v>0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s="32" t="str">
        <f>"item_"&amp;CONTROL[[#This Row],[VEHIDCODE]]</f>
        <v>item_steam_Zimbabwe_Zimbabwe_Railways_15</v>
      </c>
      <c r="Q143" s="32" t="str">
        <f>"str_"&amp;CONTROL[[#This Row],[VEHIDCODE]]</f>
        <v>str_steam_Zimbabwe_Zimbabwe_Railways_15</v>
      </c>
    </row>
    <row r="144" spans="1:17">
      <c r="A144" s="2" t="s">
        <v>168</v>
      </c>
      <c r="B144" s="32" t="str">
        <f>_xlfn.TEXTAFTER(CONTROL[[#This Row],[VEHIDCODE]],"_")</f>
        <v>South_Africa_SAR_GMA_4_8_2_2_8_4</v>
      </c>
      <c r="C144" t="s">
        <v>721</v>
      </c>
      <c r="D144" t="s">
        <v>939</v>
      </c>
      <c r="E144">
        <v>4106</v>
      </c>
      <c r="F144" t="s">
        <v>1173</v>
      </c>
      <c r="G144" t="s">
        <v>2474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Row],[VEHIDCODE]],#REF!,0))</f>
        <v>0</v>
      </c>
      <c r="L144" t="b">
        <f>ISNUMBER(_xlfn.XMATCH(CONTROL[[#This Row],[VEHIDCODE]],PROPERTIES[VEHIDCODE],0))</f>
        <v>1</v>
      </c>
      <c r="M144" t="b">
        <f>ISNUMBER(_xlfn.XMATCH(CONTROL[[#This Row],[VEHIDCODE]],#REF!,0))</f>
        <v>0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s="32" t="str">
        <f>"item_"&amp;CONTROL[[#This Row],[VEHIDCODE]]</f>
        <v>item_steam_South_Africa_SAR_GMA_4_8_2_2_8_4</v>
      </c>
      <c r="Q144" s="32" t="str">
        <f>"str_"&amp;CONTROL[[#This Row],[VEHIDCODE]]</f>
        <v>str_steam_South_Africa_SAR_GMA_4_8_2_2_8_4</v>
      </c>
    </row>
    <row r="145" spans="1:17">
      <c r="A145" s="2" t="s">
        <v>169</v>
      </c>
      <c r="B145" s="32" t="str">
        <f>_xlfn.TEXTAFTER(CONTROL[[#This Row],[VEHIDCODE]],"_")</f>
        <v>Kenya_East_African_Railway_31</v>
      </c>
      <c r="C145" t="s">
        <v>721</v>
      </c>
      <c r="D145" t="s">
        <v>939</v>
      </c>
      <c r="E145">
        <v>4107</v>
      </c>
      <c r="F145" t="s">
        <v>1174</v>
      </c>
      <c r="G145" t="s">
        <v>2475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Row],[VEHIDCODE]],#REF!,0))</f>
        <v>0</v>
      </c>
      <c r="L145" t="b">
        <f>ISNUMBER(_xlfn.XMATCH(CONTROL[[#This Row],[VEHIDCODE]],PROPERTIES[VEHIDCODE],0))</f>
        <v>1</v>
      </c>
      <c r="M145" t="b">
        <f>ISNUMBER(_xlfn.XMATCH(CONTROL[[#This Row],[VEHIDCODE]],#REF!,0))</f>
        <v>0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s="32" t="str">
        <f>"item_"&amp;CONTROL[[#This Row],[VEHIDCODE]]</f>
        <v>item_steam_Kenya_East_African_Railway_31</v>
      </c>
      <c r="Q145" s="32" t="str">
        <f>"str_"&amp;CONTROL[[#This Row],[VEHIDCODE]]</f>
        <v>str_steam_Kenya_East_African_Railway_31</v>
      </c>
    </row>
    <row r="146" spans="1:17">
      <c r="A146" s="2" t="s">
        <v>170</v>
      </c>
      <c r="B146" s="32" t="str">
        <f>_xlfn.TEXTAFTER(CONTROL[[#This Row],[VEHIDCODE]],"_")</f>
        <v>India_Fairy_Queen</v>
      </c>
      <c r="C146" t="s">
        <v>721</v>
      </c>
      <c r="D146" t="s">
        <v>939</v>
      </c>
      <c r="E146">
        <v>4073</v>
      </c>
      <c r="F146" t="s">
        <v>1175</v>
      </c>
      <c r="G146" t="s">
        <v>2476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Row],[VEHIDCODE]],#REF!,0))</f>
        <v>0</v>
      </c>
      <c r="L146" t="b">
        <f>ISNUMBER(_xlfn.XMATCH(CONTROL[[#This Row],[VEHIDCODE]],PROPERTIES[VEHIDCODE],0))</f>
        <v>1</v>
      </c>
      <c r="M146" t="b">
        <f>ISNUMBER(_xlfn.XMATCH(CONTROL[[#This Row],[VEHIDCODE]],#REF!,0))</f>
        <v>0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s="32" t="str">
        <f>"item_"&amp;CONTROL[[#This Row],[VEHIDCODE]]</f>
        <v>item_steam_India_Fairy_Queen</v>
      </c>
      <c r="Q146" s="32" t="str">
        <f>"str_"&amp;CONTROL[[#This Row],[VEHIDCODE]]</f>
        <v>str_steam_India_Fairy_Queen</v>
      </c>
    </row>
    <row r="147" spans="1:17">
      <c r="A147" s="2" t="s">
        <v>171</v>
      </c>
      <c r="B147" s="32" t="str">
        <f>_xlfn.TEXTAFTER(CONTROL[[#This Row],[VEHIDCODE]],"_")</f>
        <v>India_DHR_B</v>
      </c>
      <c r="C147" t="s">
        <v>721</v>
      </c>
      <c r="D147" t="s">
        <v>939</v>
      </c>
      <c r="E147">
        <v>4076</v>
      </c>
      <c r="F147" t="s">
        <v>1176</v>
      </c>
      <c r="G147" t="s">
        <v>2477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Row],[VEHIDCODE]],#REF!,0))</f>
        <v>0</v>
      </c>
      <c r="L147" t="b">
        <f>ISNUMBER(_xlfn.XMATCH(CONTROL[[#This Row],[VEHIDCODE]],PROPERTIES[VEHIDCODE],0))</f>
        <v>1</v>
      </c>
      <c r="M147" t="b">
        <f>ISNUMBER(_xlfn.XMATCH(CONTROL[[#This Row],[VEHIDCODE]],#REF!,0))</f>
        <v>0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s="32" t="str">
        <f>"item_"&amp;CONTROL[[#This Row],[VEHIDCODE]]</f>
        <v>item_steam_India_DHR_B</v>
      </c>
      <c r="Q147" s="32" t="str">
        <f>"str_"&amp;CONTROL[[#This Row],[VEHIDCODE]]</f>
        <v>str_steam_India_DHR_B</v>
      </c>
    </row>
    <row r="148" spans="1:17">
      <c r="A148" s="2" t="s">
        <v>172</v>
      </c>
      <c r="B148" s="32" t="str">
        <f>_xlfn.TEXTAFTER(CONTROL[[#This Row],[VEHIDCODE]],"_")</f>
        <v>China_China_Railways_H</v>
      </c>
      <c r="C148" t="s">
        <v>721</v>
      </c>
      <c r="D148" t="s">
        <v>939</v>
      </c>
      <c r="E148">
        <v>4079</v>
      </c>
      <c r="F148" t="s">
        <v>1784</v>
      </c>
      <c r="G148" t="s">
        <v>2478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Row],[VEHIDCODE]],#REF!,0))</f>
        <v>0</v>
      </c>
      <c r="L148" t="b">
        <f>ISNUMBER(_xlfn.XMATCH(CONTROL[[#This Row],[VEHIDCODE]],PROPERTIES[VEHIDCODE],0))</f>
        <v>1</v>
      </c>
      <c r="M148" t="b">
        <f>ISNUMBER(_xlfn.XMATCH(CONTROL[[#This Row],[VEHIDCODE]],#REF!,0))</f>
        <v>0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s="32" t="str">
        <f>"item_"&amp;CONTROL[[#This Row],[VEHIDCODE]]</f>
        <v>item_steam_China_China_Railways_H</v>
      </c>
      <c r="Q148" s="32" t="str">
        <f>"str_"&amp;CONTROL[[#This Row],[VEHIDCODE]]</f>
        <v>str_steam_China_China_Railways_H</v>
      </c>
    </row>
    <row r="149" spans="1:17">
      <c r="A149" s="2" t="s">
        <v>173</v>
      </c>
      <c r="B149" s="32" t="str">
        <f>_xlfn.TEXTAFTER(CONTROL[[#This Row],[VEHIDCODE]],"_")</f>
        <v>Russia_RZD_U</v>
      </c>
      <c r="C149" t="s">
        <v>721</v>
      </c>
      <c r="D149" t="s">
        <v>939</v>
      </c>
      <c r="E149">
        <v>4080</v>
      </c>
      <c r="F149" t="s">
        <v>1177</v>
      </c>
      <c r="G149" t="s">
        <v>2480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Row],[VEHIDCODE]],#REF!,0))</f>
        <v>0</v>
      </c>
      <c r="L149" t="b">
        <f>ISNUMBER(_xlfn.XMATCH(CONTROL[[#This Row],[VEHIDCODE]],PROPERTIES[VEHIDCODE],0))</f>
        <v>1</v>
      </c>
      <c r="M149" t="b">
        <f>ISNUMBER(_xlfn.XMATCH(CONTROL[[#This Row],[VEHIDCODE]],#REF!,0))</f>
        <v>0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s="32" t="str">
        <f>"item_"&amp;CONTROL[[#This Row],[VEHIDCODE]]</f>
        <v>item_steam_Russia_RZD_U</v>
      </c>
      <c r="Q149" s="32" t="str">
        <f>"str_"&amp;CONTROL[[#This Row],[VEHIDCODE]]</f>
        <v>str_steam_Russia_RZD_U</v>
      </c>
    </row>
    <row r="150" spans="1:17">
      <c r="A150" s="2" t="s">
        <v>174</v>
      </c>
      <c r="B150" s="32" t="str">
        <f>_xlfn.TEXTAFTER(CONTROL[[#This Row],[VEHIDCODE]],"_")</f>
        <v>Russia_RZD_E</v>
      </c>
      <c r="C150" t="s">
        <v>721</v>
      </c>
      <c r="D150" t="s">
        <v>939</v>
      </c>
      <c r="E150">
        <v>4085</v>
      </c>
      <c r="F150" t="s">
        <v>1178</v>
      </c>
      <c r="G150" t="s">
        <v>2479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Row],[VEHIDCODE]],#REF!,0))</f>
        <v>0</v>
      </c>
      <c r="L150" t="b">
        <f>ISNUMBER(_xlfn.XMATCH(CONTROL[[#This Row],[VEHIDCODE]],PROPERTIES[VEHIDCODE],0))</f>
        <v>1</v>
      </c>
      <c r="M150" t="b">
        <f>ISNUMBER(_xlfn.XMATCH(CONTROL[[#This Row],[VEHIDCODE]],#REF!,0))</f>
        <v>0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s="32" t="str">
        <f>"item_"&amp;CONTROL[[#This Row],[VEHIDCODE]]</f>
        <v>item_steam_Russia_RZD_E</v>
      </c>
      <c r="Q150" s="32" t="str">
        <f>"str_"&amp;CONTROL[[#This Row],[VEHIDCODE]]</f>
        <v>str_steam_Russia_RZD_E</v>
      </c>
    </row>
    <row r="151" spans="1:17">
      <c r="A151" s="2" t="s">
        <v>175</v>
      </c>
      <c r="B151" s="32" t="str">
        <f>_xlfn.TEXTAFTER(CONTROL[[#This Row],[VEHIDCODE]],"_")</f>
        <v>Israel_Israel_Railways_H</v>
      </c>
      <c r="C151" t="s">
        <v>721</v>
      </c>
      <c r="D151" t="s">
        <v>939</v>
      </c>
      <c r="E151">
        <v>4087</v>
      </c>
      <c r="F151" t="s">
        <v>2482</v>
      </c>
      <c r="G151" t="s">
        <v>2481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Row],[VEHIDCODE]],#REF!,0))</f>
        <v>0</v>
      </c>
      <c r="L151" t="b">
        <f>ISNUMBER(_xlfn.XMATCH(CONTROL[[#This Row],[VEHIDCODE]],PROPERTIES[VEHIDCODE],0))</f>
        <v>1</v>
      </c>
      <c r="M151" t="b">
        <f>ISNUMBER(_xlfn.XMATCH(CONTROL[[#This Row],[VEHIDCODE]],#REF!,0))</f>
        <v>0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s="32" t="str">
        <f>"item_"&amp;CONTROL[[#This Row],[VEHIDCODE]]</f>
        <v>item_steam_Israel_Israel_Railways_H</v>
      </c>
      <c r="Q151" s="32" t="str">
        <f>"str_"&amp;CONTROL[[#This Row],[VEHIDCODE]]</f>
        <v>str_steam_Israel_Israel_Railways_H</v>
      </c>
    </row>
    <row r="152" spans="1:17">
      <c r="A152" s="2" t="s">
        <v>176</v>
      </c>
      <c r="B152" s="32" t="str">
        <f>_xlfn.TEXTAFTER(CONTROL[[#This Row],[VEHIDCODE]],"_")</f>
        <v>Italy_FS_480</v>
      </c>
      <c r="C152" t="s">
        <v>721</v>
      </c>
      <c r="D152" t="s">
        <v>939</v>
      </c>
      <c r="E152">
        <v>4089</v>
      </c>
      <c r="F152" t="s">
        <v>1179</v>
      </c>
      <c r="G152" t="s">
        <v>2483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Row],[VEHIDCODE]],#REF!,0))</f>
        <v>0</v>
      </c>
      <c r="L152" t="b">
        <f>ISNUMBER(_xlfn.XMATCH(CONTROL[[#This Row],[VEHIDCODE]],PROPERTIES[VEHIDCODE],0))</f>
        <v>1</v>
      </c>
      <c r="M152" t="b">
        <f>ISNUMBER(_xlfn.XMATCH(CONTROL[[#This Row],[VEHIDCODE]],#REF!,0))</f>
        <v>0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s="32" t="str">
        <f>"item_"&amp;CONTROL[[#This Row],[VEHIDCODE]]</f>
        <v>item_steam_Italy_FS_480</v>
      </c>
      <c r="Q152" s="32" t="str">
        <f>"str_"&amp;CONTROL[[#This Row],[VEHIDCODE]]</f>
        <v>str_steam_Italy_FS_480</v>
      </c>
    </row>
    <row r="153" spans="1:17">
      <c r="A153" s="2" t="s">
        <v>177</v>
      </c>
      <c r="B153" s="32" t="str">
        <f>_xlfn.TEXTAFTER(CONTROL[[#This Row],[VEHIDCODE]],"_")</f>
        <v>Italy_FS_691</v>
      </c>
      <c r="C153" t="s">
        <v>721</v>
      </c>
      <c r="D153" t="s">
        <v>939</v>
      </c>
      <c r="E153">
        <v>4094</v>
      </c>
      <c r="F153" t="s">
        <v>1180</v>
      </c>
      <c r="G153" t="s">
        <v>2484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Row],[VEHIDCODE]],#REF!,0))</f>
        <v>0</v>
      </c>
      <c r="L153" t="b">
        <f>ISNUMBER(_xlfn.XMATCH(CONTROL[[#This Row],[VEHIDCODE]],PROPERTIES[VEHIDCODE],0))</f>
        <v>1</v>
      </c>
      <c r="M153" t="b">
        <f>ISNUMBER(_xlfn.XMATCH(CONTROL[[#This Row],[VEHIDCODE]],#REF!,0))</f>
        <v>0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s="32" t="str">
        <f>"item_"&amp;CONTROL[[#This Row],[VEHIDCODE]]</f>
        <v>item_steam_Italy_FS_691</v>
      </c>
      <c r="Q153" s="32" t="str">
        <f>"str_"&amp;CONTROL[[#This Row],[VEHIDCODE]]</f>
        <v>str_steam_Italy_FS_691</v>
      </c>
    </row>
    <row r="154" spans="1:17">
      <c r="A154" s="2" t="s">
        <v>178</v>
      </c>
      <c r="B154" s="32" t="str">
        <f>_xlfn.TEXTAFTER(CONTROL[[#This Row],[VEHIDCODE]],"_")</f>
        <v>Greece_SEK_Lb</v>
      </c>
      <c r="C154" t="s">
        <v>721</v>
      </c>
      <c r="D154" t="s">
        <v>939</v>
      </c>
      <c r="E154">
        <v>4100</v>
      </c>
      <c r="F154" t="s">
        <v>1181</v>
      </c>
      <c r="G154" t="s">
        <v>2485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Row],[VEHIDCODE]],#REF!,0))</f>
        <v>0</v>
      </c>
      <c r="L154" t="b">
        <f>ISNUMBER(_xlfn.XMATCH(CONTROL[[#This Row],[VEHIDCODE]],PROPERTIES[VEHIDCODE],0))</f>
        <v>1</v>
      </c>
      <c r="M154" t="b">
        <f>ISNUMBER(_xlfn.XMATCH(CONTROL[[#This Row],[VEHIDCODE]],#REF!,0))</f>
        <v>0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s="32" t="str">
        <f>"item_"&amp;CONTROL[[#This Row],[VEHIDCODE]]</f>
        <v>item_steam_Greece_SEK_Lb</v>
      </c>
      <c r="Q154" s="32" t="str">
        <f>"str_"&amp;CONTROL[[#This Row],[VEHIDCODE]]</f>
        <v>str_steam_Greece_SEK_Lb</v>
      </c>
    </row>
    <row r="155" spans="1:17">
      <c r="A155" s="2" t="s">
        <v>179</v>
      </c>
      <c r="B155" s="32" t="str">
        <f>_xlfn.TEXTAFTER(CONTROL[[#This Row],[VEHIDCODE]],"_")</f>
        <v>Albania_HSH_01</v>
      </c>
      <c r="C155" t="s">
        <v>721</v>
      </c>
      <c r="D155" t="s">
        <v>939</v>
      </c>
      <c r="E155">
        <v>4103</v>
      </c>
      <c r="F155" t="s">
        <v>1182</v>
      </c>
      <c r="G155" t="s">
        <v>2486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Row],[VEHIDCODE]],#REF!,0))</f>
        <v>0</v>
      </c>
      <c r="L155" t="b">
        <f>ISNUMBER(_xlfn.XMATCH(CONTROL[[#This Row],[VEHIDCODE]],PROPERTIES[VEHIDCODE],0))</f>
        <v>1</v>
      </c>
      <c r="M155" t="b">
        <f>ISNUMBER(_xlfn.XMATCH(CONTROL[[#This Row],[VEHIDCODE]],#REF!,0))</f>
        <v>0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s="32" t="str">
        <f>"item_"&amp;CONTROL[[#This Row],[VEHIDCODE]]</f>
        <v>item_steam_Albania_HSH_01</v>
      </c>
      <c r="Q155" s="32" t="str">
        <f>"str_"&amp;CONTROL[[#This Row],[VEHIDCODE]]</f>
        <v>str_steam_Albania_HSH_01</v>
      </c>
    </row>
    <row r="156" spans="1:17">
      <c r="A156" s="2" t="s">
        <v>180</v>
      </c>
      <c r="B156" s="32" t="str">
        <f>_xlfn.TEXTAFTER(CONTROL[[#This Row],[VEHIDCODE]],"_")</f>
        <v>Spain_RENFE_242F</v>
      </c>
      <c r="C156" t="s">
        <v>721</v>
      </c>
      <c r="D156" t="s">
        <v>939</v>
      </c>
      <c r="E156">
        <v>4108</v>
      </c>
      <c r="F156" t="s">
        <v>1183</v>
      </c>
      <c r="G156" t="s">
        <v>2487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Row],[VEHIDCODE]],#REF!,0))</f>
        <v>0</v>
      </c>
      <c r="L156" t="b">
        <f>ISNUMBER(_xlfn.XMATCH(CONTROL[[#This Row],[VEHIDCODE]],PROPERTIES[VEHIDCODE],0))</f>
        <v>1</v>
      </c>
      <c r="M156" t="b">
        <f>ISNUMBER(_xlfn.XMATCH(CONTROL[[#This Row],[VEHIDCODE]],#REF!,0))</f>
        <v>0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s="32" t="str">
        <f>"item_"&amp;CONTROL[[#This Row],[VEHIDCODE]]</f>
        <v>item_steam_Spain_RENFE_242F</v>
      </c>
      <c r="Q156" s="32" t="str">
        <f>"str_"&amp;CONTROL[[#This Row],[VEHIDCODE]]</f>
        <v>str_steam_Spain_RENFE_242F</v>
      </c>
    </row>
    <row r="157" spans="1:17">
      <c r="A157" s="2" t="s">
        <v>181</v>
      </c>
      <c r="B157" s="32" t="str">
        <f>_xlfn.TEXTAFTER(CONTROL[[#This Row],[VEHIDCODE]],"_")</f>
        <v>Czech_Republic_CD_5341</v>
      </c>
      <c r="C157" t="s">
        <v>721</v>
      </c>
      <c r="D157" t="s">
        <v>939</v>
      </c>
      <c r="E157">
        <v>4082</v>
      </c>
      <c r="F157" t="s">
        <v>2818</v>
      </c>
      <c r="G157" t="s">
        <v>2488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Row],[VEHIDCODE]],#REF!,0))</f>
        <v>0</v>
      </c>
      <c r="L157" t="b">
        <f>ISNUMBER(_xlfn.XMATCH(CONTROL[[#This Row],[VEHIDCODE]],PROPERTIES[VEHIDCODE],0))</f>
        <v>1</v>
      </c>
      <c r="M157" t="b">
        <f>ISNUMBER(_xlfn.XMATCH(CONTROL[[#This Row],[VEHIDCODE]],#REF!,0))</f>
        <v>0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s="32" t="str">
        <f>"item_"&amp;CONTROL[[#This Row],[VEHIDCODE]]</f>
        <v>item_steam_Czech_Republic_CD_5341</v>
      </c>
      <c r="Q157" s="32" t="str">
        <f>"str_"&amp;CONTROL[[#This Row],[VEHIDCODE]]</f>
        <v>str_steam_Czech_Republic_CD_5341</v>
      </c>
    </row>
    <row r="158" spans="1:17">
      <c r="A158" s="2" t="s">
        <v>182</v>
      </c>
      <c r="B158" s="32" t="str">
        <f>_xlfn.TEXTAFTER(CONTROL[[#This Row],[VEHIDCODE]],"_")</f>
        <v>Poland_PKP_Ok22</v>
      </c>
      <c r="C158" t="s">
        <v>721</v>
      </c>
      <c r="D158" t="s">
        <v>939</v>
      </c>
      <c r="E158">
        <v>4091</v>
      </c>
      <c r="F158" t="s">
        <v>1184</v>
      </c>
      <c r="G158" t="s">
        <v>2489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Row],[VEHIDCODE]],#REF!,0))</f>
        <v>0</v>
      </c>
      <c r="L158" t="b">
        <f>ISNUMBER(_xlfn.XMATCH(CONTROL[[#This Row],[VEHIDCODE]],PROPERTIES[VEHIDCODE],0))</f>
        <v>1</v>
      </c>
      <c r="M158" t="b">
        <f>ISNUMBER(_xlfn.XMATCH(CONTROL[[#This Row],[VEHIDCODE]],#REF!,0))</f>
        <v>0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s="32" t="str">
        <f>"item_"&amp;CONTROL[[#This Row],[VEHIDCODE]]</f>
        <v>item_steam_Poland_PKP_Ok22</v>
      </c>
      <c r="Q158" s="32" t="str">
        <f>"str_"&amp;CONTROL[[#This Row],[VEHIDCODE]]</f>
        <v>str_steam_Poland_PKP_Ok22</v>
      </c>
    </row>
    <row r="159" spans="1:17">
      <c r="A159" s="2" t="s">
        <v>183</v>
      </c>
      <c r="B159" s="32" t="str">
        <f>_xlfn.TEXTAFTER(CONTROL[[#This Row],[VEHIDCODE]],"_")</f>
        <v>Croatia_HZ_11</v>
      </c>
      <c r="C159" t="s">
        <v>721</v>
      </c>
      <c r="D159" t="s">
        <v>939</v>
      </c>
      <c r="E159">
        <v>4092</v>
      </c>
      <c r="F159" t="s">
        <v>2533</v>
      </c>
      <c r="G159" t="s">
        <v>2490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Row],[VEHIDCODE]],#REF!,0))</f>
        <v>0</v>
      </c>
      <c r="L159" t="b">
        <f>ISNUMBER(_xlfn.XMATCH(CONTROL[[#This Row],[VEHIDCODE]],PROPERTIES[VEHIDCODE],0))</f>
        <v>1</v>
      </c>
      <c r="M159" t="b">
        <f>ISNUMBER(_xlfn.XMATCH(CONTROL[[#This Row],[VEHIDCODE]],#REF!,0))</f>
        <v>0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s="32" t="str">
        <f>"item_"&amp;CONTROL[[#This Row],[VEHIDCODE]]</f>
        <v>item_steam_Croatia_HZ_11</v>
      </c>
      <c r="Q159" s="32" t="str">
        <f>"str_"&amp;CONTROL[[#This Row],[VEHIDCODE]]</f>
        <v>str_steam_Croatia_HZ_11</v>
      </c>
    </row>
    <row r="160" spans="1:17">
      <c r="A160" s="2" t="s">
        <v>184</v>
      </c>
      <c r="B160" s="32" t="str">
        <f>_xlfn.TEXTAFTER(CONTROL[[#This Row],[VEHIDCODE]],"_")</f>
        <v>Hungary_MAV_242</v>
      </c>
      <c r="C160" t="s">
        <v>721</v>
      </c>
      <c r="D160" t="s">
        <v>939</v>
      </c>
      <c r="E160">
        <v>4097</v>
      </c>
      <c r="F160" t="s">
        <v>2534</v>
      </c>
      <c r="G160" t="s">
        <v>2491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Row],[VEHIDCODE]],#REF!,0))</f>
        <v>0</v>
      </c>
      <c r="L160" t="b">
        <f>ISNUMBER(_xlfn.XMATCH(CONTROL[[#This Row],[VEHIDCODE]],PROPERTIES[VEHIDCODE],0))</f>
        <v>1</v>
      </c>
      <c r="M160" t="b">
        <f>ISNUMBER(_xlfn.XMATCH(CONTROL[[#This Row],[VEHIDCODE]],#REF!,0))</f>
        <v>0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s="32" t="str">
        <f>"item_"&amp;CONTROL[[#This Row],[VEHIDCODE]]</f>
        <v>item_steam_Hungary_MAV_242</v>
      </c>
      <c r="Q160" s="32" t="str">
        <f>"str_"&amp;CONTROL[[#This Row],[VEHIDCODE]]</f>
        <v>str_steam_Hungary_MAV_242</v>
      </c>
    </row>
    <row r="161" spans="1:17">
      <c r="A161" s="2" t="s">
        <v>185</v>
      </c>
      <c r="B161" s="32" t="str">
        <f>_xlfn.TEXTAFTER(CONTROL[[#This Row],[VEHIDCODE]],"_")</f>
        <v>Czech_Republic_CD_4590</v>
      </c>
      <c r="C161" t="s">
        <v>721</v>
      </c>
      <c r="D161" t="s">
        <v>939</v>
      </c>
      <c r="E161">
        <v>4102</v>
      </c>
      <c r="F161" t="s">
        <v>2819</v>
      </c>
      <c r="G161" t="s">
        <v>1776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Row],[VEHIDCODE]],#REF!,0))</f>
        <v>0</v>
      </c>
      <c r="L161" t="b">
        <f>ISNUMBER(_xlfn.XMATCH(CONTROL[[#This Row],[VEHIDCODE]],PROPERTIES[VEHIDCODE],0))</f>
        <v>1</v>
      </c>
      <c r="M161" t="b">
        <f>ISNUMBER(_xlfn.XMATCH(CONTROL[[#This Row],[VEHIDCODE]],#REF!,0))</f>
        <v>0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s="32" t="str">
        <f>"item_"&amp;CONTROL[[#This Row],[VEHIDCODE]]</f>
        <v>item_steam_Czech_Republic_CD_4590</v>
      </c>
      <c r="Q161" s="32" t="str">
        <f>"str_"&amp;CONTROL[[#This Row],[VEHIDCODE]]</f>
        <v>str_steam_Czech_Republic_CD_4590</v>
      </c>
    </row>
    <row r="162" spans="1:17">
      <c r="A162" s="2" t="s">
        <v>186</v>
      </c>
      <c r="B162" s="32" t="str">
        <f>_xlfn.TEXTAFTER(CONTROL[[#This Row],[VEHIDCODE]],"_")</f>
        <v>Poland_PKP_OI49</v>
      </c>
      <c r="C162" t="s">
        <v>721</v>
      </c>
      <c r="D162" t="s">
        <v>939</v>
      </c>
      <c r="E162">
        <v>4104</v>
      </c>
      <c r="F162" t="s">
        <v>1185</v>
      </c>
      <c r="G162" t="s">
        <v>2492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Row],[VEHIDCODE]],#REF!,0))</f>
        <v>0</v>
      </c>
      <c r="L162" t="b">
        <f>ISNUMBER(_xlfn.XMATCH(CONTROL[[#This Row],[VEHIDCODE]],PROPERTIES[VEHIDCODE],0))</f>
        <v>1</v>
      </c>
      <c r="M162" t="b">
        <f>ISNUMBER(_xlfn.XMATCH(CONTROL[[#This Row],[VEHIDCODE]],#REF!,0))</f>
        <v>0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s="32" t="str">
        <f>"item_"&amp;CONTROL[[#This Row],[VEHIDCODE]]</f>
        <v>item_steam_Poland_PKP_OI49</v>
      </c>
      <c r="Q162" s="32" t="str">
        <f>"str_"&amp;CONTROL[[#This Row],[VEHIDCODE]]</f>
        <v>str_steam_Poland_PKP_OI49</v>
      </c>
    </row>
    <row r="163" spans="1:17">
      <c r="A163" s="2" t="s">
        <v>187</v>
      </c>
      <c r="B163" s="32" t="str">
        <f>_xlfn.TEXTAFTER(CONTROL[[#This Row],[VEHIDCODE]],"_")</f>
        <v>Austria_KKStB_310</v>
      </c>
      <c r="C163" t="s">
        <v>721</v>
      </c>
      <c r="D163" t="s">
        <v>939</v>
      </c>
      <c r="E163">
        <v>4084</v>
      </c>
      <c r="F163" t="s">
        <v>1186</v>
      </c>
      <c r="G163" t="s">
        <v>2493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Row],[VEHIDCODE]],#REF!,0))</f>
        <v>0</v>
      </c>
      <c r="L163" t="b">
        <f>ISNUMBER(_xlfn.XMATCH(CONTROL[[#This Row],[VEHIDCODE]],PROPERTIES[VEHIDCODE],0))</f>
        <v>1</v>
      </c>
      <c r="M163" t="b">
        <f>ISNUMBER(_xlfn.XMATCH(CONTROL[[#This Row],[VEHIDCODE]],#REF!,0))</f>
        <v>0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s="32" t="str">
        <f>"item_"&amp;CONTROL[[#This Row],[VEHIDCODE]]</f>
        <v>item_steam_Austria_KKStB_310</v>
      </c>
      <c r="Q163" s="32" t="str">
        <f>"str_"&amp;CONTROL[[#This Row],[VEHIDCODE]]</f>
        <v>str_steam_Austria_KKStB_310</v>
      </c>
    </row>
    <row r="164" spans="1:17">
      <c r="A164" s="2" t="s">
        <v>188</v>
      </c>
      <c r="B164" s="32" t="str">
        <f>_xlfn.TEXTAFTER(CONTROL[[#This Row],[VEHIDCODE]],"_")</f>
        <v>USA_Southern_Pacific_GS_4_Daylight</v>
      </c>
      <c r="C164" t="s">
        <v>721</v>
      </c>
      <c r="D164" t="s">
        <v>939</v>
      </c>
      <c r="E164">
        <v>4099</v>
      </c>
      <c r="F164" t="s">
        <v>1187</v>
      </c>
      <c r="G164" t="s">
        <v>2494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Row],[VEHIDCODE]],#REF!,0))</f>
        <v>0</v>
      </c>
      <c r="L164" t="b">
        <f>ISNUMBER(_xlfn.XMATCH(CONTROL[[#This Row],[VEHIDCODE]],PROPERTIES[VEHIDCODE],0))</f>
        <v>1</v>
      </c>
      <c r="M164" t="b">
        <f>ISNUMBER(_xlfn.XMATCH(CONTROL[[#This Row],[VEHIDCODE]],#REF!,0))</f>
        <v>0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s="32" t="str">
        <f>"item_"&amp;CONTROL[[#This Row],[VEHIDCODE]]</f>
        <v>item_steam_USA_Southern_Pacific_GS_4_Daylight</v>
      </c>
      <c r="Q164" s="32" t="str">
        <f>"str_"&amp;CONTROL[[#This Row],[VEHIDCODE]]</f>
        <v>str_steam_USA_Southern_Pacific_GS_4_Daylight</v>
      </c>
    </row>
    <row r="165" spans="1:17">
      <c r="A165" s="2" t="s">
        <v>189</v>
      </c>
      <c r="B165" s="32" t="str">
        <f>_xlfn.TEXTAFTER(CONTROL[[#This Row],[VEHIDCODE]],"_")</f>
        <v>Ireland_GS_WR_101</v>
      </c>
      <c r="C165" t="s">
        <v>721</v>
      </c>
      <c r="D165" t="s">
        <v>939</v>
      </c>
      <c r="E165">
        <v>4109</v>
      </c>
      <c r="F165" t="s">
        <v>1188</v>
      </c>
      <c r="G165" t="s">
        <v>2495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Row],[VEHIDCODE]],#REF!,0))</f>
        <v>0</v>
      </c>
      <c r="L165" t="b">
        <f>ISNUMBER(_xlfn.XMATCH(CONTROL[[#This Row],[VEHIDCODE]],PROPERTIES[VEHIDCODE],0))</f>
        <v>1</v>
      </c>
      <c r="M165" t="b">
        <f>ISNUMBER(_xlfn.XMATCH(CONTROL[[#This Row],[VEHIDCODE]],#REF!,0))</f>
        <v>0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s="32" t="str">
        <f>"item_"&amp;CONTROL[[#This Row],[VEHIDCODE]]</f>
        <v>item_steam_Ireland_GS_WR_101</v>
      </c>
      <c r="Q165" s="32" t="str">
        <f>"str_"&amp;CONTROL[[#This Row],[VEHIDCODE]]</f>
        <v>str_steam_Ireland_GS_WR_101</v>
      </c>
    </row>
    <row r="166" spans="1:17">
      <c r="A166" s="2" t="s">
        <v>190</v>
      </c>
      <c r="B166" s="32" t="str">
        <f>_xlfn.TEXTAFTER(CONTROL[[#This Row],[VEHIDCODE]],"_")</f>
        <v>USA_NYC_H_6A_Light_Mikado</v>
      </c>
      <c r="C166" t="s">
        <v>721</v>
      </c>
      <c r="D166" t="s">
        <v>939</v>
      </c>
      <c r="E166">
        <v>4110</v>
      </c>
      <c r="F166" t="s">
        <v>1189</v>
      </c>
      <c r="G166" t="s">
        <v>2496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Row],[VEHIDCODE]],#REF!,0))</f>
        <v>0</v>
      </c>
      <c r="L166" t="b">
        <f>ISNUMBER(_xlfn.XMATCH(CONTROL[[#This Row],[VEHIDCODE]],PROPERTIES[VEHIDCODE],0))</f>
        <v>1</v>
      </c>
      <c r="M166" t="b">
        <f>ISNUMBER(_xlfn.XMATCH(CONTROL[[#This Row],[VEHIDCODE]],#REF!,0))</f>
        <v>0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s="32" t="str">
        <f>"item_"&amp;CONTROL[[#This Row],[VEHIDCODE]]</f>
        <v>item_steam_USA_NYC_H_6A_Light_Mikado</v>
      </c>
      <c r="Q166" s="32" t="str">
        <f>"str_"&amp;CONTROL[[#This Row],[VEHIDCODE]]</f>
        <v>str_steam_USA_NYC_H_6A_Light_Mikado</v>
      </c>
    </row>
    <row r="167" spans="1:17">
      <c r="A167" s="2" t="s">
        <v>191</v>
      </c>
      <c r="B167" s="32" t="str">
        <f>_xlfn.TEXTAFTER(CONTROL[[#This Row],[VEHIDCODE]],"_")</f>
        <v>Argentina_FCGR_315</v>
      </c>
      <c r="C167" t="s">
        <v>721</v>
      </c>
      <c r="D167" t="s">
        <v>939</v>
      </c>
      <c r="E167">
        <v>4112</v>
      </c>
      <c r="F167" t="s">
        <v>1190</v>
      </c>
      <c r="G167" t="s">
        <v>2497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Row],[VEHIDCODE]],#REF!,0))</f>
        <v>0</v>
      </c>
      <c r="L167" t="b">
        <f>ISNUMBER(_xlfn.XMATCH(CONTROL[[#This Row],[VEHIDCODE]],PROPERTIES[VEHIDCODE],0))</f>
        <v>1</v>
      </c>
      <c r="M167" t="b">
        <f>ISNUMBER(_xlfn.XMATCH(CONTROL[[#This Row],[VEHIDCODE]],#REF!,0))</f>
        <v>0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s="32" t="str">
        <f>"item_"&amp;CONTROL[[#This Row],[VEHIDCODE]]</f>
        <v>item_steam_Argentina_FCGR_315</v>
      </c>
      <c r="Q167" s="32" t="str">
        <f>"str_"&amp;CONTROL[[#This Row],[VEHIDCODE]]</f>
        <v>str_steam_Argentina_FCGR_315</v>
      </c>
    </row>
    <row r="168" spans="1:17">
      <c r="A168" s="2" t="s">
        <v>192</v>
      </c>
      <c r="B168" s="32" t="str">
        <f>_xlfn.TEXTAFTER(CONTROL[[#This Row],[VEHIDCODE]],"_")</f>
        <v>Australia_NSWGR_C35</v>
      </c>
      <c r="C168" t="s">
        <v>721</v>
      </c>
      <c r="D168" t="s">
        <v>939</v>
      </c>
      <c r="E168">
        <v>4113</v>
      </c>
      <c r="F168" t="s">
        <v>1191</v>
      </c>
      <c r="G168" t="s">
        <v>2498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Row],[VEHIDCODE]],#REF!,0))</f>
        <v>0</v>
      </c>
      <c r="L168" t="b">
        <f>ISNUMBER(_xlfn.XMATCH(CONTROL[[#This Row],[VEHIDCODE]],PROPERTIES[VEHIDCODE],0))</f>
        <v>1</v>
      </c>
      <c r="M168" t="b">
        <f>ISNUMBER(_xlfn.XMATCH(CONTROL[[#This Row],[VEHIDCODE]],#REF!,0))</f>
        <v>0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s="32" t="str">
        <f>"item_"&amp;CONTROL[[#This Row],[VEHIDCODE]]</f>
        <v>item_steam_Australia_NSWGR_C35</v>
      </c>
      <c r="Q168" s="32" t="str">
        <f>"str_"&amp;CONTROL[[#This Row],[VEHIDCODE]]</f>
        <v>str_steam_Australia_NSWGR_C35</v>
      </c>
    </row>
    <row r="169" spans="1:17">
      <c r="A169" s="2" t="s">
        <v>193</v>
      </c>
      <c r="B169" s="32" t="str">
        <f>_xlfn.TEXTAFTER(CONTROL[[#This Row],[VEHIDCODE]],"_")</f>
        <v>Belgium_NMBS_SNCB_Type_29</v>
      </c>
      <c r="C169" t="s">
        <v>721</v>
      </c>
      <c r="D169" t="s">
        <v>939</v>
      </c>
      <c r="E169">
        <v>4114</v>
      </c>
      <c r="F169" t="s">
        <v>1192</v>
      </c>
      <c r="G169" t="s">
        <v>2499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Row],[VEHIDCODE]],#REF!,0))</f>
        <v>0</v>
      </c>
      <c r="L169" t="b">
        <f>ISNUMBER(_xlfn.XMATCH(CONTROL[[#This Row],[VEHIDCODE]],PROPERTIES[VEHIDCODE],0))</f>
        <v>1</v>
      </c>
      <c r="M169" t="b">
        <f>ISNUMBER(_xlfn.XMATCH(CONTROL[[#This Row],[VEHIDCODE]],#REF!,0))</f>
        <v>0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s="32" t="str">
        <f>"item_"&amp;CONTROL[[#This Row],[VEHIDCODE]]</f>
        <v>item_steam_Belgium_NMBS_SNCB_Type_29</v>
      </c>
      <c r="Q169" s="32" t="str">
        <f>"str_"&amp;CONTROL[[#This Row],[VEHIDCODE]]</f>
        <v>str_steam_Belgium_NMBS_SNCB_Type_29</v>
      </c>
    </row>
    <row r="170" spans="1:17">
      <c r="A170" s="2" t="s">
        <v>194</v>
      </c>
      <c r="B170" s="32" t="str">
        <f>_xlfn.TEXTAFTER(CONTROL[[#This Row],[VEHIDCODE]],"_")</f>
        <v>Chile_FCAB_4_8_2</v>
      </c>
      <c r="C170" t="s">
        <v>721</v>
      </c>
      <c r="D170" t="s">
        <v>939</v>
      </c>
      <c r="E170">
        <v>4115</v>
      </c>
      <c r="F170" t="s">
        <v>2500</v>
      </c>
      <c r="G170" t="s">
        <v>2501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Row],[VEHIDCODE]],#REF!,0))</f>
        <v>0</v>
      </c>
      <c r="L170" t="b">
        <f>ISNUMBER(_xlfn.XMATCH(CONTROL[[#This Row],[VEHIDCODE]],PROPERTIES[VEHIDCODE],0))</f>
        <v>1</v>
      </c>
      <c r="M170" t="b">
        <f>ISNUMBER(_xlfn.XMATCH(CONTROL[[#This Row],[VEHIDCODE]],#REF!,0))</f>
        <v>0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s="32" t="str">
        <f>"item_"&amp;CONTROL[[#This Row],[VEHIDCODE]]</f>
        <v>item_steam_Chile_FCAB_4_8_2</v>
      </c>
      <c r="Q170" s="32" t="str">
        <f>"str_"&amp;CONTROL[[#This Row],[VEHIDCODE]]</f>
        <v>str_steam_Chile_FCAB_4_8_2</v>
      </c>
    </row>
    <row r="171" spans="1:17">
      <c r="A171" s="2" t="s">
        <v>195</v>
      </c>
      <c r="B171" s="32" t="str">
        <f>_xlfn.TEXTAFTER(CONTROL[[#This Row],[VEHIDCODE]],"_")</f>
        <v>China_Railways_QJ</v>
      </c>
      <c r="C171" t="s">
        <v>721</v>
      </c>
      <c r="D171" t="s">
        <v>939</v>
      </c>
      <c r="E171">
        <v>4116</v>
      </c>
      <c r="F171" t="s">
        <v>1193</v>
      </c>
      <c r="G171" t="s">
        <v>2502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Row],[VEHIDCODE]],#REF!,0))</f>
        <v>0</v>
      </c>
      <c r="L171" t="b">
        <f>ISNUMBER(_xlfn.XMATCH(CONTROL[[#This Row],[VEHIDCODE]],PROPERTIES[VEHIDCODE],0))</f>
        <v>1</v>
      </c>
      <c r="M171" t="b">
        <f>ISNUMBER(_xlfn.XMATCH(CONTROL[[#This Row],[VEHIDCODE]],#REF!,0))</f>
        <v>0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s="32" t="str">
        <f>"item_"&amp;CONTROL[[#This Row],[VEHIDCODE]]</f>
        <v>item_steam_China_Railways_QJ</v>
      </c>
      <c r="Q171" s="32" t="str">
        <f>"str_"&amp;CONTROL[[#This Row],[VEHIDCODE]]</f>
        <v>str_steam_China_Railways_QJ</v>
      </c>
    </row>
    <row r="172" spans="1:17">
      <c r="A172" s="2" t="s">
        <v>196</v>
      </c>
      <c r="B172" s="32" t="str">
        <f>_xlfn.TEXTAFTER(CONTROL[[#This Row],[VEHIDCODE]],"_")</f>
        <v>Germany_DB_Kof_II</v>
      </c>
      <c r="C172" t="s">
        <v>722</v>
      </c>
      <c r="D172" t="s">
        <v>941</v>
      </c>
      <c r="E172">
        <v>5000</v>
      </c>
      <c r="F172" t="s">
        <v>1194</v>
      </c>
      <c r="G172" t="s">
        <v>2503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Row],[VEHIDCODE]],#REF!,0))</f>
        <v>0</v>
      </c>
      <c r="L172" t="b">
        <f>ISNUMBER(_xlfn.XMATCH(CONTROL[[#This Row],[VEHIDCODE]],PROPERTIES[VEHIDCODE],0))</f>
        <v>1</v>
      </c>
      <c r="M172" t="b">
        <f>ISNUMBER(_xlfn.XMATCH(CONTROL[[#This Row],[VEHIDCODE]],#REF!,0))</f>
        <v>0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s="32" t="str">
        <f>"item_"&amp;CONTROL[[#This Row],[VEHIDCODE]]</f>
        <v>item_diesel_Germany_DB_Kof_II</v>
      </c>
      <c r="Q172" s="32" t="str">
        <f>"str_"&amp;CONTROL[[#This Row],[VEHIDCODE]]</f>
        <v>str_diesel_Germany_DB_Kof_II</v>
      </c>
    </row>
    <row r="173" spans="1:17">
      <c r="A173" s="2" t="s">
        <v>197</v>
      </c>
      <c r="B173" s="32" t="str">
        <f>_xlfn.TEXTAFTER(CONTROL[[#This Row],[VEHIDCODE]],"_")</f>
        <v>USA_CNJ_ALCo_GE_IR_Boxcab</v>
      </c>
      <c r="C173" t="s">
        <v>722</v>
      </c>
      <c r="D173" t="s">
        <v>941</v>
      </c>
      <c r="E173">
        <v>5001</v>
      </c>
      <c r="F173" t="s">
        <v>2504</v>
      </c>
      <c r="G173" t="s">
        <v>2506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Row],[VEHIDCODE]],#REF!,0))</f>
        <v>0</v>
      </c>
      <c r="L173" t="b">
        <f>ISNUMBER(_xlfn.XMATCH(CONTROL[[#This Row],[VEHIDCODE]],PROPERTIES[VEHIDCODE],0))</f>
        <v>1</v>
      </c>
      <c r="M173" t="b">
        <f>ISNUMBER(_xlfn.XMATCH(CONTROL[[#This Row],[VEHIDCODE]],#REF!,0))</f>
        <v>0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s="32" t="str">
        <f>"item_"&amp;CONTROL[[#This Row],[VEHIDCODE]]</f>
        <v>item_diesel_USA_CNJ_ALCo_GE_IR_Boxcab</v>
      </c>
      <c r="Q173" s="32" t="str">
        <f>"str_"&amp;CONTROL[[#This Row],[VEHIDCODE]]</f>
        <v>str_diesel_USA_CNJ_ALCo_GE_IR_Boxcab</v>
      </c>
    </row>
    <row r="174" spans="1:17">
      <c r="A174" s="2" t="s">
        <v>198</v>
      </c>
      <c r="B174" s="32" t="str">
        <f>_xlfn.TEXTAFTER(CONTROL[[#This Row],[VEHIDCODE]],"_")</f>
        <v>Netherlands_NS_200</v>
      </c>
      <c r="C174" t="s">
        <v>722</v>
      </c>
      <c r="D174" t="s">
        <v>941</v>
      </c>
      <c r="E174">
        <v>5002</v>
      </c>
      <c r="F174" t="s">
        <v>1195</v>
      </c>
      <c r="G174" t="s">
        <v>2505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Row],[VEHIDCODE]],#REF!,0))</f>
        <v>0</v>
      </c>
      <c r="L174" t="b">
        <f>ISNUMBER(_xlfn.XMATCH(CONTROL[[#This Row],[VEHIDCODE]],PROPERTIES[VEHIDCODE],0))</f>
        <v>1</v>
      </c>
      <c r="M174" t="b">
        <f>ISNUMBER(_xlfn.XMATCH(CONTROL[[#This Row],[VEHIDCODE]],#REF!,0))</f>
        <v>0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s="32" t="str">
        <f>"item_"&amp;CONTROL[[#This Row],[VEHIDCODE]]</f>
        <v>item_diesel_Netherlands_NS_200</v>
      </c>
      <c r="Q174" s="32" t="str">
        <f>"str_"&amp;CONTROL[[#This Row],[VEHIDCODE]]</f>
        <v>str_diesel_Netherlands_NS_200</v>
      </c>
    </row>
    <row r="175" spans="1:17">
      <c r="A175" s="2" t="s">
        <v>199</v>
      </c>
      <c r="B175" s="32" t="str">
        <f>_xlfn.TEXTAFTER(CONTROL[[#This Row],[VEHIDCODE]],"_")</f>
        <v>Germany_DB_270</v>
      </c>
      <c r="C175" t="s">
        <v>722</v>
      </c>
      <c r="D175" t="s">
        <v>941</v>
      </c>
      <c r="E175">
        <v>5003</v>
      </c>
      <c r="F175" t="s">
        <v>1196</v>
      </c>
      <c r="G175" t="s">
        <v>2507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Row],[VEHIDCODE]],#REF!,0))</f>
        <v>0</v>
      </c>
      <c r="L175" t="b">
        <f>ISNUMBER(_xlfn.XMATCH(CONTROL[[#This Row],[VEHIDCODE]],PROPERTIES[VEHIDCODE],0))</f>
        <v>1</v>
      </c>
      <c r="M175" t="b">
        <f>ISNUMBER(_xlfn.XMATCH(CONTROL[[#This Row],[VEHIDCODE]],#REF!,0))</f>
        <v>0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s="32" t="str">
        <f>"item_"&amp;CONTROL[[#This Row],[VEHIDCODE]]</f>
        <v>item_diesel_Germany_DB_270</v>
      </c>
      <c r="Q175" s="32" t="str">
        <f>"str_"&amp;CONTROL[[#This Row],[VEHIDCODE]]</f>
        <v>str_diesel_Germany_DB_270</v>
      </c>
    </row>
    <row r="176" spans="1:17">
      <c r="A176" s="2" t="s">
        <v>200</v>
      </c>
      <c r="B176" s="32" t="str">
        <f>_xlfn.TEXTAFTER(CONTROL[[#This Row],[VEHIDCODE]],"_")</f>
        <v>Switzerland_SBB_Am_4_6</v>
      </c>
      <c r="C176" t="s">
        <v>722</v>
      </c>
      <c r="D176" t="s">
        <v>941</v>
      </c>
      <c r="E176">
        <v>5004</v>
      </c>
      <c r="F176" t="s">
        <v>1197</v>
      </c>
      <c r="G176" t="s">
        <v>2508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Row],[VEHIDCODE]],#REF!,0))</f>
        <v>0</v>
      </c>
      <c r="L176" t="b">
        <f>ISNUMBER(_xlfn.XMATCH(CONTROL[[#This Row],[VEHIDCODE]],PROPERTIES[VEHIDCODE],0))</f>
        <v>1</v>
      </c>
      <c r="M176" t="b">
        <f>ISNUMBER(_xlfn.XMATCH(CONTROL[[#This Row],[VEHIDCODE]],#REF!,0))</f>
        <v>0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s="32" t="str">
        <f>"item_"&amp;CONTROL[[#This Row],[VEHIDCODE]]</f>
        <v>item_diesel_Switzerland_SBB_Am_4_6</v>
      </c>
      <c r="Q176" s="32" t="str">
        <f>"str_"&amp;CONTROL[[#This Row],[VEHIDCODE]]</f>
        <v>str_diesel_Switzerland_SBB_Am_4_6</v>
      </c>
    </row>
    <row r="177" spans="1:17">
      <c r="A177" s="2" t="s">
        <v>201</v>
      </c>
      <c r="B177" s="32" t="str">
        <f>_xlfn.TEXTAFTER(CONTROL[[#This Row],[VEHIDCODE]],"_")</f>
        <v>Australia_NSWGR_79</v>
      </c>
      <c r="C177" t="s">
        <v>722</v>
      </c>
      <c r="D177" t="s">
        <v>941</v>
      </c>
      <c r="E177">
        <v>5005</v>
      </c>
      <c r="F177" t="s">
        <v>1198</v>
      </c>
      <c r="G177" t="s">
        <v>2509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Row],[VEHIDCODE]],#REF!,0))</f>
        <v>0</v>
      </c>
      <c r="L177" t="b">
        <f>ISNUMBER(_xlfn.XMATCH(CONTROL[[#This Row],[VEHIDCODE]],PROPERTIES[VEHIDCODE],0))</f>
        <v>1</v>
      </c>
      <c r="M177" t="b">
        <f>ISNUMBER(_xlfn.XMATCH(CONTROL[[#This Row],[VEHIDCODE]],#REF!,0))</f>
        <v>0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s="32" t="str">
        <f>"item_"&amp;CONTROL[[#This Row],[VEHIDCODE]]</f>
        <v>item_diesel_Australia_NSWGR_79</v>
      </c>
      <c r="Q177" s="32" t="str">
        <f>"str_"&amp;CONTROL[[#This Row],[VEHIDCODE]]</f>
        <v>str_diesel_Australia_NSWGR_79</v>
      </c>
    </row>
    <row r="178" spans="1:17">
      <c r="A178" s="2" t="s">
        <v>202</v>
      </c>
      <c r="B178" s="32" t="str">
        <f>_xlfn.TEXTAFTER(CONTROL[[#This Row],[VEHIDCODE]],"_")</f>
        <v>USA_Western_Pacific_ALCO_S_2</v>
      </c>
      <c r="C178" t="s">
        <v>722</v>
      </c>
      <c r="D178" t="s">
        <v>941</v>
      </c>
      <c r="E178">
        <v>5006</v>
      </c>
      <c r="F178" t="s">
        <v>1199</v>
      </c>
      <c r="G178" t="s">
        <v>2511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Row],[VEHIDCODE]],#REF!,0))</f>
        <v>0</v>
      </c>
      <c r="L178" t="b">
        <f>ISNUMBER(_xlfn.XMATCH(CONTROL[[#This Row],[VEHIDCODE]],PROPERTIES[VEHIDCODE],0))</f>
        <v>1</v>
      </c>
      <c r="M178" t="b">
        <f>ISNUMBER(_xlfn.XMATCH(CONTROL[[#This Row],[VEHIDCODE]],#REF!,0))</f>
        <v>0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s="32" t="str">
        <f>"item_"&amp;CONTROL[[#This Row],[VEHIDCODE]]</f>
        <v>item_diesel_USA_Western_Pacific_ALCO_S_2</v>
      </c>
      <c r="Q178" s="32" t="str">
        <f>"str_"&amp;CONTROL[[#This Row],[VEHIDCODE]]</f>
        <v>str_diesel_USA_Western_Pacific_ALCO_S_2</v>
      </c>
    </row>
    <row r="179" spans="1:17">
      <c r="A179" s="2" t="s">
        <v>203</v>
      </c>
      <c r="B179" s="32" t="str">
        <f>_xlfn.TEXTAFTER(CONTROL[[#This Row],[VEHIDCODE]],"_")</f>
        <v>USA_AT_SF_EMD_F3</v>
      </c>
      <c r="C179" t="s">
        <v>722</v>
      </c>
      <c r="D179" t="s">
        <v>941</v>
      </c>
      <c r="E179">
        <v>5007</v>
      </c>
      <c r="F179" t="s">
        <v>1200</v>
      </c>
      <c r="G179" t="s">
        <v>2510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Row],[VEHIDCODE]],#REF!,0))</f>
        <v>0</v>
      </c>
      <c r="L179" t="b">
        <f>ISNUMBER(_xlfn.XMATCH(CONTROL[[#This Row],[VEHIDCODE]],PROPERTIES[VEHIDCODE],0))</f>
        <v>1</v>
      </c>
      <c r="M179" t="b">
        <f>ISNUMBER(_xlfn.XMATCH(CONTROL[[#This Row],[VEHIDCODE]],#REF!,0))</f>
        <v>0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s="32" t="str">
        <f>"item_"&amp;CONTROL[[#This Row],[VEHIDCODE]]</f>
        <v>item_diesel_USA_AT_SF_EMD_F3</v>
      </c>
      <c r="Q179" s="32" t="str">
        <f>"str_"&amp;CONTROL[[#This Row],[VEHIDCODE]]</f>
        <v>str_diesel_USA_AT_SF_EMD_F3</v>
      </c>
    </row>
    <row r="180" spans="1:17">
      <c r="A180" s="2" t="s">
        <v>204</v>
      </c>
      <c r="B180" s="32" t="str">
        <f>_xlfn.TEXTAFTER(CONTROL[[#This Row],[VEHIDCODE]],"_")</f>
        <v>USA_UP_EMD_E8</v>
      </c>
      <c r="C180" t="s">
        <v>722</v>
      </c>
      <c r="D180" t="s">
        <v>941</v>
      </c>
      <c r="E180">
        <v>5008</v>
      </c>
      <c r="F180" t="s">
        <v>1201</v>
      </c>
      <c r="G180" t="s">
        <v>2513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Row],[VEHIDCODE]],#REF!,0))</f>
        <v>0</v>
      </c>
      <c r="L180" t="b">
        <f>ISNUMBER(_xlfn.XMATCH(CONTROL[[#This Row],[VEHIDCODE]],PROPERTIES[VEHIDCODE],0))</f>
        <v>1</v>
      </c>
      <c r="M180" t="b">
        <f>ISNUMBER(_xlfn.XMATCH(CONTROL[[#This Row],[VEHIDCODE]],#REF!,0))</f>
        <v>0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s="32" t="str">
        <f>"item_"&amp;CONTROL[[#This Row],[VEHIDCODE]]</f>
        <v>item_diesel_USA_UP_EMD_E8</v>
      </c>
      <c r="Q180" s="32" t="str">
        <f>"str_"&amp;CONTROL[[#This Row],[VEHIDCODE]]</f>
        <v>str_diesel_USA_UP_EMD_E8</v>
      </c>
    </row>
    <row r="181" spans="1:17">
      <c r="A181" s="2" t="s">
        <v>205</v>
      </c>
      <c r="B181" s="32" t="str">
        <f>_xlfn.TEXTAFTER(CONTROL[[#This Row],[VEHIDCODE]],"_")</f>
        <v>Brazil_EFCB_ALCO_RS_3</v>
      </c>
      <c r="C181" t="s">
        <v>722</v>
      </c>
      <c r="D181" t="s">
        <v>941</v>
      </c>
      <c r="E181">
        <v>5009</v>
      </c>
      <c r="F181" t="s">
        <v>1202</v>
      </c>
      <c r="G181" t="s">
        <v>2515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Row],[VEHIDCODE]],#REF!,0))</f>
        <v>0</v>
      </c>
      <c r="L181" t="b">
        <f>ISNUMBER(_xlfn.XMATCH(CONTROL[[#This Row],[VEHIDCODE]],PROPERTIES[VEHIDCODE],0))</f>
        <v>1</v>
      </c>
      <c r="M181" t="b">
        <f>ISNUMBER(_xlfn.XMATCH(CONTROL[[#This Row],[VEHIDCODE]],#REF!,0))</f>
        <v>0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s="32" t="str">
        <f>"item_"&amp;CONTROL[[#This Row],[VEHIDCODE]]</f>
        <v>item_diesel_Brazil_EFCB_ALCO_RS_3</v>
      </c>
      <c r="Q181" s="32" t="str">
        <f>"str_"&amp;CONTROL[[#This Row],[VEHIDCODE]]</f>
        <v>str_diesel_Brazil_EFCB_ALCO_RS_3</v>
      </c>
    </row>
    <row r="182" spans="1:17">
      <c r="A182" s="2" t="s">
        <v>206</v>
      </c>
      <c r="B182" s="32" t="str">
        <f>_xlfn.TEXTAFTER(CONTROL[[#This Row],[VEHIDCODE]],"_")</f>
        <v>Netherlands_NS_600</v>
      </c>
      <c r="C182" t="s">
        <v>722</v>
      </c>
      <c r="D182" t="s">
        <v>941</v>
      </c>
      <c r="E182">
        <v>5010</v>
      </c>
      <c r="F182" t="s">
        <v>1203</v>
      </c>
      <c r="G182" t="s">
        <v>2516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Row],[VEHIDCODE]],#REF!,0))</f>
        <v>0</v>
      </c>
      <c r="L182" t="b">
        <f>ISNUMBER(_xlfn.XMATCH(CONTROL[[#This Row],[VEHIDCODE]],PROPERTIES[VEHIDCODE],0))</f>
        <v>1</v>
      </c>
      <c r="M182" t="b">
        <f>ISNUMBER(_xlfn.XMATCH(CONTROL[[#This Row],[VEHIDCODE]],#REF!,0))</f>
        <v>0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s="32" t="str">
        <f>"item_"&amp;CONTROL[[#This Row],[VEHIDCODE]]</f>
        <v>item_diesel_Netherlands_NS_600</v>
      </c>
      <c r="Q182" s="32" t="str">
        <f>"str_"&amp;CONTROL[[#This Row],[VEHIDCODE]]</f>
        <v>str_diesel_Netherlands_NS_600</v>
      </c>
    </row>
    <row r="183" spans="1:17">
      <c r="A183" s="2" t="s">
        <v>207</v>
      </c>
      <c r="B183" s="32" t="str">
        <f>_xlfn.TEXTAFTER(CONTROL[[#This Row],[VEHIDCODE]],"_")</f>
        <v>USA_Pennsylvania_Railroad_RF_16_Sharknose</v>
      </c>
      <c r="C183" t="s">
        <v>722</v>
      </c>
      <c r="D183" t="s">
        <v>941</v>
      </c>
      <c r="E183">
        <v>5100</v>
      </c>
      <c r="F183" t="s">
        <v>1204</v>
      </c>
      <c r="G183" t="s">
        <v>2517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Row],[VEHIDCODE]],#REF!,0))</f>
        <v>0</v>
      </c>
      <c r="L183" t="b">
        <f>ISNUMBER(_xlfn.XMATCH(CONTROL[[#This Row],[VEHIDCODE]],PROPERTIES[VEHIDCODE],0))</f>
        <v>1</v>
      </c>
      <c r="M183" t="b">
        <f>ISNUMBER(_xlfn.XMATCH(CONTROL[[#This Row],[VEHIDCODE]],#REF!,0))</f>
        <v>0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s="32" t="str">
        <f>"item_"&amp;CONTROL[[#This Row],[VEHIDCODE]]</f>
        <v>item_diesel_USA_Pennsylvania_Railroad_RF_16_Sharknose</v>
      </c>
      <c r="Q183" s="32" t="str">
        <f>"str_"&amp;CONTROL[[#This Row],[VEHIDCODE]]</f>
        <v>str_diesel_USA_Pennsylvania_Railroad_RF_16_Sharknose</v>
      </c>
    </row>
    <row r="184" spans="1:17">
      <c r="A184" s="2" t="s">
        <v>208</v>
      </c>
      <c r="B184" s="32" t="str">
        <f>_xlfn.TEXTAFTER(CONTROL[[#This Row],[VEHIDCODE]],"_")</f>
        <v>Uruguay_AFE_1500</v>
      </c>
      <c r="C184" t="s">
        <v>722</v>
      </c>
      <c r="D184" t="s">
        <v>941</v>
      </c>
      <c r="E184">
        <v>5012</v>
      </c>
      <c r="F184" t="s">
        <v>1205</v>
      </c>
      <c r="G184" t="s">
        <v>2464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Row],[VEHIDCODE]],#REF!,0))</f>
        <v>0</v>
      </c>
      <c r="L184" t="b">
        <f>ISNUMBER(_xlfn.XMATCH(CONTROL[[#This Row],[VEHIDCODE]],PROPERTIES[VEHIDCODE],0))</f>
        <v>1</v>
      </c>
      <c r="M184" t="b">
        <f>ISNUMBER(_xlfn.XMATCH(CONTROL[[#This Row],[VEHIDCODE]],#REF!,0))</f>
        <v>0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s="32" t="str">
        <f>"item_"&amp;CONTROL[[#This Row],[VEHIDCODE]]</f>
        <v>item_diesel_Uruguay_AFE_1500</v>
      </c>
      <c r="Q184" s="32" t="str">
        <f>"str_"&amp;CONTROL[[#This Row],[VEHIDCODE]]</f>
        <v>str_diesel_Uruguay_AFE_1500</v>
      </c>
    </row>
    <row r="185" spans="1:17">
      <c r="A185" s="2" t="s">
        <v>209</v>
      </c>
      <c r="B185" s="32" t="str">
        <f>_xlfn.TEXTAFTER(CONTROL[[#This Row],[VEHIDCODE]],"_")</f>
        <v>Canada_CPR_Trainmaster</v>
      </c>
      <c r="C185" t="s">
        <v>722</v>
      </c>
      <c r="D185" t="s">
        <v>941</v>
      </c>
      <c r="E185">
        <v>5013</v>
      </c>
      <c r="F185" t="s">
        <v>2518</v>
      </c>
      <c r="G185" t="s">
        <v>2519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Row],[VEHIDCODE]],#REF!,0))</f>
        <v>0</v>
      </c>
      <c r="L185" t="b">
        <f>ISNUMBER(_xlfn.XMATCH(CONTROL[[#This Row],[VEHIDCODE]],PROPERTIES[VEHIDCODE],0))</f>
        <v>1</v>
      </c>
      <c r="M185" t="b">
        <f>ISNUMBER(_xlfn.XMATCH(CONTROL[[#This Row],[VEHIDCODE]],#REF!,0))</f>
        <v>0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s="32" t="str">
        <f>"item_"&amp;CONTROL[[#This Row],[VEHIDCODE]]</f>
        <v>item_diesel_Canada_CPR_Trainmaster</v>
      </c>
      <c r="Q185" s="32" t="str">
        <f>"str_"&amp;CONTROL[[#This Row],[VEHIDCODE]]</f>
        <v>str_diesel_Canada_CPR_Trainmaster</v>
      </c>
    </row>
    <row r="186" spans="1:17">
      <c r="A186" s="2" t="s">
        <v>210</v>
      </c>
      <c r="B186" s="32" t="str">
        <f>_xlfn.TEXTAFTER(CONTROL[[#This Row],[VEHIDCODE]],"_")</f>
        <v>Liberia_Liberia_Railways_Class_08</v>
      </c>
      <c r="C186" t="s">
        <v>722</v>
      </c>
      <c r="D186" t="s">
        <v>941</v>
      </c>
      <c r="E186">
        <v>5014</v>
      </c>
      <c r="F186" t="s">
        <v>2520</v>
      </c>
      <c r="G186" t="s">
        <v>2521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Row],[VEHIDCODE]],#REF!,0))</f>
        <v>0</v>
      </c>
      <c r="L186" t="b">
        <f>ISNUMBER(_xlfn.XMATCH(CONTROL[[#This Row],[VEHIDCODE]],PROPERTIES[VEHIDCODE],0))</f>
        <v>1</v>
      </c>
      <c r="M186" t="b">
        <f>ISNUMBER(_xlfn.XMATCH(CONTROL[[#This Row],[VEHIDCODE]],#REF!,0))</f>
        <v>0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s="32" t="str">
        <f>"item_"&amp;CONTROL[[#This Row],[VEHIDCODE]]</f>
        <v>item_diesel_Liberia_Liberia_Railways_Class_08</v>
      </c>
      <c r="Q186" s="32" t="str">
        <f>"str_"&amp;CONTROL[[#This Row],[VEHIDCODE]]</f>
        <v>str_diesel_Liberia_Liberia_Railways_Class_08</v>
      </c>
    </row>
    <row r="187" spans="1:17">
      <c r="A187" s="2" t="s">
        <v>211</v>
      </c>
      <c r="B187" s="32" t="str">
        <f>_xlfn.TEXTAFTER(CONTROL[[#This Row],[VEHIDCODE]],"_")</f>
        <v>Austria_OBB_2060</v>
      </c>
      <c r="C187" t="s">
        <v>722</v>
      </c>
      <c r="D187" t="s">
        <v>941</v>
      </c>
      <c r="E187">
        <v>5015</v>
      </c>
      <c r="F187" t="s">
        <v>2525</v>
      </c>
      <c r="G187" t="s">
        <v>2539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Row],[VEHIDCODE]],#REF!,0))</f>
        <v>0</v>
      </c>
      <c r="L187" t="b">
        <f>ISNUMBER(_xlfn.XMATCH(CONTROL[[#This Row],[VEHIDCODE]],PROPERTIES[VEHIDCODE],0))</f>
        <v>1</v>
      </c>
      <c r="M187" t="b">
        <f>ISNUMBER(_xlfn.XMATCH(CONTROL[[#This Row],[VEHIDCODE]],#REF!,0))</f>
        <v>0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s="32" t="str">
        <f>"item_"&amp;CONTROL[[#This Row],[VEHIDCODE]]</f>
        <v>item_diesel_Austria_OBB_2060</v>
      </c>
      <c r="Q187" s="32" t="str">
        <f>"str_"&amp;CONTROL[[#This Row],[VEHIDCODE]]</f>
        <v>str_diesel_Austria_OBB_2060</v>
      </c>
    </row>
    <row r="188" spans="1:17">
      <c r="A188" s="2" t="s">
        <v>212</v>
      </c>
      <c r="B188" s="32" t="str">
        <f>_xlfn.TEXTAFTER(CONTROL[[#This Row],[VEHIDCODE]],"_")</f>
        <v>Canada_CNR_SW1200</v>
      </c>
      <c r="C188" t="s">
        <v>722</v>
      </c>
      <c r="D188" t="s">
        <v>941</v>
      </c>
      <c r="E188">
        <v>5016</v>
      </c>
      <c r="F188" t="s">
        <v>1206</v>
      </c>
      <c r="G188" t="s">
        <v>2540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Row],[VEHIDCODE]],#REF!,0))</f>
        <v>0</v>
      </c>
      <c r="L188" t="b">
        <f>ISNUMBER(_xlfn.XMATCH(CONTROL[[#This Row],[VEHIDCODE]],PROPERTIES[VEHIDCODE],0))</f>
        <v>1</v>
      </c>
      <c r="M188" t="b">
        <f>ISNUMBER(_xlfn.XMATCH(CONTROL[[#This Row],[VEHIDCODE]],#REF!,0))</f>
        <v>0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s="32" t="str">
        <f>"item_"&amp;CONTROL[[#This Row],[VEHIDCODE]]</f>
        <v>item_diesel_Canada_CNR_SW1200</v>
      </c>
      <c r="Q188" s="32" t="str">
        <f>"str_"&amp;CONTROL[[#This Row],[VEHIDCODE]]</f>
        <v>str_diesel_Canada_CNR_SW1200</v>
      </c>
    </row>
    <row r="189" spans="1:17">
      <c r="A189" s="2" t="s">
        <v>213</v>
      </c>
      <c r="B189" s="32" t="str">
        <f>_xlfn.TEXTAFTER(CONTROL[[#This Row],[VEHIDCODE]],"_")</f>
        <v>Canada_VIA_Rail_FP9</v>
      </c>
      <c r="C189" t="s">
        <v>722</v>
      </c>
      <c r="D189" t="s">
        <v>941</v>
      </c>
      <c r="E189">
        <v>5017</v>
      </c>
      <c r="F189" t="s">
        <v>1207</v>
      </c>
      <c r="G189" t="s">
        <v>2541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Row],[VEHIDCODE]],#REF!,0))</f>
        <v>0</v>
      </c>
      <c r="L189" t="b">
        <f>ISNUMBER(_xlfn.XMATCH(CONTROL[[#This Row],[VEHIDCODE]],PROPERTIES[VEHIDCODE],0))</f>
        <v>1</v>
      </c>
      <c r="M189" t="b">
        <f>ISNUMBER(_xlfn.XMATCH(CONTROL[[#This Row],[VEHIDCODE]],#REF!,0))</f>
        <v>0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s="32" t="str">
        <f>"item_"&amp;CONTROL[[#This Row],[VEHIDCODE]]</f>
        <v>item_diesel_Canada_VIA_Rail_FP9</v>
      </c>
      <c r="Q189" s="32" t="str">
        <f>"str_"&amp;CONTROL[[#This Row],[VEHIDCODE]]</f>
        <v>str_diesel_Canada_VIA_Rail_FP9</v>
      </c>
    </row>
    <row r="190" spans="1:17">
      <c r="A190" s="2" t="s">
        <v>214</v>
      </c>
      <c r="B190" s="32" t="str">
        <f>_xlfn.TEXTAFTER(CONTROL[[#This Row],[VEHIDCODE]],"_")</f>
        <v>Hungary_MAV_M44</v>
      </c>
      <c r="C190" t="s">
        <v>722</v>
      </c>
      <c r="D190" t="s">
        <v>941</v>
      </c>
      <c r="E190">
        <v>5018</v>
      </c>
      <c r="F190" t="s">
        <v>2535</v>
      </c>
      <c r="G190" t="s">
        <v>2512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Row],[VEHIDCODE]],#REF!,0))</f>
        <v>0</v>
      </c>
      <c r="L190" t="b">
        <f>ISNUMBER(_xlfn.XMATCH(CONTROL[[#This Row],[VEHIDCODE]],PROPERTIES[VEHIDCODE],0))</f>
        <v>1</v>
      </c>
      <c r="M190" t="b">
        <f>ISNUMBER(_xlfn.XMATCH(CONTROL[[#This Row],[VEHIDCODE]],#REF!,0))</f>
        <v>0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s="32" t="str">
        <f>"item_"&amp;CONTROL[[#This Row],[VEHIDCODE]]</f>
        <v>item_diesel_Hungary_MAV_M44</v>
      </c>
      <c r="Q190" s="32" t="str">
        <f>"str_"&amp;CONTROL[[#This Row],[VEHIDCODE]]</f>
        <v>str_diesel_Hungary_MAV_M44</v>
      </c>
    </row>
    <row r="191" spans="1:17">
      <c r="A191" s="2" t="s">
        <v>215</v>
      </c>
      <c r="B191" s="32" t="str">
        <f>_xlfn.TEXTAFTER(CONTROL[[#This Row],[VEHIDCODE]],"_")</f>
        <v>Hungary_MAV_M28</v>
      </c>
      <c r="C191" t="s">
        <v>722</v>
      </c>
      <c r="D191" t="s">
        <v>941</v>
      </c>
      <c r="E191">
        <v>5019</v>
      </c>
      <c r="F191" t="s">
        <v>2536</v>
      </c>
      <c r="G191" t="s">
        <v>2542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Row],[VEHIDCODE]],#REF!,0))</f>
        <v>0</v>
      </c>
      <c r="L191" t="b">
        <f>ISNUMBER(_xlfn.XMATCH(CONTROL[[#This Row],[VEHIDCODE]],PROPERTIES[VEHIDCODE],0))</f>
        <v>1</v>
      </c>
      <c r="M191" t="b">
        <f>ISNUMBER(_xlfn.XMATCH(CONTROL[[#This Row],[VEHIDCODE]],#REF!,0))</f>
        <v>0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s="32" t="str">
        <f>"item_"&amp;CONTROL[[#This Row],[VEHIDCODE]]</f>
        <v>item_diesel_Hungary_MAV_M28</v>
      </c>
      <c r="Q191" s="32" t="str">
        <f>"str_"&amp;CONTROL[[#This Row],[VEHIDCODE]]</f>
        <v>str_diesel_Hungary_MAV_M28</v>
      </c>
    </row>
    <row r="192" spans="1:17">
      <c r="A192" s="2" t="s">
        <v>216</v>
      </c>
      <c r="B192" s="32" t="str">
        <f>_xlfn.TEXTAFTER(CONTROL[[#This Row],[VEHIDCODE]],"_")</f>
        <v>Belgium_NMBS_SNCB_83</v>
      </c>
      <c r="C192" t="s">
        <v>722</v>
      </c>
      <c r="D192" t="s">
        <v>941</v>
      </c>
      <c r="E192">
        <v>5020</v>
      </c>
      <c r="F192" t="s">
        <v>1208</v>
      </c>
      <c r="G192" t="s">
        <v>2543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Row],[VEHIDCODE]],#REF!,0))</f>
        <v>0</v>
      </c>
      <c r="L192" t="b">
        <f>ISNUMBER(_xlfn.XMATCH(CONTROL[[#This Row],[VEHIDCODE]],PROPERTIES[VEHIDCODE],0))</f>
        <v>1</v>
      </c>
      <c r="M192" t="b">
        <f>ISNUMBER(_xlfn.XMATCH(CONTROL[[#This Row],[VEHIDCODE]],#REF!,0))</f>
        <v>0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s="32" t="str">
        <f>"item_"&amp;CONTROL[[#This Row],[VEHIDCODE]]</f>
        <v>item_diesel_Belgium_NMBS_SNCB_83</v>
      </c>
      <c r="Q192" s="32" t="str">
        <f>"str_"&amp;CONTROL[[#This Row],[VEHIDCODE]]</f>
        <v>str_diesel_Belgium_NMBS_SNCB_83</v>
      </c>
    </row>
    <row r="193" spans="1:17">
      <c r="A193" s="2" t="s">
        <v>217</v>
      </c>
      <c r="B193" s="32" t="str">
        <f>_xlfn.TEXTAFTER(CONTROL[[#This Row],[VEHIDCODE]],"_")</f>
        <v>Germany_DB_220</v>
      </c>
      <c r="C193" t="s">
        <v>722</v>
      </c>
      <c r="D193" t="s">
        <v>941</v>
      </c>
      <c r="E193">
        <v>5021</v>
      </c>
      <c r="F193" t="s">
        <v>1209</v>
      </c>
      <c r="G193" t="s">
        <v>2544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Row],[VEHIDCODE]],#REF!,0))</f>
        <v>0</v>
      </c>
      <c r="L193" t="b">
        <f>ISNUMBER(_xlfn.XMATCH(CONTROL[[#This Row],[VEHIDCODE]],PROPERTIES[VEHIDCODE],0))</f>
        <v>1</v>
      </c>
      <c r="M193" t="b">
        <f>ISNUMBER(_xlfn.XMATCH(CONTROL[[#This Row],[VEHIDCODE]],#REF!,0))</f>
        <v>0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s="32" t="str">
        <f>"item_"&amp;CONTROL[[#This Row],[VEHIDCODE]]</f>
        <v>item_diesel_Germany_DB_220</v>
      </c>
      <c r="Q193" s="32" t="str">
        <f>"str_"&amp;CONTROL[[#This Row],[VEHIDCODE]]</f>
        <v>str_diesel_Germany_DB_220</v>
      </c>
    </row>
    <row r="194" spans="1:17">
      <c r="A194" s="2" t="s">
        <v>218</v>
      </c>
      <c r="B194" s="32" t="str">
        <f>_xlfn.TEXTAFTER(CONTROL[[#This Row],[VEHIDCODE]],"_")</f>
        <v>USA_Amtrak_FL9</v>
      </c>
      <c r="C194" t="s">
        <v>722</v>
      </c>
      <c r="D194" t="s">
        <v>941</v>
      </c>
      <c r="E194">
        <v>5022</v>
      </c>
      <c r="F194" t="s">
        <v>1210</v>
      </c>
      <c r="G194" t="s">
        <v>2545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Row],[VEHIDCODE]],#REF!,0))</f>
        <v>0</v>
      </c>
      <c r="L194" t="b">
        <f>ISNUMBER(_xlfn.XMATCH(CONTROL[[#This Row],[VEHIDCODE]],PROPERTIES[VEHIDCODE],0))</f>
        <v>1</v>
      </c>
      <c r="M194" t="b">
        <f>ISNUMBER(_xlfn.XMATCH(CONTROL[[#This Row],[VEHIDCODE]],#REF!,0))</f>
        <v>0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s="32" t="str">
        <f>"item_"&amp;CONTROL[[#This Row],[VEHIDCODE]]</f>
        <v>item_diesel_USA_Amtrak_FL9</v>
      </c>
      <c r="Q194" s="32" t="str">
        <f>"str_"&amp;CONTROL[[#This Row],[VEHIDCODE]]</f>
        <v>str_diesel_USA_Amtrak_FL9</v>
      </c>
    </row>
    <row r="195" spans="1:17">
      <c r="A195" s="2" t="s">
        <v>219</v>
      </c>
      <c r="B195" s="32" t="str">
        <f>_xlfn.TEXTAFTER(CONTROL[[#This Row],[VEHIDCODE]],"_")</f>
        <v>Czech_Republic_CD_720_ChME2</v>
      </c>
      <c r="C195" t="s">
        <v>722</v>
      </c>
      <c r="D195" t="s">
        <v>941</v>
      </c>
      <c r="E195">
        <v>5023</v>
      </c>
      <c r="F195" t="s">
        <v>2820</v>
      </c>
      <c r="G195" t="s">
        <v>2546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Row],[VEHIDCODE]],#REF!,0))</f>
        <v>0</v>
      </c>
      <c r="L195" t="b">
        <f>ISNUMBER(_xlfn.XMATCH(CONTROL[[#This Row],[VEHIDCODE]],PROPERTIES[VEHIDCODE],0))</f>
        <v>1</v>
      </c>
      <c r="M195" t="b">
        <f>ISNUMBER(_xlfn.XMATCH(CONTROL[[#This Row],[VEHIDCODE]],#REF!,0))</f>
        <v>0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s="32" t="str">
        <f>"item_"&amp;CONTROL[[#This Row],[VEHIDCODE]]</f>
        <v>item_diesel_Czech_Republic_CD_720_ChME2</v>
      </c>
      <c r="Q195" s="32" t="str">
        <f>"str_"&amp;CONTROL[[#This Row],[VEHIDCODE]]</f>
        <v>str_diesel_Czech_Republic_CD_720_ChME2</v>
      </c>
    </row>
    <row r="196" spans="1:17">
      <c r="A196" s="2" t="s">
        <v>220</v>
      </c>
      <c r="B196" s="32" t="str">
        <f>_xlfn.TEXTAFTER(CONTROL[[#This Row],[VEHIDCODE]],"_")</f>
        <v>Finland_VR_Dr12</v>
      </c>
      <c r="C196" t="s">
        <v>722</v>
      </c>
      <c r="D196" t="s">
        <v>941</v>
      </c>
      <c r="E196">
        <v>5024</v>
      </c>
      <c r="F196" t="s">
        <v>1211</v>
      </c>
      <c r="G196" t="s">
        <v>2547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Row],[VEHIDCODE]],#REF!,0))</f>
        <v>0</v>
      </c>
      <c r="L196" t="b">
        <f>ISNUMBER(_xlfn.XMATCH(CONTROL[[#This Row],[VEHIDCODE]],PROPERTIES[VEHIDCODE],0))</f>
        <v>1</v>
      </c>
      <c r="M196" t="b">
        <f>ISNUMBER(_xlfn.XMATCH(CONTROL[[#This Row],[VEHIDCODE]],#REF!,0))</f>
        <v>0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s="32" t="str">
        <f>"item_"&amp;CONTROL[[#This Row],[VEHIDCODE]]</f>
        <v>item_diesel_Finland_VR_Dr12</v>
      </c>
      <c r="Q196" s="32" t="str">
        <f>"str_"&amp;CONTROL[[#This Row],[VEHIDCODE]]</f>
        <v>str_diesel_Finland_VR_Dr12</v>
      </c>
    </row>
    <row r="197" spans="1:17">
      <c r="A197" s="2" t="s">
        <v>221</v>
      </c>
      <c r="B197" s="32" t="str">
        <f>_xlfn.TEXTAFTER(CONTROL[[#This Row],[VEHIDCODE]],"_")</f>
        <v>Romania_CFR_060_DA</v>
      </c>
      <c r="C197" t="s">
        <v>722</v>
      </c>
      <c r="D197" t="s">
        <v>941</v>
      </c>
      <c r="E197">
        <v>5025</v>
      </c>
      <c r="F197" t="s">
        <v>1212</v>
      </c>
      <c r="G197" t="s">
        <v>2548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Row],[VEHIDCODE]],#REF!,0))</f>
        <v>0</v>
      </c>
      <c r="L197" t="b">
        <f>ISNUMBER(_xlfn.XMATCH(CONTROL[[#This Row],[VEHIDCODE]],PROPERTIES[VEHIDCODE],0))</f>
        <v>1</v>
      </c>
      <c r="M197" t="b">
        <f>ISNUMBER(_xlfn.XMATCH(CONTROL[[#This Row],[VEHIDCODE]],#REF!,0))</f>
        <v>0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s="32" t="str">
        <f>"item_"&amp;CONTROL[[#This Row],[VEHIDCODE]]</f>
        <v>item_diesel_Romania_CFR_060_DA</v>
      </c>
      <c r="Q197" s="32" t="str">
        <f>"str_"&amp;CONTROL[[#This Row],[VEHIDCODE]]</f>
        <v>str_diesel_Romania_CFR_060_DA</v>
      </c>
    </row>
    <row r="198" spans="1:17">
      <c r="A198" s="2" t="s">
        <v>222</v>
      </c>
      <c r="B198" s="32" t="str">
        <f>_xlfn.TEXTAFTER(CONTROL[[#This Row],[VEHIDCODE]],"_")</f>
        <v>Brazil_BF_EMD_GL8</v>
      </c>
      <c r="C198" t="s">
        <v>722</v>
      </c>
      <c r="D198" t="s">
        <v>941</v>
      </c>
      <c r="E198">
        <v>5026</v>
      </c>
      <c r="F198" t="s">
        <v>1213</v>
      </c>
      <c r="G198" t="s">
        <v>2549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Row],[VEHIDCODE]],#REF!,0))</f>
        <v>0</v>
      </c>
      <c r="L198" t="b">
        <f>ISNUMBER(_xlfn.XMATCH(CONTROL[[#This Row],[VEHIDCODE]],PROPERTIES[VEHIDCODE],0))</f>
        <v>1</v>
      </c>
      <c r="M198" t="b">
        <f>ISNUMBER(_xlfn.XMATCH(CONTROL[[#This Row],[VEHIDCODE]],#REF!,0))</f>
        <v>0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s="32" t="str">
        <f>"item_"&amp;CONTROL[[#This Row],[VEHIDCODE]]</f>
        <v>item_diesel_Brazil_BF_EMD_GL8</v>
      </c>
      <c r="Q198" s="32" t="str">
        <f>"str_"&amp;CONTROL[[#This Row],[VEHIDCODE]]</f>
        <v>str_diesel_Brazil_BF_EMD_GL8</v>
      </c>
    </row>
    <row r="199" spans="1:17">
      <c r="A199" s="2" t="s">
        <v>223</v>
      </c>
      <c r="B199" s="32" t="str">
        <f>_xlfn.TEXTAFTER(CONTROL[[#This Row],[VEHIDCODE]],"_")</f>
        <v>Brazil_EFVM_ML4000</v>
      </c>
      <c r="C199" t="s">
        <v>722</v>
      </c>
      <c r="D199" t="s">
        <v>941</v>
      </c>
      <c r="E199">
        <v>5027</v>
      </c>
      <c r="F199" t="s">
        <v>1214</v>
      </c>
      <c r="G199" t="s">
        <v>2550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Row],[VEHIDCODE]],#REF!,0))</f>
        <v>0</v>
      </c>
      <c r="L199" t="b">
        <f>ISNUMBER(_xlfn.XMATCH(CONTROL[[#This Row],[VEHIDCODE]],PROPERTIES[VEHIDCODE],0))</f>
        <v>1</v>
      </c>
      <c r="M199" t="b">
        <f>ISNUMBER(_xlfn.XMATCH(CONTROL[[#This Row],[VEHIDCODE]],#REF!,0))</f>
        <v>0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s="32" t="str">
        <f>"item_"&amp;CONTROL[[#This Row],[VEHIDCODE]]</f>
        <v>item_diesel_Brazil_EFVM_ML4000</v>
      </c>
      <c r="Q199" s="32" t="str">
        <f>"str_"&amp;CONTROL[[#This Row],[VEHIDCODE]]</f>
        <v>str_diesel_Brazil_EFVM_ML4000</v>
      </c>
    </row>
    <row r="200" spans="1:17">
      <c r="A200" s="2" t="s">
        <v>224</v>
      </c>
      <c r="B200" s="32" t="str">
        <f>_xlfn.TEXTAFTER(CONTROL[[#This Row],[VEHIDCODE]],"_")</f>
        <v>Russia_RZD_TEP60</v>
      </c>
      <c r="C200" t="s">
        <v>722</v>
      </c>
      <c r="D200" t="s">
        <v>941</v>
      </c>
      <c r="E200">
        <v>5028</v>
      </c>
      <c r="F200" t="s">
        <v>1215</v>
      </c>
      <c r="G200" t="s">
        <v>2551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Row],[VEHIDCODE]],#REF!,0))</f>
        <v>0</v>
      </c>
      <c r="L200" t="b">
        <f>ISNUMBER(_xlfn.XMATCH(CONTROL[[#This Row],[VEHIDCODE]],PROPERTIES[VEHIDCODE],0))</f>
        <v>1</v>
      </c>
      <c r="M200" t="b">
        <f>ISNUMBER(_xlfn.XMATCH(CONTROL[[#This Row],[VEHIDCODE]],#REF!,0))</f>
        <v>0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s="32" t="str">
        <f>"item_"&amp;CONTROL[[#This Row],[VEHIDCODE]]</f>
        <v>item_diesel_Russia_RZD_TEP60</v>
      </c>
      <c r="Q200" s="32" t="str">
        <f>"str_"&amp;CONTROL[[#This Row],[VEHIDCODE]]</f>
        <v>str_diesel_Russia_RZD_TEP60</v>
      </c>
    </row>
    <row r="201" spans="1:17">
      <c r="A201" s="2" t="s">
        <v>225</v>
      </c>
      <c r="B201" s="32" t="str">
        <f>_xlfn.TEXTAFTER(CONTROL[[#This Row],[VEHIDCODE]],"_")</f>
        <v>Belgium_NMBS_SNCB_62</v>
      </c>
      <c r="C201" t="s">
        <v>722</v>
      </c>
      <c r="D201" t="s">
        <v>941</v>
      </c>
      <c r="E201">
        <v>5029</v>
      </c>
      <c r="F201" t="s">
        <v>1216</v>
      </c>
      <c r="G201" t="s">
        <v>2552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Row],[VEHIDCODE]],#REF!,0))</f>
        <v>0</v>
      </c>
      <c r="L201" t="b">
        <f>ISNUMBER(_xlfn.XMATCH(CONTROL[[#This Row],[VEHIDCODE]],PROPERTIES[VEHIDCODE],0))</f>
        <v>1</v>
      </c>
      <c r="M201" t="b">
        <f>ISNUMBER(_xlfn.XMATCH(CONTROL[[#This Row],[VEHIDCODE]],#REF!,0))</f>
        <v>0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s="32" t="str">
        <f>"item_"&amp;CONTROL[[#This Row],[VEHIDCODE]]</f>
        <v>item_diesel_Belgium_NMBS_SNCB_62</v>
      </c>
      <c r="Q201" s="32" t="str">
        <f>"str_"&amp;CONTROL[[#This Row],[VEHIDCODE]]</f>
        <v>str_diesel_Belgium_NMBS_SNCB_62</v>
      </c>
    </row>
    <row r="202" spans="1:17">
      <c r="A202" s="2" t="s">
        <v>226</v>
      </c>
      <c r="B202" s="32" t="str">
        <f>_xlfn.TEXTAFTER(CONTROL[[#This Row],[VEHIDCODE]],"_")</f>
        <v>Denmark_DSB_MaK_100</v>
      </c>
      <c r="C202" t="s">
        <v>722</v>
      </c>
      <c r="D202" t="s">
        <v>941</v>
      </c>
      <c r="E202">
        <v>5030</v>
      </c>
      <c r="F202" t="s">
        <v>1217</v>
      </c>
      <c r="G202" t="s">
        <v>2553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Row],[VEHIDCODE]],#REF!,0))</f>
        <v>0</v>
      </c>
      <c r="L202" t="b">
        <f>ISNUMBER(_xlfn.XMATCH(CONTROL[[#This Row],[VEHIDCODE]],PROPERTIES[VEHIDCODE],0))</f>
        <v>1</v>
      </c>
      <c r="M202" t="b">
        <f>ISNUMBER(_xlfn.XMATCH(CONTROL[[#This Row],[VEHIDCODE]],#REF!,0))</f>
        <v>0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s="32" t="str">
        <f>"item_"&amp;CONTROL[[#This Row],[VEHIDCODE]]</f>
        <v>item_diesel_Denmark_DSB_MaK_100</v>
      </c>
      <c r="Q202" s="32" t="str">
        <f>"str_"&amp;CONTROL[[#This Row],[VEHIDCODE]]</f>
        <v>str_diesel_Denmark_DSB_MaK_100</v>
      </c>
    </row>
    <row r="203" spans="1:17">
      <c r="A203" s="2" t="s">
        <v>227</v>
      </c>
      <c r="B203" s="32" t="str">
        <f>_xlfn.TEXTAFTER(CONTROL[[#This Row],[VEHIDCODE]],"_")</f>
        <v>India_Indian_Railways_WDM_2</v>
      </c>
      <c r="C203" t="s">
        <v>722</v>
      </c>
      <c r="D203" t="s">
        <v>941</v>
      </c>
      <c r="E203">
        <v>5031</v>
      </c>
      <c r="F203" t="s">
        <v>1218</v>
      </c>
      <c r="G203" t="s">
        <v>2554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Row],[VEHIDCODE]],#REF!,0))</f>
        <v>0</v>
      </c>
      <c r="L203" t="b">
        <f>ISNUMBER(_xlfn.XMATCH(CONTROL[[#This Row],[VEHIDCODE]],PROPERTIES[VEHIDCODE],0))</f>
        <v>1</v>
      </c>
      <c r="M203" t="b">
        <f>ISNUMBER(_xlfn.XMATCH(CONTROL[[#This Row],[VEHIDCODE]],#REF!,0))</f>
        <v>0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s="32" t="str">
        <f>"item_"&amp;CONTROL[[#This Row],[VEHIDCODE]]</f>
        <v>item_diesel_India_Indian_Railways_WDM_2</v>
      </c>
      <c r="Q203" s="32" t="str">
        <f>"str_"&amp;CONTROL[[#This Row],[VEHIDCODE]]</f>
        <v>str_diesel_India_Indian_Railways_WDM_2</v>
      </c>
    </row>
    <row r="204" spans="1:17">
      <c r="A204" s="2" t="s">
        <v>228</v>
      </c>
      <c r="B204" s="32" t="str">
        <f>_xlfn.TEXTAFTER(CONTROL[[#This Row],[VEHIDCODE]],"_")</f>
        <v>UK_BR_14</v>
      </c>
      <c r="C204" t="s">
        <v>722</v>
      </c>
      <c r="D204" t="s">
        <v>941</v>
      </c>
      <c r="E204">
        <v>5032</v>
      </c>
      <c r="F204" t="s">
        <v>1219</v>
      </c>
      <c r="G204" t="s">
        <v>2555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Row],[VEHIDCODE]],#REF!,0))</f>
        <v>0</v>
      </c>
      <c r="L204" t="b">
        <f>ISNUMBER(_xlfn.XMATCH(CONTROL[[#This Row],[VEHIDCODE]],PROPERTIES[VEHIDCODE],0))</f>
        <v>1</v>
      </c>
      <c r="M204" t="b">
        <f>ISNUMBER(_xlfn.XMATCH(CONTROL[[#This Row],[VEHIDCODE]],#REF!,0))</f>
        <v>0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s="32" t="str">
        <f>"item_"&amp;CONTROL[[#This Row],[VEHIDCODE]]</f>
        <v>item_diesel_UK_BR_14</v>
      </c>
      <c r="Q204" s="32" t="str">
        <f>"str_"&amp;CONTROL[[#This Row],[VEHIDCODE]]</f>
        <v>str_diesel_UK_BR_14</v>
      </c>
    </row>
    <row r="205" spans="1:17">
      <c r="A205" s="2" t="s">
        <v>229</v>
      </c>
      <c r="B205" s="32" t="str">
        <f>_xlfn.TEXTAFTER(CONTROL[[#This Row],[VEHIDCODE]],"_")</f>
        <v>Russia_RZD_ChME3</v>
      </c>
      <c r="C205" t="s">
        <v>722</v>
      </c>
      <c r="D205" t="s">
        <v>941</v>
      </c>
      <c r="E205">
        <v>5033</v>
      </c>
      <c r="F205" t="s">
        <v>1220</v>
      </c>
      <c r="G205" t="s">
        <v>2556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Row],[VEHIDCODE]],#REF!,0))</f>
        <v>0</v>
      </c>
      <c r="L205" t="b">
        <f>ISNUMBER(_xlfn.XMATCH(CONTROL[[#This Row],[VEHIDCODE]],PROPERTIES[VEHIDCODE],0))</f>
        <v>1</v>
      </c>
      <c r="M205" t="b">
        <f>ISNUMBER(_xlfn.XMATCH(CONTROL[[#This Row],[VEHIDCODE]],#REF!,0))</f>
        <v>0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s="32" t="str">
        <f>"item_"&amp;CONTROL[[#This Row],[VEHIDCODE]]</f>
        <v>item_diesel_Russia_RZD_ChME3</v>
      </c>
      <c r="Q205" s="32" t="str">
        <f>"str_"&amp;CONTROL[[#This Row],[VEHIDCODE]]</f>
        <v>str_diesel_Russia_RZD_ChME3</v>
      </c>
    </row>
    <row r="206" spans="1:17">
      <c r="A206" s="2" t="s">
        <v>230</v>
      </c>
      <c r="B206" s="32" t="str">
        <f>_xlfn.TEXTAFTER(CONTROL[[#This Row],[VEHIDCODE]],"_")</f>
        <v>Argentina_MF_GM_EMD_J16CW_AC</v>
      </c>
      <c r="C206" t="s">
        <v>722</v>
      </c>
      <c r="D206" t="s">
        <v>941</v>
      </c>
      <c r="E206">
        <v>5034</v>
      </c>
      <c r="F206" t="s">
        <v>2557</v>
      </c>
      <c r="G206" t="s">
        <v>2558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Row],[VEHIDCODE]],#REF!,0))</f>
        <v>0</v>
      </c>
      <c r="L206" t="b">
        <f>ISNUMBER(_xlfn.XMATCH(CONTROL[[#This Row],[VEHIDCODE]],PROPERTIES[VEHIDCODE],0))</f>
        <v>1</v>
      </c>
      <c r="M206" t="b">
        <f>ISNUMBER(_xlfn.XMATCH(CONTROL[[#This Row],[VEHIDCODE]],#REF!,0))</f>
        <v>0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s="32" t="str">
        <f>"item_"&amp;CONTROL[[#This Row],[VEHIDCODE]]</f>
        <v>item_diesel_Argentina_MF_GM_EMD_J16CW_AC</v>
      </c>
      <c r="Q206" s="32" t="str">
        <f>"str_"&amp;CONTROL[[#This Row],[VEHIDCODE]]</f>
        <v>str_diesel_Argentina_MF_GM_EMD_J16CW_AC</v>
      </c>
    </row>
    <row r="207" spans="1:17">
      <c r="A207" s="2" t="s">
        <v>231</v>
      </c>
      <c r="B207" s="32" t="str">
        <f>_xlfn.TEXTAFTER(CONTROL[[#This Row],[VEHIDCODE]],"_")</f>
        <v>Russia_RZD_M62</v>
      </c>
      <c r="C207" t="s">
        <v>722</v>
      </c>
      <c r="D207" t="s">
        <v>941</v>
      </c>
      <c r="E207">
        <v>5035</v>
      </c>
      <c r="F207" t="s">
        <v>1221</v>
      </c>
      <c r="G207" t="s">
        <v>2559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Row],[VEHIDCODE]],#REF!,0))</f>
        <v>0</v>
      </c>
      <c r="L207" t="b">
        <f>ISNUMBER(_xlfn.XMATCH(CONTROL[[#This Row],[VEHIDCODE]],PROPERTIES[VEHIDCODE],0))</f>
        <v>1</v>
      </c>
      <c r="M207" t="b">
        <f>ISNUMBER(_xlfn.XMATCH(CONTROL[[#This Row],[VEHIDCODE]],#REF!,0))</f>
        <v>0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s="32" t="str">
        <f>"item_"&amp;CONTROL[[#This Row],[VEHIDCODE]]</f>
        <v>item_diesel_Russia_RZD_M62</v>
      </c>
      <c r="Q207" s="32" t="str">
        <f>"str_"&amp;CONTROL[[#This Row],[VEHIDCODE]]</f>
        <v>str_diesel_Russia_RZD_M62</v>
      </c>
    </row>
    <row r="208" spans="1:17">
      <c r="A208" s="2" t="s">
        <v>232</v>
      </c>
      <c r="B208" s="32" t="str">
        <f>_xlfn.TEXTAFTER(CONTROL[[#This Row],[VEHIDCODE]],"_")</f>
        <v>Australia_NSWGR_422</v>
      </c>
      <c r="C208" t="s">
        <v>722</v>
      </c>
      <c r="D208" t="s">
        <v>941</v>
      </c>
      <c r="E208">
        <v>5036</v>
      </c>
      <c r="F208" t="s">
        <v>1222</v>
      </c>
      <c r="G208" t="s">
        <v>2560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Row],[VEHIDCODE]],#REF!,0))</f>
        <v>0</v>
      </c>
      <c r="L208" t="b">
        <f>ISNUMBER(_xlfn.XMATCH(CONTROL[[#This Row],[VEHIDCODE]],PROPERTIES[VEHIDCODE],0))</f>
        <v>1</v>
      </c>
      <c r="M208" t="b">
        <f>ISNUMBER(_xlfn.XMATCH(CONTROL[[#This Row],[VEHIDCODE]],#REF!,0))</f>
        <v>0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s="32" t="str">
        <f>"item_"&amp;CONTROL[[#This Row],[VEHIDCODE]]</f>
        <v>item_diesel_Australia_NSWGR_422</v>
      </c>
      <c r="Q208" s="32" t="str">
        <f>"str_"&amp;CONTROL[[#This Row],[VEHIDCODE]]</f>
        <v>str_diesel_Australia_NSWGR_422</v>
      </c>
    </row>
    <row r="209" spans="1:17">
      <c r="A209" s="2" t="s">
        <v>233</v>
      </c>
      <c r="B209" s="32" t="str">
        <f>_xlfn.TEXTAFTER(CONTROL[[#This Row],[VEHIDCODE]],"_")</f>
        <v>Egypt_ENR_G22W</v>
      </c>
      <c r="C209" t="s">
        <v>722</v>
      </c>
      <c r="D209" t="s">
        <v>941</v>
      </c>
      <c r="E209">
        <v>5037</v>
      </c>
      <c r="F209" t="s">
        <v>1223</v>
      </c>
      <c r="G209" t="s">
        <v>2561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Row],[VEHIDCODE]],#REF!,0))</f>
        <v>0</v>
      </c>
      <c r="L209" t="b">
        <f>ISNUMBER(_xlfn.XMATCH(CONTROL[[#This Row],[VEHIDCODE]],PROPERTIES[VEHIDCODE],0))</f>
        <v>1</v>
      </c>
      <c r="M209" t="b">
        <f>ISNUMBER(_xlfn.XMATCH(CONTROL[[#This Row],[VEHIDCODE]],#REF!,0))</f>
        <v>0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s="32" t="str">
        <f>"item_"&amp;CONTROL[[#This Row],[VEHIDCODE]]</f>
        <v>item_diesel_Egypt_ENR_G22W</v>
      </c>
      <c r="Q209" s="32" t="str">
        <f>"str_"&amp;CONTROL[[#This Row],[VEHIDCODE]]</f>
        <v>str_diesel_Egypt_ENR_G22W</v>
      </c>
    </row>
    <row r="210" spans="1:17">
      <c r="A210" s="2" t="s">
        <v>234</v>
      </c>
      <c r="B210" s="32" t="str">
        <f>_xlfn.TEXTAFTER(CONTROL[[#This Row],[VEHIDCODE]],"_")</f>
        <v>USA_UP_EMD_DDA40X</v>
      </c>
      <c r="C210" t="s">
        <v>722</v>
      </c>
      <c r="D210" t="s">
        <v>941</v>
      </c>
      <c r="E210">
        <v>5065</v>
      </c>
      <c r="F210" t="s">
        <v>1224</v>
      </c>
      <c r="G210" t="s">
        <v>2562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Row],[VEHIDCODE]],#REF!,0))</f>
        <v>0</v>
      </c>
      <c r="L210" t="b">
        <f>ISNUMBER(_xlfn.XMATCH(CONTROL[[#This Row],[VEHIDCODE]],PROPERTIES[VEHIDCODE],0))</f>
        <v>1</v>
      </c>
      <c r="M210" t="b">
        <f>ISNUMBER(_xlfn.XMATCH(CONTROL[[#This Row],[VEHIDCODE]],#REF!,0))</f>
        <v>0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s="32" t="str">
        <f>"item_"&amp;CONTROL[[#This Row],[VEHIDCODE]]</f>
        <v>item_diesel_USA_UP_EMD_DDA40X</v>
      </c>
      <c r="Q210" s="32" t="str">
        <f>"str_"&amp;CONTROL[[#This Row],[VEHIDCODE]]</f>
        <v>str_diesel_USA_UP_EMD_DDA40X</v>
      </c>
    </row>
    <row r="211" spans="1:17">
      <c r="A211" s="2" t="s">
        <v>235</v>
      </c>
      <c r="B211" s="32" t="str">
        <f>_xlfn.TEXTAFTER(CONTROL[[#This Row],[VEHIDCODE]],"_")</f>
        <v>Australia_Queensland_Rail_2100</v>
      </c>
      <c r="C211" t="s">
        <v>722</v>
      </c>
      <c r="D211" t="s">
        <v>941</v>
      </c>
      <c r="E211">
        <v>5039</v>
      </c>
      <c r="F211" t="s">
        <v>1225</v>
      </c>
      <c r="G211" t="s">
        <v>2563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Row],[VEHIDCODE]],#REF!,0))</f>
        <v>0</v>
      </c>
      <c r="L211" t="b">
        <f>ISNUMBER(_xlfn.XMATCH(CONTROL[[#This Row],[VEHIDCODE]],PROPERTIES[VEHIDCODE],0))</f>
        <v>1</v>
      </c>
      <c r="M211" t="b">
        <f>ISNUMBER(_xlfn.XMATCH(CONTROL[[#This Row],[VEHIDCODE]],#REF!,0))</f>
        <v>0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s="32" t="str">
        <f>"item_"&amp;CONTROL[[#This Row],[VEHIDCODE]]</f>
        <v>item_diesel_Australia_Queensland_Rail_2100</v>
      </c>
      <c r="Q211" s="32" t="str">
        <f>"str_"&amp;CONTROL[[#This Row],[VEHIDCODE]]</f>
        <v>str_diesel_Australia_Queensland_Rail_2100</v>
      </c>
    </row>
    <row r="212" spans="1:17">
      <c r="A212" s="2" t="s">
        <v>236</v>
      </c>
      <c r="B212" s="32" t="str">
        <f>_xlfn.TEXTAFTER(CONTROL[[#This Row],[VEHIDCODE]],"_")</f>
        <v>Croatia_HZ_2062</v>
      </c>
      <c r="C212" t="s">
        <v>722</v>
      </c>
      <c r="D212" t="s">
        <v>941</v>
      </c>
      <c r="E212">
        <v>5040</v>
      </c>
      <c r="F212" t="s">
        <v>1226</v>
      </c>
      <c r="G212" t="s">
        <v>2564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Row],[VEHIDCODE]],#REF!,0))</f>
        <v>0</v>
      </c>
      <c r="L212" t="b">
        <f>ISNUMBER(_xlfn.XMATCH(CONTROL[[#This Row],[VEHIDCODE]],PROPERTIES[VEHIDCODE],0))</f>
        <v>1</v>
      </c>
      <c r="M212" t="b">
        <f>ISNUMBER(_xlfn.XMATCH(CONTROL[[#This Row],[VEHIDCODE]],#REF!,0))</f>
        <v>0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s="32" t="str">
        <f>"item_"&amp;CONTROL[[#This Row],[VEHIDCODE]]</f>
        <v>item_diesel_Croatia_HZ_2062</v>
      </c>
      <c r="Q212" s="32" t="str">
        <f>"str_"&amp;CONTROL[[#This Row],[VEHIDCODE]]</f>
        <v>str_diesel_Croatia_HZ_2062</v>
      </c>
    </row>
    <row r="213" spans="1:17">
      <c r="A213" s="2" t="s">
        <v>237</v>
      </c>
      <c r="B213" s="32" t="str">
        <f>_xlfn.TEXTAFTER(CONTROL[[#This Row],[VEHIDCODE]],"_")</f>
        <v>Sweden_SJ_V4</v>
      </c>
      <c r="C213" t="s">
        <v>722</v>
      </c>
      <c r="D213" t="s">
        <v>941</v>
      </c>
      <c r="E213">
        <v>5041</v>
      </c>
      <c r="F213" t="s">
        <v>1227</v>
      </c>
      <c r="G213" t="s">
        <v>2565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Row],[VEHIDCODE]],#REF!,0))</f>
        <v>0</v>
      </c>
      <c r="L213" t="b">
        <f>ISNUMBER(_xlfn.XMATCH(CONTROL[[#This Row],[VEHIDCODE]],PROPERTIES[VEHIDCODE],0))</f>
        <v>1</v>
      </c>
      <c r="M213" t="b">
        <f>ISNUMBER(_xlfn.XMATCH(CONTROL[[#This Row],[VEHIDCODE]],#REF!,0))</f>
        <v>0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s="32" t="str">
        <f>"item_"&amp;CONTROL[[#This Row],[VEHIDCODE]]</f>
        <v>item_diesel_Sweden_SJ_V4</v>
      </c>
      <c r="Q213" s="32" t="str">
        <f>"str_"&amp;CONTROL[[#This Row],[VEHIDCODE]]</f>
        <v>str_diesel_Sweden_SJ_V4</v>
      </c>
    </row>
    <row r="214" spans="1:17">
      <c r="A214" s="2" t="s">
        <v>238</v>
      </c>
      <c r="B214" s="32" t="str">
        <f>_xlfn.TEXTAFTER(CONTROL[[#This Row],[VEHIDCODE]],"_")</f>
        <v>Canada_CNR_MLW_M420W</v>
      </c>
      <c r="C214" t="s">
        <v>722</v>
      </c>
      <c r="D214" t="s">
        <v>941</v>
      </c>
      <c r="E214">
        <v>5042</v>
      </c>
      <c r="F214" t="s">
        <v>1228</v>
      </c>
      <c r="G214" t="s">
        <v>2566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Row],[VEHIDCODE]],#REF!,0))</f>
        <v>0</v>
      </c>
      <c r="L214" t="b">
        <f>ISNUMBER(_xlfn.XMATCH(CONTROL[[#This Row],[VEHIDCODE]],PROPERTIES[VEHIDCODE],0))</f>
        <v>1</v>
      </c>
      <c r="M214" t="b">
        <f>ISNUMBER(_xlfn.XMATCH(CONTROL[[#This Row],[VEHIDCODE]],#REF!,0))</f>
        <v>0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s="32" t="str">
        <f>"item_"&amp;CONTROL[[#This Row],[VEHIDCODE]]</f>
        <v>item_diesel_Canada_CNR_MLW_M420W</v>
      </c>
      <c r="Q214" s="32" t="str">
        <f>"str_"&amp;CONTROL[[#This Row],[VEHIDCODE]]</f>
        <v>str_diesel_Canada_CNR_MLW_M420W</v>
      </c>
    </row>
    <row r="215" spans="1:17">
      <c r="A215" s="2" t="s">
        <v>928</v>
      </c>
      <c r="B215" s="32" t="str">
        <f>_xlfn.TEXTAFTER(CONTROL[[#This Row],[VEHIDCODE]],"_")</f>
        <v>USA_Amtrak_SDP_40F</v>
      </c>
      <c r="C215" t="s">
        <v>722</v>
      </c>
      <c r="D215" t="s">
        <v>941</v>
      </c>
      <c r="E215">
        <v>5043</v>
      </c>
      <c r="F215" t="s">
        <v>1229</v>
      </c>
      <c r="G215" t="s">
        <v>2567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Row],[VEHIDCODE]],#REF!,0))</f>
        <v>0</v>
      </c>
      <c r="L215" t="b">
        <f>ISNUMBER(_xlfn.XMATCH(CONTROL[[#This Row],[VEHIDCODE]],PROPERTIES[VEHIDCODE],0))</f>
        <v>1</v>
      </c>
      <c r="M215" t="b">
        <f>ISNUMBER(_xlfn.XMATCH(CONTROL[[#This Row],[VEHIDCODE]],#REF!,0))</f>
        <v>0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s="32" t="str">
        <f>"item_"&amp;CONTROL[[#This Row],[VEHIDCODE]]</f>
        <v>item_diesel_USA_Amtrak_SDP_40F</v>
      </c>
      <c r="Q215" s="32" t="str">
        <f>"str_"&amp;CONTROL[[#This Row],[VEHIDCODE]]</f>
        <v>str_diesel_USA_Amtrak_SDP_40F</v>
      </c>
    </row>
    <row r="216" spans="1:17">
      <c r="A216" s="2" t="s">
        <v>239</v>
      </c>
      <c r="B216" s="32" t="str">
        <f>_xlfn.TEXTAFTER(CONTROL[[#This Row],[VEHIDCODE]],"_")</f>
        <v>China_China_Railways_DFH3</v>
      </c>
      <c r="C216" t="s">
        <v>722</v>
      </c>
      <c r="D216" t="s">
        <v>941</v>
      </c>
      <c r="E216">
        <v>5044</v>
      </c>
      <c r="F216" t="s">
        <v>1230</v>
      </c>
      <c r="G216" t="s">
        <v>2568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Row],[VEHIDCODE]],#REF!,0))</f>
        <v>0</v>
      </c>
      <c r="L216" t="b">
        <f>ISNUMBER(_xlfn.XMATCH(CONTROL[[#This Row],[VEHIDCODE]],PROPERTIES[VEHIDCODE],0))</f>
        <v>1</v>
      </c>
      <c r="M216" t="b">
        <f>ISNUMBER(_xlfn.XMATCH(CONTROL[[#This Row],[VEHIDCODE]],#REF!,0))</f>
        <v>0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s="32" t="str">
        <f>"item_"&amp;CONTROL[[#This Row],[VEHIDCODE]]</f>
        <v>item_diesel_China_China_Railways_DFH3</v>
      </c>
      <c r="Q216" s="32" t="str">
        <f>"str_"&amp;CONTROL[[#This Row],[VEHIDCODE]]</f>
        <v>str_diesel_China_China_Railways_DFH3</v>
      </c>
    </row>
    <row r="217" spans="1:17">
      <c r="A217" s="2" t="s">
        <v>240</v>
      </c>
      <c r="B217" s="32" t="str">
        <f>_xlfn.TEXTAFTER(CONTROL[[#This Row],[VEHIDCODE]],"_")</f>
        <v>Panama_Panama_Canal_Railway_EMD_F40PH</v>
      </c>
      <c r="C217" t="s">
        <v>722</v>
      </c>
      <c r="D217" t="s">
        <v>941</v>
      </c>
      <c r="E217">
        <v>5045</v>
      </c>
      <c r="F217" t="s">
        <v>1231</v>
      </c>
      <c r="G217" t="s">
        <v>2569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Row],[VEHIDCODE]],#REF!,0))</f>
        <v>0</v>
      </c>
      <c r="L217" t="b">
        <f>ISNUMBER(_xlfn.XMATCH(CONTROL[[#This Row],[VEHIDCODE]],PROPERTIES[VEHIDCODE],0))</f>
        <v>1</v>
      </c>
      <c r="M217" t="b">
        <f>ISNUMBER(_xlfn.XMATCH(CONTROL[[#This Row],[VEHIDCODE]],#REF!,0))</f>
        <v>0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s="32" t="str">
        <f>"item_"&amp;CONTROL[[#This Row],[VEHIDCODE]]</f>
        <v>item_diesel_Panama_Panama_Canal_Railway_EMD_F40PH</v>
      </c>
      <c r="Q217" s="32" t="str">
        <f>"str_"&amp;CONTROL[[#This Row],[VEHIDCODE]]</f>
        <v>str_diesel_Panama_Panama_Canal_Railway_EMD_F40PH</v>
      </c>
    </row>
    <row r="218" spans="1:17">
      <c r="A218" s="2" t="s">
        <v>241</v>
      </c>
      <c r="B218" s="32" t="str">
        <f>_xlfn.TEXTAFTER(CONTROL[[#This Row],[VEHIDCODE]],"_")</f>
        <v>Portugal_CP_1900</v>
      </c>
      <c r="C218" t="s">
        <v>722</v>
      </c>
      <c r="D218" t="s">
        <v>941</v>
      </c>
      <c r="E218">
        <v>5046</v>
      </c>
      <c r="F218" t="s">
        <v>1232</v>
      </c>
      <c r="G218" t="s">
        <v>2570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Row],[VEHIDCODE]],#REF!,0))</f>
        <v>0</v>
      </c>
      <c r="L218" t="b">
        <f>ISNUMBER(_xlfn.XMATCH(CONTROL[[#This Row],[VEHIDCODE]],PROPERTIES[VEHIDCODE],0))</f>
        <v>1</v>
      </c>
      <c r="M218" t="b">
        <f>ISNUMBER(_xlfn.XMATCH(CONTROL[[#This Row],[VEHIDCODE]],#REF!,0))</f>
        <v>0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s="32" t="str">
        <f>"item_"&amp;CONTROL[[#This Row],[VEHIDCODE]]</f>
        <v>item_diesel_Portugal_CP_1900</v>
      </c>
      <c r="Q218" s="32" t="str">
        <f>"str_"&amp;CONTROL[[#This Row],[VEHIDCODE]]</f>
        <v>str_diesel_Portugal_CP_1900</v>
      </c>
    </row>
    <row r="219" spans="1:17">
      <c r="A219" s="2" t="s">
        <v>242</v>
      </c>
      <c r="B219" s="32" t="str">
        <f>_xlfn.TEXTAFTER(CONTROL[[#This Row],[VEHIDCODE]],"_")</f>
        <v>Finland_VR_Dr16</v>
      </c>
      <c r="C219" t="s">
        <v>722</v>
      </c>
      <c r="D219" t="s">
        <v>941</v>
      </c>
      <c r="E219">
        <v>5047</v>
      </c>
      <c r="F219" t="s">
        <v>1233</v>
      </c>
      <c r="G219" t="s">
        <v>2571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Row],[VEHIDCODE]],#REF!,0))</f>
        <v>0</v>
      </c>
      <c r="L219" t="b">
        <f>ISNUMBER(_xlfn.XMATCH(CONTROL[[#This Row],[VEHIDCODE]],PROPERTIES[VEHIDCODE],0))</f>
        <v>1</v>
      </c>
      <c r="M219" t="b">
        <f>ISNUMBER(_xlfn.XMATCH(CONTROL[[#This Row],[VEHIDCODE]],#REF!,0))</f>
        <v>0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s="32" t="str">
        <f>"item_"&amp;CONTROL[[#This Row],[VEHIDCODE]]</f>
        <v>item_diesel_Finland_VR_Dr16</v>
      </c>
      <c r="Q219" s="32" t="str">
        <f>"str_"&amp;CONTROL[[#This Row],[VEHIDCODE]]</f>
        <v>str_diesel_Finland_VR_Dr16</v>
      </c>
    </row>
    <row r="220" spans="1:17">
      <c r="A220" s="2" t="s">
        <v>243</v>
      </c>
      <c r="B220" s="32" t="str">
        <f>_xlfn.TEXTAFTER(CONTROL[[#This Row],[VEHIDCODE]],"_")</f>
        <v>Russia_RZD_TEP80</v>
      </c>
      <c r="C220" t="s">
        <v>722</v>
      </c>
      <c r="D220" t="s">
        <v>941</v>
      </c>
      <c r="E220">
        <v>5048</v>
      </c>
      <c r="F220" t="s">
        <v>1234</v>
      </c>
      <c r="G220" t="s">
        <v>2572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Row],[VEHIDCODE]],#REF!,0))</f>
        <v>0</v>
      </c>
      <c r="L220" t="b">
        <f>ISNUMBER(_xlfn.XMATCH(CONTROL[[#This Row],[VEHIDCODE]],PROPERTIES[VEHIDCODE],0))</f>
        <v>1</v>
      </c>
      <c r="M220" t="b">
        <f>ISNUMBER(_xlfn.XMATCH(CONTROL[[#This Row],[VEHIDCODE]],#REF!,0))</f>
        <v>0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s="32" t="str">
        <f>"item_"&amp;CONTROL[[#This Row],[VEHIDCODE]]</f>
        <v>item_diesel_Russia_RZD_TEP80</v>
      </c>
      <c r="Q220" s="32" t="str">
        <f>"str_"&amp;CONTROL[[#This Row],[VEHIDCODE]]</f>
        <v>str_diesel_Russia_RZD_TEP80</v>
      </c>
    </row>
    <row r="221" spans="1:17">
      <c r="A221" s="2" t="s">
        <v>244</v>
      </c>
      <c r="B221" s="32" t="str">
        <f>_xlfn.TEXTAFTER(CONTROL[[#This Row],[VEHIDCODE]],"_")</f>
        <v>Australia_Australian_National_AN</v>
      </c>
      <c r="C221" t="s">
        <v>722</v>
      </c>
      <c r="D221" t="s">
        <v>941</v>
      </c>
      <c r="E221">
        <v>5049</v>
      </c>
      <c r="F221" t="s">
        <v>1235</v>
      </c>
      <c r="G221" t="s">
        <v>2573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Row],[VEHIDCODE]],#REF!,0))</f>
        <v>0</v>
      </c>
      <c r="L221" t="b">
        <f>ISNUMBER(_xlfn.XMATCH(CONTROL[[#This Row],[VEHIDCODE]],PROPERTIES[VEHIDCODE],0))</f>
        <v>1</v>
      </c>
      <c r="M221" t="b">
        <f>ISNUMBER(_xlfn.XMATCH(CONTROL[[#This Row],[VEHIDCODE]],#REF!,0))</f>
        <v>0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s="32" t="str">
        <f>"item_"&amp;CONTROL[[#This Row],[VEHIDCODE]]</f>
        <v>item_diesel_Australia_Australian_National_AN</v>
      </c>
      <c r="Q221" s="32" t="str">
        <f>"str_"&amp;CONTROL[[#This Row],[VEHIDCODE]]</f>
        <v>str_diesel_Australia_Australian_National_AN</v>
      </c>
    </row>
    <row r="222" spans="1:17">
      <c r="A222" s="2" t="s">
        <v>245</v>
      </c>
      <c r="B222" s="32" t="str">
        <f>_xlfn.TEXTAFTER(CONTROL[[#This Row],[VEHIDCODE]],"_")</f>
        <v>USA_Amtrak_P42DC_Genesis</v>
      </c>
      <c r="C222" t="s">
        <v>722</v>
      </c>
      <c r="D222" t="s">
        <v>941</v>
      </c>
      <c r="E222">
        <v>5050</v>
      </c>
      <c r="F222" t="s">
        <v>1236</v>
      </c>
      <c r="G222" t="s">
        <v>2574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Row],[VEHIDCODE]],#REF!,0))</f>
        <v>0</v>
      </c>
      <c r="L222" t="b">
        <f>ISNUMBER(_xlfn.XMATCH(CONTROL[[#This Row],[VEHIDCODE]],PROPERTIES[VEHIDCODE],0))</f>
        <v>1</v>
      </c>
      <c r="M222" t="b">
        <f>ISNUMBER(_xlfn.XMATCH(CONTROL[[#This Row],[VEHIDCODE]],#REF!,0))</f>
        <v>0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s="32" t="str">
        <f>"item_"&amp;CONTROL[[#This Row],[VEHIDCODE]]</f>
        <v>item_diesel_USA_Amtrak_P42DC_Genesis</v>
      </c>
      <c r="Q222" s="32" t="str">
        <f>"str_"&amp;CONTROL[[#This Row],[VEHIDCODE]]</f>
        <v>str_diesel_USA_Amtrak_P42DC_Genesis</v>
      </c>
    </row>
    <row r="223" spans="1:17">
      <c r="A223" s="2" t="s">
        <v>246</v>
      </c>
      <c r="B223" s="32" t="str">
        <f>_xlfn.TEXTAFTER(CONTROL[[#This Row],[VEHIDCODE]],"_")</f>
        <v>Turkey_TCDD_DH7000</v>
      </c>
      <c r="C223" t="s">
        <v>722</v>
      </c>
      <c r="D223" t="s">
        <v>941</v>
      </c>
      <c r="E223">
        <v>5051</v>
      </c>
      <c r="F223" t="s">
        <v>2821</v>
      </c>
      <c r="G223" t="s">
        <v>2575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Row],[VEHIDCODE]],#REF!,0))</f>
        <v>0</v>
      </c>
      <c r="L223" t="b">
        <f>ISNUMBER(_xlfn.XMATCH(CONTROL[[#This Row],[VEHIDCODE]],PROPERTIES[VEHIDCODE],0))</f>
        <v>1</v>
      </c>
      <c r="M223" t="b">
        <f>ISNUMBER(_xlfn.XMATCH(CONTROL[[#This Row],[VEHIDCODE]],#REF!,0))</f>
        <v>0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s="32" t="str">
        <f>"item_"&amp;CONTROL[[#This Row],[VEHIDCODE]]</f>
        <v>item_diesel_Turkey_TCDD_DH7000</v>
      </c>
      <c r="Q223" s="32" t="str">
        <f>"str_"&amp;CONTROL[[#This Row],[VEHIDCODE]]</f>
        <v>str_diesel_Turkey_TCDD_DH7000</v>
      </c>
    </row>
    <row r="224" spans="1:17">
      <c r="A224" s="2" t="s">
        <v>247</v>
      </c>
      <c r="B224" s="32" t="str">
        <f>_xlfn.TEXTAFTER(CONTROL[[#This Row],[VEHIDCODE]],"_")</f>
        <v>Argentina_MF_GE_U20C</v>
      </c>
      <c r="C224" t="s">
        <v>722</v>
      </c>
      <c r="D224" t="s">
        <v>941</v>
      </c>
      <c r="E224">
        <v>5052</v>
      </c>
      <c r="F224" t="s">
        <v>1237</v>
      </c>
      <c r="G224" t="s">
        <v>2576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Row],[VEHIDCODE]],#REF!,0))</f>
        <v>0</v>
      </c>
      <c r="L224" t="b">
        <f>ISNUMBER(_xlfn.XMATCH(CONTROL[[#This Row],[VEHIDCODE]],PROPERTIES[VEHIDCODE],0))</f>
        <v>1</v>
      </c>
      <c r="M224" t="b">
        <f>ISNUMBER(_xlfn.XMATCH(CONTROL[[#This Row],[VEHIDCODE]],#REF!,0))</f>
        <v>0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s="32" t="str">
        <f>"item_"&amp;CONTROL[[#This Row],[VEHIDCODE]]</f>
        <v>item_diesel_Argentina_MF_GE_U20C</v>
      </c>
      <c r="Q224" s="32" t="str">
        <f>"str_"&amp;CONTROL[[#This Row],[VEHIDCODE]]</f>
        <v>str_diesel_Argentina_MF_GE_U20C</v>
      </c>
    </row>
    <row r="225" spans="1:17">
      <c r="A225" s="2" t="s">
        <v>248</v>
      </c>
      <c r="B225" s="32" t="str">
        <f>_xlfn.TEXTAFTER(CONTROL[[#This Row],[VEHIDCODE]],"_")</f>
        <v>Belgium_NMBS_SNCB_7800</v>
      </c>
      <c r="C225" t="s">
        <v>722</v>
      </c>
      <c r="D225" t="s">
        <v>941</v>
      </c>
      <c r="E225">
        <v>5053</v>
      </c>
      <c r="F225" t="s">
        <v>1238</v>
      </c>
      <c r="G225" t="s">
        <v>2577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Row],[VEHIDCODE]],#REF!,0))</f>
        <v>0</v>
      </c>
      <c r="L225" t="b">
        <f>ISNUMBER(_xlfn.XMATCH(CONTROL[[#This Row],[VEHIDCODE]],PROPERTIES[VEHIDCODE],0))</f>
        <v>1</v>
      </c>
      <c r="M225" t="b">
        <f>ISNUMBER(_xlfn.XMATCH(CONTROL[[#This Row],[VEHIDCODE]],#REF!,0))</f>
        <v>0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s="32" t="str">
        <f>"item_"&amp;CONTROL[[#This Row],[VEHIDCODE]]</f>
        <v>item_diesel_Belgium_NMBS_SNCB_7800</v>
      </c>
      <c r="Q225" s="32" t="str">
        <f>"str_"&amp;CONTROL[[#This Row],[VEHIDCODE]]</f>
        <v>str_diesel_Belgium_NMBS_SNCB_7800</v>
      </c>
    </row>
    <row r="226" spans="1:17">
      <c r="A226" s="2" t="s">
        <v>249</v>
      </c>
      <c r="B226" s="32" t="str">
        <f>_xlfn.TEXTAFTER(CONTROL[[#This Row],[VEHIDCODE]],"_")</f>
        <v>UK_BR_66</v>
      </c>
      <c r="C226" t="s">
        <v>722</v>
      </c>
      <c r="D226" t="s">
        <v>941</v>
      </c>
      <c r="E226">
        <v>5054</v>
      </c>
      <c r="F226" t="s">
        <v>1239</v>
      </c>
      <c r="G226" t="s">
        <v>2578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Row],[VEHIDCODE]],#REF!,0))</f>
        <v>0</v>
      </c>
      <c r="L226" t="b">
        <f>ISNUMBER(_xlfn.XMATCH(CONTROL[[#This Row],[VEHIDCODE]],PROPERTIES[VEHIDCODE],0))</f>
        <v>1</v>
      </c>
      <c r="M226" t="b">
        <f>ISNUMBER(_xlfn.XMATCH(CONTROL[[#This Row],[VEHIDCODE]],#REF!,0))</f>
        <v>0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s="32" t="str">
        <f>"item_"&amp;CONTROL[[#This Row],[VEHIDCODE]]</f>
        <v>item_diesel_UK_BR_66</v>
      </c>
      <c r="Q226" s="32" t="str">
        <f>"str_"&amp;CONTROL[[#This Row],[VEHIDCODE]]</f>
        <v>str_diesel_UK_BR_66</v>
      </c>
    </row>
    <row r="227" spans="1:17">
      <c r="A227" s="2" t="s">
        <v>250</v>
      </c>
      <c r="B227" s="32" t="str">
        <f>_xlfn.TEXTAFTER(CONTROL[[#This Row],[VEHIDCODE]],"_")</f>
        <v>UK_BR_67</v>
      </c>
      <c r="C227" t="s">
        <v>722</v>
      </c>
      <c r="D227" t="s">
        <v>941</v>
      </c>
      <c r="E227">
        <v>5055</v>
      </c>
      <c r="F227" t="s">
        <v>1240</v>
      </c>
      <c r="G227" t="s">
        <v>2579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Row],[VEHIDCODE]],#REF!,0))</f>
        <v>0</v>
      </c>
      <c r="L227" t="b">
        <f>ISNUMBER(_xlfn.XMATCH(CONTROL[[#This Row],[VEHIDCODE]],PROPERTIES[VEHIDCODE],0))</f>
        <v>1</v>
      </c>
      <c r="M227" t="b">
        <f>ISNUMBER(_xlfn.XMATCH(CONTROL[[#This Row],[VEHIDCODE]],#REF!,0))</f>
        <v>0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s="32" t="str">
        <f>"item_"&amp;CONTROL[[#This Row],[VEHIDCODE]]</f>
        <v>item_diesel_UK_BR_67</v>
      </c>
      <c r="Q227" s="32" t="str">
        <f>"str_"&amp;CONTROL[[#This Row],[VEHIDCODE]]</f>
        <v>str_diesel_UK_BR_67</v>
      </c>
    </row>
    <row r="228" spans="1:17">
      <c r="A228" s="2" t="s">
        <v>251</v>
      </c>
      <c r="B228" s="32" t="str">
        <f>_xlfn.TEXTAFTER(CONTROL[[#This Row],[VEHIDCODE]],"_")</f>
        <v>Iran_RAI_DE43CA_Prima</v>
      </c>
      <c r="C228" t="s">
        <v>722</v>
      </c>
      <c r="D228" t="s">
        <v>941</v>
      </c>
      <c r="E228">
        <v>5056</v>
      </c>
      <c r="F228" t="s">
        <v>1241</v>
      </c>
      <c r="G228" t="s">
        <v>2580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Row],[VEHIDCODE]],#REF!,0))</f>
        <v>0</v>
      </c>
      <c r="L228" t="b">
        <f>ISNUMBER(_xlfn.XMATCH(CONTROL[[#This Row],[VEHIDCODE]],PROPERTIES[VEHIDCODE],0))</f>
        <v>1</v>
      </c>
      <c r="M228" t="b">
        <f>ISNUMBER(_xlfn.XMATCH(CONTROL[[#This Row],[VEHIDCODE]],#REF!,0))</f>
        <v>0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s="32" t="str">
        <f>"item_"&amp;CONTROL[[#This Row],[VEHIDCODE]]</f>
        <v>item_diesel_Iran_RAI_DE43CA_Prima</v>
      </c>
      <c r="Q228" s="32" t="str">
        <f>"str_"&amp;CONTROL[[#This Row],[VEHIDCODE]]</f>
        <v>str_diesel_Iran_RAI_DE43CA_Prima</v>
      </c>
    </row>
    <row r="229" spans="1:17">
      <c r="A229" s="2" t="s">
        <v>252</v>
      </c>
      <c r="B229" s="32" t="str">
        <f>_xlfn.TEXTAFTER(CONTROL[[#This Row],[VEHIDCODE]],"_")</f>
        <v>Ukraine_UZ_TEP150</v>
      </c>
      <c r="C229" t="s">
        <v>722</v>
      </c>
      <c r="D229" t="s">
        <v>941</v>
      </c>
      <c r="E229">
        <v>5059</v>
      </c>
      <c r="F229" t="s">
        <v>1242</v>
      </c>
      <c r="G229" t="s">
        <v>2581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Row],[VEHIDCODE]],#REF!,0))</f>
        <v>0</v>
      </c>
      <c r="L229" t="b">
        <f>ISNUMBER(_xlfn.XMATCH(CONTROL[[#This Row],[VEHIDCODE]],PROPERTIES[VEHIDCODE],0))</f>
        <v>1</v>
      </c>
      <c r="M229" t="b">
        <f>ISNUMBER(_xlfn.XMATCH(CONTROL[[#This Row],[VEHIDCODE]],#REF!,0))</f>
        <v>0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s="32" t="str">
        <f>"item_"&amp;CONTROL[[#This Row],[VEHIDCODE]]</f>
        <v>item_diesel_Ukraine_UZ_TEP150</v>
      </c>
      <c r="Q229" s="32" t="str">
        <f>"str_"&amp;CONTROL[[#This Row],[VEHIDCODE]]</f>
        <v>str_diesel_Ukraine_UZ_TEP150</v>
      </c>
    </row>
    <row r="230" spans="1:17">
      <c r="A230" s="2" t="s">
        <v>253</v>
      </c>
      <c r="B230" s="32" t="str">
        <f>_xlfn.TEXTAFTER(CONTROL[[#This Row],[VEHIDCODE]],"_")</f>
        <v>China_China_Railways_HXN5</v>
      </c>
      <c r="C230" t="s">
        <v>722</v>
      </c>
      <c r="D230" t="s">
        <v>941</v>
      </c>
      <c r="E230">
        <v>5060</v>
      </c>
      <c r="F230" t="s">
        <v>1243</v>
      </c>
      <c r="G230" t="s">
        <v>2582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Row],[VEHIDCODE]],#REF!,0))</f>
        <v>0</v>
      </c>
      <c r="L230" t="b">
        <f>ISNUMBER(_xlfn.XMATCH(CONTROL[[#This Row],[VEHIDCODE]],PROPERTIES[VEHIDCODE],0))</f>
        <v>1</v>
      </c>
      <c r="M230" t="b">
        <f>ISNUMBER(_xlfn.XMATCH(CONTROL[[#This Row],[VEHIDCODE]],#REF!,0))</f>
        <v>0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s="32" t="str">
        <f>"item_"&amp;CONTROL[[#This Row],[VEHIDCODE]]</f>
        <v>item_diesel_China_China_Railways_HXN5</v>
      </c>
      <c r="Q230" s="32" t="str">
        <f>"str_"&amp;CONTROL[[#This Row],[VEHIDCODE]]</f>
        <v>str_diesel_China_China_Railways_HXN5</v>
      </c>
    </row>
    <row r="231" spans="1:17">
      <c r="A231" s="2" t="s">
        <v>254</v>
      </c>
      <c r="B231" s="32" t="str">
        <f>_xlfn.TEXTAFTER(CONTROL[[#This Row],[VEHIDCODE]],"_")</f>
        <v>Germany_DB_261_Gravita_10BB</v>
      </c>
      <c r="C231" t="s">
        <v>722</v>
      </c>
      <c r="D231" t="s">
        <v>941</v>
      </c>
      <c r="E231">
        <v>5061</v>
      </c>
      <c r="F231" t="s">
        <v>1244</v>
      </c>
      <c r="G231" t="s">
        <v>2583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Row],[VEHIDCODE]],#REF!,0))</f>
        <v>0</v>
      </c>
      <c r="L231" t="b">
        <f>ISNUMBER(_xlfn.XMATCH(CONTROL[[#This Row],[VEHIDCODE]],PROPERTIES[VEHIDCODE],0))</f>
        <v>1</v>
      </c>
      <c r="M231" t="b">
        <f>ISNUMBER(_xlfn.XMATCH(CONTROL[[#This Row],[VEHIDCODE]],#REF!,0))</f>
        <v>0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s="32" t="str">
        <f>"item_"&amp;CONTROL[[#This Row],[VEHIDCODE]]</f>
        <v>item_diesel_Germany_DB_261_Gravita_10BB</v>
      </c>
      <c r="Q231" s="32" t="str">
        <f>"str_"&amp;CONTROL[[#This Row],[VEHIDCODE]]</f>
        <v>str_diesel_Germany_DB_261_Gravita_10BB</v>
      </c>
    </row>
    <row r="232" spans="1:17">
      <c r="A232" s="2" t="s">
        <v>255</v>
      </c>
      <c r="B232" s="32" t="str">
        <f>_xlfn.TEXTAFTER(CONTROL[[#This Row],[VEHIDCODE]],"_")</f>
        <v>Russia_RZD_GT1</v>
      </c>
      <c r="C232" t="s">
        <v>722</v>
      </c>
      <c r="D232" t="s">
        <v>941</v>
      </c>
      <c r="E232">
        <v>5063</v>
      </c>
      <c r="F232" t="s">
        <v>1245</v>
      </c>
      <c r="G232" t="s">
        <v>2584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Row],[VEHIDCODE]],#REF!,0))</f>
        <v>0</v>
      </c>
      <c r="L232" t="b">
        <f>ISNUMBER(_xlfn.XMATCH(CONTROL[[#This Row],[VEHIDCODE]],PROPERTIES[VEHIDCODE],0))</f>
        <v>1</v>
      </c>
      <c r="M232" t="b">
        <f>ISNUMBER(_xlfn.XMATCH(CONTROL[[#This Row],[VEHIDCODE]],#REF!,0))</f>
        <v>0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s="32" t="str">
        <f>"item_"&amp;CONTROL[[#This Row],[VEHIDCODE]]</f>
        <v>item_diesel_Russia_RZD_GT1</v>
      </c>
      <c r="Q232" s="32" t="str">
        <f>"str_"&amp;CONTROL[[#This Row],[VEHIDCODE]]</f>
        <v>str_diesel_Russia_RZD_GT1</v>
      </c>
    </row>
    <row r="233" spans="1:17">
      <c r="A233" s="2" t="s">
        <v>256</v>
      </c>
      <c r="B233" s="32" t="str">
        <f>_xlfn.TEXTAFTER(CONTROL[[#This Row],[VEHIDCODE]],"_")</f>
        <v>China_MTR_8000</v>
      </c>
      <c r="C233" t="s">
        <v>722</v>
      </c>
      <c r="D233" t="s">
        <v>941</v>
      </c>
      <c r="E233">
        <v>5058</v>
      </c>
      <c r="F233" t="s">
        <v>1246</v>
      </c>
      <c r="G233" t="s">
        <v>2586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Row],[VEHIDCODE]],#REF!,0))</f>
        <v>0</v>
      </c>
      <c r="L233" t="b">
        <f>ISNUMBER(_xlfn.XMATCH(CONTROL[[#This Row],[VEHIDCODE]],PROPERTIES[VEHIDCODE],0))</f>
        <v>1</v>
      </c>
      <c r="M233" t="b">
        <f>ISNUMBER(_xlfn.XMATCH(CONTROL[[#This Row],[VEHIDCODE]],#REF!,0))</f>
        <v>0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s="32" t="str">
        <f>"item_"&amp;CONTROL[[#This Row],[VEHIDCODE]]</f>
        <v>item_diesel_China_MTR_8000</v>
      </c>
      <c r="Q233" s="32" t="str">
        <f>"str_"&amp;CONTROL[[#This Row],[VEHIDCODE]]</f>
        <v>str_diesel_China_MTR_8000</v>
      </c>
    </row>
    <row r="234" spans="1:17">
      <c r="A234" s="2" t="s">
        <v>257</v>
      </c>
      <c r="B234" s="32" t="str">
        <f>_xlfn.TEXTAFTER(CONTROL[[#This Row],[VEHIDCODE]],"_")</f>
        <v>Germany_HVLE_V490</v>
      </c>
      <c r="C234" t="s">
        <v>722</v>
      </c>
      <c r="D234" t="s">
        <v>941</v>
      </c>
      <c r="E234">
        <v>5062</v>
      </c>
      <c r="F234" t="s">
        <v>1745</v>
      </c>
      <c r="G234" t="s">
        <v>2587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Row],[VEHIDCODE]],#REF!,0))</f>
        <v>0</v>
      </c>
      <c r="L234" t="b">
        <f>ISNUMBER(_xlfn.XMATCH(CONTROL[[#This Row],[VEHIDCODE]],PROPERTIES[VEHIDCODE],0))</f>
        <v>1</v>
      </c>
      <c r="M234" t="b">
        <f>ISNUMBER(_xlfn.XMATCH(CONTROL[[#This Row],[VEHIDCODE]],#REF!,0))</f>
        <v>0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s="32" t="str">
        <f>"item_"&amp;CONTROL[[#This Row],[VEHIDCODE]]</f>
        <v>item_diesel_Germany_HVLE_V490</v>
      </c>
      <c r="Q234" s="32" t="str">
        <f>"str_"&amp;CONTROL[[#This Row],[VEHIDCODE]]</f>
        <v>str_diesel_Germany_HVLE_V490</v>
      </c>
    </row>
    <row r="235" spans="1:17">
      <c r="A235" s="2" t="s">
        <v>258</v>
      </c>
      <c r="B235" s="32" t="str">
        <f>_xlfn.TEXTAFTER(CONTROL[[#This Row],[VEHIDCODE]],"_")</f>
        <v>Russia_RZD_Emch_3</v>
      </c>
      <c r="C235" t="s">
        <v>722</v>
      </c>
      <c r="D235" t="s">
        <v>941</v>
      </c>
      <c r="E235">
        <v>5066</v>
      </c>
      <c r="F235" t="s">
        <v>1247</v>
      </c>
      <c r="G235" t="s">
        <v>2556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Row],[VEHIDCODE]],#REF!,0))</f>
        <v>0</v>
      </c>
      <c r="L235" t="b">
        <f>ISNUMBER(_xlfn.XMATCH(CONTROL[[#This Row],[VEHIDCODE]],PROPERTIES[VEHIDCODE],0))</f>
        <v>1</v>
      </c>
      <c r="M235" t="b">
        <f>ISNUMBER(_xlfn.XMATCH(CONTROL[[#This Row],[VEHIDCODE]],#REF!,0))</f>
        <v>0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s="32" t="str">
        <f>"item_"&amp;CONTROL[[#This Row],[VEHIDCODE]]</f>
        <v>item_diesel_Russia_RZD_Emch_3</v>
      </c>
      <c r="Q235" s="32" t="str">
        <f>"str_"&amp;CONTROL[[#This Row],[VEHIDCODE]]</f>
        <v>str_diesel_Russia_RZD_Emch_3</v>
      </c>
    </row>
    <row r="236" spans="1:17">
      <c r="A236" s="2" t="s">
        <v>259</v>
      </c>
      <c r="B236" s="32" t="str">
        <f>_xlfn.TEXTAFTER(CONTROL[[#This Row],[VEHIDCODE]],"_")</f>
        <v>Canada_CNR_9000</v>
      </c>
      <c r="C236" t="s">
        <v>722</v>
      </c>
      <c r="D236" t="s">
        <v>941</v>
      </c>
      <c r="E236">
        <v>5067</v>
      </c>
      <c r="F236" t="s">
        <v>1248</v>
      </c>
      <c r="G236" t="s">
        <v>2588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Row],[VEHIDCODE]],#REF!,0))</f>
        <v>0</v>
      </c>
      <c r="L236" t="b">
        <f>ISNUMBER(_xlfn.XMATCH(CONTROL[[#This Row],[VEHIDCODE]],PROPERTIES[VEHIDCODE],0))</f>
        <v>1</v>
      </c>
      <c r="M236" t="b">
        <f>ISNUMBER(_xlfn.XMATCH(CONTROL[[#This Row],[VEHIDCODE]],#REF!,0))</f>
        <v>0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s="32" t="str">
        <f>"item_"&amp;CONTROL[[#This Row],[VEHIDCODE]]</f>
        <v>item_diesel_Canada_CNR_9000</v>
      </c>
      <c r="Q236" s="32" t="str">
        <f>"str_"&amp;CONTROL[[#This Row],[VEHIDCODE]]</f>
        <v>str_diesel_Canada_CNR_9000</v>
      </c>
    </row>
    <row r="237" spans="1:17">
      <c r="A237" s="2" t="s">
        <v>260</v>
      </c>
      <c r="B237" s="32" t="str">
        <f>_xlfn.TEXTAFTER(CONTROL[[#This Row],[VEHIDCODE]],"_")</f>
        <v>UK_LMS_7051_Diesel_Shunter</v>
      </c>
      <c r="C237" t="s">
        <v>722</v>
      </c>
      <c r="D237" t="s">
        <v>941</v>
      </c>
      <c r="E237">
        <v>5068</v>
      </c>
      <c r="F237" t="s">
        <v>1249</v>
      </c>
      <c r="G237" t="s">
        <v>2589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Row],[VEHIDCODE]],#REF!,0))</f>
        <v>0</v>
      </c>
      <c r="L237" t="b">
        <f>ISNUMBER(_xlfn.XMATCH(CONTROL[[#This Row],[VEHIDCODE]],PROPERTIES[VEHIDCODE],0))</f>
        <v>1</v>
      </c>
      <c r="M237" t="b">
        <f>ISNUMBER(_xlfn.XMATCH(CONTROL[[#This Row],[VEHIDCODE]],#REF!,0))</f>
        <v>0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s="32" t="str">
        <f>"item_"&amp;CONTROL[[#This Row],[VEHIDCODE]]</f>
        <v>item_diesel_UK_LMS_7051_Diesel_Shunter</v>
      </c>
      <c r="Q237" s="32" t="str">
        <f>"str_"&amp;CONTROL[[#This Row],[VEHIDCODE]]</f>
        <v>str_diesel_UK_LMS_7051_Diesel_Shunter</v>
      </c>
    </row>
    <row r="238" spans="1:17">
      <c r="A238" s="2" t="s">
        <v>261</v>
      </c>
      <c r="B238" s="32" t="str">
        <f>_xlfn.TEXTAFTER(CONTROL[[#This Row],[VEHIDCODE]],"_")</f>
        <v>USA_Rock_Island_EMC_TA</v>
      </c>
      <c r="C238" t="s">
        <v>722</v>
      </c>
      <c r="D238" t="s">
        <v>941</v>
      </c>
      <c r="E238">
        <v>5069</v>
      </c>
      <c r="F238" t="s">
        <v>1250</v>
      </c>
      <c r="G238" t="s">
        <v>2590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Row],[VEHIDCODE]],#REF!,0))</f>
        <v>0</v>
      </c>
      <c r="L238" t="b">
        <f>ISNUMBER(_xlfn.XMATCH(CONTROL[[#This Row],[VEHIDCODE]],PROPERTIES[VEHIDCODE],0))</f>
        <v>1</v>
      </c>
      <c r="M238" t="b">
        <f>ISNUMBER(_xlfn.XMATCH(CONTROL[[#This Row],[VEHIDCODE]],#REF!,0))</f>
        <v>0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s="32" t="str">
        <f>"item_"&amp;CONTROL[[#This Row],[VEHIDCODE]]</f>
        <v>item_diesel_USA_Rock_Island_EMC_TA</v>
      </c>
      <c r="Q238" s="32" t="str">
        <f>"str_"&amp;CONTROL[[#This Row],[VEHIDCODE]]</f>
        <v>str_diesel_USA_Rock_Island_EMC_TA</v>
      </c>
    </row>
    <row r="239" spans="1:17">
      <c r="A239" s="2" t="s">
        <v>262</v>
      </c>
      <c r="B239" s="32" t="str">
        <f>_xlfn.TEXTAFTER(CONTROL[[#This Row],[VEHIDCODE]],"_")</f>
        <v>USA_NYC_Baldwin_VO_660</v>
      </c>
      <c r="C239" t="s">
        <v>722</v>
      </c>
      <c r="D239" t="s">
        <v>941</v>
      </c>
      <c r="E239">
        <v>5070</v>
      </c>
      <c r="F239" t="s">
        <v>1251</v>
      </c>
      <c r="G239" t="s">
        <v>2591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Row],[VEHIDCODE]],#REF!,0))</f>
        <v>0</v>
      </c>
      <c r="L239" t="b">
        <f>ISNUMBER(_xlfn.XMATCH(CONTROL[[#This Row],[VEHIDCODE]],PROPERTIES[VEHIDCODE],0))</f>
        <v>1</v>
      </c>
      <c r="M239" t="b">
        <f>ISNUMBER(_xlfn.XMATCH(CONTROL[[#This Row],[VEHIDCODE]],#REF!,0))</f>
        <v>0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s="32" t="str">
        <f>"item_"&amp;CONTROL[[#This Row],[VEHIDCODE]]</f>
        <v>item_diesel_USA_NYC_Baldwin_VO_660</v>
      </c>
      <c r="Q239" s="32" t="str">
        <f>"str_"&amp;CONTROL[[#This Row],[VEHIDCODE]]</f>
        <v>str_diesel_USA_NYC_Baldwin_VO_660</v>
      </c>
    </row>
    <row r="240" spans="1:17">
      <c r="A240" s="2" t="s">
        <v>263</v>
      </c>
      <c r="B240" s="32" t="str">
        <f>_xlfn.TEXTAFTER(CONTROL[[#This Row],[VEHIDCODE]],"_")</f>
        <v>UK_BR_Class_D3_7</v>
      </c>
      <c r="C240" t="s">
        <v>722</v>
      </c>
      <c r="D240" t="s">
        <v>941</v>
      </c>
      <c r="E240">
        <v>5071</v>
      </c>
      <c r="F240" t="s">
        <v>1252</v>
      </c>
      <c r="G240" t="s">
        <v>2592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Row],[VEHIDCODE]],#REF!,0))</f>
        <v>0</v>
      </c>
      <c r="L240" t="b">
        <f>ISNUMBER(_xlfn.XMATCH(CONTROL[[#This Row],[VEHIDCODE]],PROPERTIES[VEHIDCODE],0))</f>
        <v>1</v>
      </c>
      <c r="M240" t="b">
        <f>ISNUMBER(_xlfn.XMATCH(CONTROL[[#This Row],[VEHIDCODE]],#REF!,0))</f>
        <v>0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s="32" t="str">
        <f>"item_"&amp;CONTROL[[#This Row],[VEHIDCODE]]</f>
        <v>item_diesel_UK_BR_Class_D3_7</v>
      </c>
      <c r="Q240" s="32" t="str">
        <f>"str_"&amp;CONTROL[[#This Row],[VEHIDCODE]]</f>
        <v>str_diesel_UK_BR_Class_D3_7</v>
      </c>
    </row>
    <row r="241" spans="1:17">
      <c r="A241" s="2" t="s">
        <v>264</v>
      </c>
      <c r="B241" s="32" t="str">
        <f>_xlfn.TEXTAFTER(CONTROL[[#This Row],[VEHIDCODE]],"_")</f>
        <v>Australia_Queensland_Railways_DL_Class</v>
      </c>
      <c r="C241" t="s">
        <v>722</v>
      </c>
      <c r="D241" t="s">
        <v>941</v>
      </c>
      <c r="E241">
        <v>5072</v>
      </c>
      <c r="F241" t="s">
        <v>1253</v>
      </c>
      <c r="G241" t="s">
        <v>2593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Row],[VEHIDCODE]],#REF!,0))</f>
        <v>0</v>
      </c>
      <c r="L241" t="b">
        <f>ISNUMBER(_xlfn.XMATCH(CONTROL[[#This Row],[VEHIDCODE]],PROPERTIES[VEHIDCODE],0))</f>
        <v>1</v>
      </c>
      <c r="M241" t="b">
        <f>ISNUMBER(_xlfn.XMATCH(CONTROL[[#This Row],[VEHIDCODE]],#REF!,0))</f>
        <v>0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s="32" t="str">
        <f>"item_"&amp;CONTROL[[#This Row],[VEHIDCODE]]</f>
        <v>item_diesel_Australia_Queensland_Railways_DL_Class</v>
      </c>
      <c r="Q241" s="32" t="str">
        <f>"str_"&amp;CONTROL[[#This Row],[VEHIDCODE]]</f>
        <v>str_diesel_Australia_Queensland_Railways_DL_Class</v>
      </c>
    </row>
    <row r="242" spans="1:17">
      <c r="A242" s="2" t="s">
        <v>265</v>
      </c>
      <c r="B242" s="32" t="str">
        <f>_xlfn.TEXTAFTER(CONTROL[[#This Row],[VEHIDCODE]],"_")</f>
        <v>USA_PRR_FM_H_10_44</v>
      </c>
      <c r="C242" t="s">
        <v>722</v>
      </c>
      <c r="D242" t="s">
        <v>941</v>
      </c>
      <c r="E242">
        <v>5073</v>
      </c>
      <c r="F242" t="s">
        <v>1254</v>
      </c>
      <c r="G242" t="s">
        <v>2594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Row],[VEHIDCODE]],#REF!,0))</f>
        <v>0</v>
      </c>
      <c r="L242" t="b">
        <f>ISNUMBER(_xlfn.XMATCH(CONTROL[[#This Row],[VEHIDCODE]],PROPERTIES[VEHIDCODE],0))</f>
        <v>1</v>
      </c>
      <c r="M242" t="b">
        <f>ISNUMBER(_xlfn.XMATCH(CONTROL[[#This Row],[VEHIDCODE]],#REF!,0))</f>
        <v>0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s="32" t="str">
        <f>"item_"&amp;CONTROL[[#This Row],[VEHIDCODE]]</f>
        <v>item_diesel_USA_PRR_FM_H_10_44</v>
      </c>
      <c r="Q242" s="32" t="str">
        <f>"str_"&amp;CONTROL[[#This Row],[VEHIDCODE]]</f>
        <v>str_diesel_USA_PRR_FM_H_10_44</v>
      </c>
    </row>
    <row r="243" spans="1:17">
      <c r="A243" s="2" t="s">
        <v>266</v>
      </c>
      <c r="B243" s="32" t="str">
        <f>_xlfn.TEXTAFTER(CONTROL[[#This Row],[VEHIDCODE]],"_")</f>
        <v>Algeria_SNTF_Baldwin_DRS6_4_1000</v>
      </c>
      <c r="C243" t="s">
        <v>722</v>
      </c>
      <c r="D243" t="s">
        <v>941</v>
      </c>
      <c r="E243">
        <v>5074</v>
      </c>
      <c r="F243" t="s">
        <v>1255</v>
      </c>
      <c r="G243" t="s">
        <v>2595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Row],[VEHIDCODE]],#REF!,0))</f>
        <v>0</v>
      </c>
      <c r="L243" t="b">
        <f>ISNUMBER(_xlfn.XMATCH(CONTROL[[#This Row],[VEHIDCODE]],PROPERTIES[VEHIDCODE],0))</f>
        <v>1</v>
      </c>
      <c r="M243" t="b">
        <f>ISNUMBER(_xlfn.XMATCH(CONTROL[[#This Row],[VEHIDCODE]],#REF!,0))</f>
        <v>0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s="32" t="str">
        <f>"item_"&amp;CONTROL[[#This Row],[VEHIDCODE]]</f>
        <v>item_diesel_Algeria_SNTF_Baldwin_DRS6_4_1000</v>
      </c>
      <c r="Q243" s="32" t="str">
        <f>"str_"&amp;CONTROL[[#This Row],[VEHIDCODE]]</f>
        <v>str_diesel_Algeria_SNTF_Baldwin_DRS6_4_1000</v>
      </c>
    </row>
    <row r="244" spans="1:17">
      <c r="A244" s="2" t="s">
        <v>267</v>
      </c>
      <c r="B244" s="32" t="str">
        <f>_xlfn.TEXTAFTER(CONTROL[[#This Row],[VEHIDCODE]],"_")</f>
        <v>Ireland_CIE_113</v>
      </c>
      <c r="C244" t="s">
        <v>722</v>
      </c>
      <c r="D244" t="s">
        <v>941</v>
      </c>
      <c r="E244">
        <v>5075</v>
      </c>
      <c r="F244" t="s">
        <v>2597</v>
      </c>
      <c r="G244" t="s">
        <v>2596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Row],[VEHIDCODE]],#REF!,0))</f>
        <v>0</v>
      </c>
      <c r="L244" t="b">
        <f>ISNUMBER(_xlfn.XMATCH(CONTROL[[#This Row],[VEHIDCODE]],PROPERTIES[VEHIDCODE],0))</f>
        <v>1</v>
      </c>
      <c r="M244" t="b">
        <f>ISNUMBER(_xlfn.XMATCH(CONTROL[[#This Row],[VEHIDCODE]],#REF!,0))</f>
        <v>0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s="32" t="str">
        <f>"item_"&amp;CONTROL[[#This Row],[VEHIDCODE]]</f>
        <v>item_diesel_Ireland_CIE_113</v>
      </c>
      <c r="Q244" s="32" t="str">
        <f>"str_"&amp;CONTROL[[#This Row],[VEHIDCODE]]</f>
        <v>str_diesel_Ireland_CIE_113</v>
      </c>
    </row>
    <row r="245" spans="1:17">
      <c r="A245" s="2" t="s">
        <v>268</v>
      </c>
      <c r="B245" s="32" t="str">
        <f>_xlfn.TEXTAFTER(CONTROL[[#This Row],[VEHIDCODE]],"_")</f>
        <v>Brazil_EFC_3300_Baldwin_AS_616</v>
      </c>
      <c r="C245" t="s">
        <v>722</v>
      </c>
      <c r="D245" t="s">
        <v>941</v>
      </c>
      <c r="E245">
        <v>5076</v>
      </c>
      <c r="F245" t="s">
        <v>1256</v>
      </c>
      <c r="G245" t="s">
        <v>2598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Row],[VEHIDCODE]],#REF!,0))</f>
        <v>0</v>
      </c>
      <c r="L245" t="b">
        <f>ISNUMBER(_xlfn.XMATCH(CONTROL[[#This Row],[VEHIDCODE]],PROPERTIES[VEHIDCODE],0))</f>
        <v>1</v>
      </c>
      <c r="M245" t="b">
        <f>ISNUMBER(_xlfn.XMATCH(CONTROL[[#This Row],[VEHIDCODE]],#REF!,0))</f>
        <v>0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s="32" t="str">
        <f>"item_"&amp;CONTROL[[#This Row],[VEHIDCODE]]</f>
        <v>item_diesel_Brazil_EFC_3300_Baldwin_AS_616</v>
      </c>
      <c r="Q245" s="32" t="str">
        <f>"str_"&amp;CONTROL[[#This Row],[VEHIDCODE]]</f>
        <v>str_diesel_Brazil_EFC_3300_Baldwin_AS_616</v>
      </c>
    </row>
    <row r="246" spans="1:17">
      <c r="A246" s="2" t="s">
        <v>269</v>
      </c>
      <c r="B246" s="32" t="str">
        <f>_xlfn.TEXTAFTER(CONTROL[[#This Row],[VEHIDCODE]],"_")</f>
        <v>Mexico_CHP_500_FM_H_16_44</v>
      </c>
      <c r="C246" t="s">
        <v>722</v>
      </c>
      <c r="D246" t="s">
        <v>941</v>
      </c>
      <c r="E246">
        <v>5077</v>
      </c>
      <c r="F246" t="s">
        <v>1257</v>
      </c>
      <c r="G246" t="s">
        <v>2599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Row],[VEHIDCODE]],#REF!,0))</f>
        <v>0</v>
      </c>
      <c r="L246" t="b">
        <f>ISNUMBER(_xlfn.XMATCH(CONTROL[[#This Row],[VEHIDCODE]],PROPERTIES[VEHIDCODE],0))</f>
        <v>1</v>
      </c>
      <c r="M246" t="b">
        <f>ISNUMBER(_xlfn.XMATCH(CONTROL[[#This Row],[VEHIDCODE]],#REF!,0))</f>
        <v>0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s="32" t="str">
        <f>"item_"&amp;CONTROL[[#This Row],[VEHIDCODE]]</f>
        <v>item_diesel_Mexico_CHP_500_FM_H_16_44</v>
      </c>
      <c r="Q246" s="32" t="str">
        <f>"str_"&amp;CONTROL[[#This Row],[VEHIDCODE]]</f>
        <v>str_diesel_Mexico_CHP_500_FM_H_16_44</v>
      </c>
    </row>
    <row r="247" spans="1:17">
      <c r="A247" s="2" t="s">
        <v>270</v>
      </c>
      <c r="B247" s="32" t="str">
        <f>_xlfn.TEXTAFTER(CONTROL[[#This Row],[VEHIDCODE]],"_")</f>
        <v>Australia_South_Australian_Railways_900</v>
      </c>
      <c r="C247" t="s">
        <v>722</v>
      </c>
      <c r="D247" t="s">
        <v>941</v>
      </c>
      <c r="E247">
        <v>5078</v>
      </c>
      <c r="F247" t="s">
        <v>1258</v>
      </c>
      <c r="G247" t="s">
        <v>2601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Row],[VEHIDCODE]],#REF!,0))</f>
        <v>0</v>
      </c>
      <c r="L247" t="b">
        <f>ISNUMBER(_xlfn.XMATCH(CONTROL[[#This Row],[VEHIDCODE]],PROPERTIES[VEHIDCODE],0))</f>
        <v>1</v>
      </c>
      <c r="M247" t="b">
        <f>ISNUMBER(_xlfn.XMATCH(CONTROL[[#This Row],[VEHIDCODE]],#REF!,0))</f>
        <v>0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s="32" t="str">
        <f>"item_"&amp;CONTROL[[#This Row],[VEHIDCODE]]</f>
        <v>item_diesel_Australia_South_Australian_Railways_900</v>
      </c>
      <c r="Q247" s="32" t="str">
        <f>"str_"&amp;CONTROL[[#This Row],[VEHIDCODE]]</f>
        <v>str_diesel_Australia_South_Australian_Railways_900</v>
      </c>
    </row>
    <row r="248" spans="1:17">
      <c r="A248" s="2" t="s">
        <v>271</v>
      </c>
      <c r="B248" s="32" t="str">
        <f>_xlfn.TEXTAFTER(CONTROL[[#This Row],[VEHIDCODE]],"_")</f>
        <v>Sri_Lanka_Sri_Lanka_Railways_M2</v>
      </c>
      <c r="C248" t="s">
        <v>722</v>
      </c>
      <c r="D248" t="s">
        <v>941</v>
      </c>
      <c r="E248">
        <v>5079</v>
      </c>
      <c r="F248" t="s">
        <v>1259</v>
      </c>
      <c r="G248" t="s">
        <v>2600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Row],[VEHIDCODE]],#REF!,0))</f>
        <v>0</v>
      </c>
      <c r="L248" t="b">
        <f>ISNUMBER(_xlfn.XMATCH(CONTROL[[#This Row],[VEHIDCODE]],PROPERTIES[VEHIDCODE],0))</f>
        <v>1</v>
      </c>
      <c r="M248" t="b">
        <f>ISNUMBER(_xlfn.XMATCH(CONTROL[[#This Row],[VEHIDCODE]],#REF!,0))</f>
        <v>0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s="32" t="str">
        <f>"item_"&amp;CONTROL[[#This Row],[VEHIDCODE]]</f>
        <v>item_diesel_Sri_Lanka_Sri_Lanka_Railways_M2</v>
      </c>
      <c r="Q248" s="32" t="str">
        <f>"str_"&amp;CONTROL[[#This Row],[VEHIDCODE]]</f>
        <v>str_diesel_Sri_Lanka_Sri_Lanka_Railways_M2</v>
      </c>
    </row>
    <row r="249" spans="1:17">
      <c r="A249" s="2" t="s">
        <v>272</v>
      </c>
      <c r="B249" s="32" t="str">
        <f>_xlfn.TEXTAFTER(CONTROL[[#This Row],[VEHIDCODE]],"_")</f>
        <v>Ireland_CIE_001</v>
      </c>
      <c r="C249" t="s">
        <v>722</v>
      </c>
      <c r="D249" t="s">
        <v>941</v>
      </c>
      <c r="E249">
        <v>5080</v>
      </c>
      <c r="F249" t="s">
        <v>2602</v>
      </c>
      <c r="G249" t="s">
        <v>2603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Row],[VEHIDCODE]],#REF!,0))</f>
        <v>0</v>
      </c>
      <c r="L249" t="b">
        <f>ISNUMBER(_xlfn.XMATCH(CONTROL[[#This Row],[VEHIDCODE]],PROPERTIES[VEHIDCODE],0))</f>
        <v>1</v>
      </c>
      <c r="M249" t="b">
        <f>ISNUMBER(_xlfn.XMATCH(CONTROL[[#This Row],[VEHIDCODE]],#REF!,0))</f>
        <v>0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s="32" t="str">
        <f>"item_"&amp;CONTROL[[#This Row],[VEHIDCODE]]</f>
        <v>item_diesel_Ireland_CIE_001</v>
      </c>
      <c r="Q249" s="32" t="str">
        <f>"str_"&amp;CONTROL[[#This Row],[VEHIDCODE]]</f>
        <v>str_diesel_Ireland_CIE_001</v>
      </c>
    </row>
    <row r="250" spans="1:17">
      <c r="A250" s="2" t="s">
        <v>273</v>
      </c>
      <c r="B250" s="32" t="str">
        <f>_xlfn.TEXTAFTER(CONTROL[[#This Row],[VEHIDCODE]],"_")</f>
        <v>Italy_FS_D341</v>
      </c>
      <c r="C250" t="s">
        <v>722</v>
      </c>
      <c r="D250" t="s">
        <v>941</v>
      </c>
      <c r="E250">
        <v>5081</v>
      </c>
      <c r="F250" t="s">
        <v>1260</v>
      </c>
      <c r="G250" t="s">
        <v>2604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Row],[VEHIDCODE]],#REF!,0))</f>
        <v>0</v>
      </c>
      <c r="L250" t="b">
        <f>ISNUMBER(_xlfn.XMATCH(CONTROL[[#This Row],[VEHIDCODE]],PROPERTIES[VEHIDCODE],0))</f>
        <v>1</v>
      </c>
      <c r="M250" t="b">
        <f>ISNUMBER(_xlfn.XMATCH(CONTROL[[#This Row],[VEHIDCODE]],#REF!,0))</f>
        <v>0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s="32" t="str">
        <f>"item_"&amp;CONTROL[[#This Row],[VEHIDCODE]]</f>
        <v>item_diesel_Italy_FS_D341</v>
      </c>
      <c r="Q250" s="32" t="str">
        <f>"str_"&amp;CONTROL[[#This Row],[VEHIDCODE]]</f>
        <v>str_diesel_Italy_FS_D341</v>
      </c>
    </row>
    <row r="251" spans="1:17">
      <c r="A251" s="2" t="s">
        <v>274</v>
      </c>
      <c r="B251" s="32" t="str">
        <f>_xlfn.TEXTAFTER(CONTROL[[#This Row],[VEHIDCODE]],"_")</f>
        <v>Australia_NSWGR_44</v>
      </c>
      <c r="C251" t="s">
        <v>722</v>
      </c>
      <c r="D251" t="s">
        <v>941</v>
      </c>
      <c r="E251">
        <v>5083</v>
      </c>
      <c r="F251" t="s">
        <v>1261</v>
      </c>
      <c r="G251" t="s">
        <v>2605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Row],[VEHIDCODE]],#REF!,0))</f>
        <v>0</v>
      </c>
      <c r="L251" t="b">
        <f>ISNUMBER(_xlfn.XMATCH(CONTROL[[#This Row],[VEHIDCODE]],PROPERTIES[VEHIDCODE],0))</f>
        <v>1</v>
      </c>
      <c r="M251" t="b">
        <f>ISNUMBER(_xlfn.XMATCH(CONTROL[[#This Row],[VEHIDCODE]],#REF!,0))</f>
        <v>0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s="32" t="str">
        <f>"item_"&amp;CONTROL[[#This Row],[VEHIDCODE]]</f>
        <v>item_diesel_Australia_NSWGR_44</v>
      </c>
      <c r="Q251" s="32" t="str">
        <f>"str_"&amp;CONTROL[[#This Row],[VEHIDCODE]]</f>
        <v>str_diesel_Australia_NSWGR_44</v>
      </c>
    </row>
    <row r="252" spans="1:17">
      <c r="A252" s="2" t="s">
        <v>275</v>
      </c>
      <c r="B252" s="32" t="str">
        <f>_xlfn.TEXTAFTER(CONTROL[[#This Row],[VEHIDCODE]],"_")</f>
        <v>Zimbabwe_Zimbabwe_Railways_DH_1</v>
      </c>
      <c r="C252" t="s">
        <v>722</v>
      </c>
      <c r="D252" t="s">
        <v>941</v>
      </c>
      <c r="E252">
        <v>5084</v>
      </c>
      <c r="F252" t="s">
        <v>1262</v>
      </c>
      <c r="G252" t="s">
        <v>2606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Row],[VEHIDCODE]],#REF!,0))</f>
        <v>0</v>
      </c>
      <c r="L252" t="b">
        <f>ISNUMBER(_xlfn.XMATCH(CONTROL[[#This Row],[VEHIDCODE]],PROPERTIES[VEHIDCODE],0))</f>
        <v>1</v>
      </c>
      <c r="M252" t="b">
        <f>ISNUMBER(_xlfn.XMATCH(CONTROL[[#This Row],[VEHIDCODE]],#REF!,0))</f>
        <v>0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s="32" t="str">
        <f>"item_"&amp;CONTROL[[#This Row],[VEHIDCODE]]</f>
        <v>item_diesel_Zimbabwe_Zimbabwe_Railways_DH_1</v>
      </c>
      <c r="Q252" s="32" t="str">
        <f>"str_"&amp;CONTROL[[#This Row],[VEHIDCODE]]</f>
        <v>str_diesel_Zimbabwe_Zimbabwe_Railways_DH_1</v>
      </c>
    </row>
    <row r="253" spans="1:17">
      <c r="A253" s="2" t="s">
        <v>276</v>
      </c>
      <c r="B253" s="32" t="str">
        <f>_xlfn.TEXTAFTER(CONTROL[[#This Row],[VEHIDCODE]],"_")</f>
        <v>South_Korea_Korail_6000_EMD_SD18</v>
      </c>
      <c r="C253" t="s">
        <v>722</v>
      </c>
      <c r="D253" t="s">
        <v>941</v>
      </c>
      <c r="E253">
        <v>5085</v>
      </c>
      <c r="F253" t="s">
        <v>1263</v>
      </c>
      <c r="G253" t="s">
        <v>2607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Row],[VEHIDCODE]],#REF!,0))</f>
        <v>0</v>
      </c>
      <c r="L253" t="b">
        <f>ISNUMBER(_xlfn.XMATCH(CONTROL[[#This Row],[VEHIDCODE]],PROPERTIES[VEHIDCODE],0))</f>
        <v>1</v>
      </c>
      <c r="M253" t="b">
        <f>ISNUMBER(_xlfn.XMATCH(CONTROL[[#This Row],[VEHIDCODE]],#REF!,0))</f>
        <v>0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s="32" t="str">
        <f>"item_"&amp;CONTROL[[#This Row],[VEHIDCODE]]</f>
        <v>item_diesel_South_Korea_Korail_6000_EMD_SD18</v>
      </c>
      <c r="Q253" s="32" t="str">
        <f>"str_"&amp;CONTROL[[#This Row],[VEHIDCODE]]</f>
        <v>str_diesel_South_Korea_Korail_6000_EMD_SD18</v>
      </c>
    </row>
    <row r="254" spans="1:17">
      <c r="A254" s="2" t="s">
        <v>277</v>
      </c>
      <c r="B254" s="32" t="str">
        <f>_xlfn.TEXTAFTER(CONTROL[[#This Row],[VEHIDCODE]],"_")</f>
        <v>Italy_FS_D345</v>
      </c>
      <c r="C254" t="s">
        <v>722</v>
      </c>
      <c r="D254" t="s">
        <v>941</v>
      </c>
      <c r="E254">
        <v>5086</v>
      </c>
      <c r="F254" t="s">
        <v>1264</v>
      </c>
      <c r="G254" t="s">
        <v>2608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Row],[VEHIDCODE]],#REF!,0))</f>
        <v>0</v>
      </c>
      <c r="L254" t="b">
        <f>ISNUMBER(_xlfn.XMATCH(CONTROL[[#This Row],[VEHIDCODE]],PROPERTIES[VEHIDCODE],0))</f>
        <v>1</v>
      </c>
      <c r="M254" t="b">
        <f>ISNUMBER(_xlfn.XMATCH(CONTROL[[#This Row],[VEHIDCODE]],#REF!,0))</f>
        <v>0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s="32" t="str">
        <f>"item_"&amp;CONTROL[[#This Row],[VEHIDCODE]]</f>
        <v>item_diesel_Italy_FS_D345</v>
      </c>
      <c r="Q254" s="32" t="str">
        <f>"str_"&amp;CONTROL[[#This Row],[VEHIDCODE]]</f>
        <v>str_diesel_Italy_FS_D345</v>
      </c>
    </row>
    <row r="255" spans="1:17">
      <c r="A255" s="2" t="s">
        <v>278</v>
      </c>
      <c r="B255" s="32" t="str">
        <f>_xlfn.TEXTAFTER(CONTROL[[#This Row],[VEHIDCODE]],"_")</f>
        <v>Norway_NSB_Di4</v>
      </c>
      <c r="C255" t="s">
        <v>722</v>
      </c>
      <c r="D255" t="s">
        <v>941</v>
      </c>
      <c r="E255">
        <v>5087</v>
      </c>
      <c r="F255" t="s">
        <v>1265</v>
      </c>
      <c r="G255" t="s">
        <v>2609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Row],[VEHIDCODE]],#REF!,0))</f>
        <v>0</v>
      </c>
      <c r="L255" t="b">
        <f>ISNUMBER(_xlfn.XMATCH(CONTROL[[#This Row],[VEHIDCODE]],PROPERTIES[VEHIDCODE],0))</f>
        <v>1</v>
      </c>
      <c r="M255" t="b">
        <f>ISNUMBER(_xlfn.XMATCH(CONTROL[[#This Row],[VEHIDCODE]],#REF!,0))</f>
        <v>0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s="32" t="str">
        <f>"item_"&amp;CONTROL[[#This Row],[VEHIDCODE]]</f>
        <v>item_diesel_Norway_NSB_Di4</v>
      </c>
      <c r="Q255" s="32" t="str">
        <f>"str_"&amp;CONTROL[[#This Row],[VEHIDCODE]]</f>
        <v>str_diesel_Norway_NSB_Di4</v>
      </c>
    </row>
    <row r="256" spans="1:17">
      <c r="A256" s="2" t="s">
        <v>279</v>
      </c>
      <c r="B256" s="32" t="str">
        <f>_xlfn.TEXTAFTER(CONTROL[[#This Row],[VEHIDCODE]],"_")</f>
        <v>China_China_Railways_DF8</v>
      </c>
      <c r="C256" t="s">
        <v>722</v>
      </c>
      <c r="D256" t="s">
        <v>941</v>
      </c>
      <c r="E256">
        <v>5088</v>
      </c>
      <c r="F256" t="s">
        <v>1266</v>
      </c>
      <c r="G256" t="s">
        <v>2610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Row],[VEHIDCODE]],#REF!,0))</f>
        <v>0</v>
      </c>
      <c r="L256" t="b">
        <f>ISNUMBER(_xlfn.XMATCH(CONTROL[[#This Row],[VEHIDCODE]],PROPERTIES[VEHIDCODE],0))</f>
        <v>1</v>
      </c>
      <c r="M256" t="b">
        <f>ISNUMBER(_xlfn.XMATCH(CONTROL[[#This Row],[VEHIDCODE]],#REF!,0))</f>
        <v>0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s="32" t="str">
        <f>"item_"&amp;CONTROL[[#This Row],[VEHIDCODE]]</f>
        <v>item_diesel_China_China_Railways_DF8</v>
      </c>
      <c r="Q256" s="32" t="str">
        <f>"str_"&amp;CONTROL[[#This Row],[VEHIDCODE]]</f>
        <v>str_diesel_China_China_Railways_DF8</v>
      </c>
    </row>
    <row r="257" spans="1:17">
      <c r="A257" s="2" t="s">
        <v>280</v>
      </c>
      <c r="B257" s="32" t="str">
        <f>_xlfn.TEXTAFTER(CONTROL[[#This Row],[VEHIDCODE]],"_")</f>
        <v>Australia_Pacific_National_G_Class</v>
      </c>
      <c r="C257" t="s">
        <v>722</v>
      </c>
      <c r="D257" t="s">
        <v>941</v>
      </c>
      <c r="E257">
        <v>5089</v>
      </c>
      <c r="F257" t="s">
        <v>1267</v>
      </c>
      <c r="G257" t="s">
        <v>2611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Row],[VEHIDCODE]],#REF!,0))</f>
        <v>0</v>
      </c>
      <c r="L257" t="b">
        <f>ISNUMBER(_xlfn.XMATCH(CONTROL[[#This Row],[VEHIDCODE]],PROPERTIES[VEHIDCODE],0))</f>
        <v>1</v>
      </c>
      <c r="M257" t="b">
        <f>ISNUMBER(_xlfn.XMATCH(CONTROL[[#This Row],[VEHIDCODE]],#REF!,0))</f>
        <v>0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s="32" t="str">
        <f>"item_"&amp;CONTROL[[#This Row],[VEHIDCODE]]</f>
        <v>item_diesel_Australia_Pacific_National_G_Class</v>
      </c>
      <c r="Q257" s="32" t="str">
        <f>"str_"&amp;CONTROL[[#This Row],[VEHIDCODE]]</f>
        <v>str_diesel_Australia_Pacific_National_G_Class</v>
      </c>
    </row>
    <row r="258" spans="1:17">
      <c r="A258" s="2" t="s">
        <v>281</v>
      </c>
      <c r="B258" s="32" t="str">
        <f>_xlfn.TEXTAFTER(CONTROL[[#This Row],[VEHIDCODE]],"_")</f>
        <v>UK_BR_60</v>
      </c>
      <c r="C258" t="s">
        <v>722</v>
      </c>
      <c r="D258" t="s">
        <v>941</v>
      </c>
      <c r="E258">
        <v>5090</v>
      </c>
      <c r="F258" t="s">
        <v>1268</v>
      </c>
      <c r="G258" t="s">
        <v>2612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Row],[VEHIDCODE]],#REF!,0))</f>
        <v>0</v>
      </c>
      <c r="L258" t="b">
        <f>ISNUMBER(_xlfn.XMATCH(CONTROL[[#This Row],[VEHIDCODE]],PROPERTIES[VEHIDCODE],0))</f>
        <v>1</v>
      </c>
      <c r="M258" t="b">
        <f>ISNUMBER(_xlfn.XMATCH(CONTROL[[#This Row],[VEHIDCODE]],#REF!,0))</f>
        <v>0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s="32" t="str">
        <f>"item_"&amp;CONTROL[[#This Row],[VEHIDCODE]]</f>
        <v>item_diesel_UK_BR_60</v>
      </c>
      <c r="Q258" s="32" t="str">
        <f>"str_"&amp;CONTROL[[#This Row],[VEHIDCODE]]</f>
        <v>str_diesel_UK_BR_60</v>
      </c>
    </row>
    <row r="259" spans="1:17">
      <c r="A259" s="2" t="s">
        <v>282</v>
      </c>
      <c r="B259" s="32" t="str">
        <f>_xlfn.TEXTAFTER(CONTROL[[#This Row],[VEHIDCODE]],"_")</f>
        <v>Australia_Westrail_P_Class</v>
      </c>
      <c r="C259" t="s">
        <v>722</v>
      </c>
      <c r="D259" t="s">
        <v>941</v>
      </c>
      <c r="E259">
        <v>5091</v>
      </c>
      <c r="F259" t="s">
        <v>1269</v>
      </c>
      <c r="G259" t="s">
        <v>2613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Row],[VEHIDCODE]],#REF!,0))</f>
        <v>0</v>
      </c>
      <c r="L259" t="b">
        <f>ISNUMBER(_xlfn.XMATCH(CONTROL[[#This Row],[VEHIDCODE]],PROPERTIES[VEHIDCODE],0))</f>
        <v>1</v>
      </c>
      <c r="M259" t="b">
        <f>ISNUMBER(_xlfn.XMATCH(CONTROL[[#This Row],[VEHIDCODE]],#REF!,0))</f>
        <v>0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s="32" t="str">
        <f>"item_"&amp;CONTROL[[#This Row],[VEHIDCODE]]</f>
        <v>item_diesel_Australia_Westrail_P_Class</v>
      </c>
      <c r="Q259" s="32" t="str">
        <f>"str_"&amp;CONTROL[[#This Row],[VEHIDCODE]]</f>
        <v>str_diesel_Australia_Westrail_P_Class</v>
      </c>
    </row>
    <row r="260" spans="1:17">
      <c r="A260" s="2" t="s">
        <v>283</v>
      </c>
      <c r="B260" s="32" t="str">
        <f>_xlfn.TEXTAFTER(CONTROL[[#This Row],[VEHIDCODE]],"_")</f>
        <v>Saudi_Arabia_Saudi_Railways_4000_EMD_SD70ACS</v>
      </c>
      <c r="C260" t="s">
        <v>722</v>
      </c>
      <c r="D260" t="s">
        <v>941</v>
      </c>
      <c r="E260">
        <v>5092</v>
      </c>
      <c r="F260" t="s">
        <v>1270</v>
      </c>
      <c r="G260" t="s">
        <v>2614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Row],[VEHIDCODE]],#REF!,0))</f>
        <v>0</v>
      </c>
      <c r="L260" t="b">
        <f>ISNUMBER(_xlfn.XMATCH(CONTROL[[#This Row],[VEHIDCODE]],PROPERTIES[VEHIDCODE],0))</f>
        <v>1</v>
      </c>
      <c r="M260" t="b">
        <f>ISNUMBER(_xlfn.XMATCH(CONTROL[[#This Row],[VEHIDCODE]],#REF!,0))</f>
        <v>0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s="32" t="str">
        <f>"item_"&amp;CONTROL[[#This Row],[VEHIDCODE]]</f>
        <v>item_diesel_Saudi_Arabia_Saudi_Railways_4000_EMD_SD70ACS</v>
      </c>
      <c r="Q260" s="32" t="str">
        <f>"str_"&amp;CONTROL[[#This Row],[VEHIDCODE]]</f>
        <v>str_diesel_Saudi_Arabia_Saudi_Railways_4000_EMD_SD70ACS</v>
      </c>
    </row>
    <row r="261" spans="1:17">
      <c r="A261" s="2" t="s">
        <v>284</v>
      </c>
      <c r="B261" s="32" t="str">
        <f>_xlfn.TEXTAFTER(CONTROL[[#This Row],[VEHIDCODE]],"_")</f>
        <v>Ireland_IE_201</v>
      </c>
      <c r="C261" t="s">
        <v>722</v>
      </c>
      <c r="D261" t="s">
        <v>941</v>
      </c>
      <c r="E261">
        <v>5093</v>
      </c>
      <c r="F261" t="s">
        <v>2615</v>
      </c>
      <c r="G261" t="s">
        <v>2616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Row],[VEHIDCODE]],#REF!,0))</f>
        <v>0</v>
      </c>
      <c r="L261" t="b">
        <f>ISNUMBER(_xlfn.XMATCH(CONTROL[[#This Row],[VEHIDCODE]],PROPERTIES[VEHIDCODE],0))</f>
        <v>1</v>
      </c>
      <c r="M261" t="b">
        <f>ISNUMBER(_xlfn.XMATCH(CONTROL[[#This Row],[VEHIDCODE]],#REF!,0))</f>
        <v>0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s="32" t="str">
        <f>"item_"&amp;CONTROL[[#This Row],[VEHIDCODE]]</f>
        <v>item_diesel_Ireland_IE_201</v>
      </c>
      <c r="Q261" s="32" t="str">
        <f>"str_"&amp;CONTROL[[#This Row],[VEHIDCODE]]</f>
        <v>str_diesel_Ireland_IE_201</v>
      </c>
    </row>
    <row r="262" spans="1:17">
      <c r="A262" s="2" t="s">
        <v>285</v>
      </c>
      <c r="B262" s="32" t="str">
        <f>_xlfn.TEXTAFTER(CONTROL[[#This Row],[VEHIDCODE]],"_")</f>
        <v>USA_Metrolink_EMD_F59PH</v>
      </c>
      <c r="C262" t="s">
        <v>722</v>
      </c>
      <c r="D262" t="s">
        <v>941</v>
      </c>
      <c r="E262">
        <v>5094</v>
      </c>
      <c r="F262" t="s">
        <v>1271</v>
      </c>
      <c r="G262" t="s">
        <v>2617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Row],[VEHIDCODE]],#REF!,0))</f>
        <v>0</v>
      </c>
      <c r="L262" t="b">
        <f>ISNUMBER(_xlfn.XMATCH(CONTROL[[#This Row],[VEHIDCODE]],PROPERTIES[VEHIDCODE],0))</f>
        <v>1</v>
      </c>
      <c r="M262" t="b">
        <f>ISNUMBER(_xlfn.XMATCH(CONTROL[[#This Row],[VEHIDCODE]],#REF!,0))</f>
        <v>0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s="32" t="str">
        <f>"item_"&amp;CONTROL[[#This Row],[VEHIDCODE]]</f>
        <v>item_diesel_USA_Metrolink_EMD_F59PH</v>
      </c>
      <c r="Q262" s="32" t="str">
        <f>"str_"&amp;CONTROL[[#This Row],[VEHIDCODE]]</f>
        <v>str_diesel_USA_Metrolink_EMD_F59PH</v>
      </c>
    </row>
    <row r="263" spans="1:17">
      <c r="A263" s="2" t="s">
        <v>286</v>
      </c>
      <c r="B263" s="32" t="str">
        <f>_xlfn.TEXTAFTER(CONTROL[[#This Row],[VEHIDCODE]],"_")</f>
        <v>France_SNCF_461000</v>
      </c>
      <c r="C263" t="s">
        <v>722</v>
      </c>
      <c r="D263" t="s">
        <v>941</v>
      </c>
      <c r="E263">
        <v>5095</v>
      </c>
      <c r="F263" t="s">
        <v>1272</v>
      </c>
      <c r="G263" t="s">
        <v>2618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Row],[VEHIDCODE]],#REF!,0))</f>
        <v>0</v>
      </c>
      <c r="L263" t="b">
        <f>ISNUMBER(_xlfn.XMATCH(CONTROL[[#This Row],[VEHIDCODE]],PROPERTIES[VEHIDCODE],0))</f>
        <v>1</v>
      </c>
      <c r="M263" t="b">
        <f>ISNUMBER(_xlfn.XMATCH(CONTROL[[#This Row],[VEHIDCODE]],#REF!,0))</f>
        <v>0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s="32" t="str">
        <f>"item_"&amp;CONTROL[[#This Row],[VEHIDCODE]]</f>
        <v>item_diesel_France_SNCF_461000</v>
      </c>
      <c r="Q263" s="32" t="str">
        <f>"str_"&amp;CONTROL[[#This Row],[VEHIDCODE]]</f>
        <v>str_diesel_France_SNCF_461000</v>
      </c>
    </row>
    <row r="264" spans="1:17">
      <c r="A264" s="2" t="s">
        <v>287</v>
      </c>
      <c r="B264" s="32" t="str">
        <f>_xlfn.TEXTAFTER(CONTROL[[#This Row],[VEHIDCODE]],"_")</f>
        <v>Italy_ACT_D_200</v>
      </c>
      <c r="C264" t="s">
        <v>722</v>
      </c>
      <c r="D264" t="s">
        <v>941</v>
      </c>
      <c r="E264">
        <v>5096</v>
      </c>
      <c r="F264" t="s">
        <v>1273</v>
      </c>
      <c r="G264" t="s">
        <v>2619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Row],[VEHIDCODE]],#REF!,0))</f>
        <v>0</v>
      </c>
      <c r="L264" t="b">
        <f>ISNUMBER(_xlfn.XMATCH(CONTROL[[#This Row],[VEHIDCODE]],PROPERTIES[VEHIDCODE],0))</f>
        <v>1</v>
      </c>
      <c r="M264" t="b">
        <f>ISNUMBER(_xlfn.XMATCH(CONTROL[[#This Row],[VEHIDCODE]],#REF!,0))</f>
        <v>0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s="32" t="str">
        <f>"item_"&amp;CONTROL[[#This Row],[VEHIDCODE]]</f>
        <v>item_diesel_Italy_ACT_D_200</v>
      </c>
      <c r="Q264" s="32" t="str">
        <f>"str_"&amp;CONTROL[[#This Row],[VEHIDCODE]]</f>
        <v>str_diesel_Italy_ACT_D_200</v>
      </c>
    </row>
    <row r="265" spans="1:17">
      <c r="A265" s="2" t="s">
        <v>288</v>
      </c>
      <c r="B265" s="32" t="str">
        <f>_xlfn.TEXTAFTER(CONTROL[[#This Row],[VEHIDCODE]],"_")</f>
        <v>Canada_GO_Transit_MP40PH_3C</v>
      </c>
      <c r="C265" t="s">
        <v>722</v>
      </c>
      <c r="D265" t="s">
        <v>941</v>
      </c>
      <c r="E265">
        <v>5097</v>
      </c>
      <c r="F265" t="s">
        <v>1274</v>
      </c>
      <c r="G265" t="s">
        <v>2620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Row],[VEHIDCODE]],#REF!,0))</f>
        <v>0</v>
      </c>
      <c r="L265" t="b">
        <f>ISNUMBER(_xlfn.XMATCH(CONTROL[[#This Row],[VEHIDCODE]],PROPERTIES[VEHIDCODE],0))</f>
        <v>1</v>
      </c>
      <c r="M265" t="b">
        <f>ISNUMBER(_xlfn.XMATCH(CONTROL[[#This Row],[VEHIDCODE]],#REF!,0))</f>
        <v>0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s="32" t="str">
        <f>"item_"&amp;CONTROL[[#This Row],[VEHIDCODE]]</f>
        <v>item_diesel_Canada_GO_Transit_MP40PH_3C</v>
      </c>
      <c r="Q265" s="32" t="str">
        <f>"str_"&amp;CONTROL[[#This Row],[VEHIDCODE]]</f>
        <v>str_diesel_Canada_GO_Transit_MP40PH_3C</v>
      </c>
    </row>
    <row r="266" spans="1:17">
      <c r="A266" s="2" t="s">
        <v>289</v>
      </c>
      <c r="B266" s="32" t="str">
        <f>_xlfn.TEXTAFTER(CONTROL[[#This Row],[VEHIDCODE]],"_")</f>
        <v>Spain_RENFE_Class_334</v>
      </c>
      <c r="C266" t="s">
        <v>722</v>
      </c>
      <c r="D266" t="s">
        <v>941</v>
      </c>
      <c r="E266">
        <v>5098</v>
      </c>
      <c r="F266" t="s">
        <v>1275</v>
      </c>
      <c r="G266" t="s">
        <v>2621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Row],[VEHIDCODE]],#REF!,0))</f>
        <v>0</v>
      </c>
      <c r="L266" t="b">
        <f>ISNUMBER(_xlfn.XMATCH(CONTROL[[#This Row],[VEHIDCODE]],PROPERTIES[VEHIDCODE],0))</f>
        <v>1</v>
      </c>
      <c r="M266" t="b">
        <f>ISNUMBER(_xlfn.XMATCH(CONTROL[[#This Row],[VEHIDCODE]],#REF!,0))</f>
        <v>0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s="32" t="str">
        <f>"item_"&amp;CONTROL[[#This Row],[VEHIDCODE]]</f>
        <v>item_diesel_Spain_RENFE_Class_334</v>
      </c>
      <c r="Q266" s="32" t="str">
        <f>"str_"&amp;CONTROL[[#This Row],[VEHIDCODE]]</f>
        <v>str_diesel_Spain_RENFE_Class_334</v>
      </c>
    </row>
    <row r="267" spans="1:17">
      <c r="A267" s="2" t="s">
        <v>290</v>
      </c>
      <c r="B267" s="32" t="str">
        <f>_xlfn.TEXTAFTER(CONTROL[[#This Row],[VEHIDCODE]],"_")</f>
        <v>Indonesia_Indonesia_Railways_CC300</v>
      </c>
      <c r="C267" t="s">
        <v>722</v>
      </c>
      <c r="D267" t="s">
        <v>941</v>
      </c>
      <c r="E267">
        <v>5099</v>
      </c>
      <c r="F267" t="s">
        <v>1276</v>
      </c>
      <c r="G267" t="s">
        <v>2622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Row],[VEHIDCODE]],#REF!,0))</f>
        <v>0</v>
      </c>
      <c r="L267" t="b">
        <f>ISNUMBER(_xlfn.XMATCH(CONTROL[[#This Row],[VEHIDCODE]],PROPERTIES[VEHIDCODE],0))</f>
        <v>1</v>
      </c>
      <c r="M267" t="b">
        <f>ISNUMBER(_xlfn.XMATCH(CONTROL[[#This Row],[VEHIDCODE]],#REF!,0))</f>
        <v>0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s="32" t="str">
        <f>"item_"&amp;CONTROL[[#This Row],[VEHIDCODE]]</f>
        <v>item_diesel_Indonesia_Indonesia_Railways_CC300</v>
      </c>
      <c r="Q267" s="32" t="str">
        <f>"str_"&amp;CONTROL[[#This Row],[VEHIDCODE]]</f>
        <v>str_diesel_Indonesia_Indonesia_Railways_CC300</v>
      </c>
    </row>
    <row r="268" spans="1:17">
      <c r="A268" s="2" t="s">
        <v>291</v>
      </c>
      <c r="B268" s="32" t="str">
        <f>_xlfn.TEXTAFTER(CONTROL[[#This Row],[VEHIDCODE]],"_")</f>
        <v>Argentina_Great_Southern_Railway_DH501</v>
      </c>
      <c r="C268" t="s">
        <v>722</v>
      </c>
      <c r="D268" t="s">
        <v>941</v>
      </c>
      <c r="E268">
        <v>5101</v>
      </c>
      <c r="F268" t="s">
        <v>1277</v>
      </c>
      <c r="G268" t="s">
        <v>2497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Row],[VEHIDCODE]],#REF!,0))</f>
        <v>0</v>
      </c>
      <c r="L268" t="b">
        <f>ISNUMBER(_xlfn.XMATCH(CONTROL[[#This Row],[VEHIDCODE]],PROPERTIES[VEHIDCODE],0))</f>
        <v>1</v>
      </c>
      <c r="M268" t="b">
        <f>ISNUMBER(_xlfn.XMATCH(CONTROL[[#This Row],[VEHIDCODE]],#REF!,0))</f>
        <v>0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s="32" t="str">
        <f>"item_"&amp;CONTROL[[#This Row],[VEHIDCODE]]</f>
        <v>item_diesel_Argentina_Great_Southern_Railway_DH501</v>
      </c>
      <c r="Q268" s="32" t="str">
        <f>"str_"&amp;CONTROL[[#This Row],[VEHIDCODE]]</f>
        <v>str_diesel_Argentina_Great_Southern_Railway_DH501</v>
      </c>
    </row>
    <row r="269" spans="1:17">
      <c r="A269" s="2" t="s">
        <v>292</v>
      </c>
      <c r="B269" s="32" t="str">
        <f>_xlfn.TEXTAFTER(CONTROL[[#This Row],[VEHIDCODE]],"_")</f>
        <v>Brazil_EE_VFFLB</v>
      </c>
      <c r="C269" t="s">
        <v>722</v>
      </c>
      <c r="D269" t="s">
        <v>941</v>
      </c>
      <c r="E269">
        <v>5102</v>
      </c>
      <c r="F269" t="s">
        <v>1278</v>
      </c>
      <c r="G269" t="s">
        <v>2623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Row],[VEHIDCODE]],#REF!,0))</f>
        <v>0</v>
      </c>
      <c r="L269" t="b">
        <f>ISNUMBER(_xlfn.XMATCH(CONTROL[[#This Row],[VEHIDCODE]],PROPERTIES[VEHIDCODE],0))</f>
        <v>1</v>
      </c>
      <c r="M269" t="b">
        <f>ISNUMBER(_xlfn.XMATCH(CONTROL[[#This Row],[VEHIDCODE]],#REF!,0))</f>
        <v>0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s="32" t="str">
        <f>"item_"&amp;CONTROL[[#This Row],[VEHIDCODE]]</f>
        <v>item_diesel_Brazil_EE_VFFLB</v>
      </c>
      <c r="Q269" s="32" t="str">
        <f>"str_"&amp;CONTROL[[#This Row],[VEHIDCODE]]</f>
        <v>str_diesel_Brazil_EE_VFFLB</v>
      </c>
    </row>
    <row r="270" spans="1:17">
      <c r="A270" s="2" t="s">
        <v>293</v>
      </c>
      <c r="B270" s="32" t="str">
        <f>_xlfn.TEXTAFTER(CONTROL[[#This Row],[VEHIDCODE]],"_")</f>
        <v>Chile_EFE_GE_U5B</v>
      </c>
      <c r="C270" t="s">
        <v>722</v>
      </c>
      <c r="D270" t="s">
        <v>941</v>
      </c>
      <c r="E270">
        <v>5106</v>
      </c>
      <c r="F270" t="s">
        <v>1279</v>
      </c>
      <c r="G270" t="s">
        <v>2624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Row],[VEHIDCODE]],#REF!,0))</f>
        <v>0</v>
      </c>
      <c r="L270" t="b">
        <f>ISNUMBER(_xlfn.XMATCH(CONTROL[[#This Row],[VEHIDCODE]],PROPERTIES[VEHIDCODE],0))</f>
        <v>1</v>
      </c>
      <c r="M270" t="b">
        <f>ISNUMBER(_xlfn.XMATCH(CONTROL[[#This Row],[VEHIDCODE]],#REF!,0))</f>
        <v>0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s="32" t="str">
        <f>"item_"&amp;CONTROL[[#This Row],[VEHIDCODE]]</f>
        <v>item_diesel_Chile_EFE_GE_U5B</v>
      </c>
      <c r="Q270" s="32" t="str">
        <f>"str_"&amp;CONTROL[[#This Row],[VEHIDCODE]]</f>
        <v>str_diesel_Chile_EFE_GE_U5B</v>
      </c>
    </row>
    <row r="271" spans="1:17">
      <c r="A271" s="2" t="s">
        <v>294</v>
      </c>
      <c r="B271" s="32" t="str">
        <f>_xlfn.TEXTAFTER(CONTROL[[#This Row],[VEHIDCODE]],"_")</f>
        <v>Peru_Ferrocarril_Central_Andino_Alco_RSD_39</v>
      </c>
      <c r="C271" t="s">
        <v>722</v>
      </c>
      <c r="D271" t="s">
        <v>941</v>
      </c>
      <c r="E271">
        <v>5108</v>
      </c>
      <c r="F271" t="s">
        <v>1280</v>
      </c>
      <c r="G271" t="s">
        <v>2625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Row],[VEHIDCODE]],#REF!,0))</f>
        <v>0</v>
      </c>
      <c r="L271" t="b">
        <f>ISNUMBER(_xlfn.XMATCH(CONTROL[[#This Row],[VEHIDCODE]],PROPERTIES[VEHIDCODE],0))</f>
        <v>1</v>
      </c>
      <c r="M271" t="b">
        <f>ISNUMBER(_xlfn.XMATCH(CONTROL[[#This Row],[VEHIDCODE]],#REF!,0))</f>
        <v>0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s="32" t="str">
        <f>"item_"&amp;CONTROL[[#This Row],[VEHIDCODE]]</f>
        <v>item_diesel_Peru_Ferrocarril_Central_Andino_Alco_RSD_39</v>
      </c>
      <c r="Q271" s="32" t="str">
        <f>"str_"&amp;CONTROL[[#This Row],[VEHIDCODE]]</f>
        <v>str_diesel_Peru_Ferrocarril_Central_Andino_Alco_RSD_39</v>
      </c>
    </row>
    <row r="272" spans="1:17">
      <c r="A272" s="2" t="s">
        <v>295</v>
      </c>
      <c r="B272" s="32" t="str">
        <f>_xlfn.TEXTAFTER(CONTROL[[#This Row],[VEHIDCODE]],"_")</f>
        <v>Brazil_EFVM_EMD_DDM45</v>
      </c>
      <c r="C272" t="s">
        <v>722</v>
      </c>
      <c r="D272" t="s">
        <v>941</v>
      </c>
      <c r="E272">
        <v>5109</v>
      </c>
      <c r="F272" t="s">
        <v>1281</v>
      </c>
      <c r="G272" t="s">
        <v>2626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Row],[VEHIDCODE]],#REF!,0))</f>
        <v>0</v>
      </c>
      <c r="L272" t="b">
        <f>ISNUMBER(_xlfn.XMATCH(CONTROL[[#This Row],[VEHIDCODE]],PROPERTIES[VEHIDCODE],0))</f>
        <v>1</v>
      </c>
      <c r="M272" t="b">
        <f>ISNUMBER(_xlfn.XMATCH(CONTROL[[#This Row],[VEHIDCODE]],#REF!,0))</f>
        <v>0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s="32" t="str">
        <f>"item_"&amp;CONTROL[[#This Row],[VEHIDCODE]]</f>
        <v>item_diesel_Brazil_EFVM_EMD_DDM45</v>
      </c>
      <c r="Q272" s="32" t="str">
        <f>"str_"&amp;CONTROL[[#This Row],[VEHIDCODE]]</f>
        <v>str_diesel_Brazil_EFVM_EMD_DDM45</v>
      </c>
    </row>
    <row r="273" spans="1:17">
      <c r="A273" s="2" t="s">
        <v>296</v>
      </c>
      <c r="B273" s="32" t="str">
        <f>_xlfn.TEXTAFTER(CONTROL[[#This Row],[VEHIDCODE]],"_")</f>
        <v>Peru_Ferrocarril_Central_Andino_GE_C39_8</v>
      </c>
      <c r="C273" t="s">
        <v>722</v>
      </c>
      <c r="D273" t="s">
        <v>941</v>
      </c>
      <c r="E273">
        <v>5113</v>
      </c>
      <c r="F273" t="s">
        <v>1282</v>
      </c>
      <c r="G273" t="s">
        <v>2627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Row],[VEHIDCODE]],#REF!,0))</f>
        <v>0</v>
      </c>
      <c r="L273" t="b">
        <f>ISNUMBER(_xlfn.XMATCH(CONTROL[[#This Row],[VEHIDCODE]],PROPERTIES[VEHIDCODE],0))</f>
        <v>1</v>
      </c>
      <c r="M273" t="b">
        <f>ISNUMBER(_xlfn.XMATCH(CONTROL[[#This Row],[VEHIDCODE]],#REF!,0))</f>
        <v>0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s="32" t="str">
        <f>"item_"&amp;CONTROL[[#This Row],[VEHIDCODE]]</f>
        <v>item_diesel_Peru_Ferrocarril_Central_Andino_GE_C39_8</v>
      </c>
      <c r="Q273" s="32" t="str">
        <f>"str_"&amp;CONTROL[[#This Row],[VEHIDCODE]]</f>
        <v>str_diesel_Peru_Ferrocarril_Central_Andino_GE_C39_8</v>
      </c>
    </row>
    <row r="274" spans="1:17">
      <c r="A274" s="2" t="s">
        <v>297</v>
      </c>
      <c r="B274" s="32" t="str">
        <f>_xlfn.TEXTAFTER(CONTROL[[#This Row],[VEHIDCODE]],"_")</f>
        <v>Argentina_SOFSE_3193</v>
      </c>
      <c r="C274" t="s">
        <v>722</v>
      </c>
      <c r="D274" t="s">
        <v>941</v>
      </c>
      <c r="E274">
        <v>5118</v>
      </c>
      <c r="F274" t="s">
        <v>1283</v>
      </c>
      <c r="G274" t="s">
        <v>2628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Row],[VEHIDCODE]],#REF!,0))</f>
        <v>0</v>
      </c>
      <c r="L274" t="b">
        <f>ISNUMBER(_xlfn.XMATCH(CONTROL[[#This Row],[VEHIDCODE]],PROPERTIES[VEHIDCODE],0))</f>
        <v>1</v>
      </c>
      <c r="M274" t="b">
        <f>ISNUMBER(_xlfn.XMATCH(CONTROL[[#This Row],[VEHIDCODE]],#REF!,0))</f>
        <v>0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s="32" t="str">
        <f>"item_"&amp;CONTROL[[#This Row],[VEHIDCODE]]</f>
        <v>item_diesel_Argentina_SOFSE_3193</v>
      </c>
      <c r="Q274" s="32" t="str">
        <f>"str_"&amp;CONTROL[[#This Row],[VEHIDCODE]]</f>
        <v>str_diesel_Argentina_SOFSE_3193</v>
      </c>
    </row>
    <row r="275" spans="1:17">
      <c r="A275" s="2" t="s">
        <v>298</v>
      </c>
      <c r="B275" s="32" t="str">
        <f>_xlfn.TEXTAFTER(CONTROL[[#This Row],[VEHIDCODE]],"_")</f>
        <v>Argentina_SOFSE_CNR_CKD8</v>
      </c>
      <c r="C275" t="s">
        <v>722</v>
      </c>
      <c r="D275" t="s">
        <v>941</v>
      </c>
      <c r="E275">
        <v>5120</v>
      </c>
      <c r="F275" t="s">
        <v>2630</v>
      </c>
      <c r="G275" t="s">
        <v>2629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Row],[VEHIDCODE]],#REF!,0))</f>
        <v>0</v>
      </c>
      <c r="L275" t="b">
        <f>ISNUMBER(_xlfn.XMATCH(CONTROL[[#This Row],[VEHIDCODE]],PROPERTIES[VEHIDCODE],0))</f>
        <v>1</v>
      </c>
      <c r="M275" t="b">
        <f>ISNUMBER(_xlfn.XMATCH(CONTROL[[#This Row],[VEHIDCODE]],#REF!,0))</f>
        <v>0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s="32" t="str">
        <f>"item_"&amp;CONTROL[[#This Row],[VEHIDCODE]]</f>
        <v>item_diesel_Argentina_SOFSE_CNR_CKD8</v>
      </c>
      <c r="Q275" s="32" t="str">
        <f>"str_"&amp;CONTROL[[#This Row],[VEHIDCODE]]</f>
        <v>str_diesel_Argentina_SOFSE_CNR_CKD8</v>
      </c>
    </row>
    <row r="276" spans="1:17">
      <c r="A276" s="2" t="s">
        <v>299</v>
      </c>
      <c r="B276" s="32" t="str">
        <f>_xlfn.TEXTAFTER(CONTROL[[#This Row],[VEHIDCODE]],"_")</f>
        <v>South_Africa_SAR_DS</v>
      </c>
      <c r="C276" t="s">
        <v>722</v>
      </c>
      <c r="D276" t="s">
        <v>941</v>
      </c>
      <c r="E276">
        <v>5103</v>
      </c>
      <c r="F276" t="s">
        <v>1284</v>
      </c>
      <c r="G276" t="s">
        <v>2631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Row],[VEHIDCODE]],#REF!,0))</f>
        <v>0</v>
      </c>
      <c r="L276" t="b">
        <f>ISNUMBER(_xlfn.XMATCH(CONTROL[[#This Row],[VEHIDCODE]],PROPERTIES[VEHIDCODE],0))</f>
        <v>1</v>
      </c>
      <c r="M276" t="b">
        <f>ISNUMBER(_xlfn.XMATCH(CONTROL[[#This Row],[VEHIDCODE]],#REF!,0))</f>
        <v>0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s="32" t="str">
        <f>"item_"&amp;CONTROL[[#This Row],[VEHIDCODE]]</f>
        <v>item_diesel_South_Africa_SAR_DS</v>
      </c>
      <c r="Q276" s="32" t="str">
        <f>"str_"&amp;CONTROL[[#This Row],[VEHIDCODE]]</f>
        <v>str_diesel_South_Africa_SAR_DS</v>
      </c>
    </row>
    <row r="277" spans="1:17">
      <c r="A277" s="2" t="s">
        <v>300</v>
      </c>
      <c r="B277" s="32" t="str">
        <f>_xlfn.TEXTAFTER(CONTROL[[#This Row],[VEHIDCODE]],"_")</f>
        <v>Algeria_SNTF_040_DG</v>
      </c>
      <c r="C277" t="s">
        <v>722</v>
      </c>
      <c r="D277" t="s">
        <v>941</v>
      </c>
      <c r="E277">
        <v>5104</v>
      </c>
      <c r="F277" t="s">
        <v>1285</v>
      </c>
      <c r="G277" t="s">
        <v>2632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Row],[VEHIDCODE]],#REF!,0))</f>
        <v>0</v>
      </c>
      <c r="L277" t="b">
        <f>ISNUMBER(_xlfn.XMATCH(CONTROL[[#This Row],[VEHIDCODE]],PROPERTIES[VEHIDCODE],0))</f>
        <v>1</v>
      </c>
      <c r="M277" t="b">
        <f>ISNUMBER(_xlfn.XMATCH(CONTROL[[#This Row],[VEHIDCODE]],#REF!,0))</f>
        <v>0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s="32" t="str">
        <f>"item_"&amp;CONTROL[[#This Row],[VEHIDCODE]]</f>
        <v>item_diesel_Algeria_SNTF_040_DG</v>
      </c>
      <c r="Q277" s="32" t="str">
        <f>"str_"&amp;CONTROL[[#This Row],[VEHIDCODE]]</f>
        <v>str_diesel_Algeria_SNTF_040_DG</v>
      </c>
    </row>
    <row r="278" spans="1:17">
      <c r="A278" s="2" t="s">
        <v>301</v>
      </c>
      <c r="B278" s="32" t="str">
        <f>_xlfn.TEXTAFTER(CONTROL[[#This Row],[VEHIDCODE]],"_")</f>
        <v>Tunisia_SNCFT_040_DF</v>
      </c>
      <c r="C278" t="s">
        <v>722</v>
      </c>
      <c r="D278" t="s">
        <v>941</v>
      </c>
      <c r="E278">
        <v>5105</v>
      </c>
      <c r="F278" t="s">
        <v>1286</v>
      </c>
      <c r="G278" t="s">
        <v>2633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Row],[VEHIDCODE]],#REF!,0))</f>
        <v>0</v>
      </c>
      <c r="L278" t="b">
        <f>ISNUMBER(_xlfn.XMATCH(CONTROL[[#This Row],[VEHIDCODE]],PROPERTIES[VEHIDCODE],0))</f>
        <v>1</v>
      </c>
      <c r="M278" t="b">
        <f>ISNUMBER(_xlfn.XMATCH(CONTROL[[#This Row],[VEHIDCODE]],#REF!,0))</f>
        <v>0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s="32" t="str">
        <f>"item_"&amp;CONTROL[[#This Row],[VEHIDCODE]]</f>
        <v>item_diesel_Tunisia_SNCFT_040_DF</v>
      </c>
      <c r="Q278" s="32" t="str">
        <f>"str_"&amp;CONTROL[[#This Row],[VEHIDCODE]]</f>
        <v>str_diesel_Tunisia_SNCFT_040_DF</v>
      </c>
    </row>
    <row r="279" spans="1:17">
      <c r="A279" s="2" t="s">
        <v>302</v>
      </c>
      <c r="B279" s="32" t="str">
        <f>_xlfn.TEXTAFTER(CONTROL[[#This Row],[VEHIDCODE]],"_")</f>
        <v>Egypt_ENR_TE114E</v>
      </c>
      <c r="C279" t="s">
        <v>722</v>
      </c>
      <c r="D279" t="s">
        <v>941</v>
      </c>
      <c r="E279">
        <v>5110</v>
      </c>
      <c r="F279" t="s">
        <v>1287</v>
      </c>
      <c r="G279" t="s">
        <v>2634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Row],[VEHIDCODE]],#REF!,0))</f>
        <v>0</v>
      </c>
      <c r="L279" t="b">
        <f>ISNUMBER(_xlfn.XMATCH(CONTROL[[#This Row],[VEHIDCODE]],PROPERTIES[VEHIDCODE],0))</f>
        <v>1</v>
      </c>
      <c r="M279" t="b">
        <f>ISNUMBER(_xlfn.XMATCH(CONTROL[[#This Row],[VEHIDCODE]],#REF!,0))</f>
        <v>0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s="32" t="str">
        <f>"item_"&amp;CONTROL[[#This Row],[VEHIDCODE]]</f>
        <v>item_diesel_Egypt_ENR_TE114E</v>
      </c>
      <c r="Q279" s="32" t="str">
        <f>"str_"&amp;CONTROL[[#This Row],[VEHIDCODE]]</f>
        <v>str_diesel_Egypt_ENR_TE114E</v>
      </c>
    </row>
    <row r="280" spans="1:17">
      <c r="A280" s="2" t="s">
        <v>303</v>
      </c>
      <c r="B280" s="32" t="str">
        <f>_xlfn.TEXTAFTER(CONTROL[[#This Row],[VEHIDCODE]],"_")</f>
        <v>Tunisia_SNCFT_040_DJ</v>
      </c>
      <c r="C280" t="s">
        <v>722</v>
      </c>
      <c r="D280" t="s">
        <v>941</v>
      </c>
      <c r="E280">
        <v>5111</v>
      </c>
      <c r="F280" t="s">
        <v>1288</v>
      </c>
      <c r="G280" t="s">
        <v>2635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Row],[VEHIDCODE]],#REF!,0))</f>
        <v>0</v>
      </c>
      <c r="L280" t="b">
        <f>ISNUMBER(_xlfn.XMATCH(CONTROL[[#This Row],[VEHIDCODE]],PROPERTIES[VEHIDCODE],0))</f>
        <v>1</v>
      </c>
      <c r="M280" t="b">
        <f>ISNUMBER(_xlfn.XMATCH(CONTROL[[#This Row],[VEHIDCODE]],#REF!,0))</f>
        <v>0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s="32" t="str">
        <f>"item_"&amp;CONTROL[[#This Row],[VEHIDCODE]]</f>
        <v>item_diesel_Tunisia_SNCFT_040_DJ</v>
      </c>
      <c r="Q280" s="32" t="str">
        <f>"str_"&amp;CONTROL[[#This Row],[VEHIDCODE]]</f>
        <v>str_diesel_Tunisia_SNCFT_040_DJ</v>
      </c>
    </row>
    <row r="281" spans="1:17">
      <c r="A281" s="2" t="s">
        <v>304</v>
      </c>
      <c r="B281" s="32" t="str">
        <f>_xlfn.TEXTAFTER(CONTROL[[#This Row],[VEHIDCODE]],"_")</f>
        <v>Morocco_ONCF_DF_100</v>
      </c>
      <c r="C281" t="s">
        <v>722</v>
      </c>
      <c r="D281" t="s">
        <v>941</v>
      </c>
      <c r="E281">
        <v>5116</v>
      </c>
      <c r="F281" t="s">
        <v>1289</v>
      </c>
      <c r="G281" t="s">
        <v>2636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Row],[VEHIDCODE]],#REF!,0))</f>
        <v>0</v>
      </c>
      <c r="L281" t="b">
        <f>ISNUMBER(_xlfn.XMATCH(CONTROL[[#This Row],[VEHIDCODE]],PROPERTIES[VEHIDCODE],0))</f>
        <v>1</v>
      </c>
      <c r="M281" t="b">
        <f>ISNUMBER(_xlfn.XMATCH(CONTROL[[#This Row],[VEHIDCODE]],#REF!,0))</f>
        <v>0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s="32" t="str">
        <f>"item_"&amp;CONTROL[[#This Row],[VEHIDCODE]]</f>
        <v>item_diesel_Morocco_ONCF_DF_100</v>
      </c>
      <c r="Q281" s="32" t="str">
        <f>"str_"&amp;CONTROL[[#This Row],[VEHIDCODE]]</f>
        <v>str_diesel_Morocco_ONCF_DF_100</v>
      </c>
    </row>
    <row r="282" spans="1:17">
      <c r="A282" s="2" t="s">
        <v>305</v>
      </c>
      <c r="B282" s="32" t="str">
        <f>_xlfn.TEXTAFTER(CONTROL[[#This Row],[VEHIDCODE]],"_")</f>
        <v>Ukraine_UZ_TEP10L</v>
      </c>
      <c r="C282" t="s">
        <v>722</v>
      </c>
      <c r="D282" t="s">
        <v>941</v>
      </c>
      <c r="E282">
        <v>5107</v>
      </c>
      <c r="F282" t="s">
        <v>1290</v>
      </c>
      <c r="G282" t="s">
        <v>2637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Row],[VEHIDCODE]],#REF!,0))</f>
        <v>0</v>
      </c>
      <c r="L282" t="b">
        <f>ISNUMBER(_xlfn.XMATCH(CONTROL[[#This Row],[VEHIDCODE]],PROPERTIES[VEHIDCODE],0))</f>
        <v>1</v>
      </c>
      <c r="M282" t="b">
        <f>ISNUMBER(_xlfn.XMATCH(CONTROL[[#This Row],[VEHIDCODE]],#REF!,0))</f>
        <v>0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s="32" t="str">
        <f>"item_"&amp;CONTROL[[#This Row],[VEHIDCODE]]</f>
        <v>item_diesel_Ukraine_UZ_TEP10L</v>
      </c>
      <c r="Q282" s="32" t="str">
        <f>"str_"&amp;CONTROL[[#This Row],[VEHIDCODE]]</f>
        <v>str_diesel_Ukraine_UZ_TEP10L</v>
      </c>
    </row>
    <row r="283" spans="1:17">
      <c r="A283" s="2" t="s">
        <v>306</v>
      </c>
      <c r="B283" s="32" t="str">
        <f>_xlfn.TEXTAFTER(CONTROL[[#This Row],[VEHIDCODE]],"_")</f>
        <v>Belarus_BCh_2TE10M</v>
      </c>
      <c r="C283" t="s">
        <v>722</v>
      </c>
      <c r="D283" t="s">
        <v>941</v>
      </c>
      <c r="E283">
        <v>5112</v>
      </c>
      <c r="F283" t="s">
        <v>1291</v>
      </c>
      <c r="G283" t="s">
        <v>2638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Row],[VEHIDCODE]],#REF!,0))</f>
        <v>0</v>
      </c>
      <c r="L283" t="b">
        <f>ISNUMBER(_xlfn.XMATCH(CONTROL[[#This Row],[VEHIDCODE]],PROPERTIES[VEHIDCODE],0))</f>
        <v>1</v>
      </c>
      <c r="M283" t="b">
        <f>ISNUMBER(_xlfn.XMATCH(CONTROL[[#This Row],[VEHIDCODE]],#REF!,0))</f>
        <v>0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s="32" t="str">
        <f>"item_"&amp;CONTROL[[#This Row],[VEHIDCODE]]</f>
        <v>item_diesel_Belarus_BCh_2TE10M</v>
      </c>
      <c r="Q283" s="32" t="str">
        <f>"str_"&amp;CONTROL[[#This Row],[VEHIDCODE]]</f>
        <v>str_diesel_Belarus_BCh_2TE10M</v>
      </c>
    </row>
    <row r="284" spans="1:17">
      <c r="A284" s="2" t="s">
        <v>307</v>
      </c>
      <c r="B284" s="32" t="str">
        <f>_xlfn.TEXTAFTER(CONTROL[[#This Row],[VEHIDCODE]],"_")</f>
        <v>Poland_PKP_SP32</v>
      </c>
      <c r="C284" t="s">
        <v>722</v>
      </c>
      <c r="D284" t="s">
        <v>941</v>
      </c>
      <c r="E284">
        <v>5114</v>
      </c>
      <c r="F284" t="s">
        <v>1292</v>
      </c>
      <c r="G284" t="s">
        <v>2639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Row],[VEHIDCODE]],#REF!,0))</f>
        <v>0</v>
      </c>
      <c r="L284" t="b">
        <f>ISNUMBER(_xlfn.XMATCH(CONTROL[[#This Row],[VEHIDCODE]],PROPERTIES[VEHIDCODE],0))</f>
        <v>1</v>
      </c>
      <c r="M284" t="b">
        <f>ISNUMBER(_xlfn.XMATCH(CONTROL[[#This Row],[VEHIDCODE]],#REF!,0))</f>
        <v>0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s="32" t="str">
        <f>"item_"&amp;CONTROL[[#This Row],[VEHIDCODE]]</f>
        <v>item_diesel_Poland_PKP_SP32</v>
      </c>
      <c r="Q284" s="32" t="str">
        <f>"str_"&amp;CONTROL[[#This Row],[VEHIDCODE]]</f>
        <v>str_diesel_Poland_PKP_SP32</v>
      </c>
    </row>
    <row r="285" spans="1:17">
      <c r="A285" s="2" t="s">
        <v>308</v>
      </c>
      <c r="B285" s="32" t="str">
        <f>_xlfn.TEXTAFTER(CONTROL[[#This Row],[VEHIDCODE]],"_")</f>
        <v>Ukraine_UZ_2TE126</v>
      </c>
      <c r="C285" t="s">
        <v>722</v>
      </c>
      <c r="D285" t="s">
        <v>941</v>
      </c>
      <c r="E285">
        <v>5115</v>
      </c>
      <c r="F285" t="s">
        <v>1293</v>
      </c>
      <c r="G285" t="s">
        <v>2640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Row],[VEHIDCODE]],#REF!,0))</f>
        <v>0</v>
      </c>
      <c r="L285" t="b">
        <f>ISNUMBER(_xlfn.XMATCH(CONTROL[[#This Row],[VEHIDCODE]],PROPERTIES[VEHIDCODE],0))</f>
        <v>1</v>
      </c>
      <c r="M285" t="b">
        <f>ISNUMBER(_xlfn.XMATCH(CONTROL[[#This Row],[VEHIDCODE]],#REF!,0))</f>
        <v>0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s="32" t="str">
        <f>"item_"&amp;CONTROL[[#This Row],[VEHIDCODE]]</f>
        <v>item_diesel_Ukraine_UZ_2TE126</v>
      </c>
      <c r="Q285" s="32" t="str">
        <f>"str_"&amp;CONTROL[[#This Row],[VEHIDCODE]]</f>
        <v>str_diesel_Ukraine_UZ_2TE126</v>
      </c>
    </row>
    <row r="286" spans="1:17">
      <c r="A286" s="2" t="s">
        <v>309</v>
      </c>
      <c r="B286" s="32" t="str">
        <f>_xlfn.TEXTAFTER(CONTROL[[#This Row],[VEHIDCODE]],"_")</f>
        <v>Ukraine_UZ_2TE10Ut</v>
      </c>
      <c r="C286" t="s">
        <v>722</v>
      </c>
      <c r="D286" t="s">
        <v>941</v>
      </c>
      <c r="E286">
        <v>5117</v>
      </c>
      <c r="F286" t="s">
        <v>1294</v>
      </c>
      <c r="G286" t="s">
        <v>2641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Row],[VEHIDCODE]],#REF!,0))</f>
        <v>0</v>
      </c>
      <c r="L286" t="b">
        <f>ISNUMBER(_xlfn.XMATCH(CONTROL[[#This Row],[VEHIDCODE]],PROPERTIES[VEHIDCODE],0))</f>
        <v>1</v>
      </c>
      <c r="M286" t="b">
        <f>ISNUMBER(_xlfn.XMATCH(CONTROL[[#This Row],[VEHIDCODE]],#REF!,0))</f>
        <v>0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s="32" t="str">
        <f>"item_"&amp;CONTROL[[#This Row],[VEHIDCODE]]</f>
        <v>item_diesel_Ukraine_UZ_2TE10Ut</v>
      </c>
      <c r="Q286" s="32" t="str">
        <f>"str_"&amp;CONTROL[[#This Row],[VEHIDCODE]]</f>
        <v>str_diesel_Ukraine_UZ_2TE10Ut</v>
      </c>
    </row>
    <row r="287" spans="1:17">
      <c r="A287" s="2" t="s">
        <v>310</v>
      </c>
      <c r="B287" s="32" t="str">
        <f>_xlfn.TEXTAFTER(CONTROL[[#This Row],[VEHIDCODE]],"_")</f>
        <v>Serbia_ZS_621</v>
      </c>
      <c r="C287" t="s">
        <v>722</v>
      </c>
      <c r="D287" t="s">
        <v>941</v>
      </c>
      <c r="E287">
        <v>5119</v>
      </c>
      <c r="F287" t="s">
        <v>1295</v>
      </c>
      <c r="G287" t="s">
        <v>2642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Row],[VEHIDCODE]],#REF!,0))</f>
        <v>0</v>
      </c>
      <c r="L287" t="b">
        <f>ISNUMBER(_xlfn.XMATCH(CONTROL[[#This Row],[VEHIDCODE]],PROPERTIES[VEHIDCODE],0))</f>
        <v>1</v>
      </c>
      <c r="M287" t="b">
        <f>ISNUMBER(_xlfn.XMATCH(CONTROL[[#This Row],[VEHIDCODE]],#REF!,0))</f>
        <v>0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s="32" t="str">
        <f>"item_"&amp;CONTROL[[#This Row],[VEHIDCODE]]</f>
        <v>item_diesel_Serbia_ZS_621</v>
      </c>
      <c r="Q287" s="32" t="str">
        <f>"str_"&amp;CONTROL[[#This Row],[VEHIDCODE]]</f>
        <v>str_diesel_Serbia_ZS_621</v>
      </c>
    </row>
    <row r="288" spans="1:17">
      <c r="A288" s="2" t="s">
        <v>311</v>
      </c>
      <c r="B288" s="32" t="str">
        <f>_xlfn.TEXTAFTER(CONTROL[[#This Row],[VEHIDCODE]],"_")</f>
        <v>Italy_FS_207</v>
      </c>
      <c r="C288" t="s">
        <v>722</v>
      </c>
      <c r="D288" t="s">
        <v>941</v>
      </c>
      <c r="E288">
        <v>5121</v>
      </c>
      <c r="F288" t="s">
        <v>1296</v>
      </c>
      <c r="G288" t="s">
        <v>2643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Row],[VEHIDCODE]],#REF!,0))</f>
        <v>0</v>
      </c>
      <c r="L288" t="b">
        <f>ISNUMBER(_xlfn.XMATCH(CONTROL[[#This Row],[VEHIDCODE]],PROPERTIES[VEHIDCODE],0))</f>
        <v>1</v>
      </c>
      <c r="M288" t="b">
        <f>ISNUMBER(_xlfn.XMATCH(CONTROL[[#This Row],[VEHIDCODE]],#REF!,0))</f>
        <v>0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s="32" t="str">
        <f>"item_"&amp;CONTROL[[#This Row],[VEHIDCODE]]</f>
        <v>item_diesel_Italy_FS_207</v>
      </c>
      <c r="Q288" s="32" t="str">
        <f>"str_"&amp;CONTROL[[#This Row],[VEHIDCODE]]</f>
        <v>str_diesel_Italy_FS_207</v>
      </c>
    </row>
    <row r="289" spans="1:17">
      <c r="A289" s="2" t="s">
        <v>312</v>
      </c>
      <c r="B289" s="32" t="str">
        <f>_xlfn.TEXTAFTER(CONTROL[[#This Row],[VEHIDCODE]],"_")</f>
        <v>Russia_RZD_Db</v>
      </c>
      <c r="C289" t="s">
        <v>722</v>
      </c>
      <c r="D289" t="s">
        <v>941</v>
      </c>
      <c r="E289">
        <v>5122</v>
      </c>
      <c r="F289" t="s">
        <v>1297</v>
      </c>
      <c r="G289" t="s">
        <v>2644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Row],[VEHIDCODE]],#REF!,0))</f>
        <v>0</v>
      </c>
      <c r="L289" t="b">
        <f>ISNUMBER(_xlfn.XMATCH(CONTROL[[#This Row],[VEHIDCODE]],PROPERTIES[VEHIDCODE],0))</f>
        <v>1</v>
      </c>
      <c r="M289" t="b">
        <f>ISNUMBER(_xlfn.XMATCH(CONTROL[[#This Row],[VEHIDCODE]],#REF!,0))</f>
        <v>0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s="32" t="str">
        <f>"item_"&amp;CONTROL[[#This Row],[VEHIDCODE]]</f>
        <v>item_diesel_Russia_RZD_Db</v>
      </c>
      <c r="Q289" s="32" t="str">
        <f>"str_"&amp;CONTROL[[#This Row],[VEHIDCODE]]</f>
        <v>str_diesel_Russia_RZD_Db</v>
      </c>
    </row>
    <row r="290" spans="1:17">
      <c r="A290" s="2" t="s">
        <v>313</v>
      </c>
      <c r="B290" s="32" t="str">
        <f>_xlfn.TEXTAFTER(CONTROL[[#This Row],[VEHIDCODE]],"_")</f>
        <v>Portugal_CP_1500</v>
      </c>
      <c r="C290" t="s">
        <v>722</v>
      </c>
      <c r="D290" t="s">
        <v>941</v>
      </c>
      <c r="E290">
        <v>5123</v>
      </c>
      <c r="F290" t="s">
        <v>1298</v>
      </c>
      <c r="G290" t="s">
        <v>2645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Row],[VEHIDCODE]],#REF!,0))</f>
        <v>0</v>
      </c>
      <c r="L290" t="b">
        <f>ISNUMBER(_xlfn.XMATCH(CONTROL[[#This Row],[VEHIDCODE]],PROPERTIES[VEHIDCODE],0))</f>
        <v>1</v>
      </c>
      <c r="M290" t="b">
        <f>ISNUMBER(_xlfn.XMATCH(CONTROL[[#This Row],[VEHIDCODE]],#REF!,0))</f>
        <v>0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s="32" t="str">
        <f>"item_"&amp;CONTROL[[#This Row],[VEHIDCODE]]</f>
        <v>item_diesel_Portugal_CP_1500</v>
      </c>
      <c r="Q290" s="32" t="str">
        <f>"str_"&amp;CONTROL[[#This Row],[VEHIDCODE]]</f>
        <v>str_diesel_Portugal_CP_1500</v>
      </c>
    </row>
    <row r="291" spans="1:17">
      <c r="A291" s="2" t="s">
        <v>314</v>
      </c>
      <c r="B291" s="32" t="str">
        <f>_xlfn.TEXTAFTER(CONTROL[[#This Row],[VEHIDCODE]],"_")</f>
        <v>France_SNCF_BB_67400</v>
      </c>
      <c r="C291" t="s">
        <v>722</v>
      </c>
      <c r="D291" t="s">
        <v>941</v>
      </c>
      <c r="E291">
        <v>5125</v>
      </c>
      <c r="F291" t="s">
        <v>1299</v>
      </c>
      <c r="G291" t="s">
        <v>2646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Row],[VEHIDCODE]],#REF!,0))</f>
        <v>0</v>
      </c>
      <c r="L291" t="b">
        <f>ISNUMBER(_xlfn.XMATCH(CONTROL[[#This Row],[VEHIDCODE]],PROPERTIES[VEHIDCODE],0))</f>
        <v>1</v>
      </c>
      <c r="M291" t="b">
        <f>ISNUMBER(_xlfn.XMATCH(CONTROL[[#This Row],[VEHIDCODE]],#REF!,0))</f>
        <v>0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s="32" t="str">
        <f>"item_"&amp;CONTROL[[#This Row],[VEHIDCODE]]</f>
        <v>item_diesel_France_SNCF_BB_67400</v>
      </c>
      <c r="Q291" s="32" t="str">
        <f>"str_"&amp;CONTROL[[#This Row],[VEHIDCODE]]</f>
        <v>str_diesel_France_SNCF_BB_67400</v>
      </c>
    </row>
    <row r="292" spans="1:17">
      <c r="A292" s="2" t="s">
        <v>315</v>
      </c>
      <c r="B292" s="32" t="str">
        <f>_xlfn.TEXTAFTER(CONTROL[[#This Row],[VEHIDCODE]],"_")</f>
        <v>Netherlands_NS_6400</v>
      </c>
      <c r="C292" t="s">
        <v>722</v>
      </c>
      <c r="D292" t="s">
        <v>941</v>
      </c>
      <c r="E292">
        <v>5126</v>
      </c>
      <c r="F292" t="s">
        <v>1300</v>
      </c>
      <c r="G292" t="s">
        <v>2647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Row],[VEHIDCODE]],#REF!,0))</f>
        <v>0</v>
      </c>
      <c r="L292" t="b">
        <f>ISNUMBER(_xlfn.XMATCH(CONTROL[[#This Row],[VEHIDCODE]],PROPERTIES[VEHIDCODE],0))</f>
        <v>1</v>
      </c>
      <c r="M292" t="b">
        <f>ISNUMBER(_xlfn.XMATCH(CONTROL[[#This Row],[VEHIDCODE]],#REF!,0))</f>
        <v>0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s="32" t="str">
        <f>"item_"&amp;CONTROL[[#This Row],[VEHIDCODE]]</f>
        <v>item_diesel_Netherlands_NS_6400</v>
      </c>
      <c r="Q292" s="32" t="str">
        <f>"str_"&amp;CONTROL[[#This Row],[VEHIDCODE]]</f>
        <v>str_diesel_Netherlands_NS_6400</v>
      </c>
    </row>
    <row r="293" spans="1:17">
      <c r="A293" s="2" t="s">
        <v>316</v>
      </c>
      <c r="B293" s="32" t="str">
        <f>_xlfn.TEXTAFTER(CONTROL[[#This Row],[VEHIDCODE]],"_")</f>
        <v>Egypt_ENR_2400_GE_ES40ACi</v>
      </c>
      <c r="C293" t="s">
        <v>722</v>
      </c>
      <c r="D293" t="s">
        <v>941</v>
      </c>
      <c r="E293">
        <v>5130</v>
      </c>
      <c r="F293" t="s">
        <v>1301</v>
      </c>
      <c r="G293" t="s">
        <v>2648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Row],[VEHIDCODE]],#REF!,0))</f>
        <v>0</v>
      </c>
      <c r="L293" t="b">
        <f>ISNUMBER(_xlfn.XMATCH(CONTROL[[#This Row],[VEHIDCODE]],PROPERTIES[VEHIDCODE],0))</f>
        <v>1</v>
      </c>
      <c r="M293" t="b">
        <f>ISNUMBER(_xlfn.XMATCH(CONTROL[[#This Row],[VEHIDCODE]],#REF!,0))</f>
        <v>0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s="32" t="str">
        <f>"item_"&amp;CONTROL[[#This Row],[VEHIDCODE]]</f>
        <v>item_diesel_Egypt_ENR_2400_GE_ES40ACi</v>
      </c>
      <c r="Q293" s="32" t="str">
        <f>"str_"&amp;CONTROL[[#This Row],[VEHIDCODE]]</f>
        <v>str_diesel_Egypt_ENR_2400_GE_ES40ACi</v>
      </c>
    </row>
    <row r="294" spans="1:17">
      <c r="A294" s="2" t="s">
        <v>317</v>
      </c>
      <c r="B294" s="32" t="str">
        <f>_xlfn.TEXTAFTER(CONTROL[[#This Row],[VEHIDCODE]],"_")</f>
        <v>South_Africa_SAR_Afro_4000</v>
      </c>
      <c r="C294" t="s">
        <v>722</v>
      </c>
      <c r="D294" t="s">
        <v>941</v>
      </c>
      <c r="E294">
        <v>5132</v>
      </c>
      <c r="F294" t="s">
        <v>2296</v>
      </c>
      <c r="G294" t="s">
        <v>2649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Row],[VEHIDCODE]],#REF!,0))</f>
        <v>0</v>
      </c>
      <c r="L294" t="b">
        <f>ISNUMBER(_xlfn.XMATCH(CONTROL[[#This Row],[VEHIDCODE]],PROPERTIES[VEHIDCODE],0))</f>
        <v>1</v>
      </c>
      <c r="M294" t="b">
        <f>ISNUMBER(_xlfn.XMATCH(CONTROL[[#This Row],[VEHIDCODE]],#REF!,0))</f>
        <v>0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s="32" t="str">
        <f>"item_"&amp;CONTROL[[#This Row],[VEHIDCODE]]</f>
        <v>item_diesel_South_Africa_SAR_Afro_4000</v>
      </c>
      <c r="Q294" s="32" t="str">
        <f>"str_"&amp;CONTROL[[#This Row],[VEHIDCODE]]</f>
        <v>str_diesel_South_Africa_SAR_Afro_4000</v>
      </c>
    </row>
    <row r="295" spans="1:17">
      <c r="A295" s="2" t="s">
        <v>318</v>
      </c>
      <c r="B295" s="32" t="str">
        <f>_xlfn.TEXTAFTER(CONTROL[[#This Row],[VEHIDCODE]],"_")</f>
        <v>Spain_RENFE_308</v>
      </c>
      <c r="C295" t="s">
        <v>722</v>
      </c>
      <c r="D295" t="s">
        <v>941</v>
      </c>
      <c r="E295">
        <v>5124</v>
      </c>
      <c r="F295" t="s">
        <v>1302</v>
      </c>
      <c r="G295" t="s">
        <v>2650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Row],[VEHIDCODE]],#REF!,0))</f>
        <v>0</v>
      </c>
      <c r="L295" t="b">
        <f>ISNUMBER(_xlfn.XMATCH(CONTROL[[#This Row],[VEHIDCODE]],PROPERTIES[VEHIDCODE],0))</f>
        <v>1</v>
      </c>
      <c r="M295" t="b">
        <f>ISNUMBER(_xlfn.XMATCH(CONTROL[[#This Row],[VEHIDCODE]],#REF!,0))</f>
        <v>0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s="32" t="str">
        <f>"item_"&amp;CONTROL[[#This Row],[VEHIDCODE]]</f>
        <v>item_diesel_Spain_RENFE_308</v>
      </c>
      <c r="Q295" s="32" t="str">
        <f>"str_"&amp;CONTROL[[#This Row],[VEHIDCODE]]</f>
        <v>str_diesel_Spain_RENFE_308</v>
      </c>
    </row>
    <row r="296" spans="1:17">
      <c r="A296" s="2" t="s">
        <v>319</v>
      </c>
      <c r="B296" s="32" t="str">
        <f>_xlfn.TEXTAFTER(CONTROL[[#This Row],[VEHIDCODE]],"_")</f>
        <v>Australia_Pacific_National_XR_XRB</v>
      </c>
      <c r="C296" t="s">
        <v>722</v>
      </c>
      <c r="D296" t="s">
        <v>941</v>
      </c>
      <c r="E296">
        <v>5127</v>
      </c>
      <c r="F296" t="s">
        <v>1303</v>
      </c>
      <c r="G296" t="s">
        <v>2651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Row],[VEHIDCODE]],#REF!,0))</f>
        <v>0</v>
      </c>
      <c r="L296" t="b">
        <f>ISNUMBER(_xlfn.XMATCH(CONTROL[[#This Row],[VEHIDCODE]],PROPERTIES[VEHIDCODE],0))</f>
        <v>1</v>
      </c>
      <c r="M296" t="b">
        <f>ISNUMBER(_xlfn.XMATCH(CONTROL[[#This Row],[VEHIDCODE]],#REF!,0))</f>
        <v>0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s="32" t="str">
        <f>"item_"&amp;CONTROL[[#This Row],[VEHIDCODE]]</f>
        <v>item_diesel_Australia_Pacific_National_XR_XRB</v>
      </c>
      <c r="Q296" s="32" t="str">
        <f>"str_"&amp;CONTROL[[#This Row],[VEHIDCODE]]</f>
        <v>str_diesel_Australia_Pacific_National_XR_XRB</v>
      </c>
    </row>
    <row r="297" spans="1:17">
      <c r="A297" s="2" t="s">
        <v>320</v>
      </c>
      <c r="B297" s="32" t="str">
        <f>_xlfn.TEXTAFTER(CONTROL[[#This Row],[VEHIDCODE]],"_")</f>
        <v>Norway_CargoNet_312</v>
      </c>
      <c r="C297" t="s">
        <v>722</v>
      </c>
      <c r="D297" t="s">
        <v>941</v>
      </c>
      <c r="E297">
        <v>5128</v>
      </c>
      <c r="F297" t="s">
        <v>1304</v>
      </c>
      <c r="G297" t="s">
        <v>2652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Row],[VEHIDCODE]],#REF!,0))</f>
        <v>0</v>
      </c>
      <c r="L297" t="b">
        <f>ISNUMBER(_xlfn.XMATCH(CONTROL[[#This Row],[VEHIDCODE]],PROPERTIES[VEHIDCODE],0))</f>
        <v>1</v>
      </c>
      <c r="M297" t="b">
        <f>ISNUMBER(_xlfn.XMATCH(CONTROL[[#This Row],[VEHIDCODE]],#REF!,0))</f>
        <v>0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s="32" t="str">
        <f>"item_"&amp;CONTROL[[#This Row],[VEHIDCODE]]</f>
        <v>item_diesel_Norway_CargoNet_312</v>
      </c>
      <c r="Q297" s="32" t="str">
        <f>"str_"&amp;CONTROL[[#This Row],[VEHIDCODE]]</f>
        <v>str_diesel_Norway_CargoNet_312</v>
      </c>
    </row>
    <row r="298" spans="1:17">
      <c r="A298" s="2" t="s">
        <v>321</v>
      </c>
      <c r="B298" s="32" t="str">
        <f>_xlfn.TEXTAFTER(CONTROL[[#This Row],[VEHIDCODE]],"_")</f>
        <v>Australia_Pacific_National_92</v>
      </c>
      <c r="C298" t="s">
        <v>722</v>
      </c>
      <c r="D298" t="s">
        <v>941</v>
      </c>
      <c r="E298">
        <v>5129</v>
      </c>
      <c r="F298" t="s">
        <v>1305</v>
      </c>
      <c r="G298" t="s">
        <v>2653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Row],[VEHIDCODE]],#REF!,0))</f>
        <v>0</v>
      </c>
      <c r="L298" t="b">
        <f>ISNUMBER(_xlfn.XMATCH(CONTROL[[#This Row],[VEHIDCODE]],PROPERTIES[VEHIDCODE],0))</f>
        <v>1</v>
      </c>
      <c r="M298" t="b">
        <f>ISNUMBER(_xlfn.XMATCH(CONTROL[[#This Row],[VEHIDCODE]],#REF!,0))</f>
        <v>0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s="32" t="str">
        <f>"item_"&amp;CONTROL[[#This Row],[VEHIDCODE]]</f>
        <v>item_diesel_Australia_Pacific_National_92</v>
      </c>
      <c r="Q298" s="32" t="str">
        <f>"str_"&amp;CONTROL[[#This Row],[VEHIDCODE]]</f>
        <v>str_diesel_Australia_Pacific_National_92</v>
      </c>
    </row>
    <row r="299" spans="1:17">
      <c r="A299" s="2" t="s">
        <v>322</v>
      </c>
      <c r="B299" s="32" t="str">
        <f>_xlfn.TEXTAFTER(CONTROL[[#This Row],[VEHIDCODE]],"_")</f>
        <v>UK_BR_68</v>
      </c>
      <c r="C299" t="s">
        <v>722</v>
      </c>
      <c r="D299" t="s">
        <v>941</v>
      </c>
      <c r="E299">
        <v>5131</v>
      </c>
      <c r="F299" t="s">
        <v>1306</v>
      </c>
      <c r="G299" t="s">
        <v>2654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Row],[VEHIDCODE]],#REF!,0))</f>
        <v>0</v>
      </c>
      <c r="L299" t="b">
        <f>ISNUMBER(_xlfn.XMATCH(CONTROL[[#This Row],[VEHIDCODE]],PROPERTIES[VEHIDCODE],0))</f>
        <v>1</v>
      </c>
      <c r="M299" t="b">
        <f>ISNUMBER(_xlfn.XMATCH(CONTROL[[#This Row],[VEHIDCODE]],#REF!,0))</f>
        <v>0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s="32" t="str">
        <f>"item_"&amp;CONTROL[[#This Row],[VEHIDCODE]]</f>
        <v>item_diesel_UK_BR_68</v>
      </c>
      <c r="Q299" s="32" t="str">
        <f>"str_"&amp;CONTROL[[#This Row],[VEHIDCODE]]</f>
        <v>str_diesel_UK_BR_68</v>
      </c>
    </row>
    <row r="300" spans="1:17">
      <c r="A300" s="2" t="s">
        <v>323</v>
      </c>
      <c r="B300" s="32" t="str">
        <f>_xlfn.TEXTAFTER(CONTROL[[#This Row],[VEHIDCODE]],"_")</f>
        <v>USA_Amtrak_Charger</v>
      </c>
      <c r="C300" t="s">
        <v>722</v>
      </c>
      <c r="D300" t="s">
        <v>941</v>
      </c>
      <c r="E300">
        <v>5133</v>
      </c>
      <c r="F300" t="s">
        <v>1307</v>
      </c>
      <c r="G300" t="s">
        <v>2655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Row],[VEHIDCODE]],#REF!,0))</f>
        <v>0</v>
      </c>
      <c r="L300" t="b">
        <f>ISNUMBER(_xlfn.XMATCH(CONTROL[[#This Row],[VEHIDCODE]],PROPERTIES[VEHIDCODE],0))</f>
        <v>1</v>
      </c>
      <c r="M300" t="b">
        <f>ISNUMBER(_xlfn.XMATCH(CONTROL[[#This Row],[VEHIDCODE]],#REF!,0))</f>
        <v>0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s="32" t="str">
        <f>"item_"&amp;CONTROL[[#This Row],[VEHIDCODE]]</f>
        <v>item_diesel_USA_Amtrak_Charger</v>
      </c>
      <c r="Q300" s="32" t="str">
        <f>"str_"&amp;CONTROL[[#This Row],[VEHIDCODE]]</f>
        <v>str_diesel_USA_Amtrak_Charger</v>
      </c>
    </row>
    <row r="301" spans="1:17">
      <c r="A301" s="2" t="s">
        <v>324</v>
      </c>
      <c r="B301" s="32" t="str">
        <f>_xlfn.TEXTAFTER(CONTROL[[#This Row],[VEHIDCODE]],"_")</f>
        <v>Argentina_Le_Brugeoise</v>
      </c>
      <c r="C301" t="s">
        <v>723</v>
      </c>
      <c r="D301" t="s">
        <v>949</v>
      </c>
      <c r="E301">
        <v>9004</v>
      </c>
      <c r="F301" t="s">
        <v>1308</v>
      </c>
      <c r="G301" t="s">
        <v>2657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Row],[VEHIDCODE]],#REF!,0))</f>
        <v>0</v>
      </c>
      <c r="L301" t="b">
        <f>ISNUMBER(_xlfn.XMATCH(CONTROL[[#This Row],[VEHIDCODE]],PROPERTIES[VEHIDCODE],0))</f>
        <v>1</v>
      </c>
      <c r="M301" t="b">
        <f>ISNUMBER(_xlfn.XMATCH(CONTROL[[#This Row],[VEHIDCODE]],#REF!,0))</f>
        <v>0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s="32" t="str">
        <f>"item_"&amp;CONTROL[[#This Row],[VEHIDCODE]]</f>
        <v>item_mtro_Argentina_Le_Brugeoise</v>
      </c>
      <c r="Q301" s="32" t="str">
        <f>"str_"&amp;CONTROL[[#This Row],[VEHIDCODE]]</f>
        <v>str_mtro_Argentina_Le_Brugeoise</v>
      </c>
    </row>
    <row r="302" spans="1:17">
      <c r="A302" s="2" t="s">
        <v>327</v>
      </c>
      <c r="B302" s="32" t="str">
        <f>_xlfn.TEXTAFTER(CONTROL[[#This Row],[VEHIDCODE]],"_")</f>
        <v>USA_NY_R1</v>
      </c>
      <c r="C302" t="s">
        <v>723</v>
      </c>
      <c r="D302" t="s">
        <v>949</v>
      </c>
      <c r="E302">
        <v>9006</v>
      </c>
      <c r="F302" t="s">
        <v>1309</v>
      </c>
      <c r="G302" t="s">
        <v>2658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Row],[VEHIDCODE]],#REF!,0))</f>
        <v>0</v>
      </c>
      <c r="L302" t="b">
        <f>ISNUMBER(_xlfn.XMATCH(CONTROL[[#This Row],[VEHIDCODE]],PROPERTIES[VEHIDCODE],0))</f>
        <v>1</v>
      </c>
      <c r="M302" t="b">
        <f>ISNUMBER(_xlfn.XMATCH(CONTROL[[#This Row],[VEHIDCODE]],#REF!,0))</f>
        <v>0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s="32" t="str">
        <f>"item_"&amp;CONTROL[[#This Row],[VEHIDCODE]]</f>
        <v>item_mtro_USA_NY_R1</v>
      </c>
      <c r="Q302" s="32" t="str">
        <f>"str_"&amp;CONTROL[[#This Row],[VEHIDCODE]]</f>
        <v>str_mtro_USA_NY_R1</v>
      </c>
    </row>
    <row r="303" spans="1:17">
      <c r="A303" s="2" t="s">
        <v>328</v>
      </c>
      <c r="B303" s="32" t="str">
        <f>_xlfn.TEXTAFTER(CONTROL[[#This Row],[VEHIDCODE]],"_")</f>
        <v>Germany_DB_ET_171</v>
      </c>
      <c r="C303" t="s">
        <v>723</v>
      </c>
      <c r="D303" t="s">
        <v>949</v>
      </c>
      <c r="E303">
        <v>9008</v>
      </c>
      <c r="F303" t="s">
        <v>1310</v>
      </c>
      <c r="G303" t="s">
        <v>2659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Row],[VEHIDCODE]],#REF!,0))</f>
        <v>0</v>
      </c>
      <c r="L303" t="b">
        <f>ISNUMBER(_xlfn.XMATCH(CONTROL[[#This Row],[VEHIDCODE]],PROPERTIES[VEHIDCODE],0))</f>
        <v>1</v>
      </c>
      <c r="M303" t="b">
        <f>ISNUMBER(_xlfn.XMATCH(CONTROL[[#This Row],[VEHIDCODE]],#REF!,0))</f>
        <v>0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s="32" t="str">
        <f>"item_"&amp;CONTROL[[#This Row],[VEHIDCODE]]</f>
        <v>item_mtro_Germany_DB_ET_171</v>
      </c>
      <c r="Q303" s="32" t="str">
        <f>"str_"&amp;CONTROL[[#This Row],[VEHIDCODE]]</f>
        <v>str_mtro_Germany_DB_ET_171</v>
      </c>
    </row>
    <row r="304" spans="1:17">
      <c r="A304" s="2" t="s">
        <v>329</v>
      </c>
      <c r="B304" s="32" t="str">
        <f>_xlfn.TEXTAFTER(CONTROL[[#This Row],[VEHIDCODE]],"_")</f>
        <v>France_Paris_M2_840</v>
      </c>
      <c r="C304" t="s">
        <v>723</v>
      </c>
      <c r="D304" t="s">
        <v>949</v>
      </c>
      <c r="E304">
        <v>9009</v>
      </c>
      <c r="F304" t="s">
        <v>1311</v>
      </c>
      <c r="G304" t="s">
        <v>2662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Row],[VEHIDCODE]],#REF!,0))</f>
        <v>0</v>
      </c>
      <c r="L304" t="b">
        <f>ISNUMBER(_xlfn.XMATCH(CONTROL[[#This Row],[VEHIDCODE]],PROPERTIES[VEHIDCODE],0))</f>
        <v>1</v>
      </c>
      <c r="M304" t="b">
        <f>ISNUMBER(_xlfn.XMATCH(CONTROL[[#This Row],[VEHIDCODE]],#REF!,0))</f>
        <v>0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s="32" t="str">
        <f>"item_"&amp;CONTROL[[#This Row],[VEHIDCODE]]</f>
        <v>item_mtro_France_Paris_M2_840</v>
      </c>
      <c r="Q304" s="32" t="str">
        <f>"str_"&amp;CONTROL[[#This Row],[VEHIDCODE]]</f>
        <v>str_mtro_France_Paris_M2_840</v>
      </c>
    </row>
    <row r="305" spans="1:17">
      <c r="A305" s="2" t="s">
        <v>330</v>
      </c>
      <c r="B305" s="32" t="str">
        <f>_xlfn.TEXTAFTER(CONTROL[[#This Row],[VEHIDCODE]],"_")</f>
        <v>Portugal_Lisbon_ML7</v>
      </c>
      <c r="C305" t="s">
        <v>723</v>
      </c>
      <c r="D305" t="s">
        <v>949</v>
      </c>
      <c r="E305">
        <v>9010</v>
      </c>
      <c r="F305" t="s">
        <v>1312</v>
      </c>
      <c r="G305" t="s">
        <v>2661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Row],[VEHIDCODE]],#REF!,0))</f>
        <v>0</v>
      </c>
      <c r="L305" t="b">
        <f>ISNUMBER(_xlfn.XMATCH(CONTROL[[#This Row],[VEHIDCODE]],PROPERTIES[VEHIDCODE],0))</f>
        <v>1</v>
      </c>
      <c r="M305" t="b">
        <f>ISNUMBER(_xlfn.XMATCH(CONTROL[[#This Row],[VEHIDCODE]],#REF!,0))</f>
        <v>0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s="32" t="str">
        <f>"item_"&amp;CONTROL[[#This Row],[VEHIDCODE]]</f>
        <v>item_mtro_Portugal_Lisbon_ML7</v>
      </c>
      <c r="Q305" s="32" t="str">
        <f>"str_"&amp;CONTROL[[#This Row],[VEHIDCODE]]</f>
        <v>str_mtro_Portugal_Lisbon_ML7</v>
      </c>
    </row>
    <row r="306" spans="1:17">
      <c r="A306" s="2" t="s">
        <v>331</v>
      </c>
      <c r="B306" s="32" t="str">
        <f>_xlfn.TEXTAFTER(CONTROL[[#This Row],[VEHIDCODE]],"_")</f>
        <v>Hungary_Budapest_Ev3_200</v>
      </c>
      <c r="C306" t="s">
        <v>723</v>
      </c>
      <c r="D306" t="s">
        <v>949</v>
      </c>
      <c r="E306">
        <v>9011</v>
      </c>
      <c r="F306" t="s">
        <v>2664</v>
      </c>
      <c r="G306" t="s">
        <v>2660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Row],[VEHIDCODE]],#REF!,0))</f>
        <v>0</v>
      </c>
      <c r="L306" t="b">
        <f>ISNUMBER(_xlfn.XMATCH(CONTROL[[#This Row],[VEHIDCODE]],PROPERTIES[VEHIDCODE],0))</f>
        <v>1</v>
      </c>
      <c r="M306" t="b">
        <f>ISNUMBER(_xlfn.XMATCH(CONTROL[[#This Row],[VEHIDCODE]],#REF!,0))</f>
        <v>0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s="32" t="str">
        <f>"item_"&amp;CONTROL[[#This Row],[VEHIDCODE]]</f>
        <v>item_mtro_Hungary_Budapest_Ev3_200</v>
      </c>
      <c r="Q306" s="32" t="str">
        <f>"str_"&amp;CONTROL[[#This Row],[VEHIDCODE]]</f>
        <v>str_mtro_Hungary_Budapest_Ev3_200</v>
      </c>
    </row>
    <row r="307" spans="1:17">
      <c r="A307" s="2" t="s">
        <v>332</v>
      </c>
      <c r="B307" s="32" t="str">
        <f>_xlfn.TEXTAFTER(CONTROL[[#This Row],[VEHIDCODE]],"_")</f>
        <v>Norway_Oslo_T1000</v>
      </c>
      <c r="C307" t="s">
        <v>723</v>
      </c>
      <c r="D307" t="s">
        <v>949</v>
      </c>
      <c r="E307">
        <v>9012</v>
      </c>
      <c r="F307" t="s">
        <v>1313</v>
      </c>
      <c r="G307" t="s">
        <v>2663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Row],[VEHIDCODE]],#REF!,0))</f>
        <v>0</v>
      </c>
      <c r="L307" t="b">
        <f>ISNUMBER(_xlfn.XMATCH(CONTROL[[#This Row],[VEHIDCODE]],PROPERTIES[VEHIDCODE],0))</f>
        <v>1</v>
      </c>
      <c r="M307" t="b">
        <f>ISNUMBER(_xlfn.XMATCH(CONTROL[[#This Row],[VEHIDCODE]],#REF!,0))</f>
        <v>0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s="32" t="str">
        <f>"item_"&amp;CONTROL[[#This Row],[VEHIDCODE]]</f>
        <v>item_mtro_Norway_Oslo_T1000</v>
      </c>
      <c r="Q307" s="32" t="str">
        <f>"str_"&amp;CONTROL[[#This Row],[VEHIDCODE]]</f>
        <v>str_mtro_Norway_Oslo_T1000</v>
      </c>
    </row>
    <row r="308" spans="1:17">
      <c r="A308" s="2" t="s">
        <v>333</v>
      </c>
      <c r="B308" s="32" t="str">
        <f>_xlfn.TEXTAFTER(CONTROL[[#This Row],[VEHIDCODE]],"_")</f>
        <v>Canada_Toronto_H_series</v>
      </c>
      <c r="C308" t="s">
        <v>723</v>
      </c>
      <c r="D308" t="s">
        <v>949</v>
      </c>
      <c r="E308">
        <v>9013</v>
      </c>
      <c r="F308" t="s">
        <v>2666</v>
      </c>
      <c r="G308" t="s">
        <v>2665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Row],[VEHIDCODE]],#REF!,0))</f>
        <v>0</v>
      </c>
      <c r="L308" t="b">
        <f>ISNUMBER(_xlfn.XMATCH(CONTROL[[#This Row],[VEHIDCODE]],PROPERTIES[VEHIDCODE],0))</f>
        <v>1</v>
      </c>
      <c r="M308" t="b">
        <f>ISNUMBER(_xlfn.XMATCH(CONTROL[[#This Row],[VEHIDCODE]],#REF!,0))</f>
        <v>0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s="32" t="str">
        <f>"item_"&amp;CONTROL[[#This Row],[VEHIDCODE]]</f>
        <v>item_mtro_Canada_Toronto_H_series</v>
      </c>
      <c r="Q308" s="32" t="str">
        <f>"str_"&amp;CONTROL[[#This Row],[VEHIDCODE]]</f>
        <v>str_mtro_Canada_Toronto_H_series</v>
      </c>
    </row>
    <row r="309" spans="1:17">
      <c r="A309" s="2" t="s">
        <v>334</v>
      </c>
      <c r="B309" s="32" t="str">
        <f>_xlfn.TEXTAFTER(CONTROL[[#This Row],[VEHIDCODE]],"_")</f>
        <v>Germany_Munchen_MVG_A2</v>
      </c>
      <c r="C309" t="s">
        <v>723</v>
      </c>
      <c r="D309" t="s">
        <v>949</v>
      </c>
      <c r="E309">
        <v>9014</v>
      </c>
      <c r="F309" t="s">
        <v>1314</v>
      </c>
      <c r="G309" t="s">
        <v>2667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Row],[VEHIDCODE]],#REF!,0))</f>
        <v>0</v>
      </c>
      <c r="L309" t="b">
        <f>ISNUMBER(_xlfn.XMATCH(CONTROL[[#This Row],[VEHIDCODE]],PROPERTIES[VEHIDCODE],0))</f>
        <v>1</v>
      </c>
      <c r="M309" t="b">
        <f>ISNUMBER(_xlfn.XMATCH(CONTROL[[#This Row],[VEHIDCODE]],#REF!,0))</f>
        <v>0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s="32" t="str">
        <f>"item_"&amp;CONTROL[[#This Row],[VEHIDCODE]]</f>
        <v>item_mtro_Germany_Munchen_MVG_A2</v>
      </c>
      <c r="Q309" s="32" t="str">
        <f>"str_"&amp;CONTROL[[#This Row],[VEHIDCODE]]</f>
        <v>str_mtro_Germany_Munchen_MVG_A2</v>
      </c>
    </row>
    <row r="310" spans="1:17">
      <c r="A310" s="2" t="s">
        <v>335</v>
      </c>
      <c r="B310" s="32" t="str">
        <f>_xlfn.TEXTAFTER(CONTROL[[#This Row],[VEHIDCODE]],"_")</f>
        <v>USA_NY_R44</v>
      </c>
      <c r="C310" t="s">
        <v>723</v>
      </c>
      <c r="D310" t="s">
        <v>949</v>
      </c>
      <c r="E310">
        <v>9015</v>
      </c>
      <c r="F310" t="s">
        <v>1315</v>
      </c>
      <c r="G310" t="s">
        <v>2668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Row],[VEHIDCODE]],#REF!,0))</f>
        <v>0</v>
      </c>
      <c r="L310" t="b">
        <f>ISNUMBER(_xlfn.XMATCH(CONTROL[[#This Row],[VEHIDCODE]],PROPERTIES[VEHIDCODE],0))</f>
        <v>1</v>
      </c>
      <c r="M310" t="b">
        <f>ISNUMBER(_xlfn.XMATCH(CONTROL[[#This Row],[VEHIDCODE]],#REF!,0))</f>
        <v>0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s="32" t="str">
        <f>"item_"&amp;CONTROL[[#This Row],[VEHIDCODE]]</f>
        <v>item_mtro_USA_NY_R44</v>
      </c>
      <c r="Q310" s="32" t="str">
        <f>"str_"&amp;CONTROL[[#This Row],[VEHIDCODE]]</f>
        <v>str_mtro_USA_NY_R44</v>
      </c>
    </row>
    <row r="311" spans="1:17">
      <c r="A311" s="2" t="s">
        <v>336</v>
      </c>
      <c r="B311" s="32" t="str">
        <f>_xlfn.TEXTAFTER(CONTROL[[#This Row],[VEHIDCODE]],"_")</f>
        <v>Netherlands_Amsterdam_Type_M1</v>
      </c>
      <c r="C311" t="s">
        <v>723</v>
      </c>
      <c r="D311" t="s">
        <v>949</v>
      </c>
      <c r="E311">
        <v>9016</v>
      </c>
      <c r="F311" t="s">
        <v>1316</v>
      </c>
      <c r="G311" t="s">
        <v>2669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Row],[VEHIDCODE]],#REF!,0))</f>
        <v>0</v>
      </c>
      <c r="L311" t="b">
        <f>ISNUMBER(_xlfn.XMATCH(CONTROL[[#This Row],[VEHIDCODE]],PROPERTIES[VEHIDCODE],0))</f>
        <v>1</v>
      </c>
      <c r="M311" t="b">
        <f>ISNUMBER(_xlfn.XMATCH(CONTROL[[#This Row],[VEHIDCODE]],#REF!,0))</f>
        <v>0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s="32" t="str">
        <f>"item_"&amp;CONTROL[[#This Row],[VEHIDCODE]]</f>
        <v>item_mtro_Netherlands_Amsterdam_Type_M1</v>
      </c>
      <c r="Q311" s="32" t="str">
        <f>"str_"&amp;CONTROL[[#This Row],[VEHIDCODE]]</f>
        <v>str_mtro_Netherlands_Amsterdam_Type_M1</v>
      </c>
    </row>
    <row r="312" spans="1:17">
      <c r="A312" s="2" t="s">
        <v>337</v>
      </c>
      <c r="B312" s="32" t="str">
        <f>_xlfn.TEXTAFTER(CONTROL[[#This Row],[VEHIDCODE]],"_")</f>
        <v>Sweden_Stockholm_C8</v>
      </c>
      <c r="C312" t="s">
        <v>723</v>
      </c>
      <c r="D312" t="s">
        <v>949</v>
      </c>
      <c r="E312">
        <v>9017</v>
      </c>
      <c r="F312" t="s">
        <v>1317</v>
      </c>
      <c r="G312" t="s">
        <v>2670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Row],[VEHIDCODE]],#REF!,0))</f>
        <v>0</v>
      </c>
      <c r="L312" t="b">
        <f>ISNUMBER(_xlfn.XMATCH(CONTROL[[#This Row],[VEHIDCODE]],PROPERTIES[VEHIDCODE],0))</f>
        <v>1</v>
      </c>
      <c r="M312" t="b">
        <f>ISNUMBER(_xlfn.XMATCH(CONTROL[[#This Row],[VEHIDCODE]],#REF!,0))</f>
        <v>0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s="32" t="str">
        <f>"item_"&amp;CONTROL[[#This Row],[VEHIDCODE]]</f>
        <v>item_mtro_Sweden_Stockholm_C8</v>
      </c>
      <c r="Q312" s="32" t="str">
        <f>"str_"&amp;CONTROL[[#This Row],[VEHIDCODE]]</f>
        <v>str_mtro_Sweden_Stockholm_C8</v>
      </c>
    </row>
    <row r="313" spans="1:17">
      <c r="A313" s="2" t="s">
        <v>338</v>
      </c>
      <c r="B313" s="32" t="str">
        <f>_xlfn.TEXTAFTER(CONTROL[[#This Row],[VEHIDCODE]],"_")</f>
        <v>North_Korea_Pyongyang_D_stock</v>
      </c>
      <c r="C313" t="s">
        <v>723</v>
      </c>
      <c r="D313" t="s">
        <v>949</v>
      </c>
      <c r="E313">
        <v>9018</v>
      </c>
      <c r="F313" t="s">
        <v>1318</v>
      </c>
      <c r="G313" t="s">
        <v>2671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Row],[VEHIDCODE]],#REF!,0))</f>
        <v>0</v>
      </c>
      <c r="L313" t="b">
        <f>ISNUMBER(_xlfn.XMATCH(CONTROL[[#This Row],[VEHIDCODE]],PROPERTIES[VEHIDCODE],0))</f>
        <v>1</v>
      </c>
      <c r="M313" t="b">
        <f>ISNUMBER(_xlfn.XMATCH(CONTROL[[#This Row],[VEHIDCODE]],#REF!,0))</f>
        <v>0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s="32" t="str">
        <f>"item_"&amp;CONTROL[[#This Row],[VEHIDCODE]]</f>
        <v>item_mtro_North_Korea_Pyongyang_D_stock</v>
      </c>
      <c r="Q313" s="32" t="str">
        <f>"str_"&amp;CONTROL[[#This Row],[VEHIDCODE]]</f>
        <v>str_mtro_North_Korea_Pyongyang_D_stock</v>
      </c>
    </row>
    <row r="314" spans="1:17">
      <c r="A314" s="2" t="s">
        <v>339</v>
      </c>
      <c r="B314" s="32" t="str">
        <f>_xlfn.TEXTAFTER(CONTROL[[#This Row],[VEHIDCODE]],"_")</f>
        <v>Finland_Helsinki_M100</v>
      </c>
      <c r="C314" t="s">
        <v>723</v>
      </c>
      <c r="D314" t="s">
        <v>949</v>
      </c>
      <c r="E314">
        <v>9019</v>
      </c>
      <c r="F314" t="s">
        <v>1319</v>
      </c>
      <c r="G314" t="s">
        <v>2672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Row],[VEHIDCODE]],#REF!,0))</f>
        <v>0</v>
      </c>
      <c r="L314" t="b">
        <f>ISNUMBER(_xlfn.XMATCH(CONTROL[[#This Row],[VEHIDCODE]],PROPERTIES[VEHIDCODE],0))</f>
        <v>1</v>
      </c>
      <c r="M314" t="b">
        <f>ISNUMBER(_xlfn.XMATCH(CONTROL[[#This Row],[VEHIDCODE]],#REF!,0))</f>
        <v>0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s="32" t="str">
        <f>"item_"&amp;CONTROL[[#This Row],[VEHIDCODE]]</f>
        <v>item_mtro_Finland_Helsinki_M100</v>
      </c>
      <c r="Q314" s="32" t="str">
        <f>"str_"&amp;CONTROL[[#This Row],[VEHIDCODE]]</f>
        <v>str_mtro_Finland_Helsinki_M100</v>
      </c>
    </row>
    <row r="315" spans="1:17">
      <c r="A315" s="2" t="s">
        <v>340</v>
      </c>
      <c r="B315" s="32" t="str">
        <f>_xlfn.TEXTAFTER(CONTROL[[#This Row],[VEHIDCODE]],"_")</f>
        <v>Brazil_Sao_Paulo_Serie_5500</v>
      </c>
      <c r="C315" t="s">
        <v>723</v>
      </c>
      <c r="D315" t="s">
        <v>949</v>
      </c>
      <c r="E315">
        <v>9020</v>
      </c>
      <c r="F315" t="s">
        <v>1320</v>
      </c>
      <c r="G315" t="s">
        <v>2673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Row],[VEHIDCODE]],#REF!,0))</f>
        <v>0</v>
      </c>
      <c r="L315" t="b">
        <f>ISNUMBER(_xlfn.XMATCH(CONTROL[[#This Row],[VEHIDCODE]],PROPERTIES[VEHIDCODE],0))</f>
        <v>1</v>
      </c>
      <c r="M315" t="b">
        <f>ISNUMBER(_xlfn.XMATCH(CONTROL[[#This Row],[VEHIDCODE]],#REF!,0))</f>
        <v>0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s="32" t="str">
        <f>"item_"&amp;CONTROL[[#This Row],[VEHIDCODE]]</f>
        <v>item_mtro_Brazil_Sao_Paulo_Serie_5500</v>
      </c>
      <c r="Q315" s="32" t="str">
        <f>"str_"&amp;CONTROL[[#This Row],[VEHIDCODE]]</f>
        <v>str_mtro_Brazil_Sao_Paulo_Serie_5500</v>
      </c>
    </row>
    <row r="316" spans="1:17">
      <c r="A316" s="2" t="s">
        <v>341</v>
      </c>
      <c r="B316" s="32" t="str">
        <f>_xlfn.TEXTAFTER(CONTROL[[#This Row],[VEHIDCODE]],"_")</f>
        <v>Russia_Moscow_81_720</v>
      </c>
      <c r="C316" t="s">
        <v>723</v>
      </c>
      <c r="D316" t="s">
        <v>949</v>
      </c>
      <c r="E316">
        <v>9021</v>
      </c>
      <c r="F316" t="s">
        <v>1321</v>
      </c>
      <c r="G316" t="s">
        <v>2656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Row],[VEHIDCODE]],#REF!,0))</f>
        <v>0</v>
      </c>
      <c r="L316" t="b">
        <f>ISNUMBER(_xlfn.XMATCH(CONTROL[[#This Row],[VEHIDCODE]],PROPERTIES[VEHIDCODE],0))</f>
        <v>1</v>
      </c>
      <c r="M316" t="b">
        <f>ISNUMBER(_xlfn.XMATCH(CONTROL[[#This Row],[VEHIDCODE]],#REF!,0))</f>
        <v>0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s="32" t="str">
        <f>"item_"&amp;CONTROL[[#This Row],[VEHIDCODE]]</f>
        <v>item_mtro_Russia_Moscow_81_720</v>
      </c>
      <c r="Q316" s="32" t="str">
        <f>"str_"&amp;CONTROL[[#This Row],[VEHIDCODE]]</f>
        <v>str_mtro_Russia_Moscow_81_720</v>
      </c>
    </row>
    <row r="317" spans="1:17">
      <c r="A317" s="2" t="s">
        <v>342</v>
      </c>
      <c r="B317" s="32" t="str">
        <f>_xlfn.TEXTAFTER(CONTROL[[#This Row],[VEHIDCODE]],"_")</f>
        <v>Japan_Tokyo_S01</v>
      </c>
      <c r="C317" t="s">
        <v>723</v>
      </c>
      <c r="D317" t="s">
        <v>949</v>
      </c>
      <c r="E317">
        <v>9022</v>
      </c>
      <c r="F317" t="s">
        <v>1322</v>
      </c>
      <c r="G317" t="s">
        <v>2674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Row],[VEHIDCODE]],#REF!,0))</f>
        <v>0</v>
      </c>
      <c r="L317" t="b">
        <f>ISNUMBER(_xlfn.XMATCH(CONTROL[[#This Row],[VEHIDCODE]],PROPERTIES[VEHIDCODE],0))</f>
        <v>1</v>
      </c>
      <c r="M317" t="b">
        <f>ISNUMBER(_xlfn.XMATCH(CONTROL[[#This Row],[VEHIDCODE]],#REF!,0))</f>
        <v>0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s="32" t="str">
        <f>"item_"&amp;CONTROL[[#This Row],[VEHIDCODE]]</f>
        <v>item_mtro_Japan_Tokyo_S01</v>
      </c>
      <c r="Q317" s="32" t="str">
        <f>"str_"&amp;CONTROL[[#This Row],[VEHIDCODE]]</f>
        <v>str_mtro_Japan_Tokyo_S01</v>
      </c>
    </row>
    <row r="318" spans="1:17">
      <c r="A318" s="2" t="s">
        <v>343</v>
      </c>
      <c r="B318" s="32" t="str">
        <f>_xlfn.TEXTAFTER(CONTROL[[#This Row],[VEHIDCODE]],"_")</f>
        <v>Egypt_Cairo_1987_Stock</v>
      </c>
      <c r="C318" t="s">
        <v>723</v>
      </c>
      <c r="D318" t="s">
        <v>949</v>
      </c>
      <c r="E318">
        <v>9023</v>
      </c>
      <c r="F318" t="s">
        <v>2675</v>
      </c>
      <c r="G318" t="s">
        <v>2676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Row],[VEHIDCODE]],#REF!,0))</f>
        <v>0</v>
      </c>
      <c r="L318" t="b">
        <f>ISNUMBER(_xlfn.XMATCH(CONTROL[[#This Row],[VEHIDCODE]],PROPERTIES[VEHIDCODE],0))</f>
        <v>1</v>
      </c>
      <c r="M318" t="b">
        <f>ISNUMBER(_xlfn.XMATCH(CONTROL[[#This Row],[VEHIDCODE]],#REF!,0))</f>
        <v>0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s="32" t="str">
        <f>"item_"&amp;CONTROL[[#This Row],[VEHIDCODE]]</f>
        <v>item_mtro_Egypt_Cairo_1987_Stock</v>
      </c>
      <c r="Q318" s="32" t="str">
        <f>"str_"&amp;CONTROL[[#This Row],[VEHIDCODE]]</f>
        <v>str_mtro_Egypt_Cairo_1987_Stock</v>
      </c>
    </row>
    <row r="319" spans="1:17">
      <c r="A319" s="2" t="s">
        <v>344</v>
      </c>
      <c r="B319" s="32" t="str">
        <f>_xlfn.TEXTAFTER(CONTROL[[#This Row],[VEHIDCODE]],"_")</f>
        <v>UK_DLR_P86</v>
      </c>
      <c r="C319" t="s">
        <v>723</v>
      </c>
      <c r="D319" t="s">
        <v>949</v>
      </c>
      <c r="E319">
        <v>9024</v>
      </c>
      <c r="F319" t="s">
        <v>2677</v>
      </c>
      <c r="G319" t="s">
        <v>2678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Row],[VEHIDCODE]],#REF!,0))</f>
        <v>0</v>
      </c>
      <c r="L319" t="b">
        <f>ISNUMBER(_xlfn.XMATCH(CONTROL[[#This Row],[VEHIDCODE]],PROPERTIES[VEHIDCODE],0))</f>
        <v>1</v>
      </c>
      <c r="M319" t="b">
        <f>ISNUMBER(_xlfn.XMATCH(CONTROL[[#This Row],[VEHIDCODE]],#REF!,0))</f>
        <v>0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s="32" t="str">
        <f>"item_"&amp;CONTROL[[#This Row],[VEHIDCODE]]</f>
        <v>item_mtro_UK_DLR_P86</v>
      </c>
      <c r="Q319" s="32" t="str">
        <f>"str_"&amp;CONTROL[[#This Row],[VEHIDCODE]]</f>
        <v>str_mtro_UK_DLR_P86</v>
      </c>
    </row>
    <row r="320" spans="1:17">
      <c r="A320" s="2" t="s">
        <v>345</v>
      </c>
      <c r="B320" s="32" t="str">
        <f>_xlfn.TEXTAFTER(CONTROL[[#This Row],[VEHIDCODE]],"_")</f>
        <v>Russia_Moscow_81_7175M</v>
      </c>
      <c r="C320" t="s">
        <v>723</v>
      </c>
      <c r="D320" t="s">
        <v>949</v>
      </c>
      <c r="E320">
        <v>9025</v>
      </c>
      <c r="F320" t="s">
        <v>1323</v>
      </c>
      <c r="G320" t="s">
        <v>2679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Row],[VEHIDCODE]],#REF!,0))</f>
        <v>0</v>
      </c>
      <c r="L320" t="b">
        <f>ISNUMBER(_xlfn.XMATCH(CONTROL[[#This Row],[VEHIDCODE]],PROPERTIES[VEHIDCODE],0))</f>
        <v>1</v>
      </c>
      <c r="M320" t="b">
        <f>ISNUMBER(_xlfn.XMATCH(CONTROL[[#This Row],[VEHIDCODE]],#REF!,0))</f>
        <v>0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s="32" t="str">
        <f>"item_"&amp;CONTROL[[#This Row],[VEHIDCODE]]</f>
        <v>item_mtro_Russia_Moscow_81_7175M</v>
      </c>
      <c r="Q320" s="32" t="str">
        <f>"str_"&amp;CONTROL[[#This Row],[VEHIDCODE]]</f>
        <v>str_mtro_Russia_Moscow_81_7175M</v>
      </c>
    </row>
    <row r="321" spans="1:17">
      <c r="A321" s="2" t="s">
        <v>346</v>
      </c>
      <c r="B321" s="32" t="str">
        <f>_xlfn.TEXTAFTER(CONTROL[[#This Row],[VEHIDCODE]],"_")</f>
        <v>USA_Boston_01800</v>
      </c>
      <c r="C321" t="s">
        <v>723</v>
      </c>
      <c r="D321" t="s">
        <v>949</v>
      </c>
      <c r="E321">
        <v>9026</v>
      </c>
      <c r="F321" t="s">
        <v>1324</v>
      </c>
      <c r="G321" t="s">
        <v>2680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Row],[VEHIDCODE]],#REF!,0))</f>
        <v>0</v>
      </c>
      <c r="L321" t="b">
        <f>ISNUMBER(_xlfn.XMATCH(CONTROL[[#This Row],[VEHIDCODE]],PROPERTIES[VEHIDCODE],0))</f>
        <v>1</v>
      </c>
      <c r="M321" t="b">
        <f>ISNUMBER(_xlfn.XMATCH(CONTROL[[#This Row],[VEHIDCODE]],#REF!,0))</f>
        <v>0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s="32" t="str">
        <f>"item_"&amp;CONTROL[[#This Row],[VEHIDCODE]]</f>
        <v>item_mtro_USA_Boston_01800</v>
      </c>
      <c r="Q321" s="32" t="str">
        <f>"str_"&amp;CONTROL[[#This Row],[VEHIDCODE]]</f>
        <v>str_mtro_USA_Boston_01800</v>
      </c>
    </row>
    <row r="322" spans="1:17">
      <c r="A322" s="2" t="s">
        <v>347</v>
      </c>
      <c r="B322" s="32" t="str">
        <f>_xlfn.TEXTAFTER(CONTROL[[#This Row],[VEHIDCODE]],"_")</f>
        <v>USA_LA_A650</v>
      </c>
      <c r="C322" t="s">
        <v>723</v>
      </c>
      <c r="D322" t="s">
        <v>949</v>
      </c>
      <c r="E322">
        <v>9027</v>
      </c>
      <c r="F322" t="s">
        <v>1325</v>
      </c>
      <c r="G322" t="s">
        <v>2681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Row],[VEHIDCODE]],#REF!,0))</f>
        <v>0</v>
      </c>
      <c r="L322" t="b">
        <f>ISNUMBER(_xlfn.XMATCH(CONTROL[[#This Row],[VEHIDCODE]],PROPERTIES[VEHIDCODE],0))</f>
        <v>1</v>
      </c>
      <c r="M322" t="b">
        <f>ISNUMBER(_xlfn.XMATCH(CONTROL[[#This Row],[VEHIDCODE]],#REF!,0))</f>
        <v>0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s="32" t="str">
        <f>"item_"&amp;CONTROL[[#This Row],[VEHIDCODE]]</f>
        <v>item_mtro_USA_LA_A650</v>
      </c>
      <c r="Q322" s="32" t="str">
        <f>"str_"&amp;CONTROL[[#This Row],[VEHIDCODE]]</f>
        <v>str_mtro_USA_LA_A650</v>
      </c>
    </row>
    <row r="323" spans="1:17">
      <c r="A323" s="2" t="s">
        <v>348</v>
      </c>
      <c r="B323" s="32" t="str">
        <f>_xlfn.TEXTAFTER(CONTROL[[#This Row],[VEHIDCODE]],"_")</f>
        <v>Taiwan_Taipei_C301</v>
      </c>
      <c r="C323" t="s">
        <v>723</v>
      </c>
      <c r="D323" t="s">
        <v>949</v>
      </c>
      <c r="E323">
        <v>9028</v>
      </c>
      <c r="F323" t="s">
        <v>1326</v>
      </c>
      <c r="G323" t="s">
        <v>2682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Row],[VEHIDCODE]],#REF!,0))</f>
        <v>0</v>
      </c>
      <c r="L323" t="b">
        <f>ISNUMBER(_xlfn.XMATCH(CONTROL[[#This Row],[VEHIDCODE]],PROPERTIES[VEHIDCODE],0))</f>
        <v>1</v>
      </c>
      <c r="M323" t="b">
        <f>ISNUMBER(_xlfn.XMATCH(CONTROL[[#This Row],[VEHIDCODE]],#REF!,0))</f>
        <v>0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s="32" t="str">
        <f>"item_"&amp;CONTROL[[#This Row],[VEHIDCODE]]</f>
        <v>item_mtro_Taiwan_Taipei_C301</v>
      </c>
      <c r="Q323" s="32" t="str">
        <f>"str_"&amp;CONTROL[[#This Row],[VEHIDCODE]]</f>
        <v>str_mtro_Taiwan_Taipei_C301</v>
      </c>
    </row>
    <row r="324" spans="1:17">
      <c r="A324" s="2" t="s">
        <v>349</v>
      </c>
      <c r="B324" s="32" t="str">
        <f>_xlfn.TEXTAFTER(CONTROL[[#This Row],[VEHIDCODE]],"_")</f>
        <v>Netherlands_Amsterdam_CAF_90</v>
      </c>
      <c r="C324" t="s">
        <v>723</v>
      </c>
      <c r="D324" t="s">
        <v>949</v>
      </c>
      <c r="E324">
        <v>9030</v>
      </c>
      <c r="F324" t="s">
        <v>2684</v>
      </c>
      <c r="G324" t="s">
        <v>2683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Row],[VEHIDCODE]],#REF!,0))</f>
        <v>0</v>
      </c>
      <c r="L324" t="b">
        <f>ISNUMBER(_xlfn.XMATCH(CONTROL[[#This Row],[VEHIDCODE]],PROPERTIES[VEHIDCODE],0))</f>
        <v>1</v>
      </c>
      <c r="M324" t="b">
        <f>ISNUMBER(_xlfn.XMATCH(CONTROL[[#This Row],[VEHIDCODE]],#REF!,0))</f>
        <v>0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s="32" t="str">
        <f>"item_"&amp;CONTROL[[#This Row],[VEHIDCODE]]</f>
        <v>item_mtro_Netherlands_Amsterdam_CAF_90</v>
      </c>
      <c r="Q324" s="32" t="str">
        <f>"str_"&amp;CONTROL[[#This Row],[VEHIDCODE]]</f>
        <v>str_mtro_Netherlands_Amsterdam_CAF_90</v>
      </c>
    </row>
    <row r="325" spans="1:17">
      <c r="A325" s="2" t="s">
        <v>350</v>
      </c>
      <c r="B325" s="32" t="str">
        <f>_xlfn.TEXTAFTER(CONTROL[[#This Row],[VEHIDCODE]],"_")</f>
        <v>France_Paris_MP89</v>
      </c>
      <c r="C325" t="s">
        <v>723</v>
      </c>
      <c r="D325" t="s">
        <v>949</v>
      </c>
      <c r="E325">
        <v>9029</v>
      </c>
      <c r="F325" t="s">
        <v>1327</v>
      </c>
      <c r="G325" t="s">
        <v>2685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Row],[VEHIDCODE]],#REF!,0))</f>
        <v>0</v>
      </c>
      <c r="L325" t="b">
        <f>ISNUMBER(_xlfn.XMATCH(CONTROL[[#This Row],[VEHIDCODE]],PROPERTIES[VEHIDCODE],0))</f>
        <v>1</v>
      </c>
      <c r="M325" t="b">
        <f>ISNUMBER(_xlfn.XMATCH(CONTROL[[#This Row],[VEHIDCODE]],#REF!,0))</f>
        <v>0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s="32" t="str">
        <f>"item_"&amp;CONTROL[[#This Row],[VEHIDCODE]]</f>
        <v>item_mtro_France_Paris_MP89</v>
      </c>
      <c r="Q325" s="32" t="str">
        <f>"str_"&amp;CONTROL[[#This Row],[VEHIDCODE]]</f>
        <v>str_mtro_France_Paris_MP89</v>
      </c>
    </row>
    <row r="326" spans="1:17">
      <c r="A326" s="2" t="s">
        <v>351</v>
      </c>
      <c r="B326" s="32" t="str">
        <f>_xlfn.TEXTAFTER(CONTROL[[#This Row],[VEHIDCODE]],"_")</f>
        <v>Russia_Moscow_81_740</v>
      </c>
      <c r="C326" t="s">
        <v>723</v>
      </c>
      <c r="D326" t="s">
        <v>949</v>
      </c>
      <c r="E326">
        <v>9031</v>
      </c>
      <c r="F326" t="s">
        <v>1328</v>
      </c>
      <c r="G326" t="s">
        <v>2686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Row],[VEHIDCODE]],#REF!,0))</f>
        <v>0</v>
      </c>
      <c r="L326" t="b">
        <f>ISNUMBER(_xlfn.XMATCH(CONTROL[[#This Row],[VEHIDCODE]],PROPERTIES[VEHIDCODE],0))</f>
        <v>1</v>
      </c>
      <c r="M326" t="b">
        <f>ISNUMBER(_xlfn.XMATCH(CONTROL[[#This Row],[VEHIDCODE]],#REF!,0))</f>
        <v>0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s="32" t="str">
        <f>"item_"&amp;CONTROL[[#This Row],[VEHIDCODE]]</f>
        <v>item_mtro_Russia_Moscow_81_740</v>
      </c>
      <c r="Q326" s="32" t="str">
        <f>"str_"&amp;CONTROL[[#This Row],[VEHIDCODE]]</f>
        <v>str_mtro_Russia_Moscow_81_740</v>
      </c>
    </row>
    <row r="327" spans="1:17">
      <c r="A327" s="2" t="s">
        <v>352</v>
      </c>
      <c r="B327" s="32" t="str">
        <f>_xlfn.TEXTAFTER(CONTROL[[#This Row],[VEHIDCODE]],"_")</f>
        <v>Singapore_Singapore_C830_Metropolis</v>
      </c>
      <c r="C327" t="s">
        <v>723</v>
      </c>
      <c r="D327" t="s">
        <v>949</v>
      </c>
      <c r="E327">
        <v>9032</v>
      </c>
      <c r="F327" t="s">
        <v>1329</v>
      </c>
      <c r="G327" t="s">
        <v>2687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Row],[VEHIDCODE]],#REF!,0))</f>
        <v>0</v>
      </c>
      <c r="L327" t="b">
        <f>ISNUMBER(_xlfn.XMATCH(CONTROL[[#This Row],[VEHIDCODE]],PROPERTIES[VEHIDCODE],0))</f>
        <v>1</v>
      </c>
      <c r="M327" t="b">
        <f>ISNUMBER(_xlfn.XMATCH(CONTROL[[#This Row],[VEHIDCODE]],#REF!,0))</f>
        <v>0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s="32" t="str">
        <f>"item_"&amp;CONTROL[[#This Row],[VEHIDCODE]]</f>
        <v>item_mtro_Singapore_Singapore_C830_Metropolis</v>
      </c>
      <c r="Q327" s="32" t="str">
        <f>"str_"&amp;CONTROL[[#This Row],[VEHIDCODE]]</f>
        <v>str_mtro_Singapore_Singapore_C830_Metropolis</v>
      </c>
    </row>
    <row r="328" spans="1:17">
      <c r="A328" s="2" t="s">
        <v>353</v>
      </c>
      <c r="B328" s="32" t="str">
        <f>_xlfn.TEXTAFTER(CONTROL[[#This Row],[VEHIDCODE]],"_")</f>
        <v>Norway_Oslo_MX3000</v>
      </c>
      <c r="C328" t="s">
        <v>723</v>
      </c>
      <c r="D328" t="s">
        <v>949</v>
      </c>
      <c r="E328">
        <v>9033</v>
      </c>
      <c r="F328" t="s">
        <v>1330</v>
      </c>
      <c r="G328" t="s">
        <v>2688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Row],[VEHIDCODE]],#REF!,0))</f>
        <v>0</v>
      </c>
      <c r="L328" t="b">
        <f>ISNUMBER(_xlfn.XMATCH(CONTROL[[#This Row],[VEHIDCODE]],PROPERTIES[VEHIDCODE],0))</f>
        <v>1</v>
      </c>
      <c r="M328" t="b">
        <f>ISNUMBER(_xlfn.XMATCH(CONTROL[[#This Row],[VEHIDCODE]],#REF!,0))</f>
        <v>0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s="32" t="str">
        <f>"item_"&amp;CONTROL[[#This Row],[VEHIDCODE]]</f>
        <v>item_mtro_Norway_Oslo_MX3000</v>
      </c>
      <c r="Q328" s="32" t="str">
        <f>"str_"&amp;CONTROL[[#This Row],[VEHIDCODE]]</f>
        <v>str_mtro_Norway_Oslo_MX3000</v>
      </c>
    </row>
    <row r="329" spans="1:17">
      <c r="A329" s="2" t="s">
        <v>354</v>
      </c>
      <c r="B329" s="32" t="str">
        <f>_xlfn.TEXTAFTER(CONTROL[[#This Row],[VEHIDCODE]],"_")</f>
        <v>Japan_Osaka_30000</v>
      </c>
      <c r="C329" t="s">
        <v>723</v>
      </c>
      <c r="D329" t="s">
        <v>949</v>
      </c>
      <c r="E329">
        <v>9034</v>
      </c>
      <c r="F329" t="s">
        <v>1331</v>
      </c>
      <c r="G329" t="s">
        <v>2689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Row],[VEHIDCODE]],#REF!,0))</f>
        <v>0</v>
      </c>
      <c r="L329" t="b">
        <f>ISNUMBER(_xlfn.XMATCH(CONTROL[[#This Row],[VEHIDCODE]],PROPERTIES[VEHIDCODE],0))</f>
        <v>1</v>
      </c>
      <c r="M329" t="b">
        <f>ISNUMBER(_xlfn.XMATCH(CONTROL[[#This Row],[VEHIDCODE]],#REF!,0))</f>
        <v>0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s="32" t="str">
        <f>"item_"&amp;CONTROL[[#This Row],[VEHIDCODE]]</f>
        <v>item_mtro_Japan_Osaka_30000</v>
      </c>
      <c r="Q329" s="32" t="str">
        <f>"str_"&amp;CONTROL[[#This Row],[VEHIDCODE]]</f>
        <v>str_mtro_Japan_Osaka_30000</v>
      </c>
    </row>
    <row r="330" spans="1:17">
      <c r="A330" s="2" t="s">
        <v>355</v>
      </c>
      <c r="B330" s="32" t="str">
        <f>_xlfn.TEXTAFTER(CONTROL[[#This Row],[VEHIDCODE]],"_")</f>
        <v>Singapore_Singapore_C151A</v>
      </c>
      <c r="C330" t="s">
        <v>723</v>
      </c>
      <c r="D330" t="s">
        <v>949</v>
      </c>
      <c r="E330">
        <v>9035</v>
      </c>
      <c r="F330" t="s">
        <v>1332</v>
      </c>
      <c r="G330" t="s">
        <v>2690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Row],[VEHIDCODE]],#REF!,0))</f>
        <v>0</v>
      </c>
      <c r="L330" t="b">
        <f>ISNUMBER(_xlfn.XMATCH(CONTROL[[#This Row],[VEHIDCODE]],PROPERTIES[VEHIDCODE],0))</f>
        <v>1</v>
      </c>
      <c r="M330" t="b">
        <f>ISNUMBER(_xlfn.XMATCH(CONTROL[[#This Row],[VEHIDCODE]],#REF!,0))</f>
        <v>0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s="32" t="str">
        <f>"item_"&amp;CONTROL[[#This Row],[VEHIDCODE]]</f>
        <v>item_mtro_Singapore_Singapore_C151A</v>
      </c>
      <c r="Q330" s="32" t="str">
        <f>"str_"&amp;CONTROL[[#This Row],[VEHIDCODE]]</f>
        <v>str_mtro_Singapore_Singapore_C151A</v>
      </c>
    </row>
    <row r="331" spans="1:17">
      <c r="A331" s="2" t="s">
        <v>356</v>
      </c>
      <c r="B331" s="32" t="str">
        <f>_xlfn.TEXTAFTER(CONTROL[[#This Row],[VEHIDCODE]],"_")</f>
        <v>USA_Washington_7000</v>
      </c>
      <c r="C331" t="s">
        <v>723</v>
      </c>
      <c r="D331" t="s">
        <v>949</v>
      </c>
      <c r="E331">
        <v>9036</v>
      </c>
      <c r="F331" t="s">
        <v>1333</v>
      </c>
      <c r="G331" t="s">
        <v>2691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Row],[VEHIDCODE]],#REF!,0))</f>
        <v>0</v>
      </c>
      <c r="L331" t="b">
        <f>ISNUMBER(_xlfn.XMATCH(CONTROL[[#This Row],[VEHIDCODE]],PROPERTIES[VEHIDCODE],0))</f>
        <v>1</v>
      </c>
      <c r="M331" t="b">
        <f>ISNUMBER(_xlfn.XMATCH(CONTROL[[#This Row],[VEHIDCODE]],#REF!,0))</f>
        <v>0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s="32" t="str">
        <f>"item_"&amp;CONTROL[[#This Row],[VEHIDCODE]]</f>
        <v>item_mtro_USA_Washington_7000</v>
      </c>
      <c r="Q331" s="32" t="str">
        <f>"str_"&amp;CONTROL[[#This Row],[VEHIDCODE]]</f>
        <v>str_mtro_USA_Washington_7000</v>
      </c>
    </row>
    <row r="332" spans="1:17">
      <c r="A332" s="2" t="s">
        <v>357</v>
      </c>
      <c r="B332" s="32" t="str">
        <f>_xlfn.TEXTAFTER(CONTROL[[#This Row],[VEHIDCODE]],"_")</f>
        <v>Greece_Thessaloniki_2014</v>
      </c>
      <c r="C332" t="s">
        <v>723</v>
      </c>
      <c r="D332" t="s">
        <v>949</v>
      </c>
      <c r="E332">
        <v>9037</v>
      </c>
      <c r="F332" t="s">
        <v>1334</v>
      </c>
      <c r="G332" t="s">
        <v>2692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Row],[VEHIDCODE]],#REF!,0))</f>
        <v>0</v>
      </c>
      <c r="L332" t="b">
        <f>ISNUMBER(_xlfn.XMATCH(CONTROL[[#This Row],[VEHIDCODE]],PROPERTIES[VEHIDCODE],0))</f>
        <v>1</v>
      </c>
      <c r="M332" t="b">
        <f>ISNUMBER(_xlfn.XMATCH(CONTROL[[#This Row],[VEHIDCODE]],#REF!,0))</f>
        <v>0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s="32" t="str">
        <f>"item_"&amp;CONTROL[[#This Row],[VEHIDCODE]]</f>
        <v>item_mtro_Greece_Thessaloniki_2014</v>
      </c>
      <c r="Q332" s="32" t="str">
        <f>"str_"&amp;CONTROL[[#This Row],[VEHIDCODE]]</f>
        <v>str_mtro_Greece_Thessaloniki_2014</v>
      </c>
    </row>
    <row r="333" spans="1:17">
      <c r="A333" s="2" t="s">
        <v>358</v>
      </c>
      <c r="B333" s="32" t="str">
        <f>_xlfn.TEXTAFTER(CONTROL[[#This Row],[VEHIDCODE]],"_")</f>
        <v>Germany_Berlin_U_Bahn_A_I</v>
      </c>
      <c r="C333" t="s">
        <v>723</v>
      </c>
      <c r="D333" t="s">
        <v>949</v>
      </c>
      <c r="E333">
        <v>9038</v>
      </c>
      <c r="F333" t="s">
        <v>1335</v>
      </c>
      <c r="G333" t="s">
        <v>2693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Row],[VEHIDCODE]],#REF!,0))</f>
        <v>0</v>
      </c>
      <c r="L333" t="b">
        <f>ISNUMBER(_xlfn.XMATCH(CONTROL[[#This Row],[VEHIDCODE]],PROPERTIES[VEHIDCODE],0))</f>
        <v>1</v>
      </c>
      <c r="M333" t="b">
        <f>ISNUMBER(_xlfn.XMATCH(CONTROL[[#This Row],[VEHIDCODE]],#REF!,0))</f>
        <v>0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s="32" t="str">
        <f>"item_"&amp;CONTROL[[#This Row],[VEHIDCODE]]</f>
        <v>item_mtro_Germany_Berlin_U_Bahn_A_I</v>
      </c>
      <c r="Q333" s="32" t="str">
        <f>"str_"&amp;CONTROL[[#This Row],[VEHIDCODE]]</f>
        <v>str_mtro_Germany_Berlin_U_Bahn_A_I</v>
      </c>
    </row>
    <row r="334" spans="1:17">
      <c r="A334" s="2" t="s">
        <v>359</v>
      </c>
      <c r="B334" s="32" t="str">
        <f>_xlfn.TEXTAFTER(CONTROL[[#This Row],[VEHIDCODE]],"_")</f>
        <v>USA_NY_Hedley_Hi_V</v>
      </c>
      <c r="C334" t="s">
        <v>723</v>
      </c>
      <c r="D334" t="s">
        <v>949</v>
      </c>
      <c r="E334">
        <v>9039</v>
      </c>
      <c r="F334" t="s">
        <v>1336</v>
      </c>
      <c r="G334" t="s">
        <v>2694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Row],[VEHIDCODE]],#REF!,0))</f>
        <v>0</v>
      </c>
      <c r="L334" t="b">
        <f>ISNUMBER(_xlfn.XMATCH(CONTROL[[#This Row],[VEHIDCODE]],PROPERTIES[VEHIDCODE],0))</f>
        <v>1</v>
      </c>
      <c r="M334" t="b">
        <f>ISNUMBER(_xlfn.XMATCH(CONTROL[[#This Row],[VEHIDCODE]],#REF!,0))</f>
        <v>0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s="32" t="str">
        <f>"item_"&amp;CONTROL[[#This Row],[VEHIDCODE]]</f>
        <v>item_mtro_USA_NY_Hedley_Hi_V</v>
      </c>
      <c r="Q334" s="32" t="str">
        <f>"str_"&amp;CONTROL[[#This Row],[VEHIDCODE]]</f>
        <v>str_mtro_USA_NY_Hedley_Hi_V</v>
      </c>
    </row>
    <row r="335" spans="1:17">
      <c r="A335" s="2" t="s">
        <v>360</v>
      </c>
      <c r="B335" s="32" t="str">
        <f>_xlfn.TEXTAFTER(CONTROL[[#This Row],[VEHIDCODE]],"_")</f>
        <v>Japan_Osaka_1000</v>
      </c>
      <c r="C335" t="s">
        <v>723</v>
      </c>
      <c r="D335" t="s">
        <v>949</v>
      </c>
      <c r="E335">
        <v>9040</v>
      </c>
      <c r="F335" t="s">
        <v>1337</v>
      </c>
      <c r="G335" t="s">
        <v>2695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Row],[VEHIDCODE]],#REF!,0))</f>
        <v>0</v>
      </c>
      <c r="L335" t="b">
        <f>ISNUMBER(_xlfn.XMATCH(CONTROL[[#This Row],[VEHIDCODE]],PROPERTIES[VEHIDCODE],0))</f>
        <v>1</v>
      </c>
      <c r="M335" t="b">
        <f>ISNUMBER(_xlfn.XMATCH(CONTROL[[#This Row],[VEHIDCODE]],#REF!,0))</f>
        <v>0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s="32" t="str">
        <f>"item_"&amp;CONTROL[[#This Row],[VEHIDCODE]]</f>
        <v>item_mtro_Japan_Osaka_1000</v>
      </c>
      <c r="Q335" s="32" t="str">
        <f>"str_"&amp;CONTROL[[#This Row],[VEHIDCODE]]</f>
        <v>str_mtro_Japan_Osaka_1000</v>
      </c>
    </row>
    <row r="336" spans="1:17">
      <c r="A336" s="2" t="s">
        <v>361</v>
      </c>
      <c r="B336" s="32" t="str">
        <f>_xlfn.TEXTAFTER(CONTROL[[#This Row],[VEHIDCODE]],"_")</f>
        <v>Russia_Moscow_Type_A</v>
      </c>
      <c r="C336" t="s">
        <v>723</v>
      </c>
      <c r="D336" t="s">
        <v>949</v>
      </c>
      <c r="E336">
        <v>9041</v>
      </c>
      <c r="F336" t="s">
        <v>1338</v>
      </c>
      <c r="G336" t="s">
        <v>2696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Row],[VEHIDCODE]],#REF!,0))</f>
        <v>0</v>
      </c>
      <c r="L336" t="b">
        <f>ISNUMBER(_xlfn.XMATCH(CONTROL[[#This Row],[VEHIDCODE]],PROPERTIES[VEHIDCODE],0))</f>
        <v>1</v>
      </c>
      <c r="M336" t="b">
        <f>ISNUMBER(_xlfn.XMATCH(CONTROL[[#This Row],[VEHIDCODE]],#REF!,0))</f>
        <v>0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s="32" t="str">
        <f>"item_"&amp;CONTROL[[#This Row],[VEHIDCODE]]</f>
        <v>item_mtro_Russia_Moscow_Type_A</v>
      </c>
      <c r="Q336" s="32" t="str">
        <f>"str_"&amp;CONTROL[[#This Row],[VEHIDCODE]]</f>
        <v>str_mtro_Russia_Moscow_Type_A</v>
      </c>
    </row>
    <row r="337" spans="1:17">
      <c r="A337" s="2" t="s">
        <v>362</v>
      </c>
      <c r="B337" s="32" t="str">
        <f>_xlfn.TEXTAFTER(CONTROL[[#This Row],[VEHIDCODE]],"_")</f>
        <v>USA_NY_R10</v>
      </c>
      <c r="C337" t="s">
        <v>723</v>
      </c>
      <c r="D337" t="s">
        <v>949</v>
      </c>
      <c r="E337">
        <v>9042</v>
      </c>
      <c r="F337" t="s">
        <v>1339</v>
      </c>
      <c r="G337" t="s">
        <v>2697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Row],[VEHIDCODE]],#REF!,0))</f>
        <v>0</v>
      </c>
      <c r="L337" t="b">
        <f>ISNUMBER(_xlfn.XMATCH(CONTROL[[#This Row],[VEHIDCODE]],PROPERTIES[VEHIDCODE],0))</f>
        <v>1</v>
      </c>
      <c r="M337" t="b">
        <f>ISNUMBER(_xlfn.XMATCH(CONTROL[[#This Row],[VEHIDCODE]],#REF!,0))</f>
        <v>0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s="32" t="str">
        <f>"item_"&amp;CONTROL[[#This Row],[VEHIDCODE]]</f>
        <v>item_mtro_USA_NY_R10</v>
      </c>
      <c r="Q337" s="32" t="str">
        <f>"str_"&amp;CONTROL[[#This Row],[VEHIDCODE]]</f>
        <v>str_mtro_USA_NY_R10</v>
      </c>
    </row>
    <row r="338" spans="1:17">
      <c r="A338" s="2" t="s">
        <v>363</v>
      </c>
      <c r="B338" s="32" t="str">
        <f>_xlfn.TEXTAFTER(CONTROL[[#This Row],[VEHIDCODE]],"_")</f>
        <v>Italy_Rome_MR_100</v>
      </c>
      <c r="C338" t="s">
        <v>723</v>
      </c>
      <c r="D338" t="s">
        <v>949</v>
      </c>
      <c r="E338">
        <v>9043</v>
      </c>
      <c r="F338" t="s">
        <v>1340</v>
      </c>
      <c r="G338" t="s">
        <v>2698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Row],[VEHIDCODE]],#REF!,0))</f>
        <v>0</v>
      </c>
      <c r="L338" t="b">
        <f>ISNUMBER(_xlfn.XMATCH(CONTROL[[#This Row],[VEHIDCODE]],PROPERTIES[VEHIDCODE],0))</f>
        <v>1</v>
      </c>
      <c r="M338" t="b">
        <f>ISNUMBER(_xlfn.XMATCH(CONTROL[[#This Row],[VEHIDCODE]],#REF!,0))</f>
        <v>0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s="32" t="str">
        <f>"item_"&amp;CONTROL[[#This Row],[VEHIDCODE]]</f>
        <v>item_mtro_Italy_Rome_MR_100</v>
      </c>
      <c r="Q338" s="32" t="str">
        <f>"str_"&amp;CONTROL[[#This Row],[VEHIDCODE]]</f>
        <v>str_mtro_Italy_Rome_MR_100</v>
      </c>
    </row>
    <row r="339" spans="1:17">
      <c r="A339" s="2" t="s">
        <v>364</v>
      </c>
      <c r="B339" s="32" t="str">
        <f>_xlfn.TEXTAFTER(CONTROL[[#This Row],[VEHIDCODE]],"_")</f>
        <v>Russia_Moscow_Type_D</v>
      </c>
      <c r="C339" t="s">
        <v>723</v>
      </c>
      <c r="D339" t="s">
        <v>949</v>
      </c>
      <c r="E339">
        <v>9044</v>
      </c>
      <c r="F339" t="s">
        <v>1341</v>
      </c>
      <c r="G339" t="s">
        <v>2699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Row],[VEHIDCODE]],#REF!,0))</f>
        <v>0</v>
      </c>
      <c r="L339" t="b">
        <f>ISNUMBER(_xlfn.XMATCH(CONTROL[[#This Row],[VEHIDCODE]],PROPERTIES[VEHIDCODE],0))</f>
        <v>1</v>
      </c>
      <c r="M339" t="b">
        <f>ISNUMBER(_xlfn.XMATCH(CONTROL[[#This Row],[VEHIDCODE]],#REF!,0))</f>
        <v>0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s="32" t="str">
        <f>"item_"&amp;CONTROL[[#This Row],[VEHIDCODE]]</f>
        <v>item_mtro_Russia_Moscow_Type_D</v>
      </c>
      <c r="Q339" s="32" t="str">
        <f>"str_"&amp;CONTROL[[#This Row],[VEHIDCODE]]</f>
        <v>str_mtro_Russia_Moscow_Type_D</v>
      </c>
    </row>
    <row r="340" spans="1:17">
      <c r="A340" s="2" t="s">
        <v>365</v>
      </c>
      <c r="B340" s="32" t="str">
        <f>_xlfn.TEXTAFTER(CONTROL[[#This Row],[VEHIDCODE]],"_")</f>
        <v>Netherlands_Rotterdam_MG2_Type_M</v>
      </c>
      <c r="C340" t="s">
        <v>723</v>
      </c>
      <c r="D340" t="s">
        <v>949</v>
      </c>
      <c r="E340">
        <v>9045</v>
      </c>
      <c r="F340" t="s">
        <v>1342</v>
      </c>
      <c r="G340" t="s">
        <v>2700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Row],[VEHIDCODE]],#REF!,0))</f>
        <v>0</v>
      </c>
      <c r="L340" t="b">
        <f>ISNUMBER(_xlfn.XMATCH(CONTROL[[#This Row],[VEHIDCODE]],PROPERTIES[VEHIDCODE],0))</f>
        <v>1</v>
      </c>
      <c r="M340" t="b">
        <f>ISNUMBER(_xlfn.XMATCH(CONTROL[[#This Row],[VEHIDCODE]],#REF!,0))</f>
        <v>0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s="32" t="str">
        <f>"item_"&amp;CONTROL[[#This Row],[VEHIDCODE]]</f>
        <v>item_mtro_Netherlands_Rotterdam_MG2_Type_M</v>
      </c>
      <c r="Q340" s="32" t="str">
        <f>"str_"&amp;CONTROL[[#This Row],[VEHIDCODE]]</f>
        <v>str_mtro_Netherlands_Rotterdam_MG2_Type_M</v>
      </c>
    </row>
    <row r="341" spans="1:17">
      <c r="A341" s="2" t="s">
        <v>366</v>
      </c>
      <c r="B341" s="32" t="str">
        <f>_xlfn.TEXTAFTER(CONTROL[[#This Row],[VEHIDCODE]],"_")</f>
        <v>Czech_Republic_Prague_ECS_Set</v>
      </c>
      <c r="C341" t="s">
        <v>723</v>
      </c>
      <c r="D341" t="s">
        <v>949</v>
      </c>
      <c r="E341">
        <v>9046</v>
      </c>
      <c r="F341" t="s">
        <v>1343</v>
      </c>
      <c r="G341" t="s">
        <v>2701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Row],[VEHIDCODE]],#REF!,0))</f>
        <v>0</v>
      </c>
      <c r="L341" t="b">
        <f>ISNUMBER(_xlfn.XMATCH(CONTROL[[#This Row],[VEHIDCODE]],PROPERTIES[VEHIDCODE],0))</f>
        <v>1</v>
      </c>
      <c r="M341" t="b">
        <f>ISNUMBER(_xlfn.XMATCH(CONTROL[[#This Row],[VEHIDCODE]],#REF!,0))</f>
        <v>0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s="32" t="str">
        <f>"item_"&amp;CONTROL[[#This Row],[VEHIDCODE]]</f>
        <v>item_mtro_Czech_Republic_Prague_ECS_Set</v>
      </c>
      <c r="Q341" s="32" t="str">
        <f>"str_"&amp;CONTROL[[#This Row],[VEHIDCODE]]</f>
        <v>str_mtro_Czech_Republic_Prague_ECS_Set</v>
      </c>
    </row>
    <row r="342" spans="1:17">
      <c r="A342" s="2" t="s">
        <v>367</v>
      </c>
      <c r="B342" s="32" t="str">
        <f>_xlfn.TEXTAFTER(CONTROL[[#This Row],[VEHIDCODE]],"_")</f>
        <v>Argentina_Buenos_Aires_Serie_1200</v>
      </c>
      <c r="C342" t="s">
        <v>723</v>
      </c>
      <c r="D342" t="s">
        <v>949</v>
      </c>
      <c r="E342">
        <v>9047</v>
      </c>
      <c r="F342" t="s">
        <v>1344</v>
      </c>
      <c r="G342" t="s">
        <v>2702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Row],[VEHIDCODE]],#REF!,0))</f>
        <v>0</v>
      </c>
      <c r="L342" t="b">
        <f>ISNUMBER(_xlfn.XMATCH(CONTROL[[#This Row],[VEHIDCODE]],PROPERTIES[VEHIDCODE],0))</f>
        <v>1</v>
      </c>
      <c r="M342" t="b">
        <f>ISNUMBER(_xlfn.XMATCH(CONTROL[[#This Row],[VEHIDCODE]],#REF!,0))</f>
        <v>0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s="32" t="str">
        <f>"item_"&amp;CONTROL[[#This Row],[VEHIDCODE]]</f>
        <v>item_mtro_Argentina_Buenos_Aires_Serie_1200</v>
      </c>
      <c r="Q342" s="32" t="str">
        <f>"str_"&amp;CONTROL[[#This Row],[VEHIDCODE]]</f>
        <v>str_mtro_Argentina_Buenos_Aires_Serie_1200</v>
      </c>
    </row>
    <row r="343" spans="1:17">
      <c r="A343" s="2" t="s">
        <v>368</v>
      </c>
      <c r="B343" s="32" t="str">
        <f>_xlfn.TEXTAFTER(CONTROL[[#This Row],[VEHIDCODE]],"_")</f>
        <v>Chile_Santiago_NS_93</v>
      </c>
      <c r="C343" t="s">
        <v>723</v>
      </c>
      <c r="D343" t="s">
        <v>949</v>
      </c>
      <c r="E343">
        <v>9048</v>
      </c>
      <c r="F343" t="s">
        <v>1345</v>
      </c>
      <c r="G343" t="s">
        <v>2703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Row],[VEHIDCODE]],#REF!,0))</f>
        <v>0</v>
      </c>
      <c r="L343" t="b">
        <f>ISNUMBER(_xlfn.XMATCH(CONTROL[[#This Row],[VEHIDCODE]],PROPERTIES[VEHIDCODE],0))</f>
        <v>1</v>
      </c>
      <c r="M343" t="b">
        <f>ISNUMBER(_xlfn.XMATCH(CONTROL[[#This Row],[VEHIDCODE]],#REF!,0))</f>
        <v>0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s="32" t="str">
        <f>"item_"&amp;CONTROL[[#This Row],[VEHIDCODE]]</f>
        <v>item_mtro_Chile_Santiago_NS_93</v>
      </c>
      <c r="Q343" s="32" t="str">
        <f>"str_"&amp;CONTROL[[#This Row],[VEHIDCODE]]</f>
        <v>str_mtro_Chile_Santiago_NS_93</v>
      </c>
    </row>
    <row r="344" spans="1:17">
      <c r="A344" s="2" t="s">
        <v>369</v>
      </c>
      <c r="B344" s="32" t="str">
        <f>_xlfn.TEXTAFTER(CONTROL[[#This Row],[VEHIDCODE]],"_")</f>
        <v>Chile_Santiago_AS_2002</v>
      </c>
      <c r="C344" t="s">
        <v>723</v>
      </c>
      <c r="D344" t="s">
        <v>949</v>
      </c>
      <c r="E344">
        <v>9049</v>
      </c>
      <c r="F344" t="s">
        <v>1346</v>
      </c>
      <c r="G344" t="s">
        <v>2704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Row],[VEHIDCODE]],#REF!,0))</f>
        <v>0</v>
      </c>
      <c r="L344" t="b">
        <f>ISNUMBER(_xlfn.XMATCH(CONTROL[[#This Row],[VEHIDCODE]],PROPERTIES[VEHIDCODE],0))</f>
        <v>1</v>
      </c>
      <c r="M344" t="b">
        <f>ISNUMBER(_xlfn.XMATCH(CONTROL[[#This Row],[VEHIDCODE]],#REF!,0))</f>
        <v>0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s="32" t="str">
        <f>"item_"&amp;CONTROL[[#This Row],[VEHIDCODE]]</f>
        <v>item_mtro_Chile_Santiago_AS_2002</v>
      </c>
      <c r="Q344" s="32" t="str">
        <f>"str_"&amp;CONTROL[[#This Row],[VEHIDCODE]]</f>
        <v>str_mtro_Chile_Santiago_AS_2002</v>
      </c>
    </row>
    <row r="345" spans="1:17">
      <c r="A345" s="2" t="s">
        <v>370</v>
      </c>
      <c r="B345" s="32" t="str">
        <f>_xlfn.TEXTAFTER(CONTROL[[#This Row],[VEHIDCODE]],"_")</f>
        <v>Brazil_Recife_VLT_Mobile_3</v>
      </c>
      <c r="C345" t="s">
        <v>723</v>
      </c>
      <c r="D345" t="s">
        <v>949</v>
      </c>
      <c r="E345">
        <v>9050</v>
      </c>
      <c r="F345" t="s">
        <v>1347</v>
      </c>
      <c r="G345" t="s">
        <v>2705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Row],[VEHIDCODE]],#REF!,0))</f>
        <v>0</v>
      </c>
      <c r="L345" t="b">
        <f>ISNUMBER(_xlfn.XMATCH(CONTROL[[#This Row],[VEHIDCODE]],PROPERTIES[VEHIDCODE],0))</f>
        <v>1</v>
      </c>
      <c r="M345" t="b">
        <f>ISNUMBER(_xlfn.XMATCH(CONTROL[[#This Row],[VEHIDCODE]],#REF!,0))</f>
        <v>0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s="32" t="str">
        <f>"item_"&amp;CONTROL[[#This Row],[VEHIDCODE]]</f>
        <v>item_mtro_Brazil_Recife_VLT_Mobile_3</v>
      </c>
      <c r="Q345" s="32" t="str">
        <f>"str_"&amp;CONTROL[[#This Row],[VEHIDCODE]]</f>
        <v>str_mtro_Brazil_Recife_VLT_Mobile_3</v>
      </c>
    </row>
    <row r="346" spans="1:17">
      <c r="A346" s="2" t="s">
        <v>371</v>
      </c>
      <c r="B346" s="32" t="str">
        <f>_xlfn.TEXTAFTER(CONTROL[[#This Row],[VEHIDCODE]],"_")</f>
        <v>Spain_Madrid_Series_5000</v>
      </c>
      <c r="C346" t="s">
        <v>723</v>
      </c>
      <c r="D346" t="s">
        <v>949</v>
      </c>
      <c r="E346">
        <v>9051</v>
      </c>
      <c r="F346" t="s">
        <v>1348</v>
      </c>
      <c r="G346" t="s">
        <v>2706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Row],[VEHIDCODE]],#REF!,0))</f>
        <v>0</v>
      </c>
      <c r="L346" t="b">
        <f>ISNUMBER(_xlfn.XMATCH(CONTROL[[#This Row],[VEHIDCODE]],PROPERTIES[VEHIDCODE],0))</f>
        <v>1</v>
      </c>
      <c r="M346" t="b">
        <f>ISNUMBER(_xlfn.XMATCH(CONTROL[[#This Row],[VEHIDCODE]],#REF!,0))</f>
        <v>0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s="32" t="str">
        <f>"item_"&amp;CONTROL[[#This Row],[VEHIDCODE]]</f>
        <v>item_mtro_Spain_Madrid_Series_5000</v>
      </c>
      <c r="Q346" s="32" t="str">
        <f>"str_"&amp;CONTROL[[#This Row],[VEHIDCODE]]</f>
        <v>str_mtro_Spain_Madrid_Series_5000</v>
      </c>
    </row>
    <row r="347" spans="1:17">
      <c r="A347" s="2" t="s">
        <v>372</v>
      </c>
      <c r="B347" s="32" t="str">
        <f>_xlfn.TEXTAFTER(CONTROL[[#This Row],[VEHIDCODE]],"_")</f>
        <v>Italy_Rome_S_300</v>
      </c>
      <c r="C347" t="s">
        <v>723</v>
      </c>
      <c r="D347" t="s">
        <v>949</v>
      </c>
      <c r="E347">
        <v>9052</v>
      </c>
      <c r="F347" t="s">
        <v>1349</v>
      </c>
      <c r="G347" t="s">
        <v>2707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Row],[VEHIDCODE]],#REF!,0))</f>
        <v>0</v>
      </c>
      <c r="L347" t="b">
        <f>ISNUMBER(_xlfn.XMATCH(CONTROL[[#This Row],[VEHIDCODE]],PROPERTIES[VEHIDCODE],0))</f>
        <v>1</v>
      </c>
      <c r="M347" t="b">
        <f>ISNUMBER(_xlfn.XMATCH(CONTROL[[#This Row],[VEHIDCODE]],#REF!,0))</f>
        <v>0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s="32" t="str">
        <f>"item_"&amp;CONTROL[[#This Row],[VEHIDCODE]]</f>
        <v>item_mtro_Italy_Rome_S_300</v>
      </c>
      <c r="Q347" s="32" t="str">
        <f>"str_"&amp;CONTROL[[#This Row],[VEHIDCODE]]</f>
        <v>str_mtro_Italy_Rome_S_300</v>
      </c>
    </row>
    <row r="348" spans="1:17">
      <c r="A348" s="2" t="s">
        <v>373</v>
      </c>
      <c r="B348" s="32" t="str">
        <f>_xlfn.TEXTAFTER(CONTROL[[#This Row],[VEHIDCODE]],"_")</f>
        <v>Algeria_Algiers_CAF_2011_Stock</v>
      </c>
      <c r="C348" t="s">
        <v>723</v>
      </c>
      <c r="D348" t="s">
        <v>949</v>
      </c>
      <c r="E348">
        <v>9053</v>
      </c>
      <c r="F348" t="s">
        <v>1350</v>
      </c>
      <c r="G348" t="s">
        <v>2708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Row],[VEHIDCODE]],#REF!,0))</f>
        <v>0</v>
      </c>
      <c r="L348" t="b">
        <f>ISNUMBER(_xlfn.XMATCH(CONTROL[[#This Row],[VEHIDCODE]],PROPERTIES[VEHIDCODE],0))</f>
        <v>1</v>
      </c>
      <c r="M348" t="b">
        <f>ISNUMBER(_xlfn.XMATCH(CONTROL[[#This Row],[VEHIDCODE]],#REF!,0))</f>
        <v>0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s="32" t="str">
        <f>"item_"&amp;CONTROL[[#This Row],[VEHIDCODE]]</f>
        <v>item_mtro_Algeria_Algiers_CAF_2011_Stock</v>
      </c>
      <c r="Q348" s="32" t="str">
        <f>"str_"&amp;CONTROL[[#This Row],[VEHIDCODE]]</f>
        <v>str_mtro_Algeria_Algiers_CAF_2011_Stock</v>
      </c>
    </row>
    <row r="349" spans="1:17">
      <c r="A349" s="2" t="s">
        <v>374</v>
      </c>
      <c r="B349" s="32" t="str">
        <f>_xlfn.TEXTAFTER(CONTROL[[#This Row],[VEHIDCODE]],"_")</f>
        <v>Germany_Berlin_U_Bahn_IK</v>
      </c>
      <c r="C349" t="s">
        <v>723</v>
      </c>
      <c r="D349" t="s">
        <v>949</v>
      </c>
      <c r="E349">
        <v>9054</v>
      </c>
      <c r="F349" t="s">
        <v>1351</v>
      </c>
      <c r="G349" t="s">
        <v>2709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Row],[VEHIDCODE]],#REF!,0))</f>
        <v>0</v>
      </c>
      <c r="L349" t="b">
        <f>ISNUMBER(_xlfn.XMATCH(CONTROL[[#This Row],[VEHIDCODE]],PROPERTIES[VEHIDCODE],0))</f>
        <v>1</v>
      </c>
      <c r="M349" t="b">
        <f>ISNUMBER(_xlfn.XMATCH(CONTROL[[#This Row],[VEHIDCODE]],#REF!,0))</f>
        <v>0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s="32" t="str">
        <f>"item_"&amp;CONTROL[[#This Row],[VEHIDCODE]]</f>
        <v>item_mtro_Germany_Berlin_U_Bahn_IK</v>
      </c>
      <c r="Q349" s="32" t="str">
        <f>"str_"&amp;CONTROL[[#This Row],[VEHIDCODE]]</f>
        <v>str_mtro_Germany_Berlin_U_Bahn_IK</v>
      </c>
    </row>
    <row r="350" spans="1:17">
      <c r="A350" s="2" t="s">
        <v>375</v>
      </c>
      <c r="B350" s="32" t="str">
        <f>_xlfn.TEXTAFTER(CONTROL[[#This Row],[VEHIDCODE]],"_")</f>
        <v>USA_Chicago_L_6000</v>
      </c>
      <c r="C350" t="s">
        <v>723</v>
      </c>
      <c r="D350" t="s">
        <v>949</v>
      </c>
      <c r="E350">
        <v>9055</v>
      </c>
      <c r="F350" t="s">
        <v>1352</v>
      </c>
      <c r="G350" t="s">
        <v>2710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Row],[VEHIDCODE]],#REF!,0))</f>
        <v>0</v>
      </c>
      <c r="L350" t="b">
        <f>ISNUMBER(_xlfn.XMATCH(CONTROL[[#This Row],[VEHIDCODE]],PROPERTIES[VEHIDCODE],0))</f>
        <v>1</v>
      </c>
      <c r="M350" t="b">
        <f>ISNUMBER(_xlfn.XMATCH(CONTROL[[#This Row],[VEHIDCODE]],#REF!,0))</f>
        <v>0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s="32" t="str">
        <f>"item_"&amp;CONTROL[[#This Row],[VEHIDCODE]]</f>
        <v>item_mtro_USA_Chicago_L_6000</v>
      </c>
      <c r="Q350" s="32" t="str">
        <f>"str_"&amp;CONTROL[[#This Row],[VEHIDCODE]]</f>
        <v>str_mtro_USA_Chicago_L_6000</v>
      </c>
    </row>
    <row r="351" spans="1:17">
      <c r="A351" s="2" t="s">
        <v>376</v>
      </c>
      <c r="B351" s="32" t="str">
        <f>_xlfn.TEXTAFTER(CONTROL[[#This Row],[VEHIDCODE]],"_")</f>
        <v>UK_London_1903_Stock</v>
      </c>
      <c r="C351" t="s">
        <v>723</v>
      </c>
      <c r="D351" t="s">
        <v>949</v>
      </c>
      <c r="E351">
        <v>9002</v>
      </c>
      <c r="F351" t="s">
        <v>1353</v>
      </c>
      <c r="G351" t="s">
        <v>2711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Row],[VEHIDCODE]],#REF!,0))</f>
        <v>0</v>
      </c>
      <c r="L351" t="b">
        <f>ISNUMBER(_xlfn.XMATCH(CONTROL[[#This Row],[VEHIDCODE]],PROPERTIES[VEHIDCODE],0))</f>
        <v>1</v>
      </c>
      <c r="M351" t="b">
        <f>ISNUMBER(_xlfn.XMATCH(CONTROL[[#This Row],[VEHIDCODE]],#REF!,0))</f>
        <v>0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s="32" t="str">
        <f>"item_"&amp;CONTROL[[#This Row],[VEHIDCODE]]</f>
        <v>item_mtro_UK_London_1903_Stock</v>
      </c>
      <c r="Q351" s="32" t="str">
        <f>"str_"&amp;CONTROL[[#This Row],[VEHIDCODE]]</f>
        <v>str_mtro_UK_London_1903_Stock</v>
      </c>
    </row>
    <row r="352" spans="1:17">
      <c r="A352" s="2" t="s">
        <v>377</v>
      </c>
      <c r="B352" s="32" t="str">
        <f>_xlfn.TEXTAFTER(CONTROL[[#This Row],[VEHIDCODE]],"_")</f>
        <v>UK_London_1938_Stock</v>
      </c>
      <c r="C352" t="s">
        <v>723</v>
      </c>
      <c r="D352" t="s">
        <v>949</v>
      </c>
      <c r="E352">
        <v>9007</v>
      </c>
      <c r="F352" t="s">
        <v>1354</v>
      </c>
      <c r="G352" t="s">
        <v>2712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Row],[VEHIDCODE]],#REF!,0))</f>
        <v>0</v>
      </c>
      <c r="L352" t="b">
        <f>ISNUMBER(_xlfn.XMATCH(CONTROL[[#This Row],[VEHIDCODE]],PROPERTIES[VEHIDCODE],0))</f>
        <v>1</v>
      </c>
      <c r="M352" t="b">
        <f>ISNUMBER(_xlfn.XMATCH(CONTROL[[#This Row],[VEHIDCODE]],#REF!,0))</f>
        <v>0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s="32" t="str">
        <f>"item_"&amp;CONTROL[[#This Row],[VEHIDCODE]]</f>
        <v>item_mtro_UK_London_1938_Stock</v>
      </c>
      <c r="Q352" s="32" t="str">
        <f>"str_"&amp;CONTROL[[#This Row],[VEHIDCODE]]</f>
        <v>str_mtro_UK_London_1938_Stock</v>
      </c>
    </row>
    <row r="353" spans="1:17">
      <c r="A353" s="2" t="s">
        <v>378</v>
      </c>
      <c r="B353" s="32" t="str">
        <f>_xlfn.TEXTAFTER(CONTROL[[#This Row],[VEHIDCODE]],"_")</f>
        <v>UK_NER_EF1</v>
      </c>
      <c r="C353" t="s">
        <v>723</v>
      </c>
      <c r="D353" t="s">
        <v>943</v>
      </c>
      <c r="E353">
        <v>6002</v>
      </c>
      <c r="F353" t="s">
        <v>1355</v>
      </c>
      <c r="G353" t="s">
        <v>2713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Row],[VEHIDCODE]],#REF!,0))</f>
        <v>0</v>
      </c>
      <c r="L353" t="b">
        <f>ISNUMBER(_xlfn.XMATCH(CONTROL[[#This Row],[VEHIDCODE]],PROPERTIES[VEHIDCODE],0))</f>
        <v>1</v>
      </c>
      <c r="M353" t="b">
        <f>ISNUMBER(_xlfn.XMATCH(CONTROL[[#This Row],[VEHIDCODE]],#REF!,0))</f>
        <v>0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s="32" t="str">
        <f>"item_"&amp;CONTROL[[#This Row],[VEHIDCODE]]</f>
        <v>item_electric_UK_NER_EF1</v>
      </c>
      <c r="Q353" s="32" t="str">
        <f>"str_"&amp;CONTROL[[#This Row],[VEHIDCODE]]</f>
        <v>str_electric_UK_NER_EF1</v>
      </c>
    </row>
    <row r="354" spans="1:17">
      <c r="A354" s="2" t="s">
        <v>379</v>
      </c>
      <c r="B354" s="32" t="str">
        <f>_xlfn.TEXTAFTER(CONTROL[[#This Row],[VEHIDCODE]],"_")</f>
        <v>Japan_JNR_EB10</v>
      </c>
      <c r="C354" t="s">
        <v>723</v>
      </c>
      <c r="D354" t="s">
        <v>943</v>
      </c>
      <c r="E354">
        <v>6010</v>
      </c>
      <c r="F354" t="s">
        <v>1356</v>
      </c>
      <c r="G354" t="s">
        <v>2714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Row],[VEHIDCODE]],#REF!,0))</f>
        <v>0</v>
      </c>
      <c r="L354" t="b">
        <f>ISNUMBER(_xlfn.XMATCH(CONTROL[[#This Row],[VEHIDCODE]],PROPERTIES[VEHIDCODE],0))</f>
        <v>1</v>
      </c>
      <c r="M354" t="b">
        <f>ISNUMBER(_xlfn.XMATCH(CONTROL[[#This Row],[VEHIDCODE]],#REF!,0))</f>
        <v>0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s="32" t="str">
        <f>"item_"&amp;CONTROL[[#This Row],[VEHIDCODE]]</f>
        <v>item_electric_Japan_JNR_EB10</v>
      </c>
      <c r="Q354" s="32" t="str">
        <f>"str_"&amp;CONTROL[[#This Row],[VEHIDCODE]]</f>
        <v>str_electric_Japan_JNR_EB10</v>
      </c>
    </row>
    <row r="355" spans="1:17">
      <c r="A355" s="2" t="s">
        <v>380</v>
      </c>
      <c r="B355" s="32" t="str">
        <f>_xlfn.TEXTAFTER(CONTROL[[#This Row],[VEHIDCODE]],"_")</f>
        <v>Japan_JNR_EF55</v>
      </c>
      <c r="C355" t="s">
        <v>723</v>
      </c>
      <c r="D355" t="s">
        <v>943</v>
      </c>
      <c r="E355">
        <v>6015</v>
      </c>
      <c r="F355" t="s">
        <v>1357</v>
      </c>
      <c r="G355" t="s">
        <v>2715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Row],[VEHIDCODE]],#REF!,0))</f>
        <v>0</v>
      </c>
      <c r="L355" t="b">
        <f>ISNUMBER(_xlfn.XMATCH(CONTROL[[#This Row],[VEHIDCODE]],PROPERTIES[VEHIDCODE],0))</f>
        <v>1</v>
      </c>
      <c r="M355" t="b">
        <f>ISNUMBER(_xlfn.XMATCH(CONTROL[[#This Row],[VEHIDCODE]],#REF!,0))</f>
        <v>0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s="32" t="str">
        <f>"item_"&amp;CONTROL[[#This Row],[VEHIDCODE]]</f>
        <v>item_electric_Japan_JNR_EF55</v>
      </c>
      <c r="Q355" s="32" t="str">
        <f>"str_"&amp;CONTROL[[#This Row],[VEHIDCODE]]</f>
        <v>str_electric_Japan_JNR_EF55</v>
      </c>
    </row>
    <row r="356" spans="1:17">
      <c r="A356" s="2" t="s">
        <v>381</v>
      </c>
      <c r="B356" s="32" t="str">
        <f>_xlfn.TEXTAFTER(CONTROL[[#This Row],[VEHIDCODE]],"_")</f>
        <v>Netherlands_NS_1000</v>
      </c>
      <c r="C356" t="s">
        <v>723</v>
      </c>
      <c r="D356" t="s">
        <v>943</v>
      </c>
      <c r="E356">
        <v>6019</v>
      </c>
      <c r="F356" t="s">
        <v>1358</v>
      </c>
      <c r="G356" t="s">
        <v>2716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Row],[VEHIDCODE]],#REF!,0))</f>
        <v>0</v>
      </c>
      <c r="L356" t="b">
        <f>ISNUMBER(_xlfn.XMATCH(CONTROL[[#This Row],[VEHIDCODE]],PROPERTIES[VEHIDCODE],0))</f>
        <v>1</v>
      </c>
      <c r="M356" t="b">
        <f>ISNUMBER(_xlfn.XMATCH(CONTROL[[#This Row],[VEHIDCODE]],#REF!,0))</f>
        <v>0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s="32" t="str">
        <f>"item_"&amp;CONTROL[[#This Row],[VEHIDCODE]]</f>
        <v>item_electric_Netherlands_NS_1000</v>
      </c>
      <c r="Q356" s="32" t="str">
        <f>"str_"&amp;CONTROL[[#This Row],[VEHIDCODE]]</f>
        <v>str_electric_Netherlands_NS_1000</v>
      </c>
    </row>
    <row r="357" spans="1:17">
      <c r="A357" s="2" t="s">
        <v>382</v>
      </c>
      <c r="B357" s="32" t="str">
        <f>_xlfn.TEXTAFTER(CONTROL[[#This Row],[VEHIDCODE]],"_")</f>
        <v>Netherlands_NS_1600</v>
      </c>
      <c r="C357" t="s">
        <v>723</v>
      </c>
      <c r="D357" t="s">
        <v>943</v>
      </c>
      <c r="E357">
        <v>6038</v>
      </c>
      <c r="F357" t="s">
        <v>1359</v>
      </c>
      <c r="G357" t="s">
        <v>2717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Row],[VEHIDCODE]],#REF!,0))</f>
        <v>0</v>
      </c>
      <c r="L357" t="b">
        <f>ISNUMBER(_xlfn.XMATCH(CONTROL[[#This Row],[VEHIDCODE]],PROPERTIES[VEHIDCODE],0))</f>
        <v>1</v>
      </c>
      <c r="M357" t="b">
        <f>ISNUMBER(_xlfn.XMATCH(CONTROL[[#This Row],[VEHIDCODE]],#REF!,0))</f>
        <v>0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s="32" t="str">
        <f>"item_"&amp;CONTROL[[#This Row],[VEHIDCODE]]</f>
        <v>item_electric_Netherlands_NS_1600</v>
      </c>
      <c r="Q357" s="32" t="str">
        <f>"str_"&amp;CONTROL[[#This Row],[VEHIDCODE]]</f>
        <v>str_electric_Netherlands_NS_1600</v>
      </c>
    </row>
    <row r="358" spans="1:17">
      <c r="A358" s="2" t="s">
        <v>383</v>
      </c>
      <c r="B358" s="32" t="str">
        <f>_xlfn.TEXTAFTER(CONTROL[[#This Row],[VEHIDCODE]],"_")</f>
        <v>Australia_Victorian_Railways_E_Class</v>
      </c>
      <c r="C358" t="s">
        <v>723</v>
      </c>
      <c r="D358" t="s">
        <v>943</v>
      </c>
      <c r="E358">
        <v>6072</v>
      </c>
      <c r="F358" t="s">
        <v>1360</v>
      </c>
      <c r="G358" t="s">
        <v>2718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Row],[VEHIDCODE]],#REF!,0))</f>
        <v>0</v>
      </c>
      <c r="L358" t="b">
        <f>ISNUMBER(_xlfn.XMATCH(CONTROL[[#This Row],[VEHIDCODE]],PROPERTIES[VEHIDCODE],0))</f>
        <v>1</v>
      </c>
      <c r="M358" t="b">
        <f>ISNUMBER(_xlfn.XMATCH(CONTROL[[#This Row],[VEHIDCODE]],#REF!,0))</f>
        <v>0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s="32" t="str">
        <f>"item_"&amp;CONTROL[[#This Row],[VEHIDCODE]]</f>
        <v>item_electric_Australia_Victorian_Railways_E_Class</v>
      </c>
      <c r="Q358" s="32" t="str">
        <f>"str_"&amp;CONTROL[[#This Row],[VEHIDCODE]]</f>
        <v>str_electric_Australia_Victorian_Railways_E_Class</v>
      </c>
    </row>
    <row r="359" spans="1:17">
      <c r="A359" s="2" t="s">
        <v>384</v>
      </c>
      <c r="B359" s="32" t="str">
        <f>_xlfn.TEXTAFTER(CONTROL[[#This Row],[VEHIDCODE]],"_")</f>
        <v>UK_NER_ES1</v>
      </c>
      <c r="C359" t="s">
        <v>723</v>
      </c>
      <c r="D359" t="s">
        <v>943</v>
      </c>
      <c r="E359">
        <v>6067</v>
      </c>
      <c r="F359" t="s">
        <v>1361</v>
      </c>
      <c r="G359" t="s">
        <v>2719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Row],[VEHIDCODE]],#REF!,0))</f>
        <v>0</v>
      </c>
      <c r="L359" t="b">
        <f>ISNUMBER(_xlfn.XMATCH(CONTROL[[#This Row],[VEHIDCODE]],PROPERTIES[VEHIDCODE],0))</f>
        <v>1</v>
      </c>
      <c r="M359" t="b">
        <f>ISNUMBER(_xlfn.XMATCH(CONTROL[[#This Row],[VEHIDCODE]],#REF!,0))</f>
        <v>0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s="32" t="str">
        <f>"item_"&amp;CONTROL[[#This Row],[VEHIDCODE]]</f>
        <v>item_electric_UK_NER_ES1</v>
      </c>
      <c r="Q359" s="32" t="str">
        <f>"str_"&amp;CONTROL[[#This Row],[VEHIDCODE]]</f>
        <v>str_electric_UK_NER_ES1</v>
      </c>
    </row>
    <row r="360" spans="1:17">
      <c r="A360" s="2" t="s">
        <v>385</v>
      </c>
      <c r="B360" s="32" t="str">
        <f>_xlfn.TEXTAFTER(CONTROL[[#This Row],[VEHIDCODE]],"_")</f>
        <v>USA_NYC_S_motor</v>
      </c>
      <c r="C360" t="s">
        <v>723</v>
      </c>
      <c r="D360" t="s">
        <v>943</v>
      </c>
      <c r="E360">
        <v>6066</v>
      </c>
      <c r="F360" t="s">
        <v>2721</v>
      </c>
      <c r="G360" t="s">
        <v>2720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Row],[VEHIDCODE]],#REF!,0))</f>
        <v>0</v>
      </c>
      <c r="L360" t="b">
        <f>ISNUMBER(_xlfn.XMATCH(CONTROL[[#This Row],[VEHIDCODE]],PROPERTIES[VEHIDCODE],0))</f>
        <v>1</v>
      </c>
      <c r="M360" t="b">
        <f>ISNUMBER(_xlfn.XMATCH(CONTROL[[#This Row],[VEHIDCODE]],#REF!,0))</f>
        <v>0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s="32" t="str">
        <f>"item_"&amp;CONTROL[[#This Row],[VEHIDCODE]]</f>
        <v>item_electric_USA_NYC_S_motor</v>
      </c>
      <c r="Q360" s="32" t="str">
        <f>"str_"&amp;CONTROL[[#This Row],[VEHIDCODE]]</f>
        <v>str_electric_USA_NYC_S_motor</v>
      </c>
    </row>
    <row r="361" spans="1:17">
      <c r="A361" s="2" t="s">
        <v>386</v>
      </c>
      <c r="B361" s="32" t="str">
        <f>_xlfn.TEXTAFTER(CONTROL[[#This Row],[VEHIDCODE]],"_")</f>
        <v>Japan_Aichi_Railroad_DeKi_400</v>
      </c>
      <c r="C361" t="s">
        <v>723</v>
      </c>
      <c r="D361" t="s">
        <v>943</v>
      </c>
      <c r="E361">
        <v>6075</v>
      </c>
      <c r="F361" t="s">
        <v>1362</v>
      </c>
      <c r="G361" t="s">
        <v>2722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Row],[VEHIDCODE]],#REF!,0))</f>
        <v>0</v>
      </c>
      <c r="L361" t="b">
        <f>ISNUMBER(_xlfn.XMATCH(CONTROL[[#This Row],[VEHIDCODE]],PROPERTIES[VEHIDCODE],0))</f>
        <v>1</v>
      </c>
      <c r="M361" t="b">
        <f>ISNUMBER(_xlfn.XMATCH(CONTROL[[#This Row],[VEHIDCODE]],#REF!,0))</f>
        <v>0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s="32" t="str">
        <f>"item_"&amp;CONTROL[[#This Row],[VEHIDCODE]]</f>
        <v>item_electric_Japan_Aichi_Railroad_DeKi_400</v>
      </c>
      <c r="Q361" s="32" t="str">
        <f>"str_"&amp;CONTROL[[#This Row],[VEHIDCODE]]</f>
        <v>str_electric_Japan_Aichi_Railroad_DeKi_400</v>
      </c>
    </row>
    <row r="362" spans="1:17">
      <c r="A362" s="2" t="s">
        <v>387</v>
      </c>
      <c r="B362" s="32" t="str">
        <f>_xlfn.TEXTAFTER(CONTROL[[#This Row],[VEHIDCODE]],"_")</f>
        <v>India_Indian_Railways_WCG_1</v>
      </c>
      <c r="C362" t="s">
        <v>723</v>
      </c>
      <c r="D362" t="s">
        <v>943</v>
      </c>
      <c r="E362">
        <v>6008</v>
      </c>
      <c r="F362" t="s">
        <v>1363</v>
      </c>
      <c r="G362" t="s">
        <v>2723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Row],[VEHIDCODE]],#REF!,0))</f>
        <v>0</v>
      </c>
      <c r="L362" t="b">
        <f>ISNUMBER(_xlfn.XMATCH(CONTROL[[#This Row],[VEHIDCODE]],PROPERTIES[VEHIDCODE],0))</f>
        <v>1</v>
      </c>
      <c r="M362" t="b">
        <f>ISNUMBER(_xlfn.XMATCH(CONTROL[[#This Row],[VEHIDCODE]],#REF!,0))</f>
        <v>0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s="32" t="str">
        <f>"item_"&amp;CONTROL[[#This Row],[VEHIDCODE]]</f>
        <v>item_electric_India_Indian_Railways_WCG_1</v>
      </c>
      <c r="Q362" s="32" t="str">
        <f>"str_"&amp;CONTROL[[#This Row],[VEHIDCODE]]</f>
        <v>str_electric_India_Indian_Railways_WCG_1</v>
      </c>
    </row>
    <row r="363" spans="1:17">
      <c r="A363" s="2" t="s">
        <v>388</v>
      </c>
      <c r="B363" s="32" t="str">
        <f>_xlfn.TEXTAFTER(CONTROL[[#This Row],[VEHIDCODE]],"_")</f>
        <v>France_SNCF_BB_9004</v>
      </c>
      <c r="C363" t="s">
        <v>723</v>
      </c>
      <c r="D363" t="s">
        <v>943</v>
      </c>
      <c r="E363">
        <v>6022</v>
      </c>
      <c r="F363" t="s">
        <v>1364</v>
      </c>
      <c r="G363" t="s">
        <v>2724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Row],[VEHIDCODE]],#REF!,0))</f>
        <v>0</v>
      </c>
      <c r="L363" t="b">
        <f>ISNUMBER(_xlfn.XMATCH(CONTROL[[#This Row],[VEHIDCODE]],PROPERTIES[VEHIDCODE],0))</f>
        <v>1</v>
      </c>
      <c r="M363" t="b">
        <f>ISNUMBER(_xlfn.XMATCH(CONTROL[[#This Row],[VEHIDCODE]],#REF!,0))</f>
        <v>0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s="32" t="str">
        <f>"item_"&amp;CONTROL[[#This Row],[VEHIDCODE]]</f>
        <v>item_electric_France_SNCF_BB_9004</v>
      </c>
      <c r="Q363" s="32" t="str">
        <f>"str_"&amp;CONTROL[[#This Row],[VEHIDCODE]]</f>
        <v>str_electric_France_SNCF_BB_9004</v>
      </c>
    </row>
    <row r="364" spans="1:17">
      <c r="A364" s="2" t="s">
        <v>389</v>
      </c>
      <c r="B364" s="32" t="str">
        <f>_xlfn.TEXTAFTER(CONTROL[[#This Row],[VEHIDCODE]],"_")</f>
        <v>Indonesia_ESS_3200</v>
      </c>
      <c r="C364" t="s">
        <v>723</v>
      </c>
      <c r="D364" t="s">
        <v>943</v>
      </c>
      <c r="E364">
        <v>6096</v>
      </c>
      <c r="F364" t="s">
        <v>1365</v>
      </c>
      <c r="G364" t="s">
        <v>2725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Row],[VEHIDCODE]],#REF!,0))</f>
        <v>0</v>
      </c>
      <c r="L364" t="b">
        <f>ISNUMBER(_xlfn.XMATCH(CONTROL[[#This Row],[VEHIDCODE]],PROPERTIES[VEHIDCODE],0))</f>
        <v>1</v>
      </c>
      <c r="M364" t="b">
        <f>ISNUMBER(_xlfn.XMATCH(CONTROL[[#This Row],[VEHIDCODE]],#REF!,0))</f>
        <v>0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s="32" t="str">
        <f>"item_"&amp;CONTROL[[#This Row],[VEHIDCODE]]</f>
        <v>item_electric_Indonesia_ESS_3200</v>
      </c>
      <c r="Q364" s="32" t="str">
        <f>"str_"&amp;CONTROL[[#This Row],[VEHIDCODE]]</f>
        <v>str_electric_Indonesia_ESS_3200</v>
      </c>
    </row>
    <row r="365" spans="1:17">
      <c r="A365" s="2" t="s">
        <v>390</v>
      </c>
      <c r="B365" s="32" t="str">
        <f>_xlfn.TEXTAFTER(CONTROL[[#This Row],[VEHIDCODE]],"_")</f>
        <v>UK_BR_77_Metrovic</v>
      </c>
      <c r="C365" t="s">
        <v>723</v>
      </c>
      <c r="D365" t="s">
        <v>943</v>
      </c>
      <c r="E365">
        <v>6021</v>
      </c>
      <c r="F365" t="s">
        <v>1366</v>
      </c>
      <c r="G365" t="s">
        <v>2726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Row],[VEHIDCODE]],#REF!,0))</f>
        <v>0</v>
      </c>
      <c r="L365" t="b">
        <f>ISNUMBER(_xlfn.XMATCH(CONTROL[[#This Row],[VEHIDCODE]],PROPERTIES[VEHIDCODE],0))</f>
        <v>1</v>
      </c>
      <c r="M365" t="b">
        <f>ISNUMBER(_xlfn.XMATCH(CONTROL[[#This Row],[VEHIDCODE]],#REF!,0))</f>
        <v>0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s="32" t="str">
        <f>"item_"&amp;CONTROL[[#This Row],[VEHIDCODE]]</f>
        <v>item_electric_UK_BR_77_Metrovic</v>
      </c>
      <c r="Q365" s="32" t="str">
        <f>"str_"&amp;CONTROL[[#This Row],[VEHIDCODE]]</f>
        <v>str_electric_UK_BR_77_Metrovic</v>
      </c>
    </row>
    <row r="366" spans="1:17">
      <c r="A366" s="2" t="s">
        <v>391</v>
      </c>
      <c r="B366" s="32" t="str">
        <f>_xlfn.TEXTAFTER(CONTROL[[#This Row],[VEHIDCODE]],"_")</f>
        <v>UK_NER_EE1</v>
      </c>
      <c r="C366" t="s">
        <v>723</v>
      </c>
      <c r="D366" t="s">
        <v>943</v>
      </c>
      <c r="E366">
        <v>6071</v>
      </c>
      <c r="F366" t="s">
        <v>1367</v>
      </c>
      <c r="G366" t="s">
        <v>2727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Row],[VEHIDCODE]],#REF!,0))</f>
        <v>0</v>
      </c>
      <c r="L366" t="b">
        <f>ISNUMBER(_xlfn.XMATCH(CONTROL[[#This Row],[VEHIDCODE]],PROPERTIES[VEHIDCODE],0))</f>
        <v>1</v>
      </c>
      <c r="M366" t="b">
        <f>ISNUMBER(_xlfn.XMATCH(CONTROL[[#This Row],[VEHIDCODE]],#REF!,0))</f>
        <v>0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s="32" t="str">
        <f>"item_"&amp;CONTROL[[#This Row],[VEHIDCODE]]</f>
        <v>item_electric_UK_NER_EE1</v>
      </c>
      <c r="Q366" s="32" t="str">
        <f>"str_"&amp;CONTROL[[#This Row],[VEHIDCODE]]</f>
        <v>str_electric_UK_NER_EE1</v>
      </c>
    </row>
    <row r="367" spans="1:17">
      <c r="A367" s="2" t="s">
        <v>392</v>
      </c>
      <c r="B367" s="32" t="str">
        <f>_xlfn.TEXTAFTER(CONTROL[[#This Row],[VEHIDCODE]],"_")</f>
        <v>USA_Milwaukee_Road_ES_2</v>
      </c>
      <c r="C367" t="s">
        <v>723</v>
      </c>
      <c r="D367" t="s">
        <v>943</v>
      </c>
      <c r="E367">
        <v>6003</v>
      </c>
      <c r="F367" t="s">
        <v>1368</v>
      </c>
      <c r="G367" t="s">
        <v>2728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Row],[VEHIDCODE]],#REF!,0))</f>
        <v>0</v>
      </c>
      <c r="L367" t="b">
        <f>ISNUMBER(_xlfn.XMATCH(CONTROL[[#This Row],[VEHIDCODE]],PROPERTIES[VEHIDCODE],0))</f>
        <v>1</v>
      </c>
      <c r="M367" t="b">
        <f>ISNUMBER(_xlfn.XMATCH(CONTROL[[#This Row],[VEHIDCODE]],#REF!,0))</f>
        <v>0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s="32" t="str">
        <f>"item_"&amp;CONTROL[[#This Row],[VEHIDCODE]]</f>
        <v>item_electric_USA_Milwaukee_Road_ES_2</v>
      </c>
      <c r="Q367" s="32" t="str">
        <f>"str_"&amp;CONTROL[[#This Row],[VEHIDCODE]]</f>
        <v>str_electric_USA_Milwaukee_Road_ES_2</v>
      </c>
    </row>
    <row r="368" spans="1:17">
      <c r="A368" s="2" t="s">
        <v>393</v>
      </c>
      <c r="B368" s="32" t="str">
        <f>_xlfn.TEXTAFTER(CONTROL[[#This Row],[VEHIDCODE]],"_")</f>
        <v>USA_Milwaukee_Road_EP_2_Bipolar</v>
      </c>
      <c r="C368" t="s">
        <v>723</v>
      </c>
      <c r="D368" t="s">
        <v>943</v>
      </c>
      <c r="E368">
        <v>6064</v>
      </c>
      <c r="F368" t="s">
        <v>1369</v>
      </c>
      <c r="G368" t="s">
        <v>2729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Row],[VEHIDCODE]],#REF!,0))</f>
        <v>0</v>
      </c>
      <c r="L368" t="b">
        <f>ISNUMBER(_xlfn.XMATCH(CONTROL[[#This Row],[VEHIDCODE]],PROPERTIES[VEHIDCODE],0))</f>
        <v>1</v>
      </c>
      <c r="M368" t="b">
        <f>ISNUMBER(_xlfn.XMATCH(CONTROL[[#This Row],[VEHIDCODE]],#REF!,0))</f>
        <v>0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s="32" t="str">
        <f>"item_"&amp;CONTROL[[#This Row],[VEHIDCODE]]</f>
        <v>item_electric_USA_Milwaukee_Road_EP_2_Bipolar</v>
      </c>
      <c r="Q368" s="32" t="str">
        <f>"str_"&amp;CONTROL[[#This Row],[VEHIDCODE]]</f>
        <v>str_electric_USA_Milwaukee_Road_EP_2_Bipolar</v>
      </c>
    </row>
    <row r="369" spans="1:17">
      <c r="A369" s="2" t="s">
        <v>394</v>
      </c>
      <c r="B369" s="32" t="str">
        <f>_xlfn.TEXTAFTER(CONTROL[[#This Row],[VEHIDCODE]],"_")</f>
        <v>Chile_EFE_E_28</v>
      </c>
      <c r="C369" t="s">
        <v>723</v>
      </c>
      <c r="D369" t="s">
        <v>943</v>
      </c>
      <c r="E369">
        <v>6006</v>
      </c>
      <c r="F369" t="s">
        <v>1370</v>
      </c>
      <c r="G369" t="s">
        <v>1776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Row],[VEHIDCODE]],#REF!,0))</f>
        <v>0</v>
      </c>
      <c r="L369" t="b">
        <f>ISNUMBER(_xlfn.XMATCH(CONTROL[[#This Row],[VEHIDCODE]],PROPERTIES[VEHIDCODE],0))</f>
        <v>1</v>
      </c>
      <c r="M369" t="b">
        <f>ISNUMBER(_xlfn.XMATCH(CONTROL[[#This Row],[VEHIDCODE]],#REF!,0))</f>
        <v>0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s="32" t="str">
        <f>"item_"&amp;CONTROL[[#This Row],[VEHIDCODE]]</f>
        <v>item_electric_Chile_EFE_E_28</v>
      </c>
      <c r="Q369" s="32" t="str">
        <f>"str_"&amp;CONTROL[[#This Row],[VEHIDCODE]]</f>
        <v>str_electric_Chile_EFE_E_28</v>
      </c>
    </row>
    <row r="370" spans="1:17">
      <c r="A370" s="2" t="s">
        <v>395</v>
      </c>
      <c r="B370" s="32" t="str">
        <f>_xlfn.TEXTAFTER(CONTROL[[#This Row],[VEHIDCODE]],"_")</f>
        <v>Italy_FS_E428</v>
      </c>
      <c r="C370" t="s">
        <v>723</v>
      </c>
      <c r="D370" t="s">
        <v>943</v>
      </c>
      <c r="E370">
        <v>6013</v>
      </c>
      <c r="F370" t="s">
        <v>1371</v>
      </c>
      <c r="G370" t="s">
        <v>2730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Row],[VEHIDCODE]],#REF!,0))</f>
        <v>0</v>
      </c>
      <c r="L370" t="b">
        <f>ISNUMBER(_xlfn.XMATCH(CONTROL[[#This Row],[VEHIDCODE]],PROPERTIES[VEHIDCODE],0))</f>
        <v>1</v>
      </c>
      <c r="M370" t="b">
        <f>ISNUMBER(_xlfn.XMATCH(CONTROL[[#This Row],[VEHIDCODE]],#REF!,0))</f>
        <v>0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s="32" t="str">
        <f>"item_"&amp;CONTROL[[#This Row],[VEHIDCODE]]</f>
        <v>item_electric_Italy_FS_E428</v>
      </c>
      <c r="Q370" s="32" t="str">
        <f>"str_"&amp;CONTROL[[#This Row],[VEHIDCODE]]</f>
        <v>str_electric_Italy_FS_E428</v>
      </c>
    </row>
    <row r="371" spans="1:17">
      <c r="A371" s="2" t="s">
        <v>396</v>
      </c>
      <c r="B371" s="32" t="str">
        <f>_xlfn.TEXTAFTER(CONTROL[[#This Row],[VEHIDCODE]],"_")</f>
        <v>South_Africa_SAR_ES_Class</v>
      </c>
      <c r="C371" t="s">
        <v>723</v>
      </c>
      <c r="D371" t="s">
        <v>943</v>
      </c>
      <c r="E371">
        <v>6016</v>
      </c>
      <c r="F371" t="s">
        <v>1372</v>
      </c>
      <c r="G371" t="s">
        <v>2731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Row],[VEHIDCODE]],#REF!,0))</f>
        <v>0</v>
      </c>
      <c r="L371" t="b">
        <f>ISNUMBER(_xlfn.XMATCH(CONTROL[[#This Row],[VEHIDCODE]],PROPERTIES[VEHIDCODE],0))</f>
        <v>1</v>
      </c>
      <c r="M371" t="b">
        <f>ISNUMBER(_xlfn.XMATCH(CONTROL[[#This Row],[VEHIDCODE]],#REF!,0))</f>
        <v>0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s="32" t="str">
        <f>"item_"&amp;CONTROL[[#This Row],[VEHIDCODE]]</f>
        <v>item_electric_South_Africa_SAR_ES_Class</v>
      </c>
      <c r="Q371" s="32" t="str">
        <f>"str_"&amp;CONTROL[[#This Row],[VEHIDCODE]]</f>
        <v>str_electric_South_Africa_SAR_ES_Class</v>
      </c>
    </row>
    <row r="372" spans="1:17">
      <c r="A372" s="2" t="s">
        <v>397</v>
      </c>
      <c r="B372" s="32" t="str">
        <f>_xlfn.TEXTAFTER(CONTROL[[#This Row],[VEHIDCODE]],"_")</f>
        <v>Poland_PKP_EU06</v>
      </c>
      <c r="C372" t="s">
        <v>723</v>
      </c>
      <c r="D372" t="s">
        <v>943</v>
      </c>
      <c r="E372">
        <v>6084</v>
      </c>
      <c r="F372" t="s">
        <v>1373</v>
      </c>
      <c r="G372" t="s">
        <v>2732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Row],[VEHIDCODE]],#REF!,0))</f>
        <v>0</v>
      </c>
      <c r="L372" t="b">
        <f>ISNUMBER(_xlfn.XMATCH(CONTROL[[#This Row],[VEHIDCODE]],PROPERTIES[VEHIDCODE],0))</f>
        <v>1</v>
      </c>
      <c r="M372" t="b">
        <f>ISNUMBER(_xlfn.XMATCH(CONTROL[[#This Row],[VEHIDCODE]],#REF!,0))</f>
        <v>0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s="32" t="str">
        <f>"item_"&amp;CONTROL[[#This Row],[VEHIDCODE]]</f>
        <v>item_electric_Poland_PKP_EU06</v>
      </c>
      <c r="Q372" s="32" t="str">
        <f>"str_"&amp;CONTROL[[#This Row],[VEHIDCODE]]</f>
        <v>str_electric_Poland_PKP_EU06</v>
      </c>
    </row>
    <row r="373" spans="1:17">
      <c r="A373" s="2" t="s">
        <v>398</v>
      </c>
      <c r="B373" s="32" t="str">
        <f>_xlfn.TEXTAFTER(CONTROL[[#This Row],[VEHIDCODE]],"_")</f>
        <v>Poland_PKP_ET41</v>
      </c>
      <c r="C373" t="s">
        <v>723</v>
      </c>
      <c r="D373" t="s">
        <v>943</v>
      </c>
      <c r="E373">
        <v>6037</v>
      </c>
      <c r="F373" t="s">
        <v>1374</v>
      </c>
      <c r="G373" t="s">
        <v>2733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Row],[VEHIDCODE]],#REF!,0))</f>
        <v>0</v>
      </c>
      <c r="L373" t="b">
        <f>ISNUMBER(_xlfn.XMATCH(CONTROL[[#This Row],[VEHIDCODE]],PROPERTIES[VEHIDCODE],0))</f>
        <v>1</v>
      </c>
      <c r="M373" t="b">
        <f>ISNUMBER(_xlfn.XMATCH(CONTROL[[#This Row],[VEHIDCODE]],#REF!,0))</f>
        <v>0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s="32" t="str">
        <f>"item_"&amp;CONTROL[[#This Row],[VEHIDCODE]]</f>
        <v>item_electric_Poland_PKP_ET41</v>
      </c>
      <c r="Q373" s="32" t="str">
        <f>"str_"&amp;CONTROL[[#This Row],[VEHIDCODE]]</f>
        <v>str_electric_Poland_PKP_ET41</v>
      </c>
    </row>
    <row r="374" spans="1:17">
      <c r="A374" s="2" t="s">
        <v>399</v>
      </c>
      <c r="B374" s="32" t="str">
        <f>_xlfn.TEXTAFTER(CONTROL[[#This Row],[VEHIDCODE]],"_")</f>
        <v>Poland_PKP_EP09</v>
      </c>
      <c r="C374" t="s">
        <v>723</v>
      </c>
      <c r="D374" t="s">
        <v>943</v>
      </c>
      <c r="E374">
        <v>6114</v>
      </c>
      <c r="F374" t="s">
        <v>1375</v>
      </c>
      <c r="G374" t="s">
        <v>2734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Row],[VEHIDCODE]],#REF!,0))</f>
        <v>0</v>
      </c>
      <c r="L374" t="b">
        <f>ISNUMBER(_xlfn.XMATCH(CONTROL[[#This Row],[VEHIDCODE]],PROPERTIES[VEHIDCODE],0))</f>
        <v>1</v>
      </c>
      <c r="M374" t="b">
        <f>ISNUMBER(_xlfn.XMATCH(CONTROL[[#This Row],[VEHIDCODE]],#REF!,0))</f>
        <v>0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s="32" t="str">
        <f>"item_"&amp;CONTROL[[#This Row],[VEHIDCODE]]</f>
        <v>item_electric_Poland_PKP_EP09</v>
      </c>
      <c r="Q374" s="32" t="str">
        <f>"str_"&amp;CONTROL[[#This Row],[VEHIDCODE]]</f>
        <v>str_electric_Poland_PKP_EP09</v>
      </c>
    </row>
    <row r="375" spans="1:17">
      <c r="A375" s="2" t="s">
        <v>400</v>
      </c>
      <c r="B375" s="32" t="str">
        <f>_xlfn.TEXTAFTER(CONTROL[[#This Row],[VEHIDCODE]],"_")</f>
        <v>Slovakia_ZSSK_162</v>
      </c>
      <c r="C375" t="s">
        <v>723</v>
      </c>
      <c r="D375" t="s">
        <v>943</v>
      </c>
      <c r="E375">
        <v>6116</v>
      </c>
      <c r="F375" t="s">
        <v>1376</v>
      </c>
      <c r="G375" t="s">
        <v>2735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Row],[VEHIDCODE]],#REF!,0))</f>
        <v>0</v>
      </c>
      <c r="L375" t="b">
        <f>ISNUMBER(_xlfn.XMATCH(CONTROL[[#This Row],[VEHIDCODE]],PROPERTIES[VEHIDCODE],0))</f>
        <v>1</v>
      </c>
      <c r="M375" t="b">
        <f>ISNUMBER(_xlfn.XMATCH(CONTROL[[#This Row],[VEHIDCODE]],#REF!,0))</f>
        <v>0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s="32" t="str">
        <f>"item_"&amp;CONTROL[[#This Row],[VEHIDCODE]]</f>
        <v>item_electric_Slovakia_ZSSK_162</v>
      </c>
      <c r="Q375" s="32" t="str">
        <f>"str_"&amp;CONTROL[[#This Row],[VEHIDCODE]]</f>
        <v>str_electric_Slovakia_ZSSK_162</v>
      </c>
    </row>
    <row r="376" spans="1:17">
      <c r="A376" s="2" t="s">
        <v>401</v>
      </c>
      <c r="B376" s="32" t="str">
        <f>_xlfn.TEXTAFTER(CONTROL[[#This Row],[VEHIDCODE]],"_")</f>
        <v>Italy_FS_E646</v>
      </c>
      <c r="C376" t="s">
        <v>723</v>
      </c>
      <c r="D376" t="s">
        <v>943</v>
      </c>
      <c r="E376">
        <v>6027</v>
      </c>
      <c r="F376" t="s">
        <v>1377</v>
      </c>
      <c r="G376" t="s">
        <v>2736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Row],[VEHIDCODE]],#REF!,0))</f>
        <v>0</v>
      </c>
      <c r="L376" t="b">
        <f>ISNUMBER(_xlfn.XMATCH(CONTROL[[#This Row],[VEHIDCODE]],PROPERTIES[VEHIDCODE],0))</f>
        <v>1</v>
      </c>
      <c r="M376" t="b">
        <f>ISNUMBER(_xlfn.XMATCH(CONTROL[[#This Row],[VEHIDCODE]],#REF!,0))</f>
        <v>0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s="32" t="str">
        <f>"item_"&amp;CONTROL[[#This Row],[VEHIDCODE]]</f>
        <v>item_electric_Italy_FS_E646</v>
      </c>
      <c r="Q376" s="32" t="str">
        <f>"str_"&amp;CONTROL[[#This Row],[VEHIDCODE]]</f>
        <v>str_electric_Italy_FS_E646</v>
      </c>
    </row>
    <row r="377" spans="1:17">
      <c r="A377" s="2" t="s">
        <v>402</v>
      </c>
      <c r="B377" s="32" t="str">
        <f>_xlfn.TEXTAFTER(CONTROL[[#This Row],[VEHIDCODE]],"_")</f>
        <v>Italy_FS_E424</v>
      </c>
      <c r="C377" t="s">
        <v>723</v>
      </c>
      <c r="D377" t="s">
        <v>943</v>
      </c>
      <c r="E377">
        <v>6077</v>
      </c>
      <c r="F377" t="s">
        <v>1378</v>
      </c>
      <c r="G377" t="s">
        <v>2737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Row],[VEHIDCODE]],#REF!,0))</f>
        <v>0</v>
      </c>
      <c r="L377" t="b">
        <f>ISNUMBER(_xlfn.XMATCH(CONTROL[[#This Row],[VEHIDCODE]],PROPERTIES[VEHIDCODE],0))</f>
        <v>1</v>
      </c>
      <c r="M377" t="b">
        <f>ISNUMBER(_xlfn.XMATCH(CONTROL[[#This Row],[VEHIDCODE]],#REF!,0))</f>
        <v>0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s="32" t="str">
        <f>"item_"&amp;CONTROL[[#This Row],[VEHIDCODE]]</f>
        <v>item_electric_Italy_FS_E424</v>
      </c>
      <c r="Q377" s="32" t="str">
        <f>"str_"&amp;CONTROL[[#This Row],[VEHIDCODE]]</f>
        <v>str_electric_Italy_FS_E424</v>
      </c>
    </row>
    <row r="378" spans="1:17">
      <c r="A378" s="2" t="s">
        <v>403</v>
      </c>
      <c r="B378" s="32" t="str">
        <f>_xlfn.TEXTAFTER(CONTROL[[#This Row],[VEHIDCODE]],"_")</f>
        <v>Italy_FS_E444</v>
      </c>
      <c r="C378" t="s">
        <v>723</v>
      </c>
      <c r="D378" t="s">
        <v>943</v>
      </c>
      <c r="E378">
        <v>6090</v>
      </c>
      <c r="F378" t="s">
        <v>1379</v>
      </c>
      <c r="G378" t="s">
        <v>2738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Row],[VEHIDCODE]],#REF!,0))</f>
        <v>0</v>
      </c>
      <c r="L378" t="b">
        <f>ISNUMBER(_xlfn.XMATCH(CONTROL[[#This Row],[VEHIDCODE]],PROPERTIES[VEHIDCODE],0))</f>
        <v>1</v>
      </c>
      <c r="M378" t="b">
        <f>ISNUMBER(_xlfn.XMATCH(CONTROL[[#This Row],[VEHIDCODE]],#REF!,0))</f>
        <v>0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s="32" t="str">
        <f>"item_"&amp;CONTROL[[#This Row],[VEHIDCODE]]</f>
        <v>item_electric_Italy_FS_E444</v>
      </c>
      <c r="Q378" s="32" t="str">
        <f>"str_"&amp;CONTROL[[#This Row],[VEHIDCODE]]</f>
        <v>str_electric_Italy_FS_E444</v>
      </c>
    </row>
    <row r="379" spans="1:17">
      <c r="A379" s="2" t="s">
        <v>404</v>
      </c>
      <c r="B379" s="32" t="str">
        <f>_xlfn.TEXTAFTER(CONTROL[[#This Row],[VEHIDCODE]],"_")</f>
        <v>Italy_FS_E633</v>
      </c>
      <c r="C379" t="s">
        <v>723</v>
      </c>
      <c r="D379" t="s">
        <v>943</v>
      </c>
      <c r="E379">
        <v>6106</v>
      </c>
      <c r="F379" t="s">
        <v>1380</v>
      </c>
      <c r="G379" t="s">
        <v>2739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Row],[VEHIDCODE]],#REF!,0))</f>
        <v>0</v>
      </c>
      <c r="L379" t="b">
        <f>ISNUMBER(_xlfn.XMATCH(CONTROL[[#This Row],[VEHIDCODE]],PROPERTIES[VEHIDCODE],0))</f>
        <v>1</v>
      </c>
      <c r="M379" t="b">
        <f>ISNUMBER(_xlfn.XMATCH(CONTROL[[#This Row],[VEHIDCODE]],#REF!,0))</f>
        <v>0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s="32" t="str">
        <f>"item_"&amp;CONTROL[[#This Row],[VEHIDCODE]]</f>
        <v>item_electric_Italy_FS_E633</v>
      </c>
      <c r="Q379" s="32" t="str">
        <f>"str_"&amp;CONTROL[[#This Row],[VEHIDCODE]]</f>
        <v>str_electric_Italy_FS_E633</v>
      </c>
    </row>
    <row r="380" spans="1:17">
      <c r="A380" s="2" t="s">
        <v>405</v>
      </c>
      <c r="B380" s="32" t="str">
        <f>_xlfn.TEXTAFTER(CONTROL[[#This Row],[VEHIDCODE]],"_")</f>
        <v>Belgium_NMBS_Class_255</v>
      </c>
      <c r="C380" t="s">
        <v>723</v>
      </c>
      <c r="D380" t="s">
        <v>943</v>
      </c>
      <c r="E380">
        <v>6082</v>
      </c>
      <c r="F380" t="s">
        <v>1381</v>
      </c>
      <c r="G380" t="s">
        <v>2740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Row],[VEHIDCODE]],#REF!,0))</f>
        <v>0</v>
      </c>
      <c r="L380" t="b">
        <f>ISNUMBER(_xlfn.XMATCH(CONTROL[[#This Row],[VEHIDCODE]],PROPERTIES[VEHIDCODE],0))</f>
        <v>1</v>
      </c>
      <c r="M380" t="b">
        <f>ISNUMBER(_xlfn.XMATCH(CONTROL[[#This Row],[VEHIDCODE]],#REF!,0))</f>
        <v>0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s="32" t="str">
        <f>"item_"&amp;CONTROL[[#This Row],[VEHIDCODE]]</f>
        <v>item_electric_Belgium_NMBS_Class_255</v>
      </c>
      <c r="Q380" s="32" t="str">
        <f>"str_"&amp;CONTROL[[#This Row],[VEHIDCODE]]</f>
        <v>str_electric_Belgium_NMBS_Class_255</v>
      </c>
    </row>
    <row r="381" spans="1:17">
      <c r="A381" s="2" t="s">
        <v>406</v>
      </c>
      <c r="B381" s="32" t="str">
        <f>_xlfn.TEXTAFTER(CONTROL[[#This Row],[VEHIDCODE]],"_")</f>
        <v>Spain_RENFE_250</v>
      </c>
      <c r="C381" t="s">
        <v>723</v>
      </c>
      <c r="D381" t="s">
        <v>943</v>
      </c>
      <c r="E381">
        <v>6110</v>
      </c>
      <c r="F381" t="s">
        <v>1382</v>
      </c>
      <c r="G381" t="s">
        <v>2741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Row],[VEHIDCODE]],#REF!,0))</f>
        <v>0</v>
      </c>
      <c r="L381" t="b">
        <f>ISNUMBER(_xlfn.XMATCH(CONTROL[[#This Row],[VEHIDCODE]],PROPERTIES[VEHIDCODE],0))</f>
        <v>1</v>
      </c>
      <c r="M381" t="b">
        <f>ISNUMBER(_xlfn.XMATCH(CONTROL[[#This Row],[VEHIDCODE]],#REF!,0))</f>
        <v>0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s="32" t="str">
        <f>"item_"&amp;CONTROL[[#This Row],[VEHIDCODE]]</f>
        <v>item_electric_Spain_RENFE_250</v>
      </c>
      <c r="Q381" s="32" t="str">
        <f>"str_"&amp;CONTROL[[#This Row],[VEHIDCODE]]</f>
        <v>str_electric_Spain_RENFE_250</v>
      </c>
    </row>
    <row r="382" spans="1:17">
      <c r="A382" s="2" t="s">
        <v>407</v>
      </c>
      <c r="B382" s="32" t="str">
        <f>_xlfn.TEXTAFTER(CONTROL[[#This Row],[VEHIDCODE]],"_")</f>
        <v>Chile_EFE_E_29</v>
      </c>
      <c r="C382" t="s">
        <v>723</v>
      </c>
      <c r="D382" t="s">
        <v>943</v>
      </c>
      <c r="E382">
        <v>6100</v>
      </c>
      <c r="F382" t="s">
        <v>1383</v>
      </c>
      <c r="G382" t="s">
        <v>1776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Row],[VEHIDCODE]],#REF!,0))</f>
        <v>0</v>
      </c>
      <c r="L382" t="b">
        <f>ISNUMBER(_xlfn.XMATCH(CONTROL[[#This Row],[VEHIDCODE]],PROPERTIES[VEHIDCODE],0))</f>
        <v>1</v>
      </c>
      <c r="M382" t="b">
        <f>ISNUMBER(_xlfn.XMATCH(CONTROL[[#This Row],[VEHIDCODE]],#REF!,0))</f>
        <v>0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s="32" t="str">
        <f>"item_"&amp;CONTROL[[#This Row],[VEHIDCODE]]</f>
        <v>item_electric_Chile_EFE_E_29</v>
      </c>
      <c r="Q382" s="32" t="str">
        <f>"str_"&amp;CONTROL[[#This Row],[VEHIDCODE]]</f>
        <v>str_electric_Chile_EFE_E_29</v>
      </c>
    </row>
    <row r="383" spans="1:17">
      <c r="A383" s="2" t="s">
        <v>408</v>
      </c>
      <c r="B383" s="32" t="str">
        <f>_xlfn.TEXTAFTER(CONTROL[[#This Row],[VEHIDCODE]],"_")</f>
        <v>Chile_EFE_E_17</v>
      </c>
      <c r="C383" t="s">
        <v>723</v>
      </c>
      <c r="D383" t="s">
        <v>943</v>
      </c>
      <c r="E383">
        <v>6126</v>
      </c>
      <c r="F383" t="s">
        <v>1384</v>
      </c>
      <c r="G383" t="s">
        <v>1776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Row],[VEHIDCODE]],#REF!,0))</f>
        <v>0</v>
      </c>
      <c r="L383" t="b">
        <f>ISNUMBER(_xlfn.XMATCH(CONTROL[[#This Row],[VEHIDCODE]],PROPERTIES[VEHIDCODE],0))</f>
        <v>1</v>
      </c>
      <c r="M383" t="b">
        <f>ISNUMBER(_xlfn.XMATCH(CONTROL[[#This Row],[VEHIDCODE]],#REF!,0))</f>
        <v>0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s="32" t="str">
        <f>"item_"&amp;CONTROL[[#This Row],[VEHIDCODE]]</f>
        <v>item_electric_Chile_EFE_E_17</v>
      </c>
      <c r="Q383" s="32" t="str">
        <f>"str_"&amp;CONTROL[[#This Row],[VEHIDCODE]]</f>
        <v>str_electric_Chile_EFE_E_17</v>
      </c>
    </row>
    <row r="384" spans="1:17">
      <c r="A384" s="2" t="s">
        <v>409</v>
      </c>
      <c r="B384" s="32" t="str">
        <f>_xlfn.TEXTAFTER(CONTROL[[#This Row],[VEHIDCODE]],"_")</f>
        <v>Morocco_ONCF_E_700</v>
      </c>
      <c r="C384" t="s">
        <v>723</v>
      </c>
      <c r="D384" t="s">
        <v>943</v>
      </c>
      <c r="E384">
        <v>6099</v>
      </c>
      <c r="F384" t="s">
        <v>1385</v>
      </c>
      <c r="G384" t="s">
        <v>2742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Row],[VEHIDCODE]],#REF!,0))</f>
        <v>0</v>
      </c>
      <c r="L384" t="b">
        <f>ISNUMBER(_xlfn.XMATCH(CONTROL[[#This Row],[VEHIDCODE]],PROPERTIES[VEHIDCODE],0))</f>
        <v>1</v>
      </c>
      <c r="M384" t="b">
        <f>ISNUMBER(_xlfn.XMATCH(CONTROL[[#This Row],[VEHIDCODE]],#REF!,0))</f>
        <v>0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s="32" t="str">
        <f>"item_"&amp;CONTROL[[#This Row],[VEHIDCODE]]</f>
        <v>item_electric_Morocco_ONCF_E_700</v>
      </c>
      <c r="Q384" s="32" t="str">
        <f>"str_"&amp;CONTROL[[#This Row],[VEHIDCODE]]</f>
        <v>str_electric_Morocco_ONCF_E_700</v>
      </c>
    </row>
    <row r="385" spans="1:17">
      <c r="A385" s="2" t="s">
        <v>410</v>
      </c>
      <c r="B385" s="32" t="str">
        <f>_xlfn.TEXTAFTER(CONTROL[[#This Row],[VEHIDCODE]],"_")</f>
        <v>India_Indian_Railways_WCM_1</v>
      </c>
      <c r="C385" t="s">
        <v>723</v>
      </c>
      <c r="D385" t="s">
        <v>943</v>
      </c>
      <c r="E385">
        <v>6026</v>
      </c>
      <c r="F385" t="s">
        <v>1386</v>
      </c>
      <c r="G385" t="s">
        <v>2743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Row],[VEHIDCODE]],#REF!,0))</f>
        <v>0</v>
      </c>
      <c r="L385" t="b">
        <f>ISNUMBER(_xlfn.XMATCH(CONTROL[[#This Row],[VEHIDCODE]],PROPERTIES[VEHIDCODE],0))</f>
        <v>1</v>
      </c>
      <c r="M385" t="b">
        <f>ISNUMBER(_xlfn.XMATCH(CONTROL[[#This Row],[VEHIDCODE]],#REF!,0))</f>
        <v>0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s="32" t="str">
        <f>"item_"&amp;CONTROL[[#This Row],[VEHIDCODE]]</f>
        <v>item_electric_India_Indian_Railways_WCM_1</v>
      </c>
      <c r="Q385" s="32" t="str">
        <f>"str_"&amp;CONTROL[[#This Row],[VEHIDCODE]]</f>
        <v>str_electric_India_Indian_Railways_WCM_1</v>
      </c>
    </row>
    <row r="386" spans="1:17">
      <c r="A386" s="2" t="s">
        <v>411</v>
      </c>
      <c r="B386" s="32" t="str">
        <f>_xlfn.TEXTAFTER(CONTROL[[#This Row],[VEHIDCODE]],"_")</f>
        <v>South_Africa_SAR_E38</v>
      </c>
      <c r="C386" t="s">
        <v>723</v>
      </c>
      <c r="D386" t="s">
        <v>943</v>
      </c>
      <c r="E386">
        <v>6131</v>
      </c>
      <c r="F386" t="s">
        <v>2297</v>
      </c>
      <c r="G386" t="s">
        <v>2744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Row],[VEHIDCODE]],#REF!,0))</f>
        <v>0</v>
      </c>
      <c r="L386" t="b">
        <f>ISNUMBER(_xlfn.XMATCH(CONTROL[[#This Row],[VEHIDCODE]],PROPERTIES[VEHIDCODE],0))</f>
        <v>1</v>
      </c>
      <c r="M386" t="b">
        <f>ISNUMBER(_xlfn.XMATCH(CONTROL[[#This Row],[VEHIDCODE]],#REF!,0))</f>
        <v>0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s="32" t="str">
        <f>"item_"&amp;CONTROL[[#This Row],[VEHIDCODE]]</f>
        <v>item_electric_South_Africa_SAR_E38</v>
      </c>
      <c r="Q386" s="32" t="str">
        <f>"str_"&amp;CONTROL[[#This Row],[VEHIDCODE]]</f>
        <v>str_electric_South_Africa_SAR_E38</v>
      </c>
    </row>
    <row r="387" spans="1:17">
      <c r="A387" s="2" t="s">
        <v>412</v>
      </c>
      <c r="B387" s="32" t="str">
        <f>_xlfn.TEXTAFTER(CONTROL[[#This Row],[VEHIDCODE]],"_")</f>
        <v>Chile_EFE_E_269</v>
      </c>
      <c r="C387" t="s">
        <v>723</v>
      </c>
      <c r="D387" t="s">
        <v>943</v>
      </c>
      <c r="E387">
        <v>6107</v>
      </c>
      <c r="F387" t="s">
        <v>1387</v>
      </c>
      <c r="G387" t="s">
        <v>2745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Row],[VEHIDCODE]],#REF!,0))</f>
        <v>0</v>
      </c>
      <c r="L387" t="b">
        <f>ISNUMBER(_xlfn.XMATCH(CONTROL[[#This Row],[VEHIDCODE]],PROPERTIES[VEHIDCODE],0))</f>
        <v>1</v>
      </c>
      <c r="M387" t="b">
        <f>ISNUMBER(_xlfn.XMATCH(CONTROL[[#This Row],[VEHIDCODE]],#REF!,0))</f>
        <v>0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s="32" t="str">
        <f>"item_"&amp;CONTROL[[#This Row],[VEHIDCODE]]</f>
        <v>item_electric_Chile_EFE_E_269</v>
      </c>
      <c r="Q387" s="32" t="str">
        <f>"str_"&amp;CONTROL[[#This Row],[VEHIDCODE]]</f>
        <v>str_electric_Chile_EFE_E_269</v>
      </c>
    </row>
    <row r="388" spans="1:17">
      <c r="A388" s="2" t="s">
        <v>413</v>
      </c>
      <c r="B388" s="32" t="str">
        <f>_xlfn.TEXTAFTER(CONTROL[[#This Row],[VEHIDCODE]],"_")</f>
        <v>Czech_Republic_CD_363</v>
      </c>
      <c r="C388" t="s">
        <v>723</v>
      </c>
      <c r="D388" t="s">
        <v>943</v>
      </c>
      <c r="E388">
        <v>6108</v>
      </c>
      <c r="F388" t="s">
        <v>2822</v>
      </c>
      <c r="G388" t="s">
        <v>2746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Row],[VEHIDCODE]],#REF!,0))</f>
        <v>0</v>
      </c>
      <c r="L388" t="b">
        <f>ISNUMBER(_xlfn.XMATCH(CONTROL[[#This Row],[VEHIDCODE]],PROPERTIES[VEHIDCODE],0))</f>
        <v>1</v>
      </c>
      <c r="M388" t="b">
        <f>ISNUMBER(_xlfn.XMATCH(CONTROL[[#This Row],[VEHIDCODE]],#REF!,0))</f>
        <v>0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s="32" t="str">
        <f>"item_"&amp;CONTROL[[#This Row],[VEHIDCODE]]</f>
        <v>item_electric_Czech_Republic_CD_363</v>
      </c>
      <c r="Q388" s="32" t="str">
        <f>"str_"&amp;CONTROL[[#This Row],[VEHIDCODE]]</f>
        <v>str_electric_Czech_Republic_CD_363</v>
      </c>
    </row>
    <row r="389" spans="1:17">
      <c r="A389" s="2" t="s">
        <v>414</v>
      </c>
      <c r="B389" s="32" t="str">
        <f>_xlfn.TEXTAFTER(CONTROL[[#This Row],[VEHIDCODE]],"_")</f>
        <v>Norway_NSB_EL7</v>
      </c>
      <c r="C389" t="s">
        <v>723</v>
      </c>
      <c r="D389" t="s">
        <v>943</v>
      </c>
      <c r="E389">
        <v>6001</v>
      </c>
      <c r="F389" t="s">
        <v>1388</v>
      </c>
      <c r="G389" t="s">
        <v>2747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Row],[VEHIDCODE]],#REF!,0))</f>
        <v>0</v>
      </c>
      <c r="L389" t="b">
        <f>ISNUMBER(_xlfn.XMATCH(CONTROL[[#This Row],[VEHIDCODE]],PROPERTIES[VEHIDCODE],0))</f>
        <v>1</v>
      </c>
      <c r="M389" t="b">
        <f>ISNUMBER(_xlfn.XMATCH(CONTROL[[#This Row],[VEHIDCODE]],#REF!,0))</f>
        <v>0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s="32" t="str">
        <f>"item_"&amp;CONTROL[[#This Row],[VEHIDCODE]]</f>
        <v>item_electric_Norway_NSB_EL7</v>
      </c>
      <c r="Q389" s="32" t="str">
        <f>"str_"&amp;CONTROL[[#This Row],[VEHIDCODE]]</f>
        <v>str_electric_Norway_NSB_EL7</v>
      </c>
    </row>
    <row r="390" spans="1:17">
      <c r="A390" s="2" t="s">
        <v>415</v>
      </c>
      <c r="B390" s="32" t="str">
        <f>_xlfn.TEXTAFTER(CONTROL[[#This Row],[VEHIDCODE]],"_")</f>
        <v>USA_Pennsylvania_Railroad_FF_1</v>
      </c>
      <c r="C390" t="s">
        <v>723</v>
      </c>
      <c r="D390" t="s">
        <v>943</v>
      </c>
      <c r="E390">
        <v>6063</v>
      </c>
      <c r="F390" t="s">
        <v>1389</v>
      </c>
      <c r="G390" t="s">
        <v>2748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Row],[VEHIDCODE]],#REF!,0))</f>
        <v>0</v>
      </c>
      <c r="L390" t="b">
        <f>ISNUMBER(_xlfn.XMATCH(CONTROL[[#This Row],[VEHIDCODE]],PROPERTIES[VEHIDCODE],0))</f>
        <v>1</v>
      </c>
      <c r="M390" t="b">
        <f>ISNUMBER(_xlfn.XMATCH(CONTROL[[#This Row],[VEHIDCODE]],#REF!,0))</f>
        <v>0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s="32" t="str">
        <f>"item_"&amp;CONTROL[[#This Row],[VEHIDCODE]]</f>
        <v>item_electric_USA_Pennsylvania_Railroad_FF_1</v>
      </c>
      <c r="Q390" s="32" t="str">
        <f>"str_"&amp;CONTROL[[#This Row],[VEHIDCODE]]</f>
        <v>str_electric_USA_Pennsylvania_Railroad_FF_1</v>
      </c>
    </row>
    <row r="391" spans="1:17">
      <c r="A391" s="2" t="s">
        <v>416</v>
      </c>
      <c r="B391" s="32" t="str">
        <f>_xlfn.TEXTAFTER(CONTROL[[#This Row],[VEHIDCODE]],"_")</f>
        <v>Austria_OBB_1161</v>
      </c>
      <c r="C391" t="s">
        <v>723</v>
      </c>
      <c r="D391" t="s">
        <v>943</v>
      </c>
      <c r="E391">
        <v>6007</v>
      </c>
      <c r="F391" t="s">
        <v>2526</v>
      </c>
      <c r="G391" t="s">
        <v>2749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Row],[VEHIDCODE]],#REF!,0))</f>
        <v>0</v>
      </c>
      <c r="L391" t="b">
        <f>ISNUMBER(_xlfn.XMATCH(CONTROL[[#This Row],[VEHIDCODE]],PROPERTIES[VEHIDCODE],0))</f>
        <v>1</v>
      </c>
      <c r="M391" t="b">
        <f>ISNUMBER(_xlfn.XMATCH(CONTROL[[#This Row],[VEHIDCODE]],#REF!,0))</f>
        <v>0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s="32" t="str">
        <f>"item_"&amp;CONTROL[[#This Row],[VEHIDCODE]]</f>
        <v>item_electric_Austria_OBB_1161</v>
      </c>
      <c r="Q391" s="32" t="str">
        <f>"str_"&amp;CONTROL[[#This Row],[VEHIDCODE]]</f>
        <v>str_electric_Austria_OBB_1161</v>
      </c>
    </row>
    <row r="392" spans="1:17">
      <c r="A392" s="2" t="s">
        <v>417</v>
      </c>
      <c r="B392" s="32" t="str">
        <f>_xlfn.TEXTAFTER(CONTROL[[#This Row],[VEHIDCODE]],"_")</f>
        <v>Germany_DB_169</v>
      </c>
      <c r="C392" t="s">
        <v>723</v>
      </c>
      <c r="D392" t="s">
        <v>943</v>
      </c>
      <c r="E392">
        <v>6009</v>
      </c>
      <c r="F392" t="s">
        <v>1390</v>
      </c>
      <c r="G392" t="s">
        <v>2750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Row],[VEHIDCODE]],#REF!,0))</f>
        <v>0</v>
      </c>
      <c r="L392" t="b">
        <f>ISNUMBER(_xlfn.XMATCH(CONTROL[[#This Row],[VEHIDCODE]],PROPERTIES[VEHIDCODE],0))</f>
        <v>1</v>
      </c>
      <c r="M392" t="b">
        <f>ISNUMBER(_xlfn.XMATCH(CONTROL[[#This Row],[VEHIDCODE]],#REF!,0))</f>
        <v>0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s="32" t="str">
        <f>"item_"&amp;CONTROL[[#This Row],[VEHIDCODE]]</f>
        <v>item_electric_Germany_DB_169</v>
      </c>
      <c r="Q392" s="32" t="str">
        <f>"str_"&amp;CONTROL[[#This Row],[VEHIDCODE]]</f>
        <v>str_electric_Germany_DB_169</v>
      </c>
    </row>
    <row r="393" spans="1:17">
      <c r="A393" s="2" t="s">
        <v>418</v>
      </c>
      <c r="B393" s="32" t="str">
        <f>_xlfn.TEXTAFTER(CONTROL[[#This Row],[VEHIDCODE]],"_")</f>
        <v>Norway_NSB_EL10</v>
      </c>
      <c r="C393" t="s">
        <v>723</v>
      </c>
      <c r="D393" t="s">
        <v>943</v>
      </c>
      <c r="E393">
        <v>6011</v>
      </c>
      <c r="F393" t="s">
        <v>1391</v>
      </c>
      <c r="G393" t="s">
        <v>2751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Row],[VEHIDCODE]],#REF!,0))</f>
        <v>0</v>
      </c>
      <c r="L393" t="b">
        <f>ISNUMBER(_xlfn.XMATCH(CONTROL[[#This Row],[VEHIDCODE]],PROPERTIES[VEHIDCODE],0))</f>
        <v>1</v>
      </c>
      <c r="M393" t="b">
        <f>ISNUMBER(_xlfn.XMATCH(CONTROL[[#This Row],[VEHIDCODE]],#REF!,0))</f>
        <v>0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s="32" t="str">
        <f>"item_"&amp;CONTROL[[#This Row],[VEHIDCODE]]</f>
        <v>item_electric_Norway_NSB_EL10</v>
      </c>
      <c r="Q393" s="32" t="str">
        <f>"str_"&amp;CONTROL[[#This Row],[VEHIDCODE]]</f>
        <v>str_electric_Norway_NSB_EL10</v>
      </c>
    </row>
    <row r="394" spans="1:17">
      <c r="A394" s="2" t="s">
        <v>419</v>
      </c>
      <c r="B394" s="32" t="str">
        <f>_xlfn.TEXTAFTER(CONTROL[[#This Row],[VEHIDCODE]],"_")</f>
        <v>Germany_DB_104</v>
      </c>
      <c r="C394" t="s">
        <v>723</v>
      </c>
      <c r="D394" t="s">
        <v>943</v>
      </c>
      <c r="E394">
        <v>6012</v>
      </c>
      <c r="F394" t="s">
        <v>1392</v>
      </c>
      <c r="G394" t="s">
        <v>2752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Row],[VEHIDCODE]],#REF!,0))</f>
        <v>0</v>
      </c>
      <c r="L394" t="b">
        <f>ISNUMBER(_xlfn.XMATCH(CONTROL[[#This Row],[VEHIDCODE]],PROPERTIES[VEHIDCODE],0))</f>
        <v>1</v>
      </c>
      <c r="M394" t="b">
        <f>ISNUMBER(_xlfn.XMATCH(CONTROL[[#This Row],[VEHIDCODE]],#REF!,0))</f>
        <v>0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s="32" t="str">
        <f>"item_"&amp;CONTROL[[#This Row],[VEHIDCODE]]</f>
        <v>item_electric_Germany_DB_104</v>
      </c>
      <c r="Q394" s="32" t="str">
        <f>"str_"&amp;CONTROL[[#This Row],[VEHIDCODE]]</f>
        <v>str_electric_Germany_DB_104</v>
      </c>
    </row>
    <row r="395" spans="1:17">
      <c r="A395" s="2" t="s">
        <v>420</v>
      </c>
      <c r="B395" s="32" t="str">
        <f>_xlfn.TEXTAFTER(CONTROL[[#This Row],[VEHIDCODE]],"_")</f>
        <v>USA_Pennsylvania_Railroad_GG_1</v>
      </c>
      <c r="C395" t="s">
        <v>723</v>
      </c>
      <c r="D395" t="s">
        <v>943</v>
      </c>
      <c r="E395">
        <v>6065</v>
      </c>
      <c r="F395" t="s">
        <v>1393</v>
      </c>
      <c r="G395" t="s">
        <v>2753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Row],[VEHIDCODE]],#REF!,0))</f>
        <v>0</v>
      </c>
      <c r="L395" t="b">
        <f>ISNUMBER(_xlfn.XMATCH(CONTROL[[#This Row],[VEHIDCODE]],PROPERTIES[VEHIDCODE],0))</f>
        <v>1</v>
      </c>
      <c r="M395" t="b">
        <f>ISNUMBER(_xlfn.XMATCH(CONTROL[[#This Row],[VEHIDCODE]],#REF!,0))</f>
        <v>0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s="32" t="str">
        <f>"item_"&amp;CONTROL[[#This Row],[VEHIDCODE]]</f>
        <v>item_electric_USA_Pennsylvania_Railroad_GG_1</v>
      </c>
      <c r="Q395" s="32" t="str">
        <f>"str_"&amp;CONTROL[[#This Row],[VEHIDCODE]]</f>
        <v>str_electric_USA_Pennsylvania_Railroad_GG_1</v>
      </c>
    </row>
    <row r="396" spans="1:17">
      <c r="A396" s="2" t="s">
        <v>421</v>
      </c>
      <c r="B396" s="32" t="str">
        <f>_xlfn.TEXTAFTER(CONTROL[[#This Row],[VEHIDCODE]],"_")</f>
        <v>Austria_OBB_1020_Crocodile</v>
      </c>
      <c r="C396" t="s">
        <v>723</v>
      </c>
      <c r="D396" t="s">
        <v>943</v>
      </c>
      <c r="E396">
        <v>6017</v>
      </c>
      <c r="F396" t="s">
        <v>2527</v>
      </c>
      <c r="G396" t="s">
        <v>2754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Row],[VEHIDCODE]],#REF!,0))</f>
        <v>0</v>
      </c>
      <c r="L396" t="b">
        <f>ISNUMBER(_xlfn.XMATCH(CONTROL[[#This Row],[VEHIDCODE]],PROPERTIES[VEHIDCODE],0))</f>
        <v>1</v>
      </c>
      <c r="M396" t="b">
        <f>ISNUMBER(_xlfn.XMATCH(CONTROL[[#This Row],[VEHIDCODE]],#REF!,0))</f>
        <v>0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s="32" t="str">
        <f>"item_"&amp;CONTROL[[#This Row],[VEHIDCODE]]</f>
        <v>item_electric_Austria_OBB_1020_Crocodile</v>
      </c>
      <c r="Q396" s="32" t="str">
        <f>"str_"&amp;CONTROL[[#This Row],[VEHIDCODE]]</f>
        <v>str_electric_Austria_OBB_1020_Crocodile</v>
      </c>
    </row>
    <row r="397" spans="1:17">
      <c r="A397" s="2" t="s">
        <v>422</v>
      </c>
      <c r="B397" s="32" t="str">
        <f>_xlfn.TEXTAFTER(CONTROL[[#This Row],[VEHIDCODE]],"_")</f>
        <v>Germany_DB_1031</v>
      </c>
      <c r="C397" t="s">
        <v>723</v>
      </c>
      <c r="D397" t="s">
        <v>943</v>
      </c>
      <c r="E397">
        <v>6032</v>
      </c>
      <c r="F397" t="s">
        <v>1394</v>
      </c>
      <c r="G397" t="s">
        <v>2755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Row],[VEHIDCODE]],#REF!,0))</f>
        <v>0</v>
      </c>
      <c r="L397" t="b">
        <f>ISNUMBER(_xlfn.XMATCH(CONTROL[[#This Row],[VEHIDCODE]],PROPERTIES[VEHIDCODE],0))</f>
        <v>1</v>
      </c>
      <c r="M397" t="b">
        <f>ISNUMBER(_xlfn.XMATCH(CONTROL[[#This Row],[VEHIDCODE]],#REF!,0))</f>
        <v>0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s="32" t="str">
        <f>"item_"&amp;CONTROL[[#This Row],[VEHIDCODE]]</f>
        <v>item_electric_Germany_DB_1031</v>
      </c>
      <c r="Q397" s="32" t="str">
        <f>"str_"&amp;CONTROL[[#This Row],[VEHIDCODE]]</f>
        <v>str_electric_Germany_DB_1031</v>
      </c>
    </row>
    <row r="398" spans="1:17">
      <c r="A398" s="2" t="s">
        <v>423</v>
      </c>
      <c r="B398" s="32" t="str">
        <f>_xlfn.TEXTAFTER(CONTROL[[#This Row],[VEHIDCODE]],"_")</f>
        <v>Germany_DB_E_919</v>
      </c>
      <c r="C398" t="s">
        <v>723</v>
      </c>
      <c r="D398" t="s">
        <v>943</v>
      </c>
      <c r="E398">
        <v>6074</v>
      </c>
      <c r="F398" t="s">
        <v>1395</v>
      </c>
      <c r="G398" t="s">
        <v>2756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Row],[VEHIDCODE]],#REF!,0))</f>
        <v>0</v>
      </c>
      <c r="L398" t="b">
        <f>ISNUMBER(_xlfn.XMATCH(CONTROL[[#This Row],[VEHIDCODE]],PROPERTIES[VEHIDCODE],0))</f>
        <v>1</v>
      </c>
      <c r="M398" t="b">
        <f>ISNUMBER(_xlfn.XMATCH(CONTROL[[#This Row],[VEHIDCODE]],#REF!,0))</f>
        <v>0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s="32" t="str">
        <f>"item_"&amp;CONTROL[[#This Row],[VEHIDCODE]]</f>
        <v>item_electric_Germany_DB_E_919</v>
      </c>
      <c r="Q398" s="32" t="str">
        <f>"str_"&amp;CONTROL[[#This Row],[VEHIDCODE]]</f>
        <v>str_electric_Germany_DB_E_919</v>
      </c>
    </row>
    <row r="399" spans="1:17">
      <c r="A399" s="2" t="s">
        <v>424</v>
      </c>
      <c r="B399" s="32" t="str">
        <f>_xlfn.TEXTAFTER(CONTROL[[#This Row],[VEHIDCODE]],"_")</f>
        <v>Switzerland_BLS_Ce_4_4</v>
      </c>
      <c r="C399" t="s">
        <v>723</v>
      </c>
      <c r="D399" t="s">
        <v>943</v>
      </c>
      <c r="E399">
        <v>6023</v>
      </c>
      <c r="F399" t="s">
        <v>1396</v>
      </c>
      <c r="G399" t="s">
        <v>2757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Row],[VEHIDCODE]],#REF!,0))</f>
        <v>0</v>
      </c>
      <c r="L399" t="b">
        <f>ISNUMBER(_xlfn.XMATCH(CONTROL[[#This Row],[VEHIDCODE]],PROPERTIES[VEHIDCODE],0))</f>
        <v>1</v>
      </c>
      <c r="M399" t="b">
        <f>ISNUMBER(_xlfn.XMATCH(CONTROL[[#This Row],[VEHIDCODE]],#REF!,0))</f>
        <v>0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s="32" t="str">
        <f>"item_"&amp;CONTROL[[#This Row],[VEHIDCODE]]</f>
        <v>item_electric_Switzerland_BLS_Ce_4_4</v>
      </c>
      <c r="Q399" s="32" t="str">
        <f>"str_"&amp;CONTROL[[#This Row],[VEHIDCODE]]</f>
        <v>str_electric_Switzerland_BLS_Ce_4_4</v>
      </c>
    </row>
    <row r="400" spans="1:17">
      <c r="A400" s="2" t="s">
        <v>425</v>
      </c>
      <c r="B400" s="32" t="str">
        <f>_xlfn.TEXTAFTER(CONTROL[[#This Row],[VEHIDCODE]],"_")</f>
        <v>Switzerland_SBB_Ae_6_6</v>
      </c>
      <c r="C400" t="s">
        <v>723</v>
      </c>
      <c r="D400" t="s">
        <v>943</v>
      </c>
      <c r="E400">
        <v>6024</v>
      </c>
      <c r="F400" t="s">
        <v>1397</v>
      </c>
      <c r="G400" t="s">
        <v>2758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Row],[VEHIDCODE]],#REF!,0))</f>
        <v>0</v>
      </c>
      <c r="L400" t="b">
        <f>ISNUMBER(_xlfn.XMATCH(CONTROL[[#This Row],[VEHIDCODE]],PROPERTIES[VEHIDCODE],0))</f>
        <v>1</v>
      </c>
      <c r="M400" t="b">
        <f>ISNUMBER(_xlfn.XMATCH(CONTROL[[#This Row],[VEHIDCODE]],#REF!,0))</f>
        <v>0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s="32" t="str">
        <f>"item_"&amp;CONTROL[[#This Row],[VEHIDCODE]]</f>
        <v>item_electric_Switzerland_SBB_Ae_6_6</v>
      </c>
      <c r="Q400" s="32" t="str">
        <f>"str_"&amp;CONTROL[[#This Row],[VEHIDCODE]]</f>
        <v>str_electric_Switzerland_SBB_Ae_6_6</v>
      </c>
    </row>
    <row r="401" spans="1:17">
      <c r="A401" s="2" t="s">
        <v>426</v>
      </c>
      <c r="B401" s="32" t="str">
        <f>_xlfn.TEXTAFTER(CONTROL[[#This Row],[VEHIDCODE]],"_")</f>
        <v>Switzerland_SBB_Re460_Lok_2000</v>
      </c>
      <c r="C401" t="s">
        <v>723</v>
      </c>
      <c r="D401" t="s">
        <v>943</v>
      </c>
      <c r="E401">
        <v>6045</v>
      </c>
      <c r="F401" t="s">
        <v>1398</v>
      </c>
      <c r="G401" t="s">
        <v>2759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Row],[VEHIDCODE]],#REF!,0))</f>
        <v>0</v>
      </c>
      <c r="L401" t="b">
        <f>ISNUMBER(_xlfn.XMATCH(CONTROL[[#This Row],[VEHIDCODE]],PROPERTIES[VEHIDCODE],0))</f>
        <v>1</v>
      </c>
      <c r="M401" t="b">
        <f>ISNUMBER(_xlfn.XMATCH(CONTROL[[#This Row],[VEHIDCODE]],#REF!,0))</f>
        <v>0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s="32" t="str">
        <f>"item_"&amp;CONTROL[[#This Row],[VEHIDCODE]]</f>
        <v>item_electric_Switzerland_SBB_Re460_Lok_2000</v>
      </c>
      <c r="Q401" s="32" t="str">
        <f>"str_"&amp;CONTROL[[#This Row],[VEHIDCODE]]</f>
        <v>str_electric_Switzerland_SBB_Re460_Lok_2000</v>
      </c>
    </row>
    <row r="402" spans="1:17">
      <c r="A402" s="2" t="s">
        <v>427</v>
      </c>
      <c r="B402" s="32" t="str">
        <f>_xlfn.TEXTAFTER(CONTROL[[#This Row],[VEHIDCODE]],"_")</f>
        <v>Switzerland_SBB_Eem_923</v>
      </c>
      <c r="C402" t="s">
        <v>723</v>
      </c>
      <c r="D402" t="s">
        <v>943</v>
      </c>
      <c r="E402">
        <v>6059</v>
      </c>
      <c r="F402" t="s">
        <v>1399</v>
      </c>
      <c r="G402" t="s">
        <v>2760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Row],[VEHIDCODE]],#REF!,0))</f>
        <v>0</v>
      </c>
      <c r="L402" t="b">
        <f>ISNUMBER(_xlfn.XMATCH(CONTROL[[#This Row],[VEHIDCODE]],PROPERTIES[VEHIDCODE],0))</f>
        <v>1</v>
      </c>
      <c r="M402" t="b">
        <f>ISNUMBER(_xlfn.XMATCH(CONTROL[[#This Row],[VEHIDCODE]],#REF!,0))</f>
        <v>0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s="32" t="str">
        <f>"item_"&amp;CONTROL[[#This Row],[VEHIDCODE]]</f>
        <v>item_electric_Switzerland_SBB_Eem_923</v>
      </c>
      <c r="Q402" s="32" t="str">
        <f>"str_"&amp;CONTROL[[#This Row],[VEHIDCODE]]</f>
        <v>str_electric_Switzerland_SBB_Eem_923</v>
      </c>
    </row>
    <row r="403" spans="1:17">
      <c r="A403" s="2" t="s">
        <v>428</v>
      </c>
      <c r="B403" s="32" t="str">
        <f>_xlfn.TEXTAFTER(CONTROL[[#This Row],[VEHIDCODE]],"_")</f>
        <v>Austria_OBB_1044</v>
      </c>
      <c r="C403" t="s">
        <v>723</v>
      </c>
      <c r="D403" t="s">
        <v>943</v>
      </c>
      <c r="E403">
        <v>6035</v>
      </c>
      <c r="F403" t="s">
        <v>2528</v>
      </c>
      <c r="G403" t="s">
        <v>2761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Row],[VEHIDCODE]],#REF!,0))</f>
        <v>0</v>
      </c>
      <c r="L403" t="b">
        <f>ISNUMBER(_xlfn.XMATCH(CONTROL[[#This Row],[VEHIDCODE]],PROPERTIES[VEHIDCODE],0))</f>
        <v>1</v>
      </c>
      <c r="M403" t="b">
        <f>ISNUMBER(_xlfn.XMATCH(CONTROL[[#This Row],[VEHIDCODE]],#REF!,0))</f>
        <v>0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s="32" t="str">
        <f>"item_"&amp;CONTROL[[#This Row],[VEHIDCODE]]</f>
        <v>item_electric_Austria_OBB_1044</v>
      </c>
      <c r="Q403" s="32" t="str">
        <f>"str_"&amp;CONTROL[[#This Row],[VEHIDCODE]]</f>
        <v>str_electric_Austria_OBB_1044</v>
      </c>
    </row>
    <row r="404" spans="1:17">
      <c r="A404" s="2" t="s">
        <v>429</v>
      </c>
      <c r="B404" s="32" t="str">
        <f>_xlfn.TEXTAFTER(CONTROL[[#This Row],[VEHIDCODE]],"_")</f>
        <v>Austria_OBB_1063</v>
      </c>
      <c r="C404" t="s">
        <v>723</v>
      </c>
      <c r="D404" t="s">
        <v>943</v>
      </c>
      <c r="E404">
        <v>6039</v>
      </c>
      <c r="F404" t="s">
        <v>2529</v>
      </c>
      <c r="G404" t="s">
        <v>2762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Row],[VEHIDCODE]],#REF!,0))</f>
        <v>0</v>
      </c>
      <c r="L404" t="b">
        <f>ISNUMBER(_xlfn.XMATCH(CONTROL[[#This Row],[VEHIDCODE]],PROPERTIES[VEHIDCODE],0))</f>
        <v>1</v>
      </c>
      <c r="M404" t="b">
        <f>ISNUMBER(_xlfn.XMATCH(CONTROL[[#This Row],[VEHIDCODE]],#REF!,0))</f>
        <v>0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s="32" t="str">
        <f>"item_"&amp;CONTROL[[#This Row],[VEHIDCODE]]</f>
        <v>item_electric_Austria_OBB_1063</v>
      </c>
      <c r="Q404" s="32" t="str">
        <f>"str_"&amp;CONTROL[[#This Row],[VEHIDCODE]]</f>
        <v>str_electric_Austria_OBB_1063</v>
      </c>
    </row>
    <row r="405" spans="1:17">
      <c r="A405" s="2" t="s">
        <v>430</v>
      </c>
      <c r="B405" s="32" t="str">
        <f>_xlfn.TEXTAFTER(CONTROL[[#This Row],[VEHIDCODE]],"_")</f>
        <v>Sweden_MTAB_Dm3</v>
      </c>
      <c r="C405" t="s">
        <v>723</v>
      </c>
      <c r="D405" t="s">
        <v>943</v>
      </c>
      <c r="E405">
        <v>6020</v>
      </c>
      <c r="F405" t="s">
        <v>1400</v>
      </c>
      <c r="G405" t="s">
        <v>2763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Row],[VEHIDCODE]],#REF!,0))</f>
        <v>0</v>
      </c>
      <c r="L405" t="b">
        <f>ISNUMBER(_xlfn.XMATCH(CONTROL[[#This Row],[VEHIDCODE]],PROPERTIES[VEHIDCODE],0))</f>
        <v>1</v>
      </c>
      <c r="M405" t="b">
        <f>ISNUMBER(_xlfn.XMATCH(CONTROL[[#This Row],[VEHIDCODE]],#REF!,0))</f>
        <v>0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s="32" t="str">
        <f>"item_"&amp;CONTROL[[#This Row],[VEHIDCODE]]</f>
        <v>item_electric_Sweden_MTAB_Dm3</v>
      </c>
      <c r="Q405" s="32" t="str">
        <f>"str_"&amp;CONTROL[[#This Row],[VEHIDCODE]]</f>
        <v>str_electric_Sweden_MTAB_Dm3</v>
      </c>
    </row>
    <row r="406" spans="1:17">
      <c r="A406" s="2" t="s">
        <v>431</v>
      </c>
      <c r="B406" s="32" t="str">
        <f>_xlfn.TEXTAFTER(CONTROL[[#This Row],[VEHIDCODE]],"_")</f>
        <v>Sweden_MTAB_IORE</v>
      </c>
      <c r="C406" t="s">
        <v>723</v>
      </c>
      <c r="D406" t="s">
        <v>943</v>
      </c>
      <c r="E406">
        <v>6054</v>
      </c>
      <c r="F406" t="s">
        <v>1401</v>
      </c>
      <c r="G406" t="s">
        <v>2764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Row],[VEHIDCODE]],#REF!,0))</f>
        <v>0</v>
      </c>
      <c r="L406" t="b">
        <f>ISNUMBER(_xlfn.XMATCH(CONTROL[[#This Row],[VEHIDCODE]],PROPERTIES[VEHIDCODE],0))</f>
        <v>1</v>
      </c>
      <c r="M406" t="b">
        <f>ISNUMBER(_xlfn.XMATCH(CONTROL[[#This Row],[VEHIDCODE]],#REF!,0))</f>
        <v>0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s="32" t="str">
        <f>"item_"&amp;CONTROL[[#This Row],[VEHIDCODE]]</f>
        <v>item_electric_Sweden_MTAB_IORE</v>
      </c>
      <c r="Q406" s="32" t="str">
        <f>"str_"&amp;CONTROL[[#This Row],[VEHIDCODE]]</f>
        <v>str_electric_Sweden_MTAB_IORE</v>
      </c>
    </row>
    <row r="407" spans="1:17">
      <c r="A407" s="2" t="s">
        <v>432</v>
      </c>
      <c r="B407" s="32" t="str">
        <f>_xlfn.TEXTAFTER(CONTROL[[#This Row],[VEHIDCODE]],"_")</f>
        <v>Sweden_SJ_O_Class</v>
      </c>
      <c r="C407" t="s">
        <v>723</v>
      </c>
      <c r="D407" t="s">
        <v>943</v>
      </c>
      <c r="E407">
        <v>6069</v>
      </c>
      <c r="F407" t="s">
        <v>1402</v>
      </c>
      <c r="G407" t="s">
        <v>2765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Row],[VEHIDCODE]],#REF!,0))</f>
        <v>0</v>
      </c>
      <c r="L407" t="b">
        <f>ISNUMBER(_xlfn.XMATCH(CONTROL[[#This Row],[VEHIDCODE]],PROPERTIES[VEHIDCODE],0))</f>
        <v>1</v>
      </c>
      <c r="M407" t="b">
        <f>ISNUMBER(_xlfn.XMATCH(CONTROL[[#This Row],[VEHIDCODE]],#REF!,0))</f>
        <v>0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s="32" t="str">
        <f>"item_"&amp;CONTROL[[#This Row],[VEHIDCODE]]</f>
        <v>item_electric_Sweden_SJ_O_Class</v>
      </c>
      <c r="Q407" s="32" t="str">
        <f>"str_"&amp;CONTROL[[#This Row],[VEHIDCODE]]</f>
        <v>str_electric_Sweden_SJ_O_Class</v>
      </c>
    </row>
    <row r="408" spans="1:17">
      <c r="A408" s="2" t="s">
        <v>433</v>
      </c>
      <c r="B408" s="32" t="str">
        <f>_xlfn.TEXTAFTER(CONTROL[[#This Row],[VEHIDCODE]],"_")</f>
        <v>Sweden_SJ_F_Class</v>
      </c>
      <c r="C408" t="s">
        <v>723</v>
      </c>
      <c r="D408" t="s">
        <v>943</v>
      </c>
      <c r="E408">
        <v>6076</v>
      </c>
      <c r="F408" t="s">
        <v>1403</v>
      </c>
      <c r="G408" t="s">
        <v>2766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Row],[VEHIDCODE]],#REF!,0))</f>
        <v>0</v>
      </c>
      <c r="L408" t="b">
        <f>ISNUMBER(_xlfn.XMATCH(CONTROL[[#This Row],[VEHIDCODE]],PROPERTIES[VEHIDCODE],0))</f>
        <v>1</v>
      </c>
      <c r="M408" t="b">
        <f>ISNUMBER(_xlfn.XMATCH(CONTROL[[#This Row],[VEHIDCODE]],#REF!,0))</f>
        <v>0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s="32" t="str">
        <f>"item_"&amp;CONTROL[[#This Row],[VEHIDCODE]]</f>
        <v>item_electric_Sweden_SJ_F_Class</v>
      </c>
      <c r="Q408" s="32" t="str">
        <f>"str_"&amp;CONTROL[[#This Row],[VEHIDCODE]]</f>
        <v>str_electric_Sweden_SJ_F_Class</v>
      </c>
    </row>
    <row r="409" spans="1:17">
      <c r="A409" s="2" t="s">
        <v>434</v>
      </c>
      <c r="B409" s="32" t="str">
        <f>_xlfn.TEXTAFTER(CONTROL[[#This Row],[VEHIDCODE]],"_")</f>
        <v>Norway_NSB_EL17</v>
      </c>
      <c r="C409" t="s">
        <v>723</v>
      </c>
      <c r="D409" t="s">
        <v>943</v>
      </c>
      <c r="E409">
        <v>6129</v>
      </c>
      <c r="F409" t="s">
        <v>1404</v>
      </c>
      <c r="G409" t="s">
        <v>2767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Row],[VEHIDCODE]],#REF!,0))</f>
        <v>0</v>
      </c>
      <c r="L409" t="b">
        <f>ISNUMBER(_xlfn.XMATCH(CONTROL[[#This Row],[VEHIDCODE]],PROPERTIES[VEHIDCODE],0))</f>
        <v>1</v>
      </c>
      <c r="M409" t="b">
        <f>ISNUMBER(_xlfn.XMATCH(CONTROL[[#This Row],[VEHIDCODE]],#REF!,0))</f>
        <v>0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s="32" t="str">
        <f>"item_"&amp;CONTROL[[#This Row],[VEHIDCODE]]</f>
        <v>item_electric_Norway_NSB_EL17</v>
      </c>
      <c r="Q409" s="32" t="str">
        <f>"str_"&amp;CONTROL[[#This Row],[VEHIDCODE]]</f>
        <v>str_electric_Norway_NSB_EL17</v>
      </c>
    </row>
    <row r="410" spans="1:17">
      <c r="A410" s="2" t="s">
        <v>435</v>
      </c>
      <c r="B410" s="32" t="str">
        <f>_xlfn.TEXTAFTER(CONTROL[[#This Row],[VEHIDCODE]],"_")</f>
        <v>Germany_Prussian_ES_6</v>
      </c>
      <c r="C410" t="s">
        <v>723</v>
      </c>
      <c r="D410" t="s">
        <v>943</v>
      </c>
      <c r="E410">
        <v>6135</v>
      </c>
      <c r="F410" t="s">
        <v>1405</v>
      </c>
      <c r="G410" t="s">
        <v>2768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Row],[VEHIDCODE]],#REF!,0))</f>
        <v>0</v>
      </c>
      <c r="L410" t="b">
        <f>ISNUMBER(_xlfn.XMATCH(CONTROL[[#This Row],[VEHIDCODE]],PROPERTIES[VEHIDCODE],0))</f>
        <v>1</v>
      </c>
      <c r="M410" t="b">
        <f>ISNUMBER(_xlfn.XMATCH(CONTROL[[#This Row],[VEHIDCODE]],#REF!,0))</f>
        <v>0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s="32" t="str">
        <f>"item_"&amp;CONTROL[[#This Row],[VEHIDCODE]]</f>
        <v>item_electric_Germany_Prussian_ES_6</v>
      </c>
      <c r="Q410" s="32" t="str">
        <f>"str_"&amp;CONTROL[[#This Row],[VEHIDCODE]]</f>
        <v>str_electric_Germany_Prussian_ES_6</v>
      </c>
    </row>
    <row r="411" spans="1:17">
      <c r="A411" s="2" t="s">
        <v>436</v>
      </c>
      <c r="B411" s="32" t="str">
        <f>_xlfn.TEXTAFTER(CONTROL[[#This Row],[VEHIDCODE]],"_")</f>
        <v>USA_Virginian_Railway_EL_2B</v>
      </c>
      <c r="C411" t="s">
        <v>723</v>
      </c>
      <c r="D411" t="s">
        <v>943</v>
      </c>
      <c r="E411">
        <v>6098</v>
      </c>
      <c r="F411" t="s">
        <v>1406</v>
      </c>
      <c r="G411" t="s">
        <v>2769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Row],[VEHIDCODE]],#REF!,0))</f>
        <v>0</v>
      </c>
      <c r="L411" t="b">
        <f>ISNUMBER(_xlfn.XMATCH(CONTROL[[#This Row],[VEHIDCODE]],PROPERTIES[VEHIDCODE],0))</f>
        <v>1</v>
      </c>
      <c r="M411" t="b">
        <f>ISNUMBER(_xlfn.XMATCH(CONTROL[[#This Row],[VEHIDCODE]],#REF!,0))</f>
        <v>0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s="32" t="str">
        <f>"item_"&amp;CONTROL[[#This Row],[VEHIDCODE]]</f>
        <v>item_electric_USA_Virginian_Railway_EL_2B</v>
      </c>
      <c r="Q411" s="32" t="str">
        <f>"str_"&amp;CONTROL[[#This Row],[VEHIDCODE]]</f>
        <v>str_electric_USA_Virginian_Railway_EL_2B</v>
      </c>
    </row>
    <row r="412" spans="1:17">
      <c r="A412" s="2" t="s">
        <v>437</v>
      </c>
      <c r="B412" s="32" t="str">
        <f>_xlfn.TEXTAFTER(CONTROL[[#This Row],[VEHIDCODE]],"_")</f>
        <v>USA_GN_W_1</v>
      </c>
      <c r="C412" t="s">
        <v>723</v>
      </c>
      <c r="D412" t="s">
        <v>943</v>
      </c>
      <c r="E412">
        <v>6097</v>
      </c>
      <c r="F412" t="s">
        <v>1407</v>
      </c>
      <c r="G412" t="s">
        <v>2770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Row],[VEHIDCODE]],#REF!,0))</f>
        <v>0</v>
      </c>
      <c r="L412" t="b">
        <f>ISNUMBER(_xlfn.XMATCH(CONTROL[[#This Row],[VEHIDCODE]],PROPERTIES[VEHIDCODE],0))</f>
        <v>1</v>
      </c>
      <c r="M412" t="b">
        <f>ISNUMBER(_xlfn.XMATCH(CONTROL[[#This Row],[VEHIDCODE]],#REF!,0))</f>
        <v>0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s="32" t="str">
        <f>"item_"&amp;CONTROL[[#This Row],[VEHIDCODE]]</f>
        <v>item_electric_USA_GN_W_1</v>
      </c>
      <c r="Q412" s="32" t="str">
        <f>"str_"&amp;CONTROL[[#This Row],[VEHIDCODE]]</f>
        <v>str_electric_USA_GN_W_1</v>
      </c>
    </row>
    <row r="413" spans="1:17">
      <c r="A413" s="2" t="s">
        <v>438</v>
      </c>
      <c r="B413" s="32" t="str">
        <f>_xlfn.TEXTAFTER(CONTROL[[#This Row],[VEHIDCODE]],"_")</f>
        <v>USA_PRR_B1</v>
      </c>
      <c r="C413" t="s">
        <v>723</v>
      </c>
      <c r="D413" t="s">
        <v>943</v>
      </c>
      <c r="E413">
        <v>6121</v>
      </c>
      <c r="F413" t="s">
        <v>1408</v>
      </c>
      <c r="G413" t="s">
        <v>2771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Row],[VEHIDCODE]],#REF!,0))</f>
        <v>0</v>
      </c>
      <c r="L413" t="b">
        <f>ISNUMBER(_xlfn.XMATCH(CONTROL[[#This Row],[VEHIDCODE]],PROPERTIES[VEHIDCODE],0))</f>
        <v>1</v>
      </c>
      <c r="M413" t="b">
        <f>ISNUMBER(_xlfn.XMATCH(CONTROL[[#This Row],[VEHIDCODE]],#REF!,0))</f>
        <v>0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s="32" t="str">
        <f>"item_"&amp;CONTROL[[#This Row],[VEHIDCODE]]</f>
        <v>item_electric_USA_PRR_B1</v>
      </c>
      <c r="Q413" s="32" t="str">
        <f>"str_"&amp;CONTROL[[#This Row],[VEHIDCODE]]</f>
        <v>str_electric_USA_PRR_B1</v>
      </c>
    </row>
    <row r="414" spans="1:17">
      <c r="A414" s="2" t="s">
        <v>439</v>
      </c>
      <c r="B414" s="32" t="str">
        <f>_xlfn.TEXTAFTER(CONTROL[[#This Row],[VEHIDCODE]],"_")</f>
        <v>Australia_Aurizon_E40_AG_V1</v>
      </c>
      <c r="C414" t="s">
        <v>723</v>
      </c>
      <c r="D414" t="s">
        <v>943</v>
      </c>
      <c r="E414">
        <v>6118</v>
      </c>
      <c r="F414" t="s">
        <v>1409</v>
      </c>
      <c r="G414" t="s">
        <v>2772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Row],[VEHIDCODE]],#REF!,0))</f>
        <v>0</v>
      </c>
      <c r="L414" t="b">
        <f>ISNUMBER(_xlfn.XMATCH(CONTROL[[#This Row],[VEHIDCODE]],PROPERTIES[VEHIDCODE],0))</f>
        <v>1</v>
      </c>
      <c r="M414" t="b">
        <f>ISNUMBER(_xlfn.XMATCH(CONTROL[[#This Row],[VEHIDCODE]],#REF!,0))</f>
        <v>0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s="32" t="str">
        <f>"item_"&amp;CONTROL[[#This Row],[VEHIDCODE]]</f>
        <v>item_electric_Australia_Aurizon_E40_AG_V1</v>
      </c>
      <c r="Q414" s="32" t="str">
        <f>"str_"&amp;CONTROL[[#This Row],[VEHIDCODE]]</f>
        <v>str_electric_Australia_Aurizon_E40_AG_V1</v>
      </c>
    </row>
    <row r="415" spans="1:17">
      <c r="A415" s="2" t="s">
        <v>440</v>
      </c>
      <c r="B415" s="32" t="str">
        <f>_xlfn.TEXTAFTER(CONTROL[[#This Row],[VEHIDCODE]],"_")</f>
        <v>China_China_Railways_SS6</v>
      </c>
      <c r="C415" t="s">
        <v>723</v>
      </c>
      <c r="D415" t="s">
        <v>943</v>
      </c>
      <c r="E415">
        <v>6044</v>
      </c>
      <c r="F415" t="s">
        <v>1410</v>
      </c>
      <c r="G415" t="s">
        <v>2773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Row],[VEHIDCODE]],#REF!,0))</f>
        <v>0</v>
      </c>
      <c r="L415" t="b">
        <f>ISNUMBER(_xlfn.XMATCH(CONTROL[[#This Row],[VEHIDCODE]],PROPERTIES[VEHIDCODE],0))</f>
        <v>1</v>
      </c>
      <c r="M415" t="b">
        <f>ISNUMBER(_xlfn.XMATCH(CONTROL[[#This Row],[VEHIDCODE]],#REF!,0))</f>
        <v>0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s="32" t="str">
        <f>"item_"&amp;CONTROL[[#This Row],[VEHIDCODE]]</f>
        <v>item_electric_China_China_Railways_SS6</v>
      </c>
      <c r="Q415" s="32" t="str">
        <f>"str_"&amp;CONTROL[[#This Row],[VEHIDCODE]]</f>
        <v>str_electric_China_China_Railways_SS6</v>
      </c>
    </row>
    <row r="416" spans="1:17">
      <c r="A416" s="2" t="s">
        <v>441</v>
      </c>
      <c r="B416" s="32" t="str">
        <f>_xlfn.TEXTAFTER(CONTROL[[#This Row],[VEHIDCODE]],"_")</f>
        <v>China_China_Railways_SS3</v>
      </c>
      <c r="C416" t="s">
        <v>723</v>
      </c>
      <c r="D416" t="s">
        <v>943</v>
      </c>
      <c r="E416">
        <v>6127</v>
      </c>
      <c r="F416" t="s">
        <v>1411</v>
      </c>
      <c r="G416" t="s">
        <v>2774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Row],[VEHIDCODE]],#REF!,0))</f>
        <v>0</v>
      </c>
      <c r="L416" t="b">
        <f>ISNUMBER(_xlfn.XMATCH(CONTROL[[#This Row],[VEHIDCODE]],PROPERTIES[VEHIDCODE],0))</f>
        <v>1</v>
      </c>
      <c r="M416" t="b">
        <f>ISNUMBER(_xlfn.XMATCH(CONTROL[[#This Row],[VEHIDCODE]],#REF!,0))</f>
        <v>0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s="32" t="str">
        <f>"item_"&amp;CONTROL[[#This Row],[VEHIDCODE]]</f>
        <v>item_electric_China_China_Railways_SS3</v>
      </c>
      <c r="Q416" s="32" t="str">
        <f>"str_"&amp;CONTROL[[#This Row],[VEHIDCODE]]</f>
        <v>str_electric_China_China_Railways_SS3</v>
      </c>
    </row>
    <row r="417" spans="1:17">
      <c r="A417" s="2" t="s">
        <v>442</v>
      </c>
      <c r="B417" s="32" t="str">
        <f>_xlfn.TEXTAFTER(CONTROL[[#This Row],[VEHIDCODE]],"_")</f>
        <v>China_China_Railways_HXD3</v>
      </c>
      <c r="C417" t="s">
        <v>723</v>
      </c>
      <c r="D417" t="s">
        <v>943</v>
      </c>
      <c r="E417">
        <v>6058</v>
      </c>
      <c r="F417" t="s">
        <v>1412</v>
      </c>
      <c r="G417" t="s">
        <v>2775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Row],[VEHIDCODE]],#REF!,0))</f>
        <v>0</v>
      </c>
      <c r="L417" t="b">
        <f>ISNUMBER(_xlfn.XMATCH(CONTROL[[#This Row],[VEHIDCODE]],PROPERTIES[VEHIDCODE],0))</f>
        <v>1</v>
      </c>
      <c r="M417" t="b">
        <f>ISNUMBER(_xlfn.XMATCH(CONTROL[[#This Row],[VEHIDCODE]],#REF!,0))</f>
        <v>0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s="32" t="str">
        <f>"item_"&amp;CONTROL[[#This Row],[VEHIDCODE]]</f>
        <v>item_electric_China_China_Railways_HXD3</v>
      </c>
      <c r="Q417" s="32" t="str">
        <f>"str_"&amp;CONTROL[[#This Row],[VEHIDCODE]]</f>
        <v>str_electric_China_China_Railways_HXD3</v>
      </c>
    </row>
    <row r="418" spans="1:17">
      <c r="A418" s="2" t="s">
        <v>443</v>
      </c>
      <c r="B418" s="32" t="str">
        <f>_xlfn.TEXTAFTER(CONTROL[[#This Row],[VEHIDCODE]],"_")</f>
        <v>China_China_Railways_HXD1D</v>
      </c>
      <c r="C418" t="s">
        <v>723</v>
      </c>
      <c r="D418" t="s">
        <v>943</v>
      </c>
      <c r="E418">
        <v>6093</v>
      </c>
      <c r="F418" t="s">
        <v>1413</v>
      </c>
      <c r="G418" t="s">
        <v>2776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Row],[VEHIDCODE]],#REF!,0))</f>
        <v>0</v>
      </c>
      <c r="L418" t="b">
        <f>ISNUMBER(_xlfn.XMATCH(CONTROL[[#This Row],[VEHIDCODE]],PROPERTIES[VEHIDCODE],0))</f>
        <v>1</v>
      </c>
      <c r="M418" t="b">
        <f>ISNUMBER(_xlfn.XMATCH(CONTROL[[#This Row],[VEHIDCODE]],#REF!,0))</f>
        <v>0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s="32" t="str">
        <f>"item_"&amp;CONTROL[[#This Row],[VEHIDCODE]]</f>
        <v>item_electric_China_China_Railways_HXD1D</v>
      </c>
      <c r="Q418" s="32" t="str">
        <f>"str_"&amp;CONTROL[[#This Row],[VEHIDCODE]]</f>
        <v>str_electric_China_China_Railways_HXD1D</v>
      </c>
    </row>
    <row r="419" spans="1:17">
      <c r="A419" s="2" t="s">
        <v>444</v>
      </c>
      <c r="B419" s="32" t="str">
        <f>_xlfn.TEXTAFTER(CONTROL[[#This Row],[VEHIDCODE]],"_")</f>
        <v>China_China_Railways_6K</v>
      </c>
      <c r="C419" t="s">
        <v>723</v>
      </c>
      <c r="D419" t="s">
        <v>943</v>
      </c>
      <c r="E419">
        <v>6042</v>
      </c>
      <c r="F419" t="s">
        <v>1414</v>
      </c>
      <c r="G419" t="s">
        <v>2777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Row],[VEHIDCODE]],#REF!,0))</f>
        <v>0</v>
      </c>
      <c r="L419" t="b">
        <f>ISNUMBER(_xlfn.XMATCH(CONTROL[[#This Row],[VEHIDCODE]],PROPERTIES[VEHIDCODE],0))</f>
        <v>1</v>
      </c>
      <c r="M419" t="b">
        <f>ISNUMBER(_xlfn.XMATCH(CONTROL[[#This Row],[VEHIDCODE]],#REF!,0))</f>
        <v>0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s="32" t="str">
        <f>"item_"&amp;CONTROL[[#This Row],[VEHIDCODE]]</f>
        <v>item_electric_China_China_Railways_6K</v>
      </c>
      <c r="Q419" s="32" t="str">
        <f>"str_"&amp;CONTROL[[#This Row],[VEHIDCODE]]</f>
        <v>str_electric_China_China_Railways_6K</v>
      </c>
    </row>
    <row r="420" spans="1:17">
      <c r="A420" s="2" t="s">
        <v>445</v>
      </c>
      <c r="B420" s="32" t="str">
        <f>_xlfn.TEXTAFTER(CONTROL[[#This Row],[VEHIDCODE]],"_")</f>
        <v>USA_PRR_E44</v>
      </c>
      <c r="C420" t="s">
        <v>723</v>
      </c>
      <c r="D420" t="s">
        <v>943</v>
      </c>
      <c r="E420">
        <v>6101</v>
      </c>
      <c r="F420" t="s">
        <v>1415</v>
      </c>
      <c r="G420" t="s">
        <v>2778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Row],[VEHIDCODE]],#REF!,0))</f>
        <v>0</v>
      </c>
      <c r="L420" t="b">
        <f>ISNUMBER(_xlfn.XMATCH(CONTROL[[#This Row],[VEHIDCODE]],PROPERTIES[VEHIDCODE],0))</f>
        <v>1</v>
      </c>
      <c r="M420" t="b">
        <f>ISNUMBER(_xlfn.XMATCH(CONTROL[[#This Row],[VEHIDCODE]],#REF!,0))</f>
        <v>0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s="32" t="str">
        <f>"item_"&amp;CONTROL[[#This Row],[VEHIDCODE]]</f>
        <v>item_electric_USA_PRR_E44</v>
      </c>
      <c r="Q420" s="32" t="str">
        <f>"str_"&amp;CONTROL[[#This Row],[VEHIDCODE]]</f>
        <v>str_electric_USA_PRR_E44</v>
      </c>
    </row>
    <row r="421" spans="1:17">
      <c r="A421" s="2" t="s">
        <v>446</v>
      </c>
      <c r="B421" s="32" t="str">
        <f>_xlfn.TEXTAFTER(CONTROL[[#This Row],[VEHIDCODE]],"_")</f>
        <v>Croatia_HZ_1141</v>
      </c>
      <c r="C421" t="s">
        <v>723</v>
      </c>
      <c r="D421" t="s">
        <v>943</v>
      </c>
      <c r="E421">
        <v>6031</v>
      </c>
      <c r="F421" t="s">
        <v>1416</v>
      </c>
      <c r="G421" t="s">
        <v>2779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Row],[VEHIDCODE]],#REF!,0))</f>
        <v>0</v>
      </c>
      <c r="L421" t="b">
        <f>ISNUMBER(_xlfn.XMATCH(CONTROL[[#This Row],[VEHIDCODE]],PROPERTIES[VEHIDCODE],0))</f>
        <v>1</v>
      </c>
      <c r="M421" t="b">
        <f>ISNUMBER(_xlfn.XMATCH(CONTROL[[#This Row],[VEHIDCODE]],#REF!,0))</f>
        <v>0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s="32" t="str">
        <f>"item_"&amp;CONTROL[[#This Row],[VEHIDCODE]]</f>
        <v>item_electric_Croatia_HZ_1141</v>
      </c>
      <c r="Q421" s="32" t="str">
        <f>"str_"&amp;CONTROL[[#This Row],[VEHIDCODE]]</f>
        <v>str_electric_Croatia_HZ_1141</v>
      </c>
    </row>
    <row r="422" spans="1:17">
      <c r="A422" s="2" t="s">
        <v>447</v>
      </c>
      <c r="B422" s="32" t="str">
        <f>_xlfn.TEXTAFTER(CONTROL[[#This Row],[VEHIDCODE]],"_")</f>
        <v>Hungary_MAV_Class_V43</v>
      </c>
      <c r="C422" t="s">
        <v>723</v>
      </c>
      <c r="D422" t="s">
        <v>943</v>
      </c>
      <c r="E422">
        <v>6085</v>
      </c>
      <c r="F422" t="s">
        <v>2537</v>
      </c>
      <c r="G422" t="s">
        <v>2780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Row],[VEHIDCODE]],#REF!,0))</f>
        <v>0</v>
      </c>
      <c r="L422" t="b">
        <f>ISNUMBER(_xlfn.XMATCH(CONTROL[[#This Row],[VEHIDCODE]],PROPERTIES[VEHIDCODE],0))</f>
        <v>1</v>
      </c>
      <c r="M422" t="b">
        <f>ISNUMBER(_xlfn.XMATCH(CONTROL[[#This Row],[VEHIDCODE]],#REF!,0))</f>
        <v>0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s="32" t="str">
        <f>"item_"&amp;CONTROL[[#This Row],[VEHIDCODE]]</f>
        <v>item_electric_Hungary_MAV_Class_V43</v>
      </c>
      <c r="Q422" s="32" t="str">
        <f>"str_"&amp;CONTROL[[#This Row],[VEHIDCODE]]</f>
        <v>str_electric_Hungary_MAV_Class_V43</v>
      </c>
    </row>
    <row r="423" spans="1:17">
      <c r="A423" s="2" t="s">
        <v>448</v>
      </c>
      <c r="B423" s="32" t="str">
        <f>_xlfn.TEXTAFTER(CONTROL[[#This Row],[VEHIDCODE]],"_")</f>
        <v>Portugal_CP_2500</v>
      </c>
      <c r="C423" t="s">
        <v>723</v>
      </c>
      <c r="D423" t="s">
        <v>943</v>
      </c>
      <c r="E423">
        <v>6025</v>
      </c>
      <c r="F423" t="s">
        <v>1417</v>
      </c>
      <c r="G423" t="s">
        <v>2781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Row],[VEHIDCODE]],#REF!,0))</f>
        <v>0</v>
      </c>
      <c r="L423" t="b">
        <f>ISNUMBER(_xlfn.XMATCH(CONTROL[[#This Row],[VEHIDCODE]],PROPERTIES[VEHIDCODE],0))</f>
        <v>1</v>
      </c>
      <c r="M423" t="b">
        <f>ISNUMBER(_xlfn.XMATCH(CONTROL[[#This Row],[VEHIDCODE]],#REF!,0))</f>
        <v>0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s="32" t="str">
        <f>"item_"&amp;CONTROL[[#This Row],[VEHIDCODE]]</f>
        <v>item_electric_Portugal_CP_2500</v>
      </c>
      <c r="Q423" s="32" t="str">
        <f>"str_"&amp;CONTROL[[#This Row],[VEHIDCODE]]</f>
        <v>str_electric_Portugal_CP_2500</v>
      </c>
    </row>
    <row r="424" spans="1:17">
      <c r="A424" s="2" t="s">
        <v>449</v>
      </c>
      <c r="B424" s="32" t="str">
        <f>_xlfn.TEXTAFTER(CONTROL[[#This Row],[VEHIDCODE]],"_")</f>
        <v>Portugal_CP_2600</v>
      </c>
      <c r="C424" t="s">
        <v>723</v>
      </c>
      <c r="D424" t="s">
        <v>943</v>
      </c>
      <c r="E424">
        <v>6103</v>
      </c>
      <c r="F424" t="s">
        <v>1418</v>
      </c>
      <c r="G424" t="s">
        <v>2782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Row],[VEHIDCODE]],#REF!,0))</f>
        <v>0</v>
      </c>
      <c r="L424" t="b">
        <f>ISNUMBER(_xlfn.XMATCH(CONTROL[[#This Row],[VEHIDCODE]],PROPERTIES[VEHIDCODE],0))</f>
        <v>1</v>
      </c>
      <c r="M424" t="b">
        <f>ISNUMBER(_xlfn.XMATCH(CONTROL[[#This Row],[VEHIDCODE]],#REF!,0))</f>
        <v>0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s="32" t="str">
        <f>"item_"&amp;CONTROL[[#This Row],[VEHIDCODE]]</f>
        <v>item_electric_Portugal_CP_2600</v>
      </c>
      <c r="Q424" s="32" t="str">
        <f>"str_"&amp;CONTROL[[#This Row],[VEHIDCODE]]</f>
        <v>str_electric_Portugal_CP_2600</v>
      </c>
    </row>
    <row r="425" spans="1:17">
      <c r="A425" s="2" t="s">
        <v>450</v>
      </c>
      <c r="B425" s="32" t="str">
        <f>_xlfn.TEXTAFTER(CONTROL[[#This Row],[VEHIDCODE]],"_")</f>
        <v>South_Africa_SAR_20E</v>
      </c>
      <c r="C425" t="s">
        <v>723</v>
      </c>
      <c r="D425" t="s">
        <v>943</v>
      </c>
      <c r="E425">
        <v>6094</v>
      </c>
      <c r="F425" t="s">
        <v>2295</v>
      </c>
      <c r="G425" t="s">
        <v>2783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Row],[VEHIDCODE]],#REF!,0))</f>
        <v>0</v>
      </c>
      <c r="L425" t="b">
        <f>ISNUMBER(_xlfn.XMATCH(CONTROL[[#This Row],[VEHIDCODE]],PROPERTIES[VEHIDCODE],0))</f>
        <v>1</v>
      </c>
      <c r="M425" t="b">
        <f>ISNUMBER(_xlfn.XMATCH(CONTROL[[#This Row],[VEHIDCODE]],#REF!,0))</f>
        <v>0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s="32" t="str">
        <f>"item_"&amp;CONTROL[[#This Row],[VEHIDCODE]]</f>
        <v>item_electric_South_Africa_SAR_20E</v>
      </c>
      <c r="Q425" s="32" t="str">
        <f>"str_"&amp;CONTROL[[#This Row],[VEHIDCODE]]</f>
        <v>str_electric_South_Africa_SAR_20E</v>
      </c>
    </row>
    <row r="426" spans="1:17">
      <c r="A426" s="2" t="s">
        <v>451</v>
      </c>
      <c r="B426" s="32" t="str">
        <f>_xlfn.TEXTAFTER(CONTROL[[#This Row],[VEHIDCODE]],"_")</f>
        <v>South_Korea_Korail_8200</v>
      </c>
      <c r="C426" t="s">
        <v>723</v>
      </c>
      <c r="D426" t="s">
        <v>943</v>
      </c>
      <c r="E426">
        <v>6055</v>
      </c>
      <c r="F426" t="s">
        <v>1419</v>
      </c>
      <c r="G426" t="s">
        <v>2784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Row],[VEHIDCODE]],#REF!,0))</f>
        <v>0</v>
      </c>
      <c r="L426" t="b">
        <f>ISNUMBER(_xlfn.XMATCH(CONTROL[[#This Row],[VEHIDCODE]],PROPERTIES[VEHIDCODE],0))</f>
        <v>1</v>
      </c>
      <c r="M426" t="b">
        <f>ISNUMBER(_xlfn.XMATCH(CONTROL[[#This Row],[VEHIDCODE]],#REF!,0))</f>
        <v>0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s="32" t="str">
        <f>"item_"&amp;CONTROL[[#This Row],[VEHIDCODE]]</f>
        <v>item_electric_South_Korea_Korail_8200</v>
      </c>
      <c r="Q426" s="32" t="str">
        <f>"str_"&amp;CONTROL[[#This Row],[VEHIDCODE]]</f>
        <v>str_electric_South_Korea_Korail_8200</v>
      </c>
    </row>
    <row r="427" spans="1:17">
      <c r="A427" s="2" t="s">
        <v>452</v>
      </c>
      <c r="B427" s="32" t="str">
        <f>_xlfn.TEXTAFTER(CONTROL[[#This Row],[VEHIDCODE]],"_")</f>
        <v>Ukraine_UZ_DS3</v>
      </c>
      <c r="C427" t="s">
        <v>723</v>
      </c>
      <c r="D427" t="s">
        <v>943</v>
      </c>
      <c r="E427">
        <v>6056</v>
      </c>
      <c r="F427" t="s">
        <v>1420</v>
      </c>
      <c r="G427" t="s">
        <v>2785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Row],[VEHIDCODE]],#REF!,0))</f>
        <v>0</v>
      </c>
      <c r="L427" t="b">
        <f>ISNUMBER(_xlfn.XMATCH(CONTROL[[#This Row],[VEHIDCODE]],PROPERTIES[VEHIDCODE],0))</f>
        <v>1</v>
      </c>
      <c r="M427" t="b">
        <f>ISNUMBER(_xlfn.XMATCH(CONTROL[[#This Row],[VEHIDCODE]],#REF!,0))</f>
        <v>0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s="32" t="str">
        <f>"item_"&amp;CONTROL[[#This Row],[VEHIDCODE]]</f>
        <v>item_electric_Ukraine_UZ_DS3</v>
      </c>
      <c r="Q427" s="32" t="str">
        <f>"str_"&amp;CONTROL[[#This Row],[VEHIDCODE]]</f>
        <v>str_electric_Ukraine_UZ_DS3</v>
      </c>
    </row>
    <row r="428" spans="1:17">
      <c r="A428" s="2" t="s">
        <v>453</v>
      </c>
      <c r="B428" s="32" t="str">
        <f>_xlfn.TEXTAFTER(CONTROL[[#This Row],[VEHIDCODE]],"_")</f>
        <v>Czech_Republic_CD_S499</v>
      </c>
      <c r="C428" t="s">
        <v>723</v>
      </c>
      <c r="D428" t="s">
        <v>943</v>
      </c>
      <c r="E428">
        <v>6089</v>
      </c>
      <c r="F428" t="s">
        <v>2823</v>
      </c>
      <c r="G428" t="s">
        <v>2786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Row],[VEHIDCODE]],#REF!,0))</f>
        <v>0</v>
      </c>
      <c r="L428" t="b">
        <f>ISNUMBER(_xlfn.XMATCH(CONTROL[[#This Row],[VEHIDCODE]],PROPERTIES[VEHIDCODE],0))</f>
        <v>1</v>
      </c>
      <c r="M428" t="b">
        <f>ISNUMBER(_xlfn.XMATCH(CONTROL[[#This Row],[VEHIDCODE]],#REF!,0))</f>
        <v>0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s="32" t="str">
        <f>"item_"&amp;CONTROL[[#This Row],[VEHIDCODE]]</f>
        <v>item_electric_Czech_Republic_CD_S499</v>
      </c>
      <c r="Q428" s="32" t="str">
        <f>"str_"&amp;CONTROL[[#This Row],[VEHIDCODE]]</f>
        <v>str_electric_Czech_Republic_CD_S499</v>
      </c>
    </row>
    <row r="429" spans="1:17">
      <c r="A429" s="2" t="s">
        <v>454</v>
      </c>
      <c r="B429" s="32" t="str">
        <f>_xlfn.TEXTAFTER(CONTROL[[#This Row],[VEHIDCODE]],"_")</f>
        <v>Italy_FS_E491</v>
      </c>
      <c r="C429" t="s">
        <v>723</v>
      </c>
      <c r="D429" t="s">
        <v>943</v>
      </c>
      <c r="E429">
        <v>6115</v>
      </c>
      <c r="F429" t="s">
        <v>1421</v>
      </c>
      <c r="G429" t="s">
        <v>2787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Row],[VEHIDCODE]],#REF!,0))</f>
        <v>0</v>
      </c>
      <c r="L429" t="b">
        <f>ISNUMBER(_xlfn.XMATCH(CONTROL[[#This Row],[VEHIDCODE]],PROPERTIES[VEHIDCODE],0))</f>
        <v>1</v>
      </c>
      <c r="M429" t="b">
        <f>ISNUMBER(_xlfn.XMATCH(CONTROL[[#This Row],[VEHIDCODE]],#REF!,0))</f>
        <v>0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s="32" t="str">
        <f>"item_"&amp;CONTROL[[#This Row],[VEHIDCODE]]</f>
        <v>item_electric_Italy_FS_E491</v>
      </c>
      <c r="Q429" s="32" t="str">
        <f>"str_"&amp;CONTROL[[#This Row],[VEHIDCODE]]</f>
        <v>str_electric_Italy_FS_E491</v>
      </c>
    </row>
    <row r="430" spans="1:17">
      <c r="A430" s="2" t="s">
        <v>455</v>
      </c>
      <c r="B430" s="32" t="str">
        <f>_xlfn.TEXTAFTER(CONTROL[[#This Row],[VEHIDCODE]],"_")</f>
        <v>Macedonia_Macedonian_Railways_462</v>
      </c>
      <c r="C430" t="s">
        <v>723</v>
      </c>
      <c r="D430" t="s">
        <v>943</v>
      </c>
      <c r="E430">
        <v>6105</v>
      </c>
      <c r="F430" t="s">
        <v>1422</v>
      </c>
      <c r="G430" t="s">
        <v>2788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Row],[VEHIDCODE]],#REF!,0))</f>
        <v>0</v>
      </c>
      <c r="L430" t="b">
        <f>ISNUMBER(_xlfn.XMATCH(CONTROL[[#This Row],[VEHIDCODE]],PROPERTIES[VEHIDCODE],0))</f>
        <v>1</v>
      </c>
      <c r="M430" t="b">
        <f>ISNUMBER(_xlfn.XMATCH(CONTROL[[#This Row],[VEHIDCODE]],#REF!,0))</f>
        <v>0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s="32" t="str">
        <f>"item_"&amp;CONTROL[[#This Row],[VEHIDCODE]]</f>
        <v>item_electric_Macedonia_Macedonian_Railways_462</v>
      </c>
      <c r="Q430" s="32" t="str">
        <f>"str_"&amp;CONTROL[[#This Row],[VEHIDCODE]]</f>
        <v>str_electric_Macedonia_Macedonian_Railways_462</v>
      </c>
    </row>
    <row r="431" spans="1:17">
      <c r="A431" s="2" t="s">
        <v>456</v>
      </c>
      <c r="B431" s="32" t="str">
        <f>_xlfn.TEXTAFTER(CONTROL[[#This Row],[VEHIDCODE]],"_")</f>
        <v>Morocco_ONCFM_E_500</v>
      </c>
      <c r="C431" t="s">
        <v>723</v>
      </c>
      <c r="D431" t="s">
        <v>943</v>
      </c>
      <c r="E431">
        <v>6122</v>
      </c>
      <c r="F431" t="s">
        <v>1423</v>
      </c>
      <c r="G431" t="s">
        <v>2789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Row],[VEHIDCODE]],#REF!,0))</f>
        <v>0</v>
      </c>
      <c r="L431" t="b">
        <f>ISNUMBER(_xlfn.XMATCH(CONTROL[[#This Row],[VEHIDCODE]],PROPERTIES[VEHIDCODE],0))</f>
        <v>1</v>
      </c>
      <c r="M431" t="b">
        <f>ISNUMBER(_xlfn.XMATCH(CONTROL[[#This Row],[VEHIDCODE]],#REF!,0))</f>
        <v>0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s="32" t="str">
        <f>"item_"&amp;CONTROL[[#This Row],[VEHIDCODE]]</f>
        <v>item_electric_Morocco_ONCFM_E_500</v>
      </c>
      <c r="Q431" s="32" t="str">
        <f>"str_"&amp;CONTROL[[#This Row],[VEHIDCODE]]</f>
        <v>str_electric_Morocco_ONCFM_E_500</v>
      </c>
    </row>
    <row r="432" spans="1:17">
      <c r="A432" s="2" t="s">
        <v>457</v>
      </c>
      <c r="B432" s="32" t="str">
        <f>_xlfn.TEXTAFTER(CONTROL[[#This Row],[VEHIDCODE]],"_")</f>
        <v>UK_BR_85</v>
      </c>
      <c r="C432" t="s">
        <v>723</v>
      </c>
      <c r="D432" t="s">
        <v>943</v>
      </c>
      <c r="E432">
        <v>6123</v>
      </c>
      <c r="F432" t="s">
        <v>1424</v>
      </c>
      <c r="G432" t="s">
        <v>2790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Row],[VEHIDCODE]],#REF!,0))</f>
        <v>0</v>
      </c>
      <c r="L432" t="b">
        <f>ISNUMBER(_xlfn.XMATCH(CONTROL[[#This Row],[VEHIDCODE]],PROPERTIES[VEHIDCODE],0))</f>
        <v>1</v>
      </c>
      <c r="M432" t="b">
        <f>ISNUMBER(_xlfn.XMATCH(CONTROL[[#This Row],[VEHIDCODE]],#REF!,0))</f>
        <v>0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s="32" t="str">
        <f>"item_"&amp;CONTROL[[#This Row],[VEHIDCODE]]</f>
        <v>item_electric_UK_BR_85</v>
      </c>
      <c r="Q432" s="32" t="str">
        <f>"str_"&amp;CONTROL[[#This Row],[VEHIDCODE]]</f>
        <v>str_electric_UK_BR_85</v>
      </c>
    </row>
    <row r="433" spans="1:17">
      <c r="A433" s="2" t="s">
        <v>458</v>
      </c>
      <c r="B433" s="32" t="str">
        <f>_xlfn.TEXTAFTER(CONTROL[[#This Row],[VEHIDCODE]],"_")</f>
        <v>Mexico_FNM_GE_E60C_2</v>
      </c>
      <c r="C433" t="s">
        <v>723</v>
      </c>
      <c r="D433" t="s">
        <v>943</v>
      </c>
      <c r="E433">
        <v>6109</v>
      </c>
      <c r="F433" t="s">
        <v>1425</v>
      </c>
      <c r="G433" t="s">
        <v>2791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Row],[VEHIDCODE]],#REF!,0))</f>
        <v>0</v>
      </c>
      <c r="L433" t="b">
        <f>ISNUMBER(_xlfn.XMATCH(CONTROL[[#This Row],[VEHIDCODE]],PROPERTIES[VEHIDCODE],0))</f>
        <v>1</v>
      </c>
      <c r="M433" t="b">
        <f>ISNUMBER(_xlfn.XMATCH(CONTROL[[#This Row],[VEHIDCODE]],#REF!,0))</f>
        <v>0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s="32" t="str">
        <f>"item_"&amp;CONTROL[[#This Row],[VEHIDCODE]]</f>
        <v>item_electric_Mexico_FNM_GE_E60C_2</v>
      </c>
      <c r="Q433" s="32" t="str">
        <f>"str_"&amp;CONTROL[[#This Row],[VEHIDCODE]]</f>
        <v>str_electric_Mexico_FNM_GE_E60C_2</v>
      </c>
    </row>
    <row r="434" spans="1:17">
      <c r="A434" s="2" t="s">
        <v>459</v>
      </c>
      <c r="B434" s="32" t="str">
        <f>_xlfn.TEXTAFTER(CONTROL[[#This Row],[VEHIDCODE]],"_")</f>
        <v>Morocco_ONCF_E_1400_Prima_II</v>
      </c>
      <c r="C434" t="s">
        <v>723</v>
      </c>
      <c r="D434" t="s">
        <v>943</v>
      </c>
      <c r="E434">
        <v>6119</v>
      </c>
      <c r="F434" t="s">
        <v>1426</v>
      </c>
      <c r="G434" t="s">
        <v>2792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Row],[VEHIDCODE]],#REF!,0))</f>
        <v>0</v>
      </c>
      <c r="L434" t="b">
        <f>ISNUMBER(_xlfn.XMATCH(CONTROL[[#This Row],[VEHIDCODE]],PROPERTIES[VEHIDCODE],0))</f>
        <v>1</v>
      </c>
      <c r="M434" t="b">
        <f>ISNUMBER(_xlfn.XMATCH(CONTROL[[#This Row],[VEHIDCODE]],#REF!,0))</f>
        <v>0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s="32" t="str">
        <f>"item_"&amp;CONTROL[[#This Row],[VEHIDCODE]]</f>
        <v>item_electric_Morocco_ONCF_E_1400_Prima_II</v>
      </c>
      <c r="Q434" s="32" t="str">
        <f>"str_"&amp;CONTROL[[#This Row],[VEHIDCODE]]</f>
        <v>str_electric_Morocco_ONCF_E_1400_Prima_II</v>
      </c>
    </row>
    <row r="435" spans="1:17">
      <c r="A435" s="2" t="s">
        <v>460</v>
      </c>
      <c r="B435" s="32" t="str">
        <f>_xlfn.TEXTAFTER(CONTROL[[#This Row],[VEHIDCODE]],"_")</f>
        <v>New_Zealand_NZR_EA</v>
      </c>
      <c r="C435" t="s">
        <v>723</v>
      </c>
      <c r="D435" t="s">
        <v>943</v>
      </c>
      <c r="E435">
        <v>6102</v>
      </c>
      <c r="F435" t="s">
        <v>1427</v>
      </c>
      <c r="G435" t="s">
        <v>2793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Row],[VEHIDCODE]],#REF!,0))</f>
        <v>0</v>
      </c>
      <c r="L435" t="b">
        <f>ISNUMBER(_xlfn.XMATCH(CONTROL[[#This Row],[VEHIDCODE]],PROPERTIES[VEHIDCODE],0))</f>
        <v>1</v>
      </c>
      <c r="M435" t="b">
        <f>ISNUMBER(_xlfn.XMATCH(CONTROL[[#This Row],[VEHIDCODE]],#REF!,0))</f>
        <v>0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s="32" t="str">
        <f>"item_"&amp;CONTROL[[#This Row],[VEHIDCODE]]</f>
        <v>item_electric_New_Zealand_NZR_EA</v>
      </c>
      <c r="Q435" s="32" t="str">
        <f>"str_"&amp;CONTROL[[#This Row],[VEHIDCODE]]</f>
        <v>str_electric_New_Zealand_NZR_EA</v>
      </c>
    </row>
    <row r="436" spans="1:17">
      <c r="A436" s="2" t="s">
        <v>461</v>
      </c>
      <c r="B436" s="32" t="str">
        <f>_xlfn.TEXTAFTER(CONTROL[[#This Row],[VEHIDCODE]],"_")</f>
        <v>Canada_BC_Rail_GF6C</v>
      </c>
      <c r="C436" t="s">
        <v>723</v>
      </c>
      <c r="D436" t="s">
        <v>943</v>
      </c>
      <c r="E436">
        <v>6111</v>
      </c>
      <c r="F436" t="s">
        <v>1428</v>
      </c>
      <c r="G436" t="s">
        <v>2794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Row],[VEHIDCODE]],#REF!,0))</f>
        <v>0</v>
      </c>
      <c r="L436" t="b">
        <f>ISNUMBER(_xlfn.XMATCH(CONTROL[[#This Row],[VEHIDCODE]],PROPERTIES[VEHIDCODE],0))</f>
        <v>1</v>
      </c>
      <c r="M436" t="b">
        <f>ISNUMBER(_xlfn.XMATCH(CONTROL[[#This Row],[VEHIDCODE]],#REF!,0))</f>
        <v>0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s="32" t="str">
        <f>"item_"&amp;CONTROL[[#This Row],[VEHIDCODE]]</f>
        <v>item_electric_Canada_BC_Rail_GF6C</v>
      </c>
      <c r="Q436" s="32" t="str">
        <f>"str_"&amp;CONTROL[[#This Row],[VEHIDCODE]]</f>
        <v>str_electric_Canada_BC_Rail_GF6C</v>
      </c>
    </row>
    <row r="437" spans="1:17">
      <c r="A437" s="2" t="s">
        <v>462</v>
      </c>
      <c r="B437" s="32" t="str">
        <f>_xlfn.TEXTAFTER(CONTROL[[#This Row],[VEHIDCODE]],"_")</f>
        <v>France_SNCF_BB_22200</v>
      </c>
      <c r="C437" t="s">
        <v>723</v>
      </c>
      <c r="D437" t="s">
        <v>943</v>
      </c>
      <c r="E437">
        <v>6036</v>
      </c>
      <c r="F437" t="s">
        <v>1429</v>
      </c>
      <c r="G437" t="s">
        <v>2796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Row],[VEHIDCODE]],#REF!,0))</f>
        <v>0</v>
      </c>
      <c r="L437" t="b">
        <f>ISNUMBER(_xlfn.XMATCH(CONTROL[[#This Row],[VEHIDCODE]],PROPERTIES[VEHIDCODE],0))</f>
        <v>1</v>
      </c>
      <c r="M437" t="b">
        <f>ISNUMBER(_xlfn.XMATCH(CONTROL[[#This Row],[VEHIDCODE]],#REF!,0))</f>
        <v>0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s="32" t="str">
        <f>"item_"&amp;CONTROL[[#This Row],[VEHIDCODE]]</f>
        <v>item_electric_France_SNCF_BB_22200</v>
      </c>
      <c r="Q437" s="32" t="str">
        <f>"str_"&amp;CONTROL[[#This Row],[VEHIDCODE]]</f>
        <v>str_electric_France_SNCF_BB_22200</v>
      </c>
    </row>
    <row r="438" spans="1:17">
      <c r="A438" s="2" t="s">
        <v>463</v>
      </c>
      <c r="B438" s="32" t="str">
        <f>_xlfn.TEXTAFTER(CONTROL[[#This Row],[VEHIDCODE]],"_")</f>
        <v>France_SNCF_BB_26000</v>
      </c>
      <c r="C438" t="s">
        <v>723</v>
      </c>
      <c r="D438" t="s">
        <v>943</v>
      </c>
      <c r="E438">
        <v>6043</v>
      </c>
      <c r="F438" t="s">
        <v>1430</v>
      </c>
      <c r="G438" t="s">
        <v>2795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Row],[VEHIDCODE]],#REF!,0))</f>
        <v>0</v>
      </c>
      <c r="L438" t="b">
        <f>ISNUMBER(_xlfn.XMATCH(CONTROL[[#This Row],[VEHIDCODE]],PROPERTIES[VEHIDCODE],0))</f>
        <v>1</v>
      </c>
      <c r="M438" t="b">
        <f>ISNUMBER(_xlfn.XMATCH(CONTROL[[#This Row],[VEHIDCODE]],#REF!,0))</f>
        <v>0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s="32" t="str">
        <f>"item_"&amp;CONTROL[[#This Row],[VEHIDCODE]]</f>
        <v>item_electric_France_SNCF_BB_26000</v>
      </c>
      <c r="Q438" s="32" t="str">
        <f>"str_"&amp;CONTROL[[#This Row],[VEHIDCODE]]</f>
        <v>str_electric_France_SNCF_BB_26000</v>
      </c>
    </row>
    <row r="439" spans="1:17">
      <c r="A439" s="2" t="s">
        <v>464</v>
      </c>
      <c r="B439" s="32" t="str">
        <f>_xlfn.TEXTAFTER(CONTROL[[#This Row],[VEHIDCODE]],"_")</f>
        <v>France_SNCF_BB_25500</v>
      </c>
      <c r="C439" t="s">
        <v>723</v>
      </c>
      <c r="D439" t="s">
        <v>943</v>
      </c>
      <c r="E439">
        <v>6087</v>
      </c>
      <c r="F439" t="s">
        <v>1431</v>
      </c>
      <c r="G439" t="s">
        <v>2797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Row],[VEHIDCODE]],#REF!,0))</f>
        <v>0</v>
      </c>
      <c r="L439" t="b">
        <f>ISNUMBER(_xlfn.XMATCH(CONTROL[[#This Row],[VEHIDCODE]],PROPERTIES[VEHIDCODE],0))</f>
        <v>1</v>
      </c>
      <c r="M439" t="b">
        <f>ISNUMBER(_xlfn.XMATCH(CONTROL[[#This Row],[VEHIDCODE]],#REF!,0))</f>
        <v>0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s="32" t="str">
        <f>"item_"&amp;CONTROL[[#This Row],[VEHIDCODE]]</f>
        <v>item_electric_France_SNCF_BB_25500</v>
      </c>
      <c r="Q439" s="32" t="str">
        <f>"str_"&amp;CONTROL[[#This Row],[VEHIDCODE]]</f>
        <v>str_electric_France_SNCF_BB_25500</v>
      </c>
    </row>
    <row r="440" spans="1:17">
      <c r="A440" s="2" t="s">
        <v>465</v>
      </c>
      <c r="B440" s="32" t="str">
        <f>_xlfn.TEXTAFTER(CONTROL[[#This Row],[VEHIDCODE]],"_")</f>
        <v>Germany_DB_182_ES64U_Taurus</v>
      </c>
      <c r="C440" t="s">
        <v>723</v>
      </c>
      <c r="D440" t="s">
        <v>943</v>
      </c>
      <c r="E440">
        <v>6053</v>
      </c>
      <c r="F440" t="s">
        <v>1432</v>
      </c>
      <c r="G440" t="s">
        <v>2798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Row],[VEHIDCODE]],#REF!,0))</f>
        <v>0</v>
      </c>
      <c r="L440" t="b">
        <f>ISNUMBER(_xlfn.XMATCH(CONTROL[[#This Row],[VEHIDCODE]],PROPERTIES[VEHIDCODE],0))</f>
        <v>1</v>
      </c>
      <c r="M440" t="b">
        <f>ISNUMBER(_xlfn.XMATCH(CONTROL[[#This Row],[VEHIDCODE]],#REF!,0))</f>
        <v>0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s="32" t="str">
        <f>"item_"&amp;CONTROL[[#This Row],[VEHIDCODE]]</f>
        <v>item_electric_Germany_DB_182_ES64U_Taurus</v>
      </c>
      <c r="Q440" s="32" t="str">
        <f>"str_"&amp;CONTROL[[#This Row],[VEHIDCODE]]</f>
        <v>str_electric_Germany_DB_182_ES64U_Taurus</v>
      </c>
    </row>
    <row r="441" spans="1:17">
      <c r="A441" s="2" t="s">
        <v>466</v>
      </c>
      <c r="B441" s="32" t="str">
        <f>_xlfn.TEXTAFTER(CONTROL[[#This Row],[VEHIDCODE]],"_")</f>
        <v>Japan_JR_EH500</v>
      </c>
      <c r="C441" t="s">
        <v>723</v>
      </c>
      <c r="D441" t="s">
        <v>943</v>
      </c>
      <c r="E441">
        <v>6051</v>
      </c>
      <c r="F441" t="s">
        <v>1433</v>
      </c>
      <c r="G441" t="s">
        <v>2799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Row],[VEHIDCODE]],#REF!,0))</f>
        <v>0</v>
      </c>
      <c r="L441" t="b">
        <f>ISNUMBER(_xlfn.XMATCH(CONTROL[[#This Row],[VEHIDCODE]],PROPERTIES[VEHIDCODE],0))</f>
        <v>1</v>
      </c>
      <c r="M441" t="b">
        <f>ISNUMBER(_xlfn.XMATCH(CONTROL[[#This Row],[VEHIDCODE]],#REF!,0))</f>
        <v>0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s="32" t="str">
        <f>"item_"&amp;CONTROL[[#This Row],[VEHIDCODE]]</f>
        <v>item_electric_Japan_JR_EH500</v>
      </c>
      <c r="Q441" s="32" t="str">
        <f>"str_"&amp;CONTROL[[#This Row],[VEHIDCODE]]</f>
        <v>str_electric_Japan_JR_EH500</v>
      </c>
    </row>
    <row r="442" spans="1:17">
      <c r="A442" s="2" t="s">
        <v>467</v>
      </c>
      <c r="B442" s="32" t="str">
        <f>_xlfn.TEXTAFTER(CONTROL[[#This Row],[VEHIDCODE]],"_")</f>
        <v>USA_Amtrak_EMD_AEM_7</v>
      </c>
      <c r="C442" t="s">
        <v>723</v>
      </c>
      <c r="D442" t="s">
        <v>943</v>
      </c>
      <c r="E442">
        <v>6104</v>
      </c>
      <c r="F442" t="s">
        <v>1434</v>
      </c>
      <c r="G442" t="s">
        <v>2800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Row],[VEHIDCODE]],#REF!,0))</f>
        <v>0</v>
      </c>
      <c r="L442" t="b">
        <f>ISNUMBER(_xlfn.XMATCH(CONTROL[[#This Row],[VEHIDCODE]],PROPERTIES[VEHIDCODE],0))</f>
        <v>1</v>
      </c>
      <c r="M442" t="b">
        <f>ISNUMBER(_xlfn.XMATCH(CONTROL[[#This Row],[VEHIDCODE]],#REF!,0))</f>
        <v>0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s="32" t="str">
        <f>"item_"&amp;CONTROL[[#This Row],[VEHIDCODE]]</f>
        <v>item_electric_USA_Amtrak_EMD_AEM_7</v>
      </c>
      <c r="Q442" s="32" t="str">
        <f>"str_"&amp;CONTROL[[#This Row],[VEHIDCODE]]</f>
        <v>str_electric_USA_Amtrak_EMD_AEM_7</v>
      </c>
    </row>
    <row r="443" spans="1:17">
      <c r="A443" s="2" t="s">
        <v>468</v>
      </c>
      <c r="B443" s="32" t="str">
        <f>_xlfn.TEXTAFTER(CONTROL[[#This Row],[VEHIDCODE]],"_")</f>
        <v>USA_Amtrak_HHP_8</v>
      </c>
      <c r="C443" t="s">
        <v>723</v>
      </c>
      <c r="D443" t="s">
        <v>943</v>
      </c>
      <c r="E443">
        <v>6132</v>
      </c>
      <c r="F443" t="s">
        <v>1435</v>
      </c>
      <c r="G443" t="s">
        <v>2801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Row],[VEHIDCODE]],#REF!,0))</f>
        <v>0</v>
      </c>
      <c r="L443" t="b">
        <f>ISNUMBER(_xlfn.XMATCH(CONTROL[[#This Row],[VEHIDCODE]],PROPERTIES[VEHIDCODE],0))</f>
        <v>1</v>
      </c>
      <c r="M443" t="b">
        <f>ISNUMBER(_xlfn.XMATCH(CONTROL[[#This Row],[VEHIDCODE]],#REF!,0))</f>
        <v>0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s="32" t="str">
        <f>"item_"&amp;CONTROL[[#This Row],[VEHIDCODE]]</f>
        <v>item_electric_USA_Amtrak_HHP_8</v>
      </c>
      <c r="Q443" s="32" t="str">
        <f>"str_"&amp;CONTROL[[#This Row],[VEHIDCODE]]</f>
        <v>str_electric_USA_Amtrak_HHP_8</v>
      </c>
    </row>
    <row r="444" spans="1:17">
      <c r="A444" s="2" t="s">
        <v>469</v>
      </c>
      <c r="B444" s="32" t="str">
        <f>_xlfn.TEXTAFTER(CONTROL[[#This Row],[VEHIDCODE]],"_")</f>
        <v>Czech_Republic_CD_380</v>
      </c>
      <c r="C444" t="s">
        <v>723</v>
      </c>
      <c r="D444" t="s">
        <v>943</v>
      </c>
      <c r="E444">
        <v>6091</v>
      </c>
      <c r="F444" t="s">
        <v>2824</v>
      </c>
      <c r="G444" t="s">
        <v>2802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Row],[VEHIDCODE]],#REF!,0))</f>
        <v>0</v>
      </c>
      <c r="L444" t="b">
        <f>ISNUMBER(_xlfn.XMATCH(CONTROL[[#This Row],[VEHIDCODE]],PROPERTIES[VEHIDCODE],0))</f>
        <v>1</v>
      </c>
      <c r="M444" t="b">
        <f>ISNUMBER(_xlfn.XMATCH(CONTROL[[#This Row],[VEHIDCODE]],#REF!,0))</f>
        <v>0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s="32" t="str">
        <f>"item_"&amp;CONTROL[[#This Row],[VEHIDCODE]]</f>
        <v>item_electric_Czech_Republic_CD_380</v>
      </c>
      <c r="Q444" s="32" t="str">
        <f>"str_"&amp;CONTROL[[#This Row],[VEHIDCODE]]</f>
        <v>str_electric_Czech_Republic_CD_380</v>
      </c>
    </row>
    <row r="445" spans="1:17">
      <c r="A445" s="2" t="s">
        <v>470</v>
      </c>
      <c r="B445" s="32" t="str">
        <f>_xlfn.TEXTAFTER(CONTROL[[#This Row],[VEHIDCODE]],"_")</f>
        <v>Spain_RENFE_252</v>
      </c>
      <c r="C445" t="s">
        <v>723</v>
      </c>
      <c r="D445" t="s">
        <v>943</v>
      </c>
      <c r="E445">
        <v>6046</v>
      </c>
      <c r="F445" t="s">
        <v>1436</v>
      </c>
      <c r="G445" t="s">
        <v>2803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Row],[VEHIDCODE]],#REF!,0))</f>
        <v>0</v>
      </c>
      <c r="L445" t="b">
        <f>ISNUMBER(_xlfn.XMATCH(CONTROL[[#This Row],[VEHIDCODE]],PROPERTIES[VEHIDCODE],0))</f>
        <v>1</v>
      </c>
      <c r="M445" t="b">
        <f>ISNUMBER(_xlfn.XMATCH(CONTROL[[#This Row],[VEHIDCODE]],#REF!,0))</f>
        <v>0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s="32" t="str">
        <f>"item_"&amp;CONTROL[[#This Row],[VEHIDCODE]]</f>
        <v>item_electric_Spain_RENFE_252</v>
      </c>
      <c r="Q445" s="32" t="str">
        <f>"str_"&amp;CONTROL[[#This Row],[VEHIDCODE]]</f>
        <v>str_electric_Spain_RENFE_252</v>
      </c>
    </row>
    <row r="446" spans="1:17">
      <c r="A446" s="2" t="s">
        <v>471</v>
      </c>
      <c r="B446" s="32" t="str">
        <f>_xlfn.TEXTAFTER(CONTROL[[#This Row],[VEHIDCODE]],"_")</f>
        <v>Germany_DB_185_TRAXX_F140</v>
      </c>
      <c r="C446" t="s">
        <v>723</v>
      </c>
      <c r="D446" t="s">
        <v>943</v>
      </c>
      <c r="E446">
        <v>6049</v>
      </c>
      <c r="F446" t="s">
        <v>1437</v>
      </c>
      <c r="G446" t="s">
        <v>2804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Row],[VEHIDCODE]],#REF!,0))</f>
        <v>0</v>
      </c>
      <c r="L446" t="b">
        <f>ISNUMBER(_xlfn.XMATCH(CONTROL[[#This Row],[VEHIDCODE]],PROPERTIES[VEHIDCODE],0))</f>
        <v>1</v>
      </c>
      <c r="M446" t="b">
        <f>ISNUMBER(_xlfn.XMATCH(CONTROL[[#This Row],[VEHIDCODE]],#REF!,0))</f>
        <v>0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s="32" t="str">
        <f>"item_"&amp;CONTROL[[#This Row],[VEHIDCODE]]</f>
        <v>item_electric_Germany_DB_185_TRAXX_F140</v>
      </c>
      <c r="Q446" s="32" t="str">
        <f>"str_"&amp;CONTROL[[#This Row],[VEHIDCODE]]</f>
        <v>str_electric_Germany_DB_185_TRAXX_F140</v>
      </c>
    </row>
    <row r="447" spans="1:17">
      <c r="A447" s="2" t="s">
        <v>472</v>
      </c>
      <c r="B447" s="32" t="str">
        <f>_xlfn.TEXTAFTER(CONTROL[[#This Row],[VEHIDCODE]],"_")</f>
        <v>Italy_FS_E550</v>
      </c>
      <c r="C447" t="s">
        <v>723</v>
      </c>
      <c r="D447" t="s">
        <v>943</v>
      </c>
      <c r="E447">
        <v>6068</v>
      </c>
      <c r="F447" t="s">
        <v>1438</v>
      </c>
      <c r="G447" t="s">
        <v>2805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Row],[VEHIDCODE]],#REF!,0))</f>
        <v>0</v>
      </c>
      <c r="L447" t="b">
        <f>ISNUMBER(_xlfn.XMATCH(CONTROL[[#This Row],[VEHIDCODE]],PROPERTIES[VEHIDCODE],0))</f>
        <v>1</v>
      </c>
      <c r="M447" t="b">
        <f>ISNUMBER(_xlfn.XMATCH(CONTROL[[#This Row],[VEHIDCODE]],#REF!,0))</f>
        <v>0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s="32" t="str">
        <f>"item_"&amp;CONTROL[[#This Row],[VEHIDCODE]]</f>
        <v>item_electric_Italy_FS_E550</v>
      </c>
      <c r="Q447" s="32" t="str">
        <f>"str_"&amp;CONTROL[[#This Row],[VEHIDCODE]]</f>
        <v>str_electric_Italy_FS_E550</v>
      </c>
    </row>
    <row r="448" spans="1:17">
      <c r="A448" s="2" t="s">
        <v>473</v>
      </c>
      <c r="B448" s="32" t="str">
        <f>_xlfn.TEXTAFTER(CONTROL[[#This Row],[VEHIDCODE]],"_")</f>
        <v>Japan_JNR_EF81</v>
      </c>
      <c r="C448" t="s">
        <v>723</v>
      </c>
      <c r="D448" t="s">
        <v>943</v>
      </c>
      <c r="E448">
        <v>6125</v>
      </c>
      <c r="F448" t="s">
        <v>1439</v>
      </c>
      <c r="G448" t="s">
        <v>2806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Row],[VEHIDCODE]],#REF!,0))</f>
        <v>0</v>
      </c>
      <c r="L448" t="b">
        <f>ISNUMBER(_xlfn.XMATCH(CONTROL[[#This Row],[VEHIDCODE]],PROPERTIES[VEHIDCODE],0))</f>
        <v>1</v>
      </c>
      <c r="M448" t="b">
        <f>ISNUMBER(_xlfn.XMATCH(CONTROL[[#This Row],[VEHIDCODE]],#REF!,0))</f>
        <v>0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s="32" t="str">
        <f>"item_"&amp;CONTROL[[#This Row],[VEHIDCODE]]</f>
        <v>item_electric_Japan_JNR_EF81</v>
      </c>
      <c r="Q448" s="32" t="str">
        <f>"str_"&amp;CONTROL[[#This Row],[VEHIDCODE]]</f>
        <v>str_electric_Japan_JNR_EF81</v>
      </c>
    </row>
    <row r="449" spans="1:17">
      <c r="A449" s="2" t="s">
        <v>474</v>
      </c>
      <c r="B449" s="32" t="str">
        <f>_xlfn.TEXTAFTER(CONTROL[[#This Row],[VEHIDCODE]],"_")</f>
        <v>UK_BR_92</v>
      </c>
      <c r="C449" t="s">
        <v>723</v>
      </c>
      <c r="D449" t="s">
        <v>943</v>
      </c>
      <c r="E449">
        <v>6047</v>
      </c>
      <c r="F449" t="s">
        <v>1440</v>
      </c>
      <c r="G449" t="s">
        <v>2807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Row],[VEHIDCODE]],#REF!,0))</f>
        <v>0</v>
      </c>
      <c r="L449" t="b">
        <f>ISNUMBER(_xlfn.XMATCH(CONTROL[[#This Row],[VEHIDCODE]],PROPERTIES[VEHIDCODE],0))</f>
        <v>1</v>
      </c>
      <c r="M449" t="b">
        <f>ISNUMBER(_xlfn.XMATCH(CONTROL[[#This Row],[VEHIDCODE]],#REF!,0))</f>
        <v>0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s="32" t="str">
        <f>"item_"&amp;CONTROL[[#This Row],[VEHIDCODE]]</f>
        <v>item_electric_UK_BR_92</v>
      </c>
      <c r="Q449" s="32" t="str">
        <f>"str_"&amp;CONTROL[[#This Row],[VEHIDCODE]]</f>
        <v>str_electric_UK_BR_92</v>
      </c>
    </row>
    <row r="450" spans="1:17">
      <c r="A450" s="2" t="s">
        <v>475</v>
      </c>
      <c r="B450" s="32" t="str">
        <f>_xlfn.TEXTAFTER(CONTROL[[#This Row],[VEHIDCODE]],"_")</f>
        <v>USA_Amtrak_ACS_64</v>
      </c>
      <c r="C450" t="s">
        <v>723</v>
      </c>
      <c r="D450" t="s">
        <v>943</v>
      </c>
      <c r="E450">
        <v>6120</v>
      </c>
      <c r="F450" t="s">
        <v>1441</v>
      </c>
      <c r="G450" t="s">
        <v>2808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Row],[VEHIDCODE]],#REF!,0))</f>
        <v>0</v>
      </c>
      <c r="L450" t="b">
        <f>ISNUMBER(_xlfn.XMATCH(CONTROL[[#This Row],[VEHIDCODE]],PROPERTIES[VEHIDCODE],0))</f>
        <v>1</v>
      </c>
      <c r="M450" t="b">
        <f>ISNUMBER(_xlfn.XMATCH(CONTROL[[#This Row],[VEHIDCODE]],#REF!,0))</f>
        <v>0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s="32" t="str">
        <f>"item_"&amp;CONTROL[[#This Row],[VEHIDCODE]]</f>
        <v>item_electric_USA_Amtrak_ACS_64</v>
      </c>
      <c r="Q450" s="32" t="str">
        <f>"str_"&amp;CONTROL[[#This Row],[VEHIDCODE]]</f>
        <v>str_electric_USA_Amtrak_ACS_64</v>
      </c>
    </row>
    <row r="451" spans="1:17">
      <c r="A451" s="2" t="s">
        <v>476</v>
      </c>
      <c r="B451" s="32" t="str">
        <f>_xlfn.TEXTAFTER(CONTROL[[#This Row],[VEHIDCODE]],"_")</f>
        <v>France_SNCF_CC_40100</v>
      </c>
      <c r="C451" t="s">
        <v>723</v>
      </c>
      <c r="D451" t="s">
        <v>943</v>
      </c>
      <c r="E451">
        <v>6030</v>
      </c>
      <c r="F451" t="s">
        <v>2809</v>
      </c>
      <c r="G451" t="s">
        <v>2810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Row],[VEHIDCODE]],#REF!,0))</f>
        <v>0</v>
      </c>
      <c r="L451" t="b">
        <f>ISNUMBER(_xlfn.XMATCH(CONTROL[[#This Row],[VEHIDCODE]],PROPERTIES[VEHIDCODE],0))</f>
        <v>1</v>
      </c>
      <c r="M451" t="b">
        <f>ISNUMBER(_xlfn.XMATCH(CONTROL[[#This Row],[VEHIDCODE]],#REF!,0))</f>
        <v>0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s="32" t="str">
        <f>"item_"&amp;CONTROL[[#This Row],[VEHIDCODE]]</f>
        <v>item_electric_France_SNCF_CC_40100</v>
      </c>
      <c r="Q451" s="32" t="str">
        <f>"str_"&amp;CONTROL[[#This Row],[VEHIDCODE]]</f>
        <v>str_electric_France_SNCF_CC_40100</v>
      </c>
    </row>
    <row r="452" spans="1:17">
      <c r="A452" s="2" t="s">
        <v>477</v>
      </c>
      <c r="B452" s="32" t="str">
        <f>_xlfn.TEXTAFTER(CONTROL[[#This Row],[VEHIDCODE]],"_")</f>
        <v>Belgium_NMBS_SNCB_13_HLE</v>
      </c>
      <c r="C452" t="s">
        <v>723</v>
      </c>
      <c r="D452" t="s">
        <v>943</v>
      </c>
      <c r="E452">
        <v>6050</v>
      </c>
      <c r="F452" t="s">
        <v>1442</v>
      </c>
      <c r="G452" t="s">
        <v>2811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Row],[VEHIDCODE]],#REF!,0))</f>
        <v>0</v>
      </c>
      <c r="L452" t="b">
        <f>ISNUMBER(_xlfn.XMATCH(CONTROL[[#This Row],[VEHIDCODE]],PROPERTIES[VEHIDCODE],0))</f>
        <v>1</v>
      </c>
      <c r="M452" t="b">
        <f>ISNUMBER(_xlfn.XMATCH(CONTROL[[#This Row],[VEHIDCODE]],#REF!,0))</f>
        <v>0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s="32" t="str">
        <f>"item_"&amp;CONTROL[[#This Row],[VEHIDCODE]]</f>
        <v>item_electric_Belgium_NMBS_SNCB_13_HLE</v>
      </c>
      <c r="Q452" s="32" t="str">
        <f>"str_"&amp;CONTROL[[#This Row],[VEHIDCODE]]</f>
        <v>str_electric_Belgium_NMBS_SNCB_13_HLE</v>
      </c>
    </row>
    <row r="453" spans="1:17">
      <c r="A453" s="2" t="s">
        <v>478</v>
      </c>
      <c r="B453" s="32" t="str">
        <f>_xlfn.TEXTAFTER(CONTROL[[#This Row],[VEHIDCODE]],"_")</f>
        <v>Germany_DB_VT_040_Flying_Hamburger</v>
      </c>
      <c r="C453" t="s">
        <v>724</v>
      </c>
      <c r="D453" t="s">
        <v>945</v>
      </c>
      <c r="E453">
        <v>7002</v>
      </c>
      <c r="F453" t="s">
        <v>1443</v>
      </c>
      <c r="G453" t="s">
        <v>2834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Row],[VEHIDCODE]],#REF!,0))</f>
        <v>0</v>
      </c>
      <c r="L453" t="b">
        <f>ISNUMBER(_xlfn.XMATCH(CONTROL[[#This Row],[VEHIDCODE]],PROPERTIES[VEHIDCODE],0))</f>
        <v>1</v>
      </c>
      <c r="M453" t="b">
        <f>ISNUMBER(_xlfn.XMATCH(CONTROL[[#This Row],[VEHIDCODE]],#REF!,0))</f>
        <v>0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s="32" t="str">
        <f>"item_"&amp;CONTROL[[#This Row],[VEHIDCODE]]</f>
        <v>item_dmu_Germany_DB_VT_040_Flying_Hamburger</v>
      </c>
      <c r="Q453" s="32" t="str">
        <f>"str_"&amp;CONTROL[[#This Row],[VEHIDCODE]]</f>
        <v>str_dmu_Germany_DB_VT_040_Flying_Hamburger</v>
      </c>
    </row>
    <row r="454" spans="1:17">
      <c r="A454" s="2" t="s">
        <v>480</v>
      </c>
      <c r="B454" s="32" t="str">
        <f>_xlfn.TEXTAFTER(CONTROL[[#This Row],[VEHIDCODE]],"_")</f>
        <v>Australia_NSWGR_Silver_City_Comet</v>
      </c>
      <c r="C454" t="s">
        <v>724</v>
      </c>
      <c r="D454" t="s">
        <v>945</v>
      </c>
      <c r="E454">
        <v>7003</v>
      </c>
      <c r="F454" t="s">
        <v>1444</v>
      </c>
      <c r="G454" t="s">
        <v>2812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Row],[VEHIDCODE]],#REF!,0))</f>
        <v>0</v>
      </c>
      <c r="L454" t="b">
        <f>ISNUMBER(_xlfn.XMATCH(CONTROL[[#This Row],[VEHIDCODE]],PROPERTIES[VEHIDCODE],0))</f>
        <v>1</v>
      </c>
      <c r="M454" t="b">
        <f>ISNUMBER(_xlfn.XMATCH(CONTROL[[#This Row],[VEHIDCODE]],#REF!,0))</f>
        <v>0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s="32" t="str">
        <f>"item_"&amp;CONTROL[[#This Row],[VEHIDCODE]]</f>
        <v>item_dmu_Australia_NSWGR_Silver_City_Comet</v>
      </c>
      <c r="Q454" s="32" t="str">
        <f>"str_"&amp;CONTROL[[#This Row],[VEHIDCODE]]</f>
        <v>str_dmu_Australia_NSWGR_Silver_City_Comet</v>
      </c>
    </row>
    <row r="455" spans="1:17">
      <c r="A455" s="2" t="s">
        <v>481</v>
      </c>
      <c r="B455" s="32" t="str">
        <f>_xlfn.TEXTAFTER(CONTROL[[#This Row],[VEHIDCODE]],"_")</f>
        <v>Czech_Republic_CD_M131</v>
      </c>
      <c r="C455" t="s">
        <v>724</v>
      </c>
      <c r="D455" t="s">
        <v>945</v>
      </c>
      <c r="E455">
        <v>7004</v>
      </c>
      <c r="F455" t="s">
        <v>2825</v>
      </c>
      <c r="G455" t="s">
        <v>2813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Row],[VEHIDCODE]],#REF!,0))</f>
        <v>0</v>
      </c>
      <c r="L455" t="b">
        <f>ISNUMBER(_xlfn.XMATCH(CONTROL[[#This Row],[VEHIDCODE]],PROPERTIES[VEHIDCODE],0))</f>
        <v>1</v>
      </c>
      <c r="M455" t="b">
        <f>ISNUMBER(_xlfn.XMATCH(CONTROL[[#This Row],[VEHIDCODE]],#REF!,0))</f>
        <v>0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s="32" t="str">
        <f>"item_"&amp;CONTROL[[#This Row],[VEHIDCODE]]</f>
        <v>item_dmu_Czech_Republic_CD_M131</v>
      </c>
      <c r="Q455" s="32" t="str">
        <f>"str_"&amp;CONTROL[[#This Row],[VEHIDCODE]]</f>
        <v>str_dmu_Czech_Republic_CD_M131</v>
      </c>
    </row>
    <row r="456" spans="1:17">
      <c r="A456" s="2" t="s">
        <v>482</v>
      </c>
      <c r="B456" s="32" t="str">
        <f>_xlfn.TEXTAFTER(CONTROL[[#This Row],[VEHIDCODE]],"_")</f>
        <v>Germany_DB_VT_085</v>
      </c>
      <c r="C456" t="s">
        <v>724</v>
      </c>
      <c r="D456" t="s">
        <v>945</v>
      </c>
      <c r="E456">
        <v>7005</v>
      </c>
      <c r="F456" t="s">
        <v>1445</v>
      </c>
      <c r="G456" t="s">
        <v>2829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Row],[VEHIDCODE]],#REF!,0))</f>
        <v>0</v>
      </c>
      <c r="L456" t="b">
        <f>ISNUMBER(_xlfn.XMATCH(CONTROL[[#This Row],[VEHIDCODE]],PROPERTIES[VEHIDCODE],0))</f>
        <v>1</v>
      </c>
      <c r="M456" t="b">
        <f>ISNUMBER(_xlfn.XMATCH(CONTROL[[#This Row],[VEHIDCODE]],#REF!,0))</f>
        <v>0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s="32" t="str">
        <f>"item_"&amp;CONTROL[[#This Row],[VEHIDCODE]]</f>
        <v>item_dmu_Germany_DB_VT_085</v>
      </c>
      <c r="Q456" s="32" t="str">
        <f>"str_"&amp;CONTROL[[#This Row],[VEHIDCODE]]</f>
        <v>str_dmu_Germany_DB_VT_085</v>
      </c>
    </row>
    <row r="457" spans="1:17">
      <c r="A457" s="2" t="s">
        <v>483</v>
      </c>
      <c r="B457" s="32" t="str">
        <f>_xlfn.TEXTAFTER(CONTROL[[#This Row],[VEHIDCODE]],"_")</f>
        <v>Australia_Queensland_Rail_400</v>
      </c>
      <c r="C457" t="s">
        <v>724</v>
      </c>
      <c r="D457" t="s">
        <v>945</v>
      </c>
      <c r="E457">
        <v>7006</v>
      </c>
      <c r="F457" t="s">
        <v>1785</v>
      </c>
      <c r="G457" t="s">
        <v>2830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Row],[VEHIDCODE]],#REF!,0))</f>
        <v>0</v>
      </c>
      <c r="L457" t="b">
        <f>ISNUMBER(_xlfn.XMATCH(CONTROL[[#This Row],[VEHIDCODE]],PROPERTIES[VEHIDCODE],0))</f>
        <v>1</v>
      </c>
      <c r="M457" t="b">
        <f>ISNUMBER(_xlfn.XMATCH(CONTROL[[#This Row],[VEHIDCODE]],#REF!,0))</f>
        <v>0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s="32" t="str">
        <f>"item_"&amp;CONTROL[[#This Row],[VEHIDCODE]]</f>
        <v>item_dmu_Australia_Queensland_Rail_400</v>
      </c>
      <c r="Q457" s="32" t="str">
        <f>"str_"&amp;CONTROL[[#This Row],[VEHIDCODE]]</f>
        <v>str_dmu_Australia_Queensland_Rail_400</v>
      </c>
    </row>
    <row r="458" spans="1:17">
      <c r="A458" s="2" t="s">
        <v>484</v>
      </c>
      <c r="B458" s="32" t="str">
        <f>_xlfn.TEXTAFTER(CONTROL[[#This Row],[VEHIDCODE]],"_")</f>
        <v>Germany_DB_VT_115</v>
      </c>
      <c r="C458" t="s">
        <v>724</v>
      </c>
      <c r="D458" t="s">
        <v>945</v>
      </c>
      <c r="E458">
        <v>7008</v>
      </c>
      <c r="F458" t="s">
        <v>1446</v>
      </c>
      <c r="G458" t="s">
        <v>2831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Row],[VEHIDCODE]],#REF!,0))</f>
        <v>0</v>
      </c>
      <c r="L458" t="b">
        <f>ISNUMBER(_xlfn.XMATCH(CONTROL[[#This Row],[VEHIDCODE]],PROPERTIES[VEHIDCODE],0))</f>
        <v>1</v>
      </c>
      <c r="M458" t="b">
        <f>ISNUMBER(_xlfn.XMATCH(CONTROL[[#This Row],[VEHIDCODE]],#REF!,0))</f>
        <v>0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s="32" t="str">
        <f>"item_"&amp;CONTROL[[#This Row],[VEHIDCODE]]</f>
        <v>item_dmu_Germany_DB_VT_115</v>
      </c>
      <c r="Q458" s="32" t="str">
        <f>"str_"&amp;CONTROL[[#This Row],[VEHIDCODE]]</f>
        <v>str_dmu_Germany_DB_VT_115</v>
      </c>
    </row>
    <row r="459" spans="1:17">
      <c r="A459" s="2" t="s">
        <v>485</v>
      </c>
      <c r="B459" s="32" t="str">
        <f>_xlfn.TEXTAFTER(CONTROL[[#This Row],[VEHIDCODE]],"_")</f>
        <v>Netherlands_NS_Plan_U_DE_III</v>
      </c>
      <c r="C459" t="s">
        <v>724</v>
      </c>
      <c r="D459" t="s">
        <v>945</v>
      </c>
      <c r="E459">
        <v>7009</v>
      </c>
      <c r="F459" t="s">
        <v>1447</v>
      </c>
      <c r="G459" t="s">
        <v>2832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Row],[VEHIDCODE]],#REF!,0))</f>
        <v>0</v>
      </c>
      <c r="L459" t="b">
        <f>ISNUMBER(_xlfn.XMATCH(CONTROL[[#This Row],[VEHIDCODE]],PROPERTIES[VEHIDCODE],0))</f>
        <v>1</v>
      </c>
      <c r="M459" t="b">
        <f>ISNUMBER(_xlfn.XMATCH(CONTROL[[#This Row],[VEHIDCODE]],#REF!,0))</f>
        <v>0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s="32" t="str">
        <f>"item_"&amp;CONTROL[[#This Row],[VEHIDCODE]]</f>
        <v>item_dmu_Netherlands_NS_Plan_U_DE_III</v>
      </c>
      <c r="Q459" s="32" t="str">
        <f>"str_"&amp;CONTROL[[#This Row],[VEHIDCODE]]</f>
        <v>str_dmu_Netherlands_NS_Plan_U_DE_III</v>
      </c>
    </row>
    <row r="460" spans="1:17">
      <c r="A460" s="2" t="s">
        <v>486</v>
      </c>
      <c r="B460" s="32" t="str">
        <f>_xlfn.TEXTAFTER(CONTROL[[#This Row],[VEHIDCODE]],"_")</f>
        <v>Canada_CNR_Turbo_Train</v>
      </c>
      <c r="C460" t="s">
        <v>724</v>
      </c>
      <c r="D460" t="s">
        <v>945</v>
      </c>
      <c r="E460">
        <v>7010</v>
      </c>
      <c r="F460" t="s">
        <v>1448</v>
      </c>
      <c r="G460" t="s">
        <v>2833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Row],[VEHIDCODE]],#REF!,0))</f>
        <v>0</v>
      </c>
      <c r="L460" t="b">
        <f>ISNUMBER(_xlfn.XMATCH(CONTROL[[#This Row],[VEHIDCODE]],PROPERTIES[VEHIDCODE],0))</f>
        <v>1</v>
      </c>
      <c r="M460" t="b">
        <f>ISNUMBER(_xlfn.XMATCH(CONTROL[[#This Row],[VEHIDCODE]],#REF!,0))</f>
        <v>0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s="32" t="str">
        <f>"item_"&amp;CONTROL[[#This Row],[VEHIDCODE]]</f>
        <v>item_dmu_Canada_CNR_Turbo_Train</v>
      </c>
      <c r="Q460" s="32" t="str">
        <f>"str_"&amp;CONTROL[[#This Row],[VEHIDCODE]]</f>
        <v>str_dmu_Canada_CNR_Turbo_Train</v>
      </c>
    </row>
    <row r="461" spans="1:17">
      <c r="A461" s="2" t="s">
        <v>487</v>
      </c>
      <c r="B461" s="32" t="str">
        <f>_xlfn.TEXTAFTER(CONTROL[[#This Row],[VEHIDCODE]],"_")</f>
        <v>Serbia_ZS_811</v>
      </c>
      <c r="C461" t="s">
        <v>724</v>
      </c>
      <c r="D461" t="s">
        <v>945</v>
      </c>
      <c r="E461">
        <v>7011</v>
      </c>
      <c r="F461" t="s">
        <v>1449</v>
      </c>
      <c r="G461" t="s">
        <v>1776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Row],[VEHIDCODE]],#REF!,0))</f>
        <v>0</v>
      </c>
      <c r="L461" t="b">
        <f>ISNUMBER(_xlfn.XMATCH(CONTROL[[#This Row],[VEHIDCODE]],PROPERTIES[VEHIDCODE],0))</f>
        <v>1</v>
      </c>
      <c r="M461" t="b">
        <f>ISNUMBER(_xlfn.XMATCH(CONTROL[[#This Row],[VEHIDCODE]],#REF!,0))</f>
        <v>0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s="32" t="str">
        <f>"item_"&amp;CONTROL[[#This Row],[VEHIDCODE]]</f>
        <v>item_dmu_Serbia_ZS_811</v>
      </c>
      <c r="Q461" s="32" t="str">
        <f>"str_"&amp;CONTROL[[#This Row],[VEHIDCODE]]</f>
        <v>str_dmu_Serbia_ZS_811</v>
      </c>
    </row>
    <row r="462" spans="1:17">
      <c r="A462" s="2" t="s">
        <v>488</v>
      </c>
      <c r="B462" s="32" t="str">
        <f>_xlfn.TEXTAFTER(CONTROL[[#This Row],[VEHIDCODE]],"_")</f>
        <v>UK_BR_43_IC125</v>
      </c>
      <c r="C462" t="s">
        <v>724</v>
      </c>
      <c r="D462" t="s">
        <v>945</v>
      </c>
      <c r="E462">
        <v>7012</v>
      </c>
      <c r="F462" t="s">
        <v>1450</v>
      </c>
      <c r="G462" t="s">
        <v>2835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Row],[VEHIDCODE]],#REF!,0))</f>
        <v>0</v>
      </c>
      <c r="L462" t="b">
        <f>ISNUMBER(_xlfn.XMATCH(CONTROL[[#This Row],[VEHIDCODE]],PROPERTIES[VEHIDCODE],0))</f>
        <v>1</v>
      </c>
      <c r="M462" t="b">
        <f>ISNUMBER(_xlfn.XMATCH(CONTROL[[#This Row],[VEHIDCODE]],#REF!,0))</f>
        <v>0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s="32" t="str">
        <f>"item_"&amp;CONTROL[[#This Row],[VEHIDCODE]]</f>
        <v>item_dmu_UK_BR_43_IC125</v>
      </c>
      <c r="Q462" s="32" t="str">
        <f>"str_"&amp;CONTROL[[#This Row],[VEHIDCODE]]</f>
        <v>str_dmu_UK_BR_43_IC125</v>
      </c>
    </row>
    <row r="463" spans="1:17">
      <c r="A463" s="2" t="s">
        <v>489</v>
      </c>
      <c r="B463" s="32" t="str">
        <f>_xlfn.TEXTAFTER(CONTROL[[#This Row],[VEHIDCODE]],"_")</f>
        <v>Canada_VIA_Rail_LRC</v>
      </c>
      <c r="C463" t="s">
        <v>724</v>
      </c>
      <c r="D463" t="s">
        <v>945</v>
      </c>
      <c r="E463">
        <v>7013</v>
      </c>
      <c r="F463" t="s">
        <v>1451</v>
      </c>
      <c r="G463" t="s">
        <v>2836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Row],[VEHIDCODE]],#REF!,0))</f>
        <v>0</v>
      </c>
      <c r="L463" t="b">
        <f>ISNUMBER(_xlfn.XMATCH(CONTROL[[#This Row],[VEHIDCODE]],PROPERTIES[VEHIDCODE],0))</f>
        <v>1</v>
      </c>
      <c r="M463" t="b">
        <f>ISNUMBER(_xlfn.XMATCH(CONTROL[[#This Row],[VEHIDCODE]],#REF!,0))</f>
        <v>0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s="32" t="str">
        <f>"item_"&amp;CONTROL[[#This Row],[VEHIDCODE]]</f>
        <v>item_dmu_Canada_VIA_Rail_LRC</v>
      </c>
      <c r="Q463" s="32" t="str">
        <f>"str_"&amp;CONTROL[[#This Row],[VEHIDCODE]]</f>
        <v>str_dmu_Canada_VIA_Rail_LRC</v>
      </c>
    </row>
    <row r="464" spans="1:17">
      <c r="A464" s="2" t="s">
        <v>490</v>
      </c>
      <c r="B464" s="32" t="str">
        <f>_xlfn.TEXTAFTER(CONTROL[[#This Row],[VEHIDCODE]],"_")</f>
        <v>Sweden_SJ_Y2</v>
      </c>
      <c r="C464" t="s">
        <v>724</v>
      </c>
      <c r="D464" t="s">
        <v>945</v>
      </c>
      <c r="E464">
        <v>7014</v>
      </c>
      <c r="F464" t="s">
        <v>1452</v>
      </c>
      <c r="G464" t="s">
        <v>2837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Row],[VEHIDCODE]],#REF!,0))</f>
        <v>0</v>
      </c>
      <c r="L464" t="b">
        <f>ISNUMBER(_xlfn.XMATCH(CONTROL[[#This Row],[VEHIDCODE]],PROPERTIES[VEHIDCODE],0))</f>
        <v>1</v>
      </c>
      <c r="M464" t="b">
        <f>ISNUMBER(_xlfn.XMATCH(CONTROL[[#This Row],[VEHIDCODE]],#REF!,0))</f>
        <v>0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s="32" t="str">
        <f>"item_"&amp;CONTROL[[#This Row],[VEHIDCODE]]</f>
        <v>item_dmu_Sweden_SJ_Y2</v>
      </c>
      <c r="Q464" s="32" t="str">
        <f>"str_"&amp;CONTROL[[#This Row],[VEHIDCODE]]</f>
        <v>str_dmu_Sweden_SJ_Y2</v>
      </c>
    </row>
    <row r="465" spans="1:17">
      <c r="A465" s="2" t="s">
        <v>491</v>
      </c>
      <c r="B465" s="32" t="str">
        <f>_xlfn.TEXTAFTER(CONTROL[[#This Row],[VEHIDCODE]],"_")</f>
        <v>Spain_RENFE_594_TRD</v>
      </c>
      <c r="C465" t="s">
        <v>724</v>
      </c>
      <c r="D465" t="s">
        <v>945</v>
      </c>
      <c r="E465">
        <v>7015</v>
      </c>
      <c r="F465" t="s">
        <v>1453</v>
      </c>
      <c r="G465" t="s">
        <v>2838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Row],[VEHIDCODE]],#REF!,0))</f>
        <v>0</v>
      </c>
      <c r="L465" t="b">
        <f>ISNUMBER(_xlfn.XMATCH(CONTROL[[#This Row],[VEHIDCODE]],PROPERTIES[VEHIDCODE],0))</f>
        <v>1</v>
      </c>
      <c r="M465" t="b">
        <f>ISNUMBER(_xlfn.XMATCH(CONTROL[[#This Row],[VEHIDCODE]],#REF!,0))</f>
        <v>0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s="32" t="str">
        <f>"item_"&amp;CONTROL[[#This Row],[VEHIDCODE]]</f>
        <v>item_dmu_Spain_RENFE_594_TRD</v>
      </c>
      <c r="Q465" s="32" t="str">
        <f>"str_"&amp;CONTROL[[#This Row],[VEHIDCODE]]</f>
        <v>str_dmu_Spain_RENFE_594_TRD</v>
      </c>
    </row>
    <row r="466" spans="1:17">
      <c r="A466" s="2" t="s">
        <v>492</v>
      </c>
      <c r="B466" s="32" t="str">
        <f>_xlfn.TEXTAFTER(CONTROL[[#This Row],[VEHIDCODE]],"_")</f>
        <v>UK_BR_168</v>
      </c>
      <c r="C466" t="s">
        <v>724</v>
      </c>
      <c r="D466" t="s">
        <v>945</v>
      </c>
      <c r="E466">
        <v>7016</v>
      </c>
      <c r="F466" t="s">
        <v>1454</v>
      </c>
      <c r="G466" t="s">
        <v>2839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Row],[VEHIDCODE]],#REF!,0))</f>
        <v>0</v>
      </c>
      <c r="L466" t="b">
        <f>ISNUMBER(_xlfn.XMATCH(CONTROL[[#This Row],[VEHIDCODE]],PROPERTIES[VEHIDCODE],0))</f>
        <v>1</v>
      </c>
      <c r="M466" t="b">
        <f>ISNUMBER(_xlfn.XMATCH(CONTROL[[#This Row],[VEHIDCODE]],#REF!,0))</f>
        <v>0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s="32" t="str">
        <f>"item_"&amp;CONTROL[[#This Row],[VEHIDCODE]]</f>
        <v>item_dmu_UK_BR_168</v>
      </c>
      <c r="Q466" s="32" t="str">
        <f>"str_"&amp;CONTROL[[#This Row],[VEHIDCODE]]</f>
        <v>str_dmu_UK_BR_168</v>
      </c>
    </row>
    <row r="467" spans="1:17">
      <c r="A467" s="2" t="s">
        <v>493</v>
      </c>
      <c r="B467" s="32" t="str">
        <f>_xlfn.TEXTAFTER(CONTROL[[#This Row],[VEHIDCODE]],"_")</f>
        <v>Germany_DB_612_Regio_Swinger</v>
      </c>
      <c r="C467" t="s">
        <v>724</v>
      </c>
      <c r="D467" t="s">
        <v>945</v>
      </c>
      <c r="E467">
        <v>7017</v>
      </c>
      <c r="F467" t="s">
        <v>1455</v>
      </c>
      <c r="G467" t="s">
        <v>2840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Row],[VEHIDCODE]],#REF!,0))</f>
        <v>0</v>
      </c>
      <c r="L467" t="b">
        <f>ISNUMBER(_xlfn.XMATCH(CONTROL[[#This Row],[VEHIDCODE]],PROPERTIES[VEHIDCODE],0))</f>
        <v>1</v>
      </c>
      <c r="M467" t="b">
        <f>ISNUMBER(_xlfn.XMATCH(CONTROL[[#This Row],[VEHIDCODE]],#REF!,0))</f>
        <v>0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s="32" t="str">
        <f>"item_"&amp;CONTROL[[#This Row],[VEHIDCODE]]</f>
        <v>item_dmu_Germany_DB_612_Regio_Swinger</v>
      </c>
      <c r="Q467" s="32" t="str">
        <f>"str_"&amp;CONTROL[[#This Row],[VEHIDCODE]]</f>
        <v>str_dmu_Germany_DB_612_Regio_Swinger</v>
      </c>
    </row>
    <row r="468" spans="1:17">
      <c r="A468" s="2" t="s">
        <v>494</v>
      </c>
      <c r="B468" s="32" t="str">
        <f>_xlfn.TEXTAFTER(CONTROL[[#This Row],[VEHIDCODE]],"_")</f>
        <v>Germany_DB_642_Desiro</v>
      </c>
      <c r="C468" t="s">
        <v>724</v>
      </c>
      <c r="D468" t="s">
        <v>945</v>
      </c>
      <c r="E468">
        <v>7018</v>
      </c>
      <c r="F468" t="s">
        <v>1456</v>
      </c>
      <c r="G468" t="s">
        <v>2841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Row],[VEHIDCODE]],#REF!,0))</f>
        <v>0</v>
      </c>
      <c r="L468" t="b">
        <f>ISNUMBER(_xlfn.XMATCH(CONTROL[[#This Row],[VEHIDCODE]],PROPERTIES[VEHIDCODE],0))</f>
        <v>1</v>
      </c>
      <c r="M468" t="b">
        <f>ISNUMBER(_xlfn.XMATCH(CONTROL[[#This Row],[VEHIDCODE]],#REF!,0))</f>
        <v>0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s="32" t="str">
        <f>"item_"&amp;CONTROL[[#This Row],[VEHIDCODE]]</f>
        <v>item_dmu_Germany_DB_642_Desiro</v>
      </c>
      <c r="Q468" s="32" t="str">
        <f>"str_"&amp;CONTROL[[#This Row],[VEHIDCODE]]</f>
        <v>str_dmu_Germany_DB_642_Desiro</v>
      </c>
    </row>
    <row r="469" spans="1:17">
      <c r="A469" s="2" t="s">
        <v>495</v>
      </c>
      <c r="B469" s="32" t="str">
        <f>_xlfn.TEXTAFTER(CONTROL[[#This Row],[VEHIDCODE]],"_")</f>
        <v>Denmark_Arriva_Lint_41</v>
      </c>
      <c r="C469" t="s">
        <v>724</v>
      </c>
      <c r="D469" t="s">
        <v>945</v>
      </c>
      <c r="E469">
        <v>7019</v>
      </c>
      <c r="F469" t="s">
        <v>1457</v>
      </c>
      <c r="G469" t="s">
        <v>2842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Row],[VEHIDCODE]],#REF!,0))</f>
        <v>0</v>
      </c>
      <c r="L469" t="b">
        <f>ISNUMBER(_xlfn.XMATCH(CONTROL[[#This Row],[VEHIDCODE]],PROPERTIES[VEHIDCODE],0))</f>
        <v>1</v>
      </c>
      <c r="M469" t="b">
        <f>ISNUMBER(_xlfn.XMATCH(CONTROL[[#This Row],[VEHIDCODE]],#REF!,0))</f>
        <v>0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s="32" t="str">
        <f>"item_"&amp;CONTROL[[#This Row],[VEHIDCODE]]</f>
        <v>item_dmu_Denmark_Arriva_Lint_41</v>
      </c>
      <c r="Q469" s="32" t="str">
        <f>"str_"&amp;CONTROL[[#This Row],[VEHIDCODE]]</f>
        <v>str_dmu_Denmark_Arriva_Lint_41</v>
      </c>
    </row>
    <row r="470" spans="1:17">
      <c r="A470" s="2" t="s">
        <v>496</v>
      </c>
      <c r="B470" s="32" t="str">
        <f>_xlfn.TEXTAFTER(CONTROL[[#This Row],[VEHIDCODE]],"_")</f>
        <v>Norway_NSB_BM_93_Talent</v>
      </c>
      <c r="C470" t="s">
        <v>724</v>
      </c>
      <c r="D470" t="s">
        <v>945</v>
      </c>
      <c r="E470">
        <v>7020</v>
      </c>
      <c r="F470" t="s">
        <v>1458</v>
      </c>
      <c r="G470" t="s">
        <v>2843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Row],[VEHIDCODE]],#REF!,0))</f>
        <v>0</v>
      </c>
      <c r="L470" t="b">
        <f>ISNUMBER(_xlfn.XMATCH(CONTROL[[#This Row],[VEHIDCODE]],PROPERTIES[VEHIDCODE],0))</f>
        <v>1</v>
      </c>
      <c r="M470" t="b">
        <f>ISNUMBER(_xlfn.XMATCH(CONTROL[[#This Row],[VEHIDCODE]],#REF!,0))</f>
        <v>0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s="32" t="str">
        <f>"item_"&amp;CONTROL[[#This Row],[VEHIDCODE]]</f>
        <v>item_dmu_Norway_NSB_BM_93_Talent</v>
      </c>
      <c r="Q470" s="32" t="str">
        <f>"str_"&amp;CONTROL[[#This Row],[VEHIDCODE]]</f>
        <v>str_dmu_Norway_NSB_BM_93_Talent</v>
      </c>
    </row>
    <row r="471" spans="1:17">
      <c r="A471" s="2" t="s">
        <v>497</v>
      </c>
      <c r="B471" s="32" t="str">
        <f>_xlfn.TEXTAFTER(CONTROL[[#This Row],[VEHIDCODE]],"_")</f>
        <v>Australia_Transwa_Prospector</v>
      </c>
      <c r="C471" t="s">
        <v>724</v>
      </c>
      <c r="D471" t="s">
        <v>945</v>
      </c>
      <c r="E471">
        <v>7021</v>
      </c>
      <c r="F471" t="s">
        <v>1459</v>
      </c>
      <c r="G471" t="s">
        <v>2844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Row],[VEHIDCODE]],#REF!,0))</f>
        <v>0</v>
      </c>
      <c r="L471" t="b">
        <f>ISNUMBER(_xlfn.XMATCH(CONTROL[[#This Row],[VEHIDCODE]],PROPERTIES[VEHIDCODE],0))</f>
        <v>1</v>
      </c>
      <c r="M471" t="b">
        <f>ISNUMBER(_xlfn.XMATCH(CONTROL[[#This Row],[VEHIDCODE]],#REF!,0))</f>
        <v>0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s="32" t="str">
        <f>"item_"&amp;CONTROL[[#This Row],[VEHIDCODE]]</f>
        <v>item_dmu_Australia_Transwa_Prospector</v>
      </c>
      <c r="Q471" s="32" t="str">
        <f>"str_"&amp;CONTROL[[#This Row],[VEHIDCODE]]</f>
        <v>str_dmu_Australia_Transwa_Prospector</v>
      </c>
    </row>
    <row r="472" spans="1:17">
      <c r="A472" s="2" t="s">
        <v>498</v>
      </c>
      <c r="B472" s="32" t="str">
        <f>_xlfn.TEXTAFTER(CONTROL[[#This Row],[VEHIDCODE]],"_")</f>
        <v>Australia_CityRail_Hunter_Railcar</v>
      </c>
      <c r="C472" t="s">
        <v>724</v>
      </c>
      <c r="D472" t="s">
        <v>945</v>
      </c>
      <c r="E472">
        <v>7022</v>
      </c>
      <c r="F472" t="s">
        <v>1460</v>
      </c>
      <c r="G472" t="s">
        <v>2845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Row],[VEHIDCODE]],#REF!,0))</f>
        <v>0</v>
      </c>
      <c r="L472" t="b">
        <f>ISNUMBER(_xlfn.XMATCH(CONTROL[[#This Row],[VEHIDCODE]],PROPERTIES[VEHIDCODE],0))</f>
        <v>1</v>
      </c>
      <c r="M472" t="b">
        <f>ISNUMBER(_xlfn.XMATCH(CONTROL[[#This Row],[VEHIDCODE]],#REF!,0))</f>
        <v>0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s="32" t="str">
        <f>"item_"&amp;CONTROL[[#This Row],[VEHIDCODE]]</f>
        <v>item_dmu_Australia_CityRail_Hunter_Railcar</v>
      </c>
      <c r="Q472" s="32" t="str">
        <f>"str_"&amp;CONTROL[[#This Row],[VEHIDCODE]]</f>
        <v>str_dmu_Australia_CityRail_Hunter_Railcar</v>
      </c>
    </row>
    <row r="473" spans="1:17">
      <c r="A473" s="2" t="s">
        <v>499</v>
      </c>
      <c r="B473" s="32" t="str">
        <f>_xlfn.TEXTAFTER(CONTROL[[#This Row],[VEHIDCODE]],"_")</f>
        <v>Russia_RZD_RA2</v>
      </c>
      <c r="C473" t="s">
        <v>724</v>
      </c>
      <c r="D473" t="s">
        <v>945</v>
      </c>
      <c r="E473">
        <v>7023</v>
      </c>
      <c r="F473" t="s">
        <v>1461</v>
      </c>
      <c r="G473" t="s">
        <v>2846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Row],[VEHIDCODE]],#REF!,0))</f>
        <v>0</v>
      </c>
      <c r="L473" t="b">
        <f>ISNUMBER(_xlfn.XMATCH(CONTROL[[#This Row],[VEHIDCODE]],PROPERTIES[VEHIDCODE],0))</f>
        <v>1</v>
      </c>
      <c r="M473" t="b">
        <f>ISNUMBER(_xlfn.XMATCH(CONTROL[[#This Row],[VEHIDCODE]],#REF!,0))</f>
        <v>0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s="32" t="str">
        <f>"item_"&amp;CONTROL[[#This Row],[VEHIDCODE]]</f>
        <v>item_dmu_Russia_RZD_RA2</v>
      </c>
      <c r="Q473" s="32" t="str">
        <f>"str_"&amp;CONTROL[[#This Row],[VEHIDCODE]]</f>
        <v>str_dmu_Russia_RZD_RA2</v>
      </c>
    </row>
    <row r="474" spans="1:17">
      <c r="A474" s="2" t="s">
        <v>500</v>
      </c>
      <c r="B474" s="32" t="str">
        <f>_xlfn.TEXTAFTER(CONTROL[[#This Row],[VEHIDCODE]],"_")</f>
        <v>Denmark_DSB_IC4</v>
      </c>
      <c r="C474" t="s">
        <v>724</v>
      </c>
      <c r="D474" t="s">
        <v>945</v>
      </c>
      <c r="E474">
        <v>7000</v>
      </c>
      <c r="F474" t="s">
        <v>1462</v>
      </c>
      <c r="G474" t="s">
        <v>2847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Row],[VEHIDCODE]],#REF!,0))</f>
        <v>0</v>
      </c>
      <c r="L474" t="b">
        <f>ISNUMBER(_xlfn.XMATCH(CONTROL[[#This Row],[VEHIDCODE]],PROPERTIES[VEHIDCODE],0))</f>
        <v>1</v>
      </c>
      <c r="M474" t="b">
        <f>ISNUMBER(_xlfn.XMATCH(CONTROL[[#This Row],[VEHIDCODE]],#REF!,0))</f>
        <v>0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s="32" t="str">
        <f>"item_"&amp;CONTROL[[#This Row],[VEHIDCODE]]</f>
        <v>item_dmu_Denmark_DSB_IC4</v>
      </c>
      <c r="Q474" s="32" t="str">
        <f>"str_"&amp;CONTROL[[#This Row],[VEHIDCODE]]</f>
        <v>str_dmu_Denmark_DSB_IC4</v>
      </c>
    </row>
    <row r="475" spans="1:17">
      <c r="A475" s="2" t="s">
        <v>501</v>
      </c>
      <c r="B475" s="32" t="str">
        <f>_xlfn.TEXTAFTER(CONTROL[[#This Row],[VEHIDCODE]],"_")</f>
        <v>Croatia_HZ_7022</v>
      </c>
      <c r="C475" t="s">
        <v>724</v>
      </c>
      <c r="D475" t="s">
        <v>945</v>
      </c>
      <c r="E475">
        <v>7001</v>
      </c>
      <c r="F475" t="s">
        <v>1463</v>
      </c>
      <c r="G475" t="s">
        <v>2848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Row],[VEHIDCODE]],#REF!,0))</f>
        <v>0</v>
      </c>
      <c r="L475" t="b">
        <f>ISNUMBER(_xlfn.XMATCH(CONTROL[[#This Row],[VEHIDCODE]],PROPERTIES[VEHIDCODE],0))</f>
        <v>1</v>
      </c>
      <c r="M475" t="b">
        <f>ISNUMBER(_xlfn.XMATCH(CONTROL[[#This Row],[VEHIDCODE]],#REF!,0))</f>
        <v>0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s="32" t="str">
        <f>"item_"&amp;CONTROL[[#This Row],[VEHIDCODE]]</f>
        <v>item_dmu_Croatia_HZ_7022</v>
      </c>
      <c r="Q475" s="32" t="str">
        <f>"str_"&amp;CONTROL[[#This Row],[VEHIDCODE]]</f>
        <v>str_dmu_Croatia_HZ_7022</v>
      </c>
    </row>
    <row r="476" spans="1:17">
      <c r="A476" s="2" t="s">
        <v>502</v>
      </c>
      <c r="B476" s="32" t="str">
        <f>_xlfn.TEXTAFTER(CONTROL[[#This Row],[VEHIDCODE]],"_")</f>
        <v>Turkey_TCDD_MT_5500</v>
      </c>
      <c r="C476" t="s">
        <v>724</v>
      </c>
      <c r="D476" t="s">
        <v>945</v>
      </c>
      <c r="E476">
        <v>7024</v>
      </c>
      <c r="F476" t="s">
        <v>2826</v>
      </c>
      <c r="G476" t="s">
        <v>2849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Row],[VEHIDCODE]],#REF!,0))</f>
        <v>0</v>
      </c>
      <c r="L476" t="b">
        <f>ISNUMBER(_xlfn.XMATCH(CONTROL[[#This Row],[VEHIDCODE]],PROPERTIES[VEHIDCODE],0))</f>
        <v>1</v>
      </c>
      <c r="M476" t="b">
        <f>ISNUMBER(_xlfn.XMATCH(CONTROL[[#This Row],[VEHIDCODE]],#REF!,0))</f>
        <v>0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s="32" t="str">
        <f>"item_"&amp;CONTROL[[#This Row],[VEHIDCODE]]</f>
        <v>item_dmu_Turkey_TCDD_MT_5500</v>
      </c>
      <c r="Q476" s="32" t="str">
        <f>"str_"&amp;CONTROL[[#This Row],[VEHIDCODE]]</f>
        <v>str_dmu_Turkey_TCDD_MT_5500</v>
      </c>
    </row>
    <row r="477" spans="1:17">
      <c r="A477" s="2" t="s">
        <v>503</v>
      </c>
      <c r="B477" s="32" t="str">
        <f>_xlfn.TEXTAFTER(CONTROL[[#This Row],[VEHIDCODE]],"_")</f>
        <v>Japan_JNR_KiHa_181</v>
      </c>
      <c r="C477" t="s">
        <v>724</v>
      </c>
      <c r="D477" t="s">
        <v>945</v>
      </c>
      <c r="E477">
        <v>7025</v>
      </c>
      <c r="F477" t="s">
        <v>1464</v>
      </c>
      <c r="G477" t="s">
        <v>2850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Row],[VEHIDCODE]],#REF!,0))</f>
        <v>0</v>
      </c>
      <c r="L477" t="b">
        <f>ISNUMBER(_xlfn.XMATCH(CONTROL[[#This Row],[VEHIDCODE]],PROPERTIES[VEHIDCODE],0))</f>
        <v>1</v>
      </c>
      <c r="M477" t="b">
        <f>ISNUMBER(_xlfn.XMATCH(CONTROL[[#This Row],[VEHIDCODE]],#REF!,0))</f>
        <v>0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s="32" t="str">
        <f>"item_"&amp;CONTROL[[#This Row],[VEHIDCODE]]</f>
        <v>item_dmu_Japan_JNR_KiHa_181</v>
      </c>
      <c r="Q477" s="32" t="str">
        <f>"str_"&amp;CONTROL[[#This Row],[VEHIDCODE]]</f>
        <v>str_dmu_Japan_JNR_KiHa_181</v>
      </c>
    </row>
    <row r="478" spans="1:17">
      <c r="A478" s="2" t="s">
        <v>504</v>
      </c>
      <c r="B478" s="32" t="str">
        <f>_xlfn.TEXTAFTER(CONTROL[[#This Row],[VEHIDCODE]],"_")</f>
        <v>Czech_Republic_CD_814</v>
      </c>
      <c r="C478" t="s">
        <v>724</v>
      </c>
      <c r="D478" t="s">
        <v>945</v>
      </c>
      <c r="E478">
        <v>7026</v>
      </c>
      <c r="F478" t="s">
        <v>2827</v>
      </c>
      <c r="G478" t="s">
        <v>2851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Row],[VEHIDCODE]],#REF!,0))</f>
        <v>0</v>
      </c>
      <c r="L478" t="b">
        <f>ISNUMBER(_xlfn.XMATCH(CONTROL[[#This Row],[VEHIDCODE]],PROPERTIES[VEHIDCODE],0))</f>
        <v>1</v>
      </c>
      <c r="M478" t="b">
        <f>ISNUMBER(_xlfn.XMATCH(CONTROL[[#This Row],[VEHIDCODE]],#REF!,0))</f>
        <v>0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s="32" t="str">
        <f>"item_"&amp;CONTROL[[#This Row],[VEHIDCODE]]</f>
        <v>item_dmu_Czech_Republic_CD_814</v>
      </c>
      <c r="Q478" s="32" t="str">
        <f>"str_"&amp;CONTROL[[#This Row],[VEHIDCODE]]</f>
        <v>str_dmu_Czech_Republic_CD_814</v>
      </c>
    </row>
    <row r="479" spans="1:17">
      <c r="A479" s="2" t="s">
        <v>505</v>
      </c>
      <c r="B479" s="32" t="str">
        <f>_xlfn.TEXTAFTER(CONTROL[[#This Row],[VEHIDCODE]],"_")</f>
        <v>UK_BR_150_0_Sprinter</v>
      </c>
      <c r="C479" t="s">
        <v>724</v>
      </c>
      <c r="D479" t="s">
        <v>945</v>
      </c>
      <c r="E479">
        <v>7027</v>
      </c>
      <c r="F479" t="s">
        <v>1465</v>
      </c>
      <c r="G479" t="s">
        <v>2852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Row],[VEHIDCODE]],#REF!,0))</f>
        <v>0</v>
      </c>
      <c r="L479" t="b">
        <f>ISNUMBER(_xlfn.XMATCH(CONTROL[[#This Row],[VEHIDCODE]],PROPERTIES[VEHIDCODE],0))</f>
        <v>1</v>
      </c>
      <c r="M479" t="b">
        <f>ISNUMBER(_xlfn.XMATCH(CONTROL[[#This Row],[VEHIDCODE]],#REF!,0))</f>
        <v>0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s="32" t="str">
        <f>"item_"&amp;CONTROL[[#This Row],[VEHIDCODE]]</f>
        <v>item_dmu_UK_BR_150_0_Sprinter</v>
      </c>
      <c r="Q479" s="32" t="str">
        <f>"str_"&amp;CONTROL[[#This Row],[VEHIDCODE]]</f>
        <v>str_dmu_UK_BR_150_0_Sprinter</v>
      </c>
    </row>
    <row r="480" spans="1:17">
      <c r="A480" s="2" t="s">
        <v>506</v>
      </c>
      <c r="B480" s="32" t="str">
        <f>_xlfn.TEXTAFTER(CONTROL[[#This Row],[VEHIDCODE]],"_")</f>
        <v>Iran_RAI_141_Pacer</v>
      </c>
      <c r="C480" t="s">
        <v>724</v>
      </c>
      <c r="D480" t="s">
        <v>945</v>
      </c>
      <c r="E480">
        <v>7028</v>
      </c>
      <c r="F480" t="s">
        <v>1466</v>
      </c>
      <c r="G480" t="s">
        <v>2853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Row],[VEHIDCODE]],#REF!,0))</f>
        <v>0</v>
      </c>
      <c r="L480" t="b">
        <f>ISNUMBER(_xlfn.XMATCH(CONTROL[[#This Row],[VEHIDCODE]],PROPERTIES[VEHIDCODE],0))</f>
        <v>1</v>
      </c>
      <c r="M480" t="b">
        <f>ISNUMBER(_xlfn.XMATCH(CONTROL[[#This Row],[VEHIDCODE]],#REF!,0))</f>
        <v>0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s="32" t="str">
        <f>"item_"&amp;CONTROL[[#This Row],[VEHIDCODE]]</f>
        <v>item_dmu_Iran_RAI_141_Pacer</v>
      </c>
      <c r="Q480" s="32" t="str">
        <f>"str_"&amp;CONTROL[[#This Row],[VEHIDCODE]]</f>
        <v>str_dmu_Iran_RAI_141_Pacer</v>
      </c>
    </row>
    <row r="481" spans="1:17">
      <c r="A481" s="2" t="s">
        <v>507</v>
      </c>
      <c r="B481" s="32" t="str">
        <f>_xlfn.TEXTAFTER(CONTROL[[#This Row],[VEHIDCODE]],"_")</f>
        <v>Israel_Israel_Railways_IC3</v>
      </c>
      <c r="C481" t="s">
        <v>724</v>
      </c>
      <c r="D481" t="s">
        <v>945</v>
      </c>
      <c r="E481">
        <v>7029</v>
      </c>
      <c r="F481" t="s">
        <v>1467</v>
      </c>
      <c r="G481" t="s">
        <v>2854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Row],[VEHIDCODE]],#REF!,0))</f>
        <v>0</v>
      </c>
      <c r="L481" t="b">
        <f>ISNUMBER(_xlfn.XMATCH(CONTROL[[#This Row],[VEHIDCODE]],PROPERTIES[VEHIDCODE],0))</f>
        <v>1</v>
      </c>
      <c r="M481" t="b">
        <f>ISNUMBER(_xlfn.XMATCH(CONTROL[[#This Row],[VEHIDCODE]],#REF!,0))</f>
        <v>0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s="32" t="str">
        <f>"item_"&amp;CONTROL[[#This Row],[VEHIDCODE]]</f>
        <v>item_dmu_Israel_Israel_Railways_IC3</v>
      </c>
      <c r="Q481" s="32" t="str">
        <f>"str_"&amp;CONTROL[[#This Row],[VEHIDCODE]]</f>
        <v>str_dmu_Israel_Israel_Railways_IC3</v>
      </c>
    </row>
    <row r="482" spans="1:17">
      <c r="A482" s="2" t="s">
        <v>508</v>
      </c>
      <c r="B482" s="32" t="str">
        <f>_xlfn.TEXTAFTER(CONTROL[[#This Row],[VEHIDCODE]],"_")</f>
        <v>Australia_TransAdelaide_3100</v>
      </c>
      <c r="C482" t="s">
        <v>724</v>
      </c>
      <c r="D482" t="s">
        <v>945</v>
      </c>
      <c r="E482">
        <v>7030</v>
      </c>
      <c r="F482" t="s">
        <v>1468</v>
      </c>
      <c r="G482" t="s">
        <v>2855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Row],[VEHIDCODE]],#REF!,0))</f>
        <v>0</v>
      </c>
      <c r="L482" t="b">
        <f>ISNUMBER(_xlfn.XMATCH(CONTROL[[#This Row],[VEHIDCODE]],PROPERTIES[VEHIDCODE],0))</f>
        <v>1</v>
      </c>
      <c r="M482" t="b">
        <f>ISNUMBER(_xlfn.XMATCH(CONTROL[[#This Row],[VEHIDCODE]],#REF!,0))</f>
        <v>0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s="32" t="str">
        <f>"item_"&amp;CONTROL[[#This Row],[VEHIDCODE]]</f>
        <v>item_dmu_Australia_TransAdelaide_3100</v>
      </c>
      <c r="Q482" s="32" t="str">
        <f>"str_"&amp;CONTROL[[#This Row],[VEHIDCODE]]</f>
        <v>str_dmu_Australia_TransAdelaide_3100</v>
      </c>
    </row>
    <row r="483" spans="1:17">
      <c r="A483" s="2" t="s">
        <v>509</v>
      </c>
      <c r="B483" s="32" t="str">
        <f>_xlfn.TEXTAFTER(CONTROL[[#This Row],[VEHIDCODE]],"_")</f>
        <v>Australia_NSWGR_Xplorer</v>
      </c>
      <c r="C483" t="s">
        <v>724</v>
      </c>
      <c r="D483" t="s">
        <v>945</v>
      </c>
      <c r="E483">
        <v>7031</v>
      </c>
      <c r="F483" t="s">
        <v>1469</v>
      </c>
      <c r="G483" t="s">
        <v>2856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Row],[VEHIDCODE]],#REF!,0))</f>
        <v>0</v>
      </c>
      <c r="L483" t="b">
        <f>ISNUMBER(_xlfn.XMATCH(CONTROL[[#This Row],[VEHIDCODE]],PROPERTIES[VEHIDCODE],0))</f>
        <v>1</v>
      </c>
      <c r="M483" t="b">
        <f>ISNUMBER(_xlfn.XMATCH(CONTROL[[#This Row],[VEHIDCODE]],#REF!,0))</f>
        <v>0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s="32" t="str">
        <f>"item_"&amp;CONTROL[[#This Row],[VEHIDCODE]]</f>
        <v>item_dmu_Australia_NSWGR_Xplorer</v>
      </c>
      <c r="Q483" s="32" t="str">
        <f>"str_"&amp;CONTROL[[#This Row],[VEHIDCODE]]</f>
        <v>str_dmu_Australia_NSWGR_Xplorer</v>
      </c>
    </row>
    <row r="484" spans="1:17">
      <c r="A484" s="2" t="s">
        <v>510</v>
      </c>
      <c r="B484" s="32" t="str">
        <f>_xlfn.TEXTAFTER(CONTROL[[#This Row],[VEHIDCODE]],"_")</f>
        <v>Japan_JR_KiHa_189</v>
      </c>
      <c r="C484" t="s">
        <v>724</v>
      </c>
      <c r="D484" t="s">
        <v>945</v>
      </c>
      <c r="E484">
        <v>7032</v>
      </c>
      <c r="F484" t="s">
        <v>1470</v>
      </c>
      <c r="G484" t="s">
        <v>2857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Row],[VEHIDCODE]],#REF!,0))</f>
        <v>0</v>
      </c>
      <c r="L484" t="b">
        <f>ISNUMBER(_xlfn.XMATCH(CONTROL[[#This Row],[VEHIDCODE]],PROPERTIES[VEHIDCODE],0))</f>
        <v>1</v>
      </c>
      <c r="M484" t="b">
        <f>ISNUMBER(_xlfn.XMATCH(CONTROL[[#This Row],[VEHIDCODE]],#REF!,0))</f>
        <v>0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s="32" t="str">
        <f>"item_"&amp;CONTROL[[#This Row],[VEHIDCODE]]</f>
        <v>item_dmu_Japan_JR_KiHa_189</v>
      </c>
      <c r="Q484" s="32" t="str">
        <f>"str_"&amp;CONTROL[[#This Row],[VEHIDCODE]]</f>
        <v>str_dmu_Japan_JR_KiHa_189</v>
      </c>
    </row>
    <row r="485" spans="1:17">
      <c r="A485" s="2" t="s">
        <v>511</v>
      </c>
      <c r="B485" s="32" t="str">
        <f>_xlfn.TEXTAFTER(CONTROL[[#This Row],[VEHIDCODE]],"_")</f>
        <v>Sri_Lanka_Sri_Lanka_Railways_S11</v>
      </c>
      <c r="C485" t="s">
        <v>724</v>
      </c>
      <c r="D485" t="s">
        <v>945</v>
      </c>
      <c r="E485">
        <v>7033</v>
      </c>
      <c r="F485" t="s">
        <v>1471</v>
      </c>
      <c r="G485" t="s">
        <v>2858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Row],[VEHIDCODE]],#REF!,0))</f>
        <v>0</v>
      </c>
      <c r="L485" t="b">
        <f>ISNUMBER(_xlfn.XMATCH(CONTROL[[#This Row],[VEHIDCODE]],PROPERTIES[VEHIDCODE],0))</f>
        <v>1</v>
      </c>
      <c r="M485" t="b">
        <f>ISNUMBER(_xlfn.XMATCH(CONTROL[[#This Row],[VEHIDCODE]],#REF!,0))</f>
        <v>0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s="32" t="str">
        <f>"item_"&amp;CONTROL[[#This Row],[VEHIDCODE]]</f>
        <v>item_dmu_Sri_Lanka_Sri_Lanka_Railways_S11</v>
      </c>
      <c r="Q485" s="32" t="str">
        <f>"str_"&amp;CONTROL[[#This Row],[VEHIDCODE]]</f>
        <v>str_dmu_Sri_Lanka_Sri_Lanka_Railways_S11</v>
      </c>
    </row>
    <row r="486" spans="1:17">
      <c r="A486" s="2" t="s">
        <v>512</v>
      </c>
      <c r="B486" s="32" t="str">
        <f>_xlfn.TEXTAFTER(CONTROL[[#This Row],[VEHIDCODE]],"_")</f>
        <v>Slovakia_ZSSK_861</v>
      </c>
      <c r="C486" t="s">
        <v>724</v>
      </c>
      <c r="D486" t="s">
        <v>945</v>
      </c>
      <c r="E486">
        <v>7035</v>
      </c>
      <c r="F486" t="s">
        <v>1472</v>
      </c>
      <c r="G486" t="s">
        <v>2859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Row],[VEHIDCODE]],#REF!,0))</f>
        <v>0</v>
      </c>
      <c r="L486" t="b">
        <f>ISNUMBER(_xlfn.XMATCH(CONTROL[[#This Row],[VEHIDCODE]],PROPERTIES[VEHIDCODE],0))</f>
        <v>1</v>
      </c>
      <c r="M486" t="b">
        <f>ISNUMBER(_xlfn.XMATCH(CONTROL[[#This Row],[VEHIDCODE]],#REF!,0))</f>
        <v>0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s="32" t="str">
        <f>"item_"&amp;CONTROL[[#This Row],[VEHIDCODE]]</f>
        <v>item_dmu_Slovakia_ZSSK_861</v>
      </c>
      <c r="Q486" s="32" t="str">
        <f>"str_"&amp;CONTROL[[#This Row],[VEHIDCODE]]</f>
        <v>str_dmu_Slovakia_ZSSK_861</v>
      </c>
    </row>
    <row r="487" spans="1:17">
      <c r="A487" s="2" t="s">
        <v>513</v>
      </c>
      <c r="B487" s="32" t="str">
        <f>_xlfn.TEXTAFTER(CONTROL[[#This Row],[VEHIDCODE]],"_")</f>
        <v>Chile_EFE_TLD_500</v>
      </c>
      <c r="C487" t="s">
        <v>724</v>
      </c>
      <c r="D487" t="s">
        <v>945</v>
      </c>
      <c r="E487">
        <v>7036</v>
      </c>
      <c r="F487" t="s">
        <v>1473</v>
      </c>
      <c r="G487" t="s">
        <v>2860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Row],[VEHIDCODE]],#REF!,0))</f>
        <v>0</v>
      </c>
      <c r="L487" t="b">
        <f>ISNUMBER(_xlfn.XMATCH(CONTROL[[#This Row],[VEHIDCODE]],PROPERTIES[VEHIDCODE],0))</f>
        <v>1</v>
      </c>
      <c r="M487" t="b">
        <f>ISNUMBER(_xlfn.XMATCH(CONTROL[[#This Row],[VEHIDCODE]],#REF!,0))</f>
        <v>0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s="32" t="str">
        <f>"item_"&amp;CONTROL[[#This Row],[VEHIDCODE]]</f>
        <v>item_dmu_Chile_EFE_TLD_500</v>
      </c>
      <c r="Q487" s="32" t="str">
        <f>"str_"&amp;CONTROL[[#This Row],[VEHIDCODE]]</f>
        <v>str_dmu_Chile_EFE_TLD_500</v>
      </c>
    </row>
    <row r="488" spans="1:17">
      <c r="A488" s="2" t="s">
        <v>514</v>
      </c>
      <c r="B488" s="32" t="str">
        <f>_xlfn.TEXTAFTER(CONTROL[[#This Row],[VEHIDCODE]],"_")</f>
        <v>Cameroon_Camrail_ZE_500</v>
      </c>
      <c r="C488" t="s">
        <v>724</v>
      </c>
      <c r="D488" t="s">
        <v>945</v>
      </c>
      <c r="E488">
        <v>7037</v>
      </c>
      <c r="F488" t="s">
        <v>1474</v>
      </c>
      <c r="G488" t="s">
        <v>2861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Row],[VEHIDCODE]],#REF!,0))</f>
        <v>0</v>
      </c>
      <c r="L488" t="b">
        <f>ISNUMBER(_xlfn.XMATCH(CONTROL[[#This Row],[VEHIDCODE]],PROPERTIES[VEHIDCODE],0))</f>
        <v>1</v>
      </c>
      <c r="M488" t="b">
        <f>ISNUMBER(_xlfn.XMATCH(CONTROL[[#This Row],[VEHIDCODE]],#REF!,0))</f>
        <v>0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s="32" t="str">
        <f>"item_"&amp;CONTROL[[#This Row],[VEHIDCODE]]</f>
        <v>item_dmu_Cameroon_Camrail_ZE_500</v>
      </c>
      <c r="Q488" s="32" t="str">
        <f>"str_"&amp;CONTROL[[#This Row],[VEHIDCODE]]</f>
        <v>str_dmu_Cameroon_Camrail_ZE_500</v>
      </c>
    </row>
    <row r="489" spans="1:17">
      <c r="A489" s="2" t="s">
        <v>515</v>
      </c>
      <c r="B489" s="32" t="str">
        <f>_xlfn.TEXTAFTER(CONTROL[[#This Row],[VEHIDCODE]],"_")</f>
        <v>UK_BR_251_Blue_Pullman</v>
      </c>
      <c r="C489" t="s">
        <v>724</v>
      </c>
      <c r="D489" t="s">
        <v>945</v>
      </c>
      <c r="E489">
        <v>7039</v>
      </c>
      <c r="F489" t="s">
        <v>1475</v>
      </c>
      <c r="G489" t="s">
        <v>2862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Row],[VEHIDCODE]],#REF!,0))</f>
        <v>0</v>
      </c>
      <c r="L489" t="b">
        <f>ISNUMBER(_xlfn.XMATCH(CONTROL[[#This Row],[VEHIDCODE]],PROPERTIES[VEHIDCODE],0))</f>
        <v>1</v>
      </c>
      <c r="M489" t="b">
        <f>ISNUMBER(_xlfn.XMATCH(CONTROL[[#This Row],[VEHIDCODE]],#REF!,0))</f>
        <v>0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s="32" t="str">
        <f>"item_"&amp;CONTROL[[#This Row],[VEHIDCODE]]</f>
        <v>item_dmu_UK_BR_251_Blue_Pullman</v>
      </c>
      <c r="Q489" s="32" t="str">
        <f>"str_"&amp;CONTROL[[#This Row],[VEHIDCODE]]</f>
        <v>str_dmu_UK_BR_251_Blue_Pullman</v>
      </c>
    </row>
    <row r="490" spans="1:17">
      <c r="A490" s="2" t="s">
        <v>516</v>
      </c>
      <c r="B490" s="32" t="str">
        <f>_xlfn.TEXTAFTER(CONTROL[[#This Row],[VEHIDCODE]],"_")</f>
        <v>Australia_WAGR_ADK_ADB</v>
      </c>
      <c r="C490" t="s">
        <v>724</v>
      </c>
      <c r="D490" t="s">
        <v>945</v>
      </c>
      <c r="E490">
        <v>7041</v>
      </c>
      <c r="F490" t="s">
        <v>2864</v>
      </c>
      <c r="G490" t="s">
        <v>2863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Row],[VEHIDCODE]],#REF!,0))</f>
        <v>0</v>
      </c>
      <c r="L490" t="b">
        <f>ISNUMBER(_xlfn.XMATCH(CONTROL[[#This Row],[VEHIDCODE]],PROPERTIES[VEHIDCODE],0))</f>
        <v>1</v>
      </c>
      <c r="M490" t="b">
        <f>ISNUMBER(_xlfn.XMATCH(CONTROL[[#This Row],[VEHIDCODE]],#REF!,0))</f>
        <v>0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s="32" t="str">
        <f>"item_"&amp;CONTROL[[#This Row],[VEHIDCODE]]</f>
        <v>item_dmu_Australia_WAGR_ADK_ADB</v>
      </c>
      <c r="Q490" s="32" t="str">
        <f>"str_"&amp;CONTROL[[#This Row],[VEHIDCODE]]</f>
        <v>str_dmu_Australia_WAGR_ADK_ADB</v>
      </c>
    </row>
    <row r="491" spans="1:17">
      <c r="A491" s="2" t="s">
        <v>517</v>
      </c>
      <c r="B491" s="32" t="str">
        <f>_xlfn.TEXTAFTER(CONTROL[[#This Row],[VEHIDCODE]],"_")</f>
        <v>France_SNCF_X_4630</v>
      </c>
      <c r="C491" t="s">
        <v>724</v>
      </c>
      <c r="D491" t="s">
        <v>945</v>
      </c>
      <c r="E491">
        <v>7042</v>
      </c>
      <c r="F491" t="s">
        <v>1476</v>
      </c>
      <c r="G491" t="s">
        <v>2865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Row],[VEHIDCODE]],#REF!,0))</f>
        <v>0</v>
      </c>
      <c r="L491" t="b">
        <f>ISNUMBER(_xlfn.XMATCH(CONTROL[[#This Row],[VEHIDCODE]],PROPERTIES[VEHIDCODE],0))</f>
        <v>1</v>
      </c>
      <c r="M491" t="b">
        <f>ISNUMBER(_xlfn.XMATCH(CONTROL[[#This Row],[VEHIDCODE]],#REF!,0))</f>
        <v>0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s="32" t="str">
        <f>"item_"&amp;CONTROL[[#This Row],[VEHIDCODE]]</f>
        <v>item_dmu_France_SNCF_X_4630</v>
      </c>
      <c r="Q491" s="32" t="str">
        <f>"str_"&amp;CONTROL[[#This Row],[VEHIDCODE]]</f>
        <v>str_dmu_France_SNCF_X_4630</v>
      </c>
    </row>
    <row r="492" spans="1:17">
      <c r="A492" s="2" t="s">
        <v>518</v>
      </c>
      <c r="B492" s="32" t="str">
        <f>_xlfn.TEXTAFTER(CONTROL[[#This Row],[VEHIDCODE]],"_")</f>
        <v>France_SNCF_T_2000</v>
      </c>
      <c r="C492" t="s">
        <v>724</v>
      </c>
      <c r="D492" t="s">
        <v>945</v>
      </c>
      <c r="E492">
        <v>7043</v>
      </c>
      <c r="F492" t="s">
        <v>1477</v>
      </c>
      <c r="G492" t="s">
        <v>2866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Row],[VEHIDCODE]],#REF!,0))</f>
        <v>0</v>
      </c>
      <c r="L492" t="b">
        <f>ISNUMBER(_xlfn.XMATCH(CONTROL[[#This Row],[VEHIDCODE]],PROPERTIES[VEHIDCODE],0))</f>
        <v>1</v>
      </c>
      <c r="M492" t="b">
        <f>ISNUMBER(_xlfn.XMATCH(CONTROL[[#This Row],[VEHIDCODE]],#REF!,0))</f>
        <v>0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s="32" t="str">
        <f>"item_"&amp;CONTROL[[#This Row],[VEHIDCODE]]</f>
        <v>item_dmu_France_SNCF_T_2000</v>
      </c>
      <c r="Q492" s="32" t="str">
        <f>"str_"&amp;CONTROL[[#This Row],[VEHIDCODE]]</f>
        <v>str_dmu_France_SNCF_T_2000</v>
      </c>
    </row>
    <row r="493" spans="1:17">
      <c r="A493" s="2" t="s">
        <v>519</v>
      </c>
      <c r="B493" s="32" t="str">
        <f>_xlfn.TEXTAFTER(CONTROL[[#This Row],[VEHIDCODE]],"_")</f>
        <v>Netherlands_NS_DH2</v>
      </c>
      <c r="C493" t="s">
        <v>724</v>
      </c>
      <c r="D493" t="s">
        <v>945</v>
      </c>
      <c r="E493">
        <v>7045</v>
      </c>
      <c r="F493" t="s">
        <v>1478</v>
      </c>
      <c r="G493" t="s">
        <v>2867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Row],[VEHIDCODE]],#REF!,0))</f>
        <v>0</v>
      </c>
      <c r="L493" t="b">
        <f>ISNUMBER(_xlfn.XMATCH(CONTROL[[#This Row],[VEHIDCODE]],PROPERTIES[VEHIDCODE],0))</f>
        <v>1</v>
      </c>
      <c r="M493" t="b">
        <f>ISNUMBER(_xlfn.XMATCH(CONTROL[[#This Row],[VEHIDCODE]],#REF!,0))</f>
        <v>0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s="32" t="str">
        <f>"item_"&amp;CONTROL[[#This Row],[VEHIDCODE]]</f>
        <v>item_dmu_Netherlands_NS_DH2</v>
      </c>
      <c r="Q493" s="32" t="str">
        <f>"str_"&amp;CONTROL[[#This Row],[VEHIDCODE]]</f>
        <v>str_dmu_Netherlands_NS_DH2</v>
      </c>
    </row>
    <row r="494" spans="1:17">
      <c r="A494" s="2" t="s">
        <v>520</v>
      </c>
      <c r="B494" s="32" t="str">
        <f>_xlfn.TEXTAFTER(CONTROL[[#This Row],[VEHIDCODE]],"_")</f>
        <v>Germany_DB_6282</v>
      </c>
      <c r="C494" t="s">
        <v>724</v>
      </c>
      <c r="D494" t="s">
        <v>945</v>
      </c>
      <c r="E494">
        <v>7047</v>
      </c>
      <c r="F494" t="s">
        <v>1479</v>
      </c>
      <c r="G494" t="s">
        <v>2868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Row],[VEHIDCODE]],#REF!,0))</f>
        <v>0</v>
      </c>
      <c r="L494" t="b">
        <f>ISNUMBER(_xlfn.XMATCH(CONTROL[[#This Row],[VEHIDCODE]],PROPERTIES[VEHIDCODE],0))</f>
        <v>1</v>
      </c>
      <c r="M494" t="b">
        <f>ISNUMBER(_xlfn.XMATCH(CONTROL[[#This Row],[VEHIDCODE]],#REF!,0))</f>
        <v>0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s="32" t="str">
        <f>"item_"&amp;CONTROL[[#This Row],[VEHIDCODE]]</f>
        <v>item_dmu_Germany_DB_6282</v>
      </c>
      <c r="Q494" s="32" t="str">
        <f>"str_"&amp;CONTROL[[#This Row],[VEHIDCODE]]</f>
        <v>str_dmu_Germany_DB_6282</v>
      </c>
    </row>
    <row r="495" spans="1:17">
      <c r="A495" s="2" t="s">
        <v>521</v>
      </c>
      <c r="B495" s="32" t="str">
        <f>_xlfn.TEXTAFTER(CONTROL[[#This Row],[VEHIDCODE]],"_")</f>
        <v>Algeria_SNTF_ZZ_2200_Autorail</v>
      </c>
      <c r="C495" t="s">
        <v>724</v>
      </c>
      <c r="D495" t="s">
        <v>945</v>
      </c>
      <c r="E495">
        <v>7048</v>
      </c>
      <c r="F495" t="s">
        <v>1480</v>
      </c>
      <c r="G495" t="s">
        <v>2632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Row],[VEHIDCODE]],#REF!,0))</f>
        <v>0</v>
      </c>
      <c r="L495" t="b">
        <f>ISNUMBER(_xlfn.XMATCH(CONTROL[[#This Row],[VEHIDCODE]],PROPERTIES[VEHIDCODE],0))</f>
        <v>1</v>
      </c>
      <c r="M495" t="b">
        <f>ISNUMBER(_xlfn.XMATCH(CONTROL[[#This Row],[VEHIDCODE]],#REF!,0))</f>
        <v>0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s="32" t="str">
        <f>"item_"&amp;CONTROL[[#This Row],[VEHIDCODE]]</f>
        <v>item_dmu_Algeria_SNTF_ZZ_2200_Autorail</v>
      </c>
      <c r="Q495" s="32" t="str">
        <f>"str_"&amp;CONTROL[[#This Row],[VEHIDCODE]]</f>
        <v>str_dmu_Algeria_SNTF_ZZ_2200_Autorail</v>
      </c>
    </row>
    <row r="496" spans="1:17">
      <c r="A496" s="2" t="s">
        <v>522</v>
      </c>
      <c r="B496" s="32" t="str">
        <f>_xlfn.TEXTAFTER(CONTROL[[#This Row],[VEHIDCODE]],"_")</f>
        <v>Tunisia_SNCFT_AMT_800</v>
      </c>
      <c r="C496" t="s">
        <v>724</v>
      </c>
      <c r="D496" t="s">
        <v>945</v>
      </c>
      <c r="E496">
        <v>7049</v>
      </c>
      <c r="F496" t="s">
        <v>1481</v>
      </c>
      <c r="G496" t="s">
        <v>2869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Row],[VEHIDCODE]],#REF!,0))</f>
        <v>0</v>
      </c>
      <c r="L496" t="b">
        <f>ISNUMBER(_xlfn.XMATCH(CONTROL[[#This Row],[VEHIDCODE]],PROPERTIES[VEHIDCODE],0))</f>
        <v>1</v>
      </c>
      <c r="M496" t="b">
        <f>ISNUMBER(_xlfn.XMATCH(CONTROL[[#This Row],[VEHIDCODE]],#REF!,0))</f>
        <v>0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s="32" t="str">
        <f>"item_"&amp;CONTROL[[#This Row],[VEHIDCODE]]</f>
        <v>item_dmu_Tunisia_SNCFT_AMT_800</v>
      </c>
      <c r="Q496" s="32" t="str">
        <f>"str_"&amp;CONTROL[[#This Row],[VEHIDCODE]]</f>
        <v>str_dmu_Tunisia_SNCFT_AMT_800</v>
      </c>
    </row>
    <row r="497" spans="1:17">
      <c r="A497" s="2" t="s">
        <v>523</v>
      </c>
      <c r="B497" s="32" t="str">
        <f>_xlfn.TEXTAFTER(CONTROL[[#This Row],[VEHIDCODE]],"_")</f>
        <v>Ghana_Ghana_Railways_DEMU</v>
      </c>
      <c r="C497" t="s">
        <v>724</v>
      </c>
      <c r="D497" t="s">
        <v>945</v>
      </c>
      <c r="E497">
        <v>7050</v>
      </c>
      <c r="F497" t="s">
        <v>1482</v>
      </c>
      <c r="G497" t="s">
        <v>2870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Row],[VEHIDCODE]],#REF!,0))</f>
        <v>0</v>
      </c>
      <c r="L497" t="b">
        <f>ISNUMBER(_xlfn.XMATCH(CONTROL[[#This Row],[VEHIDCODE]],PROPERTIES[VEHIDCODE],0))</f>
        <v>1</v>
      </c>
      <c r="M497" t="b">
        <f>ISNUMBER(_xlfn.XMATCH(CONTROL[[#This Row],[VEHIDCODE]],#REF!,0))</f>
        <v>0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s="32" t="str">
        <f>"item_"&amp;CONTROL[[#This Row],[VEHIDCODE]]</f>
        <v>item_dmu_Ghana_Ghana_Railways_DEMU</v>
      </c>
      <c r="Q497" s="32" t="str">
        <f>"str_"&amp;CONTROL[[#This Row],[VEHIDCODE]]</f>
        <v>str_dmu_Ghana_Ghana_Railways_DEMU</v>
      </c>
    </row>
    <row r="498" spans="1:17">
      <c r="A498" s="2" t="s">
        <v>524</v>
      </c>
      <c r="B498" s="32" t="str">
        <f>_xlfn.TEXTAFTER(CONTROL[[#This Row],[VEHIDCODE]],"_")</f>
        <v>Australia_Queensland_Rail_Diesel_Tilt_Train</v>
      </c>
      <c r="C498" t="s">
        <v>724</v>
      </c>
      <c r="D498" t="s">
        <v>945</v>
      </c>
      <c r="E498">
        <v>7051</v>
      </c>
      <c r="F498" t="s">
        <v>1483</v>
      </c>
      <c r="G498" t="s">
        <v>2871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Row],[VEHIDCODE]],#REF!,0))</f>
        <v>0</v>
      </c>
      <c r="L498" t="b">
        <f>ISNUMBER(_xlfn.XMATCH(CONTROL[[#This Row],[VEHIDCODE]],PROPERTIES[VEHIDCODE],0))</f>
        <v>1</v>
      </c>
      <c r="M498" t="b">
        <f>ISNUMBER(_xlfn.XMATCH(CONTROL[[#This Row],[VEHIDCODE]],#REF!,0))</f>
        <v>0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s="32" t="str">
        <f>"item_"&amp;CONTROL[[#This Row],[VEHIDCODE]]</f>
        <v>item_dmu_Australia_Queensland_Rail_Diesel_Tilt_Train</v>
      </c>
      <c r="Q498" s="32" t="str">
        <f>"str_"&amp;CONTROL[[#This Row],[VEHIDCODE]]</f>
        <v>str_dmu_Australia_Queensland_Rail_Diesel_Tilt_Train</v>
      </c>
    </row>
    <row r="499" spans="1:17">
      <c r="A499" s="2" t="s">
        <v>525</v>
      </c>
      <c r="B499" s="32" t="str">
        <f>_xlfn.TEXTAFTER(CONTROL[[#This Row],[VEHIDCODE]],"_")</f>
        <v>Canada_UP_Express_Nippon_Sharyo_DMU</v>
      </c>
      <c r="C499" t="s">
        <v>724</v>
      </c>
      <c r="D499" t="s">
        <v>945</v>
      </c>
      <c r="E499">
        <v>7052</v>
      </c>
      <c r="F499" t="s">
        <v>1484</v>
      </c>
      <c r="G499" t="s">
        <v>2872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Row],[VEHIDCODE]],#REF!,0))</f>
        <v>0</v>
      </c>
      <c r="L499" t="b">
        <f>ISNUMBER(_xlfn.XMATCH(CONTROL[[#This Row],[VEHIDCODE]],PROPERTIES[VEHIDCODE],0))</f>
        <v>1</v>
      </c>
      <c r="M499" t="b">
        <f>ISNUMBER(_xlfn.XMATCH(CONTROL[[#This Row],[VEHIDCODE]],#REF!,0))</f>
        <v>0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s="32" t="str">
        <f>"item_"&amp;CONTROL[[#This Row],[VEHIDCODE]]</f>
        <v>item_dmu_Canada_UP_Express_Nippon_Sharyo_DMU</v>
      </c>
      <c r="Q499" s="32" t="str">
        <f>"str_"&amp;CONTROL[[#This Row],[VEHIDCODE]]</f>
        <v>str_dmu_Canada_UP_Express_Nippon_Sharyo_DMU</v>
      </c>
    </row>
    <row r="500" spans="1:17">
      <c r="A500" s="2" t="s">
        <v>526</v>
      </c>
      <c r="B500" s="32" t="str">
        <f>_xlfn.TEXTAFTER(CONTROL[[#This Row],[VEHIDCODE]],"_")</f>
        <v>Argentina_FCGU_CMM_400_2</v>
      </c>
      <c r="C500" t="s">
        <v>724</v>
      </c>
      <c r="D500" t="s">
        <v>945</v>
      </c>
      <c r="E500">
        <v>7053</v>
      </c>
      <c r="F500" t="s">
        <v>1485</v>
      </c>
      <c r="G500" t="s">
        <v>2873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Row],[VEHIDCODE]],#REF!,0))</f>
        <v>0</v>
      </c>
      <c r="L500" t="b">
        <f>ISNUMBER(_xlfn.XMATCH(CONTROL[[#This Row],[VEHIDCODE]],PROPERTIES[VEHIDCODE],0))</f>
        <v>1</v>
      </c>
      <c r="M500" t="b">
        <f>ISNUMBER(_xlfn.XMATCH(CONTROL[[#This Row],[VEHIDCODE]],#REF!,0))</f>
        <v>0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s="32" t="str">
        <f>"item_"&amp;CONTROL[[#This Row],[VEHIDCODE]]</f>
        <v>item_dmu_Argentina_FCGU_CMM_400_2</v>
      </c>
      <c r="Q500" s="32" t="str">
        <f>"str_"&amp;CONTROL[[#This Row],[VEHIDCODE]]</f>
        <v>str_dmu_Argentina_FCGU_CMM_400_2</v>
      </c>
    </row>
    <row r="501" spans="1:17">
      <c r="A501" s="2" t="s">
        <v>527</v>
      </c>
      <c r="B501" s="32" t="str">
        <f>_xlfn.TEXTAFTER(CONTROL[[#This Row],[VEHIDCODE]],"_")</f>
        <v>Italy_FS_ALn_442_448</v>
      </c>
      <c r="C501" t="s">
        <v>724</v>
      </c>
      <c r="D501" t="s">
        <v>945</v>
      </c>
      <c r="E501">
        <v>7038</v>
      </c>
      <c r="F501" t="s">
        <v>1486</v>
      </c>
      <c r="G501" t="s">
        <v>2874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Row],[VEHIDCODE]],#REF!,0))</f>
        <v>0</v>
      </c>
      <c r="L501" t="b">
        <f>ISNUMBER(_xlfn.XMATCH(CONTROL[[#This Row],[VEHIDCODE]],PROPERTIES[VEHIDCODE],0))</f>
        <v>1</v>
      </c>
      <c r="M501" t="b">
        <f>ISNUMBER(_xlfn.XMATCH(CONTROL[[#This Row],[VEHIDCODE]],#REF!,0))</f>
        <v>0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s="32" t="str">
        <f>"item_"&amp;CONTROL[[#This Row],[VEHIDCODE]]</f>
        <v>item_dmu_Italy_FS_ALn_442_448</v>
      </c>
      <c r="Q501" s="32" t="str">
        <f>"str_"&amp;CONTROL[[#This Row],[VEHIDCODE]]</f>
        <v>str_dmu_Italy_FS_ALn_442_448</v>
      </c>
    </row>
    <row r="502" spans="1:17">
      <c r="A502" s="2" t="s">
        <v>528</v>
      </c>
      <c r="B502" s="32" t="str">
        <f>_xlfn.TEXTAFTER(CONTROL[[#This Row],[VEHIDCODE]],"_")</f>
        <v>Portugal_CP_0400</v>
      </c>
      <c r="C502" t="s">
        <v>724</v>
      </c>
      <c r="D502" t="s">
        <v>945</v>
      </c>
      <c r="E502">
        <v>7040</v>
      </c>
      <c r="F502" t="s">
        <v>1487</v>
      </c>
      <c r="G502" t="s">
        <v>2875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Row],[VEHIDCODE]],#REF!,0))</f>
        <v>0</v>
      </c>
      <c r="L502" t="b">
        <f>ISNUMBER(_xlfn.XMATCH(CONTROL[[#This Row],[VEHIDCODE]],PROPERTIES[VEHIDCODE],0))</f>
        <v>1</v>
      </c>
      <c r="M502" t="b">
        <f>ISNUMBER(_xlfn.XMATCH(CONTROL[[#This Row],[VEHIDCODE]],#REF!,0))</f>
        <v>0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s="32" t="str">
        <f>"item_"&amp;CONTROL[[#This Row],[VEHIDCODE]]</f>
        <v>item_dmu_Portugal_CP_0400</v>
      </c>
      <c r="Q502" s="32" t="str">
        <f>"str_"&amp;CONTROL[[#This Row],[VEHIDCODE]]</f>
        <v>str_dmu_Portugal_CP_0400</v>
      </c>
    </row>
    <row r="503" spans="1:17">
      <c r="A503" s="2" t="s">
        <v>529</v>
      </c>
      <c r="B503" s="32" t="str">
        <f>_xlfn.TEXTAFTER(CONTROL[[#This Row],[VEHIDCODE]],"_")</f>
        <v>Portugal_CP_0600</v>
      </c>
      <c r="C503" t="s">
        <v>724</v>
      </c>
      <c r="D503" t="s">
        <v>945</v>
      </c>
      <c r="E503">
        <v>7044</v>
      </c>
      <c r="F503" t="s">
        <v>1488</v>
      </c>
      <c r="G503" t="s">
        <v>2876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Row],[VEHIDCODE]],#REF!,0))</f>
        <v>0</v>
      </c>
      <c r="L503" t="b">
        <f>ISNUMBER(_xlfn.XMATCH(CONTROL[[#This Row],[VEHIDCODE]],PROPERTIES[VEHIDCODE],0))</f>
        <v>1</v>
      </c>
      <c r="M503" t="b">
        <f>ISNUMBER(_xlfn.XMATCH(CONTROL[[#This Row],[VEHIDCODE]],#REF!,0))</f>
        <v>0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s="32" t="str">
        <f>"item_"&amp;CONTROL[[#This Row],[VEHIDCODE]]</f>
        <v>item_dmu_Portugal_CP_0600</v>
      </c>
      <c r="Q503" s="32" t="str">
        <f>"str_"&amp;CONTROL[[#This Row],[VEHIDCODE]]</f>
        <v>str_dmu_Portugal_CP_0600</v>
      </c>
    </row>
    <row r="504" spans="1:17">
      <c r="A504" s="2" t="s">
        <v>530</v>
      </c>
      <c r="B504" s="32" t="str">
        <f>_xlfn.TEXTAFTER(CONTROL[[#This Row],[VEHIDCODE]],"_")</f>
        <v>Spain_FEVE_2400_Apollos</v>
      </c>
      <c r="C504" t="s">
        <v>724</v>
      </c>
      <c r="D504" t="s">
        <v>945</v>
      </c>
      <c r="E504">
        <v>7046</v>
      </c>
      <c r="F504" t="s">
        <v>1489</v>
      </c>
      <c r="G504" t="s">
        <v>2879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Row],[VEHIDCODE]],#REF!,0))</f>
        <v>0</v>
      </c>
      <c r="L504" t="b">
        <f>ISNUMBER(_xlfn.XMATCH(CONTROL[[#This Row],[VEHIDCODE]],PROPERTIES[VEHIDCODE],0))</f>
        <v>1</v>
      </c>
      <c r="M504" t="b">
        <f>ISNUMBER(_xlfn.XMATCH(CONTROL[[#This Row],[VEHIDCODE]],#REF!,0))</f>
        <v>0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s="32" t="str">
        <f>"item_"&amp;CONTROL[[#This Row],[VEHIDCODE]]</f>
        <v>item_dmu_Spain_FEVE_2400_Apollos</v>
      </c>
      <c r="Q504" s="32" t="str">
        <f>"str_"&amp;CONTROL[[#This Row],[VEHIDCODE]]</f>
        <v>str_dmu_Spain_FEVE_2400_Apollos</v>
      </c>
    </row>
    <row r="505" spans="1:17">
      <c r="A505" s="2" t="s">
        <v>531</v>
      </c>
      <c r="B505" s="32" t="str">
        <f>_xlfn.TEXTAFTER(CONTROL[[#This Row],[VEHIDCODE]],"_")</f>
        <v>Germany_DB_691_CargoSprinter</v>
      </c>
      <c r="C505" t="s">
        <v>725</v>
      </c>
      <c r="D505" t="s">
        <v>966</v>
      </c>
      <c r="E505">
        <v>15501</v>
      </c>
      <c r="F505" t="s">
        <v>1490</v>
      </c>
      <c r="G505" t="s">
        <v>2883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Row],[VEHIDCODE]],#REF!,0))</f>
        <v>0</v>
      </c>
      <c r="L505" t="b">
        <f>ISNUMBER(_xlfn.XMATCH(CONTROL[[#This Row],[VEHIDCODE]],PROPERTIES[VEHIDCODE],0))</f>
        <v>1</v>
      </c>
      <c r="M505" t="b">
        <f>ISNUMBER(_xlfn.XMATCH(CONTROL[[#This Row],[VEHIDCODE]],#REF!,0))</f>
        <v>0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s="32" t="str">
        <f>"item_"&amp;CONTROL[[#This Row],[VEHIDCODE]]</f>
        <v>item_cargodmu_Germany_DB_691_CargoSprinter</v>
      </c>
      <c r="Q505" s="32" t="str">
        <f>"str_"&amp;CONTROL[[#This Row],[VEHIDCODE]]</f>
        <v>str_cargodmu_Germany_DB_691_CargoSprinter</v>
      </c>
    </row>
    <row r="506" spans="1:17">
      <c r="A506" s="2" t="s">
        <v>533</v>
      </c>
      <c r="B506" s="32" t="str">
        <f>_xlfn.TEXTAFTER(CONTROL[[#This Row],[VEHIDCODE]],"_")</f>
        <v>Australia_Sydney_Trains_A_Set_Waratah</v>
      </c>
      <c r="C506" t="s">
        <v>726</v>
      </c>
      <c r="D506" t="s">
        <v>947</v>
      </c>
      <c r="E506">
        <v>8054</v>
      </c>
      <c r="F506" t="s">
        <v>1491</v>
      </c>
      <c r="G506" t="s">
        <v>2884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Row],[VEHIDCODE]],#REF!,0))</f>
        <v>0</v>
      </c>
      <c r="L506" t="b">
        <f>ISNUMBER(_xlfn.XMATCH(CONTROL[[#This Row],[VEHIDCODE]],PROPERTIES[VEHIDCODE],0))</f>
        <v>1</v>
      </c>
      <c r="M506" t="b">
        <f>ISNUMBER(_xlfn.XMATCH(CONTROL[[#This Row],[VEHIDCODE]],#REF!,0))</f>
        <v>0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s="32" t="str">
        <f>"item_"&amp;CONTROL[[#This Row],[VEHIDCODE]]</f>
        <v>item_emu_Australia_Sydney_Trains_A_Set_Waratah</v>
      </c>
      <c r="Q506" s="32" t="str">
        <f>"str_"&amp;CONTROL[[#This Row],[VEHIDCODE]]</f>
        <v>str_emu_Australia_Sydney_Trains_A_Set_Waratah</v>
      </c>
    </row>
    <row r="507" spans="1:17">
      <c r="A507" s="2" t="s">
        <v>534</v>
      </c>
      <c r="B507" s="32" t="str">
        <f>_xlfn.TEXTAFTER(CONTROL[[#This Row],[VEHIDCODE]],"_")</f>
        <v>Denmark_DSB_S_Tog_II</v>
      </c>
      <c r="C507" t="s">
        <v>726</v>
      </c>
      <c r="D507" t="s">
        <v>947</v>
      </c>
      <c r="E507">
        <v>8013</v>
      </c>
      <c r="F507" t="s">
        <v>1492</v>
      </c>
      <c r="G507" t="s">
        <v>2885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Row],[VEHIDCODE]],#REF!,0))</f>
        <v>0</v>
      </c>
      <c r="L507" t="b">
        <f>ISNUMBER(_xlfn.XMATCH(CONTROL[[#This Row],[VEHIDCODE]],PROPERTIES[VEHIDCODE],0))</f>
        <v>1</v>
      </c>
      <c r="M507" t="b">
        <f>ISNUMBER(_xlfn.XMATCH(CONTROL[[#This Row],[VEHIDCODE]],#REF!,0))</f>
        <v>0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s="32" t="str">
        <f>"item_"&amp;CONTROL[[#This Row],[VEHIDCODE]]</f>
        <v>item_emu_Denmark_DSB_S_Tog_II</v>
      </c>
      <c r="Q507" s="32" t="str">
        <f>"str_"&amp;CONTROL[[#This Row],[VEHIDCODE]]</f>
        <v>str_emu_Denmark_DSB_S_Tog_II</v>
      </c>
    </row>
    <row r="508" spans="1:17">
      <c r="A508" s="2" t="s">
        <v>535</v>
      </c>
      <c r="B508" s="32" t="str">
        <f>_xlfn.TEXTAFTER(CONTROL[[#This Row],[VEHIDCODE]],"_")</f>
        <v>Denmark_DSB_S_Tog_IV</v>
      </c>
      <c r="C508" t="s">
        <v>726</v>
      </c>
      <c r="D508" t="s">
        <v>947</v>
      </c>
      <c r="E508">
        <v>8028</v>
      </c>
      <c r="F508" t="s">
        <v>1493</v>
      </c>
      <c r="G508" t="s">
        <v>2886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Row],[VEHIDCODE]],#REF!,0))</f>
        <v>0</v>
      </c>
      <c r="L508" t="b">
        <f>ISNUMBER(_xlfn.XMATCH(CONTROL[[#This Row],[VEHIDCODE]],PROPERTIES[VEHIDCODE],0))</f>
        <v>1</v>
      </c>
      <c r="M508" t="b">
        <f>ISNUMBER(_xlfn.XMATCH(CONTROL[[#This Row],[VEHIDCODE]],#REF!,0))</f>
        <v>0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s="32" t="str">
        <f>"item_"&amp;CONTROL[[#This Row],[VEHIDCODE]]</f>
        <v>item_emu_Denmark_DSB_S_Tog_IV</v>
      </c>
      <c r="Q508" s="32" t="str">
        <f>"str_"&amp;CONTROL[[#This Row],[VEHIDCODE]]</f>
        <v>str_emu_Denmark_DSB_S_Tog_IV</v>
      </c>
    </row>
    <row r="509" spans="1:17">
      <c r="A509" s="2" t="s">
        <v>536</v>
      </c>
      <c r="B509" s="32" t="str">
        <f>_xlfn.TEXTAFTER(CONTROL[[#This Row],[VEHIDCODE]],"_")</f>
        <v>Italy_ATAC_ECD_21_30</v>
      </c>
      <c r="C509" t="s">
        <v>726</v>
      </c>
      <c r="D509" t="s">
        <v>947</v>
      </c>
      <c r="E509">
        <v>8002</v>
      </c>
      <c r="F509" t="s">
        <v>2887</v>
      </c>
      <c r="G509" t="s">
        <v>2888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Row],[VEHIDCODE]],#REF!,0))</f>
        <v>0</v>
      </c>
      <c r="L509" t="b">
        <f>ISNUMBER(_xlfn.XMATCH(CONTROL[[#This Row],[VEHIDCODE]],PROPERTIES[VEHIDCODE],0))</f>
        <v>1</v>
      </c>
      <c r="M509" t="b">
        <f>ISNUMBER(_xlfn.XMATCH(CONTROL[[#This Row],[VEHIDCODE]],#REF!,0))</f>
        <v>0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s="32" t="str">
        <f>"item_"&amp;CONTROL[[#This Row],[VEHIDCODE]]</f>
        <v>item_emu_Italy_ATAC_ECD_21_30</v>
      </c>
      <c r="Q509" s="32" t="str">
        <f>"str_"&amp;CONTROL[[#This Row],[VEHIDCODE]]</f>
        <v>str_emu_Italy_ATAC_ECD_21_30</v>
      </c>
    </row>
    <row r="510" spans="1:17">
      <c r="A510" s="2" t="s">
        <v>537</v>
      </c>
      <c r="B510" s="32" t="str">
        <f>_xlfn.TEXTAFTER(CONTROL[[#This Row],[VEHIDCODE]],"_")</f>
        <v>Netherlands_NS_Mat24</v>
      </c>
      <c r="C510" t="s">
        <v>726</v>
      </c>
      <c r="D510" t="s">
        <v>947</v>
      </c>
      <c r="E510">
        <v>8000</v>
      </c>
      <c r="F510" t="s">
        <v>1494</v>
      </c>
      <c r="G510" t="s">
        <v>2889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Row],[VEHIDCODE]],#REF!,0))</f>
        <v>0</v>
      </c>
      <c r="L510" t="b">
        <f>ISNUMBER(_xlfn.XMATCH(CONTROL[[#This Row],[VEHIDCODE]],PROPERTIES[VEHIDCODE],0))</f>
        <v>1</v>
      </c>
      <c r="M510" t="b">
        <f>ISNUMBER(_xlfn.XMATCH(CONTROL[[#This Row],[VEHIDCODE]],#REF!,0))</f>
        <v>0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s="32" t="str">
        <f>"item_"&amp;CONTROL[[#This Row],[VEHIDCODE]]</f>
        <v>item_emu_Netherlands_NS_Mat24</v>
      </c>
      <c r="Q510" s="32" t="str">
        <f>"str_"&amp;CONTROL[[#This Row],[VEHIDCODE]]</f>
        <v>str_emu_Netherlands_NS_Mat24</v>
      </c>
    </row>
    <row r="511" spans="1:17">
      <c r="A511" s="2" t="s">
        <v>538</v>
      </c>
      <c r="B511" s="32" t="str">
        <f>_xlfn.TEXTAFTER(CONTROL[[#This Row],[VEHIDCODE]],"_")</f>
        <v>Netherlands_NS_Mat36</v>
      </c>
      <c r="C511" t="s">
        <v>726</v>
      </c>
      <c r="D511" t="s">
        <v>947</v>
      </c>
      <c r="E511">
        <v>8003</v>
      </c>
      <c r="F511" t="s">
        <v>1495</v>
      </c>
      <c r="G511" t="s">
        <v>2890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Row],[VEHIDCODE]],#REF!,0))</f>
        <v>0</v>
      </c>
      <c r="L511" t="b">
        <f>ISNUMBER(_xlfn.XMATCH(CONTROL[[#This Row],[VEHIDCODE]],PROPERTIES[VEHIDCODE],0))</f>
        <v>1</v>
      </c>
      <c r="M511" t="b">
        <f>ISNUMBER(_xlfn.XMATCH(CONTROL[[#This Row],[VEHIDCODE]],#REF!,0))</f>
        <v>0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s="32" t="str">
        <f>"item_"&amp;CONTROL[[#This Row],[VEHIDCODE]]</f>
        <v>item_emu_Netherlands_NS_Mat36</v>
      </c>
      <c r="Q511" s="32" t="str">
        <f>"str_"&amp;CONTROL[[#This Row],[VEHIDCODE]]</f>
        <v>str_emu_Netherlands_NS_Mat36</v>
      </c>
    </row>
    <row r="512" spans="1:17">
      <c r="A512" s="2" t="s">
        <v>539</v>
      </c>
      <c r="B512" s="32" t="str">
        <f>_xlfn.TEXTAFTER(CONTROL[[#This Row],[VEHIDCODE]],"_")</f>
        <v>Netherlands_NS_Mat54</v>
      </c>
      <c r="C512" t="s">
        <v>726</v>
      </c>
      <c r="D512" t="s">
        <v>947</v>
      </c>
      <c r="E512">
        <v>8007</v>
      </c>
      <c r="F512" t="s">
        <v>1496</v>
      </c>
      <c r="G512" t="s">
        <v>2891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Row],[VEHIDCODE]],#REF!,0))</f>
        <v>0</v>
      </c>
      <c r="L512" t="b">
        <f>ISNUMBER(_xlfn.XMATCH(CONTROL[[#This Row],[VEHIDCODE]],PROPERTIES[VEHIDCODE],0))</f>
        <v>1</v>
      </c>
      <c r="M512" t="b">
        <f>ISNUMBER(_xlfn.XMATCH(CONTROL[[#This Row],[VEHIDCODE]],#REF!,0))</f>
        <v>0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s="32" t="str">
        <f>"item_"&amp;CONTROL[[#This Row],[VEHIDCODE]]</f>
        <v>item_emu_Netherlands_NS_Mat54</v>
      </c>
      <c r="Q512" s="32" t="str">
        <f>"str_"&amp;CONTROL[[#This Row],[VEHIDCODE]]</f>
        <v>str_emu_Netherlands_NS_Mat54</v>
      </c>
    </row>
    <row r="513" spans="1:17">
      <c r="A513" s="2" t="s">
        <v>540</v>
      </c>
      <c r="B513" s="32" t="str">
        <f>_xlfn.TEXTAFTER(CONTROL[[#This Row],[VEHIDCODE]],"_")</f>
        <v>Netherlands_NS_Plan_Y</v>
      </c>
      <c r="C513" t="s">
        <v>726</v>
      </c>
      <c r="D513" t="s">
        <v>947</v>
      </c>
      <c r="E513">
        <v>8017</v>
      </c>
      <c r="F513" t="s">
        <v>1497</v>
      </c>
      <c r="G513" t="s">
        <v>2892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Row],[VEHIDCODE]],#REF!,0))</f>
        <v>0</v>
      </c>
      <c r="L513" t="b">
        <f>ISNUMBER(_xlfn.XMATCH(CONTROL[[#This Row],[VEHIDCODE]],PROPERTIES[VEHIDCODE],0))</f>
        <v>1</v>
      </c>
      <c r="M513" t="b">
        <f>ISNUMBER(_xlfn.XMATCH(CONTROL[[#This Row],[VEHIDCODE]],#REF!,0))</f>
        <v>0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s="32" t="str">
        <f>"item_"&amp;CONTROL[[#This Row],[VEHIDCODE]]</f>
        <v>item_emu_Netherlands_NS_Plan_Y</v>
      </c>
      <c r="Q513" s="32" t="str">
        <f>"str_"&amp;CONTROL[[#This Row],[VEHIDCODE]]</f>
        <v>str_emu_Netherlands_NS_Plan_Y</v>
      </c>
    </row>
    <row r="514" spans="1:17">
      <c r="A514" s="2" t="s">
        <v>541</v>
      </c>
      <c r="B514" s="32" t="str">
        <f>_xlfn.TEXTAFTER(CONTROL[[#This Row],[VEHIDCODE]],"_")</f>
        <v>Netherlands_NS_ICM_4000</v>
      </c>
      <c r="C514" t="s">
        <v>726</v>
      </c>
      <c r="D514" t="s">
        <v>947</v>
      </c>
      <c r="E514">
        <v>8018</v>
      </c>
      <c r="F514" t="s">
        <v>1498</v>
      </c>
      <c r="G514" t="s">
        <v>2893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Row],[VEHIDCODE]],#REF!,0))</f>
        <v>0</v>
      </c>
      <c r="L514" t="b">
        <f>ISNUMBER(_xlfn.XMATCH(CONTROL[[#This Row],[VEHIDCODE]],PROPERTIES[VEHIDCODE],0))</f>
        <v>1</v>
      </c>
      <c r="M514" t="b">
        <f>ISNUMBER(_xlfn.XMATCH(CONTROL[[#This Row],[VEHIDCODE]],#REF!,0))</f>
        <v>0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s="32" t="str">
        <f>"item_"&amp;CONTROL[[#This Row],[VEHIDCODE]]</f>
        <v>item_emu_Netherlands_NS_ICM_4000</v>
      </c>
      <c r="Q514" s="32" t="str">
        <f>"str_"&amp;CONTROL[[#This Row],[VEHIDCODE]]</f>
        <v>str_emu_Netherlands_NS_ICM_4000</v>
      </c>
    </row>
    <row r="515" spans="1:17">
      <c r="A515" s="2" t="s">
        <v>542</v>
      </c>
      <c r="B515" s="32" t="str">
        <f>_xlfn.TEXTAFTER(CONTROL[[#This Row],[VEHIDCODE]],"_")</f>
        <v>Netherlands_NS_DD_IRM_VIRM</v>
      </c>
      <c r="C515" t="s">
        <v>726</v>
      </c>
      <c r="D515" t="s">
        <v>947</v>
      </c>
      <c r="E515">
        <v>8025</v>
      </c>
      <c r="F515" t="s">
        <v>2895</v>
      </c>
      <c r="G515" t="s">
        <v>2894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Row],[VEHIDCODE]],#REF!,0))</f>
        <v>0</v>
      </c>
      <c r="L515" t="b">
        <f>ISNUMBER(_xlfn.XMATCH(CONTROL[[#This Row],[VEHIDCODE]],PROPERTIES[VEHIDCODE],0))</f>
        <v>1</v>
      </c>
      <c r="M515" t="b">
        <f>ISNUMBER(_xlfn.XMATCH(CONTROL[[#This Row],[VEHIDCODE]],#REF!,0))</f>
        <v>0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s="32" t="str">
        <f>"item_"&amp;CONTROL[[#This Row],[VEHIDCODE]]</f>
        <v>item_emu_Netherlands_NS_DD_IRM_VIRM</v>
      </c>
      <c r="Q515" s="32" t="str">
        <f>"str_"&amp;CONTROL[[#This Row],[VEHIDCODE]]</f>
        <v>str_emu_Netherlands_NS_DD_IRM_VIRM</v>
      </c>
    </row>
    <row r="516" spans="1:17">
      <c r="A516" s="2" t="s">
        <v>543</v>
      </c>
      <c r="B516" s="32" t="str">
        <f>_xlfn.TEXTAFTER(CONTROL[[#This Row],[VEHIDCODE]],"_")</f>
        <v>Netherlands_NS_mDDm_390</v>
      </c>
      <c r="C516" t="s">
        <v>726</v>
      </c>
      <c r="D516" t="s">
        <v>947</v>
      </c>
      <c r="E516">
        <v>8031</v>
      </c>
      <c r="F516" t="s">
        <v>1499</v>
      </c>
      <c r="G516" t="s">
        <v>2898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Row],[VEHIDCODE]],#REF!,0))</f>
        <v>0</v>
      </c>
      <c r="L516" t="b">
        <f>ISNUMBER(_xlfn.XMATCH(CONTROL[[#This Row],[VEHIDCODE]],PROPERTIES[VEHIDCODE],0))</f>
        <v>1</v>
      </c>
      <c r="M516" t="b">
        <f>ISNUMBER(_xlfn.XMATCH(CONTROL[[#This Row],[VEHIDCODE]],#REF!,0))</f>
        <v>0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s="32" t="str">
        <f>"item_"&amp;CONTROL[[#This Row],[VEHIDCODE]]</f>
        <v>item_emu_Netherlands_NS_mDDm_390</v>
      </c>
      <c r="Q516" s="32" t="str">
        <f>"str_"&amp;CONTROL[[#This Row],[VEHIDCODE]]</f>
        <v>str_emu_Netherlands_NS_mDDm_390</v>
      </c>
    </row>
    <row r="517" spans="1:17">
      <c r="A517" s="2" t="s">
        <v>544</v>
      </c>
      <c r="B517" s="32" t="str">
        <f>_xlfn.TEXTAFTER(CONTROL[[#This Row],[VEHIDCODE]],"_")</f>
        <v>Poland_PKP_EW90</v>
      </c>
      <c r="C517" t="s">
        <v>726</v>
      </c>
      <c r="D517" t="s">
        <v>947</v>
      </c>
      <c r="E517">
        <v>8047</v>
      </c>
      <c r="F517" t="s">
        <v>1500</v>
      </c>
      <c r="G517" t="s">
        <v>2896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Row],[VEHIDCODE]],#REF!,0))</f>
        <v>0</v>
      </c>
      <c r="L517" t="b">
        <f>ISNUMBER(_xlfn.XMATCH(CONTROL[[#This Row],[VEHIDCODE]],PROPERTIES[VEHIDCODE],0))</f>
        <v>1</v>
      </c>
      <c r="M517" t="b">
        <f>ISNUMBER(_xlfn.XMATCH(CONTROL[[#This Row],[VEHIDCODE]],#REF!,0))</f>
        <v>0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s="32" t="str">
        <f>"item_"&amp;CONTROL[[#This Row],[VEHIDCODE]]</f>
        <v>item_emu_Poland_PKP_EW90</v>
      </c>
      <c r="Q517" s="32" t="str">
        <f>"str_"&amp;CONTROL[[#This Row],[VEHIDCODE]]</f>
        <v>str_emu_Poland_PKP_EW90</v>
      </c>
    </row>
    <row r="518" spans="1:17">
      <c r="A518" s="2" t="s">
        <v>545</v>
      </c>
      <c r="B518" s="32" t="str">
        <f>_xlfn.TEXTAFTER(CONTROL[[#This Row],[VEHIDCODE]],"_")</f>
        <v>Italy_FS_ETR200</v>
      </c>
      <c r="C518" t="s">
        <v>726</v>
      </c>
      <c r="D518" t="s">
        <v>947</v>
      </c>
      <c r="E518">
        <v>8004</v>
      </c>
      <c r="F518" t="s">
        <v>1501</v>
      </c>
      <c r="G518" t="s">
        <v>2897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Row],[VEHIDCODE]],#REF!,0))</f>
        <v>0</v>
      </c>
      <c r="L518" t="b">
        <f>ISNUMBER(_xlfn.XMATCH(CONTROL[[#This Row],[VEHIDCODE]],PROPERTIES[VEHIDCODE],0))</f>
        <v>1</v>
      </c>
      <c r="M518" t="b">
        <f>ISNUMBER(_xlfn.XMATCH(CONTROL[[#This Row],[VEHIDCODE]],#REF!,0))</f>
        <v>0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s="32" t="str">
        <f>"item_"&amp;CONTROL[[#This Row],[VEHIDCODE]]</f>
        <v>item_emu_Italy_FS_ETR200</v>
      </c>
      <c r="Q518" s="32" t="str">
        <f>"str_"&amp;CONTROL[[#This Row],[VEHIDCODE]]</f>
        <v>str_emu_Italy_FS_ETR200</v>
      </c>
    </row>
    <row r="519" spans="1:17">
      <c r="A519" s="2" t="s">
        <v>546</v>
      </c>
      <c r="B519" s="32" t="str">
        <f>_xlfn.TEXTAFTER(CONTROL[[#This Row],[VEHIDCODE]],"_")</f>
        <v>Italy_FS_ETR300_Settebello</v>
      </c>
      <c r="C519" t="s">
        <v>726</v>
      </c>
      <c r="D519" t="s">
        <v>947</v>
      </c>
      <c r="E519">
        <v>8006</v>
      </c>
      <c r="F519" t="s">
        <v>1502</v>
      </c>
      <c r="G519" t="s">
        <v>2899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Row],[VEHIDCODE]],#REF!,0))</f>
        <v>0</v>
      </c>
      <c r="L519" t="b">
        <f>ISNUMBER(_xlfn.XMATCH(CONTROL[[#This Row],[VEHIDCODE]],PROPERTIES[VEHIDCODE],0))</f>
        <v>1</v>
      </c>
      <c r="M519" t="b">
        <f>ISNUMBER(_xlfn.XMATCH(CONTROL[[#This Row],[VEHIDCODE]],#REF!,0))</f>
        <v>0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s="32" t="str">
        <f>"item_"&amp;CONTROL[[#This Row],[VEHIDCODE]]</f>
        <v>item_emu_Italy_FS_ETR300_Settebello</v>
      </c>
      <c r="Q519" s="32" t="str">
        <f>"str_"&amp;CONTROL[[#This Row],[VEHIDCODE]]</f>
        <v>str_emu_Italy_FS_ETR300_Settebello</v>
      </c>
    </row>
    <row r="520" spans="1:17">
      <c r="A520" s="2" t="s">
        <v>547</v>
      </c>
      <c r="B520" s="32" t="str">
        <f>_xlfn.TEXTAFTER(CONTROL[[#This Row],[VEHIDCODE]],"_")</f>
        <v>Italy_FS_ETR500</v>
      </c>
      <c r="C520" t="s">
        <v>726</v>
      </c>
      <c r="D520" t="s">
        <v>947</v>
      </c>
      <c r="E520">
        <v>8024</v>
      </c>
      <c r="F520" t="s">
        <v>1503</v>
      </c>
      <c r="G520" t="s">
        <v>2900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Row],[VEHIDCODE]],#REF!,0))</f>
        <v>0</v>
      </c>
      <c r="L520" t="b">
        <f>ISNUMBER(_xlfn.XMATCH(CONTROL[[#This Row],[VEHIDCODE]],PROPERTIES[VEHIDCODE],0))</f>
        <v>1</v>
      </c>
      <c r="M520" t="b">
        <f>ISNUMBER(_xlfn.XMATCH(CONTROL[[#This Row],[VEHIDCODE]],#REF!,0))</f>
        <v>0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s="32" t="str">
        <f>"item_"&amp;CONTROL[[#This Row],[VEHIDCODE]]</f>
        <v>item_emu_Italy_FS_ETR500</v>
      </c>
      <c r="Q520" s="32" t="str">
        <f>"str_"&amp;CONTROL[[#This Row],[VEHIDCODE]]</f>
        <v>str_emu_Italy_FS_ETR500</v>
      </c>
    </row>
    <row r="521" spans="1:17">
      <c r="A521" s="2" t="s">
        <v>548</v>
      </c>
      <c r="B521" s="32" t="str">
        <f>_xlfn.TEXTAFTER(CONTROL[[#This Row],[VEHIDCODE]],"_")</f>
        <v>Italy_FS_ALe426</v>
      </c>
      <c r="C521" t="s">
        <v>726</v>
      </c>
      <c r="D521" t="s">
        <v>947</v>
      </c>
      <c r="E521">
        <v>8029</v>
      </c>
      <c r="F521" t="s">
        <v>1504</v>
      </c>
      <c r="G521" t="s">
        <v>2901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Row],[VEHIDCODE]],#REF!,0))</f>
        <v>0</v>
      </c>
      <c r="L521" t="b">
        <f>ISNUMBER(_xlfn.XMATCH(CONTROL[[#This Row],[VEHIDCODE]],PROPERTIES[VEHIDCODE],0))</f>
        <v>1</v>
      </c>
      <c r="M521" t="b">
        <f>ISNUMBER(_xlfn.XMATCH(CONTROL[[#This Row],[VEHIDCODE]],#REF!,0))</f>
        <v>0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s="32" t="str">
        <f>"item_"&amp;CONTROL[[#This Row],[VEHIDCODE]]</f>
        <v>item_emu_Italy_FS_ALe426</v>
      </c>
      <c r="Q521" s="32" t="str">
        <f>"str_"&amp;CONTROL[[#This Row],[VEHIDCODE]]</f>
        <v>str_emu_Italy_FS_ALe426</v>
      </c>
    </row>
    <row r="522" spans="1:17">
      <c r="A522" s="2" t="s">
        <v>549</v>
      </c>
      <c r="B522" s="32" t="str">
        <f>_xlfn.TEXTAFTER(CONTROL[[#This Row],[VEHIDCODE]],"_")</f>
        <v>Morocco_ONCF_ZMC</v>
      </c>
      <c r="C522" t="s">
        <v>726</v>
      </c>
      <c r="D522" t="s">
        <v>947</v>
      </c>
      <c r="E522">
        <v>8064</v>
      </c>
      <c r="F522" t="s">
        <v>1505</v>
      </c>
      <c r="G522" t="s">
        <v>2902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Row],[VEHIDCODE]],#REF!,0))</f>
        <v>0</v>
      </c>
      <c r="L522" t="b">
        <f>ISNUMBER(_xlfn.XMATCH(CONTROL[[#This Row],[VEHIDCODE]],PROPERTIES[VEHIDCODE],0))</f>
        <v>1</v>
      </c>
      <c r="M522" t="b">
        <f>ISNUMBER(_xlfn.XMATCH(CONTROL[[#This Row],[VEHIDCODE]],#REF!,0))</f>
        <v>0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s="32" t="str">
        <f>"item_"&amp;CONTROL[[#This Row],[VEHIDCODE]]</f>
        <v>item_emu_Morocco_ONCF_ZMC</v>
      </c>
      <c r="Q522" s="32" t="str">
        <f>"str_"&amp;CONTROL[[#This Row],[VEHIDCODE]]</f>
        <v>str_emu_Morocco_ONCF_ZMC</v>
      </c>
    </row>
    <row r="523" spans="1:17">
      <c r="A523" s="2" t="s">
        <v>550</v>
      </c>
      <c r="B523" s="32" t="str">
        <f>_xlfn.TEXTAFTER(CONTROL[[#This Row],[VEHIDCODE]],"_")</f>
        <v>Poland_PKP_EW54</v>
      </c>
      <c r="C523" t="s">
        <v>726</v>
      </c>
      <c r="D523" t="s">
        <v>947</v>
      </c>
      <c r="E523">
        <v>8060</v>
      </c>
      <c r="F523" t="s">
        <v>1506</v>
      </c>
      <c r="G523" t="s">
        <v>2903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Row],[VEHIDCODE]],#REF!,0))</f>
        <v>0</v>
      </c>
      <c r="L523" t="b">
        <f>ISNUMBER(_xlfn.XMATCH(CONTROL[[#This Row],[VEHIDCODE]],PROPERTIES[VEHIDCODE],0))</f>
        <v>1</v>
      </c>
      <c r="M523" t="b">
        <f>ISNUMBER(_xlfn.XMATCH(CONTROL[[#This Row],[VEHIDCODE]],#REF!,0))</f>
        <v>0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s="32" t="str">
        <f>"item_"&amp;CONTROL[[#This Row],[VEHIDCODE]]</f>
        <v>item_emu_Poland_PKP_EW54</v>
      </c>
      <c r="Q523" s="32" t="str">
        <f>"str_"&amp;CONTROL[[#This Row],[VEHIDCODE]]</f>
        <v>str_emu_Poland_PKP_EW54</v>
      </c>
    </row>
    <row r="524" spans="1:17">
      <c r="A524" s="2" t="s">
        <v>551</v>
      </c>
      <c r="B524" s="32" t="str">
        <f>_xlfn.TEXTAFTER(CONTROL[[#This Row],[VEHIDCODE]],"_")</f>
        <v>Italy_FS_ALe_801</v>
      </c>
      <c r="C524" t="s">
        <v>726</v>
      </c>
      <c r="D524" t="s">
        <v>947</v>
      </c>
      <c r="E524">
        <v>8051</v>
      </c>
      <c r="F524" t="s">
        <v>1507</v>
      </c>
      <c r="G524" t="s">
        <v>2904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Row],[VEHIDCODE]],#REF!,0))</f>
        <v>0</v>
      </c>
      <c r="L524" t="b">
        <f>ISNUMBER(_xlfn.XMATCH(CONTROL[[#This Row],[VEHIDCODE]],PROPERTIES[VEHIDCODE],0))</f>
        <v>1</v>
      </c>
      <c r="M524" t="b">
        <f>ISNUMBER(_xlfn.XMATCH(CONTROL[[#This Row],[VEHIDCODE]],#REF!,0))</f>
        <v>0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s="32" t="str">
        <f>"item_"&amp;CONTROL[[#This Row],[VEHIDCODE]]</f>
        <v>item_emu_Italy_FS_ALe_801</v>
      </c>
      <c r="Q524" s="32" t="str">
        <f>"str_"&amp;CONTROL[[#This Row],[VEHIDCODE]]</f>
        <v>str_emu_Italy_FS_ALe_801</v>
      </c>
    </row>
    <row r="525" spans="1:17">
      <c r="A525" s="2" t="s">
        <v>552</v>
      </c>
      <c r="B525" s="32" t="str">
        <f>_xlfn.TEXTAFTER(CONTROL[[#This Row],[VEHIDCODE]],"_")</f>
        <v>Austria_OBB_4030</v>
      </c>
      <c r="C525" t="s">
        <v>726</v>
      </c>
      <c r="D525" t="s">
        <v>947</v>
      </c>
      <c r="E525">
        <v>8050</v>
      </c>
      <c r="F525" t="s">
        <v>2530</v>
      </c>
      <c r="G525" t="s">
        <v>2905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Row],[VEHIDCODE]],#REF!,0))</f>
        <v>0</v>
      </c>
      <c r="L525" t="b">
        <f>ISNUMBER(_xlfn.XMATCH(CONTROL[[#This Row],[VEHIDCODE]],PROPERTIES[VEHIDCODE],0))</f>
        <v>1</v>
      </c>
      <c r="M525" t="b">
        <f>ISNUMBER(_xlfn.XMATCH(CONTROL[[#This Row],[VEHIDCODE]],#REF!,0))</f>
        <v>0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s="32" t="str">
        <f>"item_"&amp;CONTROL[[#This Row],[VEHIDCODE]]</f>
        <v>item_emu_Austria_OBB_4030</v>
      </c>
      <c r="Q525" s="32" t="str">
        <f>"str_"&amp;CONTROL[[#This Row],[VEHIDCODE]]</f>
        <v>str_emu_Austria_OBB_4030</v>
      </c>
    </row>
    <row r="526" spans="1:17">
      <c r="A526" s="2" t="s">
        <v>553</v>
      </c>
      <c r="B526" s="32" t="str">
        <f>_xlfn.TEXTAFTER(CONTROL[[#This Row],[VEHIDCODE]],"_")</f>
        <v>Austria_OBB_4041</v>
      </c>
      <c r="C526" t="s">
        <v>726</v>
      </c>
      <c r="D526" t="s">
        <v>947</v>
      </c>
      <c r="E526">
        <v>8001</v>
      </c>
      <c r="F526" t="s">
        <v>2531</v>
      </c>
      <c r="G526" t="s">
        <v>2906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Row],[VEHIDCODE]],#REF!,0))</f>
        <v>0</v>
      </c>
      <c r="L526" t="b">
        <f>ISNUMBER(_xlfn.XMATCH(CONTROL[[#This Row],[VEHIDCODE]],PROPERTIES[VEHIDCODE],0))</f>
        <v>1</v>
      </c>
      <c r="M526" t="b">
        <f>ISNUMBER(_xlfn.XMATCH(CONTROL[[#This Row],[VEHIDCODE]],#REF!,0))</f>
        <v>0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s="32" t="str">
        <f>"item_"&amp;CONTROL[[#This Row],[VEHIDCODE]]</f>
        <v>item_emu_Austria_OBB_4041</v>
      </c>
      <c r="Q526" s="32" t="str">
        <f>"str_"&amp;CONTROL[[#This Row],[VEHIDCODE]]</f>
        <v>str_emu_Austria_OBB_4041</v>
      </c>
    </row>
    <row r="527" spans="1:17">
      <c r="A527" s="2" t="s">
        <v>554</v>
      </c>
      <c r="B527" s="32" t="str">
        <f>_xlfn.TEXTAFTER(CONTROL[[#This Row],[VEHIDCODE]],"_")</f>
        <v>Austria_WESTbahn_4010_KISS</v>
      </c>
      <c r="C527" t="s">
        <v>726</v>
      </c>
      <c r="D527" t="s">
        <v>947</v>
      </c>
      <c r="E527">
        <v>8069</v>
      </c>
      <c r="F527" t="s">
        <v>1508</v>
      </c>
      <c r="G527" t="s">
        <v>2907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Row],[VEHIDCODE]],#REF!,0))</f>
        <v>0</v>
      </c>
      <c r="L527" t="b">
        <f>ISNUMBER(_xlfn.XMATCH(CONTROL[[#This Row],[VEHIDCODE]],PROPERTIES[VEHIDCODE],0))</f>
        <v>1</v>
      </c>
      <c r="M527" t="b">
        <f>ISNUMBER(_xlfn.XMATCH(CONTROL[[#This Row],[VEHIDCODE]],#REF!,0))</f>
        <v>0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s="32" t="str">
        <f>"item_"&amp;CONTROL[[#This Row],[VEHIDCODE]]</f>
        <v>item_emu_Austria_WESTbahn_4010_KISS</v>
      </c>
      <c r="Q527" s="32" t="str">
        <f>"str_"&amp;CONTROL[[#This Row],[VEHIDCODE]]</f>
        <v>str_emu_Austria_WESTbahn_4010_KISS</v>
      </c>
    </row>
    <row r="528" spans="1:17">
      <c r="A528" s="2" t="s">
        <v>555</v>
      </c>
      <c r="B528" s="32" t="str">
        <f>_xlfn.TEXTAFTER(CONTROL[[#This Row],[VEHIDCODE]],"_")</f>
        <v>Germany_DB_ET420</v>
      </c>
      <c r="C528" t="s">
        <v>726</v>
      </c>
      <c r="D528" t="s">
        <v>947</v>
      </c>
      <c r="E528">
        <v>8014</v>
      </c>
      <c r="F528" t="s">
        <v>1509</v>
      </c>
      <c r="G528" t="s">
        <v>2908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Row],[VEHIDCODE]],#REF!,0))</f>
        <v>0</v>
      </c>
      <c r="L528" t="b">
        <f>ISNUMBER(_xlfn.XMATCH(CONTROL[[#This Row],[VEHIDCODE]],PROPERTIES[VEHIDCODE],0))</f>
        <v>1</v>
      </c>
      <c r="M528" t="b">
        <f>ISNUMBER(_xlfn.XMATCH(CONTROL[[#This Row],[VEHIDCODE]],#REF!,0))</f>
        <v>0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s="32" t="str">
        <f>"item_"&amp;CONTROL[[#This Row],[VEHIDCODE]]</f>
        <v>item_emu_Germany_DB_ET420</v>
      </c>
      <c r="Q528" s="32" t="str">
        <f>"str_"&amp;CONTROL[[#This Row],[VEHIDCODE]]</f>
        <v>str_emu_Germany_DB_ET420</v>
      </c>
    </row>
    <row r="529" spans="1:17">
      <c r="A529" s="2" t="s">
        <v>556</v>
      </c>
      <c r="B529" s="32" t="str">
        <f>_xlfn.TEXTAFTER(CONTROL[[#This Row],[VEHIDCODE]],"_")</f>
        <v>Norway_NSB_BM73</v>
      </c>
      <c r="C529" t="s">
        <v>726</v>
      </c>
      <c r="D529" t="s">
        <v>947</v>
      </c>
      <c r="E529">
        <v>8032</v>
      </c>
      <c r="F529" t="s">
        <v>1510</v>
      </c>
      <c r="G529" t="s">
        <v>2909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Row],[VEHIDCODE]],#REF!,0))</f>
        <v>0</v>
      </c>
      <c r="L529" t="b">
        <f>ISNUMBER(_xlfn.XMATCH(CONTROL[[#This Row],[VEHIDCODE]],PROPERTIES[VEHIDCODE],0))</f>
        <v>1</v>
      </c>
      <c r="M529" t="b">
        <f>ISNUMBER(_xlfn.XMATCH(CONTROL[[#This Row],[VEHIDCODE]],#REF!,0))</f>
        <v>0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s="32" t="str">
        <f>"item_"&amp;CONTROL[[#This Row],[VEHIDCODE]]</f>
        <v>item_emu_Norway_NSB_BM73</v>
      </c>
      <c r="Q529" s="32" t="str">
        <f>"str_"&amp;CONTROL[[#This Row],[VEHIDCODE]]</f>
        <v>str_emu_Norway_NSB_BM73</v>
      </c>
    </row>
    <row r="530" spans="1:17">
      <c r="A530" s="2" t="s">
        <v>557</v>
      </c>
      <c r="B530" s="32" t="str">
        <f>_xlfn.TEXTAFTER(CONTROL[[#This Row],[VEHIDCODE]],"_")</f>
        <v>Norway_NSB_BM65</v>
      </c>
      <c r="C530" t="s">
        <v>726</v>
      </c>
      <c r="D530" t="s">
        <v>947</v>
      </c>
      <c r="E530">
        <v>8005</v>
      </c>
      <c r="F530" t="s">
        <v>1511</v>
      </c>
      <c r="G530" t="s">
        <v>2910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Row],[VEHIDCODE]],#REF!,0))</f>
        <v>0</v>
      </c>
      <c r="L530" t="b">
        <f>ISNUMBER(_xlfn.XMATCH(CONTROL[[#This Row],[VEHIDCODE]],PROPERTIES[VEHIDCODE],0))</f>
        <v>1</v>
      </c>
      <c r="M530" t="b">
        <f>ISNUMBER(_xlfn.XMATCH(CONTROL[[#This Row],[VEHIDCODE]],#REF!,0))</f>
        <v>0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s="32" t="str">
        <f>"item_"&amp;CONTROL[[#This Row],[VEHIDCODE]]</f>
        <v>item_emu_Norway_NSB_BM65</v>
      </c>
      <c r="Q530" s="32" t="str">
        <f>"str_"&amp;CONTROL[[#This Row],[VEHIDCODE]]</f>
        <v>str_emu_Norway_NSB_BM65</v>
      </c>
    </row>
    <row r="531" spans="1:17">
      <c r="A531" s="2" t="s">
        <v>558</v>
      </c>
      <c r="B531" s="32" t="str">
        <f>_xlfn.TEXTAFTER(CONTROL[[#This Row],[VEHIDCODE]],"_")</f>
        <v>Sweden_SJ_X2000</v>
      </c>
      <c r="C531" t="s">
        <v>726</v>
      </c>
      <c r="D531" t="s">
        <v>947</v>
      </c>
      <c r="E531">
        <v>8023</v>
      </c>
      <c r="F531" t="s">
        <v>1512</v>
      </c>
      <c r="G531" t="s">
        <v>2911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Row],[VEHIDCODE]],#REF!,0))</f>
        <v>0</v>
      </c>
      <c r="L531" t="b">
        <f>ISNUMBER(_xlfn.XMATCH(CONTROL[[#This Row],[VEHIDCODE]],PROPERTIES[VEHIDCODE],0))</f>
        <v>1</v>
      </c>
      <c r="M531" t="b">
        <f>ISNUMBER(_xlfn.XMATCH(CONTROL[[#This Row],[VEHIDCODE]],#REF!,0))</f>
        <v>0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s="32" t="str">
        <f>"item_"&amp;CONTROL[[#This Row],[VEHIDCODE]]</f>
        <v>item_emu_Sweden_SJ_X2000</v>
      </c>
      <c r="Q531" s="32" t="str">
        <f>"str_"&amp;CONTROL[[#This Row],[VEHIDCODE]]</f>
        <v>str_emu_Sweden_SJ_X2000</v>
      </c>
    </row>
    <row r="532" spans="1:17">
      <c r="A532" s="2" t="s">
        <v>559</v>
      </c>
      <c r="B532" s="32" t="str">
        <f>_xlfn.TEXTAFTER(CONTROL[[#This Row],[VEHIDCODE]],"_")</f>
        <v>Switzerland_SBB_RABDe_510</v>
      </c>
      <c r="C532" t="s">
        <v>726</v>
      </c>
      <c r="D532" t="s">
        <v>947</v>
      </c>
      <c r="E532">
        <v>8012</v>
      </c>
      <c r="F532" t="s">
        <v>1513</v>
      </c>
      <c r="G532" t="s">
        <v>2912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Row],[VEHIDCODE]],#REF!,0))</f>
        <v>0</v>
      </c>
      <c r="L532" t="b">
        <f>ISNUMBER(_xlfn.XMATCH(CONTROL[[#This Row],[VEHIDCODE]],PROPERTIES[VEHIDCODE],0))</f>
        <v>1</v>
      </c>
      <c r="M532" t="b">
        <f>ISNUMBER(_xlfn.XMATCH(CONTROL[[#This Row],[VEHIDCODE]],#REF!,0))</f>
        <v>0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s="32" t="str">
        <f>"item_"&amp;CONTROL[[#This Row],[VEHIDCODE]]</f>
        <v>item_emu_Switzerland_SBB_RABDe_510</v>
      </c>
      <c r="Q532" s="32" t="str">
        <f>"str_"&amp;CONTROL[[#This Row],[VEHIDCODE]]</f>
        <v>str_emu_Switzerland_SBB_RABDe_510</v>
      </c>
    </row>
    <row r="533" spans="1:17">
      <c r="A533" s="2" t="s">
        <v>560</v>
      </c>
      <c r="B533" s="32" t="str">
        <f>_xlfn.TEXTAFTER(CONTROL[[#This Row],[VEHIDCODE]],"_")</f>
        <v>Switzerland_SBB_RBDe_560</v>
      </c>
      <c r="C533" t="s">
        <v>726</v>
      </c>
      <c r="D533" t="s">
        <v>947</v>
      </c>
      <c r="E533">
        <v>8020</v>
      </c>
      <c r="F533" t="s">
        <v>1514</v>
      </c>
      <c r="G533" t="s">
        <v>2913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Row],[VEHIDCODE]],#REF!,0))</f>
        <v>0</v>
      </c>
      <c r="L533" t="b">
        <f>ISNUMBER(_xlfn.XMATCH(CONTROL[[#This Row],[VEHIDCODE]],PROPERTIES[VEHIDCODE],0))</f>
        <v>1</v>
      </c>
      <c r="M533" t="b">
        <f>ISNUMBER(_xlfn.XMATCH(CONTROL[[#This Row],[VEHIDCODE]],#REF!,0))</f>
        <v>0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s="32" t="str">
        <f>"item_"&amp;CONTROL[[#This Row],[VEHIDCODE]]</f>
        <v>item_emu_Switzerland_SBB_RBDe_560</v>
      </c>
      <c r="Q533" s="32" t="str">
        <f>"str_"&amp;CONTROL[[#This Row],[VEHIDCODE]]</f>
        <v>str_emu_Switzerland_SBB_RBDe_560</v>
      </c>
    </row>
    <row r="534" spans="1:17">
      <c r="A534" s="2" t="s">
        <v>561</v>
      </c>
      <c r="B534" s="32" t="str">
        <f>_xlfn.TEXTAFTER(CONTROL[[#This Row],[VEHIDCODE]],"_")</f>
        <v>Switzerland_SBB_RABe_523_Flirt</v>
      </c>
      <c r="C534" t="s">
        <v>726</v>
      </c>
      <c r="D534" t="s">
        <v>947</v>
      </c>
      <c r="E534">
        <v>8038</v>
      </c>
      <c r="F534" t="s">
        <v>1515</v>
      </c>
      <c r="G534" t="s">
        <v>2914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Row],[VEHIDCODE]],#REF!,0))</f>
        <v>0</v>
      </c>
      <c r="L534" t="b">
        <f>ISNUMBER(_xlfn.XMATCH(CONTROL[[#This Row],[VEHIDCODE]],PROPERTIES[VEHIDCODE],0))</f>
        <v>1</v>
      </c>
      <c r="M534" t="b">
        <f>ISNUMBER(_xlfn.XMATCH(CONTROL[[#This Row],[VEHIDCODE]],#REF!,0))</f>
        <v>0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s="32" t="str">
        <f>"item_"&amp;CONTROL[[#This Row],[VEHIDCODE]]</f>
        <v>item_emu_Switzerland_SBB_RABe_523_Flirt</v>
      </c>
      <c r="Q534" s="32" t="str">
        <f>"str_"&amp;CONTROL[[#This Row],[VEHIDCODE]]</f>
        <v>str_emu_Switzerland_SBB_RABe_523_Flirt</v>
      </c>
    </row>
    <row r="535" spans="1:17">
      <c r="A535" s="2" t="s">
        <v>562</v>
      </c>
      <c r="B535" s="32" t="str">
        <f>_xlfn.TEXTAFTER(CONTROL[[#This Row],[VEHIDCODE]],"_")</f>
        <v>USA_Amtrak_Budd_Metroliner</v>
      </c>
      <c r="C535" t="s">
        <v>726</v>
      </c>
      <c r="D535" t="s">
        <v>947</v>
      </c>
      <c r="E535">
        <v>8062</v>
      </c>
      <c r="F535" t="s">
        <v>1516</v>
      </c>
      <c r="G535" t="s">
        <v>2915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Row],[VEHIDCODE]],#REF!,0))</f>
        <v>0</v>
      </c>
      <c r="L535" t="b">
        <f>ISNUMBER(_xlfn.XMATCH(CONTROL[[#This Row],[VEHIDCODE]],PROPERTIES[VEHIDCODE],0))</f>
        <v>1</v>
      </c>
      <c r="M535" t="b">
        <f>ISNUMBER(_xlfn.XMATCH(CONTROL[[#This Row],[VEHIDCODE]],#REF!,0))</f>
        <v>0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s="32" t="str">
        <f>"item_"&amp;CONTROL[[#This Row],[VEHIDCODE]]</f>
        <v>item_emu_USA_Amtrak_Budd_Metroliner</v>
      </c>
      <c r="Q535" s="32" t="str">
        <f>"str_"&amp;CONTROL[[#This Row],[VEHIDCODE]]</f>
        <v>str_emu_USA_Amtrak_Budd_Metroliner</v>
      </c>
    </row>
    <row r="536" spans="1:17">
      <c r="A536" s="2" t="s">
        <v>563</v>
      </c>
      <c r="B536" s="32" t="str">
        <f>_xlfn.TEXTAFTER(CONTROL[[#This Row],[VEHIDCODE]],"_")</f>
        <v>Germany_DB_403_ICE_3</v>
      </c>
      <c r="C536" t="s">
        <v>726</v>
      </c>
      <c r="D536" t="s">
        <v>947</v>
      </c>
      <c r="E536">
        <v>8036</v>
      </c>
      <c r="F536" t="s">
        <v>1517</v>
      </c>
      <c r="G536" t="s">
        <v>2916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Row],[VEHIDCODE]],#REF!,0))</f>
        <v>0</v>
      </c>
      <c r="L536" t="b">
        <f>ISNUMBER(_xlfn.XMATCH(CONTROL[[#This Row],[VEHIDCODE]],PROPERTIES[VEHIDCODE],0))</f>
        <v>1</v>
      </c>
      <c r="M536" t="b">
        <f>ISNUMBER(_xlfn.XMATCH(CONTROL[[#This Row],[VEHIDCODE]],#REF!,0))</f>
        <v>0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s="32" t="str">
        <f>"item_"&amp;CONTROL[[#This Row],[VEHIDCODE]]</f>
        <v>item_emu_Germany_DB_403_ICE_3</v>
      </c>
      <c r="Q536" s="32" t="str">
        <f>"str_"&amp;CONTROL[[#This Row],[VEHIDCODE]]</f>
        <v>str_emu_Germany_DB_403_ICE_3</v>
      </c>
    </row>
    <row r="537" spans="1:17">
      <c r="A537" s="2" t="s">
        <v>564</v>
      </c>
      <c r="B537" s="32" t="str">
        <f>_xlfn.TEXTAFTER(CONTROL[[#This Row],[VEHIDCODE]],"_")</f>
        <v>Bulgaria_BDZ_10_Desiro</v>
      </c>
      <c r="C537" t="s">
        <v>726</v>
      </c>
      <c r="D537" t="s">
        <v>947</v>
      </c>
      <c r="E537">
        <v>8039</v>
      </c>
      <c r="F537" t="s">
        <v>1518</v>
      </c>
      <c r="G537" t="s">
        <v>2917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Row],[VEHIDCODE]],#REF!,0))</f>
        <v>0</v>
      </c>
      <c r="L537" t="b">
        <f>ISNUMBER(_xlfn.XMATCH(CONTROL[[#This Row],[VEHIDCODE]],PROPERTIES[VEHIDCODE],0))</f>
        <v>1</v>
      </c>
      <c r="M537" t="b">
        <f>ISNUMBER(_xlfn.XMATCH(CONTROL[[#This Row],[VEHIDCODE]],#REF!,0))</f>
        <v>0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s="32" t="str">
        <f>"item_"&amp;CONTROL[[#This Row],[VEHIDCODE]]</f>
        <v>item_emu_Bulgaria_BDZ_10_Desiro</v>
      </c>
      <c r="Q537" s="32" t="str">
        <f>"str_"&amp;CONTROL[[#This Row],[VEHIDCODE]]</f>
        <v>str_emu_Bulgaria_BDZ_10_Desiro</v>
      </c>
    </row>
    <row r="538" spans="1:17">
      <c r="A538" s="2" t="s">
        <v>565</v>
      </c>
      <c r="B538" s="32" t="str">
        <f>_xlfn.TEXTAFTER(CONTROL[[#This Row],[VEHIDCODE]],"_")</f>
        <v>Finland_VR_Sm2</v>
      </c>
      <c r="C538" t="s">
        <v>726</v>
      </c>
      <c r="D538" t="s">
        <v>947</v>
      </c>
      <c r="E538">
        <v>8016</v>
      </c>
      <c r="F538" t="s">
        <v>1519</v>
      </c>
      <c r="G538" t="s">
        <v>2918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Row],[VEHIDCODE]],#REF!,0))</f>
        <v>0</v>
      </c>
      <c r="L538" t="b">
        <f>ISNUMBER(_xlfn.XMATCH(CONTROL[[#This Row],[VEHIDCODE]],PROPERTIES[VEHIDCODE],0))</f>
        <v>1</v>
      </c>
      <c r="M538" t="b">
        <f>ISNUMBER(_xlfn.XMATCH(CONTROL[[#This Row],[VEHIDCODE]],#REF!,0))</f>
        <v>0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s="32" t="str">
        <f>"item_"&amp;CONTROL[[#This Row],[VEHIDCODE]]</f>
        <v>item_emu_Finland_VR_Sm2</v>
      </c>
      <c r="Q538" s="32" t="str">
        <f>"str_"&amp;CONTROL[[#This Row],[VEHIDCODE]]</f>
        <v>str_emu_Finland_VR_Sm2</v>
      </c>
    </row>
    <row r="539" spans="1:17">
      <c r="A539" s="2" t="s">
        <v>566</v>
      </c>
      <c r="B539" s="32" t="str">
        <f>_xlfn.TEXTAFTER(CONTROL[[#This Row],[VEHIDCODE]],"_")</f>
        <v>Finland_VR_Sm4</v>
      </c>
      <c r="C539" t="s">
        <v>726</v>
      </c>
      <c r="D539" t="s">
        <v>947</v>
      </c>
      <c r="E539">
        <v>8034</v>
      </c>
      <c r="F539" t="s">
        <v>1520</v>
      </c>
      <c r="G539" t="s">
        <v>2919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Row],[VEHIDCODE]],#REF!,0))</f>
        <v>0</v>
      </c>
      <c r="L539" t="b">
        <f>ISNUMBER(_xlfn.XMATCH(CONTROL[[#This Row],[VEHIDCODE]],PROPERTIES[VEHIDCODE],0))</f>
        <v>1</v>
      </c>
      <c r="M539" t="b">
        <f>ISNUMBER(_xlfn.XMATCH(CONTROL[[#This Row],[VEHIDCODE]],#REF!,0))</f>
        <v>0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s="32" t="str">
        <f>"item_"&amp;CONTROL[[#This Row],[VEHIDCODE]]</f>
        <v>item_emu_Finland_VR_Sm4</v>
      </c>
      <c r="Q539" s="32" t="str">
        <f>"str_"&amp;CONTROL[[#This Row],[VEHIDCODE]]</f>
        <v>str_emu_Finland_VR_Sm4</v>
      </c>
    </row>
    <row r="540" spans="1:17">
      <c r="A540" s="2" t="s">
        <v>567</v>
      </c>
      <c r="B540" s="32" t="str">
        <f>_xlfn.TEXTAFTER(CONTROL[[#This Row],[VEHIDCODE]],"_")</f>
        <v>Hungary_MAV_BDVmot</v>
      </c>
      <c r="C540" t="s">
        <v>726</v>
      </c>
      <c r="D540" t="s">
        <v>947</v>
      </c>
      <c r="E540">
        <v>8022</v>
      </c>
      <c r="F540" t="s">
        <v>2538</v>
      </c>
      <c r="G540" t="s">
        <v>2920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Row],[VEHIDCODE]],#REF!,0))</f>
        <v>0</v>
      </c>
      <c r="L540" t="b">
        <f>ISNUMBER(_xlfn.XMATCH(CONTROL[[#This Row],[VEHIDCODE]],PROPERTIES[VEHIDCODE],0))</f>
        <v>1</v>
      </c>
      <c r="M540" t="b">
        <f>ISNUMBER(_xlfn.XMATCH(CONTROL[[#This Row],[VEHIDCODE]],#REF!,0))</f>
        <v>0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s="32" t="str">
        <f>"item_"&amp;CONTROL[[#This Row],[VEHIDCODE]]</f>
        <v>item_emu_Hungary_MAV_BDVmot</v>
      </c>
      <c r="Q540" s="32" t="str">
        <f>"str_"&amp;CONTROL[[#This Row],[VEHIDCODE]]</f>
        <v>str_emu_Hungary_MAV_BDVmot</v>
      </c>
    </row>
    <row r="541" spans="1:17">
      <c r="A541" s="2" t="s">
        <v>568</v>
      </c>
      <c r="B541" s="32" t="str">
        <f>_xlfn.TEXTAFTER(CONTROL[[#This Row],[VEHIDCODE]],"_")</f>
        <v>Europe_Sureot</v>
      </c>
      <c r="C541" t="s">
        <v>726</v>
      </c>
      <c r="D541" t="s">
        <v>947</v>
      </c>
      <c r="E541">
        <v>8072</v>
      </c>
      <c r="F541" t="s">
        <v>1521</v>
      </c>
      <c r="G541" t="s">
        <v>1776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Row],[VEHIDCODE]],#REF!,0))</f>
        <v>0</v>
      </c>
      <c r="L541" t="b">
        <f>ISNUMBER(_xlfn.XMATCH(CONTROL[[#This Row],[VEHIDCODE]],PROPERTIES[VEHIDCODE],0))</f>
        <v>1</v>
      </c>
      <c r="M541" t="b">
        <f>ISNUMBER(_xlfn.XMATCH(CONTROL[[#This Row],[VEHIDCODE]],#REF!,0))</f>
        <v>0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s="32" t="str">
        <f>"item_"&amp;CONTROL[[#This Row],[VEHIDCODE]]</f>
        <v>item_emu_Europe_Sureot</v>
      </c>
      <c r="Q541" s="32" t="str">
        <f>"str_"&amp;CONTROL[[#This Row],[VEHIDCODE]]</f>
        <v>str_emu_Europe_Sureot</v>
      </c>
    </row>
    <row r="542" spans="1:17">
      <c r="A542" s="2" t="s">
        <v>569</v>
      </c>
      <c r="B542" s="32" t="str">
        <f>_xlfn.TEXTAFTER(CONTROL[[#This Row],[VEHIDCODE]],"_")</f>
        <v>Japan_JNR_Shinkansen_Series_0</v>
      </c>
      <c r="C542" t="s">
        <v>726</v>
      </c>
      <c r="D542" t="s">
        <v>947</v>
      </c>
      <c r="E542">
        <v>8011</v>
      </c>
      <c r="F542" t="s">
        <v>1522</v>
      </c>
      <c r="G542" t="s">
        <v>2921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Row],[VEHIDCODE]],#REF!,0))</f>
        <v>0</v>
      </c>
      <c r="L542" t="b">
        <f>ISNUMBER(_xlfn.XMATCH(CONTROL[[#This Row],[VEHIDCODE]],PROPERTIES[VEHIDCODE],0))</f>
        <v>1</v>
      </c>
      <c r="M542" t="b">
        <f>ISNUMBER(_xlfn.XMATCH(CONTROL[[#This Row],[VEHIDCODE]],#REF!,0))</f>
        <v>0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s="32" t="str">
        <f>"item_"&amp;CONTROL[[#This Row],[VEHIDCODE]]</f>
        <v>item_emu_Japan_JNR_Shinkansen_Series_0</v>
      </c>
      <c r="Q542" s="32" t="str">
        <f>"str_"&amp;CONTROL[[#This Row],[VEHIDCODE]]</f>
        <v>str_emu_Japan_JNR_Shinkansen_Series_0</v>
      </c>
    </row>
    <row r="543" spans="1:17">
      <c r="A543" s="2" t="s">
        <v>570</v>
      </c>
      <c r="B543" s="32" t="str">
        <f>_xlfn.TEXTAFTER(CONTROL[[#This Row],[VEHIDCODE]],"_")</f>
        <v>Japan_JR_Shinkansen_Series_700</v>
      </c>
      <c r="C543" t="s">
        <v>726</v>
      </c>
      <c r="D543" t="s">
        <v>947</v>
      </c>
      <c r="E543">
        <v>8030</v>
      </c>
      <c r="F543" t="s">
        <v>1523</v>
      </c>
      <c r="G543" t="s">
        <v>2922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Row],[VEHIDCODE]],#REF!,0))</f>
        <v>0</v>
      </c>
      <c r="L543" t="b">
        <f>ISNUMBER(_xlfn.XMATCH(CONTROL[[#This Row],[VEHIDCODE]],PROPERTIES[VEHIDCODE],0))</f>
        <v>1</v>
      </c>
      <c r="M543" t="b">
        <f>ISNUMBER(_xlfn.XMATCH(CONTROL[[#This Row],[VEHIDCODE]],#REF!,0))</f>
        <v>0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s="32" t="str">
        <f>"item_"&amp;CONTROL[[#This Row],[VEHIDCODE]]</f>
        <v>item_emu_Japan_JR_Shinkansen_Series_700</v>
      </c>
      <c r="Q543" s="32" t="str">
        <f>"str_"&amp;CONTROL[[#This Row],[VEHIDCODE]]</f>
        <v>str_emu_Japan_JR_Shinkansen_Series_700</v>
      </c>
    </row>
    <row r="544" spans="1:17">
      <c r="A544" s="2" t="s">
        <v>571</v>
      </c>
      <c r="B544" s="32" t="str">
        <f>_xlfn.TEXTAFTER(CONTROL[[#This Row],[VEHIDCODE]],"_")</f>
        <v>Japan_JR_Shinkansen_Series_E1_Max</v>
      </c>
      <c r="C544" t="s">
        <v>726</v>
      </c>
      <c r="D544" t="s">
        <v>947</v>
      </c>
      <c r="E544">
        <v>8065</v>
      </c>
      <c r="F544" t="s">
        <v>1524</v>
      </c>
      <c r="G544" t="s">
        <v>2923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Row],[VEHIDCODE]],#REF!,0))</f>
        <v>0</v>
      </c>
      <c r="L544" t="b">
        <f>ISNUMBER(_xlfn.XMATCH(CONTROL[[#This Row],[VEHIDCODE]],PROPERTIES[VEHIDCODE],0))</f>
        <v>1</v>
      </c>
      <c r="M544" t="b">
        <f>ISNUMBER(_xlfn.XMATCH(CONTROL[[#This Row],[VEHIDCODE]],#REF!,0))</f>
        <v>0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s="32" t="str">
        <f>"item_"&amp;CONTROL[[#This Row],[VEHIDCODE]]</f>
        <v>item_emu_Japan_JR_Shinkansen_Series_E1_Max</v>
      </c>
      <c r="Q544" s="32" t="str">
        <f>"str_"&amp;CONTROL[[#This Row],[VEHIDCODE]]</f>
        <v>str_emu_Japan_JR_Shinkansen_Series_E1_Max</v>
      </c>
    </row>
    <row r="545" spans="1:17">
      <c r="A545" s="2" t="s">
        <v>572</v>
      </c>
      <c r="B545" s="32" t="str">
        <f>_xlfn.TEXTAFTER(CONTROL[[#This Row],[VEHIDCODE]],"_")</f>
        <v>Luxembourg_CFL_2200_Coradia_Duplex</v>
      </c>
      <c r="C545" t="s">
        <v>726</v>
      </c>
      <c r="D545" t="s">
        <v>947</v>
      </c>
      <c r="E545">
        <v>8035</v>
      </c>
      <c r="F545" t="s">
        <v>1525</v>
      </c>
      <c r="G545" t="s">
        <v>2924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Row],[VEHIDCODE]],#REF!,0))</f>
        <v>0</v>
      </c>
      <c r="L545" t="b">
        <f>ISNUMBER(_xlfn.XMATCH(CONTROL[[#This Row],[VEHIDCODE]],PROPERTIES[VEHIDCODE],0))</f>
        <v>1</v>
      </c>
      <c r="M545" t="b">
        <f>ISNUMBER(_xlfn.XMATCH(CONTROL[[#This Row],[VEHIDCODE]],#REF!,0))</f>
        <v>0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s="32" t="str">
        <f>"item_"&amp;CONTROL[[#This Row],[VEHIDCODE]]</f>
        <v>item_emu_Luxembourg_CFL_2200_Coradia_Duplex</v>
      </c>
      <c r="Q545" s="32" t="str">
        <f>"str_"&amp;CONTROL[[#This Row],[VEHIDCODE]]</f>
        <v>str_emu_Luxembourg_CFL_2200_Coradia_Duplex</v>
      </c>
    </row>
    <row r="546" spans="1:17">
      <c r="A546" s="2" t="s">
        <v>573</v>
      </c>
      <c r="B546" s="32" t="str">
        <f>_xlfn.TEXTAFTER(CONTROL[[#This Row],[VEHIDCODE]],"_")</f>
        <v>Macedonia_Macedonian_Railways_412</v>
      </c>
      <c r="C546" t="s">
        <v>726</v>
      </c>
      <c r="D546" t="s">
        <v>947</v>
      </c>
      <c r="E546">
        <v>8053</v>
      </c>
      <c r="F546" t="s">
        <v>1526</v>
      </c>
      <c r="G546" t="s">
        <v>2925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Row],[VEHIDCODE]],#REF!,0))</f>
        <v>0</v>
      </c>
      <c r="L546" t="b">
        <f>ISNUMBER(_xlfn.XMATCH(CONTROL[[#This Row],[VEHIDCODE]],PROPERTIES[VEHIDCODE],0))</f>
        <v>1</v>
      </c>
      <c r="M546" t="b">
        <f>ISNUMBER(_xlfn.XMATCH(CONTROL[[#This Row],[VEHIDCODE]],#REF!,0))</f>
        <v>0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s="32" t="str">
        <f>"item_"&amp;CONTROL[[#This Row],[VEHIDCODE]]</f>
        <v>item_emu_Macedonia_Macedonian_Railways_412</v>
      </c>
      <c r="Q546" s="32" t="str">
        <f>"str_"&amp;CONTROL[[#This Row],[VEHIDCODE]]</f>
        <v>str_emu_Macedonia_Macedonian_Railways_412</v>
      </c>
    </row>
    <row r="547" spans="1:17">
      <c r="A547" s="2" t="s">
        <v>574</v>
      </c>
      <c r="B547" s="32" t="str">
        <f>_xlfn.TEXTAFTER(CONTROL[[#This Row],[VEHIDCODE]],"_")</f>
        <v>Romania_CFR_58</v>
      </c>
      <c r="C547" t="s">
        <v>726</v>
      </c>
      <c r="D547" t="s">
        <v>947</v>
      </c>
      <c r="E547">
        <v>8061</v>
      </c>
      <c r="F547" t="s">
        <v>1527</v>
      </c>
      <c r="G547" t="s">
        <v>2926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Row],[VEHIDCODE]],#REF!,0))</f>
        <v>0</v>
      </c>
      <c r="L547" t="b">
        <f>ISNUMBER(_xlfn.XMATCH(CONTROL[[#This Row],[VEHIDCODE]],PROPERTIES[VEHIDCODE],0))</f>
        <v>1</v>
      </c>
      <c r="M547" t="b">
        <f>ISNUMBER(_xlfn.XMATCH(CONTROL[[#This Row],[VEHIDCODE]],#REF!,0))</f>
        <v>0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s="32" t="str">
        <f>"item_"&amp;CONTROL[[#This Row],[VEHIDCODE]]</f>
        <v>item_emu_Romania_CFR_58</v>
      </c>
      <c r="Q547" s="32" t="str">
        <f>"str_"&amp;CONTROL[[#This Row],[VEHIDCODE]]</f>
        <v>str_emu_Romania_CFR_58</v>
      </c>
    </row>
    <row r="548" spans="1:17">
      <c r="A548" s="2" t="s">
        <v>575</v>
      </c>
      <c r="B548" s="32" t="str">
        <f>_xlfn.TEXTAFTER(CONTROL[[#This Row],[VEHIDCODE]],"_")</f>
        <v>South_Africa_Gautrain_Electrostar</v>
      </c>
      <c r="C548" t="s">
        <v>726</v>
      </c>
      <c r="D548" t="s">
        <v>947</v>
      </c>
      <c r="E548">
        <v>8041</v>
      </c>
      <c r="F548" t="s">
        <v>1528</v>
      </c>
      <c r="G548" t="s">
        <v>2927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Row],[VEHIDCODE]],#REF!,0))</f>
        <v>0</v>
      </c>
      <c r="L548" t="b">
        <f>ISNUMBER(_xlfn.XMATCH(CONTROL[[#This Row],[VEHIDCODE]],PROPERTIES[VEHIDCODE],0))</f>
        <v>1</v>
      </c>
      <c r="M548" t="b">
        <f>ISNUMBER(_xlfn.XMATCH(CONTROL[[#This Row],[VEHIDCODE]],#REF!,0))</f>
        <v>0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s="32" t="str">
        <f>"item_"&amp;CONTROL[[#This Row],[VEHIDCODE]]</f>
        <v>item_emu_South_Africa_Gautrain_Electrostar</v>
      </c>
      <c r="Q548" s="32" t="str">
        <f>"str_"&amp;CONTROL[[#This Row],[VEHIDCODE]]</f>
        <v>str_emu_South_Africa_Gautrain_Electrostar</v>
      </c>
    </row>
    <row r="549" spans="1:17">
      <c r="A549" s="2" t="s">
        <v>576</v>
      </c>
      <c r="B549" s="32" t="str">
        <f>_xlfn.TEXTAFTER(CONTROL[[#This Row],[VEHIDCODE]],"_")</f>
        <v>Turkey_TCDD_E8000</v>
      </c>
      <c r="C549" t="s">
        <v>726</v>
      </c>
      <c r="D549" t="s">
        <v>947</v>
      </c>
      <c r="E549">
        <v>8008</v>
      </c>
      <c r="F549" t="s">
        <v>2928</v>
      </c>
      <c r="G549" t="s">
        <v>2929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Row],[VEHIDCODE]],#REF!,0))</f>
        <v>0</v>
      </c>
      <c r="L549" t="b">
        <f>ISNUMBER(_xlfn.XMATCH(CONTROL[[#This Row],[VEHIDCODE]],PROPERTIES[VEHIDCODE],0))</f>
        <v>1</v>
      </c>
      <c r="M549" t="b">
        <f>ISNUMBER(_xlfn.XMATCH(CONTROL[[#This Row],[VEHIDCODE]],#REF!,0))</f>
        <v>0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s="32" t="str">
        <f>"item_"&amp;CONTROL[[#This Row],[VEHIDCODE]]</f>
        <v>item_emu_Turkey_TCDD_E8000</v>
      </c>
      <c r="Q549" s="32" t="str">
        <f>"str_"&amp;CONTROL[[#This Row],[VEHIDCODE]]</f>
        <v>str_emu_Turkey_TCDD_E8000</v>
      </c>
    </row>
    <row r="550" spans="1:17">
      <c r="A550" s="2" t="s">
        <v>577</v>
      </c>
      <c r="B550" s="32" t="str">
        <f>_xlfn.TEXTAFTER(CONTROL[[#This Row],[VEHIDCODE]],"_")</f>
        <v>China_Railways_CHR380A</v>
      </c>
      <c r="C550" t="s">
        <v>726</v>
      </c>
      <c r="D550" t="s">
        <v>947</v>
      </c>
      <c r="E550">
        <v>8071</v>
      </c>
      <c r="F550" t="s">
        <v>1746</v>
      </c>
      <c r="G550" t="s">
        <v>2930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Row],[VEHIDCODE]],#REF!,0))</f>
        <v>0</v>
      </c>
      <c r="L550" t="b">
        <f>ISNUMBER(_xlfn.XMATCH(CONTROL[[#This Row],[VEHIDCODE]],PROPERTIES[VEHIDCODE],0))</f>
        <v>1</v>
      </c>
      <c r="M550" t="b">
        <f>ISNUMBER(_xlfn.XMATCH(CONTROL[[#This Row],[VEHIDCODE]],#REF!,0))</f>
        <v>0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s="32" t="str">
        <f>"item_"&amp;CONTROL[[#This Row],[VEHIDCODE]]</f>
        <v>item_emu_China_Railways_CHR380A</v>
      </c>
      <c r="Q550" s="32" t="str">
        <f>"str_"&amp;CONTROL[[#This Row],[VEHIDCODE]]</f>
        <v>str_emu_China_Railways_CHR380A</v>
      </c>
    </row>
    <row r="551" spans="1:17">
      <c r="A551" s="2" t="s">
        <v>578</v>
      </c>
      <c r="B551" s="32" t="str">
        <f>_xlfn.TEXTAFTER(CONTROL[[#This Row],[VEHIDCODE]],"_")</f>
        <v>USA_PRR_MP54</v>
      </c>
      <c r="C551" t="s">
        <v>726</v>
      </c>
      <c r="D551" t="s">
        <v>947</v>
      </c>
      <c r="E551">
        <v>8045</v>
      </c>
      <c r="F551" t="s">
        <v>1529</v>
      </c>
      <c r="G551" t="s">
        <v>2931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Row],[VEHIDCODE]],#REF!,0))</f>
        <v>0</v>
      </c>
      <c r="L551" t="b">
        <f>ISNUMBER(_xlfn.XMATCH(CONTROL[[#This Row],[VEHIDCODE]],PROPERTIES[VEHIDCODE],0))</f>
        <v>1</v>
      </c>
      <c r="M551" t="b">
        <f>ISNUMBER(_xlfn.XMATCH(CONTROL[[#This Row],[VEHIDCODE]],#REF!,0))</f>
        <v>0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s="32" t="str">
        <f>"item_"&amp;CONTROL[[#This Row],[VEHIDCODE]]</f>
        <v>item_emu_USA_PRR_MP54</v>
      </c>
      <c r="Q551" s="32" t="str">
        <f>"str_"&amp;CONTROL[[#This Row],[VEHIDCODE]]</f>
        <v>str_emu_USA_PRR_MP54</v>
      </c>
    </row>
    <row r="552" spans="1:17">
      <c r="A552" s="2" t="s">
        <v>579</v>
      </c>
      <c r="B552" s="32" t="str">
        <f>_xlfn.TEXTAFTER(CONTROL[[#This Row],[VEHIDCODE]],"_")</f>
        <v>Italy_NTV_AGV</v>
      </c>
      <c r="C552" t="s">
        <v>726</v>
      </c>
      <c r="D552" t="s">
        <v>947</v>
      </c>
      <c r="E552">
        <v>8042</v>
      </c>
      <c r="F552" t="s">
        <v>1530</v>
      </c>
      <c r="G552" t="s">
        <v>2932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Row],[VEHIDCODE]],#REF!,0))</f>
        <v>0</v>
      </c>
      <c r="L552" t="b">
        <f>ISNUMBER(_xlfn.XMATCH(CONTROL[[#This Row],[VEHIDCODE]],PROPERTIES[VEHIDCODE],0))</f>
        <v>1</v>
      </c>
      <c r="M552" t="b">
        <f>ISNUMBER(_xlfn.XMATCH(CONTROL[[#This Row],[VEHIDCODE]],#REF!,0))</f>
        <v>0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s="32" t="str">
        <f>"item_"&amp;CONTROL[[#This Row],[VEHIDCODE]]</f>
        <v>item_emu_Italy_NTV_AGV</v>
      </c>
      <c r="Q552" s="32" t="str">
        <f>"str_"&amp;CONTROL[[#This Row],[VEHIDCODE]]</f>
        <v>str_emu_Italy_NTV_AGV</v>
      </c>
    </row>
    <row r="553" spans="1:17">
      <c r="A553" s="2" t="s">
        <v>580</v>
      </c>
      <c r="B553" s="32" t="str">
        <f>_xlfn.TEXTAFTER(CONTROL[[#This Row],[VEHIDCODE]],"_")</f>
        <v>Italy_NTV_AGV_Duplex</v>
      </c>
      <c r="C553" t="s">
        <v>726</v>
      </c>
      <c r="D553" t="s">
        <v>947</v>
      </c>
      <c r="E553">
        <v>8044</v>
      </c>
      <c r="F553" t="s">
        <v>1531</v>
      </c>
      <c r="G553" t="s">
        <v>2933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Row],[VEHIDCODE]],#REF!,0))</f>
        <v>0</v>
      </c>
      <c r="L553" t="b">
        <f>ISNUMBER(_xlfn.XMATCH(CONTROL[[#This Row],[VEHIDCODE]],PROPERTIES[VEHIDCODE],0))</f>
        <v>1</v>
      </c>
      <c r="M553" t="b">
        <f>ISNUMBER(_xlfn.XMATCH(CONTROL[[#This Row],[VEHIDCODE]],#REF!,0))</f>
        <v>0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s="32" t="str">
        <f>"item_"&amp;CONTROL[[#This Row],[VEHIDCODE]]</f>
        <v>item_emu_Italy_NTV_AGV_Duplex</v>
      </c>
      <c r="Q553" s="32" t="str">
        <f>"str_"&amp;CONTROL[[#This Row],[VEHIDCODE]]</f>
        <v>str_emu_Italy_NTV_AGV_Duplex</v>
      </c>
    </row>
    <row r="554" spans="1:17">
      <c r="A554" s="2" t="s">
        <v>581</v>
      </c>
      <c r="B554" s="32" t="str">
        <f>_xlfn.TEXTAFTER(CONTROL[[#This Row],[VEHIDCODE]],"_")</f>
        <v>Netherlands_NS_Hispeed_V250_Albatros</v>
      </c>
      <c r="C554" t="s">
        <v>726</v>
      </c>
      <c r="D554" t="s">
        <v>947</v>
      </c>
      <c r="E554">
        <v>8055</v>
      </c>
      <c r="F554" t="s">
        <v>1532</v>
      </c>
      <c r="G554" t="s">
        <v>2934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Row],[VEHIDCODE]],#REF!,0))</f>
        <v>0</v>
      </c>
      <c r="L554" t="b">
        <f>ISNUMBER(_xlfn.XMATCH(CONTROL[[#This Row],[VEHIDCODE]],PROPERTIES[VEHIDCODE],0))</f>
        <v>1</v>
      </c>
      <c r="M554" t="b">
        <f>ISNUMBER(_xlfn.XMATCH(CONTROL[[#This Row],[VEHIDCODE]],#REF!,0))</f>
        <v>0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s="32" t="str">
        <f>"item_"&amp;CONTROL[[#This Row],[VEHIDCODE]]</f>
        <v>item_emu_Netherlands_NS_Hispeed_V250_Albatros</v>
      </c>
      <c r="Q554" s="32" t="str">
        <f>"str_"&amp;CONTROL[[#This Row],[VEHIDCODE]]</f>
        <v>str_emu_Netherlands_NS_Hispeed_V250_Albatros</v>
      </c>
    </row>
    <row r="555" spans="1:17">
      <c r="A555" s="2" t="s">
        <v>582</v>
      </c>
      <c r="B555" s="32" t="str">
        <f>_xlfn.TEXTAFTER(CONTROL[[#This Row],[VEHIDCODE]],"_")</f>
        <v>Netherlands_NS_4800_HSA</v>
      </c>
      <c r="C555" t="s">
        <v>726</v>
      </c>
      <c r="D555" t="s">
        <v>947</v>
      </c>
      <c r="E555">
        <v>8043</v>
      </c>
      <c r="F555" t="s">
        <v>2937</v>
      </c>
      <c r="G555" t="s">
        <v>1776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Row],[VEHIDCODE]],#REF!,0))</f>
        <v>0</v>
      </c>
      <c r="L555" t="b">
        <f>ISNUMBER(_xlfn.XMATCH(CONTROL[[#This Row],[VEHIDCODE]],PROPERTIES[VEHIDCODE],0))</f>
        <v>1</v>
      </c>
      <c r="M555" t="b">
        <f>ISNUMBER(_xlfn.XMATCH(CONTROL[[#This Row],[VEHIDCODE]],#REF!,0))</f>
        <v>0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s="32" t="str">
        <f>"item_"&amp;CONTROL[[#This Row],[VEHIDCODE]]</f>
        <v>item_emu_Netherlands_NS_4800_HSA</v>
      </c>
      <c r="Q555" s="32" t="str">
        <f>"str_"&amp;CONTROL[[#This Row],[VEHIDCODE]]</f>
        <v>str_emu_Netherlands_NS_4800_HSA</v>
      </c>
    </row>
    <row r="556" spans="1:17">
      <c r="A556" s="2" t="s">
        <v>583</v>
      </c>
      <c r="B556" s="32" t="str">
        <f>_xlfn.TEXTAFTER(CONTROL[[#This Row],[VEHIDCODE]],"_")</f>
        <v>Switzerland_SBB_Rae_TEE_II</v>
      </c>
      <c r="C556" t="s">
        <v>726</v>
      </c>
      <c r="D556" t="s">
        <v>947</v>
      </c>
      <c r="E556">
        <v>8009</v>
      </c>
      <c r="F556" t="s">
        <v>1533</v>
      </c>
      <c r="G556" t="s">
        <v>2935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Row],[VEHIDCODE]],#REF!,0))</f>
        <v>0</v>
      </c>
      <c r="L556" t="b">
        <f>ISNUMBER(_xlfn.XMATCH(CONTROL[[#This Row],[VEHIDCODE]],PROPERTIES[VEHIDCODE],0))</f>
        <v>1</v>
      </c>
      <c r="M556" t="b">
        <f>ISNUMBER(_xlfn.XMATCH(CONTROL[[#This Row],[VEHIDCODE]],#REF!,0))</f>
        <v>0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s="32" t="str">
        <f>"item_"&amp;CONTROL[[#This Row],[VEHIDCODE]]</f>
        <v>item_emu_Switzerland_SBB_Rae_TEE_II</v>
      </c>
      <c r="Q556" s="32" t="str">
        <f>"str_"&amp;CONTROL[[#This Row],[VEHIDCODE]]</f>
        <v>str_emu_Switzerland_SBB_Rae_TEE_II</v>
      </c>
    </row>
    <row r="557" spans="1:17">
      <c r="A557" s="2" t="s">
        <v>584</v>
      </c>
      <c r="B557" s="32" t="str">
        <f>_xlfn.TEXTAFTER(CONTROL[[#This Row],[VEHIDCODE]],"_")</f>
        <v>USA_Erie_Lackawanna_MU_Cars</v>
      </c>
      <c r="C557" t="s">
        <v>726</v>
      </c>
      <c r="D557" t="s">
        <v>947</v>
      </c>
      <c r="E557">
        <v>8048</v>
      </c>
      <c r="F557" t="s">
        <v>1534</v>
      </c>
      <c r="G557" t="s">
        <v>2936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Row],[VEHIDCODE]],#REF!,0))</f>
        <v>0</v>
      </c>
      <c r="L557" t="b">
        <f>ISNUMBER(_xlfn.XMATCH(CONTROL[[#This Row],[VEHIDCODE]],PROPERTIES[VEHIDCODE],0))</f>
        <v>1</v>
      </c>
      <c r="M557" t="b">
        <f>ISNUMBER(_xlfn.XMATCH(CONTROL[[#This Row],[VEHIDCODE]],#REF!,0))</f>
        <v>0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s="32" t="str">
        <f>"item_"&amp;CONTROL[[#This Row],[VEHIDCODE]]</f>
        <v>item_emu_USA_Erie_Lackawanna_MU_Cars</v>
      </c>
      <c r="Q557" s="32" t="str">
        <f>"str_"&amp;CONTROL[[#This Row],[VEHIDCODE]]</f>
        <v>str_emu_USA_Erie_Lackawanna_MU_Cars</v>
      </c>
    </row>
    <row r="558" spans="1:17">
      <c r="A558" s="2" t="s">
        <v>585</v>
      </c>
      <c r="B558" s="32" t="str">
        <f>_xlfn.TEXTAFTER(CONTROL[[#This Row],[VEHIDCODE]],"_")</f>
        <v>France_SNCF_TGV_Sud_Est</v>
      </c>
      <c r="C558" t="s">
        <v>726</v>
      </c>
      <c r="D558" t="s">
        <v>947</v>
      </c>
      <c r="E558">
        <v>8019</v>
      </c>
      <c r="F558" t="s">
        <v>1535</v>
      </c>
      <c r="G558" t="s">
        <v>2938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Row],[VEHIDCODE]],#REF!,0))</f>
        <v>0</v>
      </c>
      <c r="L558" t="b">
        <f>ISNUMBER(_xlfn.XMATCH(CONTROL[[#This Row],[VEHIDCODE]],PROPERTIES[VEHIDCODE],0))</f>
        <v>1</v>
      </c>
      <c r="M558" t="b">
        <f>ISNUMBER(_xlfn.XMATCH(CONTROL[[#This Row],[VEHIDCODE]],#REF!,0))</f>
        <v>0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s="32" t="str">
        <f>"item_"&amp;CONTROL[[#This Row],[VEHIDCODE]]</f>
        <v>item_emu_France_SNCF_TGV_Sud_Est</v>
      </c>
      <c r="Q558" s="32" t="str">
        <f>"str_"&amp;CONTROL[[#This Row],[VEHIDCODE]]</f>
        <v>str_emu_France_SNCF_TGV_Sud_Est</v>
      </c>
    </row>
    <row r="559" spans="1:17">
      <c r="A559" s="2" t="s">
        <v>586</v>
      </c>
      <c r="B559" s="32" t="str">
        <f>_xlfn.TEXTAFTER(CONTROL[[#This Row],[VEHIDCODE]],"_")</f>
        <v>France_SNCF_TGV_Duplex</v>
      </c>
      <c r="C559" t="s">
        <v>726</v>
      </c>
      <c r="D559" t="s">
        <v>947</v>
      </c>
      <c r="E559">
        <v>8026</v>
      </c>
      <c r="F559" t="s">
        <v>1536</v>
      </c>
      <c r="G559" t="s">
        <v>2939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Row],[VEHIDCODE]],#REF!,0))</f>
        <v>0</v>
      </c>
      <c r="L559" t="b">
        <f>ISNUMBER(_xlfn.XMATCH(CONTROL[[#This Row],[VEHIDCODE]],PROPERTIES[VEHIDCODE],0))</f>
        <v>1</v>
      </c>
      <c r="M559" t="b">
        <f>ISNUMBER(_xlfn.XMATCH(CONTROL[[#This Row],[VEHIDCODE]],#REF!,0))</f>
        <v>0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s="32" t="str">
        <f>"item_"&amp;CONTROL[[#This Row],[VEHIDCODE]]</f>
        <v>item_emu_France_SNCF_TGV_Duplex</v>
      </c>
      <c r="Q559" s="32" t="str">
        <f>"str_"&amp;CONTROL[[#This Row],[VEHIDCODE]]</f>
        <v>str_emu_France_SNCF_TGV_Duplex</v>
      </c>
    </row>
    <row r="560" spans="1:17">
      <c r="A560" s="2" t="s">
        <v>587</v>
      </c>
      <c r="B560" s="32" t="str">
        <f>_xlfn.TEXTAFTER(CONTROL[[#This Row],[VEHIDCODE]],"_")</f>
        <v>France_Thalys_PBKA</v>
      </c>
      <c r="C560" t="s">
        <v>726</v>
      </c>
      <c r="D560" t="s">
        <v>947</v>
      </c>
      <c r="E560">
        <v>8027</v>
      </c>
      <c r="F560" t="s">
        <v>1537</v>
      </c>
      <c r="G560" t="s">
        <v>2940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Row],[VEHIDCODE]],#REF!,0))</f>
        <v>0</v>
      </c>
      <c r="L560" t="b">
        <f>ISNUMBER(_xlfn.XMATCH(CONTROL[[#This Row],[VEHIDCODE]],PROPERTIES[VEHIDCODE],0))</f>
        <v>1</v>
      </c>
      <c r="M560" t="b">
        <f>ISNUMBER(_xlfn.XMATCH(CONTROL[[#This Row],[VEHIDCODE]],#REF!,0))</f>
        <v>0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s="32" t="str">
        <f>"item_"&amp;CONTROL[[#This Row],[VEHIDCODE]]</f>
        <v>item_emu_France_Thalys_PBKA</v>
      </c>
      <c r="Q560" s="32" t="str">
        <f>"str_"&amp;CONTROL[[#This Row],[VEHIDCODE]]</f>
        <v>str_emu_France_Thalys_PBKA</v>
      </c>
    </row>
    <row r="561" spans="1:17">
      <c r="A561" s="2" t="s">
        <v>588</v>
      </c>
      <c r="B561" s="32" t="str">
        <f>_xlfn.TEXTAFTER(CONTROL[[#This Row],[VEHIDCODE]],"_")</f>
        <v>Czech_Republic_CD_680_Pendolino</v>
      </c>
      <c r="C561" t="s">
        <v>726</v>
      </c>
      <c r="D561" t="s">
        <v>947</v>
      </c>
      <c r="E561">
        <v>8033</v>
      </c>
      <c r="F561" t="s">
        <v>2828</v>
      </c>
      <c r="G561" t="s">
        <v>2941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Row],[VEHIDCODE]],#REF!,0))</f>
        <v>0</v>
      </c>
      <c r="L561" t="b">
        <f>ISNUMBER(_xlfn.XMATCH(CONTROL[[#This Row],[VEHIDCODE]],PROPERTIES[VEHIDCODE],0))</f>
        <v>1</v>
      </c>
      <c r="M561" t="b">
        <f>ISNUMBER(_xlfn.XMATCH(CONTROL[[#This Row],[VEHIDCODE]],#REF!,0))</f>
        <v>0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s="32" t="str">
        <f>"item_"&amp;CONTROL[[#This Row],[VEHIDCODE]]</f>
        <v>item_emu_Czech_Republic_CD_680_Pendolino</v>
      </c>
      <c r="Q561" s="32" t="str">
        <f>"str_"&amp;CONTROL[[#This Row],[VEHIDCODE]]</f>
        <v>str_emu_Czech_Republic_CD_680_Pendolino</v>
      </c>
    </row>
    <row r="562" spans="1:17">
      <c r="A562" s="2" t="s">
        <v>589</v>
      </c>
      <c r="B562" s="32" t="str">
        <f>_xlfn.TEXTAFTER(CONTROL[[#This Row],[VEHIDCODE]],"_")</f>
        <v>Spain_RENFE_120</v>
      </c>
      <c r="C562" t="s">
        <v>726</v>
      </c>
      <c r="D562" t="s">
        <v>947</v>
      </c>
      <c r="E562">
        <v>8037</v>
      </c>
      <c r="F562" t="s">
        <v>1538</v>
      </c>
      <c r="G562" t="s">
        <v>2942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Row],[VEHIDCODE]],#REF!,0))</f>
        <v>0</v>
      </c>
      <c r="L562" t="b">
        <f>ISNUMBER(_xlfn.XMATCH(CONTROL[[#This Row],[VEHIDCODE]],PROPERTIES[VEHIDCODE],0))</f>
        <v>1</v>
      </c>
      <c r="M562" t="b">
        <f>ISNUMBER(_xlfn.XMATCH(CONTROL[[#This Row],[VEHIDCODE]],#REF!,0))</f>
        <v>0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s="32" t="str">
        <f>"item_"&amp;CONTROL[[#This Row],[VEHIDCODE]]</f>
        <v>item_emu_Spain_RENFE_120</v>
      </c>
      <c r="Q562" s="32" t="str">
        <f>"str_"&amp;CONTROL[[#This Row],[VEHIDCODE]]</f>
        <v>str_emu_Spain_RENFE_120</v>
      </c>
    </row>
    <row r="563" spans="1:17">
      <c r="A563" s="2" t="s">
        <v>590</v>
      </c>
      <c r="B563" s="32" t="str">
        <f>_xlfn.TEXTAFTER(CONTROL[[#This Row],[VEHIDCODE]],"_")</f>
        <v>USA_Amtrak_Acela_Express</v>
      </c>
      <c r="C563" t="s">
        <v>726</v>
      </c>
      <c r="D563" t="s">
        <v>947</v>
      </c>
      <c r="E563">
        <v>8067</v>
      </c>
      <c r="F563" t="s">
        <v>1539</v>
      </c>
      <c r="G563" t="s">
        <v>2943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Row],[VEHIDCODE]],#REF!,0))</f>
        <v>0</v>
      </c>
      <c r="L563" t="b">
        <f>ISNUMBER(_xlfn.XMATCH(CONTROL[[#This Row],[VEHIDCODE]],PROPERTIES[VEHIDCODE],0))</f>
        <v>1</v>
      </c>
      <c r="M563" t="b">
        <f>ISNUMBER(_xlfn.XMATCH(CONTROL[[#This Row],[VEHIDCODE]],#REF!,0))</f>
        <v>0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s="32" t="str">
        <f>"item_"&amp;CONTROL[[#This Row],[VEHIDCODE]]</f>
        <v>item_emu_USA_Amtrak_Acela_Express</v>
      </c>
      <c r="Q563" s="32" t="str">
        <f>"str_"&amp;CONTROL[[#This Row],[VEHIDCODE]]</f>
        <v>str_emu_USA_Amtrak_Acela_Express</v>
      </c>
    </row>
    <row r="564" spans="1:17">
      <c r="A564" s="2" t="s">
        <v>591</v>
      </c>
      <c r="B564" s="32" t="str">
        <f>_xlfn.TEXTAFTER(CONTROL[[#This Row],[VEHIDCODE]],"_")</f>
        <v>USA_Brooklyn_Union_Gate_Car</v>
      </c>
      <c r="C564" t="s">
        <v>727</v>
      </c>
      <c r="D564" t="s">
        <v>962</v>
      </c>
      <c r="E564">
        <v>14000</v>
      </c>
      <c r="F564" t="s">
        <v>1540</v>
      </c>
      <c r="G564" t="s">
        <v>3006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Row],[VEHIDCODE]],#REF!,0))</f>
        <v>0</v>
      </c>
      <c r="L564" t="b">
        <f>ISNUMBER(_xlfn.XMATCH(CONTROL[[#This Row],[VEHIDCODE]],PROPERTIES[VEHIDCODE],0))</f>
        <v>1</v>
      </c>
      <c r="M564" t="b">
        <f>ISNUMBER(_xlfn.XMATCH(CONTROL[[#This Row],[VEHIDCODE]],#REF!,0))</f>
        <v>0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s="32" t="str">
        <f>"item_"&amp;CONTROL[[#This Row],[VEHIDCODE]]</f>
        <v>item_singlemtro_USA_Brooklyn_Union_Gate_Car</v>
      </c>
      <c r="Q564" s="32" t="str">
        <f>"str_"&amp;CONTROL[[#This Row],[VEHIDCODE]]</f>
        <v>str_singlemtro_USA_Brooklyn_Union_Gate_Car</v>
      </c>
    </row>
    <row r="565" spans="1:17">
      <c r="A565" s="2" t="s">
        <v>592</v>
      </c>
      <c r="B565" s="32" t="str">
        <f>_xlfn.TEXTAFTER(CONTROL[[#This Row],[VEHIDCODE]],"_")</f>
        <v>Hungary_Budapest_1894_Stock</v>
      </c>
      <c r="C565" t="s">
        <v>727</v>
      </c>
      <c r="D565" t="s">
        <v>962</v>
      </c>
      <c r="E565">
        <v>14001</v>
      </c>
      <c r="F565" t="s">
        <v>1541</v>
      </c>
      <c r="G565" t="s">
        <v>3007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Row],[VEHIDCODE]],#REF!,0))</f>
        <v>0</v>
      </c>
      <c r="L565" t="b">
        <f>ISNUMBER(_xlfn.XMATCH(CONTROL[[#This Row],[VEHIDCODE]],PROPERTIES[VEHIDCODE],0))</f>
        <v>1</v>
      </c>
      <c r="M565" t="b">
        <f>ISNUMBER(_xlfn.XMATCH(CONTROL[[#This Row],[VEHIDCODE]],#REF!,0))</f>
        <v>0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s="32" t="str">
        <f>"item_"&amp;CONTROL[[#This Row],[VEHIDCODE]]</f>
        <v>item_singlemtro_Hungary_Budapest_1894_Stock</v>
      </c>
      <c r="Q565" s="32" t="str">
        <f>"str_"&amp;CONTROL[[#This Row],[VEHIDCODE]]</f>
        <v>str_singlemtro_Hungary_Budapest_1894_Stock</v>
      </c>
    </row>
    <row r="566" spans="1:17">
      <c r="A566" s="2" t="s">
        <v>593</v>
      </c>
      <c r="B566" s="32" t="str">
        <f>_xlfn.TEXTAFTER(CONTROL[[#This Row],[VEHIDCODE]],"_")</f>
        <v>USA_Chicago_L_Northwest_Elevated_1907_Stock</v>
      </c>
      <c r="C566" t="s">
        <v>727</v>
      </c>
      <c r="D566" t="s">
        <v>962</v>
      </c>
      <c r="E566">
        <v>14002</v>
      </c>
      <c r="F566" t="s">
        <v>1542</v>
      </c>
      <c r="G566" t="s">
        <v>3008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Row],[VEHIDCODE]],#REF!,0))</f>
        <v>0</v>
      </c>
      <c r="L566" t="b">
        <f>ISNUMBER(_xlfn.XMATCH(CONTROL[[#This Row],[VEHIDCODE]],PROPERTIES[VEHIDCODE],0))</f>
        <v>1</v>
      </c>
      <c r="M566" t="b">
        <f>ISNUMBER(_xlfn.XMATCH(CONTROL[[#This Row],[VEHIDCODE]],#REF!,0))</f>
        <v>0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s="32" t="str">
        <f>"item_"&amp;CONTROL[[#This Row],[VEHIDCODE]]</f>
        <v>item_singlemtro_USA_Chicago_L_Northwest_Elevated_1907_Stock</v>
      </c>
      <c r="Q566" s="32" t="str">
        <f>"str_"&amp;CONTROL[[#This Row],[VEHIDCODE]]</f>
        <v>str_singlemtro_USA_Chicago_L_Northwest_Elevated_1907_Stock</v>
      </c>
    </row>
    <row r="567" spans="1:17">
      <c r="A567" s="2" t="s">
        <v>594</v>
      </c>
      <c r="B567" s="32" t="str">
        <f>_xlfn.TEXTAFTER(CONTROL[[#This Row],[VEHIDCODE]],"_")</f>
        <v>Germany_Berlin_U_Bahn_C_II</v>
      </c>
      <c r="C567" t="s">
        <v>727</v>
      </c>
      <c r="D567" t="s">
        <v>962</v>
      </c>
      <c r="E567">
        <v>14003</v>
      </c>
      <c r="F567" t="s">
        <v>1543</v>
      </c>
      <c r="G567" t="s">
        <v>3009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Row],[VEHIDCODE]],#REF!,0))</f>
        <v>0</v>
      </c>
      <c r="L567" t="b">
        <f>ISNUMBER(_xlfn.XMATCH(CONTROL[[#This Row],[VEHIDCODE]],PROPERTIES[VEHIDCODE],0))</f>
        <v>1</v>
      </c>
      <c r="M567" t="b">
        <f>ISNUMBER(_xlfn.XMATCH(CONTROL[[#This Row],[VEHIDCODE]],#REF!,0))</f>
        <v>0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s="32" t="str">
        <f>"item_"&amp;CONTROL[[#This Row],[VEHIDCODE]]</f>
        <v>item_singlemtro_Germany_Berlin_U_Bahn_C_II</v>
      </c>
      <c r="Q567" s="32" t="str">
        <f>"str_"&amp;CONTROL[[#This Row],[VEHIDCODE]]</f>
        <v>str_singlemtro_Germany_Berlin_U_Bahn_C_II</v>
      </c>
    </row>
    <row r="568" spans="1:17">
      <c r="A568" s="2" t="s">
        <v>595</v>
      </c>
      <c r="B568" s="32" t="str">
        <f>_xlfn.TEXTAFTER(CONTROL[[#This Row],[VEHIDCODE]],"_")</f>
        <v>World_Turbobus</v>
      </c>
      <c r="C568" t="s">
        <v>728</v>
      </c>
      <c r="D568" t="s">
        <v>968</v>
      </c>
      <c r="E568">
        <v>16000</v>
      </c>
      <c r="F568" t="s">
        <v>1544</v>
      </c>
      <c r="G568" t="s">
        <v>1776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Row],[VEHIDCODE]],#REF!,0))</f>
        <v>0</v>
      </c>
      <c r="L568" t="b">
        <f>ISNUMBER(_xlfn.XMATCH(CONTROL[[#This Row],[VEHIDCODE]],PROPERTIES[VEHIDCODE],0))</f>
        <v>1</v>
      </c>
      <c r="M568" t="b">
        <f>ISNUMBER(_xlfn.XMATCH(CONTROL[[#This Row],[VEHIDCODE]],#REF!,0))</f>
        <v>0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s="32" t="str">
        <f>"item_"&amp;CONTROL[[#This Row],[VEHIDCODE]]</f>
        <v>item_rbm_World_Turbobus</v>
      </c>
      <c r="Q568" s="32" t="str">
        <f>"str_"&amp;CONTROL[[#This Row],[VEHIDCODE]]</f>
        <v>str_rbm_World_Turbobus</v>
      </c>
    </row>
    <row r="569" spans="1:17">
      <c r="A569" s="2" t="s">
        <v>596</v>
      </c>
      <c r="B569" s="32" t="str">
        <f>_xlfn.TEXTAFTER(CONTROL[[#This Row],[VEHIDCODE]],"_")</f>
        <v>Germany_DB_182_ES64UM_Mutus</v>
      </c>
      <c r="C569" t="s">
        <v>729</v>
      </c>
      <c r="D569" t="s">
        <v>970</v>
      </c>
      <c r="E569">
        <v>15001</v>
      </c>
      <c r="F569" t="s">
        <v>1545</v>
      </c>
      <c r="G569" t="s">
        <v>1776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Row],[VEHIDCODE]],#REF!,0))</f>
        <v>0</v>
      </c>
      <c r="L569" t="b">
        <f>ISNUMBER(_xlfn.XMATCH(CONTROL[[#This Row],[VEHIDCODE]],PROPERTIES[VEHIDCODE],0))</f>
        <v>1</v>
      </c>
      <c r="M569" t="b">
        <f>ISNUMBER(_xlfn.XMATCH(CONTROL[[#This Row],[VEHIDCODE]],#REF!,0))</f>
        <v>0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s="32" t="str">
        <f>"item_"&amp;CONTROL[[#This Row],[VEHIDCODE]]</f>
        <v>item_mglv_Germany_DB_182_ES64UM_Mutus</v>
      </c>
      <c r="Q569" s="32" t="str">
        <f>"str_"&amp;CONTROL[[#This Row],[VEHIDCODE]]</f>
        <v>str_mglv_Germany_DB_182_ES64UM_Mutus</v>
      </c>
    </row>
    <row r="570" spans="1:17">
      <c r="A570" s="2" t="s">
        <v>597</v>
      </c>
      <c r="B570" s="32" t="str">
        <f>_xlfn.TEXTAFTER(CONTROL[[#This Row],[VEHIDCODE]],"_")</f>
        <v>China_Transrapid</v>
      </c>
      <c r="C570" t="s">
        <v>729</v>
      </c>
      <c r="D570" t="s">
        <v>951</v>
      </c>
      <c r="E570">
        <v>10000</v>
      </c>
      <c r="F570" t="s">
        <v>1546</v>
      </c>
      <c r="G570" t="s">
        <v>2944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Row],[VEHIDCODE]],#REF!,0))</f>
        <v>0</v>
      </c>
      <c r="L570" t="b">
        <f>ISNUMBER(_xlfn.XMATCH(CONTROL[[#This Row],[VEHIDCODE]],PROPERTIES[VEHIDCODE],0))</f>
        <v>1</v>
      </c>
      <c r="M570" t="b">
        <f>ISNUMBER(_xlfn.XMATCH(CONTROL[[#This Row],[VEHIDCODE]],#REF!,0))</f>
        <v>0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s="32" t="str">
        <f>"item_"&amp;CONTROL[[#This Row],[VEHIDCODE]]</f>
        <v>item_mglv_China_Transrapid</v>
      </c>
      <c r="Q570" s="32" t="str">
        <f>"str_"&amp;CONTROL[[#This Row],[VEHIDCODE]]</f>
        <v>str_mglv_China_Transrapid</v>
      </c>
    </row>
    <row r="571" spans="1:17">
      <c r="A571" s="2" t="s">
        <v>598</v>
      </c>
      <c r="B571" s="32" t="str">
        <f>_xlfn.TEXTAFTER(CONTROL[[#This Row],[VEHIDCODE]],"_")</f>
        <v>Japan_MLX01_901</v>
      </c>
      <c r="C571" t="s">
        <v>729</v>
      </c>
      <c r="D571" t="s">
        <v>951</v>
      </c>
      <c r="E571">
        <v>10001</v>
      </c>
      <c r="F571" t="s">
        <v>1547</v>
      </c>
      <c r="G571" t="s">
        <v>2945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Row],[VEHIDCODE]],#REF!,0))</f>
        <v>0</v>
      </c>
      <c r="L571" t="b">
        <f>ISNUMBER(_xlfn.XMATCH(CONTROL[[#This Row],[VEHIDCODE]],PROPERTIES[VEHIDCODE],0))</f>
        <v>1</v>
      </c>
      <c r="M571" t="b">
        <f>ISNUMBER(_xlfn.XMATCH(CONTROL[[#This Row],[VEHIDCODE]],#REF!,0))</f>
        <v>0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s="32" t="str">
        <f>"item_"&amp;CONTROL[[#This Row],[VEHIDCODE]]</f>
        <v>item_mglv_Japan_MLX01_901</v>
      </c>
      <c r="Q571" s="32" t="str">
        <f>"str_"&amp;CONTROL[[#This Row],[VEHIDCODE]]</f>
        <v>str_mglv_Japan_MLX01_901</v>
      </c>
    </row>
    <row r="572" spans="1:17">
      <c r="A572" s="2" t="s">
        <v>902</v>
      </c>
      <c r="B572" s="32" t="str">
        <f>_xlfn.TEXTAFTER(CONTROL[[#This Row],[VEHIDCODE]],"_")</f>
        <v>Wagon_Gen7M_Boxcar_Type1</v>
      </c>
      <c r="C572" t="s">
        <v>751</v>
      </c>
      <c r="D572" t="s">
        <v>957</v>
      </c>
      <c r="E572">
        <v>18003</v>
      </c>
      <c r="F572" t="s">
        <v>1548</v>
      </c>
      <c r="G572" t="s">
        <v>1776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Row],[VEHIDCODE]],#REF!,0))</f>
        <v>0</v>
      </c>
      <c r="L572" t="b">
        <f>ISNUMBER(_xlfn.XMATCH(CONTROL[[#This Row],[VEHIDCODE]],PROPERTIES[VEHIDCODE],0))</f>
        <v>1</v>
      </c>
      <c r="M572" t="b">
        <f>ISNUMBER(_xlfn.XMATCH(CONTROL[[#This Row],[VEHIDCODE]],#REF!,0))</f>
        <v>0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s="32" t="str">
        <f>"item_"&amp;CONTROL[[#This Row],[VEHIDCODE]]</f>
        <v>item_mglv_Wagon_Gen7M_Boxcar_Type1</v>
      </c>
      <c r="Q572" s="32" t="str">
        <f>"str_"&amp;CONTROL[[#This Row],[VEHIDCODE]]</f>
        <v>str_mglv_Wagon_Gen7M_Boxcar_Type1</v>
      </c>
    </row>
    <row r="573" spans="1:17">
      <c r="A573" s="2" t="s">
        <v>885</v>
      </c>
      <c r="B573" s="32" t="str">
        <f>_xlfn.TEXTAFTER(CONTROL[[#This Row],[VEHIDCODE]],"_")</f>
        <v>Wagon_Gen7M_Boxcar_Type2</v>
      </c>
      <c r="C573" t="s">
        <v>751</v>
      </c>
      <c r="D573" t="s">
        <v>957</v>
      </c>
      <c r="E573">
        <v>18013</v>
      </c>
      <c r="F573" t="s">
        <v>1548</v>
      </c>
      <c r="G573" t="s">
        <v>1776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Row],[VEHIDCODE]],#REF!,0))</f>
        <v>0</v>
      </c>
      <c r="L573" t="b">
        <f>ISNUMBER(_xlfn.XMATCH(CONTROL[[#This Row],[VEHIDCODE]],PROPERTIES[VEHIDCODE],0))</f>
        <v>1</v>
      </c>
      <c r="M573" t="b">
        <f>ISNUMBER(_xlfn.XMATCH(CONTROL[[#This Row],[VEHIDCODE]],#REF!,0))</f>
        <v>0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s="32" t="str">
        <f>"item_"&amp;CONTROL[[#This Row],[VEHIDCODE]]</f>
        <v>item_mglv_Wagon_Gen7M_Boxcar_Type2</v>
      </c>
      <c r="Q573" s="32" t="str">
        <f>"str_"&amp;CONTROL[[#This Row],[VEHIDCODE]]</f>
        <v>str_mglv_Wagon_Gen7M_Boxcar_Type2</v>
      </c>
    </row>
    <row r="574" spans="1:17">
      <c r="A574" s="2" t="s">
        <v>886</v>
      </c>
      <c r="B574" s="32" t="str">
        <f>_xlfn.TEXTAFTER(CONTROL[[#This Row],[VEHIDCODE]],"_")</f>
        <v>Wagon_Gen7M_Car_Transporter</v>
      </c>
      <c r="C574" t="s">
        <v>751</v>
      </c>
      <c r="D574" t="s">
        <v>957</v>
      </c>
      <c r="E574">
        <v>18008</v>
      </c>
      <c r="F574" t="s">
        <v>1549</v>
      </c>
      <c r="G574" t="s">
        <v>1776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Row],[VEHIDCODE]],#REF!,0))</f>
        <v>0</v>
      </c>
      <c r="L574" t="b">
        <f>ISNUMBER(_xlfn.XMATCH(CONTROL[[#This Row],[VEHIDCODE]],PROPERTIES[VEHIDCODE],0))</f>
        <v>1</v>
      </c>
      <c r="M574" t="b">
        <f>ISNUMBER(_xlfn.XMATCH(CONTROL[[#This Row],[VEHIDCODE]],#REF!,0))</f>
        <v>0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s="32" t="str">
        <f>"item_"&amp;CONTROL[[#This Row],[VEHIDCODE]]</f>
        <v>item_mglv_Wagon_Gen7M_Car_Transporter</v>
      </c>
      <c r="Q574" s="32" t="str">
        <f>"str_"&amp;CONTROL[[#This Row],[VEHIDCODE]]</f>
        <v>str_mglv_Wagon_Gen7M_Car_Transporter</v>
      </c>
    </row>
    <row r="575" spans="1:17">
      <c r="A575" s="2" t="s">
        <v>887</v>
      </c>
      <c r="B575" s="32" t="str">
        <f>_xlfn.TEXTAFTER(CONTROL[[#This Row],[VEHIDCODE]],"_")</f>
        <v>Wagon_Gen7M_Centerbeam</v>
      </c>
      <c r="C575" t="s">
        <v>751</v>
      </c>
      <c r="D575" t="s">
        <v>957</v>
      </c>
      <c r="E575">
        <v>18010</v>
      </c>
      <c r="F575" t="s">
        <v>1550</v>
      </c>
      <c r="G575" t="s">
        <v>1776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Row],[VEHIDCODE]],#REF!,0))</f>
        <v>0</v>
      </c>
      <c r="L575" t="b">
        <f>ISNUMBER(_xlfn.XMATCH(CONTROL[[#This Row],[VEHIDCODE]],PROPERTIES[VEHIDCODE],0))</f>
        <v>1</v>
      </c>
      <c r="M575" t="b">
        <f>ISNUMBER(_xlfn.XMATCH(CONTROL[[#This Row],[VEHIDCODE]],#REF!,0))</f>
        <v>0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s="32" t="str">
        <f>"item_"&amp;CONTROL[[#This Row],[VEHIDCODE]]</f>
        <v>item_mglv_Wagon_Gen7M_Centerbeam</v>
      </c>
      <c r="Q575" s="32" t="str">
        <f>"str_"&amp;CONTROL[[#This Row],[VEHIDCODE]]</f>
        <v>str_mglv_Wagon_Gen7M_Centerbeam</v>
      </c>
    </row>
    <row r="576" spans="1:17">
      <c r="A576" s="2" t="s">
        <v>888</v>
      </c>
      <c r="B576" s="32" t="str">
        <f>_xlfn.TEXTAFTER(CONTROL[[#This Row],[VEHIDCODE]],"_")</f>
        <v>Wagon_Gen7M_Container_Carrier</v>
      </c>
      <c r="C576" t="s">
        <v>751</v>
      </c>
      <c r="D576" t="s">
        <v>957</v>
      </c>
      <c r="E576">
        <v>18009</v>
      </c>
      <c r="F576" t="s">
        <v>1551</v>
      </c>
      <c r="G576" t="s">
        <v>1776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Row],[VEHIDCODE]],#REF!,0))</f>
        <v>0</v>
      </c>
      <c r="L576" t="b">
        <f>ISNUMBER(_xlfn.XMATCH(CONTROL[[#This Row],[VEHIDCODE]],PROPERTIES[VEHIDCODE],0))</f>
        <v>1</v>
      </c>
      <c r="M576" t="b">
        <f>ISNUMBER(_xlfn.XMATCH(CONTROL[[#This Row],[VEHIDCODE]],#REF!,0))</f>
        <v>0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s="32" t="str">
        <f>"item_"&amp;CONTROL[[#This Row],[VEHIDCODE]]</f>
        <v>item_mglv_Wagon_Gen7M_Container_Carrier</v>
      </c>
      <c r="Q576" s="32" t="str">
        <f>"str_"&amp;CONTROL[[#This Row],[VEHIDCODE]]</f>
        <v>str_mglv_Wagon_Gen7M_Container_Carrier</v>
      </c>
    </row>
    <row r="577" spans="1:17">
      <c r="A577" s="2" t="s">
        <v>889</v>
      </c>
      <c r="B577" s="32" t="str">
        <f>_xlfn.TEXTAFTER(CONTROL[[#This Row],[VEHIDCODE]],"_")</f>
        <v>Wagon_Gen7M_Container_Doublestack</v>
      </c>
      <c r="C577" t="s">
        <v>751</v>
      </c>
      <c r="D577" t="s">
        <v>957</v>
      </c>
      <c r="E577">
        <v>18011</v>
      </c>
      <c r="F577" t="s">
        <v>1552</v>
      </c>
      <c r="G577" t="s">
        <v>1776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Row],[VEHIDCODE]],#REF!,0))</f>
        <v>0</v>
      </c>
      <c r="L577" t="b">
        <f>ISNUMBER(_xlfn.XMATCH(CONTROL[[#This Row],[VEHIDCODE]],PROPERTIES[VEHIDCODE],0))</f>
        <v>1</v>
      </c>
      <c r="M577" t="b">
        <f>ISNUMBER(_xlfn.XMATCH(CONTROL[[#This Row],[VEHIDCODE]],#REF!,0))</f>
        <v>0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s="32" t="str">
        <f>"item_"&amp;CONTROL[[#This Row],[VEHIDCODE]]</f>
        <v>item_mglv_Wagon_Gen7M_Container_Doublestack</v>
      </c>
      <c r="Q577" s="32" t="str">
        <f>"str_"&amp;CONTROL[[#This Row],[VEHIDCODE]]</f>
        <v>str_mglv_Wagon_Gen7M_Container_Doublestack</v>
      </c>
    </row>
    <row r="578" spans="1:17">
      <c r="A578" s="2" t="s">
        <v>890</v>
      </c>
      <c r="B578" s="32" t="str">
        <f>_xlfn.TEXTAFTER(CONTROL[[#This Row],[VEHIDCODE]],"_")</f>
        <v>Wagon_Gen7M_Flatcar</v>
      </c>
      <c r="C578" t="s">
        <v>751</v>
      </c>
      <c r="D578" t="s">
        <v>957</v>
      </c>
      <c r="E578">
        <v>18001</v>
      </c>
      <c r="F578" t="s">
        <v>1553</v>
      </c>
      <c r="G578" t="s">
        <v>1776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Row],[VEHIDCODE]],#REF!,0))</f>
        <v>0</v>
      </c>
      <c r="L578" t="b">
        <f>ISNUMBER(_xlfn.XMATCH(CONTROL[[#This Row],[VEHIDCODE]],PROPERTIES[VEHIDCODE],0))</f>
        <v>1</v>
      </c>
      <c r="M578" t="b">
        <f>ISNUMBER(_xlfn.XMATCH(CONTROL[[#This Row],[VEHIDCODE]],#REF!,0))</f>
        <v>0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s="32" t="str">
        <f>"item_"&amp;CONTROL[[#This Row],[VEHIDCODE]]</f>
        <v>item_mglv_Wagon_Gen7M_Flatcar</v>
      </c>
      <c r="Q578" s="32" t="str">
        <f>"str_"&amp;CONTROL[[#This Row],[VEHIDCODE]]</f>
        <v>str_mglv_Wagon_Gen7M_Flatcar</v>
      </c>
    </row>
    <row r="579" spans="1:17">
      <c r="A579" s="2" t="s">
        <v>891</v>
      </c>
      <c r="B579" s="32" t="str">
        <f>_xlfn.TEXTAFTER(CONTROL[[#This Row],[VEHIDCODE]],"_")</f>
        <v>Wagon_Gen7M_Gondola</v>
      </c>
      <c r="C579" t="s">
        <v>751</v>
      </c>
      <c r="D579" t="s">
        <v>957</v>
      </c>
      <c r="E579">
        <v>18005</v>
      </c>
      <c r="F579" t="s">
        <v>1554</v>
      </c>
      <c r="G579" t="s">
        <v>1776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Row],[VEHIDCODE]],#REF!,0))</f>
        <v>0</v>
      </c>
      <c r="L579" t="b">
        <f>ISNUMBER(_xlfn.XMATCH(CONTROL[[#This Row],[VEHIDCODE]],PROPERTIES[VEHIDCODE],0))</f>
        <v>1</v>
      </c>
      <c r="M579" t="b">
        <f>ISNUMBER(_xlfn.XMATCH(CONTROL[[#This Row],[VEHIDCODE]],#REF!,0))</f>
        <v>0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s="32" t="str">
        <f>"item_"&amp;CONTROL[[#This Row],[VEHIDCODE]]</f>
        <v>item_mglv_Wagon_Gen7M_Gondola</v>
      </c>
      <c r="Q579" s="32" t="str">
        <f>"str_"&amp;CONTROL[[#This Row],[VEHIDCODE]]</f>
        <v>str_mglv_Wagon_Gen7M_Gondola</v>
      </c>
    </row>
    <row r="580" spans="1:17">
      <c r="A580" s="2" t="s">
        <v>892</v>
      </c>
      <c r="B580" s="32" t="str">
        <f>_xlfn.TEXTAFTER(CONTROL[[#This Row],[VEHIDCODE]],"_")</f>
        <v>Wagon_Gen7M_Heavy_Flatcar</v>
      </c>
      <c r="C580" t="s">
        <v>751</v>
      </c>
      <c r="D580" t="s">
        <v>957</v>
      </c>
      <c r="E580">
        <v>18002</v>
      </c>
      <c r="F580" t="s">
        <v>1555</v>
      </c>
      <c r="G580" t="s">
        <v>1776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Row],[VEHIDCODE]],#REF!,0))</f>
        <v>0</v>
      </c>
      <c r="L580" t="b">
        <f>ISNUMBER(_xlfn.XMATCH(CONTROL[[#This Row],[VEHIDCODE]],PROPERTIES[VEHIDCODE],0))</f>
        <v>1</v>
      </c>
      <c r="M580" t="b">
        <f>ISNUMBER(_xlfn.XMATCH(CONTROL[[#This Row],[VEHIDCODE]],#REF!,0))</f>
        <v>0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s="32" t="str">
        <f>"item_"&amp;CONTROL[[#This Row],[VEHIDCODE]]</f>
        <v>item_mglv_Wagon_Gen7M_Heavy_Flatcar</v>
      </c>
      <c r="Q580" s="32" t="str">
        <f>"str_"&amp;CONTROL[[#This Row],[VEHIDCODE]]</f>
        <v>str_mglv_Wagon_Gen7M_Heavy_Flatcar</v>
      </c>
    </row>
    <row r="581" spans="1:17">
      <c r="A581" s="2" t="s">
        <v>893</v>
      </c>
      <c r="B581" s="32" t="str">
        <f>_xlfn.TEXTAFTER(CONTROL[[#This Row],[VEHIDCODE]],"_")</f>
        <v>Wagon_Gen7M_Hopper_Type1</v>
      </c>
      <c r="C581" t="s">
        <v>751</v>
      </c>
      <c r="D581" t="s">
        <v>957</v>
      </c>
      <c r="E581">
        <v>18007</v>
      </c>
      <c r="F581" t="s">
        <v>1556</v>
      </c>
      <c r="G581" t="s">
        <v>1776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Row],[VEHIDCODE]],#REF!,0))</f>
        <v>0</v>
      </c>
      <c r="L581" t="b">
        <f>ISNUMBER(_xlfn.XMATCH(CONTROL[[#This Row],[VEHIDCODE]],PROPERTIES[VEHIDCODE],0))</f>
        <v>1</v>
      </c>
      <c r="M581" t="b">
        <f>ISNUMBER(_xlfn.XMATCH(CONTROL[[#This Row],[VEHIDCODE]],#REF!,0))</f>
        <v>0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s="32" t="str">
        <f>"item_"&amp;CONTROL[[#This Row],[VEHIDCODE]]</f>
        <v>item_mglv_Wagon_Gen7M_Hopper_Type1</v>
      </c>
      <c r="Q581" s="32" t="str">
        <f>"str_"&amp;CONTROL[[#This Row],[VEHIDCODE]]</f>
        <v>str_mglv_Wagon_Gen7M_Hopper_Type1</v>
      </c>
    </row>
    <row r="582" spans="1:17">
      <c r="A582" s="2" t="s">
        <v>894</v>
      </c>
      <c r="B582" s="32" t="str">
        <f>_xlfn.TEXTAFTER(CONTROL[[#This Row],[VEHIDCODE]],"_")</f>
        <v>Wagon_Gen7M_Hopper_Type2</v>
      </c>
      <c r="C582" t="s">
        <v>751</v>
      </c>
      <c r="D582" t="s">
        <v>957</v>
      </c>
      <c r="E582">
        <v>18015</v>
      </c>
      <c r="F582" t="s">
        <v>1556</v>
      </c>
      <c r="G582" t="s">
        <v>1776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Row],[VEHIDCODE]],#REF!,0))</f>
        <v>0</v>
      </c>
      <c r="L582" t="b">
        <f>ISNUMBER(_xlfn.XMATCH(CONTROL[[#This Row],[VEHIDCODE]],PROPERTIES[VEHIDCODE],0))</f>
        <v>1</v>
      </c>
      <c r="M582" t="b">
        <f>ISNUMBER(_xlfn.XMATCH(CONTROL[[#This Row],[VEHIDCODE]],#REF!,0))</f>
        <v>0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s="32" t="str">
        <f>"item_"&amp;CONTROL[[#This Row],[VEHIDCODE]]</f>
        <v>item_mglv_Wagon_Gen7M_Hopper_Type2</v>
      </c>
      <c r="Q582" s="32" t="str">
        <f>"str_"&amp;CONTROL[[#This Row],[VEHIDCODE]]</f>
        <v>str_mglv_Wagon_Gen7M_Hopper_Type2</v>
      </c>
    </row>
    <row r="583" spans="1:17">
      <c r="A583" s="2" t="s">
        <v>895</v>
      </c>
      <c r="B583" s="32" t="str">
        <f>_xlfn.TEXTAFTER(CONTROL[[#This Row],[VEHIDCODE]],"_")</f>
        <v>Wagon_Gen7M_Silo_Type1</v>
      </c>
      <c r="C583" t="s">
        <v>751</v>
      </c>
      <c r="D583" t="s">
        <v>957</v>
      </c>
      <c r="E583">
        <v>18006</v>
      </c>
      <c r="F583" t="s">
        <v>1557</v>
      </c>
      <c r="G583" t="s">
        <v>1776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Row],[VEHIDCODE]],#REF!,0))</f>
        <v>0</v>
      </c>
      <c r="L583" t="b">
        <f>ISNUMBER(_xlfn.XMATCH(CONTROL[[#This Row],[VEHIDCODE]],PROPERTIES[VEHIDCODE],0))</f>
        <v>1</v>
      </c>
      <c r="M583" t="b">
        <f>ISNUMBER(_xlfn.XMATCH(CONTROL[[#This Row],[VEHIDCODE]],#REF!,0))</f>
        <v>0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s="32" t="str">
        <f>"item_"&amp;CONTROL[[#This Row],[VEHIDCODE]]</f>
        <v>item_mglv_Wagon_Gen7M_Silo_Type1</v>
      </c>
      <c r="Q583" s="32" t="str">
        <f>"str_"&amp;CONTROL[[#This Row],[VEHIDCODE]]</f>
        <v>str_mglv_Wagon_Gen7M_Silo_Type1</v>
      </c>
    </row>
    <row r="584" spans="1:17">
      <c r="A584" s="2" t="s">
        <v>896</v>
      </c>
      <c r="B584" s="32" t="str">
        <f>_xlfn.TEXTAFTER(CONTROL[[#This Row],[VEHIDCODE]],"_")</f>
        <v>Wagon_Gen7M_Silo_Type2</v>
      </c>
      <c r="C584" t="s">
        <v>751</v>
      </c>
      <c r="D584" t="s">
        <v>957</v>
      </c>
      <c r="E584">
        <v>18014</v>
      </c>
      <c r="F584" t="s">
        <v>1557</v>
      </c>
      <c r="G584" t="s">
        <v>1776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Row],[VEHIDCODE]],#REF!,0))</f>
        <v>0</v>
      </c>
      <c r="L584" t="b">
        <f>ISNUMBER(_xlfn.XMATCH(CONTROL[[#This Row],[VEHIDCODE]],PROPERTIES[VEHIDCODE],0))</f>
        <v>1</v>
      </c>
      <c r="M584" t="b">
        <f>ISNUMBER(_xlfn.XMATCH(CONTROL[[#This Row],[VEHIDCODE]],#REF!,0))</f>
        <v>0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s="32" t="str">
        <f>"item_"&amp;CONTROL[[#This Row],[VEHIDCODE]]</f>
        <v>item_mglv_Wagon_Gen7M_Silo_Type2</v>
      </c>
      <c r="Q584" s="32" t="str">
        <f>"str_"&amp;CONTROL[[#This Row],[VEHIDCODE]]</f>
        <v>str_mglv_Wagon_Gen7M_Silo_Type2</v>
      </c>
    </row>
    <row r="585" spans="1:17">
      <c r="A585" s="2" t="s">
        <v>897</v>
      </c>
      <c r="B585" s="32" t="str">
        <f>_xlfn.TEXTAFTER(CONTROL[[#This Row],[VEHIDCODE]],"_")</f>
        <v>Wagon_Gen7M_Superheavy_Flatcar</v>
      </c>
      <c r="C585" t="s">
        <v>751</v>
      </c>
      <c r="D585" t="s">
        <v>957</v>
      </c>
      <c r="E585">
        <v>18012</v>
      </c>
      <c r="F585" t="s">
        <v>1558</v>
      </c>
      <c r="G585" t="s">
        <v>1776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Row],[VEHIDCODE]],#REF!,0))</f>
        <v>0</v>
      </c>
      <c r="L585" t="b">
        <f>ISNUMBER(_xlfn.XMATCH(CONTROL[[#This Row],[VEHIDCODE]],PROPERTIES[VEHIDCODE],0))</f>
        <v>1</v>
      </c>
      <c r="M585" t="b">
        <f>ISNUMBER(_xlfn.XMATCH(CONTROL[[#This Row],[VEHIDCODE]],#REF!,0))</f>
        <v>0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s="32" t="str">
        <f>"item_"&amp;CONTROL[[#This Row],[VEHIDCODE]]</f>
        <v>item_mglv_Wagon_Gen7M_Superheavy_Flatcar</v>
      </c>
      <c r="Q585" s="32" t="str">
        <f>"str_"&amp;CONTROL[[#This Row],[VEHIDCODE]]</f>
        <v>str_mglv_Wagon_Gen7M_Superheavy_Flatcar</v>
      </c>
    </row>
    <row r="586" spans="1:17">
      <c r="A586" s="2" t="s">
        <v>898</v>
      </c>
      <c r="B586" s="32" t="str">
        <f>_xlfn.TEXTAFTER(CONTROL[[#This Row],[VEHIDCODE]],"_")</f>
        <v>Wagon_Gen7M_Tanker</v>
      </c>
      <c r="C586" t="s">
        <v>751</v>
      </c>
      <c r="D586" t="s">
        <v>957</v>
      </c>
      <c r="E586">
        <v>18004</v>
      </c>
      <c r="F586" t="s">
        <v>1559</v>
      </c>
      <c r="G586" t="s">
        <v>1776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Row],[VEHIDCODE]],#REF!,0))</f>
        <v>0</v>
      </c>
      <c r="L586" t="b">
        <f>ISNUMBER(_xlfn.XMATCH(CONTROL[[#This Row],[VEHIDCODE]],PROPERTIES[VEHIDCODE],0))</f>
        <v>1</v>
      </c>
      <c r="M586" t="b">
        <f>ISNUMBER(_xlfn.XMATCH(CONTROL[[#This Row],[VEHIDCODE]],#REF!,0))</f>
        <v>0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s="32" t="str">
        <f>"item_"&amp;CONTROL[[#This Row],[VEHIDCODE]]</f>
        <v>item_mglv_Wagon_Gen7M_Tanker</v>
      </c>
      <c r="Q586" s="32" t="str">
        <f>"str_"&amp;CONTROL[[#This Row],[VEHIDCODE]]</f>
        <v>str_mglv_Wagon_Gen7M_Tanker</v>
      </c>
    </row>
    <row r="587" spans="1:17">
      <c r="A587" s="2" t="s">
        <v>610</v>
      </c>
      <c r="B587" s="32" t="str">
        <f>_xlfn.TEXTAFTER(CONTROL[[#This Row],[VEHIDCODE]],"_")</f>
        <v>Japan_JR_Shikoku_1000</v>
      </c>
      <c r="C587" t="s">
        <v>719</v>
      </c>
      <c r="D587" t="s">
        <v>936</v>
      </c>
      <c r="E587">
        <v>2038</v>
      </c>
      <c r="F587" t="s">
        <v>1560</v>
      </c>
      <c r="G587" t="s">
        <v>2977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Row],[VEHIDCODE]],#REF!,0))</f>
        <v>0</v>
      </c>
      <c r="L587" t="b">
        <f>ISNUMBER(_xlfn.XMATCH(CONTROL[[#This Row],[VEHIDCODE]],PROPERTIES[VEHIDCODE],0))</f>
        <v>1</v>
      </c>
      <c r="M587" t="b">
        <f>ISNUMBER(_xlfn.XMATCH(CONTROL[[#This Row],[VEHIDCODE]],#REF!,0))</f>
        <v>0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s="32" t="str">
        <f>"item_"&amp;CONTROL[[#This Row],[VEHIDCODE]]</f>
        <v>item_rbd_Japan_JR_Shikoku_1000</v>
      </c>
      <c r="Q587" s="32" t="str">
        <f>"str_"&amp;CONTROL[[#This Row],[VEHIDCODE]]</f>
        <v>str_rbd_Japan_JR_Shikoku_1000</v>
      </c>
    </row>
    <row r="588" spans="1:17">
      <c r="A588" s="2" t="s">
        <v>611</v>
      </c>
      <c r="B588" s="32" t="str">
        <f>_xlfn.TEXTAFTER(CONTROL[[#This Row],[VEHIDCODE]],"_")</f>
        <v>Japan_JR_KiHa_E120</v>
      </c>
      <c r="C588" t="s">
        <v>719</v>
      </c>
      <c r="D588" t="s">
        <v>936</v>
      </c>
      <c r="E588">
        <v>2040</v>
      </c>
      <c r="F588" t="s">
        <v>1561</v>
      </c>
      <c r="G588" t="s">
        <v>2978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Row],[VEHIDCODE]],#REF!,0))</f>
        <v>0</v>
      </c>
      <c r="L588" t="b">
        <f>ISNUMBER(_xlfn.XMATCH(CONTROL[[#This Row],[VEHIDCODE]],PROPERTIES[VEHIDCODE],0))</f>
        <v>1</v>
      </c>
      <c r="M588" t="b">
        <f>ISNUMBER(_xlfn.XMATCH(CONTROL[[#This Row],[VEHIDCODE]],#REF!,0))</f>
        <v>0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s="32" t="str">
        <f>"item_"&amp;CONTROL[[#This Row],[VEHIDCODE]]</f>
        <v>item_rbd_Japan_JR_KiHa_E120</v>
      </c>
      <c r="Q588" s="32" t="str">
        <f>"str_"&amp;CONTROL[[#This Row],[VEHIDCODE]]</f>
        <v>str_rbd_Japan_JR_KiHa_E120</v>
      </c>
    </row>
    <row r="589" spans="1:17">
      <c r="A589" s="2" t="s">
        <v>612</v>
      </c>
      <c r="B589" s="32" t="str">
        <f>_xlfn.TEXTAFTER(CONTROL[[#This Row],[VEHIDCODE]],"_")</f>
        <v>Chile_EFE_Buscarril</v>
      </c>
      <c r="C589" t="s">
        <v>719</v>
      </c>
      <c r="D589" t="s">
        <v>936</v>
      </c>
      <c r="E589">
        <v>2042</v>
      </c>
      <c r="F589" t="s">
        <v>2299</v>
      </c>
      <c r="G589" t="s">
        <v>1776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Row],[VEHIDCODE]],#REF!,0))</f>
        <v>0</v>
      </c>
      <c r="L589" t="b">
        <f>ISNUMBER(_xlfn.XMATCH(CONTROL[[#This Row],[VEHIDCODE]],PROPERTIES[VEHIDCODE],0))</f>
        <v>1</v>
      </c>
      <c r="M589" t="b">
        <f>ISNUMBER(_xlfn.XMATCH(CONTROL[[#This Row],[VEHIDCODE]],#REF!,0))</f>
        <v>0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s="32" t="str">
        <f>"item_"&amp;CONTROL[[#This Row],[VEHIDCODE]]</f>
        <v>item_rbd_Chile_EFE_Buscarril</v>
      </c>
      <c r="Q589" s="32" t="str">
        <f>"str_"&amp;CONTROL[[#This Row],[VEHIDCODE]]</f>
        <v>str_rbd_Chile_EFE_Buscarril</v>
      </c>
    </row>
    <row r="590" spans="1:17">
      <c r="A590" s="2" t="s">
        <v>613</v>
      </c>
      <c r="B590" s="32" t="str">
        <f>_xlfn.TEXTAFTER(CONTROL[[#This Row],[VEHIDCODE]],"_")</f>
        <v>Argentina_FCPBA_M_Railcar</v>
      </c>
      <c r="C590" t="s">
        <v>719</v>
      </c>
      <c r="D590" t="s">
        <v>936</v>
      </c>
      <c r="E590">
        <v>2043</v>
      </c>
      <c r="F590" t="s">
        <v>1562</v>
      </c>
      <c r="G590" t="s">
        <v>2980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Row],[VEHIDCODE]],#REF!,0))</f>
        <v>0</v>
      </c>
      <c r="L590" t="b">
        <f>ISNUMBER(_xlfn.XMATCH(CONTROL[[#This Row],[VEHIDCODE]],PROPERTIES[VEHIDCODE],0))</f>
        <v>1</v>
      </c>
      <c r="M590" t="b">
        <f>ISNUMBER(_xlfn.XMATCH(CONTROL[[#This Row],[VEHIDCODE]],#REF!,0))</f>
        <v>0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s="32" t="str">
        <f>"item_"&amp;CONTROL[[#This Row],[VEHIDCODE]]</f>
        <v>item_rbd_Argentina_FCPBA_M_Railcar</v>
      </c>
      <c r="Q590" s="32" t="str">
        <f>"str_"&amp;CONTROL[[#This Row],[VEHIDCODE]]</f>
        <v>str_rbd_Argentina_FCPBA_M_Railcar</v>
      </c>
    </row>
    <row r="591" spans="1:17">
      <c r="A591" s="2" t="s">
        <v>614</v>
      </c>
      <c r="B591" s="32" t="str">
        <f>_xlfn.TEXTAFTER(CONTROL[[#This Row],[VEHIDCODE]],"_")</f>
        <v>Eritrea_Eritrean_Railway_A62_70_Littorina</v>
      </c>
      <c r="C591" t="s">
        <v>719</v>
      </c>
      <c r="D591" t="s">
        <v>936</v>
      </c>
      <c r="E591">
        <v>2045</v>
      </c>
      <c r="F591" t="s">
        <v>1563</v>
      </c>
      <c r="G591" t="s">
        <v>2979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Row],[VEHIDCODE]],#REF!,0))</f>
        <v>0</v>
      </c>
      <c r="L591" t="b">
        <f>ISNUMBER(_xlfn.XMATCH(CONTROL[[#This Row],[VEHIDCODE]],PROPERTIES[VEHIDCODE],0))</f>
        <v>1</v>
      </c>
      <c r="M591" t="b">
        <f>ISNUMBER(_xlfn.XMATCH(CONTROL[[#This Row],[VEHIDCODE]],#REF!,0))</f>
        <v>0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s="32" t="str">
        <f>"item_"&amp;CONTROL[[#This Row],[VEHIDCODE]]</f>
        <v>item_rbd_Eritrea_Eritrean_Railway_A62_70_Littorina</v>
      </c>
      <c r="Q591" s="32" t="str">
        <f>"str_"&amp;CONTROL[[#This Row],[VEHIDCODE]]</f>
        <v>str_rbd_Eritrea_Eritrean_Railway_A62_70_Littorina</v>
      </c>
    </row>
    <row r="592" spans="1:17">
      <c r="A592" s="2" t="s">
        <v>615</v>
      </c>
      <c r="B592" s="32" t="str">
        <f>_xlfn.TEXTAFTER(CONTROL[[#This Row],[VEHIDCODE]],"_")</f>
        <v>Switzerland_AB_CFe_3_3</v>
      </c>
      <c r="C592" t="s">
        <v>720</v>
      </c>
      <c r="D592" t="s">
        <v>937</v>
      </c>
      <c r="E592">
        <v>3000</v>
      </c>
      <c r="F592" t="s">
        <v>1564</v>
      </c>
      <c r="G592" t="s">
        <v>2981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Row],[VEHIDCODE]],#REF!,0))</f>
        <v>0</v>
      </c>
      <c r="L592" t="b">
        <f>ISNUMBER(_xlfn.XMATCH(CONTROL[[#This Row],[VEHIDCODE]],PROPERTIES[VEHIDCODE],0))</f>
        <v>1</v>
      </c>
      <c r="M592" t="b">
        <f>ISNUMBER(_xlfn.XMATCH(CONTROL[[#This Row],[VEHIDCODE]],#REF!,0))</f>
        <v>0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s="32" t="str">
        <f>"item_"&amp;CONTROL[[#This Row],[VEHIDCODE]]</f>
        <v>item_rbe_Switzerland_AB_CFe_3_3</v>
      </c>
      <c r="Q592" s="32" t="str">
        <f>"str_"&amp;CONTROL[[#This Row],[VEHIDCODE]]</f>
        <v>str_rbe_Switzerland_AB_CFe_3_3</v>
      </c>
    </row>
    <row r="593" spans="1:17">
      <c r="A593" s="2" t="s">
        <v>616</v>
      </c>
      <c r="B593" s="32" t="str">
        <f>_xlfn.TEXTAFTER(CONTROL[[#This Row],[VEHIDCODE]],"_")</f>
        <v>Switzerland_TPC_BVB_Be_2_2</v>
      </c>
      <c r="C593" t="s">
        <v>720</v>
      </c>
      <c r="D593" t="s">
        <v>937</v>
      </c>
      <c r="E593">
        <v>3006</v>
      </c>
      <c r="F593" t="s">
        <v>1565</v>
      </c>
      <c r="G593" t="s">
        <v>1776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Row],[VEHIDCODE]],#REF!,0))</f>
        <v>0</v>
      </c>
      <c r="L593" t="b">
        <f>ISNUMBER(_xlfn.XMATCH(CONTROL[[#This Row],[VEHIDCODE]],PROPERTIES[VEHIDCODE],0))</f>
        <v>1</v>
      </c>
      <c r="M593" t="b">
        <f>ISNUMBER(_xlfn.XMATCH(CONTROL[[#This Row],[VEHIDCODE]],#REF!,0))</f>
        <v>0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s="32" t="str">
        <f>"item_"&amp;CONTROL[[#This Row],[VEHIDCODE]]</f>
        <v>item_rbe_Switzerland_TPC_BVB_Be_2_2</v>
      </c>
      <c r="Q593" s="32" t="str">
        <f>"str_"&amp;CONTROL[[#This Row],[VEHIDCODE]]</f>
        <v>str_rbe_Switzerland_TPC_BVB_Be_2_2</v>
      </c>
    </row>
    <row r="594" spans="1:17">
      <c r="A594" s="2" t="s">
        <v>617</v>
      </c>
      <c r="B594" s="32" t="str">
        <f>_xlfn.TEXTAFTER(CONTROL[[#This Row],[VEHIDCODE]],"_")</f>
        <v>Switzerland_MVR_Beh_2_4</v>
      </c>
      <c r="C594" t="s">
        <v>720</v>
      </c>
      <c r="D594" t="s">
        <v>937</v>
      </c>
      <c r="E594">
        <v>3016</v>
      </c>
      <c r="F594" t="s">
        <v>1566</v>
      </c>
      <c r="G594" t="s">
        <v>2982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Row],[VEHIDCODE]],#REF!,0))</f>
        <v>0</v>
      </c>
      <c r="L594" t="b">
        <f>ISNUMBER(_xlfn.XMATCH(CONTROL[[#This Row],[VEHIDCODE]],PROPERTIES[VEHIDCODE],0))</f>
        <v>1</v>
      </c>
      <c r="M594" t="b">
        <f>ISNUMBER(_xlfn.XMATCH(CONTROL[[#This Row],[VEHIDCODE]],#REF!,0))</f>
        <v>0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s="32" t="str">
        <f>"item_"&amp;CONTROL[[#This Row],[VEHIDCODE]]</f>
        <v>item_rbe_Switzerland_MVR_Beh_2_4</v>
      </c>
      <c r="Q594" s="32" t="str">
        <f>"str_"&amp;CONTROL[[#This Row],[VEHIDCODE]]</f>
        <v>str_rbe_Switzerland_MVR_Beh_2_4</v>
      </c>
    </row>
    <row r="595" spans="1:17">
      <c r="A595" s="2" t="s">
        <v>618</v>
      </c>
      <c r="B595" s="32" t="str">
        <f>_xlfn.TEXTAFTER(CONTROL[[#This Row],[VEHIDCODE]],"_")</f>
        <v>Spain_Ferrocarril_de_Soller_1_3</v>
      </c>
      <c r="C595" t="s">
        <v>720</v>
      </c>
      <c r="D595" t="s">
        <v>937</v>
      </c>
      <c r="E595">
        <v>3007</v>
      </c>
      <c r="F595" t="s">
        <v>1567</v>
      </c>
      <c r="G595" t="s">
        <v>2983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Row],[VEHIDCODE]],#REF!,0))</f>
        <v>0</v>
      </c>
      <c r="L595" t="b">
        <f>ISNUMBER(_xlfn.XMATCH(CONTROL[[#This Row],[VEHIDCODE]],PROPERTIES[VEHIDCODE],0))</f>
        <v>1</v>
      </c>
      <c r="M595" t="b">
        <f>ISNUMBER(_xlfn.XMATCH(CONTROL[[#This Row],[VEHIDCODE]],#REF!,0))</f>
        <v>0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s="32" t="str">
        <f>"item_"&amp;CONTROL[[#This Row],[VEHIDCODE]]</f>
        <v>item_rbe_Spain_Ferrocarril_de_Soller_1_3</v>
      </c>
      <c r="Q595" s="32" t="str">
        <f>"str_"&amp;CONTROL[[#This Row],[VEHIDCODE]]</f>
        <v>str_rbe_Spain_Ferrocarril_de_Soller_1_3</v>
      </c>
    </row>
    <row r="596" spans="1:17">
      <c r="A596" s="2" t="s">
        <v>619</v>
      </c>
      <c r="B596" s="32" t="str">
        <f>_xlfn.TEXTAFTER(CONTROL[[#This Row],[VEHIDCODE]],"_")</f>
        <v>Japan_Choshi_DeHa_1000</v>
      </c>
      <c r="C596" t="s">
        <v>720</v>
      </c>
      <c r="D596" t="s">
        <v>937</v>
      </c>
      <c r="E596">
        <v>3011</v>
      </c>
      <c r="F596" t="s">
        <v>1568</v>
      </c>
      <c r="G596" t="s">
        <v>2984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Row],[VEHIDCODE]],#REF!,0))</f>
        <v>0</v>
      </c>
      <c r="L596" t="b">
        <f>ISNUMBER(_xlfn.XMATCH(CONTROL[[#This Row],[VEHIDCODE]],PROPERTIES[VEHIDCODE],0))</f>
        <v>1</v>
      </c>
      <c r="M596" t="b">
        <f>ISNUMBER(_xlfn.XMATCH(CONTROL[[#This Row],[VEHIDCODE]],#REF!,0))</f>
        <v>0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s="32" t="str">
        <f>"item_"&amp;CONTROL[[#This Row],[VEHIDCODE]]</f>
        <v>item_rbe_Japan_Choshi_DeHa_1000</v>
      </c>
      <c r="Q596" s="32" t="str">
        <f>"str_"&amp;CONTROL[[#This Row],[VEHIDCODE]]</f>
        <v>str_rbe_Japan_Choshi_DeHa_1000</v>
      </c>
    </row>
    <row r="597" spans="1:17">
      <c r="A597" s="2" t="s">
        <v>620</v>
      </c>
      <c r="B597" s="32" t="str">
        <f>_xlfn.TEXTAFTER(CONTROL[[#This Row],[VEHIDCODE]],"_")</f>
        <v>Switzerland_RhB_G_3_4</v>
      </c>
      <c r="C597" t="s">
        <v>721</v>
      </c>
      <c r="D597" t="s">
        <v>939</v>
      </c>
      <c r="E597">
        <v>4049</v>
      </c>
      <c r="F597" t="s">
        <v>1569</v>
      </c>
      <c r="G597" t="s">
        <v>2985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Row],[VEHIDCODE]],#REF!,0))</f>
        <v>0</v>
      </c>
      <c r="L597" t="b">
        <f>ISNUMBER(_xlfn.XMATCH(CONTROL[[#This Row],[VEHIDCODE]],PROPERTIES[VEHIDCODE],0))</f>
        <v>1</v>
      </c>
      <c r="M597" t="b">
        <f>ISNUMBER(_xlfn.XMATCH(CONTROL[[#This Row],[VEHIDCODE]],#REF!,0))</f>
        <v>0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s="32" t="str">
        <f>"item_"&amp;CONTROL[[#This Row],[VEHIDCODE]]</f>
        <v>item_steam_Switzerland_RhB_G_3_4</v>
      </c>
      <c r="Q597" s="32" t="str">
        <f>"str_"&amp;CONTROL[[#This Row],[VEHIDCODE]]</f>
        <v>str_steam_Switzerland_RhB_G_3_4</v>
      </c>
    </row>
    <row r="598" spans="1:17">
      <c r="A598" s="2" t="s">
        <v>621</v>
      </c>
      <c r="B598" s="32" t="str">
        <f>_xlfn.TEXTAFTER(CONTROL[[#This Row],[VEHIDCODE]],"_")</f>
        <v>Japan_JNR_Class_E10</v>
      </c>
      <c r="C598" t="s">
        <v>721</v>
      </c>
      <c r="D598" t="s">
        <v>939</v>
      </c>
      <c r="E598">
        <v>4067</v>
      </c>
      <c r="F598" t="s">
        <v>1570</v>
      </c>
      <c r="G598" t="s">
        <v>2986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Row],[VEHIDCODE]],#REF!,0))</f>
        <v>0</v>
      </c>
      <c r="L598" t="b">
        <f>ISNUMBER(_xlfn.XMATCH(CONTROL[[#This Row],[VEHIDCODE]],PROPERTIES[VEHIDCODE],0))</f>
        <v>1</v>
      </c>
      <c r="M598" t="b">
        <f>ISNUMBER(_xlfn.XMATCH(CONTROL[[#This Row],[VEHIDCODE]],#REF!,0))</f>
        <v>0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s="32" t="str">
        <f>"item_"&amp;CONTROL[[#This Row],[VEHIDCODE]]</f>
        <v>item_steam_Japan_JNR_Class_E10</v>
      </c>
      <c r="Q598" s="32" t="str">
        <f>"str_"&amp;CONTROL[[#This Row],[VEHIDCODE]]</f>
        <v>str_steam_Japan_JNR_Class_E10</v>
      </c>
    </row>
    <row r="599" spans="1:17">
      <c r="A599" s="2" t="s">
        <v>622</v>
      </c>
      <c r="B599" s="32" t="str">
        <f>_xlfn.TEXTAFTER(CONTROL[[#This Row],[VEHIDCODE]],"_")</f>
        <v>Japan_JNR_7100</v>
      </c>
      <c r="C599" t="s">
        <v>721</v>
      </c>
      <c r="D599" t="s">
        <v>939</v>
      </c>
      <c r="E599">
        <v>4075</v>
      </c>
      <c r="F599" t="s">
        <v>1571</v>
      </c>
      <c r="G599" t="s">
        <v>2987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Row],[VEHIDCODE]],#REF!,0))</f>
        <v>0</v>
      </c>
      <c r="L599" t="b">
        <f>ISNUMBER(_xlfn.XMATCH(CONTROL[[#This Row],[VEHIDCODE]],PROPERTIES[VEHIDCODE],0))</f>
        <v>1</v>
      </c>
      <c r="M599" t="b">
        <f>ISNUMBER(_xlfn.XMATCH(CONTROL[[#This Row],[VEHIDCODE]],#REF!,0))</f>
        <v>0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s="32" t="str">
        <f>"item_"&amp;CONTROL[[#This Row],[VEHIDCODE]]</f>
        <v>item_steam_Japan_JNR_7100</v>
      </c>
      <c r="Q599" s="32" t="str">
        <f>"str_"&amp;CONTROL[[#This Row],[VEHIDCODE]]</f>
        <v>str_steam_Japan_JNR_7100</v>
      </c>
    </row>
    <row r="600" spans="1:17">
      <c r="A600" s="2" t="s">
        <v>623</v>
      </c>
      <c r="B600" s="32" t="str">
        <f>_xlfn.TEXTAFTER(CONTROL[[#This Row],[VEHIDCODE]],"_")</f>
        <v>Japan_JNR_860</v>
      </c>
      <c r="C600" t="s">
        <v>721</v>
      </c>
      <c r="D600" t="s">
        <v>939</v>
      </c>
      <c r="E600">
        <v>4077</v>
      </c>
      <c r="F600" t="s">
        <v>1572</v>
      </c>
      <c r="G600" t="s">
        <v>2988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Row],[VEHIDCODE]],#REF!,0))</f>
        <v>0</v>
      </c>
      <c r="L600" t="b">
        <f>ISNUMBER(_xlfn.XMATCH(CONTROL[[#This Row],[VEHIDCODE]],PROPERTIES[VEHIDCODE],0))</f>
        <v>1</v>
      </c>
      <c r="M600" t="b">
        <f>ISNUMBER(_xlfn.XMATCH(CONTROL[[#This Row],[VEHIDCODE]],#REF!,0))</f>
        <v>0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s="32" t="str">
        <f>"item_"&amp;CONTROL[[#This Row],[VEHIDCODE]]</f>
        <v>item_steam_Japan_JNR_860</v>
      </c>
      <c r="Q600" s="32" t="str">
        <f>"str_"&amp;CONTROL[[#This Row],[VEHIDCODE]]</f>
        <v>str_steam_Japan_JNR_860</v>
      </c>
    </row>
    <row r="601" spans="1:17">
      <c r="A601" s="2" t="s">
        <v>624</v>
      </c>
      <c r="B601" s="32" t="str">
        <f>_xlfn.TEXTAFTER(CONTROL[[#This Row],[VEHIDCODE]],"_")</f>
        <v>Japan_JNR_9600</v>
      </c>
      <c r="C601" t="s">
        <v>721</v>
      </c>
      <c r="D601" t="s">
        <v>939</v>
      </c>
      <c r="E601">
        <v>4086</v>
      </c>
      <c r="F601" t="s">
        <v>1573</v>
      </c>
      <c r="G601" t="s">
        <v>2989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Row],[VEHIDCODE]],#REF!,0))</f>
        <v>0</v>
      </c>
      <c r="L601" t="b">
        <f>ISNUMBER(_xlfn.XMATCH(CONTROL[[#This Row],[VEHIDCODE]],PROPERTIES[VEHIDCODE],0))</f>
        <v>1</v>
      </c>
      <c r="M601" t="b">
        <f>ISNUMBER(_xlfn.XMATCH(CONTROL[[#This Row],[VEHIDCODE]],#REF!,0))</f>
        <v>0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s="32" t="str">
        <f>"item_"&amp;CONTROL[[#This Row],[VEHIDCODE]]</f>
        <v>item_steam_Japan_JNR_9600</v>
      </c>
      <c r="Q601" s="32" t="str">
        <f>"str_"&amp;CONTROL[[#This Row],[VEHIDCODE]]</f>
        <v>str_steam_Japan_JNR_9600</v>
      </c>
    </row>
    <row r="602" spans="1:17">
      <c r="A602" s="2" t="s">
        <v>625</v>
      </c>
      <c r="B602" s="32" t="str">
        <f>_xlfn.TEXTAFTER(CONTROL[[#This Row],[VEHIDCODE]],"_")</f>
        <v>Japan_JNR_D50</v>
      </c>
      <c r="C602" t="s">
        <v>721</v>
      </c>
      <c r="D602" t="s">
        <v>939</v>
      </c>
      <c r="E602">
        <v>4111</v>
      </c>
      <c r="F602" t="s">
        <v>1574</v>
      </c>
      <c r="G602" t="s">
        <v>2990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Row],[VEHIDCODE]],#REF!,0))</f>
        <v>0</v>
      </c>
      <c r="L602" t="b">
        <f>ISNUMBER(_xlfn.XMATCH(CONTROL[[#This Row],[VEHIDCODE]],PROPERTIES[VEHIDCODE],0))</f>
        <v>1</v>
      </c>
      <c r="M602" t="b">
        <f>ISNUMBER(_xlfn.XMATCH(CONTROL[[#This Row],[VEHIDCODE]],#REF!,0))</f>
        <v>0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s="32" t="str">
        <f>"item_"&amp;CONTROL[[#This Row],[VEHIDCODE]]</f>
        <v>item_steam_Japan_JNR_D50</v>
      </c>
      <c r="Q602" s="32" t="str">
        <f>"str_"&amp;CONTROL[[#This Row],[VEHIDCODE]]</f>
        <v>str_steam_Japan_JNR_D50</v>
      </c>
    </row>
    <row r="603" spans="1:17">
      <c r="A603" s="2" t="s">
        <v>626</v>
      </c>
      <c r="B603" s="32" t="str">
        <f>_xlfn.TEXTAFTER(CONTROL[[#This Row],[VEHIDCODE]],"_")</f>
        <v>Japan_JNR_DF50</v>
      </c>
      <c r="C603" t="s">
        <v>722</v>
      </c>
      <c r="D603" t="s">
        <v>941</v>
      </c>
      <c r="E603">
        <v>5082</v>
      </c>
      <c r="F603" t="s">
        <v>1575</v>
      </c>
      <c r="G603" t="s">
        <v>2991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Row],[VEHIDCODE]],#REF!,0))</f>
        <v>0</v>
      </c>
      <c r="L603" t="b">
        <f>ISNUMBER(_xlfn.XMATCH(CONTROL[[#This Row],[VEHIDCODE]],PROPERTIES[VEHIDCODE],0))</f>
        <v>1</v>
      </c>
      <c r="M603" t="b">
        <f>ISNUMBER(_xlfn.XMATCH(CONTROL[[#This Row],[VEHIDCODE]],#REF!,0))</f>
        <v>0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s="32" t="str">
        <f>"item_"&amp;CONTROL[[#This Row],[VEHIDCODE]]</f>
        <v>item_diesel_Japan_JNR_DF50</v>
      </c>
      <c r="Q603" s="32" t="str">
        <f>"str_"&amp;CONTROL[[#This Row],[VEHIDCODE]]</f>
        <v>str_diesel_Japan_JNR_DF50</v>
      </c>
    </row>
    <row r="604" spans="1:17">
      <c r="A604" s="2" t="s">
        <v>627</v>
      </c>
      <c r="B604" s="32" t="str">
        <f>_xlfn.TEXTAFTER(CONTROL[[#This Row],[VEHIDCODE]],"_")</f>
        <v>Switzerland_RhB_DE_2_2</v>
      </c>
      <c r="C604" t="s">
        <v>723</v>
      </c>
      <c r="D604" t="s">
        <v>943</v>
      </c>
      <c r="E604">
        <v>6000</v>
      </c>
      <c r="F604" t="s">
        <v>1576</v>
      </c>
      <c r="G604" t="s">
        <v>2992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Row],[VEHIDCODE]],#REF!,0))</f>
        <v>0</v>
      </c>
      <c r="L604" t="b">
        <f>ISNUMBER(_xlfn.XMATCH(CONTROL[[#This Row],[VEHIDCODE]],PROPERTIES[VEHIDCODE],0))</f>
        <v>1</v>
      </c>
      <c r="M604" t="b">
        <f>ISNUMBER(_xlfn.XMATCH(CONTROL[[#This Row],[VEHIDCODE]],#REF!,0))</f>
        <v>0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s="32" t="str">
        <f>"item_"&amp;CONTROL[[#This Row],[VEHIDCODE]]</f>
        <v>item_electric_Switzerland_RhB_DE_2_2</v>
      </c>
      <c r="Q604" s="32" t="str">
        <f>"str_"&amp;CONTROL[[#This Row],[VEHIDCODE]]</f>
        <v>str_electric_Switzerland_RhB_DE_2_2</v>
      </c>
    </row>
    <row r="605" spans="1:17">
      <c r="A605" s="2" t="s">
        <v>628</v>
      </c>
      <c r="B605" s="32" t="str">
        <f>_xlfn.TEXTAFTER(CONTROL[[#This Row],[VEHIDCODE]],"_")</f>
        <v>Japan_JNR_EH10</v>
      </c>
      <c r="C605" t="s">
        <v>723</v>
      </c>
      <c r="D605" t="s">
        <v>943</v>
      </c>
      <c r="E605">
        <v>6081</v>
      </c>
      <c r="F605" t="s">
        <v>1577</v>
      </c>
      <c r="G605" t="s">
        <v>2993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Row],[VEHIDCODE]],#REF!,0))</f>
        <v>0</v>
      </c>
      <c r="L605" t="b">
        <f>ISNUMBER(_xlfn.XMATCH(CONTROL[[#This Row],[VEHIDCODE]],PROPERTIES[VEHIDCODE],0))</f>
        <v>1</v>
      </c>
      <c r="M605" t="b">
        <f>ISNUMBER(_xlfn.XMATCH(CONTROL[[#This Row],[VEHIDCODE]],#REF!,0))</f>
        <v>0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s="32" t="str">
        <f>"item_"&amp;CONTROL[[#This Row],[VEHIDCODE]]</f>
        <v>item_electric_Japan_JNR_EH10</v>
      </c>
      <c r="Q605" s="32" t="str">
        <f>"str_"&amp;CONTROL[[#This Row],[VEHIDCODE]]</f>
        <v>str_electric_Japan_JNR_EH10</v>
      </c>
    </row>
    <row r="606" spans="1:17">
      <c r="A606" s="2" t="s">
        <v>629</v>
      </c>
      <c r="B606" s="32" t="str">
        <f>_xlfn.TEXTAFTER(CONTROL[[#This Row],[VEHIDCODE]],"_")</f>
        <v>Japan_JNR_EF64</v>
      </c>
      <c r="C606" t="s">
        <v>723</v>
      </c>
      <c r="D606" t="s">
        <v>943</v>
      </c>
      <c r="E606">
        <v>6029</v>
      </c>
      <c r="F606" t="s">
        <v>1578</v>
      </c>
      <c r="G606" t="s">
        <v>2994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Row],[VEHIDCODE]],#REF!,0))</f>
        <v>0</v>
      </c>
      <c r="L606" t="b">
        <f>ISNUMBER(_xlfn.XMATCH(CONTROL[[#This Row],[VEHIDCODE]],PROPERTIES[VEHIDCODE],0))</f>
        <v>1</v>
      </c>
      <c r="M606" t="b">
        <f>ISNUMBER(_xlfn.XMATCH(CONTROL[[#This Row],[VEHIDCODE]],#REF!,0))</f>
        <v>0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s="32" t="str">
        <f>"item_"&amp;CONTROL[[#This Row],[VEHIDCODE]]</f>
        <v>item_electric_Japan_JNR_EF64</v>
      </c>
      <c r="Q606" s="32" t="str">
        <f>"str_"&amp;CONTROL[[#This Row],[VEHIDCODE]]</f>
        <v>str_electric_Japan_JNR_EF64</v>
      </c>
    </row>
    <row r="607" spans="1:17">
      <c r="A607" s="2" t="s">
        <v>630</v>
      </c>
      <c r="B607" s="32" t="str">
        <f>_xlfn.TEXTAFTER(CONTROL[[#This Row],[VEHIDCODE]],"_")</f>
        <v>New_Zealand_NZR_EO_Class</v>
      </c>
      <c r="C607" t="s">
        <v>723</v>
      </c>
      <c r="D607" t="s">
        <v>943</v>
      </c>
      <c r="E607">
        <v>6073</v>
      </c>
      <c r="F607" t="s">
        <v>1579</v>
      </c>
      <c r="G607" t="s">
        <v>2995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Row],[VEHIDCODE]],#REF!,0))</f>
        <v>0</v>
      </c>
      <c r="L607" t="b">
        <f>ISNUMBER(_xlfn.XMATCH(CONTROL[[#This Row],[VEHIDCODE]],PROPERTIES[VEHIDCODE],0))</f>
        <v>1</v>
      </c>
      <c r="M607" t="b">
        <f>ISNUMBER(_xlfn.XMATCH(CONTROL[[#This Row],[VEHIDCODE]],#REF!,0))</f>
        <v>0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s="32" t="str">
        <f>"item_"&amp;CONTROL[[#This Row],[VEHIDCODE]]</f>
        <v>item_electric_New_Zealand_NZR_EO_Class</v>
      </c>
      <c r="Q607" s="32" t="str">
        <f>"str_"&amp;CONTROL[[#This Row],[VEHIDCODE]]</f>
        <v>str_electric_New_Zealand_NZR_EO_Class</v>
      </c>
    </row>
    <row r="608" spans="1:17">
      <c r="A608" s="2" t="s">
        <v>631</v>
      </c>
      <c r="B608" s="32" t="str">
        <f>_xlfn.TEXTAFTER(CONTROL[[#This Row],[VEHIDCODE]],"_")</f>
        <v>Australia_NSWGR_71</v>
      </c>
      <c r="C608" t="s">
        <v>723</v>
      </c>
      <c r="D608" t="s">
        <v>943</v>
      </c>
      <c r="E608">
        <v>6079</v>
      </c>
      <c r="F608" t="s">
        <v>1580</v>
      </c>
      <c r="G608" t="s">
        <v>2996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Row],[VEHIDCODE]],#REF!,0))</f>
        <v>0</v>
      </c>
      <c r="L608" t="b">
        <f>ISNUMBER(_xlfn.XMATCH(CONTROL[[#This Row],[VEHIDCODE]],PROPERTIES[VEHIDCODE],0))</f>
        <v>1</v>
      </c>
      <c r="M608" t="b">
        <f>ISNUMBER(_xlfn.XMATCH(CONTROL[[#This Row],[VEHIDCODE]],#REF!,0))</f>
        <v>0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s="32" t="str">
        <f>"item_"&amp;CONTROL[[#This Row],[VEHIDCODE]]</f>
        <v>item_electric_Australia_NSWGR_71</v>
      </c>
      <c r="Q608" s="32" t="str">
        <f>"str_"&amp;CONTROL[[#This Row],[VEHIDCODE]]</f>
        <v>str_electric_Australia_NSWGR_71</v>
      </c>
    </row>
    <row r="609" spans="1:17">
      <c r="A609" s="2" t="s">
        <v>632</v>
      </c>
      <c r="B609" s="32" t="str">
        <f>_xlfn.TEXTAFTER(CONTROL[[#This Row],[VEHIDCODE]],"_")</f>
        <v>South_Africa_SAR_4E</v>
      </c>
      <c r="C609" t="s">
        <v>723</v>
      </c>
      <c r="D609" t="s">
        <v>943</v>
      </c>
      <c r="E609">
        <v>6080</v>
      </c>
      <c r="F609" t="s">
        <v>1581</v>
      </c>
      <c r="G609" t="s">
        <v>2997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Row],[VEHIDCODE]],#REF!,0))</f>
        <v>0</v>
      </c>
      <c r="L609" t="b">
        <f>ISNUMBER(_xlfn.XMATCH(CONTROL[[#This Row],[VEHIDCODE]],PROPERTIES[VEHIDCODE],0))</f>
        <v>1</v>
      </c>
      <c r="M609" t="b">
        <f>ISNUMBER(_xlfn.XMATCH(CONTROL[[#This Row],[VEHIDCODE]],#REF!,0))</f>
        <v>0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s="32" t="str">
        <f>"item_"&amp;CONTROL[[#This Row],[VEHIDCODE]]</f>
        <v>item_electric_South_Africa_SAR_4E</v>
      </c>
      <c r="Q609" s="32" t="str">
        <f>"str_"&amp;CONTROL[[#This Row],[VEHIDCODE]]</f>
        <v>str_electric_South_Africa_SAR_4E</v>
      </c>
    </row>
    <row r="610" spans="1:17">
      <c r="A610" s="2" t="s">
        <v>633</v>
      </c>
      <c r="B610" s="32" t="str">
        <f>_xlfn.TEXTAFTER(CONTROL[[#This Row],[VEHIDCODE]],"_")</f>
        <v>South_Africa_SAR_5E1</v>
      </c>
      <c r="C610" t="s">
        <v>723</v>
      </c>
      <c r="D610" t="s">
        <v>943</v>
      </c>
      <c r="E610">
        <v>6088</v>
      </c>
      <c r="F610" t="s">
        <v>1582</v>
      </c>
      <c r="G610" t="s">
        <v>2998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Row],[VEHIDCODE]],#REF!,0))</f>
        <v>0</v>
      </c>
      <c r="L610" t="b">
        <f>ISNUMBER(_xlfn.XMATCH(CONTROL[[#This Row],[VEHIDCODE]],PROPERTIES[VEHIDCODE],0))</f>
        <v>1</v>
      </c>
      <c r="M610" t="b">
        <f>ISNUMBER(_xlfn.XMATCH(CONTROL[[#This Row],[VEHIDCODE]],#REF!,0))</f>
        <v>0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s="32" t="str">
        <f>"item_"&amp;CONTROL[[#This Row],[VEHIDCODE]]</f>
        <v>item_electric_South_Africa_SAR_5E1</v>
      </c>
      <c r="Q610" s="32" t="str">
        <f>"str_"&amp;CONTROL[[#This Row],[VEHIDCODE]]</f>
        <v>str_electric_South_Africa_SAR_5E1</v>
      </c>
    </row>
    <row r="611" spans="1:17">
      <c r="A611" s="2" t="s">
        <v>634</v>
      </c>
      <c r="B611" s="32" t="str">
        <f>_xlfn.TEXTAFTER(CONTROL[[#This Row],[VEHIDCODE]],"_")</f>
        <v>South_Africa_SAR_6E</v>
      </c>
      <c r="C611" t="s">
        <v>723</v>
      </c>
      <c r="D611" t="s">
        <v>943</v>
      </c>
      <c r="E611">
        <v>6033</v>
      </c>
      <c r="F611" t="s">
        <v>1583</v>
      </c>
      <c r="G611" t="s">
        <v>2999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Row],[VEHIDCODE]],#REF!,0))</f>
        <v>0</v>
      </c>
      <c r="L611" t="b">
        <f>ISNUMBER(_xlfn.XMATCH(CONTROL[[#This Row],[VEHIDCODE]],PROPERTIES[VEHIDCODE],0))</f>
        <v>1</v>
      </c>
      <c r="M611" t="b">
        <f>ISNUMBER(_xlfn.XMATCH(CONTROL[[#This Row],[VEHIDCODE]],#REF!,0))</f>
        <v>0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s="32" t="str">
        <f>"item_"&amp;CONTROL[[#This Row],[VEHIDCODE]]</f>
        <v>item_electric_South_Africa_SAR_6E</v>
      </c>
      <c r="Q611" s="32" t="str">
        <f>"str_"&amp;CONTROL[[#This Row],[VEHIDCODE]]</f>
        <v>str_electric_South_Africa_SAR_6E</v>
      </c>
    </row>
    <row r="612" spans="1:17">
      <c r="A612" s="2" t="s">
        <v>635</v>
      </c>
      <c r="B612" s="32" t="str">
        <f>_xlfn.TEXTAFTER(CONTROL[[#This Row],[VEHIDCODE]],"_")</f>
        <v>Switzerland_RhB_Ge_4_4_I</v>
      </c>
      <c r="C612" t="s">
        <v>723</v>
      </c>
      <c r="D612" t="s">
        <v>943</v>
      </c>
      <c r="E612">
        <v>6078</v>
      </c>
      <c r="F612" t="s">
        <v>1584</v>
      </c>
      <c r="G612" t="s">
        <v>3002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Row],[VEHIDCODE]],#REF!,0))</f>
        <v>0</v>
      </c>
      <c r="L612" t="b">
        <f>ISNUMBER(_xlfn.XMATCH(CONTROL[[#This Row],[VEHIDCODE]],PROPERTIES[VEHIDCODE],0))</f>
        <v>1</v>
      </c>
      <c r="M612" t="b">
        <f>ISNUMBER(_xlfn.XMATCH(CONTROL[[#This Row],[VEHIDCODE]],#REF!,0))</f>
        <v>0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s="32" t="str">
        <f>"item_"&amp;CONTROL[[#This Row],[VEHIDCODE]]</f>
        <v>item_electric_Switzerland_RhB_Ge_4_4_I</v>
      </c>
      <c r="Q612" s="32" t="str">
        <f>"str_"&amp;CONTROL[[#This Row],[VEHIDCODE]]</f>
        <v>str_electric_Switzerland_RhB_Ge_4_4_I</v>
      </c>
    </row>
    <row r="613" spans="1:17">
      <c r="A613" s="2" t="s">
        <v>636</v>
      </c>
      <c r="B613" s="32" t="str">
        <f>_xlfn.TEXTAFTER(CONTROL[[#This Row],[VEHIDCODE]],"_")</f>
        <v>Switzerland_RhB_Ge_6_6_Krokodil</v>
      </c>
      <c r="C613" t="s">
        <v>723</v>
      </c>
      <c r="D613" t="s">
        <v>943</v>
      </c>
      <c r="E613">
        <v>6070</v>
      </c>
      <c r="F613" t="s">
        <v>1585</v>
      </c>
      <c r="G613" t="s">
        <v>3003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Row],[VEHIDCODE]],#REF!,0))</f>
        <v>0</v>
      </c>
      <c r="L613" t="b">
        <f>ISNUMBER(_xlfn.XMATCH(CONTROL[[#This Row],[VEHIDCODE]],PROPERTIES[VEHIDCODE],0))</f>
        <v>1</v>
      </c>
      <c r="M613" t="b">
        <f>ISNUMBER(_xlfn.XMATCH(CONTROL[[#This Row],[VEHIDCODE]],#REF!,0))</f>
        <v>0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s="32" t="str">
        <f>"item_"&amp;CONTROL[[#This Row],[VEHIDCODE]]</f>
        <v>item_electric_Switzerland_RhB_Ge_6_6_Krokodil</v>
      </c>
      <c r="Q613" s="32" t="str">
        <f>"str_"&amp;CONTROL[[#This Row],[VEHIDCODE]]</f>
        <v>str_electric_Switzerland_RhB_Ge_6_6_Krokodil</v>
      </c>
    </row>
    <row r="614" spans="1:17">
      <c r="A614" s="2" t="s">
        <v>637</v>
      </c>
      <c r="B614" s="32" t="str">
        <f>_xlfn.TEXTAFTER(CONTROL[[#This Row],[VEHIDCODE]],"_")</f>
        <v>Brasil_MRS_He_4_4</v>
      </c>
      <c r="C614" t="s">
        <v>723</v>
      </c>
      <c r="D614" t="s">
        <v>943</v>
      </c>
      <c r="E614">
        <v>6133</v>
      </c>
      <c r="F614" t="s">
        <v>3004</v>
      </c>
      <c r="G614" t="s">
        <v>1776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Row],[VEHIDCODE]],#REF!,0))</f>
        <v>0</v>
      </c>
      <c r="L614" t="b">
        <f>ISNUMBER(_xlfn.XMATCH(CONTROL[[#This Row],[VEHIDCODE]],PROPERTIES[VEHIDCODE],0))</f>
        <v>1</v>
      </c>
      <c r="M614" t="b">
        <f>ISNUMBER(_xlfn.XMATCH(CONTROL[[#This Row],[VEHIDCODE]],#REF!,0))</f>
        <v>0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s="32" t="str">
        <f>"item_"&amp;CONTROL[[#This Row],[VEHIDCODE]]</f>
        <v>item_electric_Brasil_MRS_He_4_4</v>
      </c>
      <c r="Q614" s="32" t="str">
        <f>"str_"&amp;CONTROL[[#This Row],[VEHIDCODE]]</f>
        <v>str_electric_Brasil_MRS_He_4_4</v>
      </c>
    </row>
    <row r="615" spans="1:17">
      <c r="A615" s="2" t="s">
        <v>638</v>
      </c>
      <c r="B615" s="32" t="str">
        <f>_xlfn.TEXTAFTER(CONTROL[[#This Row],[VEHIDCODE]],"_")</f>
        <v>South_Africa_SAR_7E</v>
      </c>
      <c r="C615" t="s">
        <v>723</v>
      </c>
      <c r="D615" t="s">
        <v>943</v>
      </c>
      <c r="E615">
        <v>6128</v>
      </c>
      <c r="F615" t="s">
        <v>1586</v>
      </c>
      <c r="G615" t="s">
        <v>3000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Row],[VEHIDCODE]],#REF!,0))</f>
        <v>0</v>
      </c>
      <c r="L615" t="b">
        <f>ISNUMBER(_xlfn.XMATCH(CONTROL[[#This Row],[VEHIDCODE]],PROPERTIES[VEHIDCODE],0))</f>
        <v>1</v>
      </c>
      <c r="M615" t="b">
        <f>ISNUMBER(_xlfn.XMATCH(CONTROL[[#This Row],[VEHIDCODE]],#REF!,0))</f>
        <v>0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s="32" t="str">
        <f>"item_"&amp;CONTROL[[#This Row],[VEHIDCODE]]</f>
        <v>item_electric_South_Africa_SAR_7E</v>
      </c>
      <c r="Q615" s="32" t="str">
        <f>"str_"&amp;CONTROL[[#This Row],[VEHIDCODE]]</f>
        <v>str_electric_South_Africa_SAR_7E</v>
      </c>
    </row>
    <row r="616" spans="1:17">
      <c r="A616" s="2" t="s">
        <v>639</v>
      </c>
      <c r="B616" s="32" t="str">
        <f>_xlfn.TEXTAFTER(CONTROL[[#This Row],[VEHIDCODE]],"_")</f>
        <v>South_Africa_SAR_11E</v>
      </c>
      <c r="C616" t="s">
        <v>723</v>
      </c>
      <c r="D616" t="s">
        <v>943</v>
      </c>
      <c r="E616">
        <v>6130</v>
      </c>
      <c r="F616" t="s">
        <v>1587</v>
      </c>
      <c r="G616" t="s">
        <v>3001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Row],[VEHIDCODE]],#REF!,0))</f>
        <v>0</v>
      </c>
      <c r="L616" t="b">
        <f>ISNUMBER(_xlfn.XMATCH(CONTROL[[#This Row],[VEHIDCODE]],PROPERTIES[VEHIDCODE],0))</f>
        <v>1</v>
      </c>
      <c r="M616" t="b">
        <f>ISNUMBER(_xlfn.XMATCH(CONTROL[[#This Row],[VEHIDCODE]],#REF!,0))</f>
        <v>0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s="32" t="str">
        <f>"item_"&amp;CONTROL[[#This Row],[VEHIDCODE]]</f>
        <v>item_electric_South_Africa_SAR_11E</v>
      </c>
      <c r="Q616" s="32" t="str">
        <f>"str_"&amp;CONTROL[[#This Row],[VEHIDCODE]]</f>
        <v>str_electric_South_Africa_SAR_11E</v>
      </c>
    </row>
    <row r="617" spans="1:17">
      <c r="A617" s="2" t="s">
        <v>640</v>
      </c>
      <c r="B617" s="32" t="str">
        <f>_xlfn.TEXTAFTER(CONTROL[[#This Row],[VEHIDCODE]],"_")</f>
        <v>New_Zealand_TranzRail_EF</v>
      </c>
      <c r="C617" t="s">
        <v>723</v>
      </c>
      <c r="D617" t="s">
        <v>943</v>
      </c>
      <c r="E617">
        <v>6113</v>
      </c>
      <c r="F617" t="s">
        <v>1588</v>
      </c>
      <c r="G617" t="s">
        <v>3005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Row],[VEHIDCODE]],#REF!,0))</f>
        <v>0</v>
      </c>
      <c r="L617" t="b">
        <f>ISNUMBER(_xlfn.XMATCH(CONTROL[[#This Row],[VEHIDCODE]],PROPERTIES[VEHIDCODE],0))</f>
        <v>1</v>
      </c>
      <c r="M617" t="b">
        <f>ISNUMBER(_xlfn.XMATCH(CONTROL[[#This Row],[VEHIDCODE]],#REF!,0))</f>
        <v>0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s="32" t="str">
        <f>"item_"&amp;CONTROL[[#This Row],[VEHIDCODE]]</f>
        <v>item_electric_New_Zealand_TranzRail_EF</v>
      </c>
      <c r="Q617" s="32" t="str">
        <f>"str_"&amp;CONTROL[[#This Row],[VEHIDCODE]]</f>
        <v>str_electric_New_Zealand_TranzRail_EF</v>
      </c>
    </row>
    <row r="618" spans="1:17">
      <c r="A618" s="2" t="s">
        <v>641</v>
      </c>
      <c r="B618" s="32" t="str">
        <f>_xlfn.TEXTAFTER(CONTROL[[#This Row],[VEHIDCODE]],"_")</f>
        <v>Japan_Odakyu_3100_Series_Romance</v>
      </c>
      <c r="C618" t="s">
        <v>726</v>
      </c>
      <c r="D618" t="s">
        <v>947</v>
      </c>
      <c r="E618">
        <v>8010</v>
      </c>
      <c r="F618" t="s">
        <v>1589</v>
      </c>
      <c r="G618" t="s">
        <v>2946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Row],[VEHIDCODE]],#REF!,0))</f>
        <v>0</v>
      </c>
      <c r="L618" t="b">
        <f>ISNUMBER(_xlfn.XMATCH(CONTROL[[#This Row],[VEHIDCODE]],PROPERTIES[VEHIDCODE],0))</f>
        <v>1</v>
      </c>
      <c r="M618" t="b">
        <f>ISNUMBER(_xlfn.XMATCH(CONTROL[[#This Row],[VEHIDCODE]],#REF!,0))</f>
        <v>0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s="32" t="str">
        <f>"item_"&amp;CONTROL[[#This Row],[VEHIDCODE]]</f>
        <v>item_emu_Japan_Odakyu_3100_Series_Romance</v>
      </c>
      <c r="Q618" s="32" t="str">
        <f>"str_"&amp;CONTROL[[#This Row],[VEHIDCODE]]</f>
        <v>str_emu_Japan_Odakyu_3100_Series_Romance</v>
      </c>
    </row>
    <row r="619" spans="1:17">
      <c r="A619" s="2" t="s">
        <v>642</v>
      </c>
      <c r="B619" s="32" t="str">
        <f>_xlfn.TEXTAFTER(CONTROL[[#This Row],[VEHIDCODE]],"_")</f>
        <v>Japan_Odakyu_10000_Series_Romance</v>
      </c>
      <c r="C619" t="s">
        <v>726</v>
      </c>
      <c r="D619" t="s">
        <v>947</v>
      </c>
      <c r="E619">
        <v>8021</v>
      </c>
      <c r="F619" t="s">
        <v>1590</v>
      </c>
      <c r="G619" t="s">
        <v>2947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Row],[VEHIDCODE]],#REF!,0))</f>
        <v>0</v>
      </c>
      <c r="L619" t="b">
        <f>ISNUMBER(_xlfn.XMATCH(CONTROL[[#This Row],[VEHIDCODE]],PROPERTIES[VEHIDCODE],0))</f>
        <v>1</v>
      </c>
      <c r="M619" t="b">
        <f>ISNUMBER(_xlfn.XMATCH(CONTROL[[#This Row],[VEHIDCODE]],#REF!,0))</f>
        <v>0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s="32" t="str">
        <f>"item_"&amp;CONTROL[[#This Row],[VEHIDCODE]]</f>
        <v>item_emu_Japan_Odakyu_10000_Series_Romance</v>
      </c>
      <c r="Q619" s="32" t="str">
        <f>"str_"&amp;CONTROL[[#This Row],[VEHIDCODE]]</f>
        <v>str_emu_Japan_Odakyu_10000_Series_Romance</v>
      </c>
    </row>
    <row r="620" spans="1:17">
      <c r="A620" s="2" t="s">
        <v>643</v>
      </c>
      <c r="B620" s="32" t="str">
        <f>_xlfn.TEXTAFTER(CONTROL[[#This Row],[VEHIDCODE]],"_")</f>
        <v>Australia_Sydney_Trains_S_Set</v>
      </c>
      <c r="C620" t="s">
        <v>726</v>
      </c>
      <c r="D620" t="s">
        <v>947</v>
      </c>
      <c r="E620">
        <v>8015</v>
      </c>
      <c r="F620" t="s">
        <v>1591</v>
      </c>
      <c r="G620" t="s">
        <v>2948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Row],[VEHIDCODE]],#REF!,0))</f>
        <v>0</v>
      </c>
      <c r="L620" t="b">
        <f>ISNUMBER(_xlfn.XMATCH(CONTROL[[#This Row],[VEHIDCODE]],PROPERTIES[VEHIDCODE],0))</f>
        <v>1</v>
      </c>
      <c r="M620" t="b">
        <f>ISNUMBER(_xlfn.XMATCH(CONTROL[[#This Row],[VEHIDCODE]],#REF!,0))</f>
        <v>0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s="32" t="str">
        <f>"item_"&amp;CONTROL[[#This Row],[VEHIDCODE]]</f>
        <v>item_emu_Australia_Sydney_Trains_S_Set</v>
      </c>
      <c r="Q620" s="32" t="str">
        <f>"str_"&amp;CONTROL[[#This Row],[VEHIDCODE]]</f>
        <v>str_emu_Australia_Sydney_Trains_S_Set</v>
      </c>
    </row>
    <row r="621" spans="1:17">
      <c r="A621" s="2" t="s">
        <v>644</v>
      </c>
      <c r="B621" s="32" t="str">
        <f>_xlfn.TEXTAFTER(CONTROL[[#This Row],[VEHIDCODE]],"_")</f>
        <v>Australia_Sydney_Trains_OSCars</v>
      </c>
      <c r="C621" t="s">
        <v>726</v>
      </c>
      <c r="D621" t="s">
        <v>947</v>
      </c>
      <c r="E621">
        <v>8040</v>
      </c>
      <c r="F621" t="s">
        <v>1592</v>
      </c>
      <c r="G621" t="s">
        <v>2949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Row],[VEHIDCODE]],#REF!,0))</f>
        <v>0</v>
      </c>
      <c r="L621" t="b">
        <f>ISNUMBER(_xlfn.XMATCH(CONTROL[[#This Row],[VEHIDCODE]],PROPERTIES[VEHIDCODE],0))</f>
        <v>1</v>
      </c>
      <c r="M621" t="b">
        <f>ISNUMBER(_xlfn.XMATCH(CONTROL[[#This Row],[VEHIDCODE]],#REF!,0))</f>
        <v>0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s="32" t="str">
        <f>"item_"&amp;CONTROL[[#This Row],[VEHIDCODE]]</f>
        <v>item_emu_Australia_Sydney_Trains_OSCars</v>
      </c>
      <c r="Q621" s="32" t="str">
        <f>"str_"&amp;CONTROL[[#This Row],[VEHIDCODE]]</f>
        <v>str_emu_Australia_Sydney_Trains_OSCars</v>
      </c>
    </row>
    <row r="622" spans="1:17">
      <c r="A622" s="2" t="s">
        <v>645</v>
      </c>
      <c r="B622" s="32" t="str">
        <f>_xlfn.TEXTAFTER(CONTROL[[#This Row],[VEHIDCODE]],"_")</f>
        <v>Australia_Victorian_Railways_Swing_Door</v>
      </c>
      <c r="C622" t="s">
        <v>726</v>
      </c>
      <c r="D622" t="s">
        <v>947</v>
      </c>
      <c r="E622">
        <v>8046</v>
      </c>
      <c r="F622" t="s">
        <v>1593</v>
      </c>
      <c r="G622" t="s">
        <v>2950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Row],[VEHIDCODE]],#REF!,0))</f>
        <v>0</v>
      </c>
      <c r="L622" t="b">
        <f>ISNUMBER(_xlfn.XMATCH(CONTROL[[#This Row],[VEHIDCODE]],PROPERTIES[VEHIDCODE],0))</f>
        <v>1</v>
      </c>
      <c r="M622" t="b">
        <f>ISNUMBER(_xlfn.XMATCH(CONTROL[[#This Row],[VEHIDCODE]],#REF!,0))</f>
        <v>0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s="32" t="str">
        <f>"item_"&amp;CONTROL[[#This Row],[VEHIDCODE]]</f>
        <v>item_emu_Australia_Victorian_Railways_Swing_Door</v>
      </c>
      <c r="Q622" s="32" t="str">
        <f>"str_"&amp;CONTROL[[#This Row],[VEHIDCODE]]</f>
        <v>str_emu_Australia_Victorian_Railways_Swing_Door</v>
      </c>
    </row>
    <row r="623" spans="1:17">
      <c r="A623" s="2" t="s">
        <v>646</v>
      </c>
      <c r="B623" s="32" t="str">
        <f>_xlfn.TEXTAFTER(CONTROL[[#This Row],[VEHIDCODE]],"_")</f>
        <v>New_Zealand_NZR_EM_ET_Class</v>
      </c>
      <c r="C623" t="s">
        <v>726</v>
      </c>
      <c r="D623" t="s">
        <v>947</v>
      </c>
      <c r="E623">
        <v>8052</v>
      </c>
      <c r="F623" t="s">
        <v>1594</v>
      </c>
      <c r="G623" t="s">
        <v>2951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Row],[VEHIDCODE]],#REF!,0))</f>
        <v>0</v>
      </c>
      <c r="L623" t="b">
        <f>ISNUMBER(_xlfn.XMATCH(CONTROL[[#This Row],[VEHIDCODE]],PROPERTIES[VEHIDCODE],0))</f>
        <v>1</v>
      </c>
      <c r="M623" t="b">
        <f>ISNUMBER(_xlfn.XMATCH(CONTROL[[#This Row],[VEHIDCODE]],#REF!,0))</f>
        <v>0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s="32" t="str">
        <f>"item_"&amp;CONTROL[[#This Row],[VEHIDCODE]]</f>
        <v>item_emu_New_Zealand_NZR_EM_ET_Class</v>
      </c>
      <c r="Q623" s="32" t="str">
        <f>"str_"&amp;CONTROL[[#This Row],[VEHIDCODE]]</f>
        <v>str_emu_New_Zealand_NZR_EM_ET_Class</v>
      </c>
    </row>
    <row r="624" spans="1:17">
      <c r="A624" s="2" t="s">
        <v>647</v>
      </c>
      <c r="B624" s="32" t="str">
        <f>_xlfn.TEXTAFTER(CONTROL[[#This Row],[VEHIDCODE]],"_")</f>
        <v>South_Africa_SAR_5M2</v>
      </c>
      <c r="C624" t="s">
        <v>726</v>
      </c>
      <c r="D624" t="s">
        <v>947</v>
      </c>
      <c r="E624">
        <v>8049</v>
      </c>
      <c r="F624" t="s">
        <v>1595</v>
      </c>
      <c r="G624" t="s">
        <v>2952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Row],[VEHIDCODE]],#REF!,0))</f>
        <v>0</v>
      </c>
      <c r="L624" t="b">
        <f>ISNUMBER(_xlfn.XMATCH(CONTROL[[#This Row],[VEHIDCODE]],PROPERTIES[VEHIDCODE],0))</f>
        <v>1</v>
      </c>
      <c r="M624" t="b">
        <f>ISNUMBER(_xlfn.XMATCH(CONTROL[[#This Row],[VEHIDCODE]],#REF!,0))</f>
        <v>0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s="32" t="str">
        <f>"item_"&amp;CONTROL[[#This Row],[VEHIDCODE]]</f>
        <v>item_emu_South_Africa_SAR_5M2</v>
      </c>
      <c r="Q624" s="32" t="str">
        <f>"str_"&amp;CONTROL[[#This Row],[VEHIDCODE]]</f>
        <v>str_emu_South_Africa_SAR_5M2</v>
      </c>
    </row>
    <row r="625" spans="1:17">
      <c r="A625" s="2" t="s">
        <v>648</v>
      </c>
      <c r="B625" s="32" t="str">
        <f>_xlfn.TEXTAFTER(CONTROL[[#This Row],[VEHIDCODE]],"_")</f>
        <v>Chile_EFE_XTrapolis_100</v>
      </c>
      <c r="C625" t="s">
        <v>726</v>
      </c>
      <c r="D625" t="s">
        <v>947</v>
      </c>
      <c r="E625">
        <v>8057</v>
      </c>
      <c r="F625" t="s">
        <v>1596</v>
      </c>
      <c r="G625" t="s">
        <v>2953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Row],[VEHIDCODE]],#REF!,0))</f>
        <v>0</v>
      </c>
      <c r="L625" t="b">
        <f>ISNUMBER(_xlfn.XMATCH(CONTROL[[#This Row],[VEHIDCODE]],PROPERTIES[VEHIDCODE],0))</f>
        <v>1</v>
      </c>
      <c r="M625" t="b">
        <f>ISNUMBER(_xlfn.XMATCH(CONTROL[[#This Row],[VEHIDCODE]],#REF!,0))</f>
        <v>0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s="32" t="str">
        <f>"item_"&amp;CONTROL[[#This Row],[VEHIDCODE]]</f>
        <v>item_emu_Chile_EFE_XTrapolis_100</v>
      </c>
      <c r="Q625" s="32" t="str">
        <f>"str_"&amp;CONTROL[[#This Row],[VEHIDCODE]]</f>
        <v>str_emu_Chile_EFE_XTrapolis_100</v>
      </c>
    </row>
    <row r="626" spans="1:17">
      <c r="A626" s="2" t="s">
        <v>649</v>
      </c>
      <c r="B626" s="32" t="str">
        <f>_xlfn.TEXTAFTER(CONTROL[[#This Row],[VEHIDCODE]],"_")</f>
        <v>Chile_EFE_AES_Railcar</v>
      </c>
      <c r="C626" t="s">
        <v>726</v>
      </c>
      <c r="D626" t="s">
        <v>947</v>
      </c>
      <c r="E626">
        <v>8056</v>
      </c>
      <c r="F626" t="s">
        <v>1597</v>
      </c>
      <c r="G626" t="s">
        <v>2954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Row],[VEHIDCODE]],#REF!,0))</f>
        <v>0</v>
      </c>
      <c r="L626" t="b">
        <f>ISNUMBER(_xlfn.XMATCH(CONTROL[[#This Row],[VEHIDCODE]],PROPERTIES[VEHIDCODE],0))</f>
        <v>1</v>
      </c>
      <c r="M626" t="b">
        <f>ISNUMBER(_xlfn.XMATCH(CONTROL[[#This Row],[VEHIDCODE]],#REF!,0))</f>
        <v>0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s="32" t="str">
        <f>"item_"&amp;CONTROL[[#This Row],[VEHIDCODE]]</f>
        <v>item_emu_Chile_EFE_AES_Railcar</v>
      </c>
      <c r="Q626" s="32" t="str">
        <f>"str_"&amp;CONTROL[[#This Row],[VEHIDCODE]]</f>
        <v>str_emu_Chile_EFE_AES_Railcar</v>
      </c>
    </row>
    <row r="627" spans="1:17">
      <c r="A627" s="2" t="s">
        <v>650</v>
      </c>
      <c r="B627" s="32" t="str">
        <f>_xlfn.TEXTAFTER(CONTROL[[#This Row],[VEHIDCODE]],"_")</f>
        <v>Tunisia_SNCFT_YZ_E</v>
      </c>
      <c r="C627" t="s">
        <v>726</v>
      </c>
      <c r="D627" t="s">
        <v>947</v>
      </c>
      <c r="E627">
        <v>8058</v>
      </c>
      <c r="F627" t="s">
        <v>1598</v>
      </c>
      <c r="G627" t="s">
        <v>1776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Row],[VEHIDCODE]],#REF!,0))</f>
        <v>0</v>
      </c>
      <c r="L627" t="b">
        <f>ISNUMBER(_xlfn.XMATCH(CONTROL[[#This Row],[VEHIDCODE]],PROPERTIES[VEHIDCODE],0))</f>
        <v>1</v>
      </c>
      <c r="M627" t="b">
        <f>ISNUMBER(_xlfn.XMATCH(CONTROL[[#This Row],[VEHIDCODE]],#REF!,0))</f>
        <v>0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s="32" t="str">
        <f>"item_"&amp;CONTROL[[#This Row],[VEHIDCODE]]</f>
        <v>item_emu_Tunisia_SNCFT_YZ_E</v>
      </c>
      <c r="Q627" s="32" t="str">
        <f>"str_"&amp;CONTROL[[#This Row],[VEHIDCODE]]</f>
        <v>str_emu_Tunisia_SNCFT_YZ_E</v>
      </c>
    </row>
    <row r="628" spans="1:17">
      <c r="A628" s="2" t="s">
        <v>651</v>
      </c>
      <c r="B628" s="32" t="str">
        <f>_xlfn.TEXTAFTER(CONTROL[[#This Row],[VEHIDCODE]],"_")</f>
        <v>Australia_Queensland_Rail_Tilt_Train</v>
      </c>
      <c r="C628" t="s">
        <v>726</v>
      </c>
      <c r="D628" t="s">
        <v>947</v>
      </c>
      <c r="E628">
        <v>8066</v>
      </c>
      <c r="F628" t="s">
        <v>1599</v>
      </c>
      <c r="G628" t="s">
        <v>2955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Row],[VEHIDCODE]],#REF!,0))</f>
        <v>0</v>
      </c>
      <c r="L628" t="b">
        <f>ISNUMBER(_xlfn.XMATCH(CONTROL[[#This Row],[VEHIDCODE]],PROPERTIES[VEHIDCODE],0))</f>
        <v>1</v>
      </c>
      <c r="M628" t="b">
        <f>ISNUMBER(_xlfn.XMATCH(CONTROL[[#This Row],[VEHIDCODE]],#REF!,0))</f>
        <v>0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s="32" t="str">
        <f>"item_"&amp;CONTROL[[#This Row],[VEHIDCODE]]</f>
        <v>item_emu_Australia_Queensland_Rail_Tilt_Train</v>
      </c>
      <c r="Q628" s="32" t="str">
        <f>"str_"&amp;CONTROL[[#This Row],[VEHIDCODE]]</f>
        <v>str_emu_Australia_Queensland_Rail_Tilt_Train</v>
      </c>
    </row>
    <row r="629" spans="1:17">
      <c r="A629" s="2" t="s">
        <v>652</v>
      </c>
      <c r="B629" s="32" t="str">
        <f>_xlfn.TEXTAFTER(CONTROL[[#This Row],[VEHIDCODE]],"_")</f>
        <v>Russia_RZD_VL15</v>
      </c>
      <c r="C629" t="s">
        <v>723</v>
      </c>
      <c r="D629" t="s">
        <v>943</v>
      </c>
      <c r="E629">
        <v>6041</v>
      </c>
      <c r="F629" t="s">
        <v>1600</v>
      </c>
      <c r="G629" t="s">
        <v>2961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Row],[VEHIDCODE]],#REF!,0))</f>
        <v>0</v>
      </c>
      <c r="L629" t="b">
        <f>ISNUMBER(_xlfn.XMATCH(CONTROL[[#This Row],[VEHIDCODE]],PROPERTIES[VEHIDCODE],0))</f>
        <v>1</v>
      </c>
      <c r="M629" t="b">
        <f>ISNUMBER(_xlfn.XMATCH(CONTROL[[#This Row],[VEHIDCODE]],#REF!,0))</f>
        <v>0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s="32" t="str">
        <f>"item_"&amp;CONTROL[[#This Row],[VEHIDCODE]]</f>
        <v>item_electric_Russia_RZD_VL15</v>
      </c>
      <c r="Q629" s="32" t="str">
        <f>"str_"&amp;CONTROL[[#This Row],[VEHIDCODE]]</f>
        <v>str_electric_Russia_RZD_VL15</v>
      </c>
    </row>
    <row r="630" spans="1:17">
      <c r="A630" s="2" t="s">
        <v>653</v>
      </c>
      <c r="B630" s="32" t="str">
        <f>_xlfn.TEXTAFTER(CONTROL[[#This Row],[VEHIDCODE]],"_")</f>
        <v>Russia_RZD_VL11</v>
      </c>
      <c r="C630" t="s">
        <v>723</v>
      </c>
      <c r="D630" t="s">
        <v>943</v>
      </c>
      <c r="E630">
        <v>6134</v>
      </c>
      <c r="F630" t="s">
        <v>1601</v>
      </c>
      <c r="G630" t="s">
        <v>2962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Row],[VEHIDCODE]],#REF!,0))</f>
        <v>0</v>
      </c>
      <c r="L630" t="b">
        <f>ISNUMBER(_xlfn.XMATCH(CONTROL[[#This Row],[VEHIDCODE]],PROPERTIES[VEHIDCODE],0))</f>
        <v>1</v>
      </c>
      <c r="M630" t="b">
        <f>ISNUMBER(_xlfn.XMATCH(CONTROL[[#This Row],[VEHIDCODE]],#REF!,0))</f>
        <v>0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s="32" t="str">
        <f>"item_"&amp;CONTROL[[#This Row],[VEHIDCODE]]</f>
        <v>item_electric_Russia_RZD_VL11</v>
      </c>
      <c r="Q630" s="32" t="str">
        <f>"str_"&amp;CONTROL[[#This Row],[VEHIDCODE]]</f>
        <v>str_electric_Russia_RZD_VL11</v>
      </c>
    </row>
    <row r="631" spans="1:17">
      <c r="A631" s="2" t="s">
        <v>654</v>
      </c>
      <c r="B631" s="32" t="str">
        <f>_xlfn.TEXTAFTER(CONTROL[[#This Row],[VEHIDCODE]],"_")</f>
        <v>Russia_RZD_VL22M</v>
      </c>
      <c r="C631" t="s">
        <v>723</v>
      </c>
      <c r="D631" t="s">
        <v>943</v>
      </c>
      <c r="E631">
        <v>6018</v>
      </c>
      <c r="F631" t="s">
        <v>1602</v>
      </c>
      <c r="G631" t="s">
        <v>2963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Row],[VEHIDCODE]],#REF!,0))</f>
        <v>0</v>
      </c>
      <c r="L631" t="b">
        <f>ISNUMBER(_xlfn.XMATCH(CONTROL[[#This Row],[VEHIDCODE]],PROPERTIES[VEHIDCODE],0))</f>
        <v>1</v>
      </c>
      <c r="M631" t="b">
        <f>ISNUMBER(_xlfn.XMATCH(CONTROL[[#This Row],[VEHIDCODE]],#REF!,0))</f>
        <v>0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s="32" t="str">
        <f>"item_"&amp;CONTROL[[#This Row],[VEHIDCODE]]</f>
        <v>item_electric_Russia_RZD_VL22M</v>
      </c>
      <c r="Q631" s="32" t="str">
        <f>"str_"&amp;CONTROL[[#This Row],[VEHIDCODE]]</f>
        <v>str_electric_Russia_RZD_VL22M</v>
      </c>
    </row>
    <row r="632" spans="1:17">
      <c r="A632" s="2" t="s">
        <v>655</v>
      </c>
      <c r="B632" s="32" t="str">
        <f>_xlfn.TEXTAFTER(CONTROL[[#This Row],[VEHIDCODE]],"_")</f>
        <v>Ukraine_UZ_DE1</v>
      </c>
      <c r="C632" t="s">
        <v>723</v>
      </c>
      <c r="D632" t="s">
        <v>943</v>
      </c>
      <c r="E632">
        <v>6117</v>
      </c>
      <c r="F632" t="s">
        <v>1603</v>
      </c>
      <c r="G632" t="s">
        <v>2964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Row],[VEHIDCODE]],#REF!,0))</f>
        <v>0</v>
      </c>
      <c r="L632" t="b">
        <f>ISNUMBER(_xlfn.XMATCH(CONTROL[[#This Row],[VEHIDCODE]],PROPERTIES[VEHIDCODE],0))</f>
        <v>1</v>
      </c>
      <c r="M632" t="b">
        <f>ISNUMBER(_xlfn.XMATCH(CONTROL[[#This Row],[VEHIDCODE]],#REF!,0))</f>
        <v>0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s="32" t="str">
        <f>"item_"&amp;CONTROL[[#This Row],[VEHIDCODE]]</f>
        <v>item_electric_Ukraine_UZ_DE1</v>
      </c>
      <c r="Q632" s="32" t="str">
        <f>"str_"&amp;CONTROL[[#This Row],[VEHIDCODE]]</f>
        <v>str_electric_Ukraine_UZ_DE1</v>
      </c>
    </row>
    <row r="633" spans="1:17">
      <c r="A633" s="2" t="s">
        <v>656</v>
      </c>
      <c r="B633" s="32" t="str">
        <f>_xlfn.TEXTAFTER(CONTROL[[#This Row],[VEHIDCODE]],"_")</f>
        <v>Russia_RZD_ChS3</v>
      </c>
      <c r="C633" t="s">
        <v>723</v>
      </c>
      <c r="D633" t="s">
        <v>943</v>
      </c>
      <c r="E633">
        <v>6083</v>
      </c>
      <c r="F633" t="s">
        <v>1604</v>
      </c>
      <c r="G633" t="s">
        <v>2965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Row],[VEHIDCODE]],#REF!,0))</f>
        <v>0</v>
      </c>
      <c r="L633" t="b">
        <f>ISNUMBER(_xlfn.XMATCH(CONTROL[[#This Row],[VEHIDCODE]],PROPERTIES[VEHIDCODE],0))</f>
        <v>1</v>
      </c>
      <c r="M633" t="b">
        <f>ISNUMBER(_xlfn.XMATCH(CONTROL[[#This Row],[VEHIDCODE]],#REF!,0))</f>
        <v>0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s="32" t="str">
        <f>"item_"&amp;CONTROL[[#This Row],[VEHIDCODE]]</f>
        <v>item_electric_Russia_RZD_ChS3</v>
      </c>
      <c r="Q633" s="32" t="str">
        <f>"str_"&amp;CONTROL[[#This Row],[VEHIDCODE]]</f>
        <v>str_electric_Russia_RZD_ChS3</v>
      </c>
    </row>
    <row r="634" spans="1:17">
      <c r="A634" s="2" t="s">
        <v>657</v>
      </c>
      <c r="B634" s="32" t="str">
        <f>_xlfn.TEXTAFTER(CONTROL[[#This Row],[VEHIDCODE]],"_")</f>
        <v>Ukraine_UZ_ChS7</v>
      </c>
      <c r="C634" t="s">
        <v>723</v>
      </c>
      <c r="D634" t="s">
        <v>943</v>
      </c>
      <c r="E634">
        <v>6112</v>
      </c>
      <c r="F634" t="s">
        <v>1605</v>
      </c>
      <c r="G634" t="s">
        <v>2966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Row],[VEHIDCODE]],#REF!,0))</f>
        <v>0</v>
      </c>
      <c r="L634" t="b">
        <f>ISNUMBER(_xlfn.XMATCH(CONTROL[[#This Row],[VEHIDCODE]],PROPERTIES[VEHIDCODE],0))</f>
        <v>1</v>
      </c>
      <c r="M634" t="b">
        <f>ISNUMBER(_xlfn.XMATCH(CONTROL[[#This Row],[VEHIDCODE]],#REF!,0))</f>
        <v>0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s="32" t="str">
        <f>"item_"&amp;CONTROL[[#This Row],[VEHIDCODE]]</f>
        <v>item_electric_Ukraine_UZ_ChS7</v>
      </c>
      <c r="Q634" s="32" t="str">
        <f>"str_"&amp;CONTROL[[#This Row],[VEHIDCODE]]</f>
        <v>str_electric_Ukraine_UZ_ChS7</v>
      </c>
    </row>
    <row r="635" spans="1:17">
      <c r="A635" s="2" t="s">
        <v>658</v>
      </c>
      <c r="B635" s="32" t="str">
        <f>_xlfn.TEXTAFTER(CONTROL[[#This Row],[VEHIDCODE]],"_")</f>
        <v>Brasil_RFFSA_GE_C_C_4400</v>
      </c>
      <c r="C635" t="s">
        <v>723</v>
      </c>
      <c r="D635" t="s">
        <v>943</v>
      </c>
      <c r="E635">
        <v>6124</v>
      </c>
      <c r="F635" t="s">
        <v>1606</v>
      </c>
      <c r="G635" t="s">
        <v>2967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Row],[VEHIDCODE]],#REF!,0))</f>
        <v>0</v>
      </c>
      <c r="L635" t="b">
        <f>ISNUMBER(_xlfn.XMATCH(CONTROL[[#This Row],[VEHIDCODE]],PROPERTIES[VEHIDCODE],0))</f>
        <v>1</v>
      </c>
      <c r="M635" t="b">
        <f>ISNUMBER(_xlfn.XMATCH(CONTROL[[#This Row],[VEHIDCODE]],#REF!,0))</f>
        <v>0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s="32" t="str">
        <f>"item_"&amp;CONTROL[[#This Row],[VEHIDCODE]]</f>
        <v>item_electric_Brasil_RFFSA_GE_C_C_4400</v>
      </c>
      <c r="Q635" s="32" t="str">
        <f>"str_"&amp;CONTROL[[#This Row],[VEHIDCODE]]</f>
        <v>str_electric_Brasil_RFFSA_GE_C_C_4400</v>
      </c>
    </row>
    <row r="636" spans="1:17">
      <c r="A636" s="2" t="s">
        <v>659</v>
      </c>
      <c r="B636" s="32" t="str">
        <f>_xlfn.TEXTAFTER(CONTROL[[#This Row],[VEHIDCODE]],"_")</f>
        <v>Russia_RZD_VL85</v>
      </c>
      <c r="C636" t="s">
        <v>723</v>
      </c>
      <c r="D636" t="s">
        <v>943</v>
      </c>
      <c r="E636">
        <v>6040</v>
      </c>
      <c r="F636" t="s">
        <v>1607</v>
      </c>
      <c r="G636" t="s">
        <v>2968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Row],[VEHIDCODE]],#REF!,0))</f>
        <v>0</v>
      </c>
      <c r="L636" t="b">
        <f>ISNUMBER(_xlfn.XMATCH(CONTROL[[#This Row],[VEHIDCODE]],PROPERTIES[VEHIDCODE],0))</f>
        <v>1</v>
      </c>
      <c r="M636" t="b">
        <f>ISNUMBER(_xlfn.XMATCH(CONTROL[[#This Row],[VEHIDCODE]],#REF!,0))</f>
        <v>0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s="32" t="str">
        <f>"item_"&amp;CONTROL[[#This Row],[VEHIDCODE]]</f>
        <v>item_electric_Russia_RZD_VL85</v>
      </c>
      <c r="Q636" s="32" t="str">
        <f>"str_"&amp;CONTROL[[#This Row],[VEHIDCODE]]</f>
        <v>str_electric_Russia_RZD_VL85</v>
      </c>
    </row>
    <row r="637" spans="1:17">
      <c r="A637" s="2" t="s">
        <v>660</v>
      </c>
      <c r="B637" s="32" t="str">
        <f>_xlfn.TEXTAFTER(CONTROL[[#This Row],[VEHIDCODE]],"_")</f>
        <v>Russia_RZD_VL41</v>
      </c>
      <c r="C637" t="s">
        <v>723</v>
      </c>
      <c r="D637" t="s">
        <v>943</v>
      </c>
      <c r="E637">
        <v>6028</v>
      </c>
      <c r="F637" t="s">
        <v>1608</v>
      </c>
      <c r="G637" t="s">
        <v>2969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Row],[VEHIDCODE]],#REF!,0))</f>
        <v>0</v>
      </c>
      <c r="L637" t="b">
        <f>ISNUMBER(_xlfn.XMATCH(CONTROL[[#This Row],[VEHIDCODE]],PROPERTIES[VEHIDCODE],0))</f>
        <v>1</v>
      </c>
      <c r="M637" t="b">
        <f>ISNUMBER(_xlfn.XMATCH(CONTROL[[#This Row],[VEHIDCODE]],#REF!,0))</f>
        <v>0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s="32" t="str">
        <f>"item_"&amp;CONTROL[[#This Row],[VEHIDCODE]]</f>
        <v>item_electric_Russia_RZD_VL41</v>
      </c>
      <c r="Q637" s="32" t="str">
        <f>"str_"&amp;CONTROL[[#This Row],[VEHIDCODE]]</f>
        <v>str_electric_Russia_RZD_VL41</v>
      </c>
    </row>
    <row r="638" spans="1:17">
      <c r="A638" s="2" t="s">
        <v>661</v>
      </c>
      <c r="B638" s="32" t="str">
        <f>_xlfn.TEXTAFTER(CONTROL[[#This Row],[VEHIDCODE]],"_")</f>
        <v>India_Indian_Railways_WAP_4</v>
      </c>
      <c r="C638" t="s">
        <v>723</v>
      </c>
      <c r="D638" t="s">
        <v>943</v>
      </c>
      <c r="E638">
        <v>6048</v>
      </c>
      <c r="F638" t="s">
        <v>1609</v>
      </c>
      <c r="G638" t="s">
        <v>2970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Row],[VEHIDCODE]],#REF!,0))</f>
        <v>0</v>
      </c>
      <c r="L638" t="b">
        <f>ISNUMBER(_xlfn.XMATCH(CONTROL[[#This Row],[VEHIDCODE]],PROPERTIES[VEHIDCODE],0))</f>
        <v>1</v>
      </c>
      <c r="M638" t="b">
        <f>ISNUMBER(_xlfn.XMATCH(CONTROL[[#This Row],[VEHIDCODE]],#REF!,0))</f>
        <v>0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s="32" t="str">
        <f>"item_"&amp;CONTROL[[#This Row],[VEHIDCODE]]</f>
        <v>item_electric_India_Indian_Railways_WAP_4</v>
      </c>
      <c r="Q638" s="32" t="str">
        <f>"str_"&amp;CONTROL[[#This Row],[VEHIDCODE]]</f>
        <v>str_electric_India_Indian_Railways_WAP_4</v>
      </c>
    </row>
    <row r="639" spans="1:17">
      <c r="A639" s="2" t="s">
        <v>662</v>
      </c>
      <c r="B639" s="32" t="str">
        <f>_xlfn.TEXTAFTER(CONTROL[[#This Row],[VEHIDCODE]],"_")</f>
        <v>Finland_VR_Sr1</v>
      </c>
      <c r="C639" t="s">
        <v>723</v>
      </c>
      <c r="D639" t="s">
        <v>943</v>
      </c>
      <c r="E639">
        <v>6034</v>
      </c>
      <c r="F639" t="s">
        <v>1610</v>
      </c>
      <c r="G639" t="s">
        <v>2971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Row],[VEHIDCODE]],#REF!,0))</f>
        <v>0</v>
      </c>
      <c r="L639" t="b">
        <f>ISNUMBER(_xlfn.XMATCH(CONTROL[[#This Row],[VEHIDCODE]],PROPERTIES[VEHIDCODE],0))</f>
        <v>1</v>
      </c>
      <c r="M639" t="b">
        <f>ISNUMBER(_xlfn.XMATCH(CONTROL[[#This Row],[VEHIDCODE]],#REF!,0))</f>
        <v>0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s="32" t="str">
        <f>"item_"&amp;CONTROL[[#This Row],[VEHIDCODE]]</f>
        <v>item_electric_Finland_VR_Sr1</v>
      </c>
      <c r="Q639" s="32" t="str">
        <f>"str_"&amp;CONTROL[[#This Row],[VEHIDCODE]]</f>
        <v>str_electric_Finland_VR_Sr1</v>
      </c>
    </row>
    <row r="640" spans="1:17">
      <c r="A640" s="2" t="s">
        <v>663</v>
      </c>
      <c r="B640" s="32" t="str">
        <f>_xlfn.TEXTAFTER(CONTROL[[#This Row],[VEHIDCODE]],"_")</f>
        <v>Kazakhstan_KTZ_KZ4A</v>
      </c>
      <c r="C640" t="s">
        <v>723</v>
      </c>
      <c r="D640" t="s">
        <v>943</v>
      </c>
      <c r="E640">
        <v>6057</v>
      </c>
      <c r="F640" t="s">
        <v>1611</v>
      </c>
      <c r="G640" t="s">
        <v>2972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Row],[VEHIDCODE]],#REF!,0))</f>
        <v>0</v>
      </c>
      <c r="L640" t="b">
        <f>ISNUMBER(_xlfn.XMATCH(CONTROL[[#This Row],[VEHIDCODE]],PROPERTIES[VEHIDCODE],0))</f>
        <v>1</v>
      </c>
      <c r="M640" t="b">
        <f>ISNUMBER(_xlfn.XMATCH(CONTROL[[#This Row],[VEHIDCODE]],#REF!,0))</f>
        <v>0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s="32" t="str">
        <f>"item_"&amp;CONTROL[[#This Row],[VEHIDCODE]]</f>
        <v>item_electric_Kazakhstan_KTZ_KZ4A</v>
      </c>
      <c r="Q640" s="32" t="str">
        <f>"str_"&amp;CONTROL[[#This Row],[VEHIDCODE]]</f>
        <v>str_electric_Kazakhstan_KTZ_KZ4A</v>
      </c>
    </row>
    <row r="641" spans="1:17">
      <c r="A641" s="2" t="s">
        <v>664</v>
      </c>
      <c r="B641" s="32" t="str">
        <f>_xlfn.TEXTAFTER(CONTROL[[#This Row],[VEHIDCODE]],"_")</f>
        <v>Kazakhstan_KTZ_KZ8A</v>
      </c>
      <c r="C641" t="s">
        <v>723</v>
      </c>
      <c r="D641" t="s">
        <v>943</v>
      </c>
      <c r="E641">
        <v>6095</v>
      </c>
      <c r="F641" t="s">
        <v>1612</v>
      </c>
      <c r="G641" t="s">
        <v>2973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Row],[VEHIDCODE]],#REF!,0))</f>
        <v>0</v>
      </c>
      <c r="L641" t="b">
        <f>ISNUMBER(_xlfn.XMATCH(CONTROL[[#This Row],[VEHIDCODE]],PROPERTIES[VEHIDCODE],0))</f>
        <v>1</v>
      </c>
      <c r="M641" t="b">
        <f>ISNUMBER(_xlfn.XMATCH(CONTROL[[#This Row],[VEHIDCODE]],#REF!,0))</f>
        <v>0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s="32" t="str">
        <f>"item_"&amp;CONTROL[[#This Row],[VEHIDCODE]]</f>
        <v>item_electric_Kazakhstan_KTZ_KZ8A</v>
      </c>
      <c r="Q641" s="32" t="str">
        <f>"str_"&amp;CONTROL[[#This Row],[VEHIDCODE]]</f>
        <v>str_electric_Kazakhstan_KTZ_KZ8A</v>
      </c>
    </row>
    <row r="642" spans="1:17">
      <c r="A642" s="2" t="s">
        <v>665</v>
      </c>
      <c r="B642" s="32" t="str">
        <f>_xlfn.TEXTAFTER(CONTROL[[#This Row],[VEHIDCODE]],"_")</f>
        <v>Russia_RZD_EP20</v>
      </c>
      <c r="C642" t="s">
        <v>723</v>
      </c>
      <c r="D642" t="s">
        <v>943</v>
      </c>
      <c r="E642">
        <v>6092</v>
      </c>
      <c r="F642" t="s">
        <v>1613</v>
      </c>
      <c r="G642" t="s">
        <v>2974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Row],[VEHIDCODE]],#REF!,0))</f>
        <v>0</v>
      </c>
      <c r="L642" t="b">
        <f>ISNUMBER(_xlfn.XMATCH(CONTROL[[#This Row],[VEHIDCODE]],PROPERTIES[VEHIDCODE],0))</f>
        <v>1</v>
      </c>
      <c r="M642" t="b">
        <f>ISNUMBER(_xlfn.XMATCH(CONTROL[[#This Row],[VEHIDCODE]],#REF!,0))</f>
        <v>0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s="32" t="str">
        <f>"item_"&amp;CONTROL[[#This Row],[VEHIDCODE]]</f>
        <v>item_electric_Russia_RZD_EP20</v>
      </c>
      <c r="Q642" s="32" t="str">
        <f>"str_"&amp;CONTROL[[#This Row],[VEHIDCODE]]</f>
        <v>str_electric_Russia_RZD_EP20</v>
      </c>
    </row>
    <row r="643" spans="1:17">
      <c r="A643" s="2" t="s">
        <v>666</v>
      </c>
      <c r="B643" s="32" t="str">
        <f>_xlfn.TEXTAFTER(CONTROL[[#This Row],[VEHIDCODE]],"_")</f>
        <v>Finland_VR_Dm7</v>
      </c>
      <c r="C643" t="s">
        <v>719</v>
      </c>
      <c r="D643" t="s">
        <v>936</v>
      </c>
      <c r="E643">
        <v>2010</v>
      </c>
      <c r="F643" t="s">
        <v>1614</v>
      </c>
      <c r="G643" t="s">
        <v>2975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Row],[VEHIDCODE]],#REF!,0))</f>
        <v>0</v>
      </c>
      <c r="L643" t="b">
        <f>ISNUMBER(_xlfn.XMATCH(CONTROL[[#This Row],[VEHIDCODE]],PROPERTIES[VEHIDCODE],0))</f>
        <v>1</v>
      </c>
      <c r="M643" t="b">
        <f>ISNUMBER(_xlfn.XMATCH(CONTROL[[#This Row],[VEHIDCODE]],#REF!,0))</f>
        <v>0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s="32" t="str">
        <f>"item_"&amp;CONTROL[[#This Row],[VEHIDCODE]]</f>
        <v>item_rbd_Finland_VR_Dm7</v>
      </c>
      <c r="Q643" s="32" t="str">
        <f>"str_"&amp;CONTROL[[#This Row],[VEHIDCODE]]</f>
        <v>str_rbd_Finland_VR_Dm7</v>
      </c>
    </row>
    <row r="644" spans="1:17">
      <c r="A644" s="2" t="s">
        <v>667</v>
      </c>
      <c r="B644" s="32" t="str">
        <f>_xlfn.TEXTAFTER(CONTROL[[#This Row],[VEHIDCODE]],"_")</f>
        <v>Russia_RZD_ACh2</v>
      </c>
      <c r="C644" t="s">
        <v>719</v>
      </c>
      <c r="D644" t="s">
        <v>936</v>
      </c>
      <c r="E644">
        <v>2011</v>
      </c>
      <c r="F644" t="s">
        <v>1615</v>
      </c>
      <c r="G644" t="s">
        <v>2976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Row],[VEHIDCODE]],#REF!,0))</f>
        <v>0</v>
      </c>
      <c r="L644" t="b">
        <f>ISNUMBER(_xlfn.XMATCH(CONTROL[[#This Row],[VEHIDCODE]],PROPERTIES[VEHIDCODE],0))</f>
        <v>1</v>
      </c>
      <c r="M644" t="b">
        <f>ISNUMBER(_xlfn.XMATCH(CONTROL[[#This Row],[VEHIDCODE]],#REF!,0))</f>
        <v>0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s="32" t="str">
        <f>"item_"&amp;CONTROL[[#This Row],[VEHIDCODE]]</f>
        <v>item_rbd_Russia_RZD_ACh2</v>
      </c>
      <c r="Q644" s="32" t="str">
        <f>"str_"&amp;CONTROL[[#This Row],[VEHIDCODE]]</f>
        <v>str_rbd_Russia_RZD_ACh2</v>
      </c>
    </row>
    <row r="645" spans="1:17">
      <c r="A645" s="2" t="s">
        <v>668</v>
      </c>
      <c r="B645" s="32" t="str">
        <f>_xlfn.TEXTAFTER(CONTROL[[#This Row],[VEHIDCODE]],"_")</f>
        <v>Russia_RZD_ER200</v>
      </c>
      <c r="C645" t="s">
        <v>726</v>
      </c>
      <c r="D645" t="s">
        <v>947</v>
      </c>
      <c r="E645">
        <v>8063</v>
      </c>
      <c r="F645" t="s">
        <v>1616</v>
      </c>
      <c r="G645" t="s">
        <v>2956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Row],[VEHIDCODE]],#REF!,0))</f>
        <v>0</v>
      </c>
      <c r="L645" t="b">
        <f>ISNUMBER(_xlfn.XMATCH(CONTROL[[#This Row],[VEHIDCODE]],PROPERTIES[VEHIDCODE],0))</f>
        <v>1</v>
      </c>
      <c r="M645" t="b">
        <f>ISNUMBER(_xlfn.XMATCH(CONTROL[[#This Row],[VEHIDCODE]],#REF!,0))</f>
        <v>0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s="32" t="str">
        <f>"item_"&amp;CONTROL[[#This Row],[VEHIDCODE]]</f>
        <v>item_emu_Russia_RZD_ER200</v>
      </c>
      <c r="Q645" s="32" t="str">
        <f>"str_"&amp;CONTROL[[#This Row],[VEHIDCODE]]</f>
        <v>str_emu_Russia_RZD_ER200</v>
      </c>
    </row>
    <row r="646" spans="1:17">
      <c r="A646" s="2" t="s">
        <v>669</v>
      </c>
      <c r="B646" s="32" t="str">
        <f>_xlfn.TEXTAFTER(CONTROL[[#This Row],[VEHIDCODE]],"_")</f>
        <v>Russia_RZD_S</v>
      </c>
      <c r="C646" t="s">
        <v>726</v>
      </c>
      <c r="D646" t="s">
        <v>947</v>
      </c>
      <c r="E646">
        <v>8059</v>
      </c>
      <c r="F646" t="s">
        <v>1617</v>
      </c>
      <c r="G646" t="s">
        <v>2957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Row],[VEHIDCODE]],#REF!,0))</f>
        <v>0</v>
      </c>
      <c r="L646" t="b">
        <f>ISNUMBER(_xlfn.XMATCH(CONTROL[[#This Row],[VEHIDCODE]],PROPERTIES[VEHIDCODE],0))</f>
        <v>1</v>
      </c>
      <c r="M646" t="b">
        <f>ISNUMBER(_xlfn.XMATCH(CONTROL[[#This Row],[VEHIDCODE]],#REF!,0))</f>
        <v>0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s="32" t="str">
        <f>"item_"&amp;CONTROL[[#This Row],[VEHIDCODE]]</f>
        <v>item_emu_Russia_RZD_S</v>
      </c>
      <c r="Q646" s="32" t="str">
        <f>"str_"&amp;CONTROL[[#This Row],[VEHIDCODE]]</f>
        <v>str_emu_Russia_RZD_S</v>
      </c>
    </row>
    <row r="647" spans="1:17">
      <c r="A647" s="2" t="s">
        <v>670</v>
      </c>
      <c r="B647" s="32" t="str">
        <f>_xlfn.TEXTAFTER(CONTROL[[#This Row],[VEHIDCODE]],"_")</f>
        <v>Croatia_HZ_6112</v>
      </c>
      <c r="C647" t="s">
        <v>726</v>
      </c>
      <c r="D647" t="s">
        <v>947</v>
      </c>
      <c r="E647">
        <v>8070</v>
      </c>
      <c r="F647" t="s">
        <v>1618</v>
      </c>
      <c r="G647" t="s">
        <v>2958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Row],[VEHIDCODE]],#REF!,0))</f>
        <v>0</v>
      </c>
      <c r="L647" t="b">
        <f>ISNUMBER(_xlfn.XMATCH(CONTROL[[#This Row],[VEHIDCODE]],PROPERTIES[VEHIDCODE],0))</f>
        <v>1</v>
      </c>
      <c r="M647" t="b">
        <f>ISNUMBER(_xlfn.XMATCH(CONTROL[[#This Row],[VEHIDCODE]],#REF!,0))</f>
        <v>0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s="32" t="str">
        <f>"item_"&amp;CONTROL[[#This Row],[VEHIDCODE]]</f>
        <v>item_emu_Croatia_HZ_6112</v>
      </c>
      <c r="Q647" s="32" t="str">
        <f>"str_"&amp;CONTROL[[#This Row],[VEHIDCODE]]</f>
        <v>str_emu_Croatia_HZ_6112</v>
      </c>
    </row>
    <row r="648" spans="1:17">
      <c r="A648" s="2" t="s">
        <v>671</v>
      </c>
      <c r="B648" s="32" t="str">
        <f>_xlfn.TEXTAFTER(CONTROL[[#This Row],[VEHIDCODE]],"_")</f>
        <v>Russia_RZD_ES1_Lastochka</v>
      </c>
      <c r="C648" t="s">
        <v>726</v>
      </c>
      <c r="D648" t="s">
        <v>947</v>
      </c>
      <c r="E648">
        <v>8068</v>
      </c>
      <c r="F648" t="s">
        <v>1619</v>
      </c>
      <c r="G648" t="s">
        <v>2959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Row],[VEHIDCODE]],#REF!,0))</f>
        <v>0</v>
      </c>
      <c r="L648" t="b">
        <f>ISNUMBER(_xlfn.XMATCH(CONTROL[[#This Row],[VEHIDCODE]],PROPERTIES[VEHIDCODE],0))</f>
        <v>1</v>
      </c>
      <c r="M648" t="b">
        <f>ISNUMBER(_xlfn.XMATCH(CONTROL[[#This Row],[VEHIDCODE]],#REF!,0))</f>
        <v>0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s="32" t="str">
        <f>"item_"&amp;CONTROL[[#This Row],[VEHIDCODE]]</f>
        <v>item_emu_Russia_RZD_ES1_Lastochka</v>
      </c>
      <c r="Q648" s="32" t="str">
        <f>"str_"&amp;CONTROL[[#This Row],[VEHIDCODE]]</f>
        <v>str_emu_Russia_RZD_ES1_Lastochka</v>
      </c>
    </row>
    <row r="649" spans="1:17">
      <c r="A649" s="2" t="s">
        <v>746</v>
      </c>
      <c r="B649" s="32" t="str">
        <f>_xlfn.TEXTAFTER(CONTROL[[#This Row],[VEHIDCODE]],"_")</f>
        <v>Metro_Wagon_Powered</v>
      </c>
      <c r="C649" t="s">
        <v>901</v>
      </c>
      <c r="D649" t="s">
        <v>972</v>
      </c>
      <c r="E649">
        <v>13003</v>
      </c>
      <c r="F649" t="s">
        <v>1620</v>
      </c>
      <c r="G649" t="s">
        <v>1776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Row],[VEHIDCODE]],#REF!,0))</f>
        <v>0</v>
      </c>
      <c r="L649" t="b">
        <f>ISNUMBER(_xlfn.XMATCH(CONTROL[[#This Row],[VEHIDCODE]],PROPERTIES[VEHIDCODE],0))</f>
        <v>1</v>
      </c>
      <c r="M649" t="b">
        <f>ISNUMBER(_xlfn.XMATCH(CONTROL[[#This Row],[VEHIDCODE]],#REF!,0))</f>
        <v>0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s="32" t="str">
        <f>"item_"&amp;CONTROL[[#This Row],[VEHIDCODE]]</f>
        <v>item_mtro_Metro_Wagon_Powered</v>
      </c>
      <c r="Q649" s="32" t="str">
        <f>"str_"&amp;CONTROL[[#This Row],[VEHIDCODE]]</f>
        <v>str_mtro_Metro_Wagon_Powered</v>
      </c>
    </row>
    <row r="650" spans="1:17">
      <c r="A650" s="2" t="s">
        <v>745</v>
      </c>
      <c r="B650" s="32" t="str">
        <f>_xlfn.TEXTAFTER(CONTROL[[#This Row],[VEHIDCODE]],"_")</f>
        <v>Metro_Wagon_Unpowered</v>
      </c>
      <c r="C650" t="s">
        <v>901</v>
      </c>
      <c r="D650" t="s">
        <v>972</v>
      </c>
      <c r="E650">
        <v>13002</v>
      </c>
      <c r="F650" t="s">
        <v>1620</v>
      </c>
      <c r="G650" t="s">
        <v>1776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Row],[VEHIDCODE]],#REF!,0))</f>
        <v>0</v>
      </c>
      <c r="L650" t="b">
        <f>ISNUMBER(_xlfn.XMATCH(CONTROL[[#This Row],[VEHIDCODE]],PROPERTIES[VEHIDCODE],0))</f>
        <v>1</v>
      </c>
      <c r="M650" t="b">
        <f>ISNUMBER(_xlfn.XMATCH(CONTROL[[#This Row],[VEHIDCODE]],#REF!,0))</f>
        <v>0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s="32" t="str">
        <f>"item_"&amp;CONTROL[[#This Row],[VEHIDCODE]]</f>
        <v>item_mtro_Metro_Wagon_Unpowered</v>
      </c>
      <c r="Q650" s="32" t="str">
        <f>"str_"&amp;CONTROL[[#This Row],[VEHIDCODE]]</f>
        <v>str_mtro_Metro_Wagon_Unpowered</v>
      </c>
    </row>
    <row r="651" spans="1:17">
      <c r="A651" s="2" t="s">
        <v>747</v>
      </c>
      <c r="B651" s="32" t="str">
        <f>_xlfn.TEXTAFTER(CONTROL[[#This Row],[VEHIDCODE]],"_")</f>
        <v>MU_Cargo_Wagon_Powered</v>
      </c>
      <c r="C651" t="s">
        <v>901</v>
      </c>
      <c r="D651" t="s">
        <v>974</v>
      </c>
      <c r="E651">
        <v>13007</v>
      </c>
      <c r="F651" t="s">
        <v>1621</v>
      </c>
      <c r="G651" t="s">
        <v>1776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Row],[VEHIDCODE]],#REF!,0))</f>
        <v>0</v>
      </c>
      <c r="L651" t="b">
        <f>ISNUMBER(_xlfn.XMATCH(CONTROL[[#This Row],[VEHIDCODE]],PROPERTIES[VEHIDCODE],0))</f>
        <v>1</v>
      </c>
      <c r="M651" t="b">
        <f>ISNUMBER(_xlfn.XMATCH(CONTROL[[#This Row],[VEHIDCODE]],#REF!,0))</f>
        <v>0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s="32" t="str">
        <f>"item_"&amp;CONTROL[[#This Row],[VEHIDCODE]]</f>
        <v>item_mu_MU_Cargo_Wagon_Powered</v>
      </c>
      <c r="Q651" s="32" t="str">
        <f>"str_"&amp;CONTROL[[#This Row],[VEHIDCODE]]</f>
        <v>str_mu_MU_Cargo_Wagon_Powered</v>
      </c>
    </row>
    <row r="652" spans="1:17">
      <c r="A652" s="2" t="s">
        <v>748</v>
      </c>
      <c r="B652" s="32" t="str">
        <f>_xlfn.TEXTAFTER(CONTROL[[#This Row],[VEHIDCODE]],"_")</f>
        <v>MU_Cargo_Wagon_Unpowered</v>
      </c>
      <c r="C652" t="s">
        <v>901</v>
      </c>
      <c r="D652" t="s">
        <v>974</v>
      </c>
      <c r="E652">
        <v>13006</v>
      </c>
      <c r="F652" t="s">
        <v>1621</v>
      </c>
      <c r="G652" t="s">
        <v>1776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Row],[VEHIDCODE]],#REF!,0))</f>
        <v>0</v>
      </c>
      <c r="L652" t="b">
        <f>ISNUMBER(_xlfn.XMATCH(CONTROL[[#This Row],[VEHIDCODE]],PROPERTIES[VEHIDCODE],0))</f>
        <v>1</v>
      </c>
      <c r="M652" t="b">
        <f>ISNUMBER(_xlfn.XMATCH(CONTROL[[#This Row],[VEHIDCODE]],#REF!,0))</f>
        <v>0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s="32" t="str">
        <f>"item_"&amp;CONTROL[[#This Row],[VEHIDCODE]]</f>
        <v>item_mu_MU_Cargo_Wagon_Unpowered</v>
      </c>
      <c r="Q652" s="32" t="str">
        <f>"str_"&amp;CONTROL[[#This Row],[VEHIDCODE]]</f>
        <v>str_mu_MU_Cargo_Wagon_Unpowered</v>
      </c>
    </row>
    <row r="653" spans="1:17">
      <c r="A653" s="2" t="s">
        <v>749</v>
      </c>
      <c r="B653" s="32" t="str">
        <f>_xlfn.TEXTAFTER(CONTROL[[#This Row],[VEHIDCODE]],"_")</f>
        <v>MU_Wagon_Powered</v>
      </c>
      <c r="C653" t="s">
        <v>901</v>
      </c>
      <c r="D653" t="s">
        <v>959</v>
      </c>
      <c r="E653">
        <v>13001</v>
      </c>
      <c r="F653" t="s">
        <v>1622</v>
      </c>
      <c r="G653" t="s">
        <v>1776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Row],[VEHIDCODE]],#REF!,0))</f>
        <v>0</v>
      </c>
      <c r="L653" t="b">
        <f>ISNUMBER(_xlfn.XMATCH(CONTROL[[#This Row],[VEHIDCODE]],PROPERTIES[VEHIDCODE],0))</f>
        <v>1</v>
      </c>
      <c r="M653" t="b">
        <f>ISNUMBER(_xlfn.XMATCH(CONTROL[[#This Row],[VEHIDCODE]],#REF!,0))</f>
        <v>0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s="32" t="str">
        <f>"item_"&amp;CONTROL[[#This Row],[VEHIDCODE]]</f>
        <v>item_mu_MU_Wagon_Powered</v>
      </c>
      <c r="Q653" s="32" t="str">
        <f>"str_"&amp;CONTROL[[#This Row],[VEHIDCODE]]</f>
        <v>str_mu_MU_Wagon_Powered</v>
      </c>
    </row>
    <row r="654" spans="1:17">
      <c r="A654" s="2" t="s">
        <v>750</v>
      </c>
      <c r="B654" s="32" t="str">
        <f>_xlfn.TEXTAFTER(CONTROL[[#This Row],[VEHIDCODE]],"_")</f>
        <v>MU_Wagon_Unpowered</v>
      </c>
      <c r="C654" t="s">
        <v>901</v>
      </c>
      <c r="D654" t="s">
        <v>959</v>
      </c>
      <c r="E654">
        <v>13000</v>
      </c>
      <c r="F654" t="s">
        <v>1622</v>
      </c>
      <c r="G654" t="s">
        <v>1776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Row],[VEHIDCODE]],#REF!,0))</f>
        <v>0</v>
      </c>
      <c r="L654" t="b">
        <f>ISNUMBER(_xlfn.XMATCH(CONTROL[[#This Row],[VEHIDCODE]],PROPERTIES[VEHIDCODE],0))</f>
        <v>1</v>
      </c>
      <c r="M654" t="b">
        <f>ISNUMBER(_xlfn.XMATCH(CONTROL[[#This Row],[VEHIDCODE]],#REF!,0))</f>
        <v>0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s="32" t="str">
        <f>"item_"&amp;CONTROL[[#This Row],[VEHIDCODE]]</f>
        <v>item_mu_MU_Wagon_Unpowered</v>
      </c>
      <c r="Q654" s="32" t="str">
        <f>"str_"&amp;CONTROL[[#This Row],[VEHIDCODE]]</f>
        <v>str_mu_MU_Wagon_Unpowered</v>
      </c>
    </row>
    <row r="655" spans="1:17">
      <c r="A655" s="2" t="s">
        <v>752</v>
      </c>
      <c r="B655" s="32" t="str">
        <f>_xlfn.TEXTAFTER(CONTROL[[#This Row],[VEHIDCODE]],"_")</f>
        <v>Wagon_Gen1_Flat_Wagon</v>
      </c>
      <c r="C655" t="s">
        <v>730</v>
      </c>
      <c r="D655" t="s">
        <v>955</v>
      </c>
      <c r="E655">
        <v>12000</v>
      </c>
      <c r="F655" t="s">
        <v>1623</v>
      </c>
      <c r="G655" t="s">
        <v>1776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Row],[VEHIDCODE]],#REF!,0))</f>
        <v>0</v>
      </c>
      <c r="L655" t="b">
        <f>ISNUMBER(_xlfn.XMATCH(CONTROL[[#This Row],[VEHIDCODE]],PROPERTIES[VEHIDCODE],0))</f>
        <v>1</v>
      </c>
      <c r="M655" t="b">
        <f>ISNUMBER(_xlfn.XMATCH(CONTROL[[#This Row],[VEHIDCODE]],#REF!,0))</f>
        <v>0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s="32" t="str">
        <f>"item_"&amp;CONTROL[[#This Row],[VEHIDCODE]]</f>
        <v>item_mu_Wagon_Gen1_Flat_Wagon</v>
      </c>
      <c r="Q655" s="32" t="str">
        <f>"str_"&amp;CONTROL[[#This Row],[VEHIDCODE]]</f>
        <v>str_mu_Wagon_Gen1_Flat_Wagon</v>
      </c>
    </row>
    <row r="656" spans="1:17">
      <c r="A656" s="2" t="s">
        <v>753</v>
      </c>
      <c r="B656" s="32" t="str">
        <f>_xlfn.TEXTAFTER(CONTROL[[#This Row],[VEHIDCODE]],"_")</f>
        <v>Wagon_Gen1_Boxcar</v>
      </c>
      <c r="C656" t="s">
        <v>730</v>
      </c>
      <c r="D656" t="s">
        <v>955</v>
      </c>
      <c r="E656">
        <v>12001</v>
      </c>
      <c r="F656" t="s">
        <v>1624</v>
      </c>
      <c r="G656" t="s">
        <v>1776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Row],[VEHIDCODE]],#REF!,0))</f>
        <v>0</v>
      </c>
      <c r="L656" t="b">
        <f>ISNUMBER(_xlfn.XMATCH(CONTROL[[#This Row],[VEHIDCODE]],PROPERTIES[VEHIDCODE],0))</f>
        <v>1</v>
      </c>
      <c r="M656" t="b">
        <f>ISNUMBER(_xlfn.XMATCH(CONTROL[[#This Row],[VEHIDCODE]],#REF!,0))</f>
        <v>0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s="32" t="str">
        <f>"item_"&amp;CONTROL[[#This Row],[VEHIDCODE]]</f>
        <v>item_mu_Wagon_Gen1_Boxcar</v>
      </c>
      <c r="Q656" s="32" t="str">
        <f>"str_"&amp;CONTROL[[#This Row],[VEHIDCODE]]</f>
        <v>str_mu_Wagon_Gen1_Boxcar</v>
      </c>
    </row>
    <row r="657" spans="1:17">
      <c r="A657" s="2" t="s">
        <v>754</v>
      </c>
      <c r="B657" s="32" t="str">
        <f>_xlfn.TEXTAFTER(CONTROL[[#This Row],[VEHIDCODE]],"_")</f>
        <v>Wagon_Gen1_Tanker</v>
      </c>
      <c r="C657" t="s">
        <v>730</v>
      </c>
      <c r="D657" t="s">
        <v>955</v>
      </c>
      <c r="E657">
        <v>12002</v>
      </c>
      <c r="F657" t="s">
        <v>1625</v>
      </c>
      <c r="G657" t="s">
        <v>1776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Row],[VEHIDCODE]],#REF!,0))</f>
        <v>0</v>
      </c>
      <c r="L657" t="b">
        <f>ISNUMBER(_xlfn.XMATCH(CONTROL[[#This Row],[VEHIDCODE]],PROPERTIES[VEHIDCODE],0))</f>
        <v>1</v>
      </c>
      <c r="M657" t="b">
        <f>ISNUMBER(_xlfn.XMATCH(CONTROL[[#This Row],[VEHIDCODE]],#REF!,0))</f>
        <v>0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s="32" t="str">
        <f>"item_"&amp;CONTROL[[#This Row],[VEHIDCODE]]</f>
        <v>item_mu_Wagon_Gen1_Tanker</v>
      </c>
      <c r="Q657" s="32" t="str">
        <f>"str_"&amp;CONTROL[[#This Row],[VEHIDCODE]]</f>
        <v>str_mu_Wagon_Gen1_Tanker</v>
      </c>
    </row>
    <row r="658" spans="1:17">
      <c r="A658" s="2" t="s">
        <v>755</v>
      </c>
      <c r="B658" s="32" t="str">
        <f>_xlfn.TEXTAFTER(CONTROL[[#This Row],[VEHIDCODE]],"_")</f>
        <v>Wagon_Gen1_Open_Wagon</v>
      </c>
      <c r="C658" t="s">
        <v>730</v>
      </c>
      <c r="D658" t="s">
        <v>955</v>
      </c>
      <c r="E658">
        <v>12003</v>
      </c>
      <c r="F658" t="s">
        <v>1626</v>
      </c>
      <c r="G658" t="s">
        <v>1776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Row],[VEHIDCODE]],#REF!,0))</f>
        <v>0</v>
      </c>
      <c r="L658" t="b">
        <f>ISNUMBER(_xlfn.XMATCH(CONTROL[[#This Row],[VEHIDCODE]],PROPERTIES[VEHIDCODE],0))</f>
        <v>1</v>
      </c>
      <c r="M658" t="b">
        <f>ISNUMBER(_xlfn.XMATCH(CONTROL[[#This Row],[VEHIDCODE]],#REF!,0))</f>
        <v>0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s="32" t="str">
        <f>"item_"&amp;CONTROL[[#This Row],[VEHIDCODE]]</f>
        <v>item_mu_Wagon_Gen1_Open_Wagon</v>
      </c>
      <c r="Q658" s="32" t="str">
        <f>"str_"&amp;CONTROL[[#This Row],[VEHIDCODE]]</f>
        <v>str_mu_Wagon_Gen1_Open_Wagon</v>
      </c>
    </row>
    <row r="659" spans="1:17">
      <c r="A659" s="2" t="s">
        <v>827</v>
      </c>
      <c r="B659" s="32" t="str">
        <f>_xlfn.TEXTAFTER(CONTROL[[#This Row],[VEHIDCODE]],"_")</f>
        <v>Wagon_Gen2_Flat_Wagon</v>
      </c>
      <c r="C659" t="s">
        <v>731</v>
      </c>
      <c r="D659" t="s">
        <v>955</v>
      </c>
      <c r="E659">
        <v>12004</v>
      </c>
      <c r="F659" t="s">
        <v>1627</v>
      </c>
      <c r="G659" t="s">
        <v>1776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Row],[VEHIDCODE]],#REF!,0))</f>
        <v>0</v>
      </c>
      <c r="L659" t="b">
        <f>ISNUMBER(_xlfn.XMATCH(CONTROL[[#This Row],[VEHIDCODE]],PROPERTIES[VEHIDCODE],0))</f>
        <v>1</v>
      </c>
      <c r="M659" t="b">
        <f>ISNUMBER(_xlfn.XMATCH(CONTROL[[#This Row],[VEHIDCODE]],#REF!,0))</f>
        <v>0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s="32" t="str">
        <f>"item_"&amp;CONTROL[[#This Row],[VEHIDCODE]]</f>
        <v>item_mu_Wagon_Gen2_Flat_Wagon</v>
      </c>
      <c r="Q659" s="32" t="str">
        <f>"str_"&amp;CONTROL[[#This Row],[VEHIDCODE]]</f>
        <v>str_mu_Wagon_Gen2_Flat_Wagon</v>
      </c>
    </row>
    <row r="660" spans="1:17">
      <c r="A660" s="2" t="s">
        <v>828</v>
      </c>
      <c r="B660" s="32" t="str">
        <f>_xlfn.TEXTAFTER(CONTROL[[#This Row],[VEHIDCODE]],"_")</f>
        <v>Wagon_Gen2_Boxcar_Type1</v>
      </c>
      <c r="C660" t="s">
        <v>731</v>
      </c>
      <c r="D660" t="s">
        <v>955</v>
      </c>
      <c r="E660">
        <v>12005</v>
      </c>
      <c r="F660" t="s">
        <v>1628</v>
      </c>
      <c r="G660" t="s">
        <v>1776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Row],[VEHIDCODE]],#REF!,0))</f>
        <v>0</v>
      </c>
      <c r="L660" t="b">
        <f>ISNUMBER(_xlfn.XMATCH(CONTROL[[#This Row],[VEHIDCODE]],PROPERTIES[VEHIDCODE],0))</f>
        <v>1</v>
      </c>
      <c r="M660" t="b">
        <f>ISNUMBER(_xlfn.XMATCH(CONTROL[[#This Row],[VEHIDCODE]],#REF!,0))</f>
        <v>0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s="32" t="str">
        <f>"item_"&amp;CONTROL[[#This Row],[VEHIDCODE]]</f>
        <v>item_mu_Wagon_Gen2_Boxcar_Type1</v>
      </c>
      <c r="Q660" s="32" t="str">
        <f>"str_"&amp;CONTROL[[#This Row],[VEHIDCODE]]</f>
        <v>str_mu_Wagon_Gen2_Boxcar_Type1</v>
      </c>
    </row>
    <row r="661" spans="1:17">
      <c r="A661" s="2" t="s">
        <v>829</v>
      </c>
      <c r="B661" s="32" t="str">
        <f>_xlfn.TEXTAFTER(CONTROL[[#This Row],[VEHIDCODE]],"_")</f>
        <v>Wagon_Gen2_Boxcar_Type2</v>
      </c>
      <c r="C661" t="s">
        <v>731</v>
      </c>
      <c r="D661" t="s">
        <v>955</v>
      </c>
      <c r="E661">
        <v>12038</v>
      </c>
      <c r="F661" t="s">
        <v>1628</v>
      </c>
      <c r="G661" t="s">
        <v>1776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Row],[VEHIDCODE]],#REF!,0))</f>
        <v>0</v>
      </c>
      <c r="L661" t="b">
        <f>ISNUMBER(_xlfn.XMATCH(CONTROL[[#This Row],[VEHIDCODE]],PROPERTIES[VEHIDCODE],0))</f>
        <v>1</v>
      </c>
      <c r="M661" t="b">
        <f>ISNUMBER(_xlfn.XMATCH(CONTROL[[#This Row],[VEHIDCODE]],#REF!,0))</f>
        <v>0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s="32" t="str">
        <f>"item_"&amp;CONTROL[[#This Row],[VEHIDCODE]]</f>
        <v>item_mu_Wagon_Gen2_Boxcar_Type2</v>
      </c>
      <c r="Q661" s="32" t="str">
        <f>"str_"&amp;CONTROL[[#This Row],[VEHIDCODE]]</f>
        <v>str_mu_Wagon_Gen2_Boxcar_Type2</v>
      </c>
    </row>
    <row r="662" spans="1:17">
      <c r="A662" s="2" t="s">
        <v>830</v>
      </c>
      <c r="B662" s="32" t="str">
        <f>_xlfn.TEXTAFTER(CONTROL[[#This Row],[VEHIDCODE]],"_")</f>
        <v>Wagon_Gen2_Tanker</v>
      </c>
      <c r="C662" t="s">
        <v>731</v>
      </c>
      <c r="D662" t="s">
        <v>955</v>
      </c>
      <c r="E662">
        <v>12006</v>
      </c>
      <c r="F662" t="s">
        <v>1629</v>
      </c>
      <c r="G662" t="s">
        <v>1776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Row],[VEHIDCODE]],#REF!,0))</f>
        <v>0</v>
      </c>
      <c r="L662" t="b">
        <f>ISNUMBER(_xlfn.XMATCH(CONTROL[[#This Row],[VEHIDCODE]],PROPERTIES[VEHIDCODE],0))</f>
        <v>1</v>
      </c>
      <c r="M662" t="b">
        <f>ISNUMBER(_xlfn.XMATCH(CONTROL[[#This Row],[VEHIDCODE]],#REF!,0))</f>
        <v>0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s="32" t="str">
        <f>"item_"&amp;CONTROL[[#This Row],[VEHIDCODE]]</f>
        <v>item_mu_Wagon_Gen2_Tanker</v>
      </c>
      <c r="Q662" s="32" t="str">
        <f>"str_"&amp;CONTROL[[#This Row],[VEHIDCODE]]</f>
        <v>str_mu_Wagon_Gen2_Tanker</v>
      </c>
    </row>
    <row r="663" spans="1:17">
      <c r="A663" s="2" t="s">
        <v>831</v>
      </c>
      <c r="B663" s="32" t="str">
        <f>_xlfn.TEXTAFTER(CONTROL[[#This Row],[VEHIDCODE]],"_")</f>
        <v>Wagon_Gen2_Open_Wagon</v>
      </c>
      <c r="C663" t="s">
        <v>731</v>
      </c>
      <c r="D663" t="s">
        <v>955</v>
      </c>
      <c r="E663">
        <v>12007</v>
      </c>
      <c r="F663" t="s">
        <v>1630</v>
      </c>
      <c r="G663" t="s">
        <v>1776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Row],[VEHIDCODE]],#REF!,0))</f>
        <v>0</v>
      </c>
      <c r="L663" t="b">
        <f>ISNUMBER(_xlfn.XMATCH(CONTROL[[#This Row],[VEHIDCODE]],PROPERTIES[VEHIDCODE],0))</f>
        <v>1</v>
      </c>
      <c r="M663" t="b">
        <f>ISNUMBER(_xlfn.XMATCH(CONTROL[[#This Row],[VEHIDCODE]],#REF!,0))</f>
        <v>0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s="32" t="str">
        <f>"item_"&amp;CONTROL[[#This Row],[VEHIDCODE]]</f>
        <v>item_mu_Wagon_Gen2_Open_Wagon</v>
      </c>
      <c r="Q663" s="32" t="str">
        <f>"str_"&amp;CONTROL[[#This Row],[VEHIDCODE]]</f>
        <v>str_mu_Wagon_Gen2_Open_Wagon</v>
      </c>
    </row>
    <row r="664" spans="1:17">
      <c r="A664" s="2" t="s">
        <v>832</v>
      </c>
      <c r="B664" s="32" t="str">
        <f>_xlfn.TEXTAFTER(CONTROL[[#This Row],[VEHIDCODE]],"_")</f>
        <v>Wagon_Gen2_Silo</v>
      </c>
      <c r="C664" t="s">
        <v>731</v>
      </c>
      <c r="D664" t="s">
        <v>955</v>
      </c>
      <c r="E664">
        <v>12008</v>
      </c>
      <c r="F664" t="s">
        <v>1631</v>
      </c>
      <c r="G664" t="s">
        <v>1776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Row],[VEHIDCODE]],#REF!,0))</f>
        <v>0</v>
      </c>
      <c r="L664" t="b">
        <f>ISNUMBER(_xlfn.XMATCH(CONTROL[[#This Row],[VEHIDCODE]],PROPERTIES[VEHIDCODE],0))</f>
        <v>1</v>
      </c>
      <c r="M664" t="b">
        <f>ISNUMBER(_xlfn.XMATCH(CONTROL[[#This Row],[VEHIDCODE]],#REF!,0))</f>
        <v>0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s="32" t="str">
        <f>"item_"&amp;CONTROL[[#This Row],[VEHIDCODE]]</f>
        <v>item_mu_Wagon_Gen2_Silo</v>
      </c>
      <c r="Q664" s="32" t="str">
        <f>"str_"&amp;CONTROL[[#This Row],[VEHIDCODE]]</f>
        <v>str_mu_Wagon_Gen2_Silo</v>
      </c>
    </row>
    <row r="665" spans="1:17">
      <c r="A665" s="2" t="s">
        <v>833</v>
      </c>
      <c r="B665" s="32" t="str">
        <f>_xlfn.TEXTAFTER(CONTROL[[#This Row],[VEHIDCODE]],"_")</f>
        <v>Wagon_Gen2_Hopper</v>
      </c>
      <c r="C665" t="s">
        <v>731</v>
      </c>
      <c r="D665" t="s">
        <v>955</v>
      </c>
      <c r="E665">
        <v>12009</v>
      </c>
      <c r="F665" t="s">
        <v>1632</v>
      </c>
      <c r="G665" t="s">
        <v>1776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Row],[VEHIDCODE]],#REF!,0))</f>
        <v>0</v>
      </c>
      <c r="L665" t="b">
        <f>ISNUMBER(_xlfn.XMATCH(CONTROL[[#This Row],[VEHIDCODE]],PROPERTIES[VEHIDCODE],0))</f>
        <v>1</v>
      </c>
      <c r="M665" t="b">
        <f>ISNUMBER(_xlfn.XMATCH(CONTROL[[#This Row],[VEHIDCODE]],#REF!,0))</f>
        <v>0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s="32" t="str">
        <f>"item_"&amp;CONTROL[[#This Row],[VEHIDCODE]]</f>
        <v>item_mu_Wagon_Gen2_Hopper</v>
      </c>
      <c r="Q665" s="32" t="str">
        <f>"str_"&amp;CONTROL[[#This Row],[VEHIDCODE]]</f>
        <v>str_mu_Wagon_Gen2_Hopper</v>
      </c>
    </row>
    <row r="666" spans="1:17">
      <c r="A666" s="2" t="s">
        <v>834</v>
      </c>
      <c r="B666" s="32" t="str">
        <f>_xlfn.TEXTAFTER(CONTROL[[#This Row],[VEHIDCODE]],"_")</f>
        <v>Wagon_Gen3_Flat_Wagon</v>
      </c>
      <c r="C666" t="s">
        <v>732</v>
      </c>
      <c r="D666" t="s">
        <v>955</v>
      </c>
      <c r="E666">
        <v>12010</v>
      </c>
      <c r="F666" t="s">
        <v>1633</v>
      </c>
      <c r="G666" t="s">
        <v>1776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Row],[VEHIDCODE]],#REF!,0))</f>
        <v>0</v>
      </c>
      <c r="L666" t="b">
        <f>ISNUMBER(_xlfn.XMATCH(CONTROL[[#This Row],[VEHIDCODE]],PROPERTIES[VEHIDCODE],0))</f>
        <v>1</v>
      </c>
      <c r="M666" t="b">
        <f>ISNUMBER(_xlfn.XMATCH(CONTROL[[#This Row],[VEHIDCODE]],#REF!,0))</f>
        <v>0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s="32" t="str">
        <f>"item_"&amp;CONTROL[[#This Row],[VEHIDCODE]]</f>
        <v>item_mu_Wagon_Gen3_Flat_Wagon</v>
      </c>
      <c r="Q666" s="32" t="str">
        <f>"str_"&amp;CONTROL[[#This Row],[VEHIDCODE]]</f>
        <v>str_mu_Wagon_Gen3_Flat_Wagon</v>
      </c>
    </row>
    <row r="667" spans="1:17">
      <c r="A667" s="2" t="s">
        <v>835</v>
      </c>
      <c r="B667" s="32" t="str">
        <f>_xlfn.TEXTAFTER(CONTROL[[#This Row],[VEHIDCODE]],"_")</f>
        <v>Wagon_Gen3_Boxcar_Type1</v>
      </c>
      <c r="C667" t="s">
        <v>732</v>
      </c>
      <c r="D667" t="s">
        <v>955</v>
      </c>
      <c r="E667">
        <v>12011</v>
      </c>
      <c r="F667" t="s">
        <v>1634</v>
      </c>
      <c r="G667" t="s">
        <v>1776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Row],[VEHIDCODE]],#REF!,0))</f>
        <v>0</v>
      </c>
      <c r="L667" t="b">
        <f>ISNUMBER(_xlfn.XMATCH(CONTROL[[#This Row],[VEHIDCODE]],PROPERTIES[VEHIDCODE],0))</f>
        <v>1</v>
      </c>
      <c r="M667" t="b">
        <f>ISNUMBER(_xlfn.XMATCH(CONTROL[[#This Row],[VEHIDCODE]],#REF!,0))</f>
        <v>0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s="32" t="str">
        <f>"item_"&amp;CONTROL[[#This Row],[VEHIDCODE]]</f>
        <v>item_mu_Wagon_Gen3_Boxcar_Type1</v>
      </c>
      <c r="Q667" s="32" t="str">
        <f>"str_"&amp;CONTROL[[#This Row],[VEHIDCODE]]</f>
        <v>str_mu_Wagon_Gen3_Boxcar_Type1</v>
      </c>
    </row>
    <row r="668" spans="1:17">
      <c r="A668" s="2" t="s">
        <v>836</v>
      </c>
      <c r="B668" s="32" t="str">
        <f>_xlfn.TEXTAFTER(CONTROL[[#This Row],[VEHIDCODE]],"_")</f>
        <v>Wagon_Gen3_Boxcar_Type2</v>
      </c>
      <c r="C668" t="s">
        <v>732</v>
      </c>
      <c r="D668" t="s">
        <v>955</v>
      </c>
      <c r="E668">
        <v>12047</v>
      </c>
      <c r="F668" t="s">
        <v>1634</v>
      </c>
      <c r="G668" t="s">
        <v>1776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Row],[VEHIDCODE]],#REF!,0))</f>
        <v>0</v>
      </c>
      <c r="L668" t="b">
        <f>ISNUMBER(_xlfn.XMATCH(CONTROL[[#This Row],[VEHIDCODE]],PROPERTIES[VEHIDCODE],0))</f>
        <v>1</v>
      </c>
      <c r="M668" t="b">
        <f>ISNUMBER(_xlfn.XMATCH(CONTROL[[#This Row],[VEHIDCODE]],#REF!,0))</f>
        <v>0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s="32" t="str">
        <f>"item_"&amp;CONTROL[[#This Row],[VEHIDCODE]]</f>
        <v>item_mu_Wagon_Gen3_Boxcar_Type2</v>
      </c>
      <c r="Q668" s="32" t="str">
        <f>"str_"&amp;CONTROL[[#This Row],[VEHIDCODE]]</f>
        <v>str_mu_Wagon_Gen3_Boxcar_Type2</v>
      </c>
    </row>
    <row r="669" spans="1:17">
      <c r="A669" s="2" t="s">
        <v>837</v>
      </c>
      <c r="B669" s="32" t="str">
        <f>_xlfn.TEXTAFTER(CONTROL[[#This Row],[VEHIDCODE]],"_")</f>
        <v>Wagon_Gen3_Tanker</v>
      </c>
      <c r="C669" t="s">
        <v>732</v>
      </c>
      <c r="D669" t="s">
        <v>955</v>
      </c>
      <c r="E669">
        <v>12012</v>
      </c>
      <c r="F669" t="s">
        <v>1635</v>
      </c>
      <c r="G669" t="s">
        <v>1776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Row],[VEHIDCODE]],#REF!,0))</f>
        <v>0</v>
      </c>
      <c r="L669" t="b">
        <f>ISNUMBER(_xlfn.XMATCH(CONTROL[[#This Row],[VEHIDCODE]],PROPERTIES[VEHIDCODE],0))</f>
        <v>1</v>
      </c>
      <c r="M669" t="b">
        <f>ISNUMBER(_xlfn.XMATCH(CONTROL[[#This Row],[VEHIDCODE]],#REF!,0))</f>
        <v>0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s="32" t="str">
        <f>"item_"&amp;CONTROL[[#This Row],[VEHIDCODE]]</f>
        <v>item_mu_Wagon_Gen3_Tanker</v>
      </c>
      <c r="Q669" s="32" t="str">
        <f>"str_"&amp;CONTROL[[#This Row],[VEHIDCODE]]</f>
        <v>str_mu_Wagon_Gen3_Tanker</v>
      </c>
    </row>
    <row r="670" spans="1:17">
      <c r="A670" s="2" t="s">
        <v>838</v>
      </c>
      <c r="B670" s="32" t="str">
        <f>_xlfn.TEXTAFTER(CONTROL[[#This Row],[VEHIDCODE]],"_")</f>
        <v>Wagon_Gen3_Open_Wagon</v>
      </c>
      <c r="C670" t="s">
        <v>732</v>
      </c>
      <c r="D670" t="s">
        <v>955</v>
      </c>
      <c r="E670">
        <v>12013</v>
      </c>
      <c r="F670" t="s">
        <v>1636</v>
      </c>
      <c r="G670" t="s">
        <v>1776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Row],[VEHIDCODE]],#REF!,0))</f>
        <v>0</v>
      </c>
      <c r="L670" t="b">
        <f>ISNUMBER(_xlfn.XMATCH(CONTROL[[#This Row],[VEHIDCODE]],PROPERTIES[VEHIDCODE],0))</f>
        <v>1</v>
      </c>
      <c r="M670" t="b">
        <f>ISNUMBER(_xlfn.XMATCH(CONTROL[[#This Row],[VEHIDCODE]],#REF!,0))</f>
        <v>0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s="32" t="str">
        <f>"item_"&amp;CONTROL[[#This Row],[VEHIDCODE]]</f>
        <v>item_mu_Wagon_Gen3_Open_Wagon</v>
      </c>
      <c r="Q670" s="32" t="str">
        <f>"str_"&amp;CONTROL[[#This Row],[VEHIDCODE]]</f>
        <v>str_mu_Wagon_Gen3_Open_Wagon</v>
      </c>
    </row>
    <row r="671" spans="1:17">
      <c r="A671" s="2" t="s">
        <v>839</v>
      </c>
      <c r="B671" s="32" t="str">
        <f>_xlfn.TEXTAFTER(CONTROL[[#This Row],[VEHIDCODE]],"_")</f>
        <v>Wagon_Gen3_Silo_Type1</v>
      </c>
      <c r="C671" t="s">
        <v>732</v>
      </c>
      <c r="D671" t="s">
        <v>955</v>
      </c>
      <c r="E671">
        <v>12014</v>
      </c>
      <c r="F671" t="s">
        <v>1637</v>
      </c>
      <c r="G671" t="s">
        <v>1776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Row],[VEHIDCODE]],#REF!,0))</f>
        <v>0</v>
      </c>
      <c r="L671" t="b">
        <f>ISNUMBER(_xlfn.XMATCH(CONTROL[[#This Row],[VEHIDCODE]],PROPERTIES[VEHIDCODE],0))</f>
        <v>1</v>
      </c>
      <c r="M671" t="b">
        <f>ISNUMBER(_xlfn.XMATCH(CONTROL[[#This Row],[VEHIDCODE]],#REF!,0))</f>
        <v>0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s="32" t="str">
        <f>"item_"&amp;CONTROL[[#This Row],[VEHIDCODE]]</f>
        <v>item_mu_Wagon_Gen3_Silo_Type1</v>
      </c>
      <c r="Q671" s="32" t="str">
        <f>"str_"&amp;CONTROL[[#This Row],[VEHIDCODE]]</f>
        <v>str_mu_Wagon_Gen3_Silo_Type1</v>
      </c>
    </row>
    <row r="672" spans="1:17">
      <c r="A672" s="2" t="s">
        <v>840</v>
      </c>
      <c r="B672" s="32" t="str">
        <f>_xlfn.TEXTAFTER(CONTROL[[#This Row],[VEHIDCODE]],"_")</f>
        <v>Wagon_Gen3_Silo_Type2</v>
      </c>
      <c r="C672" t="s">
        <v>732</v>
      </c>
      <c r="D672" t="s">
        <v>955</v>
      </c>
      <c r="E672">
        <v>12039</v>
      </c>
      <c r="F672" t="s">
        <v>1637</v>
      </c>
      <c r="G672" t="s">
        <v>1776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Row],[VEHIDCODE]],#REF!,0))</f>
        <v>0</v>
      </c>
      <c r="L672" t="b">
        <f>ISNUMBER(_xlfn.XMATCH(CONTROL[[#This Row],[VEHIDCODE]],PROPERTIES[VEHIDCODE],0))</f>
        <v>1</v>
      </c>
      <c r="M672" t="b">
        <f>ISNUMBER(_xlfn.XMATCH(CONTROL[[#This Row],[VEHIDCODE]],#REF!,0))</f>
        <v>0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s="32" t="str">
        <f>"item_"&amp;CONTROL[[#This Row],[VEHIDCODE]]</f>
        <v>item_mu_Wagon_Gen3_Silo_Type2</v>
      </c>
      <c r="Q672" s="32" t="str">
        <f>"str_"&amp;CONTROL[[#This Row],[VEHIDCODE]]</f>
        <v>str_mu_Wagon_Gen3_Silo_Type2</v>
      </c>
    </row>
    <row r="673" spans="1:17">
      <c r="A673" s="2" t="s">
        <v>841</v>
      </c>
      <c r="B673" s="32" t="str">
        <f>_xlfn.TEXTAFTER(CONTROL[[#This Row],[VEHIDCODE]],"_")</f>
        <v>Wagon_Gen3_Hopper</v>
      </c>
      <c r="C673" t="s">
        <v>732</v>
      </c>
      <c r="D673" t="s">
        <v>955</v>
      </c>
      <c r="E673">
        <v>12015</v>
      </c>
      <c r="F673" t="s">
        <v>1638</v>
      </c>
      <c r="G673" t="s">
        <v>1776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Row],[VEHIDCODE]],#REF!,0))</f>
        <v>0</v>
      </c>
      <c r="L673" t="b">
        <f>ISNUMBER(_xlfn.XMATCH(CONTROL[[#This Row],[VEHIDCODE]],PROPERTIES[VEHIDCODE],0))</f>
        <v>1</v>
      </c>
      <c r="M673" t="b">
        <f>ISNUMBER(_xlfn.XMATCH(CONTROL[[#This Row],[VEHIDCODE]],#REF!,0))</f>
        <v>0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s="32" t="str">
        <f>"item_"&amp;CONTROL[[#This Row],[VEHIDCODE]]</f>
        <v>item_mu_Wagon_Gen3_Hopper</v>
      </c>
      <c r="Q673" s="32" t="str">
        <f>"str_"&amp;CONTROL[[#This Row],[VEHIDCODE]]</f>
        <v>str_mu_Wagon_Gen3_Hopper</v>
      </c>
    </row>
    <row r="674" spans="1:17">
      <c r="A674" s="2" t="s">
        <v>842</v>
      </c>
      <c r="B674" s="32" t="str">
        <f>_xlfn.TEXTAFTER(CONTROL[[#This Row],[VEHIDCODE]],"_")</f>
        <v>Wagon_Gen4_Flatcar</v>
      </c>
      <c r="C674" t="s">
        <v>733</v>
      </c>
      <c r="D674" t="s">
        <v>955</v>
      </c>
      <c r="E674">
        <v>12016</v>
      </c>
      <c r="F674" t="s">
        <v>1639</v>
      </c>
      <c r="G674" t="s">
        <v>1776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Row],[VEHIDCODE]],#REF!,0))</f>
        <v>0</v>
      </c>
      <c r="L674" t="b">
        <f>ISNUMBER(_xlfn.XMATCH(CONTROL[[#This Row],[VEHIDCODE]],PROPERTIES[VEHIDCODE],0))</f>
        <v>1</v>
      </c>
      <c r="M674" t="b">
        <f>ISNUMBER(_xlfn.XMATCH(CONTROL[[#This Row],[VEHIDCODE]],#REF!,0))</f>
        <v>0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s="32" t="str">
        <f>"item_"&amp;CONTROL[[#This Row],[VEHIDCODE]]</f>
        <v>item_mu_Wagon_Gen4_Flatcar</v>
      </c>
      <c r="Q674" s="32" t="str">
        <f>"str_"&amp;CONTROL[[#This Row],[VEHIDCODE]]</f>
        <v>str_mu_Wagon_Gen4_Flatcar</v>
      </c>
    </row>
    <row r="675" spans="1:17">
      <c r="A675" s="2" t="s">
        <v>843</v>
      </c>
      <c r="B675" s="32" t="str">
        <f>_xlfn.TEXTAFTER(CONTROL[[#This Row],[VEHIDCODE]],"_")</f>
        <v>Wagon_Gen4_Heavy_Flatcar</v>
      </c>
      <c r="C675" t="s">
        <v>733</v>
      </c>
      <c r="D675" t="s">
        <v>955</v>
      </c>
      <c r="E675">
        <v>12017</v>
      </c>
      <c r="F675" t="s">
        <v>1640</v>
      </c>
      <c r="G675" t="s">
        <v>1776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Row],[VEHIDCODE]],#REF!,0))</f>
        <v>0</v>
      </c>
      <c r="L675" t="b">
        <f>ISNUMBER(_xlfn.XMATCH(CONTROL[[#This Row],[VEHIDCODE]],PROPERTIES[VEHIDCODE],0))</f>
        <v>1</v>
      </c>
      <c r="M675" t="b">
        <f>ISNUMBER(_xlfn.XMATCH(CONTROL[[#This Row],[VEHIDCODE]],#REF!,0))</f>
        <v>0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s="32" t="str">
        <f>"item_"&amp;CONTROL[[#This Row],[VEHIDCODE]]</f>
        <v>item_mu_Wagon_Gen4_Heavy_Flatcar</v>
      </c>
      <c r="Q675" s="32" t="str">
        <f>"str_"&amp;CONTROL[[#This Row],[VEHIDCODE]]</f>
        <v>str_mu_Wagon_Gen4_Heavy_Flatcar</v>
      </c>
    </row>
    <row r="676" spans="1:17">
      <c r="A676" s="2" t="s">
        <v>844</v>
      </c>
      <c r="B676" s="32" t="str">
        <f>_xlfn.TEXTAFTER(CONTROL[[#This Row],[VEHIDCODE]],"_")</f>
        <v>Wagon_Gen4_Boxcar_Type1</v>
      </c>
      <c r="C676" t="s">
        <v>733</v>
      </c>
      <c r="D676" t="s">
        <v>955</v>
      </c>
      <c r="E676">
        <v>12018</v>
      </c>
      <c r="F676" t="s">
        <v>1641</v>
      </c>
      <c r="G676" t="s">
        <v>1776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Row],[VEHIDCODE]],#REF!,0))</f>
        <v>0</v>
      </c>
      <c r="L676" t="b">
        <f>ISNUMBER(_xlfn.XMATCH(CONTROL[[#This Row],[VEHIDCODE]],PROPERTIES[VEHIDCODE],0))</f>
        <v>1</v>
      </c>
      <c r="M676" t="b">
        <f>ISNUMBER(_xlfn.XMATCH(CONTROL[[#This Row],[VEHIDCODE]],#REF!,0))</f>
        <v>0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s="32" t="str">
        <f>"item_"&amp;CONTROL[[#This Row],[VEHIDCODE]]</f>
        <v>item_mu_Wagon_Gen4_Boxcar_Type1</v>
      </c>
      <c r="Q676" s="32" t="str">
        <f>"str_"&amp;CONTROL[[#This Row],[VEHIDCODE]]</f>
        <v>str_mu_Wagon_Gen4_Boxcar_Type1</v>
      </c>
    </row>
    <row r="677" spans="1:17">
      <c r="A677" s="2" t="s">
        <v>845</v>
      </c>
      <c r="B677" s="32" t="str">
        <f>_xlfn.TEXTAFTER(CONTROL[[#This Row],[VEHIDCODE]],"_")</f>
        <v>Wagon_Gen4_Boxcar_Type2</v>
      </c>
      <c r="C677" t="s">
        <v>733</v>
      </c>
      <c r="D677" t="s">
        <v>955</v>
      </c>
      <c r="E677">
        <v>12048</v>
      </c>
      <c r="F677" t="s">
        <v>1641</v>
      </c>
      <c r="G677" t="s">
        <v>1776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Row],[VEHIDCODE]],#REF!,0))</f>
        <v>0</v>
      </c>
      <c r="L677" t="b">
        <f>ISNUMBER(_xlfn.XMATCH(CONTROL[[#This Row],[VEHIDCODE]],PROPERTIES[VEHIDCODE],0))</f>
        <v>1</v>
      </c>
      <c r="M677" t="b">
        <f>ISNUMBER(_xlfn.XMATCH(CONTROL[[#This Row],[VEHIDCODE]],#REF!,0))</f>
        <v>0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s="32" t="str">
        <f>"item_"&amp;CONTROL[[#This Row],[VEHIDCODE]]</f>
        <v>item_mu_Wagon_Gen4_Boxcar_Type2</v>
      </c>
      <c r="Q677" s="32" t="str">
        <f>"str_"&amp;CONTROL[[#This Row],[VEHIDCODE]]</f>
        <v>str_mu_Wagon_Gen4_Boxcar_Type2</v>
      </c>
    </row>
    <row r="678" spans="1:17">
      <c r="A678" s="2" t="s">
        <v>846</v>
      </c>
      <c r="B678" s="32" t="str">
        <f>_xlfn.TEXTAFTER(CONTROL[[#This Row],[VEHIDCODE]],"_")</f>
        <v>Wagon_Gen4_Tanker</v>
      </c>
      <c r="C678" t="s">
        <v>733</v>
      </c>
      <c r="D678" t="s">
        <v>955</v>
      </c>
      <c r="E678">
        <v>12019</v>
      </c>
      <c r="F678" t="s">
        <v>1642</v>
      </c>
      <c r="G678" t="s">
        <v>1776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Row],[VEHIDCODE]],#REF!,0))</f>
        <v>0</v>
      </c>
      <c r="L678" t="b">
        <f>ISNUMBER(_xlfn.XMATCH(CONTROL[[#This Row],[VEHIDCODE]],PROPERTIES[VEHIDCODE],0))</f>
        <v>1</v>
      </c>
      <c r="M678" t="b">
        <f>ISNUMBER(_xlfn.XMATCH(CONTROL[[#This Row],[VEHIDCODE]],#REF!,0))</f>
        <v>0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s="32" t="str">
        <f>"item_"&amp;CONTROL[[#This Row],[VEHIDCODE]]</f>
        <v>item_mu_Wagon_Gen4_Tanker</v>
      </c>
      <c r="Q678" s="32" t="str">
        <f>"str_"&amp;CONTROL[[#This Row],[VEHIDCODE]]</f>
        <v>str_mu_Wagon_Gen4_Tanker</v>
      </c>
    </row>
    <row r="679" spans="1:17">
      <c r="A679" s="2" t="s">
        <v>847</v>
      </c>
      <c r="B679" s="32" t="str">
        <f>_xlfn.TEXTAFTER(CONTROL[[#This Row],[VEHIDCODE]],"_")</f>
        <v>Wagon_Gen4_Gondola</v>
      </c>
      <c r="C679" t="s">
        <v>733</v>
      </c>
      <c r="D679" t="s">
        <v>955</v>
      </c>
      <c r="E679">
        <v>12020</v>
      </c>
      <c r="F679" t="s">
        <v>1643</v>
      </c>
      <c r="G679" t="s">
        <v>1776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Row],[VEHIDCODE]],#REF!,0))</f>
        <v>0</v>
      </c>
      <c r="L679" t="b">
        <f>ISNUMBER(_xlfn.XMATCH(CONTROL[[#This Row],[VEHIDCODE]],PROPERTIES[VEHIDCODE],0))</f>
        <v>1</v>
      </c>
      <c r="M679" t="b">
        <f>ISNUMBER(_xlfn.XMATCH(CONTROL[[#This Row],[VEHIDCODE]],#REF!,0))</f>
        <v>0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s="32" t="str">
        <f>"item_"&amp;CONTROL[[#This Row],[VEHIDCODE]]</f>
        <v>item_mu_Wagon_Gen4_Gondola</v>
      </c>
      <c r="Q679" s="32" t="str">
        <f>"str_"&amp;CONTROL[[#This Row],[VEHIDCODE]]</f>
        <v>str_mu_Wagon_Gen4_Gondola</v>
      </c>
    </row>
    <row r="680" spans="1:17">
      <c r="A680" s="2" t="s">
        <v>848</v>
      </c>
      <c r="B680" s="32" t="str">
        <f>_xlfn.TEXTAFTER(CONTROL[[#This Row],[VEHIDCODE]],"_")</f>
        <v>Wagon_Gen4_Silo_Type1</v>
      </c>
      <c r="C680" t="s">
        <v>733</v>
      </c>
      <c r="D680" t="s">
        <v>955</v>
      </c>
      <c r="E680">
        <v>12021</v>
      </c>
      <c r="F680" t="s">
        <v>1644</v>
      </c>
      <c r="G680" t="s">
        <v>1776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Row],[VEHIDCODE]],#REF!,0))</f>
        <v>0</v>
      </c>
      <c r="L680" t="b">
        <f>ISNUMBER(_xlfn.XMATCH(CONTROL[[#This Row],[VEHIDCODE]],PROPERTIES[VEHIDCODE],0))</f>
        <v>1</v>
      </c>
      <c r="M680" t="b">
        <f>ISNUMBER(_xlfn.XMATCH(CONTROL[[#This Row],[VEHIDCODE]],#REF!,0))</f>
        <v>0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s="32" t="str">
        <f>"item_"&amp;CONTROL[[#This Row],[VEHIDCODE]]</f>
        <v>item_mu_Wagon_Gen4_Silo_Type1</v>
      </c>
      <c r="Q680" s="32" t="str">
        <f>"str_"&amp;CONTROL[[#This Row],[VEHIDCODE]]</f>
        <v>str_mu_Wagon_Gen4_Silo_Type1</v>
      </c>
    </row>
    <row r="681" spans="1:17">
      <c r="A681" s="2" t="s">
        <v>849</v>
      </c>
      <c r="B681" s="32" t="str">
        <f>_xlfn.TEXTAFTER(CONTROL[[#This Row],[VEHIDCODE]],"_")</f>
        <v>Wagon_Gen4_Silo_Type2</v>
      </c>
      <c r="C681" t="s">
        <v>733</v>
      </c>
      <c r="D681" t="s">
        <v>955</v>
      </c>
      <c r="E681">
        <v>12040</v>
      </c>
      <c r="F681" t="s">
        <v>1644</v>
      </c>
      <c r="G681" t="s">
        <v>1776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Row],[VEHIDCODE]],#REF!,0))</f>
        <v>0</v>
      </c>
      <c r="L681" t="b">
        <f>ISNUMBER(_xlfn.XMATCH(CONTROL[[#This Row],[VEHIDCODE]],PROPERTIES[VEHIDCODE],0))</f>
        <v>1</v>
      </c>
      <c r="M681" t="b">
        <f>ISNUMBER(_xlfn.XMATCH(CONTROL[[#This Row],[VEHIDCODE]],#REF!,0))</f>
        <v>0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s="32" t="str">
        <f>"item_"&amp;CONTROL[[#This Row],[VEHIDCODE]]</f>
        <v>item_mu_Wagon_Gen4_Silo_Type2</v>
      </c>
      <c r="Q681" s="32" t="str">
        <f>"str_"&amp;CONTROL[[#This Row],[VEHIDCODE]]</f>
        <v>str_mu_Wagon_Gen4_Silo_Type2</v>
      </c>
    </row>
    <row r="682" spans="1:17">
      <c r="A682" s="2" t="s">
        <v>850</v>
      </c>
      <c r="B682" s="32" t="str">
        <f>_xlfn.TEXTAFTER(CONTROL[[#This Row],[VEHIDCODE]],"_")</f>
        <v>Wagon_Gen4_Hopper_Type1</v>
      </c>
      <c r="C682" t="s">
        <v>733</v>
      </c>
      <c r="D682" t="s">
        <v>955</v>
      </c>
      <c r="E682">
        <v>12022</v>
      </c>
      <c r="F682" t="s">
        <v>1645</v>
      </c>
      <c r="G682" t="s">
        <v>1776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Row],[VEHIDCODE]],#REF!,0))</f>
        <v>0</v>
      </c>
      <c r="L682" t="b">
        <f>ISNUMBER(_xlfn.XMATCH(CONTROL[[#This Row],[VEHIDCODE]],PROPERTIES[VEHIDCODE],0))</f>
        <v>1</v>
      </c>
      <c r="M682" t="b">
        <f>ISNUMBER(_xlfn.XMATCH(CONTROL[[#This Row],[VEHIDCODE]],#REF!,0))</f>
        <v>0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s="32" t="str">
        <f>"item_"&amp;CONTROL[[#This Row],[VEHIDCODE]]</f>
        <v>item_mu_Wagon_Gen4_Hopper_Type1</v>
      </c>
      <c r="Q682" s="32" t="str">
        <f>"str_"&amp;CONTROL[[#This Row],[VEHIDCODE]]</f>
        <v>str_mu_Wagon_Gen4_Hopper_Type1</v>
      </c>
    </row>
    <row r="683" spans="1:17">
      <c r="A683" s="2" t="s">
        <v>851</v>
      </c>
      <c r="B683" s="32" t="str">
        <f>_xlfn.TEXTAFTER(CONTROL[[#This Row],[VEHIDCODE]],"_")</f>
        <v>Wagon_Gen4_Hopper_Type2</v>
      </c>
      <c r="C683" t="s">
        <v>733</v>
      </c>
      <c r="D683" t="s">
        <v>955</v>
      </c>
      <c r="E683">
        <v>12041</v>
      </c>
      <c r="F683" t="s">
        <v>1645</v>
      </c>
      <c r="G683" t="s">
        <v>1776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Row],[VEHIDCODE]],#REF!,0))</f>
        <v>0</v>
      </c>
      <c r="L683" t="b">
        <f>ISNUMBER(_xlfn.XMATCH(CONTROL[[#This Row],[VEHIDCODE]],PROPERTIES[VEHIDCODE],0))</f>
        <v>1</v>
      </c>
      <c r="M683" t="b">
        <f>ISNUMBER(_xlfn.XMATCH(CONTROL[[#This Row],[VEHIDCODE]],#REF!,0))</f>
        <v>0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s="32" t="str">
        <f>"item_"&amp;CONTROL[[#This Row],[VEHIDCODE]]</f>
        <v>item_mu_Wagon_Gen4_Hopper_Type2</v>
      </c>
      <c r="Q683" s="32" t="str">
        <f>"str_"&amp;CONTROL[[#This Row],[VEHIDCODE]]</f>
        <v>str_mu_Wagon_Gen4_Hopper_Type2</v>
      </c>
    </row>
    <row r="684" spans="1:17">
      <c r="A684" s="2" t="s">
        <v>852</v>
      </c>
      <c r="B684" s="32" t="str">
        <f>_xlfn.TEXTAFTER(CONTROL[[#This Row],[VEHIDCODE]],"_")</f>
        <v>Wagon_Gen4_Car_Transporter</v>
      </c>
      <c r="C684" t="s">
        <v>733</v>
      </c>
      <c r="D684" t="s">
        <v>955</v>
      </c>
      <c r="E684">
        <v>12023</v>
      </c>
      <c r="F684" t="s">
        <v>1646</v>
      </c>
      <c r="G684" t="s">
        <v>1776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Row],[VEHIDCODE]],#REF!,0))</f>
        <v>0</v>
      </c>
      <c r="L684" t="b">
        <f>ISNUMBER(_xlfn.XMATCH(CONTROL[[#This Row],[VEHIDCODE]],PROPERTIES[VEHIDCODE],0))</f>
        <v>1</v>
      </c>
      <c r="M684" t="b">
        <f>ISNUMBER(_xlfn.XMATCH(CONTROL[[#This Row],[VEHIDCODE]],#REF!,0))</f>
        <v>0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s="32" t="str">
        <f>"item_"&amp;CONTROL[[#This Row],[VEHIDCODE]]</f>
        <v>item_mu_Wagon_Gen4_Car_Transporter</v>
      </c>
      <c r="Q684" s="32" t="str">
        <f>"str_"&amp;CONTROL[[#This Row],[VEHIDCODE]]</f>
        <v>str_mu_Wagon_Gen4_Car_Transporter</v>
      </c>
    </row>
    <row r="685" spans="1:17">
      <c r="A685" s="2" t="s">
        <v>853</v>
      </c>
      <c r="B685" s="32" t="str">
        <f>_xlfn.TEXTAFTER(CONTROL[[#This Row],[VEHIDCODE]],"_")</f>
        <v>Wagon_Gen4_Container_Carrier</v>
      </c>
      <c r="C685" t="s">
        <v>733</v>
      </c>
      <c r="D685" t="s">
        <v>955</v>
      </c>
      <c r="E685">
        <v>12024</v>
      </c>
      <c r="F685" t="s">
        <v>1647</v>
      </c>
      <c r="G685" t="s">
        <v>1776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Row],[VEHIDCODE]],#REF!,0))</f>
        <v>0</v>
      </c>
      <c r="L685" t="b">
        <f>ISNUMBER(_xlfn.XMATCH(CONTROL[[#This Row],[VEHIDCODE]],PROPERTIES[VEHIDCODE],0))</f>
        <v>1</v>
      </c>
      <c r="M685" t="b">
        <f>ISNUMBER(_xlfn.XMATCH(CONTROL[[#This Row],[VEHIDCODE]],#REF!,0))</f>
        <v>0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s="32" t="str">
        <f>"item_"&amp;CONTROL[[#This Row],[VEHIDCODE]]</f>
        <v>item_mu_Wagon_Gen4_Container_Carrier</v>
      </c>
      <c r="Q685" s="32" t="str">
        <f>"str_"&amp;CONTROL[[#This Row],[VEHIDCODE]]</f>
        <v>str_mu_Wagon_Gen4_Container_Carrier</v>
      </c>
    </row>
    <row r="686" spans="1:17">
      <c r="A686" s="2" t="s">
        <v>854</v>
      </c>
      <c r="B686" s="32" t="str">
        <f>_xlfn.TEXTAFTER(CONTROL[[#This Row],[VEHIDCODE]],"_")</f>
        <v>Wagon_Gen4_Centerbeam</v>
      </c>
      <c r="C686" t="s">
        <v>733</v>
      </c>
      <c r="D686" t="s">
        <v>955</v>
      </c>
      <c r="E686">
        <v>12025</v>
      </c>
      <c r="F686" t="s">
        <v>1648</v>
      </c>
      <c r="G686" t="s">
        <v>1776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Row],[VEHIDCODE]],#REF!,0))</f>
        <v>0</v>
      </c>
      <c r="L686" t="b">
        <f>ISNUMBER(_xlfn.XMATCH(CONTROL[[#This Row],[VEHIDCODE]],PROPERTIES[VEHIDCODE],0))</f>
        <v>1</v>
      </c>
      <c r="M686" t="b">
        <f>ISNUMBER(_xlfn.XMATCH(CONTROL[[#This Row],[VEHIDCODE]],#REF!,0))</f>
        <v>0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s="32" t="str">
        <f>"item_"&amp;CONTROL[[#This Row],[VEHIDCODE]]</f>
        <v>item_mu_Wagon_Gen4_Centerbeam</v>
      </c>
      <c r="Q686" s="32" t="str">
        <f>"str_"&amp;CONTROL[[#This Row],[VEHIDCODE]]</f>
        <v>str_mu_Wagon_Gen4_Centerbeam</v>
      </c>
    </row>
    <row r="687" spans="1:17">
      <c r="A687" s="2" t="s">
        <v>855</v>
      </c>
      <c r="B687" s="32" t="str">
        <f>_xlfn.TEXTAFTER(CONTROL[[#This Row],[VEHIDCODE]],"_")</f>
        <v>Wagon_Gen5_Flatcar</v>
      </c>
      <c r="C687" t="s">
        <v>734</v>
      </c>
      <c r="D687" t="s">
        <v>955</v>
      </c>
      <c r="E687">
        <v>12026</v>
      </c>
      <c r="F687" t="s">
        <v>1649</v>
      </c>
      <c r="G687" t="s">
        <v>1776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Row],[VEHIDCODE]],#REF!,0))</f>
        <v>0</v>
      </c>
      <c r="L687" t="b">
        <f>ISNUMBER(_xlfn.XMATCH(CONTROL[[#This Row],[VEHIDCODE]],PROPERTIES[VEHIDCODE],0))</f>
        <v>1</v>
      </c>
      <c r="M687" t="b">
        <f>ISNUMBER(_xlfn.XMATCH(CONTROL[[#This Row],[VEHIDCODE]],#REF!,0))</f>
        <v>0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s="32" t="str">
        <f>"item_"&amp;CONTROL[[#This Row],[VEHIDCODE]]</f>
        <v>item_mu_Wagon_Gen5_Flatcar</v>
      </c>
      <c r="Q687" s="32" t="str">
        <f>"str_"&amp;CONTROL[[#This Row],[VEHIDCODE]]</f>
        <v>str_mu_Wagon_Gen5_Flatcar</v>
      </c>
    </row>
    <row r="688" spans="1:17">
      <c r="A688" s="2" t="s">
        <v>856</v>
      </c>
      <c r="B688" s="32" t="str">
        <f>_xlfn.TEXTAFTER(CONTROL[[#This Row],[VEHIDCODE]],"_")</f>
        <v>Wagon_Gen5_Heavy_Flatcar</v>
      </c>
      <c r="C688" t="s">
        <v>734</v>
      </c>
      <c r="D688" t="s">
        <v>955</v>
      </c>
      <c r="E688">
        <v>12027</v>
      </c>
      <c r="F688" t="s">
        <v>1650</v>
      </c>
      <c r="G688" t="s">
        <v>1776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Row],[VEHIDCODE]],#REF!,0))</f>
        <v>0</v>
      </c>
      <c r="L688" t="b">
        <f>ISNUMBER(_xlfn.XMATCH(CONTROL[[#This Row],[VEHIDCODE]],PROPERTIES[VEHIDCODE],0))</f>
        <v>1</v>
      </c>
      <c r="M688" t="b">
        <f>ISNUMBER(_xlfn.XMATCH(CONTROL[[#This Row],[VEHIDCODE]],#REF!,0))</f>
        <v>0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s="32" t="str">
        <f>"item_"&amp;CONTROL[[#This Row],[VEHIDCODE]]</f>
        <v>item_mu_Wagon_Gen5_Heavy_Flatcar</v>
      </c>
      <c r="Q688" s="32" t="str">
        <f>"str_"&amp;CONTROL[[#This Row],[VEHIDCODE]]</f>
        <v>str_mu_Wagon_Gen5_Heavy_Flatcar</v>
      </c>
    </row>
    <row r="689" spans="1:17">
      <c r="A689" s="2" t="s">
        <v>857</v>
      </c>
      <c r="B689" s="32" t="str">
        <f>_xlfn.TEXTAFTER(CONTROL[[#This Row],[VEHIDCODE]],"_")</f>
        <v>Wagon_Gen5_Boxcar_Type1</v>
      </c>
      <c r="C689" t="s">
        <v>734</v>
      </c>
      <c r="D689" t="s">
        <v>955</v>
      </c>
      <c r="E689">
        <v>12028</v>
      </c>
      <c r="F689" t="s">
        <v>1651</v>
      </c>
      <c r="G689" t="s">
        <v>1776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Row],[VEHIDCODE]],#REF!,0))</f>
        <v>0</v>
      </c>
      <c r="L689" t="b">
        <f>ISNUMBER(_xlfn.XMATCH(CONTROL[[#This Row],[VEHIDCODE]],PROPERTIES[VEHIDCODE],0))</f>
        <v>1</v>
      </c>
      <c r="M689" t="b">
        <f>ISNUMBER(_xlfn.XMATCH(CONTROL[[#This Row],[VEHIDCODE]],#REF!,0))</f>
        <v>0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s="32" t="str">
        <f>"item_"&amp;CONTROL[[#This Row],[VEHIDCODE]]</f>
        <v>item_mu_Wagon_Gen5_Boxcar_Type1</v>
      </c>
      <c r="Q689" s="32" t="str">
        <f>"str_"&amp;CONTROL[[#This Row],[VEHIDCODE]]</f>
        <v>str_mu_Wagon_Gen5_Boxcar_Type1</v>
      </c>
    </row>
    <row r="690" spans="1:17">
      <c r="A690" s="2" t="s">
        <v>858</v>
      </c>
      <c r="B690" s="32" t="str">
        <f>_xlfn.TEXTAFTER(CONTROL[[#This Row],[VEHIDCODE]],"_")</f>
        <v>Wagon_Gen5_Boxcar_Type2</v>
      </c>
      <c r="C690" t="s">
        <v>734</v>
      </c>
      <c r="D690" t="s">
        <v>955</v>
      </c>
      <c r="E690">
        <v>12042</v>
      </c>
      <c r="F690" t="s">
        <v>1651</v>
      </c>
      <c r="G690" t="s">
        <v>1776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Row],[VEHIDCODE]],#REF!,0))</f>
        <v>0</v>
      </c>
      <c r="L690" t="b">
        <f>ISNUMBER(_xlfn.XMATCH(CONTROL[[#This Row],[VEHIDCODE]],PROPERTIES[VEHIDCODE],0))</f>
        <v>1</v>
      </c>
      <c r="M690" t="b">
        <f>ISNUMBER(_xlfn.XMATCH(CONTROL[[#This Row],[VEHIDCODE]],#REF!,0))</f>
        <v>0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s="32" t="str">
        <f>"item_"&amp;CONTROL[[#This Row],[VEHIDCODE]]</f>
        <v>item_mu_Wagon_Gen5_Boxcar_Type2</v>
      </c>
      <c r="Q690" s="32" t="str">
        <f>"str_"&amp;CONTROL[[#This Row],[VEHIDCODE]]</f>
        <v>str_mu_Wagon_Gen5_Boxcar_Type2</v>
      </c>
    </row>
    <row r="691" spans="1:17">
      <c r="A691" s="2" t="s">
        <v>859</v>
      </c>
      <c r="B691" s="32" t="str">
        <f>_xlfn.TEXTAFTER(CONTROL[[#This Row],[VEHIDCODE]],"_")</f>
        <v>Wagon_Gen5_Tanker</v>
      </c>
      <c r="C691" t="s">
        <v>734</v>
      </c>
      <c r="D691" t="s">
        <v>955</v>
      </c>
      <c r="E691">
        <v>12029</v>
      </c>
      <c r="F691" t="s">
        <v>1652</v>
      </c>
      <c r="G691" t="s">
        <v>1776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Row],[VEHIDCODE]],#REF!,0))</f>
        <v>0</v>
      </c>
      <c r="L691" t="b">
        <f>ISNUMBER(_xlfn.XMATCH(CONTROL[[#This Row],[VEHIDCODE]],PROPERTIES[VEHIDCODE],0))</f>
        <v>1</v>
      </c>
      <c r="M691" t="b">
        <f>ISNUMBER(_xlfn.XMATCH(CONTROL[[#This Row],[VEHIDCODE]],#REF!,0))</f>
        <v>0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s="32" t="str">
        <f>"item_"&amp;CONTROL[[#This Row],[VEHIDCODE]]</f>
        <v>item_mu_Wagon_Gen5_Tanker</v>
      </c>
      <c r="Q691" s="32" t="str">
        <f>"str_"&amp;CONTROL[[#This Row],[VEHIDCODE]]</f>
        <v>str_mu_Wagon_Gen5_Tanker</v>
      </c>
    </row>
    <row r="692" spans="1:17">
      <c r="A692" s="2" t="s">
        <v>860</v>
      </c>
      <c r="B692" s="32" t="str">
        <f>_xlfn.TEXTAFTER(CONTROL[[#This Row],[VEHIDCODE]],"_")</f>
        <v>Wagon_Gen5_Gondola</v>
      </c>
      <c r="C692" t="s">
        <v>734</v>
      </c>
      <c r="D692" t="s">
        <v>955</v>
      </c>
      <c r="E692">
        <v>12030</v>
      </c>
      <c r="F692" t="s">
        <v>1653</v>
      </c>
      <c r="G692" t="s">
        <v>1776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Row],[VEHIDCODE]],#REF!,0))</f>
        <v>0</v>
      </c>
      <c r="L692" t="b">
        <f>ISNUMBER(_xlfn.XMATCH(CONTROL[[#This Row],[VEHIDCODE]],PROPERTIES[VEHIDCODE],0))</f>
        <v>1</v>
      </c>
      <c r="M692" t="b">
        <f>ISNUMBER(_xlfn.XMATCH(CONTROL[[#This Row],[VEHIDCODE]],#REF!,0))</f>
        <v>0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s="32" t="str">
        <f>"item_"&amp;CONTROL[[#This Row],[VEHIDCODE]]</f>
        <v>item_mu_Wagon_Gen5_Gondola</v>
      </c>
      <c r="Q692" s="32" t="str">
        <f>"str_"&amp;CONTROL[[#This Row],[VEHIDCODE]]</f>
        <v>str_mu_Wagon_Gen5_Gondola</v>
      </c>
    </row>
    <row r="693" spans="1:17">
      <c r="A693" s="2" t="s">
        <v>861</v>
      </c>
      <c r="B693" s="32" t="str">
        <f>_xlfn.TEXTAFTER(CONTROL[[#This Row],[VEHIDCODE]],"_")</f>
        <v>Wagon_Gen5_Silo_Type1</v>
      </c>
      <c r="C693" t="s">
        <v>734</v>
      </c>
      <c r="D693" t="s">
        <v>955</v>
      </c>
      <c r="E693">
        <v>12031</v>
      </c>
      <c r="F693" t="s">
        <v>1654</v>
      </c>
      <c r="G693" t="s">
        <v>1776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Row],[VEHIDCODE]],#REF!,0))</f>
        <v>0</v>
      </c>
      <c r="L693" t="b">
        <f>ISNUMBER(_xlfn.XMATCH(CONTROL[[#This Row],[VEHIDCODE]],PROPERTIES[VEHIDCODE],0))</f>
        <v>1</v>
      </c>
      <c r="M693" t="b">
        <f>ISNUMBER(_xlfn.XMATCH(CONTROL[[#This Row],[VEHIDCODE]],#REF!,0))</f>
        <v>0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s="32" t="str">
        <f>"item_"&amp;CONTROL[[#This Row],[VEHIDCODE]]</f>
        <v>item_mu_Wagon_Gen5_Silo_Type1</v>
      </c>
      <c r="Q693" s="32" t="str">
        <f>"str_"&amp;CONTROL[[#This Row],[VEHIDCODE]]</f>
        <v>str_mu_Wagon_Gen5_Silo_Type1</v>
      </c>
    </row>
    <row r="694" spans="1:17">
      <c r="A694" s="2" t="s">
        <v>862</v>
      </c>
      <c r="B694" s="32" t="str">
        <f>_xlfn.TEXTAFTER(CONTROL[[#This Row],[VEHIDCODE]],"_")</f>
        <v>Wagon_Gen5_Silo_Type2</v>
      </c>
      <c r="C694" t="s">
        <v>734</v>
      </c>
      <c r="D694" t="s">
        <v>955</v>
      </c>
      <c r="E694">
        <v>12043</v>
      </c>
      <c r="F694" t="s">
        <v>1654</v>
      </c>
      <c r="G694" t="s">
        <v>1776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Row],[VEHIDCODE]],#REF!,0))</f>
        <v>0</v>
      </c>
      <c r="L694" t="b">
        <f>ISNUMBER(_xlfn.XMATCH(CONTROL[[#This Row],[VEHIDCODE]],PROPERTIES[VEHIDCODE],0))</f>
        <v>1</v>
      </c>
      <c r="M694" t="b">
        <f>ISNUMBER(_xlfn.XMATCH(CONTROL[[#This Row],[VEHIDCODE]],#REF!,0))</f>
        <v>0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s="32" t="str">
        <f>"item_"&amp;CONTROL[[#This Row],[VEHIDCODE]]</f>
        <v>item_mu_Wagon_Gen5_Silo_Type2</v>
      </c>
      <c r="Q694" s="32" t="str">
        <f>"str_"&amp;CONTROL[[#This Row],[VEHIDCODE]]</f>
        <v>str_mu_Wagon_Gen5_Silo_Type2</v>
      </c>
    </row>
    <row r="695" spans="1:17">
      <c r="A695" s="2" t="s">
        <v>863</v>
      </c>
      <c r="B695" s="32" t="str">
        <f>_xlfn.TEXTAFTER(CONTROL[[#This Row],[VEHIDCODE]],"_")</f>
        <v>Wagon_Gen5_Hopper_Type1</v>
      </c>
      <c r="C695" t="s">
        <v>734</v>
      </c>
      <c r="D695" t="s">
        <v>955</v>
      </c>
      <c r="E695">
        <v>12032</v>
      </c>
      <c r="F695" t="s">
        <v>1655</v>
      </c>
      <c r="G695" t="s">
        <v>1776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Row],[VEHIDCODE]],#REF!,0))</f>
        <v>0</v>
      </c>
      <c r="L695" t="b">
        <f>ISNUMBER(_xlfn.XMATCH(CONTROL[[#This Row],[VEHIDCODE]],PROPERTIES[VEHIDCODE],0))</f>
        <v>1</v>
      </c>
      <c r="M695" t="b">
        <f>ISNUMBER(_xlfn.XMATCH(CONTROL[[#This Row],[VEHIDCODE]],#REF!,0))</f>
        <v>0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s="32" t="str">
        <f>"item_"&amp;CONTROL[[#This Row],[VEHIDCODE]]</f>
        <v>item_mu_Wagon_Gen5_Hopper_Type1</v>
      </c>
      <c r="Q695" s="32" t="str">
        <f>"str_"&amp;CONTROL[[#This Row],[VEHIDCODE]]</f>
        <v>str_mu_Wagon_Gen5_Hopper_Type1</v>
      </c>
    </row>
    <row r="696" spans="1:17">
      <c r="A696" s="2" t="s">
        <v>864</v>
      </c>
      <c r="B696" s="32" t="str">
        <f>_xlfn.TEXTAFTER(CONTROL[[#This Row],[VEHIDCODE]],"_")</f>
        <v>Wagon_Gen5_Hopper_Type2</v>
      </c>
      <c r="C696" t="s">
        <v>734</v>
      </c>
      <c r="D696" t="s">
        <v>955</v>
      </c>
      <c r="E696">
        <v>12044</v>
      </c>
      <c r="F696" t="s">
        <v>1655</v>
      </c>
      <c r="G696" t="s">
        <v>1776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Row],[VEHIDCODE]],#REF!,0))</f>
        <v>0</v>
      </c>
      <c r="L696" t="b">
        <f>ISNUMBER(_xlfn.XMATCH(CONTROL[[#This Row],[VEHIDCODE]],PROPERTIES[VEHIDCODE],0))</f>
        <v>1</v>
      </c>
      <c r="M696" t="b">
        <f>ISNUMBER(_xlfn.XMATCH(CONTROL[[#This Row],[VEHIDCODE]],#REF!,0))</f>
        <v>0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s="32" t="str">
        <f>"item_"&amp;CONTROL[[#This Row],[VEHIDCODE]]</f>
        <v>item_mu_Wagon_Gen5_Hopper_Type2</v>
      </c>
      <c r="Q696" s="32" t="str">
        <f>"str_"&amp;CONTROL[[#This Row],[VEHIDCODE]]</f>
        <v>str_mu_Wagon_Gen5_Hopper_Type2</v>
      </c>
    </row>
    <row r="697" spans="1:17">
      <c r="A697" s="2" t="s">
        <v>865</v>
      </c>
      <c r="B697" s="32" t="str">
        <f>_xlfn.TEXTAFTER(CONTROL[[#This Row],[VEHIDCODE]],"_")</f>
        <v>Wagon_Gen5_Car_Transporter</v>
      </c>
      <c r="C697" t="s">
        <v>734</v>
      </c>
      <c r="D697" t="s">
        <v>955</v>
      </c>
      <c r="E697">
        <v>12033</v>
      </c>
      <c r="F697" t="s">
        <v>1656</v>
      </c>
      <c r="G697" t="s">
        <v>1776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Row],[VEHIDCODE]],#REF!,0))</f>
        <v>0</v>
      </c>
      <c r="L697" t="b">
        <f>ISNUMBER(_xlfn.XMATCH(CONTROL[[#This Row],[VEHIDCODE]],PROPERTIES[VEHIDCODE],0))</f>
        <v>1</v>
      </c>
      <c r="M697" t="b">
        <f>ISNUMBER(_xlfn.XMATCH(CONTROL[[#This Row],[VEHIDCODE]],#REF!,0))</f>
        <v>0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s="32" t="str">
        <f>"item_"&amp;CONTROL[[#This Row],[VEHIDCODE]]</f>
        <v>item_mu_Wagon_Gen5_Car_Transporter</v>
      </c>
      <c r="Q697" s="32" t="str">
        <f>"str_"&amp;CONTROL[[#This Row],[VEHIDCODE]]</f>
        <v>str_mu_Wagon_Gen5_Car_Transporter</v>
      </c>
    </row>
    <row r="698" spans="1:17">
      <c r="A698" s="2" t="s">
        <v>866</v>
      </c>
      <c r="B698" s="32" t="str">
        <f>_xlfn.TEXTAFTER(CONTROL[[#This Row],[VEHIDCODE]],"_")</f>
        <v>Wagon_Gen5_Container_Carrier</v>
      </c>
      <c r="C698" t="s">
        <v>734</v>
      </c>
      <c r="D698" t="s">
        <v>955</v>
      </c>
      <c r="E698">
        <v>12034</v>
      </c>
      <c r="F698" t="s">
        <v>1657</v>
      </c>
      <c r="G698" t="s">
        <v>1776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Row],[VEHIDCODE]],#REF!,0))</f>
        <v>0</v>
      </c>
      <c r="L698" t="b">
        <f>ISNUMBER(_xlfn.XMATCH(CONTROL[[#This Row],[VEHIDCODE]],PROPERTIES[VEHIDCODE],0))</f>
        <v>1</v>
      </c>
      <c r="M698" t="b">
        <f>ISNUMBER(_xlfn.XMATCH(CONTROL[[#This Row],[VEHIDCODE]],#REF!,0))</f>
        <v>0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s="32" t="str">
        <f>"item_"&amp;CONTROL[[#This Row],[VEHIDCODE]]</f>
        <v>item_mu_Wagon_Gen5_Container_Carrier</v>
      </c>
      <c r="Q698" s="32" t="str">
        <f>"str_"&amp;CONTROL[[#This Row],[VEHIDCODE]]</f>
        <v>str_mu_Wagon_Gen5_Container_Carrier</v>
      </c>
    </row>
    <row r="699" spans="1:17">
      <c r="A699" s="2" t="s">
        <v>867</v>
      </c>
      <c r="B699" s="32" t="str">
        <f>_xlfn.TEXTAFTER(CONTROL[[#This Row],[VEHIDCODE]],"_")</f>
        <v>Wagon_Gen5_Centerbeam</v>
      </c>
      <c r="C699" t="s">
        <v>734</v>
      </c>
      <c r="D699" t="s">
        <v>955</v>
      </c>
      <c r="E699">
        <v>12035</v>
      </c>
      <c r="F699" t="s">
        <v>1658</v>
      </c>
      <c r="G699" t="s">
        <v>1776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Row],[VEHIDCODE]],#REF!,0))</f>
        <v>0</v>
      </c>
      <c r="L699" t="b">
        <f>ISNUMBER(_xlfn.XMATCH(CONTROL[[#This Row],[VEHIDCODE]],PROPERTIES[VEHIDCODE],0))</f>
        <v>1</v>
      </c>
      <c r="M699" t="b">
        <f>ISNUMBER(_xlfn.XMATCH(CONTROL[[#This Row],[VEHIDCODE]],#REF!,0))</f>
        <v>0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s="32" t="str">
        <f>"item_"&amp;CONTROL[[#This Row],[VEHIDCODE]]</f>
        <v>item_mu_Wagon_Gen5_Centerbeam</v>
      </c>
      <c r="Q699" s="32" t="str">
        <f>"str_"&amp;CONTROL[[#This Row],[VEHIDCODE]]</f>
        <v>str_mu_Wagon_Gen5_Centerbeam</v>
      </c>
    </row>
    <row r="700" spans="1:17">
      <c r="A700" s="2" t="s">
        <v>868</v>
      </c>
      <c r="B700" s="32" t="str">
        <f>_xlfn.TEXTAFTER(CONTROL[[#This Row],[VEHIDCODE]],"_")</f>
        <v>Wagon_Gen5_Container_Doublestack</v>
      </c>
      <c r="C700" t="s">
        <v>734</v>
      </c>
      <c r="D700" t="s">
        <v>955</v>
      </c>
      <c r="E700">
        <v>12036</v>
      </c>
      <c r="F700" t="s">
        <v>1659</v>
      </c>
      <c r="G700" t="s">
        <v>1776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Row],[VEHIDCODE]],#REF!,0))</f>
        <v>0</v>
      </c>
      <c r="L700" t="b">
        <f>ISNUMBER(_xlfn.XMATCH(CONTROL[[#This Row],[VEHIDCODE]],PROPERTIES[VEHIDCODE],0))</f>
        <v>1</v>
      </c>
      <c r="M700" t="b">
        <f>ISNUMBER(_xlfn.XMATCH(CONTROL[[#This Row],[VEHIDCODE]],#REF!,0))</f>
        <v>0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s="32" t="str">
        <f>"item_"&amp;CONTROL[[#This Row],[VEHIDCODE]]</f>
        <v>item_mu_Wagon_Gen5_Container_Doublestack</v>
      </c>
      <c r="Q700" s="32" t="str">
        <f>"str_"&amp;CONTROL[[#This Row],[VEHIDCODE]]</f>
        <v>str_mu_Wagon_Gen5_Container_Doublestack</v>
      </c>
    </row>
    <row r="701" spans="1:17">
      <c r="A701" s="2" t="s">
        <v>869</v>
      </c>
      <c r="B701" s="32" t="str">
        <f>_xlfn.TEXTAFTER(CONTROL[[#This Row],[VEHIDCODE]],"_")</f>
        <v>Wagon_Gen5_Superheavy_Flatcar</v>
      </c>
      <c r="C701" t="s">
        <v>734</v>
      </c>
      <c r="D701" t="s">
        <v>955</v>
      </c>
      <c r="E701">
        <v>12037</v>
      </c>
      <c r="F701" t="s">
        <v>1660</v>
      </c>
      <c r="G701" t="s">
        <v>1776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Row],[VEHIDCODE]],#REF!,0))</f>
        <v>0</v>
      </c>
      <c r="L701" t="b">
        <f>ISNUMBER(_xlfn.XMATCH(CONTROL[[#This Row],[VEHIDCODE]],PROPERTIES[VEHIDCODE],0))</f>
        <v>1</v>
      </c>
      <c r="M701" t="b">
        <f>ISNUMBER(_xlfn.XMATCH(CONTROL[[#This Row],[VEHIDCODE]],#REF!,0))</f>
        <v>0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s="32" t="str">
        <f>"item_"&amp;CONTROL[[#This Row],[VEHIDCODE]]</f>
        <v>item_mu_Wagon_Gen5_Superheavy_Flatcar</v>
      </c>
      <c r="Q701" s="32" t="str">
        <f>"str_"&amp;CONTROL[[#This Row],[VEHIDCODE]]</f>
        <v>str_mu_Wagon_Gen5_Superheavy_Flatcar</v>
      </c>
    </row>
    <row r="702" spans="1:17">
      <c r="A702" s="2" t="s">
        <v>870</v>
      </c>
      <c r="B702" s="32" t="str">
        <f>_xlfn.TEXTAFTER(CONTROL[[#This Row],[VEHIDCODE]],"_")</f>
        <v>Wagon_Gen6_Flatcar</v>
      </c>
      <c r="C702" t="s">
        <v>735</v>
      </c>
      <c r="D702" t="s">
        <v>955</v>
      </c>
      <c r="E702">
        <v>12049</v>
      </c>
      <c r="F702" t="s">
        <v>1661</v>
      </c>
      <c r="G702" t="s">
        <v>1776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Row],[VEHIDCODE]],#REF!,0))</f>
        <v>0</v>
      </c>
      <c r="L702" t="b">
        <f>ISNUMBER(_xlfn.XMATCH(CONTROL[[#This Row],[VEHIDCODE]],PROPERTIES[VEHIDCODE],0))</f>
        <v>1</v>
      </c>
      <c r="M702" t="b">
        <f>ISNUMBER(_xlfn.XMATCH(CONTROL[[#This Row],[VEHIDCODE]],#REF!,0))</f>
        <v>0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s="32" t="str">
        <f>"item_"&amp;CONTROL[[#This Row],[VEHIDCODE]]</f>
        <v>item_mu_Wagon_Gen6_Flatcar</v>
      </c>
      <c r="Q702" s="32" t="str">
        <f>"str_"&amp;CONTROL[[#This Row],[VEHIDCODE]]</f>
        <v>str_mu_Wagon_Gen6_Flatcar</v>
      </c>
    </row>
    <row r="703" spans="1:17">
      <c r="A703" s="2" t="s">
        <v>871</v>
      </c>
      <c r="B703" s="32" t="str">
        <f>_xlfn.TEXTAFTER(CONTROL[[#This Row],[VEHIDCODE]],"_")</f>
        <v>Wagon_Gen6_Heavy_Flatcar</v>
      </c>
      <c r="C703" t="s">
        <v>735</v>
      </c>
      <c r="D703" t="s">
        <v>955</v>
      </c>
      <c r="E703">
        <v>12050</v>
      </c>
      <c r="F703" t="s">
        <v>1662</v>
      </c>
      <c r="G703" t="s">
        <v>1776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Row],[VEHIDCODE]],#REF!,0))</f>
        <v>0</v>
      </c>
      <c r="L703" t="b">
        <f>ISNUMBER(_xlfn.XMATCH(CONTROL[[#This Row],[VEHIDCODE]],PROPERTIES[VEHIDCODE],0))</f>
        <v>1</v>
      </c>
      <c r="M703" t="b">
        <f>ISNUMBER(_xlfn.XMATCH(CONTROL[[#This Row],[VEHIDCODE]],#REF!,0))</f>
        <v>0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s="32" t="str">
        <f>"item_"&amp;CONTROL[[#This Row],[VEHIDCODE]]</f>
        <v>item_mu_Wagon_Gen6_Heavy_Flatcar</v>
      </c>
      <c r="Q703" s="32" t="str">
        <f>"str_"&amp;CONTROL[[#This Row],[VEHIDCODE]]</f>
        <v>str_mu_Wagon_Gen6_Heavy_Flatcar</v>
      </c>
    </row>
    <row r="704" spans="1:17">
      <c r="A704" s="2" t="s">
        <v>872</v>
      </c>
      <c r="B704" s="32" t="str">
        <f>_xlfn.TEXTAFTER(CONTROL[[#This Row],[VEHIDCODE]],"_")</f>
        <v>Wagon_Gen6_Boxcar_Type1</v>
      </c>
      <c r="C704" t="s">
        <v>735</v>
      </c>
      <c r="D704" t="s">
        <v>955</v>
      </c>
      <c r="E704">
        <v>12051</v>
      </c>
      <c r="F704" t="s">
        <v>1663</v>
      </c>
      <c r="G704" t="s">
        <v>1776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Row],[VEHIDCODE]],#REF!,0))</f>
        <v>0</v>
      </c>
      <c r="L704" t="b">
        <f>ISNUMBER(_xlfn.XMATCH(CONTROL[[#This Row],[VEHIDCODE]],PROPERTIES[VEHIDCODE],0))</f>
        <v>1</v>
      </c>
      <c r="M704" t="b">
        <f>ISNUMBER(_xlfn.XMATCH(CONTROL[[#This Row],[VEHIDCODE]],#REF!,0))</f>
        <v>0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s="32" t="str">
        <f>"item_"&amp;CONTROL[[#This Row],[VEHIDCODE]]</f>
        <v>item_mu_Wagon_Gen6_Boxcar_Type1</v>
      </c>
      <c r="Q704" s="32" t="str">
        <f>"str_"&amp;CONTROL[[#This Row],[VEHIDCODE]]</f>
        <v>str_mu_Wagon_Gen6_Boxcar_Type1</v>
      </c>
    </row>
    <row r="705" spans="1:17">
      <c r="A705" s="2" t="s">
        <v>873</v>
      </c>
      <c r="B705" s="32" t="str">
        <f>_xlfn.TEXTAFTER(CONTROL[[#This Row],[VEHIDCODE]],"_")</f>
        <v>Wagon_Gen6_Boxcar_Type2</v>
      </c>
      <c r="C705" t="s">
        <v>735</v>
      </c>
      <c r="D705" t="s">
        <v>955</v>
      </c>
      <c r="E705">
        <v>12061</v>
      </c>
      <c r="F705" t="s">
        <v>1663</v>
      </c>
      <c r="G705" t="s">
        <v>1776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Row],[VEHIDCODE]],#REF!,0))</f>
        <v>0</v>
      </c>
      <c r="L705" t="b">
        <f>ISNUMBER(_xlfn.XMATCH(CONTROL[[#This Row],[VEHIDCODE]],PROPERTIES[VEHIDCODE],0))</f>
        <v>1</v>
      </c>
      <c r="M705" t="b">
        <f>ISNUMBER(_xlfn.XMATCH(CONTROL[[#This Row],[VEHIDCODE]],#REF!,0))</f>
        <v>0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s="32" t="str">
        <f>"item_"&amp;CONTROL[[#This Row],[VEHIDCODE]]</f>
        <v>item_mu_Wagon_Gen6_Boxcar_Type2</v>
      </c>
      <c r="Q705" s="32" t="str">
        <f>"str_"&amp;CONTROL[[#This Row],[VEHIDCODE]]</f>
        <v>str_mu_Wagon_Gen6_Boxcar_Type2</v>
      </c>
    </row>
    <row r="706" spans="1:17">
      <c r="A706" s="2" t="s">
        <v>874</v>
      </c>
      <c r="B706" s="32" t="str">
        <f>_xlfn.TEXTAFTER(CONTROL[[#This Row],[VEHIDCODE]],"_")</f>
        <v>Wagon_Gen6_Tanker</v>
      </c>
      <c r="C706" t="s">
        <v>735</v>
      </c>
      <c r="D706" t="s">
        <v>955</v>
      </c>
      <c r="E706">
        <v>12052</v>
      </c>
      <c r="F706" t="s">
        <v>1664</v>
      </c>
      <c r="G706" t="s">
        <v>1776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Row],[VEHIDCODE]],#REF!,0))</f>
        <v>0</v>
      </c>
      <c r="L706" t="b">
        <f>ISNUMBER(_xlfn.XMATCH(CONTROL[[#This Row],[VEHIDCODE]],PROPERTIES[VEHIDCODE],0))</f>
        <v>1</v>
      </c>
      <c r="M706" t="b">
        <f>ISNUMBER(_xlfn.XMATCH(CONTROL[[#This Row],[VEHIDCODE]],#REF!,0))</f>
        <v>0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s="32" t="str">
        <f>"item_"&amp;CONTROL[[#This Row],[VEHIDCODE]]</f>
        <v>item_mu_Wagon_Gen6_Tanker</v>
      </c>
      <c r="Q706" s="32" t="str">
        <f>"str_"&amp;CONTROL[[#This Row],[VEHIDCODE]]</f>
        <v>str_mu_Wagon_Gen6_Tanker</v>
      </c>
    </row>
    <row r="707" spans="1:17">
      <c r="A707" s="2" t="s">
        <v>875</v>
      </c>
      <c r="B707" s="32" t="str">
        <f>_xlfn.TEXTAFTER(CONTROL[[#This Row],[VEHIDCODE]],"_")</f>
        <v>Wagon_Gen6_Gondola</v>
      </c>
      <c r="C707" t="s">
        <v>735</v>
      </c>
      <c r="D707" t="s">
        <v>955</v>
      </c>
      <c r="E707">
        <v>12053</v>
      </c>
      <c r="F707" t="s">
        <v>1665</v>
      </c>
      <c r="G707" t="s">
        <v>1776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Row],[VEHIDCODE]],#REF!,0))</f>
        <v>0</v>
      </c>
      <c r="L707" t="b">
        <f>ISNUMBER(_xlfn.XMATCH(CONTROL[[#This Row],[VEHIDCODE]],PROPERTIES[VEHIDCODE],0))</f>
        <v>1</v>
      </c>
      <c r="M707" t="b">
        <f>ISNUMBER(_xlfn.XMATCH(CONTROL[[#This Row],[VEHIDCODE]],#REF!,0))</f>
        <v>0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s="32" t="str">
        <f>"item_"&amp;CONTROL[[#This Row],[VEHIDCODE]]</f>
        <v>item_mu_Wagon_Gen6_Gondola</v>
      </c>
      <c r="Q707" s="32" t="str">
        <f>"str_"&amp;CONTROL[[#This Row],[VEHIDCODE]]</f>
        <v>str_mu_Wagon_Gen6_Gondola</v>
      </c>
    </row>
    <row r="708" spans="1:17">
      <c r="A708" s="2" t="s">
        <v>876</v>
      </c>
      <c r="B708" s="32" t="str">
        <f>_xlfn.TEXTAFTER(CONTROL[[#This Row],[VEHIDCODE]],"_")</f>
        <v>Wagon_Gen6_Silo_Type1</v>
      </c>
      <c r="C708" t="s">
        <v>735</v>
      </c>
      <c r="D708" t="s">
        <v>955</v>
      </c>
      <c r="E708">
        <v>12054</v>
      </c>
      <c r="F708" t="s">
        <v>1666</v>
      </c>
      <c r="G708" t="s">
        <v>1776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Row],[VEHIDCODE]],#REF!,0))</f>
        <v>0</v>
      </c>
      <c r="L708" t="b">
        <f>ISNUMBER(_xlfn.XMATCH(CONTROL[[#This Row],[VEHIDCODE]],PROPERTIES[VEHIDCODE],0))</f>
        <v>1</v>
      </c>
      <c r="M708" t="b">
        <f>ISNUMBER(_xlfn.XMATCH(CONTROL[[#This Row],[VEHIDCODE]],#REF!,0))</f>
        <v>0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s="32" t="str">
        <f>"item_"&amp;CONTROL[[#This Row],[VEHIDCODE]]</f>
        <v>item_mu_Wagon_Gen6_Silo_Type1</v>
      </c>
      <c r="Q708" s="32" t="str">
        <f>"str_"&amp;CONTROL[[#This Row],[VEHIDCODE]]</f>
        <v>str_mu_Wagon_Gen6_Silo_Type1</v>
      </c>
    </row>
    <row r="709" spans="1:17">
      <c r="A709" s="2" t="s">
        <v>877</v>
      </c>
      <c r="B709" s="32" t="str">
        <f>_xlfn.TEXTAFTER(CONTROL[[#This Row],[VEHIDCODE]],"_")</f>
        <v>Wagon_Gen6_Silo_Type2</v>
      </c>
      <c r="C709" t="s">
        <v>735</v>
      </c>
      <c r="D709" t="s">
        <v>955</v>
      </c>
      <c r="E709">
        <v>12062</v>
      </c>
      <c r="F709" t="s">
        <v>1666</v>
      </c>
      <c r="G709" t="s">
        <v>1776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Row],[VEHIDCODE]],#REF!,0))</f>
        <v>0</v>
      </c>
      <c r="L709" t="b">
        <f>ISNUMBER(_xlfn.XMATCH(CONTROL[[#This Row],[VEHIDCODE]],PROPERTIES[VEHIDCODE],0))</f>
        <v>1</v>
      </c>
      <c r="M709" t="b">
        <f>ISNUMBER(_xlfn.XMATCH(CONTROL[[#This Row],[VEHIDCODE]],#REF!,0))</f>
        <v>0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s="32" t="str">
        <f>"item_"&amp;CONTROL[[#This Row],[VEHIDCODE]]</f>
        <v>item_mu_Wagon_Gen6_Silo_Type2</v>
      </c>
      <c r="Q709" s="32" t="str">
        <f>"str_"&amp;CONTROL[[#This Row],[VEHIDCODE]]</f>
        <v>str_mu_Wagon_Gen6_Silo_Type2</v>
      </c>
    </row>
    <row r="710" spans="1:17">
      <c r="A710" s="2" t="s">
        <v>878</v>
      </c>
      <c r="B710" s="32" t="str">
        <f>_xlfn.TEXTAFTER(CONTROL[[#This Row],[VEHIDCODE]],"_")</f>
        <v>Wagon_Gen6_Hopper_Type1</v>
      </c>
      <c r="C710" t="s">
        <v>735</v>
      </c>
      <c r="D710" t="s">
        <v>955</v>
      </c>
      <c r="E710">
        <v>12055</v>
      </c>
      <c r="F710" t="s">
        <v>1667</v>
      </c>
      <c r="G710" t="s">
        <v>1776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Row],[VEHIDCODE]],#REF!,0))</f>
        <v>0</v>
      </c>
      <c r="L710" t="b">
        <f>ISNUMBER(_xlfn.XMATCH(CONTROL[[#This Row],[VEHIDCODE]],PROPERTIES[VEHIDCODE],0))</f>
        <v>1</v>
      </c>
      <c r="M710" t="b">
        <f>ISNUMBER(_xlfn.XMATCH(CONTROL[[#This Row],[VEHIDCODE]],#REF!,0))</f>
        <v>0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s="32" t="str">
        <f>"item_"&amp;CONTROL[[#This Row],[VEHIDCODE]]</f>
        <v>item_mu_Wagon_Gen6_Hopper_Type1</v>
      </c>
      <c r="Q710" s="32" t="str">
        <f>"str_"&amp;CONTROL[[#This Row],[VEHIDCODE]]</f>
        <v>str_mu_Wagon_Gen6_Hopper_Type1</v>
      </c>
    </row>
    <row r="711" spans="1:17">
      <c r="A711" s="2" t="s">
        <v>879</v>
      </c>
      <c r="B711" s="32" t="str">
        <f>_xlfn.TEXTAFTER(CONTROL[[#This Row],[VEHIDCODE]],"_")</f>
        <v>Wagon_Gen6_Hopper_Type2</v>
      </c>
      <c r="C711" t="s">
        <v>735</v>
      </c>
      <c r="D711" t="s">
        <v>955</v>
      </c>
      <c r="E711">
        <v>12063</v>
      </c>
      <c r="F711" t="s">
        <v>1667</v>
      </c>
      <c r="G711" t="s">
        <v>1776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Row],[VEHIDCODE]],#REF!,0))</f>
        <v>0</v>
      </c>
      <c r="L711" t="b">
        <f>ISNUMBER(_xlfn.XMATCH(CONTROL[[#This Row],[VEHIDCODE]],PROPERTIES[VEHIDCODE],0))</f>
        <v>1</v>
      </c>
      <c r="M711" t="b">
        <f>ISNUMBER(_xlfn.XMATCH(CONTROL[[#This Row],[VEHIDCODE]],#REF!,0))</f>
        <v>0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s="32" t="str">
        <f>"item_"&amp;CONTROL[[#This Row],[VEHIDCODE]]</f>
        <v>item_mu_Wagon_Gen6_Hopper_Type2</v>
      </c>
      <c r="Q711" s="32" t="str">
        <f>"str_"&amp;CONTROL[[#This Row],[VEHIDCODE]]</f>
        <v>str_mu_Wagon_Gen6_Hopper_Type2</v>
      </c>
    </row>
    <row r="712" spans="1:17">
      <c r="A712" s="2" t="s">
        <v>880</v>
      </c>
      <c r="B712" s="32" t="str">
        <f>_xlfn.TEXTAFTER(CONTROL[[#This Row],[VEHIDCODE]],"_")</f>
        <v>Wagon_Gen6_Car_Transporter</v>
      </c>
      <c r="C712" t="s">
        <v>735</v>
      </c>
      <c r="D712" t="s">
        <v>955</v>
      </c>
      <c r="E712">
        <v>12056</v>
      </c>
      <c r="F712" t="s">
        <v>1668</v>
      </c>
      <c r="G712" t="s">
        <v>1776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Row],[VEHIDCODE]],#REF!,0))</f>
        <v>0</v>
      </c>
      <c r="L712" t="b">
        <f>ISNUMBER(_xlfn.XMATCH(CONTROL[[#This Row],[VEHIDCODE]],PROPERTIES[VEHIDCODE],0))</f>
        <v>1</v>
      </c>
      <c r="M712" t="b">
        <f>ISNUMBER(_xlfn.XMATCH(CONTROL[[#This Row],[VEHIDCODE]],#REF!,0))</f>
        <v>0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s="32" t="str">
        <f>"item_"&amp;CONTROL[[#This Row],[VEHIDCODE]]</f>
        <v>item_mu_Wagon_Gen6_Car_Transporter</v>
      </c>
      <c r="Q712" s="32" t="str">
        <f>"str_"&amp;CONTROL[[#This Row],[VEHIDCODE]]</f>
        <v>str_mu_Wagon_Gen6_Car_Transporter</v>
      </c>
    </row>
    <row r="713" spans="1:17">
      <c r="A713" s="2" t="s">
        <v>881</v>
      </c>
      <c r="B713" s="32" t="str">
        <f>_xlfn.TEXTAFTER(CONTROL[[#This Row],[VEHIDCODE]],"_")</f>
        <v>Wagon_Gen6_Container_Carrier</v>
      </c>
      <c r="C713" t="s">
        <v>735</v>
      </c>
      <c r="D713" t="s">
        <v>955</v>
      </c>
      <c r="E713">
        <v>12057</v>
      </c>
      <c r="F713" t="s">
        <v>1669</v>
      </c>
      <c r="G713" t="s">
        <v>1776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Row],[VEHIDCODE]],#REF!,0))</f>
        <v>0</v>
      </c>
      <c r="L713" t="b">
        <f>ISNUMBER(_xlfn.XMATCH(CONTROL[[#This Row],[VEHIDCODE]],PROPERTIES[VEHIDCODE],0))</f>
        <v>1</v>
      </c>
      <c r="M713" t="b">
        <f>ISNUMBER(_xlfn.XMATCH(CONTROL[[#This Row],[VEHIDCODE]],#REF!,0))</f>
        <v>0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s="32" t="str">
        <f>"item_"&amp;CONTROL[[#This Row],[VEHIDCODE]]</f>
        <v>item_mu_Wagon_Gen6_Container_Carrier</v>
      </c>
      <c r="Q713" s="32" t="str">
        <f>"str_"&amp;CONTROL[[#This Row],[VEHIDCODE]]</f>
        <v>str_mu_Wagon_Gen6_Container_Carrier</v>
      </c>
    </row>
    <row r="714" spans="1:17">
      <c r="A714" s="2" t="s">
        <v>882</v>
      </c>
      <c r="B714" s="32" t="str">
        <f>_xlfn.TEXTAFTER(CONTROL[[#This Row],[VEHIDCODE]],"_")</f>
        <v>Wagon_Gen6_Centerbeam</v>
      </c>
      <c r="C714" t="s">
        <v>735</v>
      </c>
      <c r="D714" t="s">
        <v>955</v>
      </c>
      <c r="E714">
        <v>12058</v>
      </c>
      <c r="F714" t="s">
        <v>1670</v>
      </c>
      <c r="G714" t="s">
        <v>1776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Row],[VEHIDCODE]],#REF!,0))</f>
        <v>0</v>
      </c>
      <c r="L714" t="b">
        <f>ISNUMBER(_xlfn.XMATCH(CONTROL[[#This Row],[VEHIDCODE]],PROPERTIES[VEHIDCODE],0))</f>
        <v>1</v>
      </c>
      <c r="M714" t="b">
        <f>ISNUMBER(_xlfn.XMATCH(CONTROL[[#This Row],[VEHIDCODE]],#REF!,0))</f>
        <v>0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s="32" t="str">
        <f>"item_"&amp;CONTROL[[#This Row],[VEHIDCODE]]</f>
        <v>item_mu_Wagon_Gen6_Centerbeam</v>
      </c>
      <c r="Q714" s="32" t="str">
        <f>"str_"&amp;CONTROL[[#This Row],[VEHIDCODE]]</f>
        <v>str_mu_Wagon_Gen6_Centerbeam</v>
      </c>
    </row>
    <row r="715" spans="1:17">
      <c r="A715" s="2" t="s">
        <v>883</v>
      </c>
      <c r="B715" s="32" t="str">
        <f>_xlfn.TEXTAFTER(CONTROL[[#This Row],[VEHIDCODE]],"_")</f>
        <v>Wagon_Gen6_Container_Doublestack</v>
      </c>
      <c r="C715" t="s">
        <v>735</v>
      </c>
      <c r="D715" t="s">
        <v>955</v>
      </c>
      <c r="E715">
        <v>12059</v>
      </c>
      <c r="F715" t="s">
        <v>1671</v>
      </c>
      <c r="G715" t="s">
        <v>1776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Row],[VEHIDCODE]],#REF!,0))</f>
        <v>0</v>
      </c>
      <c r="L715" t="b">
        <f>ISNUMBER(_xlfn.XMATCH(CONTROL[[#This Row],[VEHIDCODE]],PROPERTIES[VEHIDCODE],0))</f>
        <v>1</v>
      </c>
      <c r="M715" t="b">
        <f>ISNUMBER(_xlfn.XMATCH(CONTROL[[#This Row],[VEHIDCODE]],#REF!,0))</f>
        <v>0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s="32" t="str">
        <f>"item_"&amp;CONTROL[[#This Row],[VEHIDCODE]]</f>
        <v>item_mu_Wagon_Gen6_Container_Doublestack</v>
      </c>
      <c r="Q715" s="32" t="str">
        <f>"str_"&amp;CONTROL[[#This Row],[VEHIDCODE]]</f>
        <v>str_mu_Wagon_Gen6_Container_Doublestack</v>
      </c>
    </row>
    <row r="716" spans="1:17">
      <c r="A716" s="2" t="s">
        <v>884</v>
      </c>
      <c r="B716" s="32" t="str">
        <f>_xlfn.TEXTAFTER(CONTROL[[#This Row],[VEHIDCODE]],"_")</f>
        <v>Wagon_Gen6_Superheavy_Flatcar</v>
      </c>
      <c r="C716" t="s">
        <v>735</v>
      </c>
      <c r="D716" t="s">
        <v>955</v>
      </c>
      <c r="E716">
        <v>12060</v>
      </c>
      <c r="F716" t="s">
        <v>1672</v>
      </c>
      <c r="G716" t="s">
        <v>1776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Row],[VEHIDCODE]],#REF!,0))</f>
        <v>0</v>
      </c>
      <c r="L716" t="b">
        <f>ISNUMBER(_xlfn.XMATCH(CONTROL[[#This Row],[VEHIDCODE]],PROPERTIES[VEHIDCODE],0))</f>
        <v>1</v>
      </c>
      <c r="M716" t="b">
        <f>ISNUMBER(_xlfn.XMATCH(CONTROL[[#This Row],[VEHIDCODE]],#REF!,0))</f>
        <v>0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s="32" t="str">
        <f>"item_"&amp;CONTROL[[#This Row],[VEHIDCODE]]</f>
        <v>item_mu_Wagon_Gen6_Superheavy_Flatcar</v>
      </c>
      <c r="Q716" s="32" t="str">
        <f>"str_"&amp;CONTROL[[#This Row],[VEHIDCODE]]</f>
        <v>str_mu_Wagon_Gen6_Superheavy_Flatcar</v>
      </c>
    </row>
    <row r="717" spans="1:17">
      <c r="A717" s="2" t="s">
        <v>899</v>
      </c>
      <c r="B717" s="32" t="str">
        <f>_xlfn.TEXTAFTER(CONTROL[[#This Row],[VEHIDCODE]],"_")</f>
        <v>Wagon_Service_Car_Type1</v>
      </c>
      <c r="C717" t="s">
        <v>736</v>
      </c>
      <c r="D717" t="s">
        <v>955</v>
      </c>
      <c r="E717">
        <v>12045</v>
      </c>
      <c r="F717" t="s">
        <v>1673</v>
      </c>
      <c r="G717" t="s">
        <v>1776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Row],[VEHIDCODE]],#REF!,0))</f>
        <v>0</v>
      </c>
      <c r="L717" t="b">
        <f>ISNUMBER(_xlfn.XMATCH(CONTROL[[#This Row],[VEHIDCODE]],PROPERTIES[VEHIDCODE],0))</f>
        <v>1</v>
      </c>
      <c r="M717" t="b">
        <f>ISNUMBER(_xlfn.XMATCH(CONTROL[[#This Row],[VEHIDCODE]],#REF!,0))</f>
        <v>0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s="32" t="str">
        <f>"item_"&amp;CONTROL[[#This Row],[VEHIDCODE]]</f>
        <v>item_mu_Wagon_Service_Car_Type1</v>
      </c>
      <c r="Q717" s="32" t="str">
        <f>"str_"&amp;CONTROL[[#This Row],[VEHIDCODE]]</f>
        <v>str_mu_Wagon_Service_Car_Type1</v>
      </c>
    </row>
    <row r="718" spans="1:17">
      <c r="A718" s="2" t="s">
        <v>900</v>
      </c>
      <c r="B718" s="32" t="str">
        <f>_xlfn.TEXTAFTER(CONTROL[[#This Row],[VEHIDCODE]],"_")</f>
        <v>Wagon_Service_Car_Type2</v>
      </c>
      <c r="C718" t="s">
        <v>736</v>
      </c>
      <c r="D718" t="s">
        <v>955</v>
      </c>
      <c r="E718">
        <v>12046</v>
      </c>
      <c r="F718" t="s">
        <v>1673</v>
      </c>
      <c r="G718" t="s">
        <v>1776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Row],[VEHIDCODE]],#REF!,0))</f>
        <v>0</v>
      </c>
      <c r="L718" t="b">
        <f>ISNUMBER(_xlfn.XMATCH(CONTROL[[#This Row],[VEHIDCODE]],PROPERTIES[VEHIDCODE],0))</f>
        <v>1</v>
      </c>
      <c r="M718" t="b">
        <f>ISNUMBER(_xlfn.XMATCH(CONTROL[[#This Row],[VEHIDCODE]],#REF!,0))</f>
        <v>0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s="32" t="str">
        <f>"item_"&amp;CONTROL[[#This Row],[VEHIDCODE]]</f>
        <v>item_mu_Wagon_Service_Car_Type2</v>
      </c>
      <c r="Q718" s="32" t="str">
        <f>"str_"&amp;CONTROL[[#This Row],[VEHIDCODE]]</f>
        <v>str_mu_Wagon_Service_Car_Type2</v>
      </c>
    </row>
    <row r="719" spans="1:17">
      <c r="A719" s="2" t="s">
        <v>756</v>
      </c>
      <c r="B719" s="32" t="str">
        <f>_xlfn.TEXTAFTER(CONTROL[[#This Row],[VEHIDCODE]],"_")</f>
        <v>Coach_Gen1_Wooden_2_axle_Compartment_Coach</v>
      </c>
      <c r="C719" t="s">
        <v>737</v>
      </c>
      <c r="D719" t="s">
        <v>953</v>
      </c>
      <c r="E719">
        <v>11000</v>
      </c>
      <c r="F719" t="s">
        <v>1674</v>
      </c>
      <c r="G719" t="s">
        <v>1776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Row],[VEHIDCODE]],#REF!,0))</f>
        <v>0</v>
      </c>
      <c r="L719" t="b">
        <f>ISNUMBER(_xlfn.XMATCH(CONTROL[[#This Row],[VEHIDCODE]],PROPERTIES[VEHIDCODE],0))</f>
        <v>1</v>
      </c>
      <c r="M719" t="b">
        <f>ISNUMBER(_xlfn.XMATCH(CONTROL[[#This Row],[VEHIDCODE]],#REF!,0))</f>
        <v>0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s="32" t="str">
        <f>"item_"&amp;CONTROL[[#This Row],[VEHIDCODE]]</f>
        <v>item_mu_Coach_Gen1_Wooden_2_axle_Compartment_Coach</v>
      </c>
      <c r="Q719" s="32" t="str">
        <f>"str_"&amp;CONTROL[[#This Row],[VEHIDCODE]]</f>
        <v>str_mu_Coach_Gen1_Wooden_2_axle_Compartment_Coach</v>
      </c>
    </row>
    <row r="720" spans="1:17">
      <c r="A720" s="2" t="s">
        <v>757</v>
      </c>
      <c r="B720" s="32" t="str">
        <f>_xlfn.TEXTAFTER(CONTROL[[#This Row],[VEHIDCODE]],"_")</f>
        <v>Coach_Gen1_Wooden_2_axle_Regional_Coach</v>
      </c>
      <c r="C720" t="s">
        <v>737</v>
      </c>
      <c r="D720" t="s">
        <v>953</v>
      </c>
      <c r="E720">
        <v>11001</v>
      </c>
      <c r="F720" t="s">
        <v>1675</v>
      </c>
      <c r="G720" t="s">
        <v>1776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Row],[VEHIDCODE]],#REF!,0))</f>
        <v>0</v>
      </c>
      <c r="L720" t="b">
        <f>ISNUMBER(_xlfn.XMATCH(CONTROL[[#This Row],[VEHIDCODE]],PROPERTIES[VEHIDCODE],0))</f>
        <v>1</v>
      </c>
      <c r="M720" t="b">
        <f>ISNUMBER(_xlfn.XMATCH(CONTROL[[#This Row],[VEHIDCODE]],#REF!,0))</f>
        <v>0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s="32" t="str">
        <f>"item_"&amp;CONTROL[[#This Row],[VEHIDCODE]]</f>
        <v>item_mu_Coach_Gen1_Wooden_2_axle_Regional_Coach</v>
      </c>
      <c r="Q720" s="32" t="str">
        <f>"str_"&amp;CONTROL[[#This Row],[VEHIDCODE]]</f>
        <v>str_mu_Coach_Gen1_Wooden_2_axle_Regional_Coach</v>
      </c>
    </row>
    <row r="721" spans="1:17">
      <c r="A721" s="2" t="s">
        <v>758</v>
      </c>
      <c r="B721" s="32" t="str">
        <f>_xlfn.TEXTAFTER(CONTROL[[#This Row],[VEHIDCODE]],"_")</f>
        <v>Coach_Gen1_Wooden_2_axle_Mail_Coach</v>
      </c>
      <c r="C721" t="s">
        <v>737</v>
      </c>
      <c r="D721" t="s">
        <v>953</v>
      </c>
      <c r="E721">
        <v>11002</v>
      </c>
      <c r="F721" t="s">
        <v>1676</v>
      </c>
      <c r="G721" t="s">
        <v>1776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Row],[VEHIDCODE]],#REF!,0))</f>
        <v>0</v>
      </c>
      <c r="L721" t="b">
        <f>ISNUMBER(_xlfn.XMATCH(CONTROL[[#This Row],[VEHIDCODE]],PROPERTIES[VEHIDCODE],0))</f>
        <v>1</v>
      </c>
      <c r="M721" t="b">
        <f>ISNUMBER(_xlfn.XMATCH(CONTROL[[#This Row],[VEHIDCODE]],#REF!,0))</f>
        <v>0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s="32" t="str">
        <f>"item_"&amp;CONTROL[[#This Row],[VEHIDCODE]]</f>
        <v>item_mu_Coach_Gen1_Wooden_2_axle_Mail_Coach</v>
      </c>
      <c r="Q721" s="32" t="str">
        <f>"str_"&amp;CONTROL[[#This Row],[VEHIDCODE]]</f>
        <v>str_mu_Coach_Gen1_Wooden_2_axle_Mail_Coach</v>
      </c>
    </row>
    <row r="722" spans="1:17">
      <c r="A722" s="2" t="s">
        <v>759</v>
      </c>
      <c r="B722" s="32" t="str">
        <f>_xlfn.TEXTAFTER(CONTROL[[#This Row],[VEHIDCODE]],"_")</f>
        <v>Coach_Gen1_Clerestory_Compartment_Coach</v>
      </c>
      <c r="C722" t="s">
        <v>737</v>
      </c>
      <c r="D722" t="s">
        <v>953</v>
      </c>
      <c r="E722">
        <v>11003</v>
      </c>
      <c r="F722" t="s">
        <v>1677</v>
      </c>
      <c r="G722" t="s">
        <v>1776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Row],[VEHIDCODE]],#REF!,0))</f>
        <v>0</v>
      </c>
      <c r="L722" t="b">
        <f>ISNUMBER(_xlfn.XMATCH(CONTROL[[#This Row],[VEHIDCODE]],PROPERTIES[VEHIDCODE],0))</f>
        <v>1</v>
      </c>
      <c r="M722" t="b">
        <f>ISNUMBER(_xlfn.XMATCH(CONTROL[[#This Row],[VEHIDCODE]],#REF!,0))</f>
        <v>0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s="32" t="str">
        <f>"item_"&amp;CONTROL[[#This Row],[VEHIDCODE]]</f>
        <v>item_mu_Coach_Gen1_Clerestory_Compartment_Coach</v>
      </c>
      <c r="Q722" s="32" t="str">
        <f>"str_"&amp;CONTROL[[#This Row],[VEHIDCODE]]</f>
        <v>str_mu_Coach_Gen1_Clerestory_Compartment_Coach</v>
      </c>
    </row>
    <row r="723" spans="1:17">
      <c r="A723" s="2" t="s">
        <v>760</v>
      </c>
      <c r="B723" s="32" t="str">
        <f>_xlfn.TEXTAFTER(CONTROL[[#This Row],[VEHIDCODE]],"_")</f>
        <v>Coach_Gen1_Clerestory_Regional_Coach</v>
      </c>
      <c r="C723" t="s">
        <v>737</v>
      </c>
      <c r="D723" t="s">
        <v>953</v>
      </c>
      <c r="E723">
        <v>11004</v>
      </c>
      <c r="F723" t="s">
        <v>1678</v>
      </c>
      <c r="G723" t="s">
        <v>1776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Row],[VEHIDCODE]],#REF!,0))</f>
        <v>0</v>
      </c>
      <c r="L723" t="b">
        <f>ISNUMBER(_xlfn.XMATCH(CONTROL[[#This Row],[VEHIDCODE]],PROPERTIES[VEHIDCODE],0))</f>
        <v>1</v>
      </c>
      <c r="M723" t="b">
        <f>ISNUMBER(_xlfn.XMATCH(CONTROL[[#This Row],[VEHIDCODE]],#REF!,0))</f>
        <v>0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s="32" t="str">
        <f>"item_"&amp;CONTROL[[#This Row],[VEHIDCODE]]</f>
        <v>item_mu_Coach_Gen1_Clerestory_Regional_Coach</v>
      </c>
      <c r="Q723" s="32" t="str">
        <f>"str_"&amp;CONTROL[[#This Row],[VEHIDCODE]]</f>
        <v>str_mu_Coach_Gen1_Clerestory_Regional_Coach</v>
      </c>
    </row>
    <row r="724" spans="1:17">
      <c r="A724" s="2" t="s">
        <v>761</v>
      </c>
      <c r="B724" s="32" t="str">
        <f>_xlfn.TEXTAFTER(CONTROL[[#This Row],[VEHIDCODE]],"_")</f>
        <v>Coach_Gen1_Clerestory_Mail_Coach</v>
      </c>
      <c r="C724" t="s">
        <v>737</v>
      </c>
      <c r="D724" t="s">
        <v>953</v>
      </c>
      <c r="E724">
        <v>11005</v>
      </c>
      <c r="F724" t="s">
        <v>1679</v>
      </c>
      <c r="G724" t="s">
        <v>1776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Row],[VEHIDCODE]],#REF!,0))</f>
        <v>0</v>
      </c>
      <c r="L724" t="b">
        <f>ISNUMBER(_xlfn.XMATCH(CONTROL[[#This Row],[VEHIDCODE]],PROPERTIES[VEHIDCODE],0))</f>
        <v>1</v>
      </c>
      <c r="M724" t="b">
        <f>ISNUMBER(_xlfn.XMATCH(CONTROL[[#This Row],[VEHIDCODE]],#REF!,0))</f>
        <v>0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s="32" t="str">
        <f>"item_"&amp;CONTROL[[#This Row],[VEHIDCODE]]</f>
        <v>item_mu_Coach_Gen1_Clerestory_Mail_Coach</v>
      </c>
      <c r="Q724" s="32" t="str">
        <f>"str_"&amp;CONTROL[[#This Row],[VEHIDCODE]]</f>
        <v>str_mu_Coach_Gen1_Clerestory_Mail_Coach</v>
      </c>
    </row>
    <row r="725" spans="1:17">
      <c r="A725" s="2" t="s">
        <v>762</v>
      </c>
      <c r="B725" s="32" t="str">
        <f>_xlfn.TEXTAFTER(CONTROL[[#This Row],[VEHIDCODE]],"_")</f>
        <v>Coach_Gen1_Wooden_3_axle_Compartment_Coach</v>
      </c>
      <c r="C725" t="s">
        <v>737</v>
      </c>
      <c r="D725" t="s">
        <v>953</v>
      </c>
      <c r="E725">
        <v>11006</v>
      </c>
      <c r="F725" t="s">
        <v>1680</v>
      </c>
      <c r="G725" t="s">
        <v>1776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Row],[VEHIDCODE]],#REF!,0))</f>
        <v>0</v>
      </c>
      <c r="L725" t="b">
        <f>ISNUMBER(_xlfn.XMATCH(CONTROL[[#This Row],[VEHIDCODE]],PROPERTIES[VEHIDCODE],0))</f>
        <v>1</v>
      </c>
      <c r="M725" t="b">
        <f>ISNUMBER(_xlfn.XMATCH(CONTROL[[#This Row],[VEHIDCODE]],#REF!,0))</f>
        <v>0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s="32" t="str">
        <f>"item_"&amp;CONTROL[[#This Row],[VEHIDCODE]]</f>
        <v>item_mu_Coach_Gen1_Wooden_3_axle_Compartment_Coach</v>
      </c>
      <c r="Q725" s="32" t="str">
        <f>"str_"&amp;CONTROL[[#This Row],[VEHIDCODE]]</f>
        <v>str_mu_Coach_Gen1_Wooden_3_axle_Compartment_Coach</v>
      </c>
    </row>
    <row r="726" spans="1:17">
      <c r="A726" s="2" t="s">
        <v>763</v>
      </c>
      <c r="B726" s="32" t="str">
        <f>_xlfn.TEXTAFTER(CONTROL[[#This Row],[VEHIDCODE]],"_")</f>
        <v>Coach_Gen1_Wooden_3_axle_Regional_Coach</v>
      </c>
      <c r="C726" t="s">
        <v>737</v>
      </c>
      <c r="D726" t="s">
        <v>953</v>
      </c>
      <c r="E726">
        <v>11007</v>
      </c>
      <c r="F726" t="s">
        <v>1681</v>
      </c>
      <c r="G726" t="s">
        <v>1776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Row],[VEHIDCODE]],#REF!,0))</f>
        <v>0</v>
      </c>
      <c r="L726" t="b">
        <f>ISNUMBER(_xlfn.XMATCH(CONTROL[[#This Row],[VEHIDCODE]],PROPERTIES[VEHIDCODE],0))</f>
        <v>1</v>
      </c>
      <c r="M726" t="b">
        <f>ISNUMBER(_xlfn.XMATCH(CONTROL[[#This Row],[VEHIDCODE]],#REF!,0))</f>
        <v>0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s="32" t="str">
        <f>"item_"&amp;CONTROL[[#This Row],[VEHIDCODE]]</f>
        <v>item_mu_Coach_Gen1_Wooden_3_axle_Regional_Coach</v>
      </c>
      <c r="Q726" s="32" t="str">
        <f>"str_"&amp;CONTROL[[#This Row],[VEHIDCODE]]</f>
        <v>str_mu_Coach_Gen1_Wooden_3_axle_Regional_Coach</v>
      </c>
    </row>
    <row r="727" spans="1:17">
      <c r="A727" s="2" t="s">
        <v>764</v>
      </c>
      <c r="B727" s="32" t="str">
        <f>_xlfn.TEXTAFTER(CONTROL[[#This Row],[VEHIDCODE]],"_")</f>
        <v>Coach_Gen1_Wooden_3_axle_Mail_Coach</v>
      </c>
      <c r="C727" t="s">
        <v>737</v>
      </c>
      <c r="D727" t="s">
        <v>953</v>
      </c>
      <c r="E727">
        <v>11008</v>
      </c>
      <c r="F727" t="s">
        <v>1682</v>
      </c>
      <c r="G727" t="s">
        <v>1776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Row],[VEHIDCODE]],#REF!,0))</f>
        <v>0</v>
      </c>
      <c r="L727" t="b">
        <f>ISNUMBER(_xlfn.XMATCH(CONTROL[[#This Row],[VEHIDCODE]],PROPERTIES[VEHIDCODE],0))</f>
        <v>1</v>
      </c>
      <c r="M727" t="b">
        <f>ISNUMBER(_xlfn.XMATCH(CONTROL[[#This Row],[VEHIDCODE]],#REF!,0))</f>
        <v>0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s="32" t="str">
        <f>"item_"&amp;CONTROL[[#This Row],[VEHIDCODE]]</f>
        <v>item_mu_Coach_Gen1_Wooden_3_axle_Mail_Coach</v>
      </c>
      <c r="Q727" s="32" t="str">
        <f>"str_"&amp;CONTROL[[#This Row],[VEHIDCODE]]</f>
        <v>str_mu_Coach_Gen1_Wooden_3_axle_Mail_Coach</v>
      </c>
    </row>
    <row r="728" spans="1:17">
      <c r="A728" s="2" t="s">
        <v>765</v>
      </c>
      <c r="B728" s="32" t="str">
        <f>_xlfn.TEXTAFTER(CONTROL[[#This Row],[VEHIDCODE]],"_")</f>
        <v>Coach_Gen2_Heavyweight_Intercity_Coach</v>
      </c>
      <c r="C728" t="s">
        <v>738</v>
      </c>
      <c r="D728" t="s">
        <v>953</v>
      </c>
      <c r="E728">
        <v>11009</v>
      </c>
      <c r="F728" t="s">
        <v>1683</v>
      </c>
      <c r="G728" t="s">
        <v>1776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Row],[VEHIDCODE]],#REF!,0))</f>
        <v>0</v>
      </c>
      <c r="L728" t="b">
        <f>ISNUMBER(_xlfn.XMATCH(CONTROL[[#This Row],[VEHIDCODE]],PROPERTIES[VEHIDCODE],0))</f>
        <v>1</v>
      </c>
      <c r="M728" t="b">
        <f>ISNUMBER(_xlfn.XMATCH(CONTROL[[#This Row],[VEHIDCODE]],#REF!,0))</f>
        <v>0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s="32" t="str">
        <f>"item_"&amp;CONTROL[[#This Row],[VEHIDCODE]]</f>
        <v>item_mu_Coach_Gen2_Heavyweight_Intercity_Coach</v>
      </c>
      <c r="Q728" s="32" t="str">
        <f>"str_"&amp;CONTROL[[#This Row],[VEHIDCODE]]</f>
        <v>str_mu_Coach_Gen2_Heavyweight_Intercity_Coach</v>
      </c>
    </row>
    <row r="729" spans="1:17">
      <c r="A729" s="2" t="s">
        <v>766</v>
      </c>
      <c r="B729" s="32" t="str">
        <f>_xlfn.TEXTAFTER(CONTROL[[#This Row],[VEHIDCODE]],"_")</f>
        <v>Coach_Gen2_Heavyweight_Mail_Coach</v>
      </c>
      <c r="C729" t="s">
        <v>738</v>
      </c>
      <c r="D729" t="s">
        <v>953</v>
      </c>
      <c r="E729">
        <v>11010</v>
      </c>
      <c r="F729" t="s">
        <v>1684</v>
      </c>
      <c r="G729" t="s">
        <v>1776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Row],[VEHIDCODE]],#REF!,0))</f>
        <v>0</v>
      </c>
      <c r="L729" t="b">
        <f>ISNUMBER(_xlfn.XMATCH(CONTROL[[#This Row],[VEHIDCODE]],PROPERTIES[VEHIDCODE],0))</f>
        <v>1</v>
      </c>
      <c r="M729" t="b">
        <f>ISNUMBER(_xlfn.XMATCH(CONTROL[[#This Row],[VEHIDCODE]],#REF!,0))</f>
        <v>0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s="32" t="str">
        <f>"item_"&amp;CONTROL[[#This Row],[VEHIDCODE]]</f>
        <v>item_mu_Coach_Gen2_Heavyweight_Mail_Coach</v>
      </c>
      <c r="Q729" s="32" t="str">
        <f>"str_"&amp;CONTROL[[#This Row],[VEHIDCODE]]</f>
        <v>str_mu_Coach_Gen2_Heavyweight_Mail_Coach</v>
      </c>
    </row>
    <row r="730" spans="1:17">
      <c r="A730" s="2" t="s">
        <v>767</v>
      </c>
      <c r="B730" s="32" t="str">
        <f>_xlfn.TEXTAFTER(CONTROL[[#This Row],[VEHIDCODE]],"_")</f>
        <v>Coach_Gen2_Steel_Intercity_Coach</v>
      </c>
      <c r="C730" t="s">
        <v>738</v>
      </c>
      <c r="D730" t="s">
        <v>953</v>
      </c>
      <c r="E730">
        <v>11011</v>
      </c>
      <c r="F730" t="s">
        <v>1685</v>
      </c>
      <c r="G730" t="s">
        <v>1776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Row],[VEHIDCODE]],#REF!,0))</f>
        <v>0</v>
      </c>
      <c r="L730" t="b">
        <f>ISNUMBER(_xlfn.XMATCH(CONTROL[[#This Row],[VEHIDCODE]],PROPERTIES[VEHIDCODE],0))</f>
        <v>1</v>
      </c>
      <c r="M730" t="b">
        <f>ISNUMBER(_xlfn.XMATCH(CONTROL[[#This Row],[VEHIDCODE]],#REF!,0))</f>
        <v>0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s="32" t="str">
        <f>"item_"&amp;CONTROL[[#This Row],[VEHIDCODE]]</f>
        <v>item_mu_Coach_Gen2_Steel_Intercity_Coach</v>
      </c>
      <c r="Q730" s="32" t="str">
        <f>"str_"&amp;CONTROL[[#This Row],[VEHIDCODE]]</f>
        <v>str_mu_Coach_Gen2_Steel_Intercity_Coach</v>
      </c>
    </row>
    <row r="731" spans="1:17">
      <c r="A731" s="2" t="s">
        <v>768</v>
      </c>
      <c r="B731" s="32" t="str">
        <f>_xlfn.TEXTAFTER(CONTROL[[#This Row],[VEHIDCODE]],"_")</f>
        <v>Coach_Gen2_Steel_Compartment_Coach</v>
      </c>
      <c r="C731" t="s">
        <v>738</v>
      </c>
      <c r="D731" t="s">
        <v>953</v>
      </c>
      <c r="E731">
        <v>11012</v>
      </c>
      <c r="F731" t="s">
        <v>1686</v>
      </c>
      <c r="G731" t="s">
        <v>1776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Row],[VEHIDCODE]],#REF!,0))</f>
        <v>0</v>
      </c>
      <c r="L731" t="b">
        <f>ISNUMBER(_xlfn.XMATCH(CONTROL[[#This Row],[VEHIDCODE]],PROPERTIES[VEHIDCODE],0))</f>
        <v>1</v>
      </c>
      <c r="M731" t="b">
        <f>ISNUMBER(_xlfn.XMATCH(CONTROL[[#This Row],[VEHIDCODE]],#REF!,0))</f>
        <v>0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s="32" t="str">
        <f>"item_"&amp;CONTROL[[#This Row],[VEHIDCODE]]</f>
        <v>item_mu_Coach_Gen2_Steel_Compartment_Coach</v>
      </c>
      <c r="Q731" s="32" t="str">
        <f>"str_"&amp;CONTROL[[#This Row],[VEHIDCODE]]</f>
        <v>str_mu_Coach_Gen2_Steel_Compartment_Coach</v>
      </c>
    </row>
    <row r="732" spans="1:17">
      <c r="A732" s="2" t="s">
        <v>769</v>
      </c>
      <c r="B732" s="32" t="str">
        <f>_xlfn.TEXTAFTER(CONTROL[[#This Row],[VEHIDCODE]],"_")</f>
        <v>Coach_Gen2_Steel_Regional_Coach</v>
      </c>
      <c r="C732" t="s">
        <v>738</v>
      </c>
      <c r="D732" t="s">
        <v>953</v>
      </c>
      <c r="E732">
        <v>11013</v>
      </c>
      <c r="F732" t="s">
        <v>1687</v>
      </c>
      <c r="G732" t="s">
        <v>1776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Row],[VEHIDCODE]],#REF!,0))</f>
        <v>0</v>
      </c>
      <c r="L732" t="b">
        <f>ISNUMBER(_xlfn.XMATCH(CONTROL[[#This Row],[VEHIDCODE]],PROPERTIES[VEHIDCODE],0))</f>
        <v>1</v>
      </c>
      <c r="M732" t="b">
        <f>ISNUMBER(_xlfn.XMATCH(CONTROL[[#This Row],[VEHIDCODE]],#REF!,0))</f>
        <v>0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s="32" t="str">
        <f>"item_"&amp;CONTROL[[#This Row],[VEHIDCODE]]</f>
        <v>item_mu_Coach_Gen2_Steel_Regional_Coach</v>
      </c>
      <c r="Q732" s="32" t="str">
        <f>"str_"&amp;CONTROL[[#This Row],[VEHIDCODE]]</f>
        <v>str_mu_Coach_Gen2_Steel_Regional_Coach</v>
      </c>
    </row>
    <row r="733" spans="1:17">
      <c r="A733" s="2" t="s">
        <v>770</v>
      </c>
      <c r="B733" s="32" t="str">
        <f>_xlfn.TEXTAFTER(CONTROL[[#This Row],[VEHIDCODE]],"_")</f>
        <v>Coach_Gen2_Steel_Mail_Coach</v>
      </c>
      <c r="C733" t="s">
        <v>738</v>
      </c>
      <c r="D733" t="s">
        <v>953</v>
      </c>
      <c r="E733">
        <v>11014</v>
      </c>
      <c r="F733" t="s">
        <v>1688</v>
      </c>
      <c r="G733" t="s">
        <v>1776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Row],[VEHIDCODE]],#REF!,0))</f>
        <v>0</v>
      </c>
      <c r="L733" t="b">
        <f>ISNUMBER(_xlfn.XMATCH(CONTROL[[#This Row],[VEHIDCODE]],PROPERTIES[VEHIDCODE],0))</f>
        <v>1</v>
      </c>
      <c r="M733" t="b">
        <f>ISNUMBER(_xlfn.XMATCH(CONTROL[[#This Row],[VEHIDCODE]],#REF!,0))</f>
        <v>0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s="32" t="str">
        <f>"item_"&amp;CONTROL[[#This Row],[VEHIDCODE]]</f>
        <v>item_mu_Coach_Gen2_Steel_Mail_Coach</v>
      </c>
      <c r="Q733" s="32" t="str">
        <f>"str_"&amp;CONTROL[[#This Row],[VEHIDCODE]]</f>
        <v>str_mu_Coach_Gen2_Steel_Mail_Coach</v>
      </c>
    </row>
    <row r="734" spans="1:17">
      <c r="A734" s="2" t="s">
        <v>771</v>
      </c>
      <c r="B734" s="32" t="str">
        <f>_xlfn.TEXTAFTER(CONTROL[[#This Row],[VEHIDCODE]],"_")</f>
        <v>Coach_Gen2_Steel_2_axle_Compartment_Coach</v>
      </c>
      <c r="C734" t="s">
        <v>738</v>
      </c>
      <c r="D734" t="s">
        <v>953</v>
      </c>
      <c r="E734">
        <v>11015</v>
      </c>
      <c r="F734" t="s">
        <v>1689</v>
      </c>
      <c r="G734" t="s">
        <v>1776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Row],[VEHIDCODE]],#REF!,0))</f>
        <v>0</v>
      </c>
      <c r="L734" t="b">
        <f>ISNUMBER(_xlfn.XMATCH(CONTROL[[#This Row],[VEHIDCODE]],PROPERTIES[VEHIDCODE],0))</f>
        <v>1</v>
      </c>
      <c r="M734" t="b">
        <f>ISNUMBER(_xlfn.XMATCH(CONTROL[[#This Row],[VEHIDCODE]],#REF!,0))</f>
        <v>0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s="32" t="str">
        <f>"item_"&amp;CONTROL[[#This Row],[VEHIDCODE]]</f>
        <v>item_mu_Coach_Gen2_Steel_2_axle_Compartment_Coach</v>
      </c>
      <c r="Q734" s="32" t="str">
        <f>"str_"&amp;CONTROL[[#This Row],[VEHIDCODE]]</f>
        <v>str_mu_Coach_Gen2_Steel_2_axle_Compartment_Coach</v>
      </c>
    </row>
    <row r="735" spans="1:17">
      <c r="A735" s="2" t="s">
        <v>772</v>
      </c>
      <c r="B735" s="32" t="str">
        <f>_xlfn.TEXTAFTER(CONTROL[[#This Row],[VEHIDCODE]],"_")</f>
        <v>Coach_Gen2_Steel_2_axle_Regional_Coach</v>
      </c>
      <c r="C735" t="s">
        <v>738</v>
      </c>
      <c r="D735" t="s">
        <v>953</v>
      </c>
      <c r="E735">
        <v>11016</v>
      </c>
      <c r="F735" t="s">
        <v>1690</v>
      </c>
      <c r="G735" t="s">
        <v>1776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Row],[VEHIDCODE]],#REF!,0))</f>
        <v>0</v>
      </c>
      <c r="L735" t="b">
        <f>ISNUMBER(_xlfn.XMATCH(CONTROL[[#This Row],[VEHIDCODE]],PROPERTIES[VEHIDCODE],0))</f>
        <v>1</v>
      </c>
      <c r="M735" t="b">
        <f>ISNUMBER(_xlfn.XMATCH(CONTROL[[#This Row],[VEHIDCODE]],#REF!,0))</f>
        <v>0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s="32" t="str">
        <f>"item_"&amp;CONTROL[[#This Row],[VEHIDCODE]]</f>
        <v>item_mu_Coach_Gen2_Steel_2_axle_Regional_Coach</v>
      </c>
      <c r="Q735" s="32" t="str">
        <f>"str_"&amp;CONTROL[[#This Row],[VEHIDCODE]]</f>
        <v>str_mu_Coach_Gen2_Steel_2_axle_Regional_Coach</v>
      </c>
    </row>
    <row r="736" spans="1:17">
      <c r="A736" s="2" t="s">
        <v>773</v>
      </c>
      <c r="B736" s="32" t="str">
        <f>_xlfn.TEXTAFTER(CONTROL[[#This Row],[VEHIDCODE]],"_")</f>
        <v>Coach_Gen2_Steel_2_axle_Mail_Coach</v>
      </c>
      <c r="C736" t="s">
        <v>738</v>
      </c>
      <c r="D736" t="s">
        <v>953</v>
      </c>
      <c r="E736">
        <v>11017</v>
      </c>
      <c r="F736" t="s">
        <v>1691</v>
      </c>
      <c r="G736" t="s">
        <v>1776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Row],[VEHIDCODE]],#REF!,0))</f>
        <v>0</v>
      </c>
      <c r="L736" t="b">
        <f>ISNUMBER(_xlfn.XMATCH(CONTROL[[#This Row],[VEHIDCODE]],PROPERTIES[VEHIDCODE],0))</f>
        <v>1</v>
      </c>
      <c r="M736" t="b">
        <f>ISNUMBER(_xlfn.XMATCH(CONTROL[[#This Row],[VEHIDCODE]],#REF!,0))</f>
        <v>0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s="32" t="str">
        <f>"item_"&amp;CONTROL[[#This Row],[VEHIDCODE]]</f>
        <v>item_mu_Coach_Gen2_Steel_2_axle_Mail_Coach</v>
      </c>
      <c r="Q736" s="32" t="str">
        <f>"str_"&amp;CONTROL[[#This Row],[VEHIDCODE]]</f>
        <v>str_mu_Coach_Gen2_Steel_2_axle_Mail_Coach</v>
      </c>
    </row>
    <row r="737" spans="1:17">
      <c r="A737" s="2" t="s">
        <v>774</v>
      </c>
      <c r="B737" s="32" t="str">
        <f>_xlfn.TEXTAFTER(CONTROL[[#This Row],[VEHIDCODE]],"_")</f>
        <v>Coach_Gen2_Steel_3_axle_Compartment_Coach</v>
      </c>
      <c r="C737" t="s">
        <v>738</v>
      </c>
      <c r="D737" t="s">
        <v>953</v>
      </c>
      <c r="E737">
        <v>11018</v>
      </c>
      <c r="F737" t="s">
        <v>1692</v>
      </c>
      <c r="G737" t="s">
        <v>1776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Row],[VEHIDCODE]],#REF!,0))</f>
        <v>0</v>
      </c>
      <c r="L737" t="b">
        <f>ISNUMBER(_xlfn.XMATCH(CONTROL[[#This Row],[VEHIDCODE]],PROPERTIES[VEHIDCODE],0))</f>
        <v>1</v>
      </c>
      <c r="M737" t="b">
        <f>ISNUMBER(_xlfn.XMATCH(CONTROL[[#This Row],[VEHIDCODE]],#REF!,0))</f>
        <v>0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s="32" t="str">
        <f>"item_"&amp;CONTROL[[#This Row],[VEHIDCODE]]</f>
        <v>item_mu_Coach_Gen2_Steel_3_axle_Compartment_Coach</v>
      </c>
      <c r="Q737" s="32" t="str">
        <f>"str_"&amp;CONTROL[[#This Row],[VEHIDCODE]]</f>
        <v>str_mu_Coach_Gen2_Steel_3_axle_Compartment_Coach</v>
      </c>
    </row>
    <row r="738" spans="1:17">
      <c r="A738" s="2" t="s">
        <v>775</v>
      </c>
      <c r="B738" s="32" t="str">
        <f>_xlfn.TEXTAFTER(CONTROL[[#This Row],[VEHIDCODE]],"_")</f>
        <v>Coach_Gen2_Steel_3_axle_Regional_Coach</v>
      </c>
      <c r="C738" t="s">
        <v>738</v>
      </c>
      <c r="D738" t="s">
        <v>953</v>
      </c>
      <c r="E738">
        <v>11019</v>
      </c>
      <c r="F738" t="s">
        <v>1693</v>
      </c>
      <c r="G738" t="s">
        <v>1776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Row],[VEHIDCODE]],#REF!,0))</f>
        <v>0</v>
      </c>
      <c r="L738" t="b">
        <f>ISNUMBER(_xlfn.XMATCH(CONTROL[[#This Row],[VEHIDCODE]],PROPERTIES[VEHIDCODE],0))</f>
        <v>1</v>
      </c>
      <c r="M738" t="b">
        <f>ISNUMBER(_xlfn.XMATCH(CONTROL[[#This Row],[VEHIDCODE]],#REF!,0))</f>
        <v>0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s="32" t="str">
        <f>"item_"&amp;CONTROL[[#This Row],[VEHIDCODE]]</f>
        <v>item_mu_Coach_Gen2_Steel_3_axle_Regional_Coach</v>
      </c>
      <c r="Q738" s="32" t="str">
        <f>"str_"&amp;CONTROL[[#This Row],[VEHIDCODE]]</f>
        <v>str_mu_Coach_Gen2_Steel_3_axle_Regional_Coach</v>
      </c>
    </row>
    <row r="739" spans="1:17">
      <c r="A739" s="2" t="s">
        <v>776</v>
      </c>
      <c r="B739" s="32" t="str">
        <f>_xlfn.TEXTAFTER(CONTROL[[#This Row],[VEHIDCODE]],"_")</f>
        <v>Coach_Gen2_Steel_3_axle_Mail_Coach</v>
      </c>
      <c r="C739" t="s">
        <v>738</v>
      </c>
      <c r="D739" t="s">
        <v>953</v>
      </c>
      <c r="E739">
        <v>11020</v>
      </c>
      <c r="F739" t="s">
        <v>1694</v>
      </c>
      <c r="G739" t="s">
        <v>1776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Row],[VEHIDCODE]],#REF!,0))</f>
        <v>0</v>
      </c>
      <c r="L739" t="b">
        <f>ISNUMBER(_xlfn.XMATCH(CONTROL[[#This Row],[VEHIDCODE]],PROPERTIES[VEHIDCODE],0))</f>
        <v>1</v>
      </c>
      <c r="M739" t="b">
        <f>ISNUMBER(_xlfn.XMATCH(CONTROL[[#This Row],[VEHIDCODE]],#REF!,0))</f>
        <v>0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s="32" t="str">
        <f>"item_"&amp;CONTROL[[#This Row],[VEHIDCODE]]</f>
        <v>item_mu_Coach_Gen2_Steel_3_axle_Mail_Coach</v>
      </c>
      <c r="Q739" s="32" t="str">
        <f>"str_"&amp;CONTROL[[#This Row],[VEHIDCODE]]</f>
        <v>str_mu_Coach_Gen2_Steel_3_axle_Mail_Coach</v>
      </c>
    </row>
    <row r="740" spans="1:17">
      <c r="A740" s="2" t="s">
        <v>777</v>
      </c>
      <c r="B740" s="32" t="str">
        <f>_xlfn.TEXTAFTER(CONTROL[[#This Row],[VEHIDCODE]],"_")</f>
        <v>Coach_Gen3_Steel_Lightweight_Intercity_Coach</v>
      </c>
      <c r="C740" t="s">
        <v>739</v>
      </c>
      <c r="D740" t="s">
        <v>953</v>
      </c>
      <c r="E740">
        <v>11021</v>
      </c>
      <c r="F740" t="s">
        <v>1695</v>
      </c>
      <c r="G740" t="s">
        <v>1776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Row],[VEHIDCODE]],#REF!,0))</f>
        <v>0</v>
      </c>
      <c r="L740" t="b">
        <f>ISNUMBER(_xlfn.XMATCH(CONTROL[[#This Row],[VEHIDCODE]],PROPERTIES[VEHIDCODE],0))</f>
        <v>1</v>
      </c>
      <c r="M740" t="b">
        <f>ISNUMBER(_xlfn.XMATCH(CONTROL[[#This Row],[VEHIDCODE]],#REF!,0))</f>
        <v>0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s="32" t="str">
        <f>"item_"&amp;CONTROL[[#This Row],[VEHIDCODE]]</f>
        <v>item_mu_Coach_Gen3_Steel_Lightweight_Intercity_Coach</v>
      </c>
      <c r="Q740" s="32" t="str">
        <f>"str_"&amp;CONTROL[[#This Row],[VEHIDCODE]]</f>
        <v>str_mu_Coach_Gen3_Steel_Lightweight_Intercity_Coach</v>
      </c>
    </row>
    <row r="741" spans="1:17">
      <c r="A741" s="2" t="s">
        <v>778</v>
      </c>
      <c r="B741" s="32" t="str">
        <f>_xlfn.TEXTAFTER(CONTROL[[#This Row],[VEHIDCODE]],"_")</f>
        <v>Coach_Gen3_Steel_Lightweight_Regional_Coach</v>
      </c>
      <c r="C741" t="s">
        <v>739</v>
      </c>
      <c r="D741" t="s">
        <v>953</v>
      </c>
      <c r="E741">
        <v>11022</v>
      </c>
      <c r="F741" t="s">
        <v>1696</v>
      </c>
      <c r="G741" t="s">
        <v>1776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Row],[VEHIDCODE]],#REF!,0))</f>
        <v>0</v>
      </c>
      <c r="L741" t="b">
        <f>ISNUMBER(_xlfn.XMATCH(CONTROL[[#This Row],[VEHIDCODE]],PROPERTIES[VEHIDCODE],0))</f>
        <v>1</v>
      </c>
      <c r="M741" t="b">
        <f>ISNUMBER(_xlfn.XMATCH(CONTROL[[#This Row],[VEHIDCODE]],#REF!,0))</f>
        <v>0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s="32" t="str">
        <f>"item_"&amp;CONTROL[[#This Row],[VEHIDCODE]]</f>
        <v>item_mu_Coach_Gen3_Steel_Lightweight_Regional_Coach</v>
      </c>
      <c r="Q741" s="32" t="str">
        <f>"str_"&amp;CONTROL[[#This Row],[VEHIDCODE]]</f>
        <v>str_mu_Coach_Gen3_Steel_Lightweight_Regional_Coach</v>
      </c>
    </row>
    <row r="742" spans="1:17">
      <c r="A742" s="2" t="s">
        <v>779</v>
      </c>
      <c r="B742" s="32" t="str">
        <f>_xlfn.TEXTAFTER(CONTROL[[#This Row],[VEHIDCODE]],"_")</f>
        <v>Coach_Gen3_Steel_Lightweight_Mail_Coach</v>
      </c>
      <c r="C742" t="s">
        <v>739</v>
      </c>
      <c r="D742" t="s">
        <v>953</v>
      </c>
      <c r="E742">
        <v>11023</v>
      </c>
      <c r="F742" t="s">
        <v>1697</v>
      </c>
      <c r="G742" t="s">
        <v>1776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Row],[VEHIDCODE]],#REF!,0))</f>
        <v>0</v>
      </c>
      <c r="L742" t="b">
        <f>ISNUMBER(_xlfn.XMATCH(CONTROL[[#This Row],[VEHIDCODE]],PROPERTIES[VEHIDCODE],0))</f>
        <v>1</v>
      </c>
      <c r="M742" t="b">
        <f>ISNUMBER(_xlfn.XMATCH(CONTROL[[#This Row],[VEHIDCODE]],#REF!,0))</f>
        <v>0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s="32" t="str">
        <f>"item_"&amp;CONTROL[[#This Row],[VEHIDCODE]]</f>
        <v>item_mu_Coach_Gen3_Steel_Lightweight_Mail_Coach</v>
      </c>
      <c r="Q742" s="32" t="str">
        <f>"str_"&amp;CONTROL[[#This Row],[VEHIDCODE]]</f>
        <v>str_mu_Coach_Gen3_Steel_Lightweight_Mail_Coach</v>
      </c>
    </row>
    <row r="743" spans="1:17">
      <c r="A743" s="2" t="s">
        <v>780</v>
      </c>
      <c r="B743" s="32" t="str">
        <f>_xlfn.TEXTAFTER(CONTROL[[#This Row],[VEHIDCODE]],"_")</f>
        <v>Coach_Gen3_Aluminium_Lightweight_Intercity_Coach</v>
      </c>
      <c r="C743" t="s">
        <v>739</v>
      </c>
      <c r="D743" t="s">
        <v>953</v>
      </c>
      <c r="E743">
        <v>11024</v>
      </c>
      <c r="F743" t="s">
        <v>1698</v>
      </c>
      <c r="G743" t="s">
        <v>1776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Row],[VEHIDCODE]],#REF!,0))</f>
        <v>0</v>
      </c>
      <c r="L743" t="b">
        <f>ISNUMBER(_xlfn.XMATCH(CONTROL[[#This Row],[VEHIDCODE]],PROPERTIES[VEHIDCODE],0))</f>
        <v>1</v>
      </c>
      <c r="M743" t="b">
        <f>ISNUMBER(_xlfn.XMATCH(CONTROL[[#This Row],[VEHIDCODE]],#REF!,0))</f>
        <v>0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s="32" t="str">
        <f>"item_"&amp;CONTROL[[#This Row],[VEHIDCODE]]</f>
        <v>item_mu_Coach_Gen3_Aluminium_Lightweight_Intercity_Coach</v>
      </c>
      <c r="Q743" s="32" t="str">
        <f>"str_"&amp;CONTROL[[#This Row],[VEHIDCODE]]</f>
        <v>str_mu_Coach_Gen3_Aluminium_Lightweight_Intercity_Coach</v>
      </c>
    </row>
    <row r="744" spans="1:17">
      <c r="A744" s="2" t="s">
        <v>781</v>
      </c>
      <c r="B744" s="32" t="str">
        <f>_xlfn.TEXTAFTER(CONTROL[[#This Row],[VEHIDCODE]],"_")</f>
        <v>Coach_Gen3_Aluminium_Lightweight_Regional_Coach</v>
      </c>
      <c r="C744" t="s">
        <v>739</v>
      </c>
      <c r="D744" t="s">
        <v>953</v>
      </c>
      <c r="E744">
        <v>11025</v>
      </c>
      <c r="F744" t="s">
        <v>1699</v>
      </c>
      <c r="G744" t="s">
        <v>1776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Row],[VEHIDCODE]],#REF!,0))</f>
        <v>0</v>
      </c>
      <c r="L744" t="b">
        <f>ISNUMBER(_xlfn.XMATCH(CONTROL[[#This Row],[VEHIDCODE]],PROPERTIES[VEHIDCODE],0))</f>
        <v>1</v>
      </c>
      <c r="M744" t="b">
        <f>ISNUMBER(_xlfn.XMATCH(CONTROL[[#This Row],[VEHIDCODE]],#REF!,0))</f>
        <v>0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s="32" t="str">
        <f>"item_"&amp;CONTROL[[#This Row],[VEHIDCODE]]</f>
        <v>item_mu_Coach_Gen3_Aluminium_Lightweight_Regional_Coach</v>
      </c>
      <c r="Q744" s="32" t="str">
        <f>"str_"&amp;CONTROL[[#This Row],[VEHIDCODE]]</f>
        <v>str_mu_Coach_Gen3_Aluminium_Lightweight_Regional_Coach</v>
      </c>
    </row>
    <row r="745" spans="1:17">
      <c r="A745" s="2" t="s">
        <v>782</v>
      </c>
      <c r="B745" s="32" t="str">
        <f>_xlfn.TEXTAFTER(CONTROL[[#This Row],[VEHIDCODE]],"_")</f>
        <v>Coach_Gen3_Aluminium_Lightweight_Mail_Coach</v>
      </c>
      <c r="C745" t="s">
        <v>739</v>
      </c>
      <c r="D745" t="s">
        <v>953</v>
      </c>
      <c r="E745">
        <v>11026</v>
      </c>
      <c r="F745" t="s">
        <v>1700</v>
      </c>
      <c r="G745" t="s">
        <v>1776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Row],[VEHIDCODE]],#REF!,0))</f>
        <v>0</v>
      </c>
      <c r="L745" t="b">
        <f>ISNUMBER(_xlfn.XMATCH(CONTROL[[#This Row],[VEHIDCODE]],PROPERTIES[VEHIDCODE],0))</f>
        <v>1</v>
      </c>
      <c r="M745" t="b">
        <f>ISNUMBER(_xlfn.XMATCH(CONTROL[[#This Row],[VEHIDCODE]],#REF!,0))</f>
        <v>0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s="32" t="str">
        <f>"item_"&amp;CONTROL[[#This Row],[VEHIDCODE]]</f>
        <v>item_mu_Coach_Gen3_Aluminium_Lightweight_Mail_Coach</v>
      </c>
      <c r="Q745" s="32" t="str">
        <f>"str_"&amp;CONTROL[[#This Row],[VEHIDCODE]]</f>
        <v>str_mu_Coach_Gen3_Aluminium_Lightweight_Mail_Coach</v>
      </c>
    </row>
    <row r="746" spans="1:17">
      <c r="A746" s="2" t="s">
        <v>783</v>
      </c>
      <c r="B746" s="32" t="str">
        <f>_xlfn.TEXTAFTER(CONTROL[[#This Row],[VEHIDCODE]],"_")</f>
        <v>Coach_Gen3_Gallery_Car</v>
      </c>
      <c r="C746" t="s">
        <v>739</v>
      </c>
      <c r="D746" t="s">
        <v>953</v>
      </c>
      <c r="E746">
        <v>11027</v>
      </c>
      <c r="F746" t="s">
        <v>1701</v>
      </c>
      <c r="G746" t="s">
        <v>1776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Row],[VEHIDCODE]],#REF!,0))</f>
        <v>0</v>
      </c>
      <c r="L746" t="b">
        <f>ISNUMBER(_xlfn.XMATCH(CONTROL[[#This Row],[VEHIDCODE]],PROPERTIES[VEHIDCODE],0))</f>
        <v>1</v>
      </c>
      <c r="M746" t="b">
        <f>ISNUMBER(_xlfn.XMATCH(CONTROL[[#This Row],[VEHIDCODE]],#REF!,0))</f>
        <v>0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s="32" t="str">
        <f>"item_"&amp;CONTROL[[#This Row],[VEHIDCODE]]</f>
        <v>item_mu_Coach_Gen3_Gallery_Car</v>
      </c>
      <c r="Q746" s="32" t="str">
        <f>"str_"&amp;CONTROL[[#This Row],[VEHIDCODE]]</f>
        <v>str_mu_Coach_Gen3_Gallery_Car</v>
      </c>
    </row>
    <row r="747" spans="1:17">
      <c r="A747" s="2" t="s">
        <v>784</v>
      </c>
      <c r="B747" s="32" t="str">
        <f>_xlfn.TEXTAFTER(CONTROL[[#This Row],[VEHIDCODE]],"_")</f>
        <v>Coach_Gen3_Mk1_Intercity_Coach</v>
      </c>
      <c r="C747" t="s">
        <v>739</v>
      </c>
      <c r="D747" t="s">
        <v>953</v>
      </c>
      <c r="E747">
        <v>11028</v>
      </c>
      <c r="F747" t="s">
        <v>1702</v>
      </c>
      <c r="G747" t="s">
        <v>1776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Row],[VEHIDCODE]],#REF!,0))</f>
        <v>0</v>
      </c>
      <c r="L747" t="b">
        <f>ISNUMBER(_xlfn.XMATCH(CONTROL[[#This Row],[VEHIDCODE]],PROPERTIES[VEHIDCODE],0))</f>
        <v>1</v>
      </c>
      <c r="M747" t="b">
        <f>ISNUMBER(_xlfn.XMATCH(CONTROL[[#This Row],[VEHIDCODE]],#REF!,0))</f>
        <v>0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s="32" t="str">
        <f>"item_"&amp;CONTROL[[#This Row],[VEHIDCODE]]</f>
        <v>item_mu_Coach_Gen3_Mk1_Intercity_Coach</v>
      </c>
      <c r="Q747" s="32" t="str">
        <f>"str_"&amp;CONTROL[[#This Row],[VEHIDCODE]]</f>
        <v>str_mu_Coach_Gen3_Mk1_Intercity_Coach</v>
      </c>
    </row>
    <row r="748" spans="1:17">
      <c r="A748" s="2" t="s">
        <v>785</v>
      </c>
      <c r="B748" s="32" t="str">
        <f>_xlfn.TEXTAFTER(CONTROL[[#This Row],[VEHIDCODE]],"_")</f>
        <v>Coach_Gen3_Mk1_Regional_Coach</v>
      </c>
      <c r="C748" t="s">
        <v>739</v>
      </c>
      <c r="D748" t="s">
        <v>953</v>
      </c>
      <c r="E748">
        <v>11029</v>
      </c>
      <c r="F748" t="s">
        <v>1703</v>
      </c>
      <c r="G748" t="s">
        <v>1776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Row],[VEHIDCODE]],#REF!,0))</f>
        <v>0</v>
      </c>
      <c r="L748" t="b">
        <f>ISNUMBER(_xlfn.XMATCH(CONTROL[[#This Row],[VEHIDCODE]],PROPERTIES[VEHIDCODE],0))</f>
        <v>1</v>
      </c>
      <c r="M748" t="b">
        <f>ISNUMBER(_xlfn.XMATCH(CONTROL[[#This Row],[VEHIDCODE]],#REF!,0))</f>
        <v>0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s="32" t="str">
        <f>"item_"&amp;CONTROL[[#This Row],[VEHIDCODE]]</f>
        <v>item_mu_Coach_Gen3_Mk1_Regional_Coach</v>
      </c>
      <c r="Q748" s="32" t="str">
        <f>"str_"&amp;CONTROL[[#This Row],[VEHIDCODE]]</f>
        <v>str_mu_Coach_Gen3_Mk1_Regional_Coach</v>
      </c>
    </row>
    <row r="749" spans="1:17">
      <c r="A749" s="2" t="s">
        <v>786</v>
      </c>
      <c r="B749" s="32" t="str">
        <f>_xlfn.TEXTAFTER(CONTROL[[#This Row],[VEHIDCODE]],"_")</f>
        <v>Coach_Gen3_Mk1_Mail_Coach</v>
      </c>
      <c r="C749" t="s">
        <v>739</v>
      </c>
      <c r="D749" t="s">
        <v>953</v>
      </c>
      <c r="E749">
        <v>11030</v>
      </c>
      <c r="F749" t="s">
        <v>1704</v>
      </c>
      <c r="G749" t="s">
        <v>1776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Row],[VEHIDCODE]],#REF!,0))</f>
        <v>0</v>
      </c>
      <c r="L749" t="b">
        <f>ISNUMBER(_xlfn.XMATCH(CONTROL[[#This Row],[VEHIDCODE]],PROPERTIES[VEHIDCODE],0))</f>
        <v>1</v>
      </c>
      <c r="M749" t="b">
        <f>ISNUMBER(_xlfn.XMATCH(CONTROL[[#This Row],[VEHIDCODE]],#REF!,0))</f>
        <v>0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s="32" t="str">
        <f>"item_"&amp;CONTROL[[#This Row],[VEHIDCODE]]</f>
        <v>item_mu_Coach_Gen3_Mk1_Mail_Coach</v>
      </c>
      <c r="Q749" s="32" t="str">
        <f>"str_"&amp;CONTROL[[#This Row],[VEHIDCODE]]</f>
        <v>str_mu_Coach_Gen3_Mk1_Mail_Coach</v>
      </c>
    </row>
    <row r="750" spans="1:17">
      <c r="A750" s="2" t="s">
        <v>787</v>
      </c>
      <c r="B750" s="32" t="str">
        <f>_xlfn.TEXTAFTER(CONTROL[[#This Row],[VEHIDCODE]],"_")</f>
        <v>Coach_Gen3_UIC_X_Intercity_Coach</v>
      </c>
      <c r="C750" t="s">
        <v>739</v>
      </c>
      <c r="D750" t="s">
        <v>953</v>
      </c>
      <c r="E750">
        <v>11031</v>
      </c>
      <c r="F750" t="s">
        <v>1705</v>
      </c>
      <c r="G750" t="s">
        <v>1776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Row],[VEHIDCODE]],#REF!,0))</f>
        <v>0</v>
      </c>
      <c r="L750" t="b">
        <f>ISNUMBER(_xlfn.XMATCH(CONTROL[[#This Row],[VEHIDCODE]],PROPERTIES[VEHIDCODE],0))</f>
        <v>1</v>
      </c>
      <c r="M750" t="b">
        <f>ISNUMBER(_xlfn.XMATCH(CONTROL[[#This Row],[VEHIDCODE]],#REF!,0))</f>
        <v>0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s="32" t="str">
        <f>"item_"&amp;CONTROL[[#This Row],[VEHIDCODE]]</f>
        <v>item_mu_Coach_Gen3_UIC_X_Intercity_Coach</v>
      </c>
      <c r="Q750" s="32" t="str">
        <f>"str_"&amp;CONTROL[[#This Row],[VEHIDCODE]]</f>
        <v>str_mu_Coach_Gen3_UIC_X_Intercity_Coach</v>
      </c>
    </row>
    <row r="751" spans="1:17">
      <c r="A751" s="2" t="s">
        <v>788</v>
      </c>
      <c r="B751" s="32" t="str">
        <f>_xlfn.TEXTAFTER(CONTROL[[#This Row],[VEHIDCODE]],"_")</f>
        <v>Coach_Gen3_TEE_Intercity_Coach</v>
      </c>
      <c r="C751" t="s">
        <v>739</v>
      </c>
      <c r="D751" t="s">
        <v>953</v>
      </c>
      <c r="E751">
        <v>11032</v>
      </c>
      <c r="F751" t="s">
        <v>1706</v>
      </c>
      <c r="G751" t="s">
        <v>1776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Row],[VEHIDCODE]],#REF!,0))</f>
        <v>0</v>
      </c>
      <c r="L751" t="b">
        <f>ISNUMBER(_xlfn.XMATCH(CONTROL[[#This Row],[VEHIDCODE]],PROPERTIES[VEHIDCODE],0))</f>
        <v>1</v>
      </c>
      <c r="M751" t="b">
        <f>ISNUMBER(_xlfn.XMATCH(CONTROL[[#This Row],[VEHIDCODE]],#REF!,0))</f>
        <v>0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s="32" t="str">
        <f>"item_"&amp;CONTROL[[#This Row],[VEHIDCODE]]</f>
        <v>item_mu_Coach_Gen3_TEE_Intercity_Coach</v>
      </c>
      <c r="Q751" s="32" t="str">
        <f>"str_"&amp;CONTROL[[#This Row],[VEHIDCODE]]</f>
        <v>str_mu_Coach_Gen3_TEE_Intercity_Coach</v>
      </c>
    </row>
    <row r="752" spans="1:17">
      <c r="A752" s="2" t="s">
        <v>789</v>
      </c>
      <c r="B752" s="32" t="str">
        <f>_xlfn.TEXTAFTER(CONTROL[[#This Row],[VEHIDCODE]],"_")</f>
        <v>Coach_Gen3_UIC_X_Regional_Coach</v>
      </c>
      <c r="C752" t="s">
        <v>739</v>
      </c>
      <c r="D752" t="s">
        <v>953</v>
      </c>
      <c r="E752">
        <v>11033</v>
      </c>
      <c r="F752" t="s">
        <v>1707</v>
      </c>
      <c r="G752" t="s">
        <v>1776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Row],[VEHIDCODE]],#REF!,0))</f>
        <v>0</v>
      </c>
      <c r="L752" t="b">
        <f>ISNUMBER(_xlfn.XMATCH(CONTROL[[#This Row],[VEHIDCODE]],PROPERTIES[VEHIDCODE],0))</f>
        <v>1</v>
      </c>
      <c r="M752" t="b">
        <f>ISNUMBER(_xlfn.XMATCH(CONTROL[[#This Row],[VEHIDCODE]],#REF!,0))</f>
        <v>0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s="32" t="str">
        <f>"item_"&amp;CONTROL[[#This Row],[VEHIDCODE]]</f>
        <v>item_mu_Coach_Gen3_UIC_X_Regional_Coach</v>
      </c>
      <c r="Q752" s="32" t="str">
        <f>"str_"&amp;CONTROL[[#This Row],[VEHIDCODE]]</f>
        <v>str_mu_Coach_Gen3_UIC_X_Regional_Coach</v>
      </c>
    </row>
    <row r="753" spans="1:17">
      <c r="A753" s="2" t="s">
        <v>790</v>
      </c>
      <c r="B753" s="32" t="str">
        <f>_xlfn.TEXTAFTER(CONTROL[[#This Row],[VEHIDCODE]],"_")</f>
        <v>Coach_Gen3_Umbauwagen_Local_Coach</v>
      </c>
      <c r="C753" t="s">
        <v>739</v>
      </c>
      <c r="D753" t="s">
        <v>953</v>
      </c>
      <c r="E753">
        <v>11034</v>
      </c>
      <c r="F753" t="s">
        <v>1708</v>
      </c>
      <c r="G753" t="s">
        <v>1776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Row],[VEHIDCODE]],#REF!,0))</f>
        <v>0</v>
      </c>
      <c r="L753" t="b">
        <f>ISNUMBER(_xlfn.XMATCH(CONTROL[[#This Row],[VEHIDCODE]],PROPERTIES[VEHIDCODE],0))</f>
        <v>1</v>
      </c>
      <c r="M753" t="b">
        <f>ISNUMBER(_xlfn.XMATCH(CONTROL[[#This Row],[VEHIDCODE]],#REF!,0))</f>
        <v>0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s="32" t="str">
        <f>"item_"&amp;CONTROL[[#This Row],[VEHIDCODE]]</f>
        <v>item_mu_Coach_Gen3_Umbauwagen_Local_Coach</v>
      </c>
      <c r="Q753" s="32" t="str">
        <f>"str_"&amp;CONTROL[[#This Row],[VEHIDCODE]]</f>
        <v>str_mu_Coach_Gen3_Umbauwagen_Local_Coach</v>
      </c>
    </row>
    <row r="754" spans="1:17">
      <c r="A754" s="2" t="s">
        <v>791</v>
      </c>
      <c r="B754" s="32" t="str">
        <f>_xlfn.TEXTAFTER(CONTROL[[#This Row],[VEHIDCODE]],"_")</f>
        <v>Coach_Gen3_Doppelstockwagen_Local_Coach</v>
      </c>
      <c r="C754" t="s">
        <v>739</v>
      </c>
      <c r="D754" t="s">
        <v>953</v>
      </c>
      <c r="E754">
        <v>11035</v>
      </c>
      <c r="F754" t="s">
        <v>1709</v>
      </c>
      <c r="G754" t="s">
        <v>1776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Row],[VEHIDCODE]],#REF!,0))</f>
        <v>0</v>
      </c>
      <c r="L754" t="b">
        <f>ISNUMBER(_xlfn.XMATCH(CONTROL[[#This Row],[VEHIDCODE]],PROPERTIES[VEHIDCODE],0))</f>
        <v>1</v>
      </c>
      <c r="M754" t="b">
        <f>ISNUMBER(_xlfn.XMATCH(CONTROL[[#This Row],[VEHIDCODE]],#REF!,0))</f>
        <v>0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s="32" t="str">
        <f>"item_"&amp;CONTROL[[#This Row],[VEHIDCODE]]</f>
        <v>item_mu_Coach_Gen3_Doppelstockwagen_Local_Coach</v>
      </c>
      <c r="Q754" s="32" t="str">
        <f>"str_"&amp;CONTROL[[#This Row],[VEHIDCODE]]</f>
        <v>str_mu_Coach_Gen3_Doppelstockwagen_Local_Coach</v>
      </c>
    </row>
    <row r="755" spans="1:17">
      <c r="A755" s="2" t="s">
        <v>792</v>
      </c>
      <c r="B755" s="32" t="str">
        <f>_xlfn.TEXTAFTER(CONTROL[[#This Row],[VEHIDCODE]],"_")</f>
        <v>Coach_Gen3_UIC_X_Mail_Coach</v>
      </c>
      <c r="C755" t="s">
        <v>739</v>
      </c>
      <c r="D755" t="s">
        <v>953</v>
      </c>
      <c r="E755">
        <v>11036</v>
      </c>
      <c r="F755" t="s">
        <v>1710</v>
      </c>
      <c r="G755" t="s">
        <v>1776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Row],[VEHIDCODE]],#REF!,0))</f>
        <v>0</v>
      </c>
      <c r="L755" t="b">
        <f>ISNUMBER(_xlfn.XMATCH(CONTROL[[#This Row],[VEHIDCODE]],PROPERTIES[VEHIDCODE],0))</f>
        <v>1</v>
      </c>
      <c r="M755" t="b">
        <f>ISNUMBER(_xlfn.XMATCH(CONTROL[[#This Row],[VEHIDCODE]],#REF!,0))</f>
        <v>0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s="32" t="str">
        <f>"item_"&amp;CONTROL[[#This Row],[VEHIDCODE]]</f>
        <v>item_mu_Coach_Gen3_UIC_X_Mail_Coach</v>
      </c>
      <c r="Q755" s="32" t="str">
        <f>"str_"&amp;CONTROL[[#This Row],[VEHIDCODE]]</f>
        <v>str_mu_Coach_Gen3_UIC_X_Mail_Coach</v>
      </c>
    </row>
    <row r="756" spans="1:17">
      <c r="A756" s="2" t="s">
        <v>793</v>
      </c>
      <c r="B756" s="32" t="str">
        <f>_xlfn.TEXTAFTER(CONTROL[[#This Row],[VEHIDCODE]],"_")</f>
        <v>Coach_Gen3_Indian_Intercity_Coach</v>
      </c>
      <c r="C756" t="s">
        <v>739</v>
      </c>
      <c r="D756" t="s">
        <v>953</v>
      </c>
      <c r="E756">
        <v>11037</v>
      </c>
      <c r="F756" t="s">
        <v>1711</v>
      </c>
      <c r="G756" t="s">
        <v>1776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Row],[VEHIDCODE]],#REF!,0))</f>
        <v>0</v>
      </c>
      <c r="L756" t="b">
        <f>ISNUMBER(_xlfn.XMATCH(CONTROL[[#This Row],[VEHIDCODE]],PROPERTIES[VEHIDCODE],0))</f>
        <v>1</v>
      </c>
      <c r="M756" t="b">
        <f>ISNUMBER(_xlfn.XMATCH(CONTROL[[#This Row],[VEHIDCODE]],#REF!,0))</f>
        <v>0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s="32" t="str">
        <f>"item_"&amp;CONTROL[[#This Row],[VEHIDCODE]]</f>
        <v>item_mu_Coach_Gen3_Indian_Intercity_Coach</v>
      </c>
      <c r="Q756" s="32" t="str">
        <f>"str_"&amp;CONTROL[[#This Row],[VEHIDCODE]]</f>
        <v>str_mu_Coach_Gen3_Indian_Intercity_Coach</v>
      </c>
    </row>
    <row r="757" spans="1:17">
      <c r="A757" s="2" t="s">
        <v>794</v>
      </c>
      <c r="B757" s="32" t="str">
        <f>_xlfn.TEXTAFTER(CONTROL[[#This Row],[VEHIDCODE]],"_")</f>
        <v>Coach_Gen3_Indian_Local_Coach</v>
      </c>
      <c r="C757" t="s">
        <v>739</v>
      </c>
      <c r="D757" t="s">
        <v>953</v>
      </c>
      <c r="E757">
        <v>11038</v>
      </c>
      <c r="F757" t="s">
        <v>1712</v>
      </c>
      <c r="G757" t="s">
        <v>1776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Row],[VEHIDCODE]],#REF!,0))</f>
        <v>0</v>
      </c>
      <c r="L757" t="b">
        <f>ISNUMBER(_xlfn.XMATCH(CONTROL[[#This Row],[VEHIDCODE]],PROPERTIES[VEHIDCODE],0))</f>
        <v>1</v>
      </c>
      <c r="M757" t="b">
        <f>ISNUMBER(_xlfn.XMATCH(CONTROL[[#This Row],[VEHIDCODE]],#REF!,0))</f>
        <v>0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s="32" t="str">
        <f>"item_"&amp;CONTROL[[#This Row],[VEHIDCODE]]</f>
        <v>item_mu_Coach_Gen3_Indian_Local_Coach</v>
      </c>
      <c r="Q757" s="32" t="str">
        <f>"str_"&amp;CONTROL[[#This Row],[VEHIDCODE]]</f>
        <v>str_mu_Coach_Gen3_Indian_Local_Coach</v>
      </c>
    </row>
    <row r="758" spans="1:17">
      <c r="A758" s="2" t="s">
        <v>795</v>
      </c>
      <c r="B758" s="32" t="str">
        <f>_xlfn.TEXTAFTER(CONTROL[[#This Row],[VEHIDCODE]],"_")</f>
        <v>Coach_Gen3_Indian_Regional_Coach</v>
      </c>
      <c r="C758" t="s">
        <v>739</v>
      </c>
      <c r="D758" t="s">
        <v>953</v>
      </c>
      <c r="E758">
        <v>11039</v>
      </c>
      <c r="F758" t="s">
        <v>1713</v>
      </c>
      <c r="G758" t="s">
        <v>1776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Row],[VEHIDCODE]],#REF!,0))</f>
        <v>0</v>
      </c>
      <c r="L758" t="b">
        <f>ISNUMBER(_xlfn.XMATCH(CONTROL[[#This Row],[VEHIDCODE]],PROPERTIES[VEHIDCODE],0))</f>
        <v>1</v>
      </c>
      <c r="M758" t="b">
        <f>ISNUMBER(_xlfn.XMATCH(CONTROL[[#This Row],[VEHIDCODE]],#REF!,0))</f>
        <v>0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s="32" t="str">
        <f>"item_"&amp;CONTROL[[#This Row],[VEHIDCODE]]</f>
        <v>item_mu_Coach_Gen3_Indian_Regional_Coach</v>
      </c>
      <c r="Q758" s="32" t="str">
        <f>"str_"&amp;CONTROL[[#This Row],[VEHIDCODE]]</f>
        <v>str_mu_Coach_Gen3_Indian_Regional_Coach</v>
      </c>
    </row>
    <row r="759" spans="1:17">
      <c r="A759" s="2" t="s">
        <v>796</v>
      </c>
      <c r="B759" s="32" t="str">
        <f>_xlfn.TEXTAFTER(CONTROL[[#This Row],[VEHIDCODE]],"_")</f>
        <v>Coach_Gen3_Indian_Mail_Coach</v>
      </c>
      <c r="C759" t="s">
        <v>739</v>
      </c>
      <c r="D759" t="s">
        <v>953</v>
      </c>
      <c r="E759">
        <v>11040</v>
      </c>
      <c r="F759" t="s">
        <v>1714</v>
      </c>
      <c r="G759" t="s">
        <v>1776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Row],[VEHIDCODE]],#REF!,0))</f>
        <v>0</v>
      </c>
      <c r="L759" t="b">
        <f>ISNUMBER(_xlfn.XMATCH(CONTROL[[#This Row],[VEHIDCODE]],PROPERTIES[VEHIDCODE],0))</f>
        <v>1</v>
      </c>
      <c r="M759" t="b">
        <f>ISNUMBER(_xlfn.XMATCH(CONTROL[[#This Row],[VEHIDCODE]],#REF!,0))</f>
        <v>0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s="32" t="str">
        <f>"item_"&amp;CONTROL[[#This Row],[VEHIDCODE]]</f>
        <v>item_mu_Coach_Gen3_Indian_Mail_Coach</v>
      </c>
      <c r="Q759" s="32" t="str">
        <f>"str_"&amp;CONTROL[[#This Row],[VEHIDCODE]]</f>
        <v>str_mu_Coach_Gen3_Indian_Mail_Coach</v>
      </c>
    </row>
    <row r="760" spans="1:17">
      <c r="A760" s="2" t="s">
        <v>797</v>
      </c>
      <c r="B760" s="32" t="str">
        <f>_xlfn.TEXTAFTER(CONTROL[[#This Row],[VEHIDCODE]],"_")</f>
        <v>Coach_Gen4_Eurofima_Intercity_Coach</v>
      </c>
      <c r="C760" t="s">
        <v>740</v>
      </c>
      <c r="D760" t="s">
        <v>953</v>
      </c>
      <c r="E760">
        <v>11041</v>
      </c>
      <c r="F760" t="s">
        <v>1715</v>
      </c>
      <c r="G760" t="s">
        <v>1776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Row],[VEHIDCODE]],#REF!,0))</f>
        <v>0</v>
      </c>
      <c r="L760" t="b">
        <f>ISNUMBER(_xlfn.XMATCH(CONTROL[[#This Row],[VEHIDCODE]],PROPERTIES[VEHIDCODE],0))</f>
        <v>1</v>
      </c>
      <c r="M760" t="b">
        <f>ISNUMBER(_xlfn.XMATCH(CONTROL[[#This Row],[VEHIDCODE]],#REF!,0))</f>
        <v>0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s="32" t="str">
        <f>"item_"&amp;CONTROL[[#This Row],[VEHIDCODE]]</f>
        <v>item_mu_Coach_Gen4_Eurofima_Intercity_Coach</v>
      </c>
      <c r="Q760" s="32" t="str">
        <f>"str_"&amp;CONTROL[[#This Row],[VEHIDCODE]]</f>
        <v>str_mu_Coach_Gen4_Eurofima_Intercity_Coach</v>
      </c>
    </row>
    <row r="761" spans="1:17">
      <c r="A761" s="2" t="s">
        <v>798</v>
      </c>
      <c r="B761" s="32" t="str">
        <f>_xlfn.TEXTAFTER(CONTROL[[#This Row],[VEHIDCODE]],"_")</f>
        <v>Coach_Gen4_InterRegio_Coach</v>
      </c>
      <c r="C761" t="s">
        <v>740</v>
      </c>
      <c r="D761" t="s">
        <v>953</v>
      </c>
      <c r="E761">
        <v>11042</v>
      </c>
      <c r="F761" t="s">
        <v>1716</v>
      </c>
      <c r="G761" t="s">
        <v>1776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Row],[VEHIDCODE]],#REF!,0))</f>
        <v>0</v>
      </c>
      <c r="L761" t="b">
        <f>ISNUMBER(_xlfn.XMATCH(CONTROL[[#This Row],[VEHIDCODE]],PROPERTIES[VEHIDCODE],0))</f>
        <v>1</v>
      </c>
      <c r="M761" t="b">
        <f>ISNUMBER(_xlfn.XMATCH(CONTROL[[#This Row],[VEHIDCODE]],#REF!,0))</f>
        <v>0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s="32" t="str">
        <f>"item_"&amp;CONTROL[[#This Row],[VEHIDCODE]]</f>
        <v>item_mu_Coach_Gen4_InterRegio_Coach</v>
      </c>
      <c r="Q761" s="32" t="str">
        <f>"str_"&amp;CONTROL[[#This Row],[VEHIDCODE]]</f>
        <v>str_mu_Coach_Gen4_InterRegio_Coach</v>
      </c>
    </row>
    <row r="762" spans="1:17">
      <c r="A762" s="2" t="s">
        <v>799</v>
      </c>
      <c r="B762" s="32" t="str">
        <f>_xlfn.TEXTAFTER(CONTROL[[#This Row],[VEHIDCODE]],"_")</f>
        <v>Coach_Gen4_Silberling_Commuter_Coach</v>
      </c>
      <c r="C762" t="s">
        <v>740</v>
      </c>
      <c r="D762" t="s">
        <v>953</v>
      </c>
      <c r="E762">
        <v>11043</v>
      </c>
      <c r="F762" t="s">
        <v>1717</v>
      </c>
      <c r="G762" t="s">
        <v>1776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Row],[VEHIDCODE]],#REF!,0))</f>
        <v>0</v>
      </c>
      <c r="L762" t="b">
        <f>ISNUMBER(_xlfn.XMATCH(CONTROL[[#This Row],[VEHIDCODE]],PROPERTIES[VEHIDCODE],0))</f>
        <v>1</v>
      </c>
      <c r="M762" t="b">
        <f>ISNUMBER(_xlfn.XMATCH(CONTROL[[#This Row],[VEHIDCODE]],#REF!,0))</f>
        <v>0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s="32" t="str">
        <f>"item_"&amp;CONTROL[[#This Row],[VEHIDCODE]]</f>
        <v>item_mu_Coach_Gen4_Silberling_Commuter_Coach</v>
      </c>
      <c r="Q762" s="32" t="str">
        <f>"str_"&amp;CONTROL[[#This Row],[VEHIDCODE]]</f>
        <v>str_mu_Coach_Gen4_Silberling_Commuter_Coach</v>
      </c>
    </row>
    <row r="763" spans="1:17">
      <c r="A763" s="2" t="s">
        <v>800</v>
      </c>
      <c r="B763" s="32" t="str">
        <f>_xlfn.TEXTAFTER(CONTROL[[#This Row],[VEHIDCODE]],"_")</f>
        <v>Coach_Gen4_Eurofima_Mail_Coach</v>
      </c>
      <c r="C763" t="s">
        <v>740</v>
      </c>
      <c r="D763" t="s">
        <v>953</v>
      </c>
      <c r="E763">
        <v>11044</v>
      </c>
      <c r="F763" t="s">
        <v>1718</v>
      </c>
      <c r="G763" t="s">
        <v>1776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Row],[VEHIDCODE]],#REF!,0))</f>
        <v>0</v>
      </c>
      <c r="L763" t="b">
        <f>ISNUMBER(_xlfn.XMATCH(CONTROL[[#This Row],[VEHIDCODE]],PROPERTIES[VEHIDCODE],0))</f>
        <v>1</v>
      </c>
      <c r="M763" t="b">
        <f>ISNUMBER(_xlfn.XMATCH(CONTROL[[#This Row],[VEHIDCODE]],#REF!,0))</f>
        <v>0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s="32" t="str">
        <f>"item_"&amp;CONTROL[[#This Row],[VEHIDCODE]]</f>
        <v>item_mu_Coach_Gen4_Eurofima_Mail_Coach</v>
      </c>
      <c r="Q763" s="32" t="str">
        <f>"str_"&amp;CONTROL[[#This Row],[VEHIDCODE]]</f>
        <v>str_mu_Coach_Gen4_Eurofima_Mail_Coach</v>
      </c>
    </row>
    <row r="764" spans="1:17">
      <c r="A764" s="2" t="s">
        <v>801</v>
      </c>
      <c r="B764" s="32" t="str">
        <f>_xlfn.TEXTAFTER(CONTROL[[#This Row],[VEHIDCODE]],"_")</f>
        <v>Coach_Gen4_Double_Decker_Coach</v>
      </c>
      <c r="C764" t="s">
        <v>740</v>
      </c>
      <c r="D764" t="s">
        <v>953</v>
      </c>
      <c r="E764">
        <v>11045</v>
      </c>
      <c r="F764" t="s">
        <v>1719</v>
      </c>
      <c r="G764" t="s">
        <v>1776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Row],[VEHIDCODE]],#REF!,0))</f>
        <v>0</v>
      </c>
      <c r="L764" t="b">
        <f>ISNUMBER(_xlfn.XMATCH(CONTROL[[#This Row],[VEHIDCODE]],PROPERTIES[VEHIDCODE],0))</f>
        <v>1</v>
      </c>
      <c r="M764" t="b">
        <f>ISNUMBER(_xlfn.XMATCH(CONTROL[[#This Row],[VEHIDCODE]],#REF!,0))</f>
        <v>0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s="32" t="str">
        <f>"item_"&amp;CONTROL[[#This Row],[VEHIDCODE]]</f>
        <v>item_mu_Coach_Gen4_Double_Decker_Coach</v>
      </c>
      <c r="Q764" s="32" t="str">
        <f>"str_"&amp;CONTROL[[#This Row],[VEHIDCODE]]</f>
        <v>str_mu_Coach_Gen4_Double_Decker_Coach</v>
      </c>
    </row>
    <row r="765" spans="1:17">
      <c r="A765" s="2" t="s">
        <v>802</v>
      </c>
      <c r="B765" s="32" t="str">
        <f>_xlfn.TEXTAFTER(CONTROL[[#This Row],[VEHIDCODE]],"_")</f>
        <v>Coach_Gen4_Russian_Intercity_Coach</v>
      </c>
      <c r="C765" t="s">
        <v>740</v>
      </c>
      <c r="D765" t="s">
        <v>953</v>
      </c>
      <c r="E765">
        <v>11046</v>
      </c>
      <c r="F765" t="s">
        <v>1720</v>
      </c>
      <c r="G765" t="s">
        <v>1776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Row],[VEHIDCODE]],#REF!,0))</f>
        <v>0</v>
      </c>
      <c r="L765" t="b">
        <f>ISNUMBER(_xlfn.XMATCH(CONTROL[[#This Row],[VEHIDCODE]],PROPERTIES[VEHIDCODE],0))</f>
        <v>1</v>
      </c>
      <c r="M765" t="b">
        <f>ISNUMBER(_xlfn.XMATCH(CONTROL[[#This Row],[VEHIDCODE]],#REF!,0))</f>
        <v>0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s="32" t="str">
        <f>"item_"&amp;CONTROL[[#This Row],[VEHIDCODE]]</f>
        <v>item_mu_Coach_Gen4_Russian_Intercity_Coach</v>
      </c>
      <c r="Q765" s="32" t="str">
        <f>"str_"&amp;CONTROL[[#This Row],[VEHIDCODE]]</f>
        <v>str_mu_Coach_Gen4_Russian_Intercity_Coach</v>
      </c>
    </row>
    <row r="766" spans="1:17">
      <c r="A766" s="2" t="s">
        <v>803</v>
      </c>
      <c r="B766" s="32" t="str">
        <f>_xlfn.TEXTAFTER(CONTROL[[#This Row],[VEHIDCODE]],"_")</f>
        <v>Coach_Gen4_Russian_Regional_Coach</v>
      </c>
      <c r="C766" t="s">
        <v>740</v>
      </c>
      <c r="D766" t="s">
        <v>953</v>
      </c>
      <c r="E766">
        <v>11047</v>
      </c>
      <c r="F766" t="s">
        <v>1721</v>
      </c>
      <c r="G766" t="s">
        <v>1776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Row],[VEHIDCODE]],#REF!,0))</f>
        <v>0</v>
      </c>
      <c r="L766" t="b">
        <f>ISNUMBER(_xlfn.XMATCH(CONTROL[[#This Row],[VEHIDCODE]],PROPERTIES[VEHIDCODE],0))</f>
        <v>1</v>
      </c>
      <c r="M766" t="b">
        <f>ISNUMBER(_xlfn.XMATCH(CONTROL[[#This Row],[VEHIDCODE]],#REF!,0))</f>
        <v>0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s="32" t="str">
        <f>"item_"&amp;CONTROL[[#This Row],[VEHIDCODE]]</f>
        <v>item_mu_Coach_Gen4_Russian_Regional_Coach</v>
      </c>
      <c r="Q766" s="32" t="str">
        <f>"str_"&amp;CONTROL[[#This Row],[VEHIDCODE]]</f>
        <v>str_mu_Coach_Gen4_Russian_Regional_Coach</v>
      </c>
    </row>
    <row r="767" spans="1:17">
      <c r="A767" s="2" t="s">
        <v>804</v>
      </c>
      <c r="B767" s="32" t="str">
        <f>_xlfn.TEXTAFTER(CONTROL[[#This Row],[VEHIDCODE]],"_")</f>
        <v>Coach_Gen4_Russian_Mail_Coach</v>
      </c>
      <c r="C767" t="s">
        <v>740</v>
      </c>
      <c r="D767" t="s">
        <v>953</v>
      </c>
      <c r="E767">
        <v>11048</v>
      </c>
      <c r="F767" t="s">
        <v>1722</v>
      </c>
      <c r="G767" t="s">
        <v>1776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Row],[VEHIDCODE]],#REF!,0))</f>
        <v>0</v>
      </c>
      <c r="L767" t="b">
        <f>ISNUMBER(_xlfn.XMATCH(CONTROL[[#This Row],[VEHIDCODE]],PROPERTIES[VEHIDCODE],0))</f>
        <v>1</v>
      </c>
      <c r="M767" t="b">
        <f>ISNUMBER(_xlfn.XMATCH(CONTROL[[#This Row],[VEHIDCODE]],#REF!,0))</f>
        <v>0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s="32" t="str">
        <f>"item_"&amp;CONTROL[[#This Row],[VEHIDCODE]]</f>
        <v>item_mu_Coach_Gen4_Russian_Mail_Coach</v>
      </c>
      <c r="Q767" s="32" t="str">
        <f>"str_"&amp;CONTROL[[#This Row],[VEHIDCODE]]</f>
        <v>str_mu_Coach_Gen4_Russian_Mail_Coach</v>
      </c>
    </row>
    <row r="768" spans="1:17">
      <c r="A768" s="2" t="s">
        <v>805</v>
      </c>
      <c r="B768" s="32" t="str">
        <f>_xlfn.TEXTAFTER(CONTROL[[#This Row],[VEHIDCODE]],"_")</f>
        <v>Coach_Gen4_Superliner_Coach</v>
      </c>
      <c r="C768" t="s">
        <v>740</v>
      </c>
      <c r="D768" t="s">
        <v>953</v>
      </c>
      <c r="E768">
        <v>11049</v>
      </c>
      <c r="F768" t="s">
        <v>1723</v>
      </c>
      <c r="G768" t="s">
        <v>1776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Row],[VEHIDCODE]],#REF!,0))</f>
        <v>0</v>
      </c>
      <c r="L768" t="b">
        <f>ISNUMBER(_xlfn.XMATCH(CONTROL[[#This Row],[VEHIDCODE]],PROPERTIES[VEHIDCODE],0))</f>
        <v>1</v>
      </c>
      <c r="M768" t="b">
        <f>ISNUMBER(_xlfn.XMATCH(CONTROL[[#This Row],[VEHIDCODE]],#REF!,0))</f>
        <v>0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s="32" t="str">
        <f>"item_"&amp;CONTROL[[#This Row],[VEHIDCODE]]</f>
        <v>item_mu_Coach_Gen4_Superliner_Coach</v>
      </c>
      <c r="Q768" s="32" t="str">
        <f>"str_"&amp;CONTROL[[#This Row],[VEHIDCODE]]</f>
        <v>str_mu_Coach_Gen4_Superliner_Coach</v>
      </c>
    </row>
    <row r="769" spans="1:17">
      <c r="A769" s="2" t="s">
        <v>806</v>
      </c>
      <c r="B769" s="32" t="str">
        <f>_xlfn.TEXTAFTER(CONTROL[[#This Row],[VEHIDCODE]],"_")</f>
        <v>Coach_Gen4_Superliner_California</v>
      </c>
      <c r="C769" t="s">
        <v>740</v>
      </c>
      <c r="D769" t="s">
        <v>953</v>
      </c>
      <c r="E769">
        <v>11050</v>
      </c>
      <c r="F769" t="s">
        <v>1724</v>
      </c>
      <c r="G769" t="s">
        <v>1776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Row],[VEHIDCODE]],#REF!,0))</f>
        <v>0</v>
      </c>
      <c r="L769" t="b">
        <f>ISNUMBER(_xlfn.XMATCH(CONTROL[[#This Row],[VEHIDCODE]],PROPERTIES[VEHIDCODE],0))</f>
        <v>1</v>
      </c>
      <c r="M769" t="b">
        <f>ISNUMBER(_xlfn.XMATCH(CONTROL[[#This Row],[VEHIDCODE]],#REF!,0))</f>
        <v>0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s="32" t="str">
        <f>"item_"&amp;CONTROL[[#This Row],[VEHIDCODE]]</f>
        <v>item_mu_Coach_Gen4_Superliner_California</v>
      </c>
      <c r="Q769" s="32" t="str">
        <f>"str_"&amp;CONTROL[[#This Row],[VEHIDCODE]]</f>
        <v>str_mu_Coach_Gen4_Superliner_California</v>
      </c>
    </row>
    <row r="770" spans="1:17">
      <c r="A770" s="2" t="s">
        <v>807</v>
      </c>
      <c r="B770" s="32" t="str">
        <f>_xlfn.TEXTAFTER(CONTROL[[#This Row],[VEHIDCODE]],"_")</f>
        <v>Coach_Gen4_Amfleet_Regional_Coach</v>
      </c>
      <c r="C770" t="s">
        <v>740</v>
      </c>
      <c r="D770" t="s">
        <v>953</v>
      </c>
      <c r="E770">
        <v>11051</v>
      </c>
      <c r="F770" t="s">
        <v>1725</v>
      </c>
      <c r="G770" t="s">
        <v>1776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Row],[VEHIDCODE]],#REF!,0))</f>
        <v>0</v>
      </c>
      <c r="L770" t="b">
        <f>ISNUMBER(_xlfn.XMATCH(CONTROL[[#This Row],[VEHIDCODE]],PROPERTIES[VEHIDCODE],0))</f>
        <v>1</v>
      </c>
      <c r="M770" t="b">
        <f>ISNUMBER(_xlfn.XMATCH(CONTROL[[#This Row],[VEHIDCODE]],#REF!,0))</f>
        <v>0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s="32" t="str">
        <f>"item_"&amp;CONTROL[[#This Row],[VEHIDCODE]]</f>
        <v>item_mu_Coach_Gen4_Amfleet_Regional_Coach</v>
      </c>
      <c r="Q770" s="32" t="str">
        <f>"str_"&amp;CONTROL[[#This Row],[VEHIDCODE]]</f>
        <v>str_mu_Coach_Gen4_Amfleet_Regional_Coach</v>
      </c>
    </row>
    <row r="771" spans="1:17">
      <c r="A771" s="2" t="s">
        <v>808</v>
      </c>
      <c r="B771" s="32" t="str">
        <f>_xlfn.TEXTAFTER(CONTROL[[#This Row],[VEHIDCODE]],"_")</f>
        <v>Coach_Gen4_Amfleet_Intercity_Coach</v>
      </c>
      <c r="C771" t="s">
        <v>740</v>
      </c>
      <c r="D771" t="s">
        <v>953</v>
      </c>
      <c r="E771">
        <v>11052</v>
      </c>
      <c r="F771" t="s">
        <v>1726</v>
      </c>
      <c r="G771" t="s">
        <v>1776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Row],[VEHIDCODE]],#REF!,0))</f>
        <v>0</v>
      </c>
      <c r="L771" t="b">
        <f>ISNUMBER(_xlfn.XMATCH(CONTROL[[#This Row],[VEHIDCODE]],PROPERTIES[VEHIDCODE],0))</f>
        <v>1</v>
      </c>
      <c r="M771" t="b">
        <f>ISNUMBER(_xlfn.XMATCH(CONTROL[[#This Row],[VEHIDCODE]],#REF!,0))</f>
        <v>0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s="32" t="str">
        <f>"item_"&amp;CONTROL[[#This Row],[VEHIDCODE]]</f>
        <v>item_mu_Coach_Gen4_Amfleet_Intercity_Coach</v>
      </c>
      <c r="Q771" s="32" t="str">
        <f>"str_"&amp;CONTROL[[#This Row],[VEHIDCODE]]</f>
        <v>str_mu_Coach_Gen4_Amfleet_Intercity_Coach</v>
      </c>
    </row>
    <row r="772" spans="1:17">
      <c r="A772" s="2" t="s">
        <v>809</v>
      </c>
      <c r="B772" s="32" t="str">
        <f>_xlfn.TEXTAFTER(CONTROL[[#This Row],[VEHIDCODE]],"_")</f>
        <v>Coach_Gen4_Comet_Commuter_Coach</v>
      </c>
      <c r="C772" t="s">
        <v>740</v>
      </c>
      <c r="D772" t="s">
        <v>953</v>
      </c>
      <c r="E772">
        <v>11053</v>
      </c>
      <c r="F772" t="s">
        <v>1727</v>
      </c>
      <c r="G772" t="s">
        <v>1776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Row],[VEHIDCODE]],#REF!,0))</f>
        <v>0</v>
      </c>
      <c r="L772" t="b">
        <f>ISNUMBER(_xlfn.XMATCH(CONTROL[[#This Row],[VEHIDCODE]],PROPERTIES[VEHIDCODE],0))</f>
        <v>1</v>
      </c>
      <c r="M772" t="b">
        <f>ISNUMBER(_xlfn.XMATCH(CONTROL[[#This Row],[VEHIDCODE]],#REF!,0))</f>
        <v>0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s="32" t="str">
        <f>"item_"&amp;CONTROL[[#This Row],[VEHIDCODE]]</f>
        <v>item_mu_Coach_Gen4_Comet_Commuter_Coach</v>
      </c>
      <c r="Q772" s="32" t="str">
        <f>"str_"&amp;CONTROL[[#This Row],[VEHIDCODE]]</f>
        <v>str_mu_Coach_Gen4_Comet_Commuter_Coach</v>
      </c>
    </row>
    <row r="773" spans="1:17">
      <c r="A773" s="2" t="s">
        <v>810</v>
      </c>
      <c r="B773" s="32" t="str">
        <f>_xlfn.TEXTAFTER(CONTROL[[#This Row],[VEHIDCODE]],"_")</f>
        <v>Coach_Gen4_Horizon_Regional_Coach</v>
      </c>
      <c r="C773" t="s">
        <v>740</v>
      </c>
      <c r="D773" t="s">
        <v>953</v>
      </c>
      <c r="E773">
        <v>11054</v>
      </c>
      <c r="F773" t="s">
        <v>1728</v>
      </c>
      <c r="G773" t="s">
        <v>1776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Row],[VEHIDCODE]],#REF!,0))</f>
        <v>0</v>
      </c>
      <c r="L773" t="b">
        <f>ISNUMBER(_xlfn.XMATCH(CONTROL[[#This Row],[VEHIDCODE]],PROPERTIES[VEHIDCODE],0))</f>
        <v>1</v>
      </c>
      <c r="M773" t="b">
        <f>ISNUMBER(_xlfn.XMATCH(CONTROL[[#This Row],[VEHIDCODE]],#REF!,0))</f>
        <v>0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s="32" t="str">
        <f>"item_"&amp;CONTROL[[#This Row],[VEHIDCODE]]</f>
        <v>item_mu_Coach_Gen4_Horizon_Regional_Coach</v>
      </c>
      <c r="Q773" s="32" t="str">
        <f>"str_"&amp;CONTROL[[#This Row],[VEHIDCODE]]</f>
        <v>str_mu_Coach_Gen4_Horizon_Regional_Coach</v>
      </c>
    </row>
    <row r="774" spans="1:17">
      <c r="A774" s="2" t="s">
        <v>811</v>
      </c>
      <c r="B774" s="32" t="str">
        <f>_xlfn.TEXTAFTER(CONTROL[[#This Row],[VEHIDCODE]],"_")</f>
        <v>Coach_Gen4_Horizon_Baggage_Coach</v>
      </c>
      <c r="C774" t="s">
        <v>740</v>
      </c>
      <c r="D774" t="s">
        <v>953</v>
      </c>
      <c r="E774">
        <v>11055</v>
      </c>
      <c r="F774" t="s">
        <v>1729</v>
      </c>
      <c r="G774" t="s">
        <v>1776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Row],[VEHIDCODE]],#REF!,0))</f>
        <v>0</v>
      </c>
      <c r="L774" t="b">
        <f>ISNUMBER(_xlfn.XMATCH(CONTROL[[#This Row],[VEHIDCODE]],PROPERTIES[VEHIDCODE],0))</f>
        <v>1</v>
      </c>
      <c r="M774" t="b">
        <f>ISNUMBER(_xlfn.XMATCH(CONTROL[[#This Row],[VEHIDCODE]],#REF!,0))</f>
        <v>0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s="32" t="str">
        <f>"item_"&amp;CONTROL[[#This Row],[VEHIDCODE]]</f>
        <v>item_mu_Coach_Gen4_Horizon_Baggage_Coach</v>
      </c>
      <c r="Q774" s="32" t="str">
        <f>"str_"&amp;CONTROL[[#This Row],[VEHIDCODE]]</f>
        <v>str_mu_Coach_Gen4_Horizon_Baggage_Coach</v>
      </c>
    </row>
    <row r="775" spans="1:17">
      <c r="A775" s="2" t="s">
        <v>812</v>
      </c>
      <c r="B775" s="32" t="str">
        <f>_xlfn.TEXTAFTER(CONTROL[[#This Row],[VEHIDCODE]],"_")</f>
        <v>Coach_Gen4_Bombardier_Bi_level</v>
      </c>
      <c r="C775" t="s">
        <v>740</v>
      </c>
      <c r="D775" t="s">
        <v>953</v>
      </c>
      <c r="E775">
        <v>11056</v>
      </c>
      <c r="F775" t="s">
        <v>1730</v>
      </c>
      <c r="G775" t="s">
        <v>1776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Row],[VEHIDCODE]],#REF!,0))</f>
        <v>0</v>
      </c>
      <c r="L775" t="b">
        <f>ISNUMBER(_xlfn.XMATCH(CONTROL[[#This Row],[VEHIDCODE]],PROPERTIES[VEHIDCODE],0))</f>
        <v>1</v>
      </c>
      <c r="M775" t="b">
        <f>ISNUMBER(_xlfn.XMATCH(CONTROL[[#This Row],[VEHIDCODE]],#REF!,0))</f>
        <v>0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s="32" t="str">
        <f>"item_"&amp;CONTROL[[#This Row],[VEHIDCODE]]</f>
        <v>item_mu_Coach_Gen4_Bombardier_Bi_level</v>
      </c>
      <c r="Q775" s="32" t="str">
        <f>"str_"&amp;CONTROL[[#This Row],[VEHIDCODE]]</f>
        <v>str_mu_Coach_Gen4_Bombardier_Bi_level</v>
      </c>
    </row>
    <row r="776" spans="1:17">
      <c r="A776" s="2" t="s">
        <v>813</v>
      </c>
      <c r="B776" s="32" t="str">
        <f>_xlfn.TEXTAFTER(CONTROL[[#This Row],[VEHIDCODE]],"_")</f>
        <v>Coach_Gen5_High_Speed_Coach</v>
      </c>
      <c r="C776" t="s">
        <v>741</v>
      </c>
      <c r="D776" t="s">
        <v>953</v>
      </c>
      <c r="E776">
        <v>11057</v>
      </c>
      <c r="F776" t="s">
        <v>1731</v>
      </c>
      <c r="G776" t="s">
        <v>1776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Row],[VEHIDCODE]],#REF!,0))</f>
        <v>0</v>
      </c>
      <c r="L776" t="b">
        <f>ISNUMBER(_xlfn.XMATCH(CONTROL[[#This Row],[VEHIDCODE]],PROPERTIES[VEHIDCODE],0))</f>
        <v>1</v>
      </c>
      <c r="M776" t="b">
        <f>ISNUMBER(_xlfn.XMATCH(CONTROL[[#This Row],[VEHIDCODE]],#REF!,0))</f>
        <v>0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s="32" t="str">
        <f>"item_"&amp;CONTROL[[#This Row],[VEHIDCODE]]</f>
        <v>item_mu_Coach_Gen5_High_Speed_Coach</v>
      </c>
      <c r="Q776" s="32" t="str">
        <f>"str_"&amp;CONTROL[[#This Row],[VEHIDCODE]]</f>
        <v>str_mu_Coach_Gen5_High_Speed_Coach</v>
      </c>
    </row>
    <row r="777" spans="1:17">
      <c r="A777" s="2" t="s">
        <v>814</v>
      </c>
      <c r="B777" s="32" t="str">
        <f>_xlfn.TEXTAFTER(CONTROL[[#This Row],[VEHIDCODE]],"_")</f>
        <v>Coach_Gen5_Modern_Regional_Coach</v>
      </c>
      <c r="C777" t="s">
        <v>741</v>
      </c>
      <c r="D777" t="s">
        <v>953</v>
      </c>
      <c r="E777">
        <v>11058</v>
      </c>
      <c r="F777" t="s">
        <v>1732</v>
      </c>
      <c r="G777" t="s">
        <v>1776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Row],[VEHIDCODE]],#REF!,0))</f>
        <v>0</v>
      </c>
      <c r="L777" t="b">
        <f>ISNUMBER(_xlfn.XMATCH(CONTROL[[#This Row],[VEHIDCODE]],PROPERTIES[VEHIDCODE],0))</f>
        <v>1</v>
      </c>
      <c r="M777" t="b">
        <f>ISNUMBER(_xlfn.XMATCH(CONTROL[[#This Row],[VEHIDCODE]],#REF!,0))</f>
        <v>0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s="32" t="str">
        <f>"item_"&amp;CONTROL[[#This Row],[VEHIDCODE]]</f>
        <v>item_mu_Coach_Gen5_Modern_Regional_Coach</v>
      </c>
      <c r="Q777" s="32" t="str">
        <f>"str_"&amp;CONTROL[[#This Row],[VEHIDCODE]]</f>
        <v>str_mu_Coach_Gen5_Modern_Regional_Coach</v>
      </c>
    </row>
    <row r="778" spans="1:17">
      <c r="A778" s="2" t="s">
        <v>815</v>
      </c>
      <c r="B778" s="32" t="str">
        <f>_xlfn.TEXTAFTER(CONTROL[[#This Row],[VEHIDCODE]],"_")</f>
        <v>Coach_Gen5_Modern_Commuter_Coach</v>
      </c>
      <c r="C778" t="s">
        <v>741</v>
      </c>
      <c r="D778" t="s">
        <v>953</v>
      </c>
      <c r="E778">
        <v>11059</v>
      </c>
      <c r="F778" t="s">
        <v>1733</v>
      </c>
      <c r="G778" t="s">
        <v>1776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Row],[VEHIDCODE]],#REF!,0))</f>
        <v>0</v>
      </c>
      <c r="L778" t="b">
        <f>ISNUMBER(_xlfn.XMATCH(CONTROL[[#This Row],[VEHIDCODE]],PROPERTIES[VEHIDCODE],0))</f>
        <v>1</v>
      </c>
      <c r="M778" t="b">
        <f>ISNUMBER(_xlfn.XMATCH(CONTROL[[#This Row],[VEHIDCODE]],#REF!,0))</f>
        <v>0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s="32" t="str">
        <f>"item_"&amp;CONTROL[[#This Row],[VEHIDCODE]]</f>
        <v>item_mu_Coach_Gen5_Modern_Commuter_Coach</v>
      </c>
      <c r="Q778" s="32" t="str">
        <f>"str_"&amp;CONTROL[[#This Row],[VEHIDCODE]]</f>
        <v>str_mu_Coach_Gen5_Modern_Commuter_Coach</v>
      </c>
    </row>
    <row r="779" spans="1:17">
      <c r="A779" s="2" t="s">
        <v>816</v>
      </c>
      <c r="B779" s="32" t="str">
        <f>_xlfn.TEXTAFTER(CONTROL[[#This Row],[VEHIDCODE]],"_")</f>
        <v>Coach_Gen5_Modern_Double_Decker_Coach</v>
      </c>
      <c r="C779" t="s">
        <v>741</v>
      </c>
      <c r="D779" t="s">
        <v>953</v>
      </c>
      <c r="E779">
        <v>11060</v>
      </c>
      <c r="F779" t="s">
        <v>1734</v>
      </c>
      <c r="G779" t="s">
        <v>1776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Row],[VEHIDCODE]],#REF!,0))</f>
        <v>0</v>
      </c>
      <c r="L779" t="b">
        <f>ISNUMBER(_xlfn.XMATCH(CONTROL[[#This Row],[VEHIDCODE]],PROPERTIES[VEHIDCODE],0))</f>
        <v>1</v>
      </c>
      <c r="M779" t="b">
        <f>ISNUMBER(_xlfn.XMATCH(CONTROL[[#This Row],[VEHIDCODE]],#REF!,0))</f>
        <v>0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s="32" t="str">
        <f>"item_"&amp;CONTROL[[#This Row],[VEHIDCODE]]</f>
        <v>item_mu_Coach_Gen5_Modern_Double_Decker_Coach</v>
      </c>
      <c r="Q779" s="32" t="str">
        <f>"str_"&amp;CONTROL[[#This Row],[VEHIDCODE]]</f>
        <v>str_mu_Coach_Gen5_Modern_Double_Decker_Coach</v>
      </c>
    </row>
    <row r="780" spans="1:17">
      <c r="A780" s="2" t="s">
        <v>817</v>
      </c>
      <c r="B780" s="32" t="str">
        <f>_xlfn.TEXTAFTER(CONTROL[[#This Row],[VEHIDCODE]],"_")</f>
        <v>Coach_Gen5_High_Speed_Double_Decker_IC2000</v>
      </c>
      <c r="C780" t="s">
        <v>741</v>
      </c>
      <c r="D780" t="s">
        <v>953</v>
      </c>
      <c r="E780">
        <v>11061</v>
      </c>
      <c r="F780" t="s">
        <v>1735</v>
      </c>
      <c r="G780" t="s">
        <v>1776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Row],[VEHIDCODE]],#REF!,0))</f>
        <v>0</v>
      </c>
      <c r="L780" t="b">
        <f>ISNUMBER(_xlfn.XMATCH(CONTROL[[#This Row],[VEHIDCODE]],PROPERTIES[VEHIDCODE],0))</f>
        <v>1</v>
      </c>
      <c r="M780" t="b">
        <f>ISNUMBER(_xlfn.XMATCH(CONTROL[[#This Row],[VEHIDCODE]],#REF!,0))</f>
        <v>0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s="32" t="str">
        <f>"item_"&amp;CONTROL[[#This Row],[VEHIDCODE]]</f>
        <v>item_mu_Coach_Gen5_High_Speed_Double_Decker_IC2000</v>
      </c>
      <c r="Q780" s="32" t="str">
        <f>"str_"&amp;CONTROL[[#This Row],[VEHIDCODE]]</f>
        <v>str_mu_Coach_Gen5_High_Speed_Double_Decker_IC2000</v>
      </c>
    </row>
    <row r="781" spans="1:17">
      <c r="A781" s="2" t="s">
        <v>818</v>
      </c>
      <c r="B781" s="32" t="str">
        <f>_xlfn.TEXTAFTER(CONTROL[[#This Row],[VEHIDCODE]],"_")</f>
        <v>Coach_Gen5_High_Speed_Mail_Coach</v>
      </c>
      <c r="C781" t="s">
        <v>741</v>
      </c>
      <c r="D781" t="s">
        <v>953</v>
      </c>
      <c r="E781">
        <v>11062</v>
      </c>
      <c r="F781" t="s">
        <v>1736</v>
      </c>
      <c r="G781" t="s">
        <v>1776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Row],[VEHIDCODE]],#REF!,0))</f>
        <v>0</v>
      </c>
      <c r="L781" t="b">
        <f>ISNUMBER(_xlfn.XMATCH(CONTROL[[#This Row],[VEHIDCODE]],PROPERTIES[VEHIDCODE],0))</f>
        <v>1</v>
      </c>
      <c r="M781" t="b">
        <f>ISNUMBER(_xlfn.XMATCH(CONTROL[[#This Row],[VEHIDCODE]],#REF!,0))</f>
        <v>0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s="32" t="str">
        <f>"item_"&amp;CONTROL[[#This Row],[VEHIDCODE]]</f>
        <v>item_mu_Coach_Gen5_High_Speed_Mail_Coach</v>
      </c>
      <c r="Q781" s="32" t="str">
        <f>"str_"&amp;CONTROL[[#This Row],[VEHIDCODE]]</f>
        <v>str_mu_Coach_Gen5_High_Speed_Mail_Coach</v>
      </c>
    </row>
    <row r="782" spans="1:17">
      <c r="A782" s="2" t="s">
        <v>819</v>
      </c>
      <c r="B782" s="32" t="str">
        <f>_xlfn.TEXTAFTER(CONTROL[[#This Row],[VEHIDCODE]],"_")</f>
        <v>Coach_Gen5_Talgo_Pendular</v>
      </c>
      <c r="C782" t="s">
        <v>741</v>
      </c>
      <c r="D782" t="s">
        <v>953</v>
      </c>
      <c r="E782">
        <v>11063</v>
      </c>
      <c r="F782" t="s">
        <v>1737</v>
      </c>
      <c r="G782" t="s">
        <v>1776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Row],[VEHIDCODE]],#REF!,0))</f>
        <v>0</v>
      </c>
      <c r="L782" t="b">
        <f>ISNUMBER(_xlfn.XMATCH(CONTROL[[#This Row],[VEHIDCODE]],PROPERTIES[VEHIDCODE],0))</f>
        <v>1</v>
      </c>
      <c r="M782" t="b">
        <f>ISNUMBER(_xlfn.XMATCH(CONTROL[[#This Row],[VEHIDCODE]],#REF!,0))</f>
        <v>0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s="32" t="str">
        <f>"item_"&amp;CONTROL[[#This Row],[VEHIDCODE]]</f>
        <v>item_mu_Coach_Gen5_Talgo_Pendular</v>
      </c>
      <c r="Q782" s="32" t="str">
        <f>"str_"&amp;CONTROL[[#This Row],[VEHIDCODE]]</f>
        <v>str_mu_Coach_Gen5_Talgo_Pendular</v>
      </c>
    </row>
    <row r="783" spans="1:17">
      <c r="A783" s="2" t="s">
        <v>820</v>
      </c>
      <c r="B783" s="32" t="str">
        <f>_xlfn.TEXTAFTER(CONTROL[[#This Row],[VEHIDCODE]],"_")</f>
        <v>Coach_Gen5_Talgo_Pendular_Mail</v>
      </c>
      <c r="C783" t="s">
        <v>741</v>
      </c>
      <c r="D783" t="s">
        <v>953</v>
      </c>
      <c r="E783">
        <v>11064</v>
      </c>
      <c r="F783" t="s">
        <v>1738</v>
      </c>
      <c r="G783" t="s">
        <v>1776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Row],[VEHIDCODE]],#REF!,0))</f>
        <v>0</v>
      </c>
      <c r="L783" t="b">
        <f>ISNUMBER(_xlfn.XMATCH(CONTROL[[#This Row],[VEHIDCODE]],PROPERTIES[VEHIDCODE],0))</f>
        <v>1</v>
      </c>
      <c r="M783" t="b">
        <f>ISNUMBER(_xlfn.XMATCH(CONTROL[[#This Row],[VEHIDCODE]],#REF!,0))</f>
        <v>0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s="32" t="str">
        <f>"item_"&amp;CONTROL[[#This Row],[VEHIDCODE]]</f>
        <v>item_mu_Coach_Gen5_Talgo_Pendular_Mail</v>
      </c>
      <c r="Q783" s="32" t="str">
        <f>"str_"&amp;CONTROL[[#This Row],[VEHIDCODE]]</f>
        <v>str_mu_Coach_Gen5_Talgo_Pendular_Mail</v>
      </c>
    </row>
    <row r="784" spans="1:17">
      <c r="A784" s="2" t="s">
        <v>821</v>
      </c>
      <c r="B784" s="32" t="str">
        <f>_xlfn.TEXTAFTER(CONTROL[[#This Row],[VEHIDCODE]],"_")</f>
        <v>Coach_Gen6_Grand_Voyager_Coach</v>
      </c>
      <c r="C784" t="s">
        <v>742</v>
      </c>
      <c r="D784" t="s">
        <v>953</v>
      </c>
      <c r="E784">
        <v>11065</v>
      </c>
      <c r="F784" t="s">
        <v>1739</v>
      </c>
      <c r="G784" t="s">
        <v>1776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Row],[VEHIDCODE]],#REF!,0))</f>
        <v>0</v>
      </c>
      <c r="L784" t="b">
        <f>ISNUMBER(_xlfn.XMATCH(CONTROL[[#This Row],[VEHIDCODE]],PROPERTIES[VEHIDCODE],0))</f>
        <v>1</v>
      </c>
      <c r="M784" t="b">
        <f>ISNUMBER(_xlfn.XMATCH(CONTROL[[#This Row],[VEHIDCODE]],#REF!,0))</f>
        <v>0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s="32" t="str">
        <f>"item_"&amp;CONTROL[[#This Row],[VEHIDCODE]]</f>
        <v>item_mu_Coach_Gen6_Grand_Voyager_Coach</v>
      </c>
      <c r="Q784" s="32" t="str">
        <f>"str_"&amp;CONTROL[[#This Row],[VEHIDCODE]]</f>
        <v>str_mu_Coach_Gen6_Grand_Voyager_Coach</v>
      </c>
    </row>
    <row r="785" spans="1:17">
      <c r="A785" s="2" t="s">
        <v>822</v>
      </c>
      <c r="B785" s="32" t="str">
        <f>_xlfn.TEXTAFTER(CONTROL[[#This Row],[VEHIDCODE]],"_")</f>
        <v>Coach_Gen6_Grand_Regio_Coach</v>
      </c>
      <c r="C785" t="s">
        <v>742</v>
      </c>
      <c r="D785" t="s">
        <v>953</v>
      </c>
      <c r="E785">
        <v>11066</v>
      </c>
      <c r="F785" t="s">
        <v>1740</v>
      </c>
      <c r="G785" t="s">
        <v>1776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Row],[VEHIDCODE]],#REF!,0))</f>
        <v>0</v>
      </c>
      <c r="L785" t="b">
        <f>ISNUMBER(_xlfn.XMATCH(CONTROL[[#This Row],[VEHIDCODE]],PROPERTIES[VEHIDCODE],0))</f>
        <v>1</v>
      </c>
      <c r="M785" t="b">
        <f>ISNUMBER(_xlfn.XMATCH(CONTROL[[#This Row],[VEHIDCODE]],#REF!,0))</f>
        <v>0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s="32" t="str">
        <f>"item_"&amp;CONTROL[[#This Row],[VEHIDCODE]]</f>
        <v>item_mu_Coach_Gen6_Grand_Regio_Coach</v>
      </c>
      <c r="Q785" s="32" t="str">
        <f>"str_"&amp;CONTROL[[#This Row],[VEHIDCODE]]</f>
        <v>str_mu_Coach_Gen6_Grand_Regio_Coach</v>
      </c>
    </row>
    <row r="786" spans="1:17">
      <c r="A786" s="2" t="s">
        <v>823</v>
      </c>
      <c r="B786" s="32" t="str">
        <f>_xlfn.TEXTAFTER(CONTROL[[#This Row],[VEHIDCODE]],"_")</f>
        <v>Coach_Gen6_Metropolis_Coach</v>
      </c>
      <c r="C786" t="s">
        <v>742</v>
      </c>
      <c r="D786" t="s">
        <v>953</v>
      </c>
      <c r="E786">
        <v>11067</v>
      </c>
      <c r="F786" t="s">
        <v>1741</v>
      </c>
      <c r="G786" t="s">
        <v>1776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Row],[VEHIDCODE]],#REF!,0))</f>
        <v>0</v>
      </c>
      <c r="L786" t="b">
        <f>ISNUMBER(_xlfn.XMATCH(CONTROL[[#This Row],[VEHIDCODE]],PROPERTIES[VEHIDCODE],0))</f>
        <v>1</v>
      </c>
      <c r="M786" t="b">
        <f>ISNUMBER(_xlfn.XMATCH(CONTROL[[#This Row],[VEHIDCODE]],#REF!,0))</f>
        <v>0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s="32" t="str">
        <f>"item_"&amp;CONTROL[[#This Row],[VEHIDCODE]]</f>
        <v>item_mu_Coach_Gen6_Metropolis_Coach</v>
      </c>
      <c r="Q786" s="32" t="str">
        <f>"str_"&amp;CONTROL[[#This Row],[VEHIDCODE]]</f>
        <v>str_mu_Coach_Gen6_Metropolis_Coach</v>
      </c>
    </row>
    <row r="787" spans="1:17">
      <c r="A787" s="2" t="s">
        <v>824</v>
      </c>
      <c r="B787" s="32" t="str">
        <f>_xlfn.TEXTAFTER(CONTROL[[#This Row],[VEHIDCODE]],"_")</f>
        <v>Coach_Gen6_Speedmail_Coach</v>
      </c>
      <c r="C787" t="s">
        <v>742</v>
      </c>
      <c r="D787" t="s">
        <v>953</v>
      </c>
      <c r="E787">
        <v>11068</v>
      </c>
      <c r="F787" t="s">
        <v>1742</v>
      </c>
      <c r="G787" t="s">
        <v>1776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Row],[VEHIDCODE]],#REF!,0))</f>
        <v>0</v>
      </c>
      <c r="L787" t="b">
        <f>ISNUMBER(_xlfn.XMATCH(CONTROL[[#This Row],[VEHIDCODE]],PROPERTIES[VEHIDCODE],0))</f>
        <v>1</v>
      </c>
      <c r="M787" t="b">
        <f>ISNUMBER(_xlfn.XMATCH(CONTROL[[#This Row],[VEHIDCODE]],#REF!,0))</f>
        <v>0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s="32" t="str">
        <f>"item_"&amp;CONTROL[[#This Row],[VEHIDCODE]]</f>
        <v>item_mu_Coach_Gen6_Speedmail_Coach</v>
      </c>
      <c r="Q787" s="32" t="str">
        <f>"str_"&amp;CONTROL[[#This Row],[VEHIDCODE]]</f>
        <v>str_mu_Coach_Gen6_Speedmail_Coach</v>
      </c>
    </row>
    <row r="788" spans="1:17">
      <c r="A788" s="2" t="s">
        <v>825</v>
      </c>
      <c r="B788" s="32" t="str">
        <f>_xlfn.TEXTAFTER(CONTROL[[#This Row],[VEHIDCODE]],"_")</f>
        <v>Coach_Gen6_Super_Regio_Coach</v>
      </c>
      <c r="C788" t="s">
        <v>742</v>
      </c>
      <c r="D788" t="s">
        <v>953</v>
      </c>
      <c r="E788">
        <v>11069</v>
      </c>
      <c r="F788" t="s">
        <v>1743</v>
      </c>
      <c r="G788" t="s">
        <v>1776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Row],[VEHIDCODE]],#REF!,0))</f>
        <v>0</v>
      </c>
      <c r="L788" t="b">
        <f>ISNUMBER(_xlfn.XMATCH(CONTROL[[#This Row],[VEHIDCODE]],PROPERTIES[VEHIDCODE],0))</f>
        <v>1</v>
      </c>
      <c r="M788" t="b">
        <f>ISNUMBER(_xlfn.XMATCH(CONTROL[[#This Row],[VEHIDCODE]],#REF!,0))</f>
        <v>0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s="32" t="str">
        <f>"item_"&amp;CONTROL[[#This Row],[VEHIDCODE]]</f>
        <v>item_mu_Coach_Gen6_Super_Regio_Coach</v>
      </c>
      <c r="Q788" s="32" t="str">
        <f>"str_"&amp;CONTROL[[#This Row],[VEHIDCODE]]</f>
        <v>str_mu_Coach_Gen6_Super_Regio_Coach</v>
      </c>
    </row>
    <row r="789" spans="1:17">
      <c r="A789" s="2" t="s">
        <v>826</v>
      </c>
      <c r="B789" s="32" t="str">
        <f>_xlfn.TEXTAFTER(CONTROL[[#This Row],[VEHIDCODE]],"_")</f>
        <v>Coach_Gen6_Super_Voyager_Coach</v>
      </c>
      <c r="C789" t="s">
        <v>742</v>
      </c>
      <c r="D789" t="s">
        <v>953</v>
      </c>
      <c r="E789">
        <v>11070</v>
      </c>
      <c r="F789" t="s">
        <v>1744</v>
      </c>
      <c r="G789" t="s">
        <v>1776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Row],[VEHIDCODE]],#REF!,0))</f>
        <v>0</v>
      </c>
      <c r="L789" t="b">
        <f>ISNUMBER(_xlfn.XMATCH(CONTROL[[#This Row],[VEHIDCODE]],PROPERTIES[VEHIDCODE],0))</f>
        <v>1</v>
      </c>
      <c r="M789" t="b">
        <f>ISNUMBER(_xlfn.XMATCH(CONTROL[[#This Row],[VEHIDCODE]],#REF!,0))</f>
        <v>0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s="32" t="str">
        <f>"item_"&amp;CONTROL[[#This Row],[VEHIDCODE]]</f>
        <v>item_mu_Coach_Gen6_Super_Voyager_Coach</v>
      </c>
      <c r="Q789" s="32" t="str">
        <f>"str_"&amp;CONTROL[[#This Row],[VEHIDCODE]]</f>
        <v>str_mu_Coach_Gen6_Super_Voyager_Coach</v>
      </c>
    </row>
    <row r="790" spans="1:17">
      <c r="A790" t="s">
        <v>1780</v>
      </c>
      <c r="B790" s="32" t="str">
        <f>_xlfn.TEXTAFTER(CONTROL[[#This Row],[VEHIDCODE]],"_")</f>
        <v>Gabon_Alsthom_AD30B</v>
      </c>
      <c r="C790" t="s">
        <v>722</v>
      </c>
      <c r="D790" t="s">
        <v>941</v>
      </c>
      <c r="E790">
        <v>5134</v>
      </c>
      <c r="F790" t="s">
        <v>1781</v>
      </c>
      <c r="G790" t="s">
        <v>1776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Row],[VEHIDCODE]],#REF!,0))</f>
        <v>0</v>
      </c>
      <c r="L790" t="b">
        <f>ISNUMBER(_xlfn.XMATCH(CONTROL[[#This Row],[VEHIDCODE]],PROPERTIES[VEHIDCODE],0))</f>
        <v>1</v>
      </c>
      <c r="M790" t="b">
        <f>ISNUMBER(_xlfn.XMATCH(CONTROL[[#This Row],[VEHIDCODE]],#REF!,0))</f>
        <v>0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s="32" t="str">
        <f>"item_"&amp;CONTROL[[#This Row],[VEHIDCODE]]</f>
        <v>item_diesel_Gabon_Alsthom_AD30B</v>
      </c>
      <c r="Q790" s="32" t="str">
        <f>"str_"&amp;CONTROL[[#This Row],[VEHIDCODE]]</f>
        <v>str_diesel_Gabon_Alsthom_AD30B</v>
      </c>
    </row>
    <row r="791" spans="1:17">
      <c r="A791" t="s">
        <v>1783</v>
      </c>
      <c r="B791" s="32" t="str">
        <f>_xlfn.TEXTAFTER(CONTROL[[#This Row],[VEHIDCODE]],"_")</f>
        <v>South_Africa_Katanga_Mikado_2_8_2</v>
      </c>
      <c r="C791" t="s">
        <v>721</v>
      </c>
      <c r="D791" t="s">
        <v>939</v>
      </c>
      <c r="E791">
        <v>4117</v>
      </c>
      <c r="F791" t="s">
        <v>1782</v>
      </c>
      <c r="G791" t="s">
        <v>2465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Row],[VEHIDCODE]],#REF!,0))</f>
        <v>0</v>
      </c>
      <c r="L791" t="b">
        <f>ISNUMBER(_xlfn.XMATCH(CONTROL[[#This Row],[VEHIDCODE]],PROPERTIES[VEHIDCODE],0))</f>
        <v>1</v>
      </c>
      <c r="M791" t="b">
        <f>ISNUMBER(_xlfn.XMATCH(CONTROL[[#This Row],[VEHIDCODE]],#REF!,0))</f>
        <v>0</v>
      </c>
      <c r="N791" t="b">
        <f>ISNUMBER(_xlfn.XMATCH(CONTROL[[#This Row],[VEHIDCODE]],FLAGS[VEHIDCODE],0))</f>
        <v>1</v>
      </c>
      <c r="O791" t="b">
        <f>ISNUMBER(_xlfn.XMATCH(CONTROL[[#This Row],[VEHIDCODE]],GRAPHICS_PROPERTIES[VEHIDCODE],0))</f>
        <v>1</v>
      </c>
      <c r="P791" s="32" t="str">
        <f>"item_"&amp;CONTROL[[#This Row],[VEHIDCODE]]</f>
        <v>item_steam_South_Africa_Katanga_Mikado_2_8_2</v>
      </c>
      <c r="Q791" s="32" t="str">
        <f>"str_"&amp;CONTROL[[#This Row],[VEHIDCODE]]</f>
        <v>str_steam_South_Africa_Katanga_Mikado_2_8_2</v>
      </c>
    </row>
    <row r="792" spans="1:17">
      <c r="A792" s="2" t="s">
        <v>2882</v>
      </c>
      <c r="B792" s="32" t="str">
        <f>_xlfn.TEXTAFTER(CONTROL[[#This Row],[VEHIDCODE]],"_")</f>
        <v>Japan_JR_Freight_M250</v>
      </c>
      <c r="C792" t="s">
        <v>2880</v>
      </c>
      <c r="D792" t="s">
        <v>2877</v>
      </c>
      <c r="E792">
        <v>19000</v>
      </c>
      <c r="F792" t="s">
        <v>2881</v>
      </c>
      <c r="G792" t="s">
        <v>2960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Row],[VEHIDCODE]],#REF!,0))</f>
        <v>0</v>
      </c>
      <c r="L792" t="b">
        <f>ISNUMBER(_xlfn.XMATCH(CONTROL[[#This Row],[VEHIDCODE]],PROPERTIES[VEHIDCODE],0))</f>
        <v>1</v>
      </c>
      <c r="M792" t="b">
        <f>ISNUMBER(_xlfn.XMATCH(CONTROL[[#This Row],[VEHIDCODE]],#REF!,0))</f>
        <v>0</v>
      </c>
      <c r="N792" t="b">
        <f>ISNUMBER(_xlfn.XMATCH(CONTROL[[#This Row],[VEHIDCODE]],FLAGS[VEHIDCODE],0))</f>
        <v>1</v>
      </c>
      <c r="O792" t="b">
        <f>ISNUMBER(_xlfn.XMATCH(CONTROL[[#This Row],[VEHIDCODE]],GRAPHICS_PROPERTIES[VEHIDCODE],0))</f>
        <v>1</v>
      </c>
      <c r="P792" s="32" t="str">
        <f>"item_"&amp;CONTROL[[#This Row],[VEHIDCODE]]</f>
        <v>item_cargoemu_Japan_JR_Freight_M250</v>
      </c>
      <c r="Q792" s="32" t="str">
        <f>"str_"&amp;CONTROL[[#This Row],[VEHIDCODE]]</f>
        <v>str_cargoemu_Japan_JR_Freight_M250</v>
      </c>
    </row>
  </sheetData>
  <conditionalFormatting sqref="H2:H792">
    <cfRule type="containsText" dxfId="17" priority="1" operator="containsText" text="FALSE">
      <formula>NOT(ISERROR(SEARCH("FALSE",H2)))</formula>
    </cfRule>
  </conditionalFormatting>
  <conditionalFormatting sqref="I1:I792">
    <cfRule type="containsText" dxfId="16" priority="5" operator="containsText" text="FALSE">
      <formula>NOT(ISERROR(SEARCH("FALSE",I1)))</formula>
    </cfRule>
  </conditionalFormatting>
  <conditionalFormatting sqref="J1:Q792 J792:S792 L793:S1048576">
    <cfRule type="cellIs" dxfId="15" priority="3" operator="equal">
      <formula>FALSE</formula>
    </cfRule>
  </conditionalFormatting>
  <dataValidations count="1">
    <dataValidation type="list" allowBlank="1" showInputMessage="1" showErrorMessage="1" sqref="D2:D792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792"/>
  <sheetViews>
    <sheetView zoomScaleNormal="100" workbookViewId="0">
      <pane xSplit="1" ySplit="1" topLeftCell="AD752" activePane="bottomRight" state="frozen"/>
      <selection pane="topRight" activeCell="B1" sqref="B1"/>
      <selection pane="bottomLeft" activeCell="A2" sqref="A2"/>
      <selection pane="bottomRight" activeCell="Z724" sqref="Z724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9.843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4" bestFit="1" customWidth="1"/>
    <col min="16" max="16" width="9.84375" customWidth="1"/>
    <col min="17" max="17" width="9.3046875" bestFit="1" customWidth="1"/>
    <col min="18" max="18" width="8.4609375" style="31" bestFit="1" customWidth="1"/>
    <col min="19" max="19" width="8.4609375" customWidth="1"/>
    <col min="20" max="20" width="8.4609375" style="31" customWidth="1"/>
    <col min="21" max="21" width="8.4609375" customWidth="1"/>
    <col min="22" max="22" width="14.4609375" style="28" customWidth="1"/>
    <col min="23" max="23" width="14.4609375" style="2" bestFit="1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10" bestFit="1" customWidth="1"/>
    <col min="52" max="52" width="17.4609375" style="11" bestFit="1" customWidth="1"/>
    <col min="53" max="53" width="10" style="12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6</v>
      </c>
      <c r="C1" s="1" t="s">
        <v>3</v>
      </c>
      <c r="D1" s="1" t="s">
        <v>1787</v>
      </c>
      <c r="E1" s="1" t="s">
        <v>2300</v>
      </c>
      <c r="F1" s="1" t="s">
        <v>4</v>
      </c>
      <c r="G1" s="1" t="s">
        <v>2</v>
      </c>
      <c r="H1" s="1" t="s">
        <v>5</v>
      </c>
      <c r="I1" s="1" t="s">
        <v>7</v>
      </c>
      <c r="J1" s="1" t="s">
        <v>1</v>
      </c>
      <c r="K1" s="3" t="s">
        <v>8</v>
      </c>
      <c r="L1" s="21" t="s">
        <v>1055</v>
      </c>
      <c r="M1" s="1" t="s">
        <v>9</v>
      </c>
      <c r="N1" s="1" t="s">
        <v>10</v>
      </c>
      <c r="O1" s="33" t="s">
        <v>17</v>
      </c>
      <c r="P1" s="1" t="s">
        <v>11</v>
      </c>
      <c r="Q1" s="1" t="s">
        <v>12</v>
      </c>
      <c r="R1" s="29" t="s">
        <v>2307</v>
      </c>
      <c r="S1" s="29" t="s">
        <v>2308</v>
      </c>
      <c r="T1" s="29" t="s">
        <v>2309</v>
      </c>
      <c r="U1" s="21" t="s">
        <v>13</v>
      </c>
      <c r="V1" s="5" t="s">
        <v>14</v>
      </c>
      <c r="W1" s="9" t="s">
        <v>15</v>
      </c>
      <c r="X1" s="9" t="s">
        <v>16</v>
      </c>
      <c r="Y1" s="37" t="s">
        <v>1059</v>
      </c>
      <c r="Z1" s="1" t="s">
        <v>685</v>
      </c>
      <c r="AA1" s="1" t="s">
        <v>686</v>
      </c>
      <c r="AB1" s="3" t="s">
        <v>687</v>
      </c>
      <c r="AC1" s="9" t="s">
        <v>1012</v>
      </c>
      <c r="AD1" s="9" t="s">
        <v>1013</v>
      </c>
      <c r="AE1" s="37" t="s">
        <v>1029</v>
      </c>
      <c r="AF1" s="9" t="s">
        <v>2306</v>
      </c>
      <c r="AG1" s="1" t="s">
        <v>2585</v>
      </c>
    </row>
    <row r="2" spans="1:53">
      <c r="A2" s="2" t="s">
        <v>743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19</v>
      </c>
      <c r="G2" t="s">
        <v>18</v>
      </c>
      <c r="H2">
        <v>1</v>
      </c>
      <c r="I2">
        <v>8</v>
      </c>
      <c r="J2">
        <v>8</v>
      </c>
      <c r="K2" s="2" t="s">
        <v>20</v>
      </c>
      <c r="L2">
        <f>_xlfn.XLOOKUP("LOADINGSPEEDDEF_"&amp;PROPERTIES[[#This Row],[LOADINGSPEED]],LOADINGSPEEDDEF[TYPE],LOADINGSPEEDDEF[SPEED])</f>
        <v>0</v>
      </c>
      <c r="M2" t="s">
        <v>21</v>
      </c>
      <c r="N2">
        <v>1</v>
      </c>
      <c r="O2" s="34">
        <v>0</v>
      </c>
      <c r="P2">
        <v>0</v>
      </c>
      <c r="Q2">
        <v>0</v>
      </c>
      <c r="R2" s="31">
        <v>0</v>
      </c>
      <c r="S2" s="30">
        <f>IFERROR(PROPERTIES[[#This Row],[TE_STARTING_KN]]/(PROPERTIES[[#This Row],[WEIGHT]]*9.81),0)</f>
        <v>0</v>
      </c>
      <c r="T2" s="30">
        <v>0.3</v>
      </c>
      <c r="U2" s="27">
        <f>ROUND(IF(IFERROR(PROPERTIES[[#This Row],[TE_COEFFICIENT_CALC]],0)=0,PROPERTIES[[#This Row],[TE_COEFFICIENT_MANUAL]],PROPERTIES[[#This Row],[TE_COEFFICIENT_CALC]]),3)</f>
        <v>0.3</v>
      </c>
      <c r="V2" s="6">
        <v>25</v>
      </c>
      <c r="W2" s="10">
        <v>0</v>
      </c>
      <c r="X2" s="10">
        <v>0</v>
      </c>
      <c r="Y2" s="11"/>
      <c r="Z2" t="s">
        <v>918</v>
      </c>
      <c r="AA2" t="s">
        <v>904</v>
      </c>
      <c r="AB2" s="2" t="s">
        <v>922</v>
      </c>
      <c r="AC2" s="10" t="s">
        <v>982</v>
      </c>
      <c r="AD2" s="10" t="s">
        <v>983</v>
      </c>
      <c r="AE2" s="2" t="str">
        <f>SUBSTITUTE(SUBSTITUTE(PROPERTIES[[#This Row],[PURCHASECOST_VALUE]], "PURCHASECOST_", ""), "_VALUE", "")</f>
        <v>MAGLEVMU</v>
      </c>
      <c r="AF2" s="10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744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19</v>
      </c>
      <c r="G3" t="s">
        <v>18</v>
      </c>
      <c r="H3">
        <v>1</v>
      </c>
      <c r="I3">
        <v>8</v>
      </c>
      <c r="J3">
        <v>8</v>
      </c>
      <c r="K3" s="2" t="s">
        <v>20</v>
      </c>
      <c r="L3">
        <f>_xlfn.XLOOKUP("LOADINGSPEEDDEF_"&amp;PROPERTIES[[#This Row],[LOADINGSPEED]],LOADINGSPEEDDEF[TYPE],LOADINGSPEEDDEF[SPEED])</f>
        <v>0</v>
      </c>
      <c r="M3" t="s">
        <v>21</v>
      </c>
      <c r="N3">
        <v>1</v>
      </c>
      <c r="O3" s="34">
        <v>0</v>
      </c>
      <c r="P3">
        <v>0</v>
      </c>
      <c r="Q3">
        <v>0</v>
      </c>
      <c r="R3" s="31">
        <v>0</v>
      </c>
      <c r="S3" s="30">
        <f>IFERROR(PROPERTIES[[#This Row],[TE_STARTING_KN]]/(PROPERTIES[[#This Row],[WEIGHT]]*9.81),0)</f>
        <v>0</v>
      </c>
      <c r="T3" s="30">
        <v>0.3</v>
      </c>
      <c r="U3" s="27">
        <f>ROUND(IF(IFERROR(PROPERTIES[[#This Row],[TE_COEFFICIENT_CALC]],0)=0,PROPERTIES[[#This Row],[TE_COEFFICIENT_MANUAL]],PROPERTIES[[#This Row],[TE_COEFFICIENT_CALC]]),3)</f>
        <v>0.3</v>
      </c>
      <c r="V3" s="6">
        <v>25</v>
      </c>
      <c r="W3" s="10">
        <v>0</v>
      </c>
      <c r="X3" s="10">
        <v>0</v>
      </c>
      <c r="Y3" s="11"/>
      <c r="Z3" t="s">
        <v>918</v>
      </c>
      <c r="AA3" t="s">
        <v>904</v>
      </c>
      <c r="AB3" s="2" t="s">
        <v>922</v>
      </c>
      <c r="AC3" s="10" t="s">
        <v>982</v>
      </c>
      <c r="AD3" s="10" t="s">
        <v>983</v>
      </c>
      <c r="AE3" s="11" t="str">
        <f>SUBSTITUTE(SUBSTITUTE(PROPERTIES[[#This Row],[PURCHASECOST_VALUE]], "PURCHASECOST_", ""), "_VALUE", "")</f>
        <v>MAGLEVMU</v>
      </c>
      <c r="AF3" s="10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22</v>
      </c>
      <c r="B4">
        <v>1903</v>
      </c>
      <c r="C4">
        <v>0</v>
      </c>
      <c r="D4" t="s">
        <v>1799</v>
      </c>
      <c r="E4" t="str">
        <f>_xlfn.XLOOKUP(PROPERTIES[[#This Row],[COUNTRY]],COUNTRIES[COUNTRY_DESCRIPTION],COUNTRIES[COUNTRY_LABEL],"")</f>
        <v>AT</v>
      </c>
      <c r="F4" t="s">
        <v>23</v>
      </c>
      <c r="G4" t="s">
        <v>18</v>
      </c>
      <c r="H4">
        <v>22</v>
      </c>
      <c r="I4">
        <v>5</v>
      </c>
      <c r="J4">
        <v>5</v>
      </c>
      <c r="K4" s="2" t="s">
        <v>24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4">
        <v>8</v>
      </c>
      <c r="P4">
        <v>39</v>
      </c>
      <c r="Q4">
        <v>35</v>
      </c>
      <c r="R4" s="31">
        <v>0</v>
      </c>
      <c r="S4" s="30">
        <f>IFERROR(PROPERTIES[[#This Row],[TE_STARTING_KN]]/(PROPERTIES[[#This Row],[WEIGHT]]*9.81),0)</f>
        <v>0</v>
      </c>
      <c r="T4" s="30">
        <v>0.18</v>
      </c>
      <c r="U4" s="27">
        <f>ROUND(IF(IFERROR(PROPERTIES[[#This Row],[TE_COEFFICIENT_CALC]],0)=0,PROPERTIES[[#This Row],[TE_COEFFICIENT_MANUAL]],PROPERTIES[[#This Row],[TE_COEFFICIENT_CALC]]),3)</f>
        <v>0.18</v>
      </c>
      <c r="V4" s="6">
        <v>15</v>
      </c>
      <c r="W4" s="10">
        <v>0</v>
      </c>
      <c r="X4" s="10">
        <v>0</v>
      </c>
      <c r="Y4" s="11"/>
      <c r="Z4" t="s">
        <v>905</v>
      </c>
      <c r="AA4" t="s">
        <v>904</v>
      </c>
      <c r="AB4" s="2" t="s">
        <v>922</v>
      </c>
      <c r="AC4" s="10" t="s">
        <v>984</v>
      </c>
      <c r="AD4" s="10" t="s">
        <v>985</v>
      </c>
      <c r="AE4" s="11" t="str">
        <f>SUBSTITUTE(SUBSTITUTE(PROPERTIES[[#This Row],[PURCHASECOST_VALUE]], "PURCHASECOST_", ""), "_VALUE", "")</f>
        <v>STEAMRAILBUS</v>
      </c>
      <c r="AF4" s="10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25</v>
      </c>
      <c r="B5">
        <v>1906</v>
      </c>
      <c r="C5">
        <v>0</v>
      </c>
      <c r="D5" t="s">
        <v>1896</v>
      </c>
      <c r="E5" t="str">
        <f>_xlfn.XLOOKUP(PROPERTIES[[#This Row],[COUNTRY]],COUNTRIES[COUNTRY_DESCRIPTION],COUNTRIES[COUNTRY_LABEL],"")</f>
        <v>IT</v>
      </c>
      <c r="F5" t="s">
        <v>23</v>
      </c>
      <c r="G5" t="s">
        <v>18</v>
      </c>
      <c r="H5">
        <v>86</v>
      </c>
      <c r="I5">
        <v>8</v>
      </c>
      <c r="J5">
        <v>8</v>
      </c>
      <c r="K5" s="2" t="s">
        <v>24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4">
        <v>47</v>
      </c>
      <c r="P5">
        <v>170</v>
      </c>
      <c r="Q5">
        <v>55</v>
      </c>
      <c r="R5" s="31">
        <v>0</v>
      </c>
      <c r="S5" s="30">
        <f>IFERROR(PROPERTIES[[#This Row],[TE_STARTING_KN]]/(PROPERTIES[[#This Row],[WEIGHT]]*9.81),0)</f>
        <v>0</v>
      </c>
      <c r="T5" s="30">
        <v>0.08</v>
      </c>
      <c r="U5" s="27">
        <f>ROUND(IF(IFERROR(PROPERTIES[[#This Row],[TE_COEFFICIENT_CALC]],0)=0,PROPERTIES[[#This Row],[TE_COEFFICIENT_MANUAL]],PROPERTIES[[#This Row],[TE_COEFFICIENT_CALC]]),3)</f>
        <v>0.08</v>
      </c>
      <c r="V5" s="6">
        <v>15</v>
      </c>
      <c r="W5" s="10">
        <v>0</v>
      </c>
      <c r="X5" s="10">
        <v>0</v>
      </c>
      <c r="Y5" s="11"/>
      <c r="Z5" t="s">
        <v>906</v>
      </c>
      <c r="AA5" t="s">
        <v>904</v>
      </c>
      <c r="AB5" s="2" t="s">
        <v>922</v>
      </c>
      <c r="AC5" s="10" t="s">
        <v>984</v>
      </c>
      <c r="AD5" s="10" t="s">
        <v>985</v>
      </c>
      <c r="AE5" s="11" t="str">
        <f>SUBSTITUTE(SUBSTITUTE(PROPERTIES[[#This Row],[PURCHASECOST_VALUE]], "PURCHASECOST_", ""), "_VALUE", "")</f>
        <v>STEAMRAILBUS</v>
      </c>
      <c r="AF5" s="10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26</v>
      </c>
      <c r="B6">
        <v>1883</v>
      </c>
      <c r="C6">
        <v>0</v>
      </c>
      <c r="D6" t="s">
        <v>1800</v>
      </c>
      <c r="E6" t="str">
        <f>_xlfn.XLOOKUP(PROPERTIES[[#This Row],[COUNTRY]],COUNTRIES[COUNTRY_DESCRIPTION],COUNTRIES[COUNTRY_LABEL],"")</f>
        <v>AU</v>
      </c>
      <c r="F6" t="s">
        <v>23</v>
      </c>
      <c r="G6" t="s">
        <v>18</v>
      </c>
      <c r="H6">
        <v>42</v>
      </c>
      <c r="I6">
        <v>6</v>
      </c>
      <c r="J6">
        <v>6</v>
      </c>
      <c r="K6" s="2" t="s">
        <v>24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4">
        <v>15</v>
      </c>
      <c r="P6">
        <v>40</v>
      </c>
      <c r="Q6">
        <v>48</v>
      </c>
      <c r="R6" s="31">
        <v>16</v>
      </c>
      <c r="S6" s="30">
        <f>IFERROR(PROPERTIES[[#This Row],[TE_STARTING_KN]]/(PROPERTIES[[#This Row],[WEIGHT]]*9.81),0)</f>
        <v>0.10873258579680598</v>
      </c>
      <c r="T6" s="30">
        <v>0.34</v>
      </c>
      <c r="U6" s="27">
        <f>ROUND(IF(IFERROR(PROPERTIES[[#This Row],[TE_COEFFICIENT_CALC]],0)=0,PROPERTIES[[#This Row],[TE_COEFFICIENT_MANUAL]],PROPERTIES[[#This Row],[TE_COEFFICIENT_CALC]]),3)</f>
        <v>0.109</v>
      </c>
      <c r="V6" s="6">
        <v>15</v>
      </c>
      <c r="W6" s="10">
        <v>0</v>
      </c>
      <c r="X6" s="10">
        <v>0</v>
      </c>
      <c r="Y6" s="11"/>
      <c r="Z6" t="s">
        <v>907</v>
      </c>
      <c r="AA6" t="s">
        <v>904</v>
      </c>
      <c r="AB6" s="2" t="s">
        <v>922</v>
      </c>
      <c r="AC6" s="10" t="s">
        <v>984</v>
      </c>
      <c r="AD6" s="10" t="s">
        <v>985</v>
      </c>
      <c r="AE6" s="11" t="str">
        <f>SUBSTITUTE(SUBSTITUTE(PROPERTIES[[#This Row],[PURCHASECOST_VALUE]], "PURCHASECOST_", ""), "_VALUE", "")</f>
        <v>STEAMRAILBUS</v>
      </c>
      <c r="AF6" s="10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27</v>
      </c>
      <c r="B7">
        <v>1902</v>
      </c>
      <c r="C7">
        <v>0</v>
      </c>
      <c r="D7" t="s">
        <v>1830</v>
      </c>
      <c r="E7" t="str">
        <f>_xlfn.XLOOKUP(PROPERTIES[[#This Row],[COUNTRY]],COUNTRIES[COUNTRY_DESCRIPTION],COUNTRIES[COUNTRY_LABEL],"")</f>
        <v>CH</v>
      </c>
      <c r="F7" t="s">
        <v>23</v>
      </c>
      <c r="G7" t="s">
        <v>18</v>
      </c>
      <c r="H7">
        <v>30</v>
      </c>
      <c r="I7">
        <v>5</v>
      </c>
      <c r="J7">
        <v>5</v>
      </c>
      <c r="K7" s="2" t="s">
        <v>24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4">
        <v>21</v>
      </c>
      <c r="P7">
        <v>99</v>
      </c>
      <c r="Q7">
        <v>45</v>
      </c>
      <c r="R7" s="31">
        <v>0</v>
      </c>
      <c r="S7" s="30">
        <f>IFERROR(PROPERTIES[[#This Row],[TE_STARTING_KN]]/(PROPERTIES[[#This Row],[WEIGHT]]*9.81),0)</f>
        <v>0</v>
      </c>
      <c r="T7" s="30">
        <v>0.34</v>
      </c>
      <c r="U7" s="27">
        <f>ROUND(IF(IFERROR(PROPERTIES[[#This Row],[TE_COEFFICIENT_CALC]],0)=0,PROPERTIES[[#This Row],[TE_COEFFICIENT_MANUAL]],PROPERTIES[[#This Row],[TE_COEFFICIENT_CALC]]),3)</f>
        <v>0.34</v>
      </c>
      <c r="V7" s="6">
        <v>15</v>
      </c>
      <c r="W7" s="10">
        <v>0</v>
      </c>
      <c r="X7" s="10">
        <v>0</v>
      </c>
      <c r="Y7" s="11"/>
      <c r="Z7" t="s">
        <v>905</v>
      </c>
      <c r="AA7" t="s">
        <v>904</v>
      </c>
      <c r="AB7" s="2" t="s">
        <v>922</v>
      </c>
      <c r="AC7" s="10" t="s">
        <v>984</v>
      </c>
      <c r="AD7" s="10" t="s">
        <v>985</v>
      </c>
      <c r="AE7" s="11" t="str">
        <f>SUBSTITUTE(SUBSTITUTE(PROPERTIES[[#This Row],[PURCHASECOST_VALUE]], "PURCHASECOST_", ""), "_VALUE", "")</f>
        <v>STEAMRAILBUS</v>
      </c>
      <c r="AF7" s="10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28</v>
      </c>
      <c r="B8">
        <v>1906</v>
      </c>
      <c r="C8">
        <v>0</v>
      </c>
      <c r="D8" t="s">
        <v>1844</v>
      </c>
      <c r="E8" t="str">
        <f>_xlfn.XLOOKUP(PROPERTIES[[#This Row],[COUNTRY]],COUNTRIES[COUNTRY_DESCRIPTION],COUNTRIES[COUNTRY_LABEL],"")</f>
        <v>DE</v>
      </c>
      <c r="F8" t="s">
        <v>23</v>
      </c>
      <c r="G8" t="s">
        <v>18</v>
      </c>
      <c r="H8">
        <v>52</v>
      </c>
      <c r="I8">
        <v>8</v>
      </c>
      <c r="J8">
        <v>8</v>
      </c>
      <c r="K8" s="2" t="s">
        <v>24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4">
        <v>32</v>
      </c>
      <c r="P8">
        <v>195</v>
      </c>
      <c r="Q8">
        <v>50</v>
      </c>
      <c r="R8" s="31">
        <v>0</v>
      </c>
      <c r="S8" s="30">
        <f>IFERROR(PROPERTIES[[#This Row],[TE_STARTING_KN]]/(PROPERTIES[[#This Row],[WEIGHT]]*9.81),0)</f>
        <v>0</v>
      </c>
      <c r="T8" s="30">
        <v>0.34</v>
      </c>
      <c r="U8" s="27">
        <f>ROUND(IF(IFERROR(PROPERTIES[[#This Row],[TE_COEFFICIENT_CALC]],0)=0,PROPERTIES[[#This Row],[TE_COEFFICIENT_MANUAL]],PROPERTIES[[#This Row],[TE_COEFFICIENT_CALC]]),3)</f>
        <v>0.34</v>
      </c>
      <c r="V8" s="6">
        <v>15</v>
      </c>
      <c r="W8" s="10">
        <v>0</v>
      </c>
      <c r="X8" s="10">
        <v>0</v>
      </c>
      <c r="Y8" s="11"/>
      <c r="Z8" t="s">
        <v>905</v>
      </c>
      <c r="AA8" t="s">
        <v>904</v>
      </c>
      <c r="AB8" s="2" t="s">
        <v>922</v>
      </c>
      <c r="AC8" s="10" t="s">
        <v>984</v>
      </c>
      <c r="AD8" s="10" t="s">
        <v>985</v>
      </c>
      <c r="AE8" s="11" t="str">
        <f>SUBSTITUTE(SUBSTITUTE(PROPERTIES[[#This Row],[PURCHASECOST_VALUE]], "PURCHASECOST_", ""), "_VALUE", "")</f>
        <v>STEAMRAILBUS</v>
      </c>
      <c r="AF8" s="10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29</v>
      </c>
      <c r="B9">
        <v>1906</v>
      </c>
      <c r="C9">
        <v>0</v>
      </c>
      <c r="D9" t="s">
        <v>2033</v>
      </c>
      <c r="E9" t="str">
        <f>_xlfn.XLOOKUP(PROPERTIES[[#This Row],[COUNTRY]],COUNTRIES[COUNTRY_DESCRIPTION],COUNTRIES[COUNTRY_LABEL],"")</f>
        <v>ZA</v>
      </c>
      <c r="F9" t="s">
        <v>23</v>
      </c>
      <c r="G9" t="s">
        <v>18</v>
      </c>
      <c r="H9">
        <v>50</v>
      </c>
      <c r="I9">
        <v>8</v>
      </c>
      <c r="J9">
        <v>4</v>
      </c>
      <c r="K9" s="2" t="s">
        <v>24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4">
        <v>48</v>
      </c>
      <c r="P9">
        <v>40</v>
      </c>
      <c r="Q9">
        <v>48</v>
      </c>
      <c r="R9" s="31">
        <v>28.26</v>
      </c>
      <c r="S9" s="30">
        <f>IFERROR(PROPERTIES[[#This Row],[TE_STARTING_KN]]/(PROPERTIES[[#This Row],[WEIGHT]]*9.81),0)</f>
        <v>6.0015290519877681E-2</v>
      </c>
      <c r="T9" s="30">
        <v>0.08</v>
      </c>
      <c r="U9" s="27">
        <f>ROUND(IF(IFERROR(PROPERTIES[[#This Row],[TE_COEFFICIENT_CALC]],0)=0,PROPERTIES[[#This Row],[TE_COEFFICIENT_MANUAL]],PROPERTIES[[#This Row],[TE_COEFFICIENT_CALC]]),3)</f>
        <v>0.06</v>
      </c>
      <c r="V9" s="6">
        <v>15</v>
      </c>
      <c r="W9" s="10">
        <v>0</v>
      </c>
      <c r="X9" s="10">
        <v>2</v>
      </c>
      <c r="Y9" s="11"/>
      <c r="Z9" t="s">
        <v>908</v>
      </c>
      <c r="AA9" t="s">
        <v>904</v>
      </c>
      <c r="AB9" s="2" t="s">
        <v>922</v>
      </c>
      <c r="AC9" s="10" t="s">
        <v>984</v>
      </c>
      <c r="AD9" s="10" t="s">
        <v>985</v>
      </c>
      <c r="AE9" s="11" t="str">
        <f>SUBSTITUTE(SUBSTITUTE(PROPERTIES[[#This Row],[PURCHASECOST_VALUE]], "PURCHASECOST_", ""), "_VALUE", "")</f>
        <v>STEAMRAILBUS</v>
      </c>
      <c r="AF9" s="10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30</v>
      </c>
      <c r="B10">
        <v>1912</v>
      </c>
      <c r="C10">
        <v>0</v>
      </c>
      <c r="D10" t="s">
        <v>1800</v>
      </c>
      <c r="E10" t="str">
        <f>_xlfn.XLOOKUP(PROPERTIES[[#This Row],[COUNTRY]],COUNTRIES[COUNTRY_DESCRIPTION],COUNTRIES[COUNTRY_LABEL],"")</f>
        <v>AU</v>
      </c>
      <c r="F10" t="s">
        <v>23</v>
      </c>
      <c r="G10" t="s">
        <v>18</v>
      </c>
      <c r="H10">
        <v>32</v>
      </c>
      <c r="I10">
        <v>6</v>
      </c>
      <c r="J10">
        <v>6</v>
      </c>
      <c r="K10" s="2" t="s">
        <v>24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4">
        <v>42</v>
      </c>
      <c r="P10">
        <v>91</v>
      </c>
      <c r="Q10">
        <v>55</v>
      </c>
      <c r="R10" s="31">
        <v>0</v>
      </c>
      <c r="S10" s="30">
        <f>IFERROR(PROPERTIES[[#This Row],[TE_STARTING_KN]]/(PROPERTIES[[#This Row],[WEIGHT]]*9.81),0)</f>
        <v>0</v>
      </c>
      <c r="T10" s="30">
        <v>0.14000000000000001</v>
      </c>
      <c r="U10" s="27">
        <f>ROUND(IF(IFERROR(PROPERTIES[[#This Row],[TE_COEFFICIENT_CALC]],0)=0,PROPERTIES[[#This Row],[TE_COEFFICIENT_MANUAL]],PROPERTIES[[#This Row],[TE_COEFFICIENT_CALC]]),3)</f>
        <v>0.14000000000000001</v>
      </c>
      <c r="V10" s="6">
        <v>15</v>
      </c>
      <c r="W10" s="10">
        <v>0</v>
      </c>
      <c r="X10" s="10">
        <v>0</v>
      </c>
      <c r="Y10" s="11"/>
      <c r="Z10" t="s">
        <v>907</v>
      </c>
      <c r="AA10" t="s">
        <v>904</v>
      </c>
      <c r="AB10" s="2" t="s">
        <v>922</v>
      </c>
      <c r="AC10" s="10" t="s">
        <v>984</v>
      </c>
      <c r="AD10" s="10" t="s">
        <v>985</v>
      </c>
      <c r="AE10" s="11" t="str">
        <f>SUBSTITUTE(SUBSTITUTE(PROPERTIES[[#This Row],[PURCHASECOST_VALUE]], "PURCHASECOST_", ""), "_VALUE", "")</f>
        <v>STEAMRAILBUS</v>
      </c>
      <c r="AF10" s="10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31</v>
      </c>
      <c r="B11">
        <v>1880</v>
      </c>
      <c r="C11">
        <v>0</v>
      </c>
      <c r="D11" t="s">
        <v>1799</v>
      </c>
      <c r="E11" t="str">
        <f>_xlfn.XLOOKUP(PROPERTIES[[#This Row],[COUNTRY]],COUNTRIES[COUNTRY_DESCRIPTION],COUNTRIES[COUNTRY_LABEL],"")</f>
        <v>AT</v>
      </c>
      <c r="F11" t="s">
        <v>23</v>
      </c>
      <c r="G11" t="s">
        <v>32</v>
      </c>
      <c r="H11">
        <v>14</v>
      </c>
      <c r="I11">
        <v>5</v>
      </c>
      <c r="J11">
        <v>5</v>
      </c>
      <c r="K11" s="2" t="s">
        <v>33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4">
        <v>23</v>
      </c>
      <c r="P11">
        <v>28</v>
      </c>
      <c r="Q11">
        <v>80</v>
      </c>
      <c r="R11" s="31">
        <v>0</v>
      </c>
      <c r="S11" s="30">
        <f>IFERROR(PROPERTIES[[#This Row],[TE_STARTING_KN]]/(PROPERTIES[[#This Row],[WEIGHT]]*9.81),0)</f>
        <v>0</v>
      </c>
      <c r="T11" s="30">
        <v>7.0000000000000007E-2</v>
      </c>
      <c r="U11" s="27">
        <f>ROUND(IF(IFERROR(PROPERTIES[[#This Row],[TE_COEFFICIENT_CALC]],0)=0,PROPERTIES[[#This Row],[TE_COEFFICIENT_MANUAL]],PROPERTIES[[#This Row],[TE_COEFFICIENT_CALC]]),3)</f>
        <v>7.0000000000000007E-2</v>
      </c>
      <c r="V11" s="6">
        <v>15</v>
      </c>
      <c r="W11" s="10">
        <v>0</v>
      </c>
      <c r="X11" s="10">
        <v>0</v>
      </c>
      <c r="Y11" s="11"/>
      <c r="Z11" t="s">
        <v>905</v>
      </c>
      <c r="AA11" t="s">
        <v>904</v>
      </c>
      <c r="AB11" s="2" t="s">
        <v>922</v>
      </c>
      <c r="AC11" s="10" t="s">
        <v>984</v>
      </c>
      <c r="AD11" s="10" t="s">
        <v>985</v>
      </c>
      <c r="AE11" s="11" t="str">
        <f>SUBSTITUTE(SUBSTITUTE(PROPERTIES[[#This Row],[PURCHASECOST_VALUE]], "PURCHASECOST_", ""), "_VALUE", "")</f>
        <v>STEAMRAILBUS</v>
      </c>
      <c r="AF11" s="10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34</v>
      </c>
      <c r="B12">
        <v>1922</v>
      </c>
      <c r="C12">
        <v>0</v>
      </c>
      <c r="D12" t="s">
        <v>1800</v>
      </c>
      <c r="E12" t="str">
        <f>_xlfn.XLOOKUP(PROPERTIES[[#This Row],[COUNTRY]],COUNTRIES[COUNTRY_DESCRIPTION],COUNTRIES[COUNTRY_LABEL],"")</f>
        <v>AU</v>
      </c>
      <c r="F12" t="s">
        <v>35</v>
      </c>
      <c r="G12" t="s">
        <v>18</v>
      </c>
      <c r="H12">
        <v>37</v>
      </c>
      <c r="I12">
        <v>5</v>
      </c>
      <c r="J12">
        <v>5</v>
      </c>
      <c r="K12" s="2" t="s">
        <v>24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4">
        <v>24</v>
      </c>
      <c r="P12">
        <v>45</v>
      </c>
      <c r="Q12">
        <v>50</v>
      </c>
      <c r="R12" s="31">
        <v>0</v>
      </c>
      <c r="S12" s="30">
        <f>IFERROR(PROPERTIES[[#This Row],[TE_STARTING_KN]]/(PROPERTIES[[#This Row],[WEIGHT]]*9.81),0)</f>
        <v>0</v>
      </c>
      <c r="T12" s="30">
        <v>0.1</v>
      </c>
      <c r="U12" s="27">
        <f>ROUND(IF(IFERROR(PROPERTIES[[#This Row],[TE_COEFFICIENT_CALC]],0)=0,PROPERTIES[[#This Row],[TE_COEFFICIENT_MANUAL]],PROPERTIES[[#This Row],[TE_COEFFICIENT_CALC]]),3)</f>
        <v>0.1</v>
      </c>
      <c r="V12" s="6">
        <v>15</v>
      </c>
      <c r="W12" s="10">
        <v>0</v>
      </c>
      <c r="X12" s="10">
        <v>0</v>
      </c>
      <c r="Y12" s="11"/>
      <c r="Z12" t="s">
        <v>907</v>
      </c>
      <c r="AA12" t="s">
        <v>904</v>
      </c>
      <c r="AB12" s="2" t="s">
        <v>922</v>
      </c>
      <c r="AC12" s="10" t="s">
        <v>986</v>
      </c>
      <c r="AD12" s="10" t="s">
        <v>987</v>
      </c>
      <c r="AE12" s="11" t="str">
        <f>SUBSTITUTE(SUBSTITUTE(PROPERTIES[[#This Row],[PURCHASECOST_VALUE]], "PURCHASECOST_", ""), "_VALUE", "")</f>
        <v>DIESELRAILBUS</v>
      </c>
      <c r="AF12" s="10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36</v>
      </c>
      <c r="B13">
        <v>1932</v>
      </c>
      <c r="C13">
        <v>0</v>
      </c>
      <c r="D13" t="s">
        <v>1844</v>
      </c>
      <c r="E13" t="str">
        <f>_xlfn.XLOOKUP(PROPERTIES[[#This Row],[COUNTRY]],COUNTRIES[COUNTRY_DESCRIPTION],COUNTRIES[COUNTRY_LABEL],"")</f>
        <v>DE</v>
      </c>
      <c r="F13" t="s">
        <v>35</v>
      </c>
      <c r="G13" t="s">
        <v>18</v>
      </c>
      <c r="H13">
        <v>24</v>
      </c>
      <c r="I13">
        <v>6</v>
      </c>
      <c r="J13">
        <v>6</v>
      </c>
      <c r="K13" s="2" t="s">
        <v>24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4">
        <v>6</v>
      </c>
      <c r="P13">
        <v>38</v>
      </c>
      <c r="Q13">
        <v>56</v>
      </c>
      <c r="R13" s="31">
        <v>0</v>
      </c>
      <c r="S13" s="30">
        <f>IFERROR(PROPERTIES[[#This Row],[TE_STARTING_KN]]/(PROPERTIES[[#This Row],[WEIGHT]]*9.81),0)</f>
        <v>0</v>
      </c>
      <c r="T13" s="30">
        <v>0.5</v>
      </c>
      <c r="U13" s="27">
        <f>ROUND(IF(IFERROR(PROPERTIES[[#This Row],[TE_COEFFICIENT_CALC]],0)=0,PROPERTIES[[#This Row],[TE_COEFFICIENT_MANUAL]],PROPERTIES[[#This Row],[TE_COEFFICIENT_CALC]]),3)</f>
        <v>0.5</v>
      </c>
      <c r="V13" s="6">
        <v>15</v>
      </c>
      <c r="W13" s="10">
        <v>0</v>
      </c>
      <c r="X13" s="10">
        <v>0</v>
      </c>
      <c r="Y13" s="11"/>
      <c r="Z13" t="s">
        <v>905</v>
      </c>
      <c r="AA13" t="s">
        <v>904</v>
      </c>
      <c r="AB13" s="2" t="s">
        <v>922</v>
      </c>
      <c r="AC13" s="10" t="s">
        <v>986</v>
      </c>
      <c r="AD13" s="10" t="s">
        <v>987</v>
      </c>
      <c r="AE13" s="11" t="str">
        <f>SUBSTITUTE(SUBSTITUTE(PROPERTIES[[#This Row],[PURCHASECOST_VALUE]], "PURCHASECOST_", ""), "_VALUE", "")</f>
        <v>DIESELRAILBUS</v>
      </c>
      <c r="AF13" s="10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37</v>
      </c>
      <c r="B14">
        <v>1934</v>
      </c>
      <c r="C14">
        <v>0</v>
      </c>
      <c r="D14" t="s">
        <v>1863</v>
      </c>
      <c r="E14" t="str">
        <f>_xlfn.XLOOKUP(PROPERTIES[[#This Row],[COUNTRY]],COUNTRIES[COUNTRY_DESCRIPTION],COUNTRIES[COUNTRY_LABEL],"")</f>
        <v>GB</v>
      </c>
      <c r="F14" t="s">
        <v>35</v>
      </c>
      <c r="G14" t="s">
        <v>18</v>
      </c>
      <c r="H14">
        <v>69</v>
      </c>
      <c r="I14">
        <v>6</v>
      </c>
      <c r="J14">
        <v>6</v>
      </c>
      <c r="K14" s="2" t="s">
        <v>24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4">
        <v>24</v>
      </c>
      <c r="P14">
        <v>130</v>
      </c>
      <c r="Q14">
        <v>101</v>
      </c>
      <c r="R14" s="31">
        <v>0</v>
      </c>
      <c r="S14" s="30">
        <f>IFERROR(PROPERTIES[[#This Row],[TE_STARTING_KN]]/(PROPERTIES[[#This Row],[WEIGHT]]*9.81),0)</f>
        <v>0</v>
      </c>
      <c r="T14" s="30">
        <v>0.27</v>
      </c>
      <c r="U14" s="27">
        <f>ROUND(IF(IFERROR(PROPERTIES[[#This Row],[TE_COEFFICIENT_CALC]],0)=0,PROPERTIES[[#This Row],[TE_COEFFICIENT_MANUAL]],PROPERTIES[[#This Row],[TE_COEFFICIENT_CALC]]),3)</f>
        <v>0.27</v>
      </c>
      <c r="V14" s="6">
        <v>15</v>
      </c>
      <c r="W14" s="10">
        <v>0</v>
      </c>
      <c r="X14" s="10">
        <v>0</v>
      </c>
      <c r="Y14" s="11"/>
      <c r="Z14" t="s">
        <v>909</v>
      </c>
      <c r="AA14" t="s">
        <v>904</v>
      </c>
      <c r="AB14" s="2" t="s">
        <v>922</v>
      </c>
      <c r="AC14" s="10" t="s">
        <v>986</v>
      </c>
      <c r="AD14" s="10" t="s">
        <v>987</v>
      </c>
      <c r="AE14" s="11" t="str">
        <f>SUBSTITUTE(SUBSTITUTE(PROPERTIES[[#This Row],[PURCHASECOST_VALUE]], "PURCHASECOST_", ""), "_VALUE", "")</f>
        <v>DIESELRAILBUS</v>
      </c>
      <c r="AF14" s="10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38</v>
      </c>
      <c r="B15">
        <v>1935</v>
      </c>
      <c r="C15">
        <v>0</v>
      </c>
      <c r="D15" t="s">
        <v>1799</v>
      </c>
      <c r="E15" t="str">
        <f>_xlfn.XLOOKUP(PROPERTIES[[#This Row],[COUNTRY]],COUNTRIES[COUNTRY_DESCRIPTION],COUNTRIES[COUNTRY_LABEL],"")</f>
        <v>AT</v>
      </c>
      <c r="F15" t="s">
        <v>35</v>
      </c>
      <c r="G15" t="s">
        <v>18</v>
      </c>
      <c r="H15">
        <v>78</v>
      </c>
      <c r="I15">
        <v>8</v>
      </c>
      <c r="J15">
        <v>8</v>
      </c>
      <c r="K15" s="2" t="s">
        <v>24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4">
        <v>59</v>
      </c>
      <c r="P15">
        <v>210</v>
      </c>
      <c r="Q15">
        <v>110</v>
      </c>
      <c r="R15" s="31">
        <v>50</v>
      </c>
      <c r="S15" s="30">
        <f>IFERROR(PROPERTIES[[#This Row],[TE_STARTING_KN]]/(PROPERTIES[[#This Row],[WEIGHT]]*9.81),0)</f>
        <v>8.6387117952970841E-2</v>
      </c>
      <c r="T15" s="30">
        <v>0.08</v>
      </c>
      <c r="U15" s="27">
        <f>ROUND(IF(IFERROR(PROPERTIES[[#This Row],[TE_COEFFICIENT_CALC]],0)=0,PROPERTIES[[#This Row],[TE_COEFFICIENT_MANUAL]],PROPERTIES[[#This Row],[TE_COEFFICIENT_CALC]]),3)</f>
        <v>8.5999999999999993E-2</v>
      </c>
      <c r="V15" s="6">
        <v>15</v>
      </c>
      <c r="W15" s="10">
        <v>0</v>
      </c>
      <c r="X15" s="10">
        <v>0</v>
      </c>
      <c r="Y15" s="11"/>
      <c r="Z15" t="s">
        <v>905</v>
      </c>
      <c r="AA15" t="s">
        <v>904</v>
      </c>
      <c r="AB15" s="2" t="s">
        <v>922</v>
      </c>
      <c r="AC15" s="10" t="s">
        <v>986</v>
      </c>
      <c r="AD15" s="10" t="s">
        <v>987</v>
      </c>
      <c r="AE15" s="11" t="str">
        <f>SUBSTITUTE(SUBSTITUTE(PROPERTIES[[#This Row],[PURCHASECOST_VALUE]], "PURCHASECOST_", ""), "_VALUE", "")</f>
        <v>DIESELRAILBUS</v>
      </c>
      <c r="AF15" s="10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39</v>
      </c>
      <c r="B16">
        <v>1940</v>
      </c>
      <c r="C16">
        <v>0</v>
      </c>
      <c r="D16" t="s">
        <v>1957</v>
      </c>
      <c r="E16" t="str">
        <f>_xlfn.XLOOKUP(PROPERTIES[[#This Row],[COUNTRY]],COUNTRIES[COUNTRY_DESCRIPTION],COUNTRIES[COUNTRY_LABEL],"")</f>
        <v>NZ</v>
      </c>
      <c r="F16" t="s">
        <v>35</v>
      </c>
      <c r="G16" t="s">
        <v>18</v>
      </c>
      <c r="H16">
        <v>50</v>
      </c>
      <c r="I16">
        <v>8</v>
      </c>
      <c r="J16">
        <v>8</v>
      </c>
      <c r="K16" s="2" t="s">
        <v>24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4">
        <v>30</v>
      </c>
      <c r="P16">
        <f>114*2</f>
        <v>228</v>
      </c>
      <c r="Q16">
        <v>100</v>
      </c>
      <c r="R16" s="31">
        <v>0</v>
      </c>
      <c r="S16" s="30">
        <f>IFERROR(PROPERTIES[[#This Row],[TE_STARTING_KN]]/(PROPERTIES[[#This Row],[WEIGHT]]*9.81),0)</f>
        <v>0</v>
      </c>
      <c r="T16" s="30">
        <v>0.2</v>
      </c>
      <c r="U16" s="27">
        <f>ROUND(IF(IFERROR(PROPERTIES[[#This Row],[TE_COEFFICIENT_CALC]],0)=0,PROPERTIES[[#This Row],[TE_COEFFICIENT_MANUAL]],PROPERTIES[[#This Row],[TE_COEFFICIENT_CALC]]),3)</f>
        <v>0.2</v>
      </c>
      <c r="V16" s="6">
        <v>15</v>
      </c>
      <c r="W16" s="10">
        <v>0</v>
      </c>
      <c r="X16" s="10">
        <v>0</v>
      </c>
      <c r="Y16" s="11"/>
      <c r="Z16" t="s">
        <v>907</v>
      </c>
      <c r="AA16" t="s">
        <v>904</v>
      </c>
      <c r="AB16" s="2" t="s">
        <v>922</v>
      </c>
      <c r="AC16" s="10" t="s">
        <v>986</v>
      </c>
      <c r="AD16" s="10" t="s">
        <v>987</v>
      </c>
      <c r="AE16" s="11" t="str">
        <f>SUBSTITUTE(SUBSTITUTE(PROPERTIES[[#This Row],[PURCHASECOST_VALUE]], "PURCHASECOST_", ""), "_VALUE", "")</f>
        <v>DIESELRAILBUS</v>
      </c>
      <c r="AF16" s="10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40</v>
      </c>
      <c r="B17">
        <v>1948</v>
      </c>
      <c r="C17">
        <v>0</v>
      </c>
      <c r="D17" t="s">
        <v>1970</v>
      </c>
      <c r="E17" t="str">
        <f>_xlfn.XLOOKUP(PROPERTIES[[#This Row],[COUNTRY]],COUNTRIES[COUNTRY_DESCRIPTION],COUNTRIES[COUNTRY_LABEL],"")</f>
        <v>PT</v>
      </c>
      <c r="F17" t="s">
        <v>35</v>
      </c>
      <c r="G17" t="s">
        <v>18</v>
      </c>
      <c r="H17">
        <v>70</v>
      </c>
      <c r="I17">
        <v>8</v>
      </c>
      <c r="J17">
        <v>8</v>
      </c>
      <c r="K17" s="2" t="s">
        <v>24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4">
        <v>34</v>
      </c>
      <c r="P17">
        <v>350</v>
      </c>
      <c r="Q17">
        <v>100</v>
      </c>
      <c r="R17" s="31">
        <v>0</v>
      </c>
      <c r="S17" s="30">
        <f>IFERROR(PROPERTIES[[#This Row],[TE_STARTING_KN]]/(PROPERTIES[[#This Row],[WEIGHT]]*9.81),0)</f>
        <v>0</v>
      </c>
      <c r="T17" s="30">
        <v>0.12</v>
      </c>
      <c r="U17" s="27">
        <f>ROUND(IF(IFERROR(PROPERTIES[[#This Row],[TE_COEFFICIENT_CALC]],0)=0,PROPERTIES[[#This Row],[TE_COEFFICIENT_MANUAL]],PROPERTIES[[#This Row],[TE_COEFFICIENT_CALC]]),3)</f>
        <v>0.12</v>
      </c>
      <c r="V17" s="6">
        <v>15</v>
      </c>
      <c r="W17" s="10">
        <v>0</v>
      </c>
      <c r="X17" s="10">
        <v>0</v>
      </c>
      <c r="Y17" s="11"/>
      <c r="Z17" t="s">
        <v>906</v>
      </c>
      <c r="AA17" t="s">
        <v>904</v>
      </c>
      <c r="AB17" s="2" t="s">
        <v>922</v>
      </c>
      <c r="AC17" s="10" t="s">
        <v>986</v>
      </c>
      <c r="AD17" s="10" t="s">
        <v>987</v>
      </c>
      <c r="AE17" s="11" t="str">
        <f>SUBSTITUTE(SUBSTITUTE(PROPERTIES[[#This Row],[PURCHASECOST_VALUE]], "PURCHASECOST_", ""), "_VALUE", "")</f>
        <v>DIESELRAILBUS</v>
      </c>
      <c r="AF17" s="10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41</v>
      </c>
      <c r="B18">
        <v>1949</v>
      </c>
      <c r="C18">
        <v>0</v>
      </c>
      <c r="D18" t="s">
        <v>2019</v>
      </c>
      <c r="E18" t="str">
        <f>_xlfn.XLOOKUP(PROPERTIES[[#This Row],[COUNTRY]],COUNTRIES[COUNTRY_DESCRIPTION],COUNTRIES[COUNTRY_LABEL],"")</f>
        <v>US</v>
      </c>
      <c r="F18" t="s">
        <v>35</v>
      </c>
      <c r="G18" t="s">
        <v>18</v>
      </c>
      <c r="H18">
        <v>90</v>
      </c>
      <c r="I18">
        <v>8</v>
      </c>
      <c r="J18">
        <v>8</v>
      </c>
      <c r="K18" s="2" t="s">
        <v>24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4">
        <v>49</v>
      </c>
      <c r="P18">
        <v>550</v>
      </c>
      <c r="Q18">
        <v>136</v>
      </c>
      <c r="R18" s="31">
        <v>0</v>
      </c>
      <c r="S18" s="30">
        <f>IFERROR(PROPERTIES[[#This Row],[TE_STARTING_KN]]/(PROPERTIES[[#This Row],[WEIGHT]]*9.81),0)</f>
        <v>0</v>
      </c>
      <c r="T18" s="30">
        <v>0.1</v>
      </c>
      <c r="U18" s="27">
        <f>ROUND(IF(IFERROR(PROPERTIES[[#This Row],[TE_COEFFICIENT_CALC]],0)=0,PROPERTIES[[#This Row],[TE_COEFFICIENT_MANUAL]],PROPERTIES[[#This Row],[TE_COEFFICIENT_CALC]]),3)</f>
        <v>0.1</v>
      </c>
      <c r="V18" s="6">
        <v>15</v>
      </c>
      <c r="W18" s="10">
        <v>0</v>
      </c>
      <c r="X18" s="10">
        <v>0</v>
      </c>
      <c r="Y18" s="11"/>
      <c r="Z18" t="s">
        <v>910</v>
      </c>
      <c r="AA18" t="s">
        <v>904</v>
      </c>
      <c r="AB18" s="2" t="s">
        <v>922</v>
      </c>
      <c r="AC18" s="10" t="s">
        <v>986</v>
      </c>
      <c r="AD18" s="10" t="s">
        <v>987</v>
      </c>
      <c r="AE18" s="11" t="str">
        <f>SUBSTITUTE(SUBSTITUTE(PROPERTIES[[#This Row],[PURCHASECOST_VALUE]], "PURCHASECOST_", ""), "_VALUE", "")</f>
        <v>DIESELRAILBUS</v>
      </c>
      <c r="AF18" s="10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42</v>
      </c>
      <c r="B19">
        <v>1953</v>
      </c>
      <c r="C19">
        <v>0</v>
      </c>
      <c r="D19" t="s">
        <v>2036</v>
      </c>
      <c r="E19" t="str">
        <f>_xlfn.XLOOKUP(PROPERTIES[[#This Row],[COUNTRY]],COUNTRIES[COUNTRY_DESCRIPTION],COUNTRIES[COUNTRY_LABEL],"")</f>
        <v>GDR</v>
      </c>
      <c r="F19" t="s">
        <v>35</v>
      </c>
      <c r="G19" t="s">
        <v>18</v>
      </c>
      <c r="H19">
        <v>56</v>
      </c>
      <c r="I19">
        <v>6</v>
      </c>
      <c r="J19">
        <v>6</v>
      </c>
      <c r="K19" s="2" t="s">
        <v>24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4">
        <v>21</v>
      </c>
      <c r="P19">
        <v>300</v>
      </c>
      <c r="Q19">
        <v>90</v>
      </c>
      <c r="R19" s="31">
        <v>0</v>
      </c>
      <c r="S19" s="30">
        <f>IFERROR(PROPERTIES[[#This Row],[TE_STARTING_KN]]/(PROPERTIES[[#This Row],[WEIGHT]]*9.81),0)</f>
        <v>0</v>
      </c>
      <c r="T19" s="30">
        <v>0.2</v>
      </c>
      <c r="U19" s="27">
        <f>ROUND(IF(IFERROR(PROPERTIES[[#This Row],[TE_COEFFICIENT_CALC]],0)=0,PROPERTIES[[#This Row],[TE_COEFFICIENT_MANUAL]],PROPERTIES[[#This Row],[TE_COEFFICIENT_CALC]]),3)</f>
        <v>0.2</v>
      </c>
      <c r="V19" s="6">
        <v>15</v>
      </c>
      <c r="W19" s="10">
        <v>0</v>
      </c>
      <c r="X19" s="10">
        <v>0</v>
      </c>
      <c r="Y19" s="11"/>
      <c r="Z19" t="s">
        <v>905</v>
      </c>
      <c r="AA19" t="s">
        <v>904</v>
      </c>
      <c r="AB19" s="2" t="s">
        <v>922</v>
      </c>
      <c r="AC19" s="10" t="s">
        <v>986</v>
      </c>
      <c r="AD19" s="10" t="s">
        <v>987</v>
      </c>
      <c r="AE19" s="11" t="str">
        <f>SUBSTITUTE(SUBSTITUTE(PROPERTIES[[#This Row],[PURCHASECOST_VALUE]], "PURCHASECOST_", ""), "_VALUE", "")</f>
        <v>DIESELRAILBUS</v>
      </c>
      <c r="AF19" s="10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43</v>
      </c>
      <c r="B20">
        <v>1959</v>
      </c>
      <c r="C20">
        <v>0</v>
      </c>
      <c r="D20" t="s">
        <v>2036</v>
      </c>
      <c r="E20" t="str">
        <f>_xlfn.XLOOKUP(PROPERTIES[[#This Row],[COUNTRY]],COUNTRIES[COUNTRY_DESCRIPTION],COUNTRIES[COUNTRY_LABEL],"")</f>
        <v>GDR</v>
      </c>
      <c r="F20" t="s">
        <v>35</v>
      </c>
      <c r="G20" t="s">
        <v>18</v>
      </c>
      <c r="H20">
        <v>108</v>
      </c>
      <c r="I20">
        <v>8</v>
      </c>
      <c r="J20">
        <v>8</v>
      </c>
      <c r="K20" s="2" t="s">
        <v>24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4">
        <v>39</v>
      </c>
      <c r="P20">
        <v>440</v>
      </c>
      <c r="Q20">
        <v>70</v>
      </c>
      <c r="R20" s="31">
        <v>0</v>
      </c>
      <c r="S20" s="30">
        <f>IFERROR(PROPERTIES[[#This Row],[TE_STARTING_KN]]/(PROPERTIES[[#This Row],[WEIGHT]]*9.81),0)</f>
        <v>0</v>
      </c>
      <c r="T20" s="30">
        <v>0.25</v>
      </c>
      <c r="U20" s="27">
        <f>ROUND(IF(IFERROR(PROPERTIES[[#This Row],[TE_COEFFICIENT_CALC]],0)=0,PROPERTIES[[#This Row],[TE_COEFFICIENT_MANUAL]],PROPERTIES[[#This Row],[TE_COEFFICIENT_CALC]]),3)</f>
        <v>0.25</v>
      </c>
      <c r="V20" s="6">
        <v>15</v>
      </c>
      <c r="W20" s="10">
        <v>0</v>
      </c>
      <c r="X20" s="10">
        <v>0</v>
      </c>
      <c r="Y20" s="11"/>
      <c r="Z20" t="s">
        <v>905</v>
      </c>
      <c r="AA20" t="s">
        <v>904</v>
      </c>
      <c r="AB20" s="2" t="s">
        <v>922</v>
      </c>
      <c r="AC20" s="10" t="s">
        <v>986</v>
      </c>
      <c r="AD20" s="10" t="s">
        <v>987</v>
      </c>
      <c r="AE20" s="11" t="str">
        <f>SUBSTITUTE(SUBSTITUTE(PROPERTIES[[#This Row],[PURCHASECOST_VALUE]], "PURCHASECOST_", ""), "_VALUE", "")</f>
        <v>DIESELRAILBUS</v>
      </c>
      <c r="AF20" s="10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44</v>
      </c>
      <c r="B21">
        <v>1954</v>
      </c>
      <c r="C21">
        <v>0</v>
      </c>
      <c r="D21" t="s">
        <v>1952</v>
      </c>
      <c r="E21" t="str">
        <f>_xlfn.XLOOKUP(PROPERTIES[[#This Row],[COUNTRY]],COUNTRIES[COUNTRY_DESCRIPTION],COUNTRIES[COUNTRY_LABEL],"")</f>
        <v>NL</v>
      </c>
      <c r="F21" t="s">
        <v>35</v>
      </c>
      <c r="G21" t="s">
        <v>18</v>
      </c>
      <c r="H21">
        <v>28</v>
      </c>
      <c r="I21">
        <v>8</v>
      </c>
      <c r="J21">
        <v>8</v>
      </c>
      <c r="K21" s="2" t="s">
        <v>24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4">
        <v>58</v>
      </c>
      <c r="P21">
        <v>285</v>
      </c>
      <c r="Q21">
        <v>125</v>
      </c>
      <c r="R21" s="31">
        <v>0</v>
      </c>
      <c r="S21" s="30">
        <f>IFERROR(PROPERTIES[[#This Row],[TE_STARTING_KN]]/(PROPERTIES[[#This Row],[WEIGHT]]*9.81),0)</f>
        <v>0</v>
      </c>
      <c r="T21" s="30">
        <v>0.12</v>
      </c>
      <c r="U21" s="27">
        <f>ROUND(IF(IFERROR(PROPERTIES[[#This Row],[TE_COEFFICIENT_CALC]],0)=0,PROPERTIES[[#This Row],[TE_COEFFICIENT_MANUAL]],PROPERTIES[[#This Row],[TE_COEFFICIENT_CALC]]),3)</f>
        <v>0.12</v>
      </c>
      <c r="V21" s="6">
        <v>15</v>
      </c>
      <c r="W21" s="10">
        <v>0</v>
      </c>
      <c r="X21" s="10">
        <v>0</v>
      </c>
      <c r="Y21" s="11"/>
      <c r="Z21" t="s">
        <v>905</v>
      </c>
      <c r="AA21" t="s">
        <v>904</v>
      </c>
      <c r="AB21" s="2" t="s">
        <v>922</v>
      </c>
      <c r="AC21" s="10" t="s">
        <v>986</v>
      </c>
      <c r="AD21" s="10" t="s">
        <v>987</v>
      </c>
      <c r="AE21" s="11" t="str">
        <f>SUBSTITUTE(SUBSTITUTE(PROPERTIES[[#This Row],[PURCHASECOST_VALUE]], "PURCHASECOST_", ""), "_VALUE", "")</f>
        <v>DIESELRAILBUS</v>
      </c>
      <c r="AF21" s="10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45</v>
      </c>
      <c r="B22">
        <v>1984</v>
      </c>
      <c r="C22">
        <v>0</v>
      </c>
      <c r="D22" t="s">
        <v>1952</v>
      </c>
      <c r="E22" t="str">
        <f>_xlfn.XLOOKUP(PROPERTIES[[#This Row],[COUNTRY]],COUNTRIES[COUNTRY_DESCRIPTION],COUNTRIES[COUNTRY_LABEL],"")</f>
        <v>NL</v>
      </c>
      <c r="F22" t="s">
        <v>35</v>
      </c>
      <c r="G22" t="s">
        <v>18</v>
      </c>
      <c r="H22">
        <v>56</v>
      </c>
      <c r="I22">
        <v>8</v>
      </c>
      <c r="J22">
        <v>8</v>
      </c>
      <c r="K22" s="2" t="s">
        <v>24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4">
        <v>37</v>
      </c>
      <c r="P22">
        <v>285</v>
      </c>
      <c r="Q22">
        <v>100</v>
      </c>
      <c r="R22" s="31">
        <v>0</v>
      </c>
      <c r="S22" s="30">
        <f>IFERROR(PROPERTIES[[#This Row],[TE_STARTING_KN]]/(PROPERTIES[[#This Row],[WEIGHT]]*9.81),0)</f>
        <v>0</v>
      </c>
      <c r="T22" s="30">
        <v>0.23</v>
      </c>
      <c r="U22" s="27">
        <f>ROUND(IF(IFERROR(PROPERTIES[[#This Row],[TE_COEFFICIENT_CALC]],0)=0,PROPERTIES[[#This Row],[TE_COEFFICIENT_MANUAL]],PROPERTIES[[#This Row],[TE_COEFFICIENT_CALC]]),3)</f>
        <v>0.23</v>
      </c>
      <c r="V22" s="6">
        <v>15</v>
      </c>
      <c r="W22" s="10">
        <v>0</v>
      </c>
      <c r="X22" s="10">
        <v>0</v>
      </c>
      <c r="Y22" s="11"/>
      <c r="Z22" t="s">
        <v>905</v>
      </c>
      <c r="AA22" t="s">
        <v>904</v>
      </c>
      <c r="AB22" s="2" t="s">
        <v>922</v>
      </c>
      <c r="AC22" s="10" t="s">
        <v>986</v>
      </c>
      <c r="AD22" s="10" t="s">
        <v>987</v>
      </c>
      <c r="AE22" s="11" t="str">
        <f>SUBSTITUTE(SUBSTITUTE(PROPERTIES[[#This Row],[PURCHASECOST_VALUE]], "PURCHASECOST_", ""), "_VALUE", "")</f>
        <v>DIESELRAILBUS</v>
      </c>
      <c r="AF22" s="10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46</v>
      </c>
      <c r="B23">
        <v>1987</v>
      </c>
      <c r="C23">
        <v>0</v>
      </c>
      <c r="D23" t="s">
        <v>1799</v>
      </c>
      <c r="E23" t="str">
        <f>_xlfn.XLOOKUP(PROPERTIES[[#This Row],[COUNTRY]],COUNTRIES[COUNTRY_DESCRIPTION],COUNTRIES[COUNTRY_LABEL],"")</f>
        <v>AT</v>
      </c>
      <c r="F23" t="s">
        <v>35</v>
      </c>
      <c r="G23" t="s">
        <v>18</v>
      </c>
      <c r="H23">
        <v>62</v>
      </c>
      <c r="I23">
        <v>8</v>
      </c>
      <c r="J23">
        <v>8</v>
      </c>
      <c r="K23" s="2" t="s">
        <v>24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4">
        <v>44</v>
      </c>
      <c r="P23">
        <v>562</v>
      </c>
      <c r="Q23">
        <v>120</v>
      </c>
      <c r="R23" s="31">
        <v>0</v>
      </c>
      <c r="S23" s="30">
        <f>IFERROR(PROPERTIES[[#This Row],[TE_STARTING_KN]]/(PROPERTIES[[#This Row],[WEIGHT]]*9.81),0)</f>
        <v>0</v>
      </c>
      <c r="T23" s="30">
        <v>0.11</v>
      </c>
      <c r="U23" s="27">
        <f>ROUND(IF(IFERROR(PROPERTIES[[#This Row],[TE_COEFFICIENT_CALC]],0)=0,PROPERTIES[[#This Row],[TE_COEFFICIENT_MANUAL]],PROPERTIES[[#This Row],[TE_COEFFICIENT_CALC]]),3)</f>
        <v>0.11</v>
      </c>
      <c r="V23" s="6">
        <v>15</v>
      </c>
      <c r="W23" s="10">
        <v>0</v>
      </c>
      <c r="X23" s="10">
        <v>0</v>
      </c>
      <c r="Y23" s="11"/>
      <c r="Z23" t="s">
        <v>905</v>
      </c>
      <c r="AA23" t="s">
        <v>904</v>
      </c>
      <c r="AB23" s="2" t="s">
        <v>922</v>
      </c>
      <c r="AC23" s="10" t="s">
        <v>986</v>
      </c>
      <c r="AD23" s="10" t="s">
        <v>987</v>
      </c>
      <c r="AE23" s="11" t="str">
        <f>SUBSTITUTE(SUBSTITUTE(PROPERTIES[[#This Row],[PURCHASECOST_VALUE]], "PURCHASECOST_", ""), "_VALUE", "")</f>
        <v>DIESELRAILBUS</v>
      </c>
      <c r="AF23" s="10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47</v>
      </c>
      <c r="B24">
        <v>1991</v>
      </c>
      <c r="C24">
        <v>0</v>
      </c>
      <c r="D24" t="s">
        <v>1863</v>
      </c>
      <c r="E24" t="str">
        <f>_xlfn.XLOOKUP(PROPERTIES[[#This Row],[COUNTRY]],COUNTRIES[COUNTRY_DESCRIPTION],COUNTRIES[COUNTRY_LABEL],"")</f>
        <v>GB</v>
      </c>
      <c r="F24" t="s">
        <v>35</v>
      </c>
      <c r="G24" t="s">
        <v>18</v>
      </c>
      <c r="H24">
        <v>75</v>
      </c>
      <c r="I24">
        <v>8</v>
      </c>
      <c r="J24">
        <v>8</v>
      </c>
      <c r="K24" s="2" t="s">
        <v>24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4">
        <v>42</v>
      </c>
      <c r="P24">
        <v>285</v>
      </c>
      <c r="Q24">
        <v>120</v>
      </c>
      <c r="R24" s="31">
        <v>0</v>
      </c>
      <c r="S24" s="30">
        <f>IFERROR(PROPERTIES[[#This Row],[TE_STARTING_KN]]/(PROPERTIES[[#This Row],[WEIGHT]]*9.81),0)</f>
        <v>0</v>
      </c>
      <c r="T24" s="30">
        <v>0.1</v>
      </c>
      <c r="U24" s="27">
        <f>ROUND(IF(IFERROR(PROPERTIES[[#This Row],[TE_COEFFICIENT_CALC]],0)=0,PROPERTIES[[#This Row],[TE_COEFFICIENT_MANUAL]],PROPERTIES[[#This Row],[TE_COEFFICIENT_CALC]]),3)</f>
        <v>0.1</v>
      </c>
      <c r="V24" s="6">
        <v>15</v>
      </c>
      <c r="W24" s="10">
        <v>0</v>
      </c>
      <c r="X24" s="10">
        <v>0</v>
      </c>
      <c r="Y24" s="11"/>
      <c r="Z24" t="s">
        <v>909</v>
      </c>
      <c r="AA24" t="s">
        <v>904</v>
      </c>
      <c r="AB24" s="2" t="s">
        <v>922</v>
      </c>
      <c r="AC24" s="10" t="s">
        <v>986</v>
      </c>
      <c r="AD24" s="10" t="s">
        <v>987</v>
      </c>
      <c r="AE24" s="11" t="str">
        <f>SUBSTITUTE(SUBSTITUTE(PROPERTIES[[#This Row],[PURCHASECOST_VALUE]], "PURCHASECOST_", ""), "_VALUE", "")</f>
        <v>DIESELRAILBUS</v>
      </c>
      <c r="AF24" s="10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48</v>
      </c>
      <c r="B25">
        <v>1996</v>
      </c>
      <c r="C25">
        <v>0</v>
      </c>
      <c r="D25" t="s">
        <v>1843</v>
      </c>
      <c r="E25" t="str">
        <f>_xlfn.XLOOKUP(PROPERTIES[[#This Row],[COUNTRY]],COUNTRIES[COUNTRY_DESCRIPTION],COUNTRIES[COUNTRY_LABEL],"")</f>
        <v>CZ</v>
      </c>
      <c r="F25" t="s">
        <v>35</v>
      </c>
      <c r="G25" t="s">
        <v>18</v>
      </c>
      <c r="H25">
        <v>95</v>
      </c>
      <c r="I25">
        <v>7</v>
      </c>
      <c r="J25">
        <v>7</v>
      </c>
      <c r="K25" s="2" t="s">
        <v>24</v>
      </c>
      <c r="L25">
        <f>_xlfn.XLOOKUP("LOADINGSPEEDDEF_"&amp;PROPERTIES[[#This Row],[LOADINGSPEED]],LOADINGSPEEDDEF[TYPE],LOADINGSPEEDDEF[SPEED])</f>
        <v>40</v>
      </c>
      <c r="M25" t="s">
        <v>21</v>
      </c>
      <c r="N25">
        <v>1</v>
      </c>
      <c r="O25" s="34">
        <v>20</v>
      </c>
      <c r="P25">
        <v>210</v>
      </c>
      <c r="Q25">
        <v>80</v>
      </c>
      <c r="R25" s="31">
        <v>0</v>
      </c>
      <c r="S25" s="30">
        <f>IFERROR(PROPERTIES[[#This Row],[TE_STARTING_KN]]/(PROPERTIES[[#This Row],[WEIGHT]]*9.81),0)</f>
        <v>0</v>
      </c>
      <c r="T25" s="30">
        <v>0.15</v>
      </c>
      <c r="U25" s="27">
        <f>ROUND(IF(IFERROR(PROPERTIES[[#This Row],[TE_COEFFICIENT_CALC]],0)=0,PROPERTIES[[#This Row],[TE_COEFFICIENT_MANUAL]],PROPERTIES[[#This Row],[TE_COEFFICIENT_CALC]]),3)</f>
        <v>0.15</v>
      </c>
      <c r="V25" s="6">
        <v>15</v>
      </c>
      <c r="W25" s="10">
        <v>0</v>
      </c>
      <c r="X25" s="10">
        <v>0</v>
      </c>
      <c r="Y25" s="11"/>
      <c r="Z25" t="s">
        <v>911</v>
      </c>
      <c r="AA25" t="s">
        <v>904</v>
      </c>
      <c r="AB25" s="2" t="s">
        <v>922</v>
      </c>
      <c r="AC25" s="10" t="s">
        <v>986</v>
      </c>
      <c r="AD25" s="10" t="s">
        <v>987</v>
      </c>
      <c r="AE25" s="11" t="str">
        <f>SUBSTITUTE(SUBSTITUTE(PROPERTIES[[#This Row],[PURCHASECOST_VALUE]], "PURCHASECOST_", ""), "_VALUE", "")</f>
        <v>DIESELRAILBUS</v>
      </c>
      <c r="AF25" s="10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49</v>
      </c>
      <c r="B26">
        <v>1996</v>
      </c>
      <c r="C26">
        <v>0</v>
      </c>
      <c r="D26" t="s">
        <v>1844</v>
      </c>
      <c r="E26" t="str">
        <f>_xlfn.XLOOKUP(PROPERTIES[[#This Row],[COUNTRY]],COUNTRIES[COUNTRY_DESCRIPTION],COUNTRIES[COUNTRY_LABEL],"")</f>
        <v>DE</v>
      </c>
      <c r="F26" t="s">
        <v>35</v>
      </c>
      <c r="G26" t="s">
        <v>18</v>
      </c>
      <c r="H26">
        <v>110</v>
      </c>
      <c r="I26">
        <v>7</v>
      </c>
      <c r="J26">
        <v>7</v>
      </c>
      <c r="K26" s="2" t="s">
        <v>24</v>
      </c>
      <c r="L26">
        <f>_xlfn.XLOOKUP("LOADINGSPEEDDEF_"&amp;PROPERTIES[[#This Row],[LOADINGSPEED]],LOADINGSPEEDDEF[TYPE],LOADINGSPEEDDEF[SPEED])</f>
        <v>40</v>
      </c>
      <c r="M26" t="s">
        <v>21</v>
      </c>
      <c r="N26">
        <v>1</v>
      </c>
      <c r="O26" s="34">
        <v>34</v>
      </c>
      <c r="P26">
        <v>335</v>
      </c>
      <c r="Q26">
        <v>100</v>
      </c>
      <c r="R26" s="31">
        <v>0</v>
      </c>
      <c r="S26" s="30">
        <f>IFERROR(PROPERTIES[[#This Row],[TE_STARTING_KN]]/(PROPERTIES[[#This Row],[WEIGHT]]*9.81),0)</f>
        <v>0</v>
      </c>
      <c r="T26" s="30">
        <v>0.21</v>
      </c>
      <c r="U26" s="27">
        <f>ROUND(IF(IFERROR(PROPERTIES[[#This Row],[TE_COEFFICIENT_CALC]],0)=0,PROPERTIES[[#This Row],[TE_COEFFICIENT_MANUAL]],PROPERTIES[[#This Row],[TE_COEFFICIENT_CALC]]),3)</f>
        <v>0.21</v>
      </c>
      <c r="V26" s="6">
        <v>15</v>
      </c>
      <c r="W26" s="10">
        <v>0</v>
      </c>
      <c r="X26" s="10">
        <v>0</v>
      </c>
      <c r="Y26" s="11"/>
      <c r="Z26" t="s">
        <v>905</v>
      </c>
      <c r="AA26" t="s">
        <v>904</v>
      </c>
      <c r="AB26" s="2" t="s">
        <v>922</v>
      </c>
      <c r="AC26" s="10" t="s">
        <v>986</v>
      </c>
      <c r="AD26" s="10" t="s">
        <v>987</v>
      </c>
      <c r="AE26" s="11" t="str">
        <f>SUBSTITUTE(SUBSTITUTE(PROPERTIES[[#This Row],[PURCHASECOST_VALUE]], "PURCHASECOST_", ""), "_VALUE", "")</f>
        <v>DIESELRAILBUS</v>
      </c>
      <c r="AF26" s="10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50</v>
      </c>
      <c r="B27">
        <v>1997</v>
      </c>
      <c r="C27">
        <v>0</v>
      </c>
      <c r="D27" t="s">
        <v>1919</v>
      </c>
      <c r="E27" t="str">
        <f>_xlfn.XLOOKUP(PROPERTIES[[#This Row],[COUNTRY]],COUNTRIES[COUNTRY_DESCRIPTION],COUNTRIES[COUNTRY_LABEL],"")</f>
        <v>LT</v>
      </c>
      <c r="F27" t="s">
        <v>35</v>
      </c>
      <c r="G27" t="s">
        <v>18</v>
      </c>
      <c r="H27">
        <v>76</v>
      </c>
      <c r="I27">
        <v>8</v>
      </c>
      <c r="J27">
        <v>8</v>
      </c>
      <c r="K27" s="2" t="s">
        <v>24</v>
      </c>
      <c r="L27">
        <f>_xlfn.XLOOKUP("LOADINGSPEEDDEF_"&amp;PROPERTIES[[#This Row],[LOADINGSPEED]],LOADINGSPEEDDEF[TYPE],LOADINGSPEEDDEF[SPEED])</f>
        <v>40</v>
      </c>
      <c r="M27" t="s">
        <v>21</v>
      </c>
      <c r="N27">
        <v>1</v>
      </c>
      <c r="O27" s="34">
        <v>32</v>
      </c>
      <c r="P27">
        <v>400</v>
      </c>
      <c r="Q27">
        <v>120</v>
      </c>
      <c r="R27" s="31">
        <v>0</v>
      </c>
      <c r="S27" s="30">
        <f>IFERROR(PROPERTIES[[#This Row],[TE_STARTING_KN]]/(PROPERTIES[[#This Row],[WEIGHT]]*9.81),0)</f>
        <v>0</v>
      </c>
      <c r="T27" s="30">
        <v>0.12</v>
      </c>
      <c r="U27" s="27">
        <f>ROUND(IF(IFERROR(PROPERTIES[[#This Row],[TE_COEFFICIENT_CALC]],0)=0,PROPERTIES[[#This Row],[TE_COEFFICIENT_MANUAL]],PROPERTIES[[#This Row],[TE_COEFFICIENT_CALC]]),3)</f>
        <v>0.12</v>
      </c>
      <c r="V27" s="6">
        <v>15</v>
      </c>
      <c r="W27" s="10">
        <v>0</v>
      </c>
      <c r="X27" s="10">
        <v>0</v>
      </c>
      <c r="Y27" s="11"/>
      <c r="Z27" t="s">
        <v>909</v>
      </c>
      <c r="AA27" t="s">
        <v>904</v>
      </c>
      <c r="AB27" s="2" t="s">
        <v>922</v>
      </c>
      <c r="AC27" s="10" t="s">
        <v>986</v>
      </c>
      <c r="AD27" s="10" t="s">
        <v>987</v>
      </c>
      <c r="AE27" s="11" t="str">
        <f>SUBSTITUTE(SUBSTITUTE(PROPERTIES[[#This Row],[PURCHASECOST_VALUE]], "PURCHASECOST_", ""), "_VALUE", "")</f>
        <v>DIESELRAILBUS</v>
      </c>
      <c r="AF27" s="10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51</v>
      </c>
      <c r="B28">
        <v>1902</v>
      </c>
      <c r="C28">
        <v>0</v>
      </c>
      <c r="D28" t="s">
        <v>1799</v>
      </c>
      <c r="E28" t="str">
        <f>_xlfn.XLOOKUP(PROPERTIES[[#This Row],[COUNTRY]],COUNTRIES[COUNTRY_DESCRIPTION],COUNTRIES[COUNTRY_LABEL],"")</f>
        <v>AT</v>
      </c>
      <c r="F28" t="s">
        <v>35</v>
      </c>
      <c r="G28" t="s">
        <v>18</v>
      </c>
      <c r="H28">
        <v>16</v>
      </c>
      <c r="I28">
        <v>4</v>
      </c>
      <c r="J28">
        <v>4</v>
      </c>
      <c r="K28" s="2" t="s">
        <v>24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4">
        <v>13</v>
      </c>
      <c r="P28">
        <v>55</v>
      </c>
      <c r="Q28">
        <v>35</v>
      </c>
      <c r="R28" s="31">
        <v>0</v>
      </c>
      <c r="S28" s="30">
        <f>IFERROR(PROPERTIES[[#This Row],[TE_STARTING_KN]]/(PROPERTIES[[#This Row],[WEIGHT]]*9.81),0)</f>
        <v>0</v>
      </c>
      <c r="T28" s="30">
        <v>0.34</v>
      </c>
      <c r="U28" s="27">
        <f>ROUND(IF(IFERROR(PROPERTIES[[#This Row],[TE_COEFFICIENT_CALC]],0)=0,PROPERTIES[[#This Row],[TE_COEFFICIENT_MANUAL]],PROPERTIES[[#This Row],[TE_COEFFICIENT_CALC]]),3)</f>
        <v>0.34</v>
      </c>
      <c r="V28" s="6">
        <v>15</v>
      </c>
      <c r="W28" s="10">
        <v>0</v>
      </c>
      <c r="X28" s="10">
        <v>0</v>
      </c>
      <c r="Y28" s="11"/>
      <c r="Z28" t="s">
        <v>905</v>
      </c>
      <c r="AA28" t="s">
        <v>904</v>
      </c>
      <c r="AB28" s="2" t="s">
        <v>922</v>
      </c>
      <c r="AC28" s="10" t="s">
        <v>986</v>
      </c>
      <c r="AD28" s="10" t="s">
        <v>987</v>
      </c>
      <c r="AE28" s="11" t="str">
        <f>SUBSTITUTE(SUBSTITUTE(PROPERTIES[[#This Row],[PURCHASECOST_VALUE]], "PURCHASECOST_", ""), "_VALUE", "")</f>
        <v>DIESELRAILBUS</v>
      </c>
      <c r="AF28" s="10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52</v>
      </c>
      <c r="B29">
        <v>1909</v>
      </c>
      <c r="C29">
        <v>0</v>
      </c>
      <c r="D29" t="s">
        <v>2019</v>
      </c>
      <c r="E29" t="str">
        <f>_xlfn.XLOOKUP(PROPERTIES[[#This Row],[COUNTRY]],COUNTRIES[COUNTRY_DESCRIPTION],COUNTRIES[COUNTRY_LABEL],"")</f>
        <v>US</v>
      </c>
      <c r="F29" t="s">
        <v>35</v>
      </c>
      <c r="G29" t="s">
        <v>18</v>
      </c>
      <c r="H29">
        <v>84</v>
      </c>
      <c r="I29">
        <v>8</v>
      </c>
      <c r="J29">
        <v>8</v>
      </c>
      <c r="K29" s="2" t="s">
        <v>24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4">
        <v>30</v>
      </c>
      <c r="P29">
        <v>200</v>
      </c>
      <c r="Q29">
        <v>52</v>
      </c>
      <c r="R29" s="31">
        <v>0</v>
      </c>
      <c r="S29" s="30">
        <f>IFERROR(PROPERTIES[[#This Row],[TE_STARTING_KN]]/(PROPERTIES[[#This Row],[WEIGHT]]*9.81),0)</f>
        <v>0</v>
      </c>
      <c r="T29" s="30">
        <v>0.34</v>
      </c>
      <c r="U29" s="27">
        <f>ROUND(IF(IFERROR(PROPERTIES[[#This Row],[TE_COEFFICIENT_CALC]],0)=0,PROPERTIES[[#This Row],[TE_COEFFICIENT_MANUAL]],PROPERTIES[[#This Row],[TE_COEFFICIENT_CALC]]),3)</f>
        <v>0.34</v>
      </c>
      <c r="V29" s="6">
        <v>15</v>
      </c>
      <c r="W29" s="10">
        <v>0</v>
      </c>
      <c r="X29" s="10">
        <v>0</v>
      </c>
      <c r="Y29" s="11"/>
      <c r="Z29" t="s">
        <v>910</v>
      </c>
      <c r="AA29" t="s">
        <v>904</v>
      </c>
      <c r="AB29" s="2" t="s">
        <v>922</v>
      </c>
      <c r="AC29" s="10" t="s">
        <v>986</v>
      </c>
      <c r="AD29" s="10" t="s">
        <v>987</v>
      </c>
      <c r="AE29" s="11" t="str">
        <f>SUBSTITUTE(SUBSTITUTE(PROPERTIES[[#This Row],[PURCHASECOST_VALUE]], "PURCHASECOST_", ""), "_VALUE", "")</f>
        <v>DIESELRAILBUS</v>
      </c>
      <c r="AF29" s="10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53</v>
      </c>
      <c r="B30">
        <v>1914</v>
      </c>
      <c r="C30">
        <v>0</v>
      </c>
      <c r="D30" t="s">
        <v>1844</v>
      </c>
      <c r="E30" t="str">
        <f>_xlfn.XLOOKUP(PROPERTIES[[#This Row],[COUNTRY]],COUNTRIES[COUNTRY_DESCRIPTION],COUNTRIES[COUNTRY_LABEL],"")</f>
        <v>DE</v>
      </c>
      <c r="F30" t="s">
        <v>35</v>
      </c>
      <c r="G30" t="s">
        <v>18</v>
      </c>
      <c r="H30">
        <v>79</v>
      </c>
      <c r="I30">
        <v>8</v>
      </c>
      <c r="J30">
        <v>4</v>
      </c>
      <c r="K30" s="2" t="s">
        <v>24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4">
        <v>64</v>
      </c>
      <c r="P30">
        <v>200</v>
      </c>
      <c r="Q30">
        <v>70</v>
      </c>
      <c r="R30" s="31">
        <v>0</v>
      </c>
      <c r="S30" s="30">
        <f>IFERROR(PROPERTIES[[#This Row],[TE_STARTING_KN]]/(PROPERTIES[[#This Row],[WEIGHT]]*9.81),0)</f>
        <v>0</v>
      </c>
      <c r="T30" s="30">
        <v>0.34</v>
      </c>
      <c r="U30" s="27">
        <f>ROUND(IF(IFERROR(PROPERTIES[[#This Row],[TE_COEFFICIENT_CALC]],0)=0,PROPERTIES[[#This Row],[TE_COEFFICIENT_MANUAL]],PROPERTIES[[#This Row],[TE_COEFFICIENT_CALC]]),3)</f>
        <v>0.34</v>
      </c>
      <c r="V30" s="6">
        <v>15</v>
      </c>
      <c r="W30" s="10">
        <v>0</v>
      </c>
      <c r="X30" s="10">
        <v>2</v>
      </c>
      <c r="Y30" s="11"/>
      <c r="Z30" t="s">
        <v>905</v>
      </c>
      <c r="AA30" t="s">
        <v>904</v>
      </c>
      <c r="AB30" s="2" t="s">
        <v>922</v>
      </c>
      <c r="AC30" s="10" t="s">
        <v>986</v>
      </c>
      <c r="AD30" s="10" t="s">
        <v>987</v>
      </c>
      <c r="AE30" s="11" t="str">
        <f>SUBSTITUTE(SUBSTITUTE(PROPERTIES[[#This Row],[PURCHASECOST_VALUE]], "PURCHASECOST_", ""), "_VALUE", "")</f>
        <v>DIESELRAILBUS</v>
      </c>
      <c r="AF30" s="10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54</v>
      </c>
      <c r="B31">
        <v>1921</v>
      </c>
      <c r="C31">
        <v>0</v>
      </c>
      <c r="D31" t="s">
        <v>1863</v>
      </c>
      <c r="E31" t="str">
        <f>_xlfn.XLOOKUP(PROPERTIES[[#This Row],[COUNTRY]],COUNTRIES[COUNTRY_DESCRIPTION],COUNTRIES[COUNTRY_LABEL],"")</f>
        <v>GB</v>
      </c>
      <c r="F31" t="s">
        <v>35</v>
      </c>
      <c r="G31" t="s">
        <v>18</v>
      </c>
      <c r="H31">
        <v>42</v>
      </c>
      <c r="I31">
        <v>4</v>
      </c>
      <c r="J31">
        <v>4</v>
      </c>
      <c r="K31" s="2" t="s">
        <v>24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4">
        <v>10</v>
      </c>
      <c r="P31">
        <v>35</v>
      </c>
      <c r="Q31">
        <v>40</v>
      </c>
      <c r="R31" s="31">
        <v>0</v>
      </c>
      <c r="S31" s="30">
        <f>IFERROR(PROPERTIES[[#This Row],[TE_STARTING_KN]]/(PROPERTIES[[#This Row],[WEIGHT]]*9.81),0)</f>
        <v>0</v>
      </c>
      <c r="T31" s="30">
        <v>0.21</v>
      </c>
      <c r="U31" s="27">
        <f>ROUND(IF(IFERROR(PROPERTIES[[#This Row],[TE_COEFFICIENT_CALC]],0)=0,PROPERTIES[[#This Row],[TE_COEFFICIENT_MANUAL]],PROPERTIES[[#This Row],[TE_COEFFICIENT_CALC]]),3)</f>
        <v>0.21</v>
      </c>
      <c r="V31" s="6">
        <v>15</v>
      </c>
      <c r="W31" s="10">
        <v>0</v>
      </c>
      <c r="X31" s="10">
        <v>0</v>
      </c>
      <c r="Y31" s="11"/>
      <c r="Z31" t="s">
        <v>909</v>
      </c>
      <c r="AA31" t="s">
        <v>904</v>
      </c>
      <c r="AB31" s="2" t="s">
        <v>922</v>
      </c>
      <c r="AC31" s="10" t="s">
        <v>986</v>
      </c>
      <c r="AD31" s="10" t="s">
        <v>987</v>
      </c>
      <c r="AE31" s="11" t="str">
        <f>SUBSTITUTE(SUBSTITUTE(PROPERTIES[[#This Row],[PURCHASECOST_VALUE]], "PURCHASECOST_", ""), "_VALUE", "")</f>
        <v>DIESELRAILBUS</v>
      </c>
      <c r="AF31" s="10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55</v>
      </c>
      <c r="B32">
        <v>1922</v>
      </c>
      <c r="C32">
        <v>0</v>
      </c>
      <c r="D32" t="s">
        <v>1844</v>
      </c>
      <c r="E32" t="str">
        <f>_xlfn.XLOOKUP(PROPERTIES[[#This Row],[COUNTRY]],COUNTRIES[COUNTRY_DESCRIPTION],COUNTRIES[COUNTRY_LABEL],"")</f>
        <v>DE</v>
      </c>
      <c r="F32" t="s">
        <v>35</v>
      </c>
      <c r="G32" t="s">
        <v>18</v>
      </c>
      <c r="H32">
        <v>38</v>
      </c>
      <c r="I32">
        <v>5</v>
      </c>
      <c r="J32">
        <v>5</v>
      </c>
      <c r="K32" s="2" t="s">
        <v>24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4">
        <v>11</v>
      </c>
      <c r="P32">
        <v>75</v>
      </c>
      <c r="Q32">
        <v>40</v>
      </c>
      <c r="R32" s="31">
        <v>0</v>
      </c>
      <c r="S32" s="30">
        <f>IFERROR(PROPERTIES[[#This Row],[TE_STARTING_KN]]/(PROPERTIES[[#This Row],[WEIGHT]]*9.81),0)</f>
        <v>0</v>
      </c>
      <c r="T32" s="30">
        <v>0.34</v>
      </c>
      <c r="U32" s="27">
        <f>ROUND(IF(IFERROR(PROPERTIES[[#This Row],[TE_COEFFICIENT_CALC]],0)=0,PROPERTIES[[#This Row],[TE_COEFFICIENT_MANUAL]],PROPERTIES[[#This Row],[TE_COEFFICIENT_CALC]]),3)</f>
        <v>0.34</v>
      </c>
      <c r="V32" s="6">
        <v>15</v>
      </c>
      <c r="W32" s="10">
        <v>0</v>
      </c>
      <c r="X32" s="10">
        <v>0</v>
      </c>
      <c r="Y32" s="11"/>
      <c r="Z32" t="s">
        <v>905</v>
      </c>
      <c r="AA32" t="s">
        <v>904</v>
      </c>
      <c r="AB32" s="2" t="s">
        <v>922</v>
      </c>
      <c r="AC32" s="10" t="s">
        <v>986</v>
      </c>
      <c r="AD32" s="10" t="s">
        <v>987</v>
      </c>
      <c r="AE32" s="11" t="str">
        <f>SUBSTITUTE(SUBSTITUTE(PROPERTIES[[#This Row],[PURCHASECOST_VALUE]], "PURCHASECOST_", ""), "_VALUE", "")</f>
        <v>DIESELRAILBUS</v>
      </c>
      <c r="AF32" s="10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56</v>
      </c>
      <c r="B33">
        <v>1928</v>
      </c>
      <c r="C33">
        <v>0</v>
      </c>
      <c r="D33" t="s">
        <v>1800</v>
      </c>
      <c r="E33" t="str">
        <f>_xlfn.XLOOKUP(PROPERTIES[[#This Row],[COUNTRY]],COUNTRIES[COUNTRY_DESCRIPTION],COUNTRIES[COUNTRY_LABEL],"")</f>
        <v>AU</v>
      </c>
      <c r="F33" t="s">
        <v>35</v>
      </c>
      <c r="G33" t="s">
        <v>18</v>
      </c>
      <c r="H33">
        <v>40</v>
      </c>
      <c r="I33">
        <v>7</v>
      </c>
      <c r="J33">
        <v>7</v>
      </c>
      <c r="K33" s="2" t="s">
        <v>24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4">
        <v>43</v>
      </c>
      <c r="P33">
        <v>255</v>
      </c>
      <c r="Q33">
        <v>100</v>
      </c>
      <c r="R33" s="31">
        <v>0</v>
      </c>
      <c r="S33" s="30">
        <f>IFERROR(PROPERTIES[[#This Row],[TE_STARTING_KN]]/(PROPERTIES[[#This Row],[WEIGHT]]*9.81),0)</f>
        <v>0</v>
      </c>
      <c r="T33" s="30">
        <v>0.34</v>
      </c>
      <c r="U33" s="27">
        <f>ROUND(IF(IFERROR(PROPERTIES[[#This Row],[TE_COEFFICIENT_CALC]],0)=0,PROPERTIES[[#This Row],[TE_COEFFICIENT_MANUAL]],PROPERTIES[[#This Row],[TE_COEFFICIENT_CALC]]),3)</f>
        <v>0.34</v>
      </c>
      <c r="V33" s="6">
        <v>15</v>
      </c>
      <c r="W33" s="10">
        <v>0</v>
      </c>
      <c r="X33" s="10">
        <v>0</v>
      </c>
      <c r="Y33" s="11"/>
      <c r="Z33" t="s">
        <v>907</v>
      </c>
      <c r="AA33" t="s">
        <v>904</v>
      </c>
      <c r="AB33" s="2" t="s">
        <v>922</v>
      </c>
      <c r="AC33" s="10" t="s">
        <v>986</v>
      </c>
      <c r="AD33" s="10" t="s">
        <v>987</v>
      </c>
      <c r="AE33" s="11" t="str">
        <f>SUBSTITUTE(SUBSTITUTE(PROPERTIES[[#This Row],[PURCHASECOST_VALUE]], "PURCHASECOST_", ""), "_VALUE", "")</f>
        <v>DIESELRAILBUS</v>
      </c>
      <c r="AF33" s="10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57</v>
      </c>
      <c r="B34">
        <v>1930</v>
      </c>
      <c r="C34">
        <v>0</v>
      </c>
      <c r="D34" t="s">
        <v>1843</v>
      </c>
      <c r="E34" t="str">
        <f>_xlfn.XLOOKUP(PROPERTIES[[#This Row],[COUNTRY]],COUNTRIES[COUNTRY_DESCRIPTION],COUNTRIES[COUNTRY_LABEL],"")</f>
        <v>CZ</v>
      </c>
      <c r="F34" t="s">
        <v>35</v>
      </c>
      <c r="G34" t="s">
        <v>18</v>
      </c>
      <c r="H34">
        <v>38</v>
      </c>
      <c r="I34">
        <v>5</v>
      </c>
      <c r="J34">
        <v>5</v>
      </c>
      <c r="K34" s="2" t="s">
        <v>24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4">
        <v>13</v>
      </c>
      <c r="P34">
        <v>120</v>
      </c>
      <c r="Q34">
        <v>60</v>
      </c>
      <c r="R34" s="31">
        <v>0</v>
      </c>
      <c r="S34" s="30">
        <f>IFERROR(PROPERTIES[[#This Row],[TE_STARTING_KN]]/(PROPERTIES[[#This Row],[WEIGHT]]*9.81),0)</f>
        <v>0</v>
      </c>
      <c r="T34" s="30">
        <v>0.15</v>
      </c>
      <c r="U34" s="27">
        <f>ROUND(IF(IFERROR(PROPERTIES[[#This Row],[TE_COEFFICIENT_CALC]],0)=0,PROPERTIES[[#This Row],[TE_COEFFICIENT_MANUAL]],PROPERTIES[[#This Row],[TE_COEFFICIENT_CALC]]),3)</f>
        <v>0.15</v>
      </c>
      <c r="V34" s="6">
        <v>15</v>
      </c>
      <c r="W34" s="10">
        <v>0</v>
      </c>
      <c r="X34" s="10">
        <v>0</v>
      </c>
      <c r="Y34" s="11"/>
      <c r="Z34" t="s">
        <v>911</v>
      </c>
      <c r="AA34" t="s">
        <v>904</v>
      </c>
      <c r="AB34" s="2" t="s">
        <v>922</v>
      </c>
      <c r="AC34" s="10" t="s">
        <v>986</v>
      </c>
      <c r="AD34" s="10" t="s">
        <v>987</v>
      </c>
      <c r="AE34" s="11" t="str">
        <f>SUBSTITUTE(SUBSTITUTE(PROPERTIES[[#This Row],[PURCHASECOST_VALUE]], "PURCHASECOST_", ""), "_VALUE", "")</f>
        <v>DIESELRAILBUS</v>
      </c>
      <c r="AF34" s="10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58</v>
      </c>
      <c r="B35">
        <v>1930</v>
      </c>
      <c r="C35">
        <v>0</v>
      </c>
      <c r="D35" t="s">
        <v>1844</v>
      </c>
      <c r="E35" t="str">
        <f>_xlfn.XLOOKUP(PROPERTIES[[#This Row],[COUNTRY]],COUNTRIES[COUNTRY_DESCRIPTION],COUNTRIES[COUNTRY_LABEL],"")</f>
        <v>DE</v>
      </c>
      <c r="F35" t="s">
        <v>35</v>
      </c>
      <c r="G35" t="s">
        <v>18</v>
      </c>
      <c r="H35">
        <v>40</v>
      </c>
      <c r="I35">
        <v>8</v>
      </c>
      <c r="J35">
        <v>8</v>
      </c>
      <c r="K35" s="2" t="s">
        <v>24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4">
        <v>20</v>
      </c>
      <c r="P35">
        <v>600</v>
      </c>
      <c r="Q35">
        <v>230</v>
      </c>
      <c r="R35" s="31">
        <v>0</v>
      </c>
      <c r="S35" s="30">
        <f>IFERROR(PROPERTIES[[#This Row],[TE_STARTING_KN]]/(PROPERTIES[[#This Row],[WEIGHT]]*9.81),0)</f>
        <v>0</v>
      </c>
      <c r="T35" s="30">
        <v>0.39</v>
      </c>
      <c r="U35" s="27">
        <f>ROUND(IF(IFERROR(PROPERTIES[[#This Row],[TE_COEFFICIENT_CALC]],0)=0,PROPERTIES[[#This Row],[TE_COEFFICIENT_MANUAL]],PROPERTIES[[#This Row],[TE_COEFFICIENT_CALC]]),3)</f>
        <v>0.39</v>
      </c>
      <c r="V35" s="6">
        <v>15</v>
      </c>
      <c r="W35" s="10">
        <v>0</v>
      </c>
      <c r="X35" s="10">
        <v>0</v>
      </c>
      <c r="Y35" s="11"/>
      <c r="Z35" t="s">
        <v>905</v>
      </c>
      <c r="AA35" t="s">
        <v>904</v>
      </c>
      <c r="AB35" s="2" t="s">
        <v>922</v>
      </c>
      <c r="AC35" s="10" t="s">
        <v>986</v>
      </c>
      <c r="AD35" s="10" t="s">
        <v>987</v>
      </c>
      <c r="AE35" s="11" t="str">
        <f>SUBSTITUTE(SUBSTITUTE(PROPERTIES[[#This Row],[PURCHASECOST_VALUE]], "PURCHASECOST_", ""), "_VALUE", "")</f>
        <v>DIESELRAILBUS</v>
      </c>
      <c r="AF35" s="10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59</v>
      </c>
      <c r="B36">
        <v>1935</v>
      </c>
      <c r="C36">
        <v>0</v>
      </c>
      <c r="D36" t="s">
        <v>1846</v>
      </c>
      <c r="E36" t="str">
        <f>_xlfn.XLOOKUP(PROPERTIES[[#This Row],[COUNTRY]],COUNTRIES[COUNTRY_DESCRIPTION],COUNTRIES[COUNTRY_LABEL],"")</f>
        <v>DK</v>
      </c>
      <c r="F36" t="s">
        <v>35</v>
      </c>
      <c r="G36" t="s">
        <v>18</v>
      </c>
      <c r="H36">
        <v>52</v>
      </c>
      <c r="I36">
        <v>8</v>
      </c>
      <c r="J36">
        <v>8</v>
      </c>
      <c r="K36" s="2" t="s">
        <v>24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4">
        <v>65</v>
      </c>
      <c r="P36">
        <v>500</v>
      </c>
      <c r="Q36">
        <v>120</v>
      </c>
      <c r="R36" s="31">
        <v>0</v>
      </c>
      <c r="S36" s="30">
        <f>IFERROR(PROPERTIES[[#This Row],[TE_STARTING_KN]]/(PROPERTIES[[#This Row],[WEIGHT]]*9.81),0)</f>
        <v>0</v>
      </c>
      <c r="T36" s="30">
        <v>0.31</v>
      </c>
      <c r="U36" s="27">
        <f>ROUND(IF(IFERROR(PROPERTIES[[#This Row],[TE_COEFFICIENT_CALC]],0)=0,PROPERTIES[[#This Row],[TE_COEFFICIENT_MANUAL]],PROPERTIES[[#This Row],[TE_COEFFICIENT_CALC]]),3)</f>
        <v>0.31</v>
      </c>
      <c r="V36" s="6">
        <v>15</v>
      </c>
      <c r="W36" s="10">
        <v>0</v>
      </c>
      <c r="X36" s="10">
        <v>0</v>
      </c>
      <c r="Y36" s="11"/>
      <c r="Z36" t="s">
        <v>909</v>
      </c>
      <c r="AA36" t="s">
        <v>904</v>
      </c>
      <c r="AB36" s="2" t="s">
        <v>922</v>
      </c>
      <c r="AC36" s="10" t="s">
        <v>986</v>
      </c>
      <c r="AD36" s="10" t="s">
        <v>987</v>
      </c>
      <c r="AE36" s="11" t="str">
        <f>SUBSTITUTE(SUBSTITUTE(PROPERTIES[[#This Row],[PURCHASECOST_VALUE]], "PURCHASECOST_", ""), "_VALUE", "")</f>
        <v>DIESELRAILBUS</v>
      </c>
      <c r="AF36" s="10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60</v>
      </c>
      <c r="B37">
        <v>1935</v>
      </c>
      <c r="C37">
        <v>0</v>
      </c>
      <c r="D37" t="s">
        <v>1953</v>
      </c>
      <c r="E37" t="str">
        <f>_xlfn.XLOOKUP(PROPERTIES[[#This Row],[COUNTRY]],COUNTRIES[COUNTRY_DESCRIPTION],COUNTRIES[COUNTRY_LABEL],"")</f>
        <v>NO</v>
      </c>
      <c r="F37" t="s">
        <v>35</v>
      </c>
      <c r="G37" t="s">
        <v>18</v>
      </c>
      <c r="H37">
        <v>40</v>
      </c>
      <c r="I37">
        <v>6</v>
      </c>
      <c r="J37">
        <v>6</v>
      </c>
      <c r="K37" s="2" t="s">
        <v>24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4">
        <v>10</v>
      </c>
      <c r="P37">
        <v>120</v>
      </c>
      <c r="Q37">
        <v>100</v>
      </c>
      <c r="R37" s="31">
        <v>0</v>
      </c>
      <c r="S37" s="30">
        <f>IFERROR(PROPERTIES[[#This Row],[TE_STARTING_KN]]/(PROPERTIES[[#This Row],[WEIGHT]]*9.81),0)</f>
        <v>0</v>
      </c>
      <c r="T37" s="30">
        <v>0.41</v>
      </c>
      <c r="U37" s="27">
        <f>ROUND(IF(IFERROR(PROPERTIES[[#This Row],[TE_COEFFICIENT_CALC]],0)=0,PROPERTIES[[#This Row],[TE_COEFFICIENT_MANUAL]],PROPERTIES[[#This Row],[TE_COEFFICIENT_CALC]]),3)</f>
        <v>0.41</v>
      </c>
      <c r="V37" s="6">
        <v>15</v>
      </c>
      <c r="W37" s="10">
        <v>0</v>
      </c>
      <c r="X37" s="10">
        <v>0</v>
      </c>
      <c r="Y37" s="11"/>
      <c r="Z37" t="s">
        <v>909</v>
      </c>
      <c r="AA37" t="s">
        <v>904</v>
      </c>
      <c r="AB37" s="2" t="s">
        <v>922</v>
      </c>
      <c r="AC37" s="10" t="s">
        <v>986</v>
      </c>
      <c r="AD37" s="10" t="s">
        <v>987</v>
      </c>
      <c r="AE37" s="11" t="str">
        <f>SUBSTITUTE(SUBSTITUTE(PROPERTIES[[#This Row],[PURCHASECOST_VALUE]], "PURCHASECOST_", ""), "_VALUE", "")</f>
        <v>DIESELRAILBUS</v>
      </c>
      <c r="AF37" s="10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61</v>
      </c>
      <c r="B38">
        <v>1936</v>
      </c>
      <c r="C38">
        <v>0</v>
      </c>
      <c r="D38" t="s">
        <v>1843</v>
      </c>
      <c r="E38" t="str">
        <f>_xlfn.XLOOKUP(PROPERTIES[[#This Row],[COUNTRY]],COUNTRIES[COUNTRY_DESCRIPTION],COUNTRIES[COUNTRY_LABEL],"")</f>
        <v>CZ</v>
      </c>
      <c r="F38" t="s">
        <v>35</v>
      </c>
      <c r="G38" t="s">
        <v>18</v>
      </c>
      <c r="H38">
        <v>72</v>
      </c>
      <c r="I38">
        <v>7</v>
      </c>
      <c r="J38">
        <v>7</v>
      </c>
      <c r="K38" s="2" t="s">
        <v>24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4">
        <v>36</v>
      </c>
      <c r="P38">
        <v>330</v>
      </c>
      <c r="Q38">
        <v>130</v>
      </c>
      <c r="R38" s="31">
        <v>0</v>
      </c>
      <c r="S38" s="30">
        <f>IFERROR(PROPERTIES[[#This Row],[TE_STARTING_KN]]/(PROPERTIES[[#This Row],[WEIGHT]]*9.81),0)</f>
        <v>0</v>
      </c>
      <c r="T38" s="30">
        <v>0.33</v>
      </c>
      <c r="U38" s="27">
        <f>ROUND(IF(IFERROR(PROPERTIES[[#This Row],[TE_COEFFICIENT_CALC]],0)=0,PROPERTIES[[#This Row],[TE_COEFFICIENT_MANUAL]],PROPERTIES[[#This Row],[TE_COEFFICIENT_CALC]]),3)</f>
        <v>0.33</v>
      </c>
      <c r="V38" s="6">
        <v>15</v>
      </c>
      <c r="W38" s="10">
        <v>0</v>
      </c>
      <c r="X38" s="10">
        <v>0</v>
      </c>
      <c r="Y38" s="11"/>
      <c r="Z38" t="s">
        <v>911</v>
      </c>
      <c r="AA38" t="s">
        <v>904</v>
      </c>
      <c r="AB38" s="2" t="s">
        <v>922</v>
      </c>
      <c r="AC38" s="10" t="s">
        <v>986</v>
      </c>
      <c r="AD38" s="10" t="s">
        <v>987</v>
      </c>
      <c r="AE38" s="11" t="str">
        <f>SUBSTITUTE(SUBSTITUTE(PROPERTIES[[#This Row],[PURCHASECOST_VALUE]], "PURCHASECOST_", ""), "_VALUE", "")</f>
        <v>DIESELRAILBUS</v>
      </c>
      <c r="AF38" s="10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62</v>
      </c>
      <c r="B39">
        <v>1937</v>
      </c>
      <c r="C39">
        <v>0</v>
      </c>
      <c r="D39" t="s">
        <v>1952</v>
      </c>
      <c r="E39" t="str">
        <f>_xlfn.XLOOKUP(PROPERTIES[[#This Row],[COUNTRY]],COUNTRIES[COUNTRY_DESCRIPTION],COUNTRIES[COUNTRY_LABEL],"")</f>
        <v>NL</v>
      </c>
      <c r="F39" t="s">
        <v>35</v>
      </c>
      <c r="G39" t="s">
        <v>18</v>
      </c>
      <c r="H39">
        <f>15+56+8+8</f>
        <v>87</v>
      </c>
      <c r="I39">
        <v>8</v>
      </c>
      <c r="J39">
        <v>8</v>
      </c>
      <c r="K39" s="2" t="s">
        <v>24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4">
        <v>53</v>
      </c>
      <c r="P39">
        <v>294</v>
      </c>
      <c r="Q39">
        <v>105</v>
      </c>
      <c r="R39" s="31">
        <v>0</v>
      </c>
      <c r="S39" s="30">
        <f>IFERROR(PROPERTIES[[#This Row],[TE_STARTING_KN]]/(PROPERTIES[[#This Row],[WEIGHT]]*9.81),0)</f>
        <v>0</v>
      </c>
      <c r="T39" s="30">
        <v>0.34</v>
      </c>
      <c r="U39" s="27">
        <f>ROUND(IF(IFERROR(PROPERTIES[[#This Row],[TE_COEFFICIENT_CALC]],0)=0,PROPERTIES[[#This Row],[TE_COEFFICIENT_MANUAL]],PROPERTIES[[#This Row],[TE_COEFFICIENT_CALC]]),3)</f>
        <v>0.34</v>
      </c>
      <c r="V39" s="6">
        <v>15</v>
      </c>
      <c r="W39" s="10">
        <v>0</v>
      </c>
      <c r="X39" s="10">
        <v>0</v>
      </c>
      <c r="Y39" s="11"/>
      <c r="Z39" t="s">
        <v>905</v>
      </c>
      <c r="AA39" t="s">
        <v>904</v>
      </c>
      <c r="AB39" s="2" t="s">
        <v>922</v>
      </c>
      <c r="AC39" s="10" t="s">
        <v>986</v>
      </c>
      <c r="AD39" s="10" t="s">
        <v>987</v>
      </c>
      <c r="AE39" s="11" t="str">
        <f>SUBSTITUTE(SUBSTITUTE(PROPERTIES[[#This Row],[PURCHASECOST_VALUE]], "PURCHASECOST_", ""), "_VALUE", "")</f>
        <v>DIESELRAILBUS</v>
      </c>
      <c r="AF39" s="10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63</v>
      </c>
      <c r="B40">
        <v>1938</v>
      </c>
      <c r="C40">
        <v>0</v>
      </c>
      <c r="D40" t="s">
        <v>1800</v>
      </c>
      <c r="E40" t="str">
        <f>_xlfn.XLOOKUP(PROPERTIES[[#This Row],[COUNTRY]],COUNTRIES[COUNTRY_DESCRIPTION],COUNTRIES[COUNTRY_LABEL],"")</f>
        <v>AU</v>
      </c>
      <c r="F40" t="s">
        <v>35</v>
      </c>
      <c r="G40" t="s">
        <v>18</v>
      </c>
      <c r="H40">
        <v>56</v>
      </c>
      <c r="I40">
        <v>7</v>
      </c>
      <c r="J40">
        <v>7</v>
      </c>
      <c r="K40" s="2" t="s">
        <v>24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4">
        <v>48</v>
      </c>
      <c r="P40">
        <v>300</v>
      </c>
      <c r="Q40">
        <v>100</v>
      </c>
      <c r="R40" s="31">
        <v>0</v>
      </c>
      <c r="S40" s="30">
        <f>IFERROR(PROPERTIES[[#This Row],[TE_STARTING_KN]]/(PROPERTIES[[#This Row],[WEIGHT]]*9.81),0)</f>
        <v>0</v>
      </c>
      <c r="T40" s="30">
        <v>0.34</v>
      </c>
      <c r="U40" s="27">
        <f>ROUND(IF(IFERROR(PROPERTIES[[#This Row],[TE_COEFFICIENT_CALC]],0)=0,PROPERTIES[[#This Row],[TE_COEFFICIENT_MANUAL]],PROPERTIES[[#This Row],[TE_COEFFICIENT_CALC]]),3)</f>
        <v>0.34</v>
      </c>
      <c r="V40" s="6">
        <v>15</v>
      </c>
      <c r="W40" s="10">
        <v>0</v>
      </c>
      <c r="X40" s="10">
        <v>0</v>
      </c>
      <c r="Y40" s="11"/>
      <c r="Z40" t="s">
        <v>907</v>
      </c>
      <c r="AA40" t="s">
        <v>904</v>
      </c>
      <c r="AB40" s="2" t="s">
        <v>922</v>
      </c>
      <c r="AC40" s="10" t="s">
        <v>986</v>
      </c>
      <c r="AD40" s="10" t="s">
        <v>987</v>
      </c>
      <c r="AE40" s="11" t="str">
        <f>SUBSTITUTE(SUBSTITUTE(PROPERTIES[[#This Row],[PURCHASECOST_VALUE]], "PURCHASECOST_", ""), "_VALUE", "")</f>
        <v>DIESELRAILBUS</v>
      </c>
      <c r="AF40" s="10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64</v>
      </c>
      <c r="B41">
        <v>1941</v>
      </c>
      <c r="C41">
        <v>0</v>
      </c>
      <c r="D41" t="s">
        <v>1970</v>
      </c>
      <c r="E41" t="str">
        <f>_xlfn.XLOOKUP(PROPERTIES[[#This Row],[COUNTRY]],COUNTRIES[COUNTRY_DESCRIPTION],COUNTRIES[COUNTRY_LABEL],"")</f>
        <v>PT</v>
      </c>
      <c r="F41" t="s">
        <v>35</v>
      </c>
      <c r="G41" t="s">
        <v>18</v>
      </c>
      <c r="H41">
        <v>25</v>
      </c>
      <c r="I41">
        <v>5</v>
      </c>
      <c r="J41">
        <v>5</v>
      </c>
      <c r="K41" s="2" t="s">
        <v>24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4">
        <v>8</v>
      </c>
      <c r="P41">
        <v>90</v>
      </c>
      <c r="Q41">
        <v>89</v>
      </c>
      <c r="R41" s="31">
        <v>0</v>
      </c>
      <c r="S41" s="30">
        <f>IFERROR(PROPERTIES[[#This Row],[TE_STARTING_KN]]/(PROPERTIES[[#This Row],[WEIGHT]]*9.81),0)</f>
        <v>0</v>
      </c>
      <c r="T41" s="30">
        <v>0.2</v>
      </c>
      <c r="U41" s="27">
        <f>ROUND(IF(IFERROR(PROPERTIES[[#This Row],[TE_COEFFICIENT_CALC]],0)=0,PROPERTIES[[#This Row],[TE_COEFFICIENT_MANUAL]],PROPERTIES[[#This Row],[TE_COEFFICIENT_CALC]]),3)</f>
        <v>0.2</v>
      </c>
      <c r="V41" s="6">
        <v>15</v>
      </c>
      <c r="W41" s="10">
        <v>0</v>
      </c>
      <c r="X41" s="10">
        <v>0</v>
      </c>
      <c r="Y41" s="11"/>
      <c r="Z41" t="s">
        <v>906</v>
      </c>
      <c r="AA41" t="s">
        <v>904</v>
      </c>
      <c r="AB41" s="2" t="s">
        <v>922</v>
      </c>
      <c r="AC41" s="10" t="s">
        <v>986</v>
      </c>
      <c r="AD41" s="10" t="s">
        <v>987</v>
      </c>
      <c r="AE41" s="11" t="str">
        <f>SUBSTITUTE(SUBSTITUTE(PROPERTIES[[#This Row],[PURCHASECOST_VALUE]], "PURCHASECOST_", ""), "_VALUE", "")</f>
        <v>DIESELRAILBUS</v>
      </c>
      <c r="AF41" s="10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65</v>
      </c>
      <c r="B42">
        <v>1954</v>
      </c>
      <c r="C42">
        <v>0</v>
      </c>
      <c r="D42" t="s">
        <v>1807</v>
      </c>
      <c r="E42" t="str">
        <f>_xlfn.XLOOKUP(PROPERTIES[[#This Row],[COUNTRY]],COUNTRIES[COUNTRY_DESCRIPTION],COUNTRIES[COUNTRY_LABEL],"")</f>
        <v>BE</v>
      </c>
      <c r="F42" t="s">
        <v>35</v>
      </c>
      <c r="G42" t="s">
        <v>18</v>
      </c>
      <c r="H42">
        <v>99</v>
      </c>
      <c r="I42">
        <v>7</v>
      </c>
      <c r="J42">
        <v>7</v>
      </c>
      <c r="K42" s="2" t="s">
        <v>24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4">
        <v>54</v>
      </c>
      <c r="P42">
        <v>400</v>
      </c>
      <c r="Q42">
        <v>90</v>
      </c>
      <c r="R42" s="31">
        <v>0</v>
      </c>
      <c r="S42" s="30">
        <f>IFERROR(PROPERTIES[[#This Row],[TE_STARTING_KN]]/(PROPERTIES[[#This Row],[WEIGHT]]*9.81),0)</f>
        <v>0</v>
      </c>
      <c r="T42" s="30">
        <v>0.34</v>
      </c>
      <c r="U42" s="27">
        <f>ROUND(IF(IFERROR(PROPERTIES[[#This Row],[TE_COEFFICIENT_CALC]],0)=0,PROPERTIES[[#This Row],[TE_COEFFICIENT_MANUAL]],PROPERTIES[[#This Row],[TE_COEFFICIENT_CALC]]),3)</f>
        <v>0.34</v>
      </c>
      <c r="V42" s="6">
        <v>15</v>
      </c>
      <c r="W42" s="10">
        <v>0</v>
      </c>
      <c r="X42" s="10">
        <v>0</v>
      </c>
      <c r="Y42" s="11"/>
      <c r="Z42" t="s">
        <v>905</v>
      </c>
      <c r="AA42" t="s">
        <v>904</v>
      </c>
      <c r="AB42" s="2" t="s">
        <v>922</v>
      </c>
      <c r="AC42" s="10" t="s">
        <v>986</v>
      </c>
      <c r="AD42" s="10" t="s">
        <v>987</v>
      </c>
      <c r="AE42" s="11" t="str">
        <f>SUBSTITUTE(SUBSTITUTE(PROPERTIES[[#This Row],[PURCHASECOST_VALUE]], "PURCHASECOST_", ""), "_VALUE", "")</f>
        <v>DIESELRAILBUS</v>
      </c>
      <c r="AF42" s="10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66</v>
      </c>
      <c r="B43">
        <v>1960</v>
      </c>
      <c r="C43">
        <v>0</v>
      </c>
      <c r="D43" t="s">
        <v>1809</v>
      </c>
      <c r="E43" t="str">
        <f>_xlfn.XLOOKUP(PROPERTIES[[#This Row],[COUNTRY]],COUNTRIES[COUNTRY_DESCRIPTION],COUNTRIES[COUNTRY_LABEL],"")</f>
        <v>BG</v>
      </c>
      <c r="F43" t="s">
        <v>35</v>
      </c>
      <c r="G43" t="s">
        <v>18</v>
      </c>
      <c r="H43">
        <v>37</v>
      </c>
      <c r="I43">
        <v>8</v>
      </c>
      <c r="J43">
        <v>8</v>
      </c>
      <c r="K43" s="2" t="s">
        <v>24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4">
        <v>53</v>
      </c>
      <c r="P43">
        <f>2*265</f>
        <v>530</v>
      </c>
      <c r="Q43">
        <v>125</v>
      </c>
      <c r="R43" s="31">
        <v>0</v>
      </c>
      <c r="S43" s="30">
        <f>IFERROR(PROPERTIES[[#This Row],[TE_STARTING_KN]]/(PROPERTIES[[#This Row],[WEIGHT]]*9.81),0)</f>
        <v>0</v>
      </c>
      <c r="T43" s="30">
        <v>0.2</v>
      </c>
      <c r="U43" s="27">
        <f>ROUND(IF(IFERROR(PROPERTIES[[#This Row],[TE_COEFFICIENT_CALC]],0)=0,PROPERTIES[[#This Row],[TE_COEFFICIENT_MANUAL]],PROPERTIES[[#This Row],[TE_COEFFICIENT_CALC]]),3)</f>
        <v>0.2</v>
      </c>
      <c r="V43" s="6">
        <v>15</v>
      </c>
      <c r="W43" s="10">
        <v>0</v>
      </c>
      <c r="X43" s="10">
        <v>0</v>
      </c>
      <c r="Y43" s="11"/>
      <c r="Z43" t="s">
        <v>911</v>
      </c>
      <c r="AA43" t="s">
        <v>904</v>
      </c>
      <c r="AB43" s="2" t="s">
        <v>922</v>
      </c>
      <c r="AC43" s="10" t="s">
        <v>986</v>
      </c>
      <c r="AD43" s="10" t="s">
        <v>987</v>
      </c>
      <c r="AE43" s="11" t="str">
        <f>SUBSTITUTE(SUBSTITUTE(PROPERTIES[[#This Row],[PURCHASECOST_VALUE]], "PURCHASECOST_", ""), "_VALUE", "")</f>
        <v>DIESELRAILBUS</v>
      </c>
      <c r="AF43" s="10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67</v>
      </c>
      <c r="B44">
        <v>1962</v>
      </c>
      <c r="C44">
        <v>0</v>
      </c>
      <c r="D44" t="s">
        <v>1875</v>
      </c>
      <c r="E44" t="str">
        <f>_xlfn.XLOOKUP(PROPERTIES[[#This Row],[COUNTRY]],COUNTRIES[COUNTRY_DESCRIPTION],COUNTRIES[COUNTRY_LABEL],"")</f>
        <v>GR</v>
      </c>
      <c r="F44" t="s">
        <v>35</v>
      </c>
      <c r="G44" t="s">
        <v>18</v>
      </c>
      <c r="H44">
        <v>68</v>
      </c>
      <c r="I44">
        <v>8</v>
      </c>
      <c r="J44">
        <v>8</v>
      </c>
      <c r="K44" s="2" t="s">
        <v>24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4">
        <v>48</v>
      </c>
      <c r="P44">
        <v>790</v>
      </c>
      <c r="Q44">
        <v>105</v>
      </c>
      <c r="R44" s="31">
        <v>0</v>
      </c>
      <c r="S44" s="30">
        <f>IFERROR(PROPERTIES[[#This Row],[TE_STARTING_KN]]/(PROPERTIES[[#This Row],[WEIGHT]]*9.81),0)</f>
        <v>0</v>
      </c>
      <c r="T44" s="30">
        <v>0.19</v>
      </c>
      <c r="U44" s="27">
        <f>ROUND(IF(IFERROR(PROPERTIES[[#This Row],[TE_COEFFICIENT_CALC]],0)=0,PROPERTIES[[#This Row],[TE_COEFFICIENT_MANUAL]],PROPERTIES[[#This Row],[TE_COEFFICIENT_CALC]]),3)</f>
        <v>0.19</v>
      </c>
      <c r="V44" s="6">
        <v>15</v>
      </c>
      <c r="W44" s="10">
        <v>0</v>
      </c>
      <c r="X44" s="10">
        <v>0</v>
      </c>
      <c r="Y44" s="11"/>
      <c r="Z44" t="s">
        <v>906</v>
      </c>
      <c r="AA44" t="s">
        <v>904</v>
      </c>
      <c r="AB44" s="2" t="s">
        <v>922</v>
      </c>
      <c r="AC44" s="10" t="s">
        <v>986</v>
      </c>
      <c r="AD44" s="10" t="s">
        <v>987</v>
      </c>
      <c r="AE44" s="11" t="str">
        <f>SUBSTITUTE(SUBSTITUTE(PROPERTIES[[#This Row],[PURCHASECOST_VALUE]], "PURCHASECOST_", ""), "_VALUE", "")</f>
        <v>DIESELRAILBUS</v>
      </c>
      <c r="AF44" s="10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68</v>
      </c>
      <c r="B45">
        <v>1975</v>
      </c>
      <c r="C45">
        <v>0</v>
      </c>
      <c r="D45" t="s">
        <v>2009</v>
      </c>
      <c r="E45" t="str">
        <f>_xlfn.XLOOKUP(PROPERTIES[[#This Row],[COUNTRY]],COUNTRIES[COUNTRY_DESCRIPTION],COUNTRIES[COUNTRY_LABEL],"")</f>
        <v>TN</v>
      </c>
      <c r="F45" t="s">
        <v>35</v>
      </c>
      <c r="G45" t="s">
        <v>18</v>
      </c>
      <c r="H45">
        <v>54</v>
      </c>
      <c r="I45">
        <v>8</v>
      </c>
      <c r="J45">
        <v>8</v>
      </c>
      <c r="K45" s="2" t="s">
        <v>24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4">
        <v>60</v>
      </c>
      <c r="P45">
        <v>1045</v>
      </c>
      <c r="Q45">
        <v>130</v>
      </c>
      <c r="R45" s="31">
        <v>0</v>
      </c>
      <c r="S45" s="30">
        <f>IFERROR(PROPERTIES[[#This Row],[TE_STARTING_KN]]/(PROPERTIES[[#This Row],[WEIGHT]]*9.81),0)</f>
        <v>0</v>
      </c>
      <c r="T45" s="30">
        <v>0.38</v>
      </c>
      <c r="U45" s="27">
        <f>ROUND(IF(IFERROR(PROPERTIES[[#This Row],[TE_COEFFICIENT_CALC]],0)=0,PROPERTIES[[#This Row],[TE_COEFFICIENT_MANUAL]],PROPERTIES[[#This Row],[TE_COEFFICIENT_CALC]]),3)</f>
        <v>0.38</v>
      </c>
      <c r="V45" s="6">
        <v>15</v>
      </c>
      <c r="W45" s="10">
        <v>0</v>
      </c>
      <c r="X45" s="10">
        <v>0</v>
      </c>
      <c r="Y45" s="11"/>
      <c r="Z45" t="s">
        <v>908</v>
      </c>
      <c r="AA45" t="s">
        <v>904</v>
      </c>
      <c r="AB45" s="2" t="s">
        <v>922</v>
      </c>
      <c r="AC45" s="10" t="s">
        <v>986</v>
      </c>
      <c r="AD45" s="10" t="s">
        <v>987</v>
      </c>
      <c r="AE45" s="11" t="str">
        <f>SUBSTITUTE(SUBSTITUTE(PROPERTIES[[#This Row],[PURCHASECOST_VALUE]], "PURCHASECOST_", ""), "_VALUE", "")</f>
        <v>DIESELRAILBUS</v>
      </c>
      <c r="AF45" s="10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69</v>
      </c>
      <c r="B46">
        <v>1979</v>
      </c>
      <c r="C46">
        <v>0</v>
      </c>
      <c r="D46" t="s">
        <v>2019</v>
      </c>
      <c r="E46" t="str">
        <f>_xlfn.XLOOKUP(PROPERTIES[[#This Row],[COUNTRY]],COUNTRIES[COUNTRY_DESCRIPTION],COUNTRIES[COUNTRY_LABEL],"")</f>
        <v>US</v>
      </c>
      <c r="F46" t="s">
        <v>35</v>
      </c>
      <c r="G46" t="s">
        <v>18</v>
      </c>
      <c r="H46">
        <v>86</v>
      </c>
      <c r="I46">
        <v>8</v>
      </c>
      <c r="J46">
        <v>8</v>
      </c>
      <c r="K46" s="2" t="s">
        <v>24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4">
        <v>58</v>
      </c>
      <c r="P46">
        <v>360</v>
      </c>
      <c r="Q46">
        <v>130</v>
      </c>
      <c r="R46" s="31">
        <v>0</v>
      </c>
      <c r="S46" s="30">
        <f>IFERROR(PROPERTIES[[#This Row],[TE_STARTING_KN]]/(PROPERTIES[[#This Row],[WEIGHT]]*9.81),0)</f>
        <v>0</v>
      </c>
      <c r="T46" s="30">
        <v>0.26</v>
      </c>
      <c r="U46" s="27">
        <f>ROUND(IF(IFERROR(PROPERTIES[[#This Row],[TE_COEFFICIENT_CALC]],0)=0,PROPERTIES[[#This Row],[TE_COEFFICIENT_MANUAL]],PROPERTIES[[#This Row],[TE_COEFFICIENT_CALC]]),3)</f>
        <v>0.26</v>
      </c>
      <c r="V46" s="6">
        <v>15</v>
      </c>
      <c r="W46" s="10">
        <v>0</v>
      </c>
      <c r="X46" s="10">
        <v>0</v>
      </c>
      <c r="Y46" s="11"/>
      <c r="Z46" t="s">
        <v>910</v>
      </c>
      <c r="AA46" t="s">
        <v>904</v>
      </c>
      <c r="AB46" s="2" t="s">
        <v>922</v>
      </c>
      <c r="AC46" s="10" t="s">
        <v>986</v>
      </c>
      <c r="AD46" s="10" t="s">
        <v>987</v>
      </c>
      <c r="AE46" s="11" t="str">
        <f>SUBSTITUTE(SUBSTITUTE(PROPERTIES[[#This Row],[PURCHASECOST_VALUE]], "PURCHASECOST_", ""), "_VALUE", "")</f>
        <v>DIESELRAILBUS</v>
      </c>
      <c r="AF46" s="10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70</v>
      </c>
      <c r="B47">
        <v>2005</v>
      </c>
      <c r="C47">
        <v>0</v>
      </c>
      <c r="D47" t="s">
        <v>1857</v>
      </c>
      <c r="E47" t="str">
        <f>_xlfn.XLOOKUP(PROPERTIES[[#This Row],[COUNTRY]],COUNTRIES[COUNTRY_DESCRIPTION],COUNTRIES[COUNTRY_LABEL],"")</f>
        <v>FI</v>
      </c>
      <c r="F47" t="s">
        <v>35</v>
      </c>
      <c r="G47" t="s">
        <v>18</v>
      </c>
      <c r="H47">
        <v>63</v>
      </c>
      <c r="I47">
        <v>8</v>
      </c>
      <c r="J47">
        <v>8</v>
      </c>
      <c r="K47" s="2" t="s">
        <v>24</v>
      </c>
      <c r="L47">
        <f>_xlfn.XLOOKUP("LOADINGSPEEDDEF_"&amp;PROPERTIES[[#This Row],[LOADINGSPEED]],LOADINGSPEEDDEF[TYPE],LOADINGSPEEDDEF[SPEED])</f>
        <v>40</v>
      </c>
      <c r="M47" t="s">
        <v>21</v>
      </c>
      <c r="N47">
        <v>1</v>
      </c>
      <c r="O47" s="34">
        <v>48</v>
      </c>
      <c r="P47">
        <v>404</v>
      </c>
      <c r="Q47">
        <v>120</v>
      </c>
      <c r="R47" s="31">
        <v>0</v>
      </c>
      <c r="S47" s="30">
        <f>IFERROR(PROPERTIES[[#This Row],[TE_STARTING_KN]]/(PROPERTIES[[#This Row],[WEIGHT]]*9.81),0)</f>
        <v>0</v>
      </c>
      <c r="T47" s="30">
        <v>0.35</v>
      </c>
      <c r="U47" s="27">
        <f>ROUND(IF(IFERROR(PROPERTIES[[#This Row],[TE_COEFFICIENT_CALC]],0)=0,PROPERTIES[[#This Row],[TE_COEFFICIENT_MANUAL]],PROPERTIES[[#This Row],[TE_COEFFICIENT_CALC]]),3)</f>
        <v>0.35</v>
      </c>
      <c r="V47" s="6">
        <v>15</v>
      </c>
      <c r="W47" s="10">
        <v>0</v>
      </c>
      <c r="X47" s="10">
        <v>0</v>
      </c>
      <c r="Y47" s="11"/>
      <c r="Z47" t="s">
        <v>909</v>
      </c>
      <c r="AA47" t="s">
        <v>904</v>
      </c>
      <c r="AB47" s="2" t="s">
        <v>922</v>
      </c>
      <c r="AC47" s="10" t="s">
        <v>986</v>
      </c>
      <c r="AD47" s="10" t="s">
        <v>987</v>
      </c>
      <c r="AE47" s="11" t="str">
        <f>SUBSTITUTE(SUBSTITUTE(PROPERTIES[[#This Row],[PURCHASECOST_VALUE]], "PURCHASECOST_", ""), "_VALUE", "")</f>
        <v>DIESELRAILBUS</v>
      </c>
      <c r="AF47" s="10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71</v>
      </c>
      <c r="B48">
        <v>2011</v>
      </c>
      <c r="C48">
        <v>0</v>
      </c>
      <c r="D48" t="s">
        <v>1843</v>
      </c>
      <c r="E48" t="str">
        <f>_xlfn.XLOOKUP(PROPERTIES[[#This Row],[COUNTRY]],COUNTRIES[COUNTRY_DESCRIPTION],COUNTRIES[COUNTRY_LABEL],"")</f>
        <v>CZ</v>
      </c>
      <c r="F48" t="s">
        <v>35</v>
      </c>
      <c r="G48" t="s">
        <v>18</v>
      </c>
      <c r="H48">
        <v>140</v>
      </c>
      <c r="I48">
        <v>8</v>
      </c>
      <c r="J48">
        <v>8</v>
      </c>
      <c r="K48" s="2" t="s">
        <v>24</v>
      </c>
      <c r="L48">
        <f>_xlfn.XLOOKUP("LOADINGSPEEDDEF_"&amp;PROPERTIES[[#This Row],[LOADINGSPEED]],LOADINGSPEEDDEF[TYPE],LOADINGSPEEDDEF[SPEED])</f>
        <v>40</v>
      </c>
      <c r="M48" t="s">
        <v>21</v>
      </c>
      <c r="N48">
        <v>1</v>
      </c>
      <c r="O48" s="34">
        <v>40</v>
      </c>
      <c r="P48">
        <v>710</v>
      </c>
      <c r="Q48">
        <v>120</v>
      </c>
      <c r="R48" s="31">
        <v>100</v>
      </c>
      <c r="S48" s="30">
        <f>IFERROR(PROPERTIES[[#This Row],[TE_STARTING_KN]]/(PROPERTIES[[#This Row],[WEIGHT]]*9.81),0)</f>
        <v>0.254841997961264</v>
      </c>
      <c r="T48" s="30">
        <v>0.37</v>
      </c>
      <c r="U48" s="27">
        <f>ROUND(IF(IFERROR(PROPERTIES[[#This Row],[TE_COEFFICIENT_CALC]],0)=0,PROPERTIES[[#This Row],[TE_COEFFICIENT_MANUAL]],PROPERTIES[[#This Row],[TE_COEFFICIENT_CALC]]),3)</f>
        <v>0.255</v>
      </c>
      <c r="V48" s="6">
        <v>15</v>
      </c>
      <c r="W48" s="10">
        <v>0</v>
      </c>
      <c r="X48" s="10">
        <v>0</v>
      </c>
      <c r="Y48" s="11"/>
      <c r="Z48" t="s">
        <v>911</v>
      </c>
      <c r="AA48" t="s">
        <v>904</v>
      </c>
      <c r="AB48" s="2" t="s">
        <v>922</v>
      </c>
      <c r="AC48" s="10" t="s">
        <v>986</v>
      </c>
      <c r="AD48" s="10" t="s">
        <v>987</v>
      </c>
      <c r="AE48" s="11" t="str">
        <f>SUBSTITUTE(SUBSTITUTE(PROPERTIES[[#This Row],[PURCHASECOST_VALUE]], "PURCHASECOST_", ""), "_VALUE", "")</f>
        <v>DIESELRAILBUS</v>
      </c>
      <c r="AF48" s="10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72</v>
      </c>
      <c r="B49">
        <v>1956</v>
      </c>
      <c r="C49">
        <v>0</v>
      </c>
      <c r="D49" t="s">
        <v>1896</v>
      </c>
      <c r="E49" t="str">
        <f>_xlfn.XLOOKUP(PROPERTIES[[#This Row],[COUNTRY]],COUNTRIES[COUNTRY_DESCRIPTION],COUNTRIES[COUNTRY_LABEL],"")</f>
        <v>IT</v>
      </c>
      <c r="F49" t="s">
        <v>35</v>
      </c>
      <c r="G49" t="s">
        <v>18</v>
      </c>
      <c r="H49">
        <v>68</v>
      </c>
      <c r="I49">
        <v>8</v>
      </c>
      <c r="J49">
        <v>8</v>
      </c>
      <c r="K49" s="2" t="s">
        <v>24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4">
        <v>36</v>
      </c>
      <c r="P49">
        <v>335</v>
      </c>
      <c r="Q49">
        <v>130</v>
      </c>
      <c r="R49" s="31">
        <v>0</v>
      </c>
      <c r="S49" s="30">
        <f>IFERROR(PROPERTIES[[#This Row],[TE_STARTING_KN]]/(PROPERTIES[[#This Row],[WEIGHT]]*9.81),0)</f>
        <v>0</v>
      </c>
      <c r="T49" s="30">
        <v>0.23</v>
      </c>
      <c r="U49" s="27">
        <f>ROUND(IF(IFERROR(PROPERTIES[[#This Row],[TE_COEFFICIENT_CALC]],0)=0,PROPERTIES[[#This Row],[TE_COEFFICIENT_MANUAL]],PROPERTIES[[#This Row],[TE_COEFFICIENT_CALC]]),3)</f>
        <v>0.23</v>
      </c>
      <c r="V49" s="6">
        <v>25</v>
      </c>
      <c r="W49" s="10">
        <v>0</v>
      </c>
      <c r="X49" s="10">
        <v>0</v>
      </c>
      <c r="Y49" s="11"/>
      <c r="Z49" t="s">
        <v>906</v>
      </c>
      <c r="AA49" t="s">
        <v>904</v>
      </c>
      <c r="AB49" s="2" t="s">
        <v>922</v>
      </c>
      <c r="AC49" s="10" t="s">
        <v>986</v>
      </c>
      <c r="AD49" s="10" t="s">
        <v>987</v>
      </c>
      <c r="AE49" s="11" t="str">
        <f>SUBSTITUTE(SUBSTITUTE(PROPERTIES[[#This Row],[PURCHASECOST_VALUE]], "PURCHASECOST_", ""), "_VALUE", "")</f>
        <v>DIESELRAILBUS</v>
      </c>
      <c r="AF49" s="10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73</v>
      </c>
      <c r="B50">
        <v>1903</v>
      </c>
      <c r="C50">
        <v>0</v>
      </c>
      <c r="D50" t="s">
        <v>1843</v>
      </c>
      <c r="E50" t="str">
        <f>_xlfn.XLOOKUP(PROPERTIES[[#This Row],[COUNTRY]],COUNTRIES[COUNTRY_DESCRIPTION],COUNTRIES[COUNTRY_LABEL],"")</f>
        <v>CZ</v>
      </c>
      <c r="F50" t="s">
        <v>74</v>
      </c>
      <c r="G50" t="s">
        <v>18</v>
      </c>
      <c r="H50">
        <v>40</v>
      </c>
      <c r="I50">
        <v>7</v>
      </c>
      <c r="J50">
        <v>7</v>
      </c>
      <c r="K50" s="2" t="s">
        <v>24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4">
        <v>23</v>
      </c>
      <c r="P50">
        <v>150</v>
      </c>
      <c r="Q50">
        <v>35</v>
      </c>
      <c r="R50" s="31">
        <v>0</v>
      </c>
      <c r="S50" s="30">
        <f>IFERROR(PROPERTIES[[#This Row],[TE_STARTING_KN]]/(PROPERTIES[[#This Row],[WEIGHT]]*9.81),0)</f>
        <v>0</v>
      </c>
      <c r="T50" s="30">
        <v>0.33</v>
      </c>
      <c r="U50" s="27">
        <f>ROUND(IF(IFERROR(PROPERTIES[[#This Row],[TE_COEFFICIENT_CALC]],0)=0,PROPERTIES[[#This Row],[TE_COEFFICIENT_MANUAL]],PROPERTIES[[#This Row],[TE_COEFFICIENT_CALC]]),3)</f>
        <v>0.33</v>
      </c>
      <c r="V50" s="6">
        <v>15</v>
      </c>
      <c r="W50" s="10">
        <v>0</v>
      </c>
      <c r="X50" s="10">
        <v>0</v>
      </c>
      <c r="Y50" s="11"/>
      <c r="Z50" t="s">
        <v>911</v>
      </c>
      <c r="AA50" t="s">
        <v>904</v>
      </c>
      <c r="AB50" s="2" t="s">
        <v>922</v>
      </c>
      <c r="AC50" s="10" t="s">
        <v>988</v>
      </c>
      <c r="AD50" s="10" t="s">
        <v>989</v>
      </c>
      <c r="AE50" s="11" t="str">
        <f>SUBSTITUTE(SUBSTITUTE(PROPERTIES[[#This Row],[PURCHASECOST_VALUE]], "PURCHASECOST_", ""), "_VALUE", "")</f>
        <v>ELECTRICRAILBUS</v>
      </c>
      <c r="AF50" s="10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75</v>
      </c>
      <c r="B51">
        <v>1960</v>
      </c>
      <c r="C51">
        <v>0</v>
      </c>
      <c r="D51" t="s">
        <v>1862</v>
      </c>
      <c r="E51" t="str">
        <f>_xlfn.XLOOKUP(PROPERTIES[[#This Row],[COUNTRY]],COUNTRIES[COUNTRY_DESCRIPTION],COUNTRIES[COUNTRY_LABEL],"")</f>
        <v>FR</v>
      </c>
      <c r="F51" t="s">
        <v>74</v>
      </c>
      <c r="G51" t="s">
        <v>18</v>
      </c>
      <c r="H51">
        <v>70</v>
      </c>
      <c r="I51">
        <v>8</v>
      </c>
      <c r="J51">
        <v>8</v>
      </c>
      <c r="K51" s="2" t="s">
        <v>24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4">
        <v>55</v>
      </c>
      <c r="P51">
        <v>1260</v>
      </c>
      <c r="Q51">
        <v>130</v>
      </c>
      <c r="R51" s="31">
        <v>0</v>
      </c>
      <c r="S51" s="30">
        <f>IFERROR(PROPERTIES[[#This Row],[TE_STARTING_KN]]/(PROPERTIES[[#This Row],[WEIGHT]]*9.81),0)</f>
        <v>0</v>
      </c>
      <c r="T51" s="30">
        <v>0.21</v>
      </c>
      <c r="U51" s="27">
        <f>ROUND(IF(IFERROR(PROPERTIES[[#This Row],[TE_COEFFICIENT_CALC]],0)=0,PROPERTIES[[#This Row],[TE_COEFFICIENT_MANUAL]],PROPERTIES[[#This Row],[TE_COEFFICIENT_CALC]]),3)</f>
        <v>0.21</v>
      </c>
      <c r="V51" s="6">
        <v>15</v>
      </c>
      <c r="W51" s="10">
        <v>0</v>
      </c>
      <c r="X51" s="10">
        <v>0</v>
      </c>
      <c r="Y51" s="11"/>
      <c r="Z51" t="s">
        <v>905</v>
      </c>
      <c r="AA51" t="s">
        <v>904</v>
      </c>
      <c r="AB51" s="2" t="s">
        <v>922</v>
      </c>
      <c r="AC51" s="10" t="s">
        <v>988</v>
      </c>
      <c r="AD51" s="10" t="s">
        <v>989</v>
      </c>
      <c r="AE51" s="11" t="str">
        <f>SUBSTITUTE(SUBSTITUTE(PROPERTIES[[#This Row],[PURCHASECOST_VALUE]], "PURCHASECOST_", ""), "_VALUE", "")</f>
        <v>ELECTRICRAILBUS</v>
      </c>
      <c r="AF51" s="10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76</v>
      </c>
      <c r="B52">
        <v>1930</v>
      </c>
      <c r="C52">
        <v>0</v>
      </c>
      <c r="D52" t="s">
        <v>1844</v>
      </c>
      <c r="E52" t="str">
        <f>_xlfn.XLOOKUP(PROPERTIES[[#This Row],[COUNTRY]],COUNTRIES[COUNTRY_DESCRIPTION],COUNTRIES[COUNTRY_LABEL],"")</f>
        <v>DE</v>
      </c>
      <c r="F52" t="s">
        <v>74</v>
      </c>
      <c r="G52" t="s">
        <v>18</v>
      </c>
      <c r="H52">
        <v>50</v>
      </c>
      <c r="I52">
        <v>4</v>
      </c>
      <c r="J52">
        <v>4</v>
      </c>
      <c r="K52" s="2" t="s">
        <v>24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4">
        <v>23</v>
      </c>
      <c r="P52">
        <v>175</v>
      </c>
      <c r="Q52">
        <v>50</v>
      </c>
      <c r="R52" s="31">
        <v>0</v>
      </c>
      <c r="S52" s="30">
        <f>IFERROR(PROPERTIES[[#This Row],[TE_STARTING_KN]]/(PROPERTIES[[#This Row],[WEIGHT]]*9.81),0)</f>
        <v>0</v>
      </c>
      <c r="T52" s="30">
        <v>0.08</v>
      </c>
      <c r="U52" s="27">
        <f>ROUND(IF(IFERROR(PROPERTIES[[#This Row],[TE_COEFFICIENT_CALC]],0)=0,PROPERTIES[[#This Row],[TE_COEFFICIENT_MANUAL]],PROPERTIES[[#This Row],[TE_COEFFICIENT_CALC]]),3)</f>
        <v>0.08</v>
      </c>
      <c r="V52" s="6">
        <v>15</v>
      </c>
      <c r="W52" s="10">
        <v>0</v>
      </c>
      <c r="X52" s="10">
        <v>0</v>
      </c>
      <c r="Y52" s="11"/>
      <c r="Z52" t="s">
        <v>905</v>
      </c>
      <c r="AA52" t="s">
        <v>904</v>
      </c>
      <c r="AB52" s="2" t="s">
        <v>922</v>
      </c>
      <c r="AC52" s="10" t="s">
        <v>988</v>
      </c>
      <c r="AD52" s="10" t="s">
        <v>989</v>
      </c>
      <c r="AE52" s="11" t="str">
        <f>SUBSTITUTE(SUBSTITUTE(PROPERTIES[[#This Row],[PURCHASECOST_VALUE]], "PURCHASECOST_", ""), "_VALUE", "")</f>
        <v>ELECTRICRAILBUS</v>
      </c>
      <c r="AF52" s="10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77</v>
      </c>
      <c r="B53">
        <v>1982</v>
      </c>
      <c r="C53">
        <v>0</v>
      </c>
      <c r="D53" t="s">
        <v>2036</v>
      </c>
      <c r="E53" t="str">
        <f>_xlfn.XLOOKUP(PROPERTIES[[#This Row],[COUNTRY]],COUNTRIES[COUNTRY_DESCRIPTION],COUNTRIES[COUNTRY_LABEL],"")</f>
        <v>GDR</v>
      </c>
      <c r="F53" t="s">
        <v>74</v>
      </c>
      <c r="G53" t="s">
        <v>18</v>
      </c>
      <c r="H53">
        <f>(24+84)/2</f>
        <v>54</v>
      </c>
      <c r="I53">
        <v>5</v>
      </c>
      <c r="J53">
        <v>5</v>
      </c>
      <c r="K53" s="2" t="s">
        <v>24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4">
        <v>28</v>
      </c>
      <c r="P53">
        <v>285</v>
      </c>
      <c r="Q53">
        <v>50</v>
      </c>
      <c r="R53" s="31">
        <v>60</v>
      </c>
      <c r="S53" s="30">
        <f>IFERROR(PROPERTIES[[#This Row],[TE_STARTING_KN]]/(PROPERTIES[[#This Row],[WEIGHT]]*9.81),0)</f>
        <v>0.218435998252512</v>
      </c>
      <c r="T53" s="30">
        <v>0.13</v>
      </c>
      <c r="U53" s="27">
        <f>ROUND(IF(IFERROR(PROPERTIES[[#This Row],[TE_COEFFICIENT_CALC]],0)=0,PROPERTIES[[#This Row],[TE_COEFFICIENT_MANUAL]],PROPERTIES[[#This Row],[TE_COEFFICIENT_CALC]]),3)</f>
        <v>0.218</v>
      </c>
      <c r="V53" s="6">
        <v>15</v>
      </c>
      <c r="W53" s="10">
        <v>0</v>
      </c>
      <c r="X53" s="10">
        <v>0</v>
      </c>
      <c r="Y53" s="11"/>
      <c r="Z53" t="s">
        <v>905</v>
      </c>
      <c r="AA53" t="s">
        <v>904</v>
      </c>
      <c r="AB53" s="2" t="s">
        <v>922</v>
      </c>
      <c r="AC53" s="10" t="s">
        <v>988</v>
      </c>
      <c r="AD53" s="10" t="s">
        <v>989</v>
      </c>
      <c r="AE53" s="11" t="str">
        <f>SUBSTITUTE(SUBSTITUTE(PROPERTIES[[#This Row],[PURCHASECOST_VALUE]], "PURCHASECOST_", ""), "_VALUE", "")</f>
        <v>ELECTRICRAILBUS</v>
      </c>
      <c r="AF53" s="10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78</v>
      </c>
      <c r="B54">
        <v>1930</v>
      </c>
      <c r="C54">
        <v>0</v>
      </c>
      <c r="D54" t="s">
        <v>1988</v>
      </c>
      <c r="E54" t="str">
        <f>_xlfn.XLOOKUP(PROPERTIES[[#This Row],[COUNTRY]],COUNTRIES[COUNTRY_DESCRIPTION],COUNTRIES[COUNTRY_LABEL],"")</f>
        <v>SK</v>
      </c>
      <c r="F54" t="s">
        <v>74</v>
      </c>
      <c r="G54" t="s">
        <v>18</v>
      </c>
      <c r="H54">
        <v>48</v>
      </c>
      <c r="I54">
        <v>7</v>
      </c>
      <c r="J54">
        <v>7</v>
      </c>
      <c r="K54" s="2" t="s">
        <v>24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4">
        <v>45</v>
      </c>
      <c r="P54">
        <v>240</v>
      </c>
      <c r="Q54">
        <v>40</v>
      </c>
      <c r="R54" s="31">
        <v>0</v>
      </c>
      <c r="S54" s="30">
        <f>IFERROR(PROPERTIES[[#This Row],[TE_STARTING_KN]]/(PROPERTIES[[#This Row],[WEIGHT]]*9.81),0)</f>
        <v>0</v>
      </c>
      <c r="T54" s="30">
        <v>0.2</v>
      </c>
      <c r="U54" s="27">
        <f>ROUND(IF(IFERROR(PROPERTIES[[#This Row],[TE_COEFFICIENT_CALC]],0)=0,PROPERTIES[[#This Row],[TE_COEFFICIENT_MANUAL]],PROPERTIES[[#This Row],[TE_COEFFICIENT_CALC]]),3)</f>
        <v>0.2</v>
      </c>
      <c r="V54" s="6">
        <v>15</v>
      </c>
      <c r="W54" s="10">
        <v>0</v>
      </c>
      <c r="X54" s="10">
        <v>0</v>
      </c>
      <c r="Y54" s="11"/>
      <c r="Z54" t="s">
        <v>911</v>
      </c>
      <c r="AA54" t="s">
        <v>904</v>
      </c>
      <c r="AB54" s="2" t="s">
        <v>922</v>
      </c>
      <c r="AC54" s="10" t="s">
        <v>988</v>
      </c>
      <c r="AD54" s="10" t="s">
        <v>989</v>
      </c>
      <c r="AE54" s="11" t="str">
        <f>SUBSTITUTE(SUBSTITUTE(PROPERTIES[[#This Row],[PURCHASECOST_VALUE]], "PURCHASECOST_", ""), "_VALUE", "")</f>
        <v>ELECTRICRAILBUS</v>
      </c>
      <c r="AF54" s="10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79</v>
      </c>
      <c r="B55">
        <v>1949</v>
      </c>
      <c r="C55">
        <v>0</v>
      </c>
      <c r="D55" t="s">
        <v>1896</v>
      </c>
      <c r="E55" t="str">
        <f>_xlfn.XLOOKUP(PROPERTIES[[#This Row],[COUNTRY]],COUNTRIES[COUNTRY_DESCRIPTION],COUNTRIES[COUNTRY_LABEL],"")</f>
        <v>IT</v>
      </c>
      <c r="F55" t="s">
        <v>74</v>
      </c>
      <c r="G55" t="s">
        <v>18</v>
      </c>
      <c r="H55">
        <v>84</v>
      </c>
      <c r="I55">
        <v>8</v>
      </c>
      <c r="J55">
        <v>8</v>
      </c>
      <c r="K55" s="2" t="s">
        <v>24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4">
        <v>58</v>
      </c>
      <c r="P55">
        <v>800</v>
      </c>
      <c r="Q55">
        <v>150</v>
      </c>
      <c r="R55" s="31">
        <v>0</v>
      </c>
      <c r="S55" s="30">
        <f>IFERROR(PROPERTIES[[#This Row],[TE_STARTING_KN]]/(PROPERTIES[[#This Row],[WEIGHT]]*9.81),0)</f>
        <v>0</v>
      </c>
      <c r="T55" s="30">
        <v>0.21</v>
      </c>
      <c r="U55" s="27">
        <f>ROUND(IF(IFERROR(PROPERTIES[[#This Row],[TE_COEFFICIENT_CALC]],0)=0,PROPERTIES[[#This Row],[TE_COEFFICIENT_MANUAL]],PROPERTIES[[#This Row],[TE_COEFFICIENT_CALC]]),3)</f>
        <v>0.21</v>
      </c>
      <c r="V55" s="6">
        <v>15</v>
      </c>
      <c r="W55" s="10">
        <v>0</v>
      </c>
      <c r="X55" s="10">
        <v>0</v>
      </c>
      <c r="Y55" s="11"/>
      <c r="Z55" t="s">
        <v>906</v>
      </c>
      <c r="AA55" t="s">
        <v>904</v>
      </c>
      <c r="AB55" s="2" t="s">
        <v>922</v>
      </c>
      <c r="AC55" s="10" t="s">
        <v>988</v>
      </c>
      <c r="AD55" s="10" t="s">
        <v>989</v>
      </c>
      <c r="AE55" s="11" t="str">
        <f>SUBSTITUTE(SUBSTITUTE(PROPERTIES[[#This Row],[PURCHASECOST_VALUE]], "PURCHASECOST_", ""), "_VALUE", "")</f>
        <v>ELECTRICRAILBUS</v>
      </c>
      <c r="AF55" s="10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80</v>
      </c>
      <c r="B56">
        <v>1981</v>
      </c>
      <c r="C56">
        <v>0</v>
      </c>
      <c r="D56" t="s">
        <v>1896</v>
      </c>
      <c r="E56" t="str">
        <f>_xlfn.XLOOKUP(PROPERTIES[[#This Row],[COUNTRY]],COUNTRIES[COUNTRY_DESCRIPTION],COUNTRIES[COUNTRY_LABEL],"")</f>
        <v>IT</v>
      </c>
      <c r="F56" t="s">
        <v>74</v>
      </c>
      <c r="G56" t="s">
        <v>18</v>
      </c>
      <c r="H56">
        <v>80</v>
      </c>
      <c r="I56">
        <v>7</v>
      </c>
      <c r="J56">
        <v>7</v>
      </c>
      <c r="K56" s="2" t="s">
        <v>24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4">
        <v>49</v>
      </c>
      <c r="P56">
        <v>770</v>
      </c>
      <c r="Q56">
        <v>110</v>
      </c>
      <c r="R56" s="31">
        <v>0</v>
      </c>
      <c r="S56" s="30">
        <f>IFERROR(PROPERTIES[[#This Row],[TE_STARTING_KN]]/(PROPERTIES[[#This Row],[WEIGHT]]*9.81),0)</f>
        <v>0</v>
      </c>
      <c r="T56" s="30">
        <v>0.17</v>
      </c>
      <c r="U56" s="27">
        <f>ROUND(IF(IFERROR(PROPERTIES[[#This Row],[TE_COEFFICIENT_CALC]],0)=0,PROPERTIES[[#This Row],[TE_COEFFICIENT_MANUAL]],PROPERTIES[[#This Row],[TE_COEFFICIENT_CALC]]),3)</f>
        <v>0.17</v>
      </c>
      <c r="V56" s="6">
        <v>15</v>
      </c>
      <c r="W56" s="10">
        <v>0</v>
      </c>
      <c r="X56" s="10">
        <v>0</v>
      </c>
      <c r="Y56" s="11"/>
      <c r="Z56" t="s">
        <v>906</v>
      </c>
      <c r="AA56" t="s">
        <v>904</v>
      </c>
      <c r="AB56" s="2" t="s">
        <v>922</v>
      </c>
      <c r="AC56" s="10" t="s">
        <v>988</v>
      </c>
      <c r="AD56" s="10" t="s">
        <v>989</v>
      </c>
      <c r="AE56" s="11" t="str">
        <f>SUBSTITUTE(SUBSTITUTE(PROPERTIES[[#This Row],[PURCHASECOST_VALUE]], "PURCHASECOST_", ""), "_VALUE", "")</f>
        <v>ELECTRICRAILBUS</v>
      </c>
      <c r="AF56" s="10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81</v>
      </c>
      <c r="B57">
        <v>1950</v>
      </c>
      <c r="C57">
        <v>0</v>
      </c>
      <c r="D57" t="s">
        <v>1896</v>
      </c>
      <c r="E57" t="str">
        <f>_xlfn.XLOOKUP(PROPERTIES[[#This Row],[COUNTRY]],COUNTRIES[COUNTRY_DESCRIPTION],COUNTRIES[COUNTRY_LABEL],"")</f>
        <v>IT</v>
      </c>
      <c r="F57" t="s">
        <v>74</v>
      </c>
      <c r="G57" t="s">
        <v>18</v>
      </c>
      <c r="H57">
        <v>54</v>
      </c>
      <c r="I57">
        <v>8</v>
      </c>
      <c r="J57">
        <v>8</v>
      </c>
      <c r="K57" s="2" t="s">
        <v>24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4">
        <v>66</v>
      </c>
      <c r="P57">
        <v>965</v>
      </c>
      <c r="Q57">
        <v>110</v>
      </c>
      <c r="R57" s="31">
        <v>0</v>
      </c>
      <c r="S57" s="30">
        <f>IFERROR(PROPERTIES[[#This Row],[TE_STARTING_KN]]/(PROPERTIES[[#This Row],[WEIGHT]]*9.81),0)</f>
        <v>0</v>
      </c>
      <c r="T57" s="30">
        <v>0.08</v>
      </c>
      <c r="U57" s="27">
        <f>ROUND(IF(IFERROR(PROPERTIES[[#This Row],[TE_COEFFICIENT_CALC]],0)=0,PROPERTIES[[#This Row],[TE_COEFFICIENT_MANUAL]],PROPERTIES[[#This Row],[TE_COEFFICIENT_CALC]]),3)</f>
        <v>0.08</v>
      </c>
      <c r="V57" s="6">
        <v>15</v>
      </c>
      <c r="W57" s="10">
        <v>0</v>
      </c>
      <c r="X57" s="10">
        <v>0</v>
      </c>
      <c r="Y57" s="11"/>
      <c r="Z57" t="s">
        <v>906</v>
      </c>
      <c r="AA57" t="s">
        <v>904</v>
      </c>
      <c r="AB57" s="2" t="s">
        <v>922</v>
      </c>
      <c r="AC57" s="10" t="s">
        <v>988</v>
      </c>
      <c r="AD57" s="10" t="s">
        <v>989</v>
      </c>
      <c r="AE57" s="11" t="str">
        <f>SUBSTITUTE(SUBSTITUTE(PROPERTIES[[#This Row],[PURCHASECOST_VALUE]], "PURCHASECOST_", ""), "_VALUE", "")</f>
        <v>ELECTRICRAILBUS</v>
      </c>
      <c r="AF57" s="10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82</v>
      </c>
      <c r="B58">
        <v>1927</v>
      </c>
      <c r="C58">
        <v>0</v>
      </c>
      <c r="D58" t="s">
        <v>1923</v>
      </c>
      <c r="E58" t="str">
        <f>_xlfn.XLOOKUP(PROPERTIES[[#This Row],[COUNTRY]],COUNTRIES[COUNTRY_DESCRIPTION],COUNTRIES[COUNTRY_LABEL],"")</f>
        <v>MA</v>
      </c>
      <c r="F58" t="s">
        <v>74</v>
      </c>
      <c r="G58" t="s">
        <v>18</v>
      </c>
      <c r="H58">
        <v>44</v>
      </c>
      <c r="I58">
        <v>8</v>
      </c>
      <c r="J58">
        <v>8</v>
      </c>
      <c r="K58" s="2" t="s">
        <v>24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4">
        <v>40</v>
      </c>
      <c r="P58">
        <v>480</v>
      </c>
      <c r="Q58">
        <v>85</v>
      </c>
      <c r="R58" s="31">
        <v>0</v>
      </c>
      <c r="S58" s="30">
        <f>IFERROR(PROPERTIES[[#This Row],[TE_STARTING_KN]]/(PROPERTIES[[#This Row],[WEIGHT]]*9.81),0)</f>
        <v>0</v>
      </c>
      <c r="T58" s="30">
        <v>0.13</v>
      </c>
      <c r="U58" s="27">
        <f>ROUND(IF(IFERROR(PROPERTIES[[#This Row],[TE_COEFFICIENT_CALC]],0)=0,PROPERTIES[[#This Row],[TE_COEFFICIENT_MANUAL]],PROPERTIES[[#This Row],[TE_COEFFICIENT_CALC]]),3)</f>
        <v>0.13</v>
      </c>
      <c r="V58" s="6">
        <v>15</v>
      </c>
      <c r="W58" s="10">
        <v>0</v>
      </c>
      <c r="X58" s="10">
        <v>0</v>
      </c>
      <c r="Y58" s="11"/>
      <c r="Z58" t="s">
        <v>908</v>
      </c>
      <c r="AA58" t="s">
        <v>904</v>
      </c>
      <c r="AB58" s="2" t="s">
        <v>922</v>
      </c>
      <c r="AC58" s="10" t="s">
        <v>988</v>
      </c>
      <c r="AD58" s="10" t="s">
        <v>989</v>
      </c>
      <c r="AE58" s="11" t="str">
        <f>SUBSTITUTE(SUBSTITUTE(PROPERTIES[[#This Row],[PURCHASECOST_VALUE]], "PURCHASECOST_", ""), "_VALUE", "")</f>
        <v>ELECTRICRAILBUS</v>
      </c>
      <c r="AF58" s="10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83</v>
      </c>
      <c r="B59">
        <v>2005</v>
      </c>
      <c r="C59">
        <v>0</v>
      </c>
      <c r="D59" t="s">
        <v>1965</v>
      </c>
      <c r="E59" t="str">
        <f>_xlfn.XLOOKUP(PROPERTIES[[#This Row],[COUNTRY]],COUNTRIES[COUNTRY_DESCRIPTION],COUNTRIES[COUNTRY_LABEL],"")</f>
        <v>PL</v>
      </c>
      <c r="F59" t="s">
        <v>74</v>
      </c>
      <c r="G59" t="s">
        <v>18</v>
      </c>
      <c r="H59">
        <v>140</v>
      </c>
      <c r="I59">
        <v>8</v>
      </c>
      <c r="J59">
        <v>8</v>
      </c>
      <c r="K59" s="2" t="s">
        <v>24</v>
      </c>
      <c r="L59">
        <f>_xlfn.XLOOKUP("LOADINGSPEEDDEF_"&amp;PROPERTIES[[#This Row],[LOADINGSPEED]],LOADINGSPEEDDEF[TYPE],LOADINGSPEEDDEF[SPEED])</f>
        <v>40</v>
      </c>
      <c r="M59" t="s">
        <v>21</v>
      </c>
      <c r="N59">
        <v>1</v>
      </c>
      <c r="O59" s="34">
        <v>53</v>
      </c>
      <c r="P59">
        <v>750</v>
      </c>
      <c r="Q59">
        <v>120</v>
      </c>
      <c r="R59" s="31">
        <v>0</v>
      </c>
      <c r="S59" s="30">
        <f>IFERROR(PROPERTIES[[#This Row],[TE_STARTING_KN]]/(PROPERTIES[[#This Row],[WEIGHT]]*9.81),0)</f>
        <v>0</v>
      </c>
      <c r="T59" s="30">
        <v>0.08</v>
      </c>
      <c r="U59" s="27">
        <f>ROUND(IF(IFERROR(PROPERTIES[[#This Row],[TE_COEFFICIENT_CALC]],0)=0,PROPERTIES[[#This Row],[TE_COEFFICIENT_MANUAL]],PROPERTIES[[#This Row],[TE_COEFFICIENT_CALC]]),3)</f>
        <v>0.08</v>
      </c>
      <c r="V59" s="6">
        <v>15</v>
      </c>
      <c r="W59" s="10">
        <v>0</v>
      </c>
      <c r="X59" s="10">
        <v>0</v>
      </c>
      <c r="Y59" s="11"/>
      <c r="Z59" t="s">
        <v>911</v>
      </c>
      <c r="AA59" t="s">
        <v>904</v>
      </c>
      <c r="AB59" s="2" t="s">
        <v>922</v>
      </c>
      <c r="AC59" s="10" t="s">
        <v>988</v>
      </c>
      <c r="AD59" s="10" t="s">
        <v>989</v>
      </c>
      <c r="AE59" s="11" t="str">
        <f>SUBSTITUTE(SUBSTITUTE(PROPERTIES[[#This Row],[PURCHASECOST_VALUE]], "PURCHASECOST_", ""), "_VALUE", "")</f>
        <v>ELECTRICRAILBUS</v>
      </c>
      <c r="AF59" s="10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84</v>
      </c>
      <c r="B60">
        <v>1989</v>
      </c>
      <c r="C60">
        <v>0</v>
      </c>
      <c r="D60" t="s">
        <v>1799</v>
      </c>
      <c r="E60" t="str">
        <f>_xlfn.XLOOKUP(PROPERTIES[[#This Row],[COUNTRY]],COUNTRIES[COUNTRY_DESCRIPTION],COUNTRIES[COUNTRY_LABEL],"")</f>
        <v>AT</v>
      </c>
      <c r="F60" t="s">
        <v>74</v>
      </c>
      <c r="G60" t="s">
        <v>18</v>
      </c>
      <c r="H60">
        <f>64+62</f>
        <v>126</v>
      </c>
      <c r="I60">
        <v>8</v>
      </c>
      <c r="J60">
        <v>8</v>
      </c>
      <c r="K60" s="2" t="s">
        <v>24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4">
        <v>42</v>
      </c>
      <c r="P60">
        <v>643</v>
      </c>
      <c r="Q60">
        <v>120</v>
      </c>
      <c r="R60" s="31">
        <v>0</v>
      </c>
      <c r="S60" s="30">
        <f>IFERROR(PROPERTIES[[#This Row],[TE_STARTING_KN]]/(PROPERTIES[[#This Row],[WEIGHT]]*9.81),0)</f>
        <v>0</v>
      </c>
      <c r="T60" s="30">
        <v>0.21</v>
      </c>
      <c r="U60" s="27">
        <f>ROUND(IF(IFERROR(PROPERTIES[[#This Row],[TE_COEFFICIENT_CALC]],0)=0,PROPERTIES[[#This Row],[TE_COEFFICIENT_MANUAL]],PROPERTIES[[#This Row],[TE_COEFFICIENT_CALC]]),3)</f>
        <v>0.21</v>
      </c>
      <c r="V60" s="6">
        <v>15</v>
      </c>
      <c r="W60" s="10">
        <v>0</v>
      </c>
      <c r="X60" s="10">
        <v>0</v>
      </c>
      <c r="Y60" s="11"/>
      <c r="Z60" t="s">
        <v>905</v>
      </c>
      <c r="AA60" t="s">
        <v>904</v>
      </c>
      <c r="AB60" s="2" t="s">
        <v>922</v>
      </c>
      <c r="AC60" s="10" t="s">
        <v>988</v>
      </c>
      <c r="AD60" s="10" t="s">
        <v>989</v>
      </c>
      <c r="AE60" s="11" t="str">
        <f>SUBSTITUTE(SUBSTITUTE(PROPERTIES[[#This Row],[PURCHASECOST_VALUE]], "PURCHASECOST_", ""), "_VALUE", "")</f>
        <v>ELECTRICRAILBUS</v>
      </c>
      <c r="AF60" s="10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85</v>
      </c>
      <c r="B61">
        <v>2001</v>
      </c>
      <c r="C61">
        <v>0</v>
      </c>
      <c r="D61" t="s">
        <v>1799</v>
      </c>
      <c r="E61" t="str">
        <f>_xlfn.XLOOKUP(PROPERTIES[[#This Row],[COUNTRY]],COUNTRIES[COUNTRY_DESCRIPTION],COUNTRIES[COUNTRY_LABEL],"")</f>
        <v>AT</v>
      </c>
      <c r="F61" t="s">
        <v>74</v>
      </c>
      <c r="G61" t="s">
        <v>18</v>
      </c>
      <c r="H61">
        <v>150</v>
      </c>
      <c r="I61">
        <v>8</v>
      </c>
      <c r="J61">
        <v>8</v>
      </c>
      <c r="K61" s="2" t="s">
        <v>24</v>
      </c>
      <c r="L61">
        <f>_xlfn.XLOOKUP("LOADINGSPEEDDEF_"&amp;PROPERTIES[[#This Row],[LOADINGSPEED]],LOADINGSPEEDDEF[TYPE],LOADINGSPEEDDEF[SPEED])</f>
        <v>40</v>
      </c>
      <c r="M61" t="s">
        <v>21</v>
      </c>
      <c r="N61">
        <v>1</v>
      </c>
      <c r="O61" s="34">
        <v>52</v>
      </c>
      <c r="P61">
        <v>1475</v>
      </c>
      <c r="Q61">
        <v>90</v>
      </c>
      <c r="R61" s="31">
        <v>0</v>
      </c>
      <c r="S61" s="30">
        <f>IFERROR(PROPERTIES[[#This Row],[TE_STARTING_KN]]/(PROPERTIES[[#This Row],[WEIGHT]]*9.81),0)</f>
        <v>0</v>
      </c>
      <c r="T61" s="30">
        <v>0.28999999999999998</v>
      </c>
      <c r="U61" s="27">
        <f>ROUND(IF(IFERROR(PROPERTIES[[#This Row],[TE_COEFFICIENT_CALC]],0)=0,PROPERTIES[[#This Row],[TE_COEFFICIENT_MANUAL]],PROPERTIES[[#This Row],[TE_COEFFICIENT_CALC]]),3)</f>
        <v>0.28999999999999998</v>
      </c>
      <c r="V61" s="6">
        <v>15</v>
      </c>
      <c r="W61" s="10">
        <v>0</v>
      </c>
      <c r="X61" s="10">
        <v>0</v>
      </c>
      <c r="Y61" s="11"/>
      <c r="Z61" t="s">
        <v>905</v>
      </c>
      <c r="AA61" t="s">
        <v>904</v>
      </c>
      <c r="AB61" s="2" t="s">
        <v>922</v>
      </c>
      <c r="AC61" s="10" t="s">
        <v>988</v>
      </c>
      <c r="AD61" s="10" t="s">
        <v>989</v>
      </c>
      <c r="AE61" s="11" t="str">
        <f>SUBSTITUTE(SUBSTITUTE(PROPERTIES[[#This Row],[PURCHASECOST_VALUE]], "PURCHASECOST_", ""), "_VALUE", "")</f>
        <v>ELECTRICRAILBUS</v>
      </c>
      <c r="AF61" s="10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86</v>
      </c>
      <c r="B62">
        <v>1927</v>
      </c>
      <c r="C62">
        <v>0</v>
      </c>
      <c r="D62" t="s">
        <v>1844</v>
      </c>
      <c r="E62" t="str">
        <f>_xlfn.XLOOKUP(PROPERTIES[[#This Row],[COUNTRY]],COUNTRIES[COUNTRY_DESCRIPTION],COUNTRIES[COUNTRY_LABEL],"")</f>
        <v>DE</v>
      </c>
      <c r="F62" t="s">
        <v>74</v>
      </c>
      <c r="G62" t="s">
        <v>18</v>
      </c>
      <c r="H62">
        <v>75</v>
      </c>
      <c r="I62">
        <v>8</v>
      </c>
      <c r="J62">
        <v>8</v>
      </c>
      <c r="K62" s="2" t="s">
        <v>24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4">
        <v>61</v>
      </c>
      <c r="P62">
        <v>740</v>
      </c>
      <c r="Q62">
        <v>75</v>
      </c>
      <c r="R62" s="31">
        <v>0</v>
      </c>
      <c r="S62" s="30">
        <f>IFERROR(PROPERTIES[[#This Row],[TE_STARTING_KN]]/(PROPERTIES[[#This Row],[WEIGHT]]*9.81),0)</f>
        <v>0</v>
      </c>
      <c r="T62" s="30">
        <v>0.16</v>
      </c>
      <c r="U62" s="27">
        <f>ROUND(IF(IFERROR(PROPERTIES[[#This Row],[TE_COEFFICIENT_CALC]],0)=0,PROPERTIES[[#This Row],[TE_COEFFICIENT_MANUAL]],PROPERTIES[[#This Row],[TE_COEFFICIENT_CALC]]),3)</f>
        <v>0.16</v>
      </c>
      <c r="V62" s="6">
        <v>15</v>
      </c>
      <c r="W62" s="10">
        <v>0</v>
      </c>
      <c r="X62" s="10">
        <v>0</v>
      </c>
      <c r="Y62" s="11"/>
      <c r="Z62" t="s">
        <v>905</v>
      </c>
      <c r="AA62" t="s">
        <v>904</v>
      </c>
      <c r="AB62" s="2" t="s">
        <v>922</v>
      </c>
      <c r="AC62" s="10" t="s">
        <v>988</v>
      </c>
      <c r="AD62" s="10" t="s">
        <v>989</v>
      </c>
      <c r="AE62" s="11" t="str">
        <f>SUBSTITUTE(SUBSTITUTE(PROPERTIES[[#This Row],[PURCHASECOST_VALUE]], "PURCHASECOST_", ""), "_VALUE", "")</f>
        <v>ELECTRICRAILBUS</v>
      </c>
      <c r="AF62" s="10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87</v>
      </c>
      <c r="B63">
        <v>1955</v>
      </c>
      <c r="C63">
        <v>0</v>
      </c>
      <c r="D63" t="s">
        <v>1983</v>
      </c>
      <c r="E63" t="str">
        <f>_xlfn.XLOOKUP(PROPERTIES[[#This Row],[COUNTRY]],COUNTRIES[COUNTRY_DESCRIPTION],COUNTRIES[COUNTRY_LABEL],"")</f>
        <v>SE</v>
      </c>
      <c r="F63" t="s">
        <v>74</v>
      </c>
      <c r="G63" t="s">
        <v>18</v>
      </c>
      <c r="H63">
        <v>90</v>
      </c>
      <c r="I63">
        <v>6</v>
      </c>
      <c r="J63">
        <v>6</v>
      </c>
      <c r="K63" s="2" t="s">
        <v>24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4">
        <v>21</v>
      </c>
      <c r="P63">
        <v>230</v>
      </c>
      <c r="Q63">
        <v>110</v>
      </c>
      <c r="R63" s="31">
        <v>15</v>
      </c>
      <c r="S63" s="30">
        <f>IFERROR(PROPERTIES[[#This Row],[TE_STARTING_KN]]/(PROPERTIES[[#This Row],[WEIGHT]]*9.81),0)</f>
        <v>7.2811999417503992E-2</v>
      </c>
      <c r="T63" s="30">
        <v>0.34</v>
      </c>
      <c r="U63" s="27">
        <f>ROUND(IF(IFERROR(PROPERTIES[[#This Row],[TE_COEFFICIENT_CALC]],0)=0,PROPERTIES[[#This Row],[TE_COEFFICIENT_MANUAL]],PROPERTIES[[#This Row],[TE_COEFFICIENT_CALC]]),3)</f>
        <v>7.2999999999999995E-2</v>
      </c>
      <c r="V63" s="6">
        <v>15</v>
      </c>
      <c r="W63" s="10">
        <v>0</v>
      </c>
      <c r="X63" s="10">
        <v>0</v>
      </c>
      <c r="Y63" s="11"/>
      <c r="Z63" t="s">
        <v>909</v>
      </c>
      <c r="AA63" t="s">
        <v>904</v>
      </c>
      <c r="AB63" s="2" t="s">
        <v>922</v>
      </c>
      <c r="AC63" s="10" t="s">
        <v>988</v>
      </c>
      <c r="AD63" s="10" t="s">
        <v>989</v>
      </c>
      <c r="AE63" s="11" t="str">
        <f>SUBSTITUTE(SUBSTITUTE(PROPERTIES[[#This Row],[PURCHASECOST_VALUE]], "PURCHASECOST_", ""), "_VALUE", "")</f>
        <v>ELECTRICRAILBUS</v>
      </c>
      <c r="AF63" s="10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88</v>
      </c>
      <c r="B64">
        <v>1963</v>
      </c>
      <c r="C64">
        <v>0</v>
      </c>
      <c r="D64" t="s">
        <v>2019</v>
      </c>
      <c r="E64" t="str">
        <f>_xlfn.XLOOKUP(PROPERTIES[[#This Row],[COUNTRY]],COUNTRIES[COUNTRY_DESCRIPTION],COUNTRIES[COUNTRY_LABEL],"")</f>
        <v>US</v>
      </c>
      <c r="F64" t="s">
        <v>74</v>
      </c>
      <c r="G64" t="s">
        <v>18</v>
      </c>
      <c r="H64">
        <v>124</v>
      </c>
      <c r="I64">
        <v>8</v>
      </c>
      <c r="J64">
        <v>8</v>
      </c>
      <c r="K64" s="2" t="s">
        <v>24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4">
        <v>46</v>
      </c>
      <c r="P64">
        <v>550</v>
      </c>
      <c r="Q64">
        <v>137</v>
      </c>
      <c r="R64" s="31">
        <v>0</v>
      </c>
      <c r="S64" s="30">
        <f>IFERROR(PROPERTIES[[#This Row],[TE_STARTING_KN]]/(PROPERTIES[[#This Row],[WEIGHT]]*9.81),0)</f>
        <v>0</v>
      </c>
      <c r="T64" s="30">
        <v>0.18</v>
      </c>
      <c r="U64" s="27">
        <f>ROUND(IF(IFERROR(PROPERTIES[[#This Row],[TE_COEFFICIENT_CALC]],0)=0,PROPERTIES[[#This Row],[TE_COEFFICIENT_MANUAL]],PROPERTIES[[#This Row],[TE_COEFFICIENT_CALC]]),3)</f>
        <v>0.18</v>
      </c>
      <c r="V64" s="6">
        <v>15</v>
      </c>
      <c r="W64" s="10">
        <v>0</v>
      </c>
      <c r="X64" s="10">
        <v>0</v>
      </c>
      <c r="Y64" s="11"/>
      <c r="Z64" t="s">
        <v>910</v>
      </c>
      <c r="AA64" t="s">
        <v>904</v>
      </c>
      <c r="AB64" s="2" t="s">
        <v>922</v>
      </c>
      <c r="AC64" s="10" t="s">
        <v>988</v>
      </c>
      <c r="AD64" s="10" t="s">
        <v>989</v>
      </c>
      <c r="AE64" s="11" t="str">
        <f>SUBSTITUTE(SUBSTITUTE(PROPERTIES[[#This Row],[PURCHASECOST_VALUE]], "PURCHASECOST_", ""), "_VALUE", "")</f>
        <v>ELECTRICRAILBUS</v>
      </c>
      <c r="AF64" s="10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89</v>
      </c>
      <c r="B65">
        <v>2010</v>
      </c>
      <c r="C65">
        <v>0</v>
      </c>
      <c r="D65" t="s">
        <v>2019</v>
      </c>
      <c r="E65" t="str">
        <f>_xlfn.XLOOKUP(PROPERTIES[[#This Row],[COUNTRY]],COUNTRIES[COUNTRY_DESCRIPTION],COUNTRIES[COUNTRY_LABEL],"")</f>
        <v>US</v>
      </c>
      <c r="F65" t="s">
        <v>74</v>
      </c>
      <c r="G65" t="s">
        <v>18</v>
      </c>
      <c r="H65">
        <v>110</v>
      </c>
      <c r="I65">
        <v>8</v>
      </c>
      <c r="J65">
        <v>8</v>
      </c>
      <c r="K65" s="2" t="s">
        <v>24</v>
      </c>
      <c r="L65">
        <f>_xlfn.XLOOKUP("LOADINGSPEEDDEF_"&amp;PROPERTIES[[#This Row],[LOADINGSPEED]],LOADINGSPEEDDEF[TYPE],LOADINGSPEEDDEF[SPEED])</f>
        <v>40</v>
      </c>
      <c r="M65" t="s">
        <v>21</v>
      </c>
      <c r="N65">
        <v>1</v>
      </c>
      <c r="O65" s="34">
        <v>66</v>
      </c>
      <c r="P65">
        <v>680</v>
      </c>
      <c r="Q65">
        <v>180</v>
      </c>
      <c r="R65" s="31">
        <v>0</v>
      </c>
      <c r="S65" s="30">
        <f>IFERROR(PROPERTIES[[#This Row],[TE_STARTING_KN]]/(PROPERTIES[[#This Row],[WEIGHT]]*9.81),0)</f>
        <v>0</v>
      </c>
      <c r="T65" s="30">
        <v>0.17</v>
      </c>
      <c r="U65" s="27">
        <f>ROUND(IF(IFERROR(PROPERTIES[[#This Row],[TE_COEFFICIENT_CALC]],0)=0,PROPERTIES[[#This Row],[TE_COEFFICIENT_MANUAL]],PROPERTIES[[#This Row],[TE_COEFFICIENT_CALC]]),3)</f>
        <v>0.17</v>
      </c>
      <c r="V65" s="6">
        <v>15</v>
      </c>
      <c r="W65" s="10">
        <v>0</v>
      </c>
      <c r="X65" s="10">
        <v>0</v>
      </c>
      <c r="Y65" s="11"/>
      <c r="Z65" t="s">
        <v>910</v>
      </c>
      <c r="AA65" t="s">
        <v>904</v>
      </c>
      <c r="AB65" s="2" t="s">
        <v>922</v>
      </c>
      <c r="AC65" s="10" t="s">
        <v>988</v>
      </c>
      <c r="AD65" s="10" t="s">
        <v>989</v>
      </c>
      <c r="AE65" s="11" t="str">
        <f>SUBSTITUTE(SUBSTITUTE(PROPERTIES[[#This Row],[PURCHASECOST_VALUE]], "PURCHASECOST_", ""), "_VALUE", "")</f>
        <v>ELECTRICRAILBUS</v>
      </c>
      <c r="AF65" s="10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90</v>
      </c>
      <c r="B66">
        <v>1835</v>
      </c>
      <c r="C66">
        <v>0</v>
      </c>
      <c r="D66" t="s">
        <v>1807</v>
      </c>
      <c r="E66" t="str">
        <f>_xlfn.XLOOKUP(PROPERTIES[[#This Row],[COUNTRY]],COUNTRIES[COUNTRY_DESCRIPTION],COUNTRIES[COUNTRY_LABEL],"")</f>
        <v>BE</v>
      </c>
      <c r="F66" t="s">
        <v>23</v>
      </c>
      <c r="G66" t="s">
        <v>20</v>
      </c>
      <c r="H66">
        <v>0</v>
      </c>
      <c r="I66">
        <v>7</v>
      </c>
      <c r="J66">
        <v>7</v>
      </c>
      <c r="K66" s="2" t="s">
        <v>20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4">
        <v>16</v>
      </c>
      <c r="P66">
        <v>50</v>
      </c>
      <c r="Q66">
        <v>35</v>
      </c>
      <c r="R66" s="31">
        <v>0</v>
      </c>
      <c r="S66" s="30">
        <f>IFERROR(PROPERTIES[[#This Row],[TE_STARTING_KN]]/(PROPERTIES[[#This Row],[WEIGHT]]*9.81),0)</f>
        <v>0</v>
      </c>
      <c r="T66" s="30">
        <v>0.09</v>
      </c>
      <c r="U66" s="27">
        <f>ROUND(IF(IFERROR(PROPERTIES[[#This Row],[TE_COEFFICIENT_CALC]],0)=0,PROPERTIES[[#This Row],[TE_COEFFICIENT_MANUAL]],PROPERTIES[[#This Row],[TE_COEFFICIENT_CALC]]),3)</f>
        <v>0.09</v>
      </c>
      <c r="V66" s="6">
        <v>40</v>
      </c>
      <c r="W66" s="10">
        <v>0</v>
      </c>
      <c r="X66" s="10">
        <v>0</v>
      </c>
      <c r="Y66" s="11"/>
      <c r="Z66" t="s">
        <v>905</v>
      </c>
      <c r="AA66" t="s">
        <v>904</v>
      </c>
      <c r="AB66" s="2" t="s">
        <v>922</v>
      </c>
      <c r="AC66" s="10" t="s">
        <v>990</v>
      </c>
      <c r="AD66" s="10" t="s">
        <v>991</v>
      </c>
      <c r="AE66" s="11" t="str">
        <f>SUBSTITUTE(SUBSTITUTE(PROPERTIES[[#This Row],[PURCHASECOST_VALUE]], "PURCHASECOST_", ""), "_VALUE", "")</f>
        <v>STEAMENGINE</v>
      </c>
      <c r="AF66" s="10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66" s="2" t="b">
        <v>0</v>
      </c>
      <c r="AY66"/>
      <c r="AZ66"/>
      <c r="BA66"/>
    </row>
    <row r="67" spans="1:53">
      <c r="A67" s="2" t="s">
        <v>91</v>
      </c>
      <c r="B67">
        <v>1848</v>
      </c>
      <c r="C67">
        <v>0</v>
      </c>
      <c r="D67" t="s">
        <v>2019</v>
      </c>
      <c r="E67" t="str">
        <f>_xlfn.XLOOKUP(PROPERTIES[[#This Row],[COUNTRY]],COUNTRIES[COUNTRY_DESCRIPTION],COUNTRIES[COUNTRY_LABEL],"")</f>
        <v>US</v>
      </c>
      <c r="F67" t="s">
        <v>23</v>
      </c>
      <c r="G67" t="s">
        <v>20</v>
      </c>
      <c r="H67">
        <v>0</v>
      </c>
      <c r="I67">
        <v>6</v>
      </c>
      <c r="J67">
        <v>8</v>
      </c>
      <c r="K67" s="2" t="s">
        <v>20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4">
        <v>45</v>
      </c>
      <c r="P67">
        <v>650</v>
      </c>
      <c r="Q67">
        <v>96</v>
      </c>
      <c r="R67" s="31">
        <v>0</v>
      </c>
      <c r="S67" s="30">
        <f>IFERROR(PROPERTIES[[#This Row],[TE_STARTING_KN]]/(PROPERTIES[[#This Row],[WEIGHT]]*9.81),0)</f>
        <v>0</v>
      </c>
      <c r="T67" s="30">
        <v>0.18</v>
      </c>
      <c r="U67" s="27">
        <f>ROUND(IF(IFERROR(PROPERTIES[[#This Row],[TE_COEFFICIENT_CALC]],0)=0,PROPERTIES[[#This Row],[TE_COEFFICIENT_MANUAL]],PROPERTIES[[#This Row],[TE_COEFFICIENT_CALC]]),3)</f>
        <v>0.18</v>
      </c>
      <c r="V67" s="6">
        <v>40</v>
      </c>
      <c r="W67" s="10">
        <v>0</v>
      </c>
      <c r="X67" s="10">
        <v>4</v>
      </c>
      <c r="Y67" s="11"/>
      <c r="Z67" t="s">
        <v>910</v>
      </c>
      <c r="AA67" t="s">
        <v>904</v>
      </c>
      <c r="AB67" s="2" t="s">
        <v>922</v>
      </c>
      <c r="AC67" s="10" t="s">
        <v>990</v>
      </c>
      <c r="AD67" s="10" t="s">
        <v>991</v>
      </c>
      <c r="AE67" s="11" t="str">
        <f>SUBSTITUTE(SUBSTITUTE(PROPERTIES[[#This Row],[PURCHASECOST_VALUE]], "PURCHASECOST_", ""), "_VALUE", "")</f>
        <v>STEAMENGINE</v>
      </c>
      <c r="AF67" s="10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92</v>
      </c>
      <c r="B68">
        <v>1854</v>
      </c>
      <c r="C68">
        <v>0</v>
      </c>
      <c r="D68" t="s">
        <v>1830</v>
      </c>
      <c r="E68" t="str">
        <f>_xlfn.XLOOKUP(PROPERTIES[[#This Row],[COUNTRY]],COUNTRIES[COUNTRY_DESCRIPTION],COUNTRIES[COUNTRY_LABEL],"")</f>
        <v>CH</v>
      </c>
      <c r="F68" t="s">
        <v>23</v>
      </c>
      <c r="G68" t="s">
        <v>20</v>
      </c>
      <c r="H68">
        <v>0</v>
      </c>
      <c r="I68">
        <v>5</v>
      </c>
      <c r="J68">
        <v>5</v>
      </c>
      <c r="K68" s="2" t="s">
        <v>20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4">
        <v>45</v>
      </c>
      <c r="P68">
        <v>400</v>
      </c>
      <c r="Q68">
        <v>60</v>
      </c>
      <c r="R68" s="31">
        <v>0</v>
      </c>
      <c r="S68" s="30">
        <f>IFERROR(PROPERTIES[[#This Row],[TE_STARTING_KN]]/(PROPERTIES[[#This Row],[WEIGHT]]*9.81),0)</f>
        <v>0</v>
      </c>
      <c r="T68" s="30">
        <v>0.2</v>
      </c>
      <c r="U68" s="27">
        <f>ROUND(IF(IFERROR(PROPERTIES[[#This Row],[TE_COEFFICIENT_CALC]],0)=0,PROPERTIES[[#This Row],[TE_COEFFICIENT_MANUAL]],PROPERTIES[[#This Row],[TE_COEFFICIENT_CALC]]),3)</f>
        <v>0.2</v>
      </c>
      <c r="V68" s="6">
        <v>40</v>
      </c>
      <c r="W68" s="10">
        <v>0</v>
      </c>
      <c r="X68" s="10">
        <v>0</v>
      </c>
      <c r="Y68" s="11"/>
      <c r="Z68" t="s">
        <v>905</v>
      </c>
      <c r="AA68" t="s">
        <v>904</v>
      </c>
      <c r="AB68" s="2" t="s">
        <v>922</v>
      </c>
      <c r="AC68" s="10" t="s">
        <v>990</v>
      </c>
      <c r="AD68" s="10" t="s">
        <v>991</v>
      </c>
      <c r="AE68" s="11" t="str">
        <f>SUBSTITUTE(SUBSTITUTE(PROPERTIES[[#This Row],[PURCHASECOST_VALUE]], "PURCHASECOST_", ""), "_VALUE", "")</f>
        <v>STEAMENGINE</v>
      </c>
      <c r="AF68" s="10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68" s="2" t="b">
        <v>0</v>
      </c>
      <c r="AY68"/>
      <c r="AZ68"/>
      <c r="BA68"/>
    </row>
    <row r="69" spans="1:53">
      <c r="A69" s="2" t="s">
        <v>93</v>
      </c>
      <c r="B69">
        <v>1869</v>
      </c>
      <c r="C69">
        <v>0</v>
      </c>
      <c r="D69" t="s">
        <v>2019</v>
      </c>
      <c r="E69" t="str">
        <f>_xlfn.XLOOKUP(PROPERTIES[[#This Row],[COUNTRY]],COUNTRIES[COUNTRY_DESCRIPTION],COUNTRIES[COUNTRY_LABEL],"")</f>
        <v>US</v>
      </c>
      <c r="F69" t="s">
        <v>23</v>
      </c>
      <c r="G69" t="s">
        <v>20</v>
      </c>
      <c r="H69">
        <v>0</v>
      </c>
      <c r="I69">
        <v>7</v>
      </c>
      <c r="J69">
        <v>8</v>
      </c>
      <c r="K69" s="2" t="s">
        <v>20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4">
        <v>85</v>
      </c>
      <c r="P69">
        <v>1200</v>
      </c>
      <c r="Q69">
        <v>110</v>
      </c>
      <c r="R69" s="31">
        <v>0</v>
      </c>
      <c r="S69" s="30">
        <f>IFERROR(PROPERTIES[[#This Row],[TE_STARTING_KN]]/(PROPERTIES[[#This Row],[WEIGHT]]*9.81),0)</f>
        <v>0</v>
      </c>
      <c r="T69" s="30">
        <v>0.2</v>
      </c>
      <c r="U69" s="27">
        <f>ROUND(IF(IFERROR(PROPERTIES[[#This Row],[TE_COEFFICIENT_CALC]],0)=0,PROPERTIES[[#This Row],[TE_COEFFICIENT_MANUAL]],PROPERTIES[[#This Row],[TE_COEFFICIENT_CALC]]),3)</f>
        <v>0.2</v>
      </c>
      <c r="V69" s="6">
        <v>40</v>
      </c>
      <c r="W69" s="10">
        <v>0</v>
      </c>
      <c r="X69" s="10">
        <v>4</v>
      </c>
      <c r="Y69" s="11"/>
      <c r="Z69" t="s">
        <v>910</v>
      </c>
      <c r="AA69" t="s">
        <v>904</v>
      </c>
      <c r="AB69" s="2" t="s">
        <v>922</v>
      </c>
      <c r="AC69" s="10" t="s">
        <v>990</v>
      </c>
      <c r="AD69" s="10" t="s">
        <v>991</v>
      </c>
      <c r="AE69" s="11" t="str">
        <f>SUBSTITUTE(SUBSTITUTE(PROPERTIES[[#This Row],[PURCHASECOST_VALUE]], "PURCHASECOST_", ""), "_VALUE", "")</f>
        <v>STEAMENGINE</v>
      </c>
      <c r="AF69" s="10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94</v>
      </c>
      <c r="B70">
        <v>1875</v>
      </c>
      <c r="C70">
        <v>0</v>
      </c>
      <c r="D70" t="s">
        <v>2019</v>
      </c>
      <c r="E70" t="str">
        <f>_xlfn.XLOOKUP(PROPERTIES[[#This Row],[COUNTRY]],COUNTRIES[COUNTRY_DESCRIPTION],COUNTRIES[COUNTRY_LABEL],"")</f>
        <v>US</v>
      </c>
      <c r="F70" t="s">
        <v>23</v>
      </c>
      <c r="G70" t="s">
        <v>20</v>
      </c>
      <c r="H70">
        <v>0</v>
      </c>
      <c r="I70">
        <v>8</v>
      </c>
      <c r="J70">
        <v>10</v>
      </c>
      <c r="K70" s="2" t="s">
        <v>20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4">
        <v>126</v>
      </c>
      <c r="P70">
        <v>1500</v>
      </c>
      <c r="Q70">
        <v>60</v>
      </c>
      <c r="R70" s="31">
        <v>0</v>
      </c>
      <c r="S70" s="30">
        <f>IFERROR(PROPERTIES[[#This Row],[TE_STARTING_KN]]/(PROPERTIES[[#This Row],[WEIGHT]]*9.81),0)</f>
        <v>0</v>
      </c>
      <c r="T70" s="30">
        <v>0.24</v>
      </c>
      <c r="U70" s="27">
        <f>ROUND(IF(IFERROR(PROPERTIES[[#This Row],[TE_COEFFICIENT_CALC]],0)=0,PROPERTIES[[#This Row],[TE_COEFFICIENT_MANUAL]],PROPERTIES[[#This Row],[TE_COEFFICIENT_CALC]]),3)</f>
        <v>0.24</v>
      </c>
      <c r="V70" s="6">
        <v>40</v>
      </c>
      <c r="W70" s="10">
        <v>0</v>
      </c>
      <c r="X70" s="10">
        <v>5</v>
      </c>
      <c r="Y70" s="11"/>
      <c r="Z70" t="s">
        <v>910</v>
      </c>
      <c r="AA70" t="s">
        <v>904</v>
      </c>
      <c r="AB70" s="2" t="s">
        <v>922</v>
      </c>
      <c r="AC70" s="10" t="s">
        <v>990</v>
      </c>
      <c r="AD70" s="10" t="s">
        <v>991</v>
      </c>
      <c r="AE70" s="11" t="str">
        <f>SUBSTITUTE(SUBSTITUTE(PROPERTIES[[#This Row],[PURCHASECOST_VALUE]], "PURCHASECOST_", ""), "_VALUE", "")</f>
        <v>STEAMENGINE</v>
      </c>
      <c r="AF70" s="10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95</v>
      </c>
      <c r="B71">
        <v>1885</v>
      </c>
      <c r="C71">
        <v>0</v>
      </c>
      <c r="D71" t="s">
        <v>1886</v>
      </c>
      <c r="E71" t="str">
        <f>_xlfn.XLOOKUP(PROPERTIES[[#This Row],[COUNTRY]],COUNTRIES[COUNTRY_DESCRIPTION],COUNTRIES[COUNTRY_LABEL],"")</f>
        <v>HU</v>
      </c>
      <c r="F71" t="s">
        <v>23</v>
      </c>
      <c r="G71" t="s">
        <v>20</v>
      </c>
      <c r="H71">
        <v>0</v>
      </c>
      <c r="I71">
        <v>6</v>
      </c>
      <c r="J71">
        <v>6</v>
      </c>
      <c r="K71" s="2" t="s">
        <v>20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4">
        <v>27</v>
      </c>
      <c r="P71">
        <v>170</v>
      </c>
      <c r="Q71">
        <v>45</v>
      </c>
      <c r="R71" s="31">
        <v>31.2</v>
      </c>
      <c r="S71" s="30">
        <f>IFERROR(PROPERTIES[[#This Row],[TE_STARTING_KN]]/(PROPERTIES[[#This Row],[WEIGHT]]*9.81),0)</f>
        <v>0.11779363461320648</v>
      </c>
      <c r="T71" s="30">
        <v>0.21</v>
      </c>
      <c r="U71" s="27">
        <f>ROUND(IF(IFERROR(PROPERTIES[[#This Row],[TE_COEFFICIENT_CALC]],0)=0,PROPERTIES[[#This Row],[TE_COEFFICIENT_MANUAL]],PROPERTIES[[#This Row],[TE_COEFFICIENT_CALC]]),3)</f>
        <v>0.11799999999999999</v>
      </c>
      <c r="V71" s="6">
        <v>40</v>
      </c>
      <c r="W71" s="10">
        <v>0</v>
      </c>
      <c r="X71" s="10">
        <v>0</v>
      </c>
      <c r="Y71" s="11"/>
      <c r="Z71" t="s">
        <v>911</v>
      </c>
      <c r="AA71" t="s">
        <v>904</v>
      </c>
      <c r="AB71" s="2" t="s">
        <v>922</v>
      </c>
      <c r="AC71" s="10" t="s">
        <v>990</v>
      </c>
      <c r="AD71" s="10" t="s">
        <v>991</v>
      </c>
      <c r="AE71" s="11" t="str">
        <f>SUBSTITUTE(SUBSTITUTE(PROPERTIES[[#This Row],[PURCHASECOST_VALUE]], "PURCHASECOST_", ""), "_VALUE", "")</f>
        <v>STEAMENGINE</v>
      </c>
      <c r="AF71" s="10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71" s="2" t="b">
        <v>0</v>
      </c>
      <c r="AY71"/>
      <c r="AZ71"/>
      <c r="BA71"/>
    </row>
    <row r="72" spans="1:53">
      <c r="A72" s="2" t="s">
        <v>96</v>
      </c>
      <c r="B72">
        <v>1897</v>
      </c>
      <c r="C72">
        <v>0</v>
      </c>
      <c r="D72" t="s">
        <v>1799</v>
      </c>
      <c r="E72" t="str">
        <f>_xlfn.XLOOKUP(PROPERTIES[[#This Row],[COUNTRY]],COUNTRIES[COUNTRY_DESCRIPTION],COUNTRIES[COUNTRY_LABEL],"")</f>
        <v>AT</v>
      </c>
      <c r="F72" t="s">
        <v>23</v>
      </c>
      <c r="G72" t="s">
        <v>20</v>
      </c>
      <c r="H72">
        <v>0</v>
      </c>
      <c r="I72">
        <v>6</v>
      </c>
      <c r="J72">
        <v>6</v>
      </c>
      <c r="K72" s="2" t="s">
        <v>20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4">
        <v>39</v>
      </c>
      <c r="P72">
        <v>320</v>
      </c>
      <c r="Q72">
        <v>50</v>
      </c>
      <c r="R72" s="31">
        <v>0</v>
      </c>
      <c r="S72" s="30">
        <f>IFERROR(PROPERTIES[[#This Row],[TE_STARTING_KN]]/(PROPERTIES[[#This Row],[WEIGHT]]*9.81),0)</f>
        <v>0</v>
      </c>
      <c r="T72" s="30">
        <v>0.23</v>
      </c>
      <c r="U72" s="27">
        <f>ROUND(IF(IFERROR(PROPERTIES[[#This Row],[TE_COEFFICIENT_CALC]],0)=0,PROPERTIES[[#This Row],[TE_COEFFICIENT_MANUAL]],PROPERTIES[[#This Row],[TE_COEFFICIENT_CALC]]),3)</f>
        <v>0.23</v>
      </c>
      <c r="V72" s="6">
        <v>40</v>
      </c>
      <c r="W72" s="10">
        <v>0</v>
      </c>
      <c r="X72" s="10">
        <v>0</v>
      </c>
      <c r="Y72" s="11"/>
      <c r="Z72" t="s">
        <v>905</v>
      </c>
      <c r="AA72" t="s">
        <v>904</v>
      </c>
      <c r="AB72" s="2" t="s">
        <v>922</v>
      </c>
      <c r="AC72" s="10" t="s">
        <v>990</v>
      </c>
      <c r="AD72" s="10" t="s">
        <v>991</v>
      </c>
      <c r="AE72" s="11" t="str">
        <f>SUBSTITUTE(SUBSTITUTE(PROPERTIES[[#This Row],[PURCHASECOST_VALUE]], "PURCHASECOST_", ""), "_VALUE", "")</f>
        <v>STEAMENGINE</v>
      </c>
      <c r="AF72" s="10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72" s="2" t="b">
        <v>0</v>
      </c>
      <c r="AY72"/>
      <c r="AZ72"/>
      <c r="BA72"/>
    </row>
    <row r="73" spans="1:53">
      <c r="A73" s="2" t="s">
        <v>97</v>
      </c>
      <c r="B73">
        <v>1900</v>
      </c>
      <c r="C73">
        <v>0</v>
      </c>
      <c r="D73" t="s">
        <v>1863</v>
      </c>
      <c r="E73" t="str">
        <f>_xlfn.XLOOKUP(PROPERTIES[[#This Row],[COUNTRY]],COUNTRIES[COUNTRY_DESCRIPTION],COUNTRIES[COUNTRY_LABEL],"")</f>
        <v>GB</v>
      </c>
      <c r="F73" t="s">
        <v>23</v>
      </c>
      <c r="G73" t="s">
        <v>20</v>
      </c>
      <c r="H73">
        <v>0</v>
      </c>
      <c r="I73">
        <v>7</v>
      </c>
      <c r="J73">
        <v>7</v>
      </c>
      <c r="K73" s="2" t="s">
        <v>20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4">
        <v>53</v>
      </c>
      <c r="P73">
        <v>540</v>
      </c>
      <c r="Q73">
        <v>80</v>
      </c>
      <c r="R73" s="31">
        <v>83.1</v>
      </c>
      <c r="S73" s="30">
        <f>IFERROR(PROPERTIES[[#This Row],[TE_STARTING_KN]]/(PROPERTIES[[#This Row],[WEIGHT]]*9.81),0)</f>
        <v>0.15982920777797008</v>
      </c>
      <c r="T73" s="30">
        <v>0.16</v>
      </c>
      <c r="U73" s="27">
        <f>ROUND(IF(IFERROR(PROPERTIES[[#This Row],[TE_COEFFICIENT_CALC]],0)=0,PROPERTIES[[#This Row],[TE_COEFFICIENT_MANUAL]],PROPERTIES[[#This Row],[TE_COEFFICIENT_CALC]]),3)</f>
        <v>0.16</v>
      </c>
      <c r="V73" s="6">
        <v>40</v>
      </c>
      <c r="W73" s="10">
        <v>0</v>
      </c>
      <c r="X73" s="10">
        <v>0</v>
      </c>
      <c r="Y73" s="11"/>
      <c r="Z73" t="s">
        <v>909</v>
      </c>
      <c r="AA73" t="s">
        <v>904</v>
      </c>
      <c r="AB73" s="2" t="s">
        <v>922</v>
      </c>
      <c r="AC73" s="10" t="s">
        <v>990</v>
      </c>
      <c r="AD73" s="10" t="s">
        <v>991</v>
      </c>
      <c r="AE73" s="11" t="str">
        <f>SUBSTITUTE(SUBSTITUTE(PROPERTIES[[#This Row],[PURCHASECOST_VALUE]], "PURCHASECOST_", ""), "_VALUE", "")</f>
        <v>STEAMENGINE</v>
      </c>
      <c r="AF73" s="10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98</v>
      </c>
      <c r="B74">
        <v>1902</v>
      </c>
      <c r="C74">
        <v>0</v>
      </c>
      <c r="D74" t="s">
        <v>1830</v>
      </c>
      <c r="E74" t="str">
        <f>_xlfn.XLOOKUP(PROPERTIES[[#This Row],[COUNTRY]],COUNTRIES[COUNTRY_DESCRIPTION],COUNTRIES[COUNTRY_LABEL],"")</f>
        <v>CH</v>
      </c>
      <c r="F74" t="s">
        <v>23</v>
      </c>
      <c r="G74" t="s">
        <v>20</v>
      </c>
      <c r="H74">
        <v>0</v>
      </c>
      <c r="I74">
        <v>8</v>
      </c>
      <c r="J74">
        <v>8</v>
      </c>
      <c r="K74" s="2" t="s">
        <v>20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4">
        <v>106</v>
      </c>
      <c r="P74">
        <v>1340</v>
      </c>
      <c r="Q74">
        <v>100</v>
      </c>
      <c r="R74" s="31">
        <v>0</v>
      </c>
      <c r="S74" s="30">
        <f>IFERROR(PROPERTIES[[#This Row],[TE_STARTING_KN]]/(PROPERTIES[[#This Row],[WEIGHT]]*9.81),0)</f>
        <v>0</v>
      </c>
      <c r="T74" s="30">
        <v>0.16</v>
      </c>
      <c r="U74" s="27">
        <f>ROUND(IF(IFERROR(PROPERTIES[[#This Row],[TE_COEFFICIENT_CALC]],0)=0,PROPERTIES[[#This Row],[TE_COEFFICIENT_MANUAL]],PROPERTIES[[#This Row],[TE_COEFFICIENT_CALC]]),3)</f>
        <v>0.16</v>
      </c>
      <c r="V74" s="6">
        <v>40</v>
      </c>
      <c r="W74" s="10">
        <v>0</v>
      </c>
      <c r="X74" s="10">
        <v>4</v>
      </c>
      <c r="Y74" s="11"/>
      <c r="Z74" t="s">
        <v>905</v>
      </c>
      <c r="AA74" t="s">
        <v>904</v>
      </c>
      <c r="AB74" s="2" t="s">
        <v>922</v>
      </c>
      <c r="AC74" s="10" t="s">
        <v>990</v>
      </c>
      <c r="AD74" s="10" t="s">
        <v>991</v>
      </c>
      <c r="AE74" s="11" t="str">
        <f>SUBSTITUTE(SUBSTITUTE(PROPERTIES[[#This Row],[PURCHASECOST_VALUE]], "PURCHASECOST_", ""), "_VALUE", "")</f>
        <v>STEAMENGINE</v>
      </c>
      <c r="AF74" s="10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99</v>
      </c>
      <c r="B75">
        <v>1902</v>
      </c>
      <c r="C75">
        <v>0</v>
      </c>
      <c r="D75" t="s">
        <v>1830</v>
      </c>
      <c r="E75" t="str">
        <f>_xlfn.XLOOKUP(PROPERTIES[[#This Row],[COUNTRY]],COUNTRIES[COUNTRY_DESCRIPTION],COUNTRIES[COUNTRY_LABEL],"")</f>
        <v>CH</v>
      </c>
      <c r="F75" t="s">
        <v>23</v>
      </c>
      <c r="G75" t="s">
        <v>20</v>
      </c>
      <c r="H75">
        <v>0</v>
      </c>
      <c r="I75">
        <v>6</v>
      </c>
      <c r="J75">
        <v>6</v>
      </c>
      <c r="K75" s="2" t="s">
        <v>20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4">
        <v>35</v>
      </c>
      <c r="P75">
        <v>493</v>
      </c>
      <c r="Q75">
        <v>45</v>
      </c>
      <c r="R75" s="31">
        <v>0</v>
      </c>
      <c r="S75" s="30">
        <f>IFERROR(PROPERTIES[[#This Row],[TE_STARTING_KN]]/(PROPERTIES[[#This Row],[WEIGHT]]*9.81),0)</f>
        <v>0</v>
      </c>
      <c r="T75" s="30">
        <v>0.25</v>
      </c>
      <c r="U75" s="27">
        <f>ROUND(IF(IFERROR(PROPERTIES[[#This Row],[TE_COEFFICIENT_CALC]],0)=0,PROPERTIES[[#This Row],[TE_COEFFICIENT_MANUAL]],PROPERTIES[[#This Row],[TE_COEFFICIENT_CALC]]),3)</f>
        <v>0.25</v>
      </c>
      <c r="V75" s="6">
        <v>40</v>
      </c>
      <c r="W75" s="10">
        <v>0</v>
      </c>
      <c r="X75" s="10">
        <v>0</v>
      </c>
      <c r="Y75" s="11"/>
      <c r="Z75" t="s">
        <v>905</v>
      </c>
      <c r="AA75" t="s">
        <v>904</v>
      </c>
      <c r="AB75" s="2" t="s">
        <v>922</v>
      </c>
      <c r="AC75" s="10" t="s">
        <v>990</v>
      </c>
      <c r="AD75" s="10" t="s">
        <v>991</v>
      </c>
      <c r="AE75" s="11" t="str">
        <f>SUBSTITUTE(SUBSTITUTE(PROPERTIES[[#This Row],[PURCHASECOST_VALUE]], "PURCHASECOST_", ""), "_VALUE", "")</f>
        <v>STEAMENGINE</v>
      </c>
      <c r="AF75" s="10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75" s="2" t="b">
        <v>0</v>
      </c>
      <c r="AY75"/>
      <c r="AZ75"/>
      <c r="BA75"/>
    </row>
    <row r="76" spans="1:53">
      <c r="A76" s="2" t="s">
        <v>100</v>
      </c>
      <c r="B76">
        <v>1910</v>
      </c>
      <c r="C76">
        <v>0</v>
      </c>
      <c r="D76" t="s">
        <v>1799</v>
      </c>
      <c r="E76" t="str">
        <f>_xlfn.XLOOKUP(PROPERTIES[[#This Row],[COUNTRY]],COUNTRIES[COUNTRY_DESCRIPTION],COUNTRIES[COUNTRY_LABEL],"")</f>
        <v>AT</v>
      </c>
      <c r="F76" t="s">
        <v>23</v>
      </c>
      <c r="G76" t="s">
        <v>20</v>
      </c>
      <c r="H76">
        <v>0</v>
      </c>
      <c r="I76">
        <v>7</v>
      </c>
      <c r="J76">
        <v>7</v>
      </c>
      <c r="K76" s="2" t="s">
        <v>20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4">
        <v>42</v>
      </c>
      <c r="P76">
        <v>480</v>
      </c>
      <c r="Q76">
        <v>60</v>
      </c>
      <c r="R76" s="31">
        <v>0</v>
      </c>
      <c r="S76" s="30">
        <f>IFERROR(PROPERTIES[[#This Row],[TE_STARTING_KN]]/(PROPERTIES[[#This Row],[WEIGHT]]*9.81),0)</f>
        <v>0</v>
      </c>
      <c r="T76" s="30">
        <v>0.26</v>
      </c>
      <c r="U76" s="27">
        <f>ROUND(IF(IFERROR(PROPERTIES[[#This Row],[TE_COEFFICIENT_CALC]],0)=0,PROPERTIES[[#This Row],[TE_COEFFICIENT_MANUAL]],PROPERTIES[[#This Row],[TE_COEFFICIENT_CALC]]),3)</f>
        <v>0.26</v>
      </c>
      <c r="V76" s="6">
        <v>40</v>
      </c>
      <c r="W76" s="10">
        <v>0</v>
      </c>
      <c r="X76" s="10">
        <v>0</v>
      </c>
      <c r="Y76" s="11"/>
      <c r="Z76" t="s">
        <v>905</v>
      </c>
      <c r="AA76" t="s">
        <v>904</v>
      </c>
      <c r="AB76" s="2" t="s">
        <v>922</v>
      </c>
      <c r="AC76" s="10" t="s">
        <v>990</v>
      </c>
      <c r="AD76" s="10" t="s">
        <v>991</v>
      </c>
      <c r="AE76" s="11" t="str">
        <f>SUBSTITUTE(SUBSTITUTE(PROPERTIES[[#This Row],[PURCHASECOST_VALUE]], "PURCHASECOST_", ""), "_VALUE", "")</f>
        <v>STEAMENGINE</v>
      </c>
      <c r="AF76" s="10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76" s="2" t="b">
        <v>0</v>
      </c>
      <c r="AY76"/>
      <c r="AZ76"/>
      <c r="BA76"/>
    </row>
    <row r="77" spans="1:53">
      <c r="A77" s="2" t="s">
        <v>101</v>
      </c>
      <c r="B77">
        <v>1908</v>
      </c>
      <c r="C77">
        <v>0</v>
      </c>
      <c r="D77" t="s">
        <v>1957</v>
      </c>
      <c r="E77" t="str">
        <f>_xlfn.XLOOKUP(PROPERTIES[[#This Row],[COUNTRY]],COUNTRIES[COUNTRY_DESCRIPTION],COUNTRIES[COUNTRY_LABEL],"")</f>
        <v>NZ</v>
      </c>
      <c r="F77" t="s">
        <v>23</v>
      </c>
      <c r="G77" t="s">
        <v>20</v>
      </c>
      <c r="H77">
        <v>0</v>
      </c>
      <c r="I77">
        <v>8</v>
      </c>
      <c r="J77">
        <v>12</v>
      </c>
      <c r="K77" s="2" t="s">
        <v>20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4">
        <v>94</v>
      </c>
      <c r="P77">
        <v>850</v>
      </c>
      <c r="Q77">
        <v>48</v>
      </c>
      <c r="R77" s="31">
        <v>0</v>
      </c>
      <c r="S77" s="30">
        <f>IFERROR(PROPERTIES[[#This Row],[TE_STARTING_KN]]/(PROPERTIES[[#This Row],[WEIGHT]]*9.81),0)</f>
        <v>0</v>
      </c>
      <c r="T77" s="30">
        <v>0.22</v>
      </c>
      <c r="U77" s="27">
        <f>ROUND(IF(IFERROR(PROPERTIES[[#This Row],[TE_COEFFICIENT_CALC]],0)=0,PROPERTIES[[#This Row],[TE_COEFFICIENT_MANUAL]],PROPERTIES[[#This Row],[TE_COEFFICIENT_CALC]]),3)</f>
        <v>0.22</v>
      </c>
      <c r="V77" s="6">
        <v>40</v>
      </c>
      <c r="W77" s="10">
        <v>0</v>
      </c>
      <c r="X77" s="10">
        <v>6</v>
      </c>
      <c r="Y77" s="11"/>
      <c r="Z77" t="s">
        <v>907</v>
      </c>
      <c r="AA77" t="s">
        <v>904</v>
      </c>
      <c r="AB77" s="2" t="s">
        <v>922</v>
      </c>
      <c r="AC77" s="10" t="s">
        <v>990</v>
      </c>
      <c r="AD77" s="10" t="s">
        <v>991</v>
      </c>
      <c r="AE77" s="11" t="str">
        <f>SUBSTITUTE(SUBSTITUTE(PROPERTIES[[#This Row],[PURCHASECOST_VALUE]], "PURCHASECOST_", ""), "_VALUE", "")</f>
        <v>STEAMENGINE</v>
      </c>
      <c r="AF77" s="10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77" s="2" t="b">
        <v>0</v>
      </c>
      <c r="AY77"/>
      <c r="AZ77"/>
      <c r="BA77"/>
    </row>
    <row r="78" spans="1:53">
      <c r="A78" s="2" t="s">
        <v>102</v>
      </c>
      <c r="B78">
        <v>1914</v>
      </c>
      <c r="C78">
        <v>0</v>
      </c>
      <c r="D78" t="s">
        <v>1884</v>
      </c>
      <c r="E78" t="str">
        <f>_xlfn.XLOOKUP(PROPERTIES[[#This Row],[COUNTRY]],COUNTRIES[COUNTRY_DESCRIPTION],COUNTRIES[COUNTRY_LABEL],"")</f>
        <v>HR</v>
      </c>
      <c r="F78" t="s">
        <v>23</v>
      </c>
      <c r="G78" t="s">
        <v>20</v>
      </c>
      <c r="H78">
        <v>0</v>
      </c>
      <c r="I78">
        <v>6</v>
      </c>
      <c r="J78">
        <v>6</v>
      </c>
      <c r="K78" s="2" t="s">
        <v>20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4">
        <v>52</v>
      </c>
      <c r="P78">
        <v>330</v>
      </c>
      <c r="Q78">
        <v>60</v>
      </c>
      <c r="R78" s="31">
        <v>0</v>
      </c>
      <c r="S78" s="30">
        <f>IFERROR(PROPERTIES[[#This Row],[TE_STARTING_KN]]/(PROPERTIES[[#This Row],[WEIGHT]]*9.81),0)</f>
        <v>0</v>
      </c>
      <c r="T78" s="30">
        <v>0.19</v>
      </c>
      <c r="U78" s="27">
        <f>ROUND(IF(IFERROR(PROPERTIES[[#This Row],[TE_COEFFICIENT_CALC]],0)=0,PROPERTIES[[#This Row],[TE_COEFFICIENT_MANUAL]],PROPERTIES[[#This Row],[TE_COEFFICIENT_CALC]]),3)</f>
        <v>0.19</v>
      </c>
      <c r="V78" s="6">
        <v>40</v>
      </c>
      <c r="W78" s="10">
        <v>0</v>
      </c>
      <c r="X78" s="10">
        <v>0</v>
      </c>
      <c r="Y78" s="11"/>
      <c r="Z78" t="s">
        <v>911</v>
      </c>
      <c r="AA78" t="s">
        <v>904</v>
      </c>
      <c r="AB78" s="2" t="s">
        <v>922</v>
      </c>
      <c r="AC78" s="10" t="s">
        <v>990</v>
      </c>
      <c r="AD78" s="10" t="s">
        <v>991</v>
      </c>
      <c r="AE78" s="11" t="str">
        <f>SUBSTITUTE(SUBSTITUTE(PROPERTIES[[#This Row],[PURCHASECOST_VALUE]], "PURCHASECOST_", ""), "_VALUE", "")</f>
        <v>STEAMENGINE</v>
      </c>
      <c r="AF78" s="10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78" s="2" t="b">
        <v>0</v>
      </c>
      <c r="AY78"/>
      <c r="AZ78"/>
      <c r="BA78"/>
    </row>
    <row r="79" spans="1:53">
      <c r="A79" s="2" t="s">
        <v>103</v>
      </c>
      <c r="B79">
        <v>1916</v>
      </c>
      <c r="C79">
        <v>0</v>
      </c>
      <c r="D79" t="s">
        <v>1896</v>
      </c>
      <c r="E79" t="str">
        <f>_xlfn.XLOOKUP(PROPERTIES[[#This Row],[COUNTRY]],COUNTRIES[COUNTRY_DESCRIPTION],COUNTRIES[COUNTRY_LABEL],"")</f>
        <v>IT</v>
      </c>
      <c r="F79" t="s">
        <v>23</v>
      </c>
      <c r="G79" t="s">
        <v>20</v>
      </c>
      <c r="H79">
        <v>0</v>
      </c>
      <c r="I79">
        <v>6</v>
      </c>
      <c r="J79">
        <v>6</v>
      </c>
      <c r="K79" s="2" t="s">
        <v>20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4">
        <v>92</v>
      </c>
      <c r="P79">
        <v>540</v>
      </c>
      <c r="Q79">
        <v>75</v>
      </c>
      <c r="R79" s="31">
        <v>0</v>
      </c>
      <c r="S79" s="30">
        <f>IFERROR(PROPERTIES[[#This Row],[TE_STARTING_KN]]/(PROPERTIES[[#This Row],[WEIGHT]]*9.81),0)</f>
        <v>0</v>
      </c>
      <c r="T79" s="30">
        <v>0.2</v>
      </c>
      <c r="U79" s="27">
        <f>ROUND(IF(IFERROR(PROPERTIES[[#This Row],[TE_COEFFICIENT_CALC]],0)=0,PROPERTIES[[#This Row],[TE_COEFFICIENT_MANUAL]],PROPERTIES[[#This Row],[TE_COEFFICIENT_CALC]]),3)</f>
        <v>0.2</v>
      </c>
      <c r="V79" s="6">
        <v>40</v>
      </c>
      <c r="W79" s="10">
        <v>0</v>
      </c>
      <c r="X79" s="10">
        <v>0</v>
      </c>
      <c r="Y79" s="11"/>
      <c r="Z79" t="s">
        <v>906</v>
      </c>
      <c r="AA79" t="s">
        <v>904</v>
      </c>
      <c r="AB79" s="2" t="s">
        <v>922</v>
      </c>
      <c r="AC79" s="10" t="s">
        <v>990</v>
      </c>
      <c r="AD79" s="10" t="s">
        <v>991</v>
      </c>
      <c r="AE79" s="11" t="str">
        <f>SUBSTITUTE(SUBSTITUTE(PROPERTIES[[#This Row],[PURCHASECOST_VALUE]], "PURCHASECOST_", ""), "_VALUE", "")</f>
        <v>STEAMENGINE</v>
      </c>
      <c r="AF79" s="10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104</v>
      </c>
      <c r="B80">
        <v>1910</v>
      </c>
      <c r="C80">
        <v>0</v>
      </c>
      <c r="D80" t="s">
        <v>1797</v>
      </c>
      <c r="E80" t="str">
        <f>_xlfn.XLOOKUP(PROPERTIES[[#This Row],[COUNTRY]],COUNTRIES[COUNTRY_DESCRIPTION],COUNTRIES[COUNTRY_LABEL],"")</f>
        <v>AR</v>
      </c>
      <c r="F80" t="s">
        <v>23</v>
      </c>
      <c r="G80" t="s">
        <v>20</v>
      </c>
      <c r="H80">
        <v>0</v>
      </c>
      <c r="I80">
        <v>7</v>
      </c>
      <c r="J80">
        <v>8</v>
      </c>
      <c r="K80" s="2" t="s">
        <v>20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4">
        <v>92</v>
      </c>
      <c r="P80">
        <v>850</v>
      </c>
      <c r="Q80">
        <v>64</v>
      </c>
      <c r="R80" s="31">
        <v>0</v>
      </c>
      <c r="S80" s="30">
        <f>IFERROR(PROPERTIES[[#This Row],[TE_STARTING_KN]]/(PROPERTIES[[#This Row],[WEIGHT]]*9.81),0)</f>
        <v>0</v>
      </c>
      <c r="T80" s="30">
        <v>0.22</v>
      </c>
      <c r="U80" s="27">
        <f>ROUND(IF(IFERROR(PROPERTIES[[#This Row],[TE_COEFFICIENT_CALC]],0)=0,PROPERTIES[[#This Row],[TE_COEFFICIENT_MANUAL]],PROPERTIES[[#This Row],[TE_COEFFICIENT_CALC]]),3)</f>
        <v>0.22</v>
      </c>
      <c r="V80" s="6">
        <v>40</v>
      </c>
      <c r="W80" s="10">
        <v>0</v>
      </c>
      <c r="X80" s="10">
        <v>4</v>
      </c>
      <c r="Y80" s="11"/>
      <c r="Z80" t="s">
        <v>912</v>
      </c>
      <c r="AA80" t="s">
        <v>904</v>
      </c>
      <c r="AB80" s="2" t="s">
        <v>922</v>
      </c>
      <c r="AC80" s="10" t="s">
        <v>990</v>
      </c>
      <c r="AD80" s="10" t="s">
        <v>991</v>
      </c>
      <c r="AE80" s="11" t="str">
        <f>SUBSTITUTE(SUBSTITUTE(PROPERTIES[[#This Row],[PURCHASECOST_VALUE]], "PURCHASECOST_", ""), "_VALUE", "")</f>
        <v>STEAMENGINE</v>
      </c>
      <c r="AF80" s="10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105</v>
      </c>
      <c r="B81">
        <v>1913</v>
      </c>
      <c r="C81">
        <v>0</v>
      </c>
      <c r="D81" t="s">
        <v>1862</v>
      </c>
      <c r="E81" t="str">
        <f>_xlfn.XLOOKUP(PROPERTIES[[#This Row],[COUNTRY]],COUNTRIES[COUNTRY_DESCRIPTION],COUNTRIES[COUNTRY_LABEL],"")</f>
        <v>FR</v>
      </c>
      <c r="F81" t="s">
        <v>23</v>
      </c>
      <c r="G81" t="s">
        <v>20</v>
      </c>
      <c r="H81">
        <v>0</v>
      </c>
      <c r="I81">
        <v>6</v>
      </c>
      <c r="J81">
        <v>8</v>
      </c>
      <c r="K81" s="2" t="s">
        <v>20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4">
        <v>118</v>
      </c>
      <c r="P81">
        <v>1500</v>
      </c>
      <c r="Q81">
        <v>80</v>
      </c>
      <c r="R81" s="31">
        <v>0</v>
      </c>
      <c r="S81" s="30">
        <f>IFERROR(PROPERTIES[[#This Row],[TE_STARTING_KN]]/(PROPERTIES[[#This Row],[WEIGHT]]*9.81),0)</f>
        <v>0</v>
      </c>
      <c r="T81" s="30">
        <v>0.16</v>
      </c>
      <c r="U81" s="27">
        <f>ROUND(IF(IFERROR(PROPERTIES[[#This Row],[TE_COEFFICIENT_CALC]],0)=0,PROPERTIES[[#This Row],[TE_COEFFICIENT_MANUAL]],PROPERTIES[[#This Row],[TE_COEFFICIENT_CALC]]),3)</f>
        <v>0.16</v>
      </c>
      <c r="V81" s="6">
        <v>40</v>
      </c>
      <c r="W81" s="10">
        <v>0</v>
      </c>
      <c r="X81" s="10">
        <v>4</v>
      </c>
      <c r="Y81" s="11"/>
      <c r="Z81" t="s">
        <v>905</v>
      </c>
      <c r="AA81" t="s">
        <v>904</v>
      </c>
      <c r="AB81" s="2" t="s">
        <v>922</v>
      </c>
      <c r="AC81" s="10" t="s">
        <v>990</v>
      </c>
      <c r="AD81" s="10" t="s">
        <v>991</v>
      </c>
      <c r="AE81" s="11" t="str">
        <f>SUBSTITUTE(SUBSTITUTE(PROPERTIES[[#This Row],[PURCHASECOST_VALUE]], "PURCHASECOST_", ""), "_VALUE", "")</f>
        <v>STEAMENGINE</v>
      </c>
      <c r="AF81" s="10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106</v>
      </c>
      <c r="B82">
        <v>1911</v>
      </c>
      <c r="C82">
        <v>0</v>
      </c>
      <c r="D82" t="s">
        <v>1862</v>
      </c>
      <c r="E82" t="str">
        <f>_xlfn.XLOOKUP(PROPERTIES[[#This Row],[COUNTRY]],COUNTRIES[COUNTRY_DESCRIPTION],COUNTRIES[COUNTRY_LABEL],"")</f>
        <v>FR</v>
      </c>
      <c r="F82" t="s">
        <v>23</v>
      </c>
      <c r="G82" t="s">
        <v>20</v>
      </c>
      <c r="H82">
        <v>0</v>
      </c>
      <c r="I82">
        <v>6</v>
      </c>
      <c r="J82">
        <v>6</v>
      </c>
      <c r="K82" s="2" t="s">
        <v>20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4">
        <v>94</v>
      </c>
      <c r="P82">
        <v>1360</v>
      </c>
      <c r="Q82">
        <v>70</v>
      </c>
      <c r="R82" s="31">
        <v>0</v>
      </c>
      <c r="S82" s="30">
        <f>IFERROR(PROPERTIES[[#This Row],[TE_STARTING_KN]]/(PROPERTIES[[#This Row],[WEIGHT]]*9.81),0)</f>
        <v>0</v>
      </c>
      <c r="T82" s="30">
        <v>0.18</v>
      </c>
      <c r="U82" s="27">
        <f>ROUND(IF(IFERROR(PROPERTIES[[#This Row],[TE_COEFFICIENT_CALC]],0)=0,PROPERTIES[[#This Row],[TE_COEFFICIENT_MANUAL]],PROPERTIES[[#This Row],[TE_COEFFICIENT_CALC]]),3)</f>
        <v>0.18</v>
      </c>
      <c r="V82" s="6">
        <v>40</v>
      </c>
      <c r="W82" s="10">
        <v>0</v>
      </c>
      <c r="X82" s="10">
        <v>0</v>
      </c>
      <c r="Y82" s="11"/>
      <c r="Z82" t="s">
        <v>905</v>
      </c>
      <c r="AA82" t="s">
        <v>904</v>
      </c>
      <c r="AB82" s="2" t="s">
        <v>922</v>
      </c>
      <c r="AC82" s="10" t="s">
        <v>990</v>
      </c>
      <c r="AD82" s="10" t="s">
        <v>991</v>
      </c>
      <c r="AE82" s="11" t="str">
        <f>SUBSTITUTE(SUBSTITUTE(PROPERTIES[[#This Row],[PURCHASECOST_VALUE]], "PURCHASECOST_", ""), "_VALUE", "")</f>
        <v>STEAMENGINE</v>
      </c>
      <c r="AF82" s="10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107</v>
      </c>
      <c r="B83">
        <v>1928</v>
      </c>
      <c r="C83">
        <v>0</v>
      </c>
      <c r="D83" t="s">
        <v>1863</v>
      </c>
      <c r="E83" t="str">
        <f>_xlfn.XLOOKUP(PROPERTIES[[#This Row],[COUNTRY]],COUNTRIES[COUNTRY_DESCRIPTION],COUNTRIES[COUNTRY_LABEL],"")</f>
        <v>GB</v>
      </c>
      <c r="F83" t="s">
        <v>23</v>
      </c>
      <c r="G83" t="s">
        <v>20</v>
      </c>
      <c r="H83">
        <v>0</v>
      </c>
      <c r="I83">
        <v>8</v>
      </c>
      <c r="J83">
        <v>12</v>
      </c>
      <c r="K83" s="2" t="s">
        <v>20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4">
        <v>122</v>
      </c>
      <c r="P83">
        <v>1450</v>
      </c>
      <c r="Q83">
        <v>130</v>
      </c>
      <c r="R83" s="31">
        <v>0</v>
      </c>
      <c r="S83" s="30">
        <f>IFERROR(PROPERTIES[[#This Row],[TE_STARTING_KN]]/(PROPERTIES[[#This Row],[WEIGHT]]*9.81),0)</f>
        <v>0</v>
      </c>
      <c r="T83" s="30">
        <v>0.11</v>
      </c>
      <c r="U83" s="27">
        <f>ROUND(IF(IFERROR(PROPERTIES[[#This Row],[TE_COEFFICIENT_CALC]],0)=0,PROPERTIES[[#This Row],[TE_COEFFICIENT_MANUAL]],PROPERTIES[[#This Row],[TE_COEFFICIENT_CALC]]),3)</f>
        <v>0.11</v>
      </c>
      <c r="V83" s="6">
        <v>40</v>
      </c>
      <c r="W83" s="10">
        <v>0</v>
      </c>
      <c r="X83" s="10">
        <v>6</v>
      </c>
      <c r="Y83" s="11"/>
      <c r="Z83" t="s">
        <v>909</v>
      </c>
      <c r="AA83" t="s">
        <v>904</v>
      </c>
      <c r="AB83" s="2" t="s">
        <v>922</v>
      </c>
      <c r="AC83" s="10" t="s">
        <v>990</v>
      </c>
      <c r="AD83" s="10" t="s">
        <v>991</v>
      </c>
      <c r="AE83" s="11" t="str">
        <f>SUBSTITUTE(SUBSTITUTE(PROPERTIES[[#This Row],[PURCHASECOST_VALUE]], "PURCHASECOST_", ""), "_VALUE", "")</f>
        <v>STEAMENGINE</v>
      </c>
      <c r="AF83" s="10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108</v>
      </c>
      <c r="B84">
        <v>1929</v>
      </c>
      <c r="C84">
        <v>0</v>
      </c>
      <c r="D84" t="s">
        <v>1863</v>
      </c>
      <c r="E84" t="str">
        <f>_xlfn.XLOOKUP(PROPERTIES[[#This Row],[COUNTRY]],COUNTRIES[COUNTRY_DESCRIPTION],COUNTRIES[COUNTRY_LABEL],"")</f>
        <v>GB</v>
      </c>
      <c r="F84" t="s">
        <v>23</v>
      </c>
      <c r="G84" t="s">
        <v>20</v>
      </c>
      <c r="H84">
        <v>0</v>
      </c>
      <c r="I84">
        <v>6</v>
      </c>
      <c r="J84">
        <v>6</v>
      </c>
      <c r="K84" s="2" t="s">
        <v>20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4">
        <v>48</v>
      </c>
      <c r="P84">
        <v>700</v>
      </c>
      <c r="Q84">
        <v>72</v>
      </c>
      <c r="R84" s="31">
        <v>0</v>
      </c>
      <c r="S84" s="30">
        <f>IFERROR(PROPERTIES[[#This Row],[TE_STARTING_KN]]/(PROPERTIES[[#This Row],[WEIGHT]]*9.81),0)</f>
        <v>0</v>
      </c>
      <c r="T84" s="30">
        <v>0.21</v>
      </c>
      <c r="U84" s="27">
        <f>ROUND(IF(IFERROR(PROPERTIES[[#This Row],[TE_COEFFICIENT_CALC]],0)=0,PROPERTIES[[#This Row],[TE_COEFFICIENT_MANUAL]],PROPERTIES[[#This Row],[TE_COEFFICIENT_CALC]]),3)</f>
        <v>0.21</v>
      </c>
      <c r="V84" s="6">
        <v>40</v>
      </c>
      <c r="W84" s="10">
        <v>0</v>
      </c>
      <c r="X84" s="10">
        <v>0</v>
      </c>
      <c r="Y84" s="11"/>
      <c r="Z84" t="s">
        <v>909</v>
      </c>
      <c r="AA84" t="s">
        <v>904</v>
      </c>
      <c r="AB84" s="2" t="s">
        <v>922</v>
      </c>
      <c r="AC84" s="10" t="s">
        <v>990</v>
      </c>
      <c r="AD84" s="10" t="s">
        <v>991</v>
      </c>
      <c r="AE84" s="11" t="str">
        <f>SUBSTITUTE(SUBSTITUTE(PROPERTIES[[#This Row],[PURCHASECOST_VALUE]], "PURCHASECOST_", ""), "_VALUE", "")</f>
        <v>STEAMENGINE</v>
      </c>
      <c r="AF84" s="10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109</v>
      </c>
      <c r="B85">
        <v>1930</v>
      </c>
      <c r="C85">
        <v>0</v>
      </c>
      <c r="D85" t="s">
        <v>1952</v>
      </c>
      <c r="E85" t="str">
        <f>_xlfn.XLOOKUP(PROPERTIES[[#This Row],[COUNTRY]],COUNTRIES[COUNTRY_DESCRIPTION],COUNTRIES[COUNTRY_LABEL],"")</f>
        <v>NL</v>
      </c>
      <c r="F85" t="s">
        <v>23</v>
      </c>
      <c r="G85" t="s">
        <v>20</v>
      </c>
      <c r="H85">
        <v>0</v>
      </c>
      <c r="I85">
        <v>8</v>
      </c>
      <c r="J85">
        <v>8</v>
      </c>
      <c r="K85" s="2" t="s">
        <v>20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4">
        <v>127</v>
      </c>
      <c r="P85">
        <v>1609</v>
      </c>
      <c r="Q85">
        <v>90</v>
      </c>
      <c r="R85" s="31">
        <v>0</v>
      </c>
      <c r="S85" s="30">
        <f>IFERROR(PROPERTIES[[#This Row],[TE_STARTING_KN]]/(PROPERTIES[[#This Row],[WEIGHT]]*9.81),0)</f>
        <v>0</v>
      </c>
      <c r="T85" s="30">
        <v>0.12</v>
      </c>
      <c r="U85" s="27">
        <f>ROUND(IF(IFERROR(PROPERTIES[[#This Row],[TE_COEFFICIENT_CALC]],0)=0,PROPERTIES[[#This Row],[TE_COEFFICIENT_MANUAL]],PROPERTIES[[#This Row],[TE_COEFFICIENT_CALC]]),3)</f>
        <v>0.12</v>
      </c>
      <c r="V85" s="6">
        <v>40</v>
      </c>
      <c r="W85" s="10">
        <v>0</v>
      </c>
      <c r="X85" s="10">
        <v>0</v>
      </c>
      <c r="Y85" s="11"/>
      <c r="Z85" t="s">
        <v>905</v>
      </c>
      <c r="AA85" t="s">
        <v>904</v>
      </c>
      <c r="AB85" s="2" t="s">
        <v>922</v>
      </c>
      <c r="AC85" s="10" t="s">
        <v>990</v>
      </c>
      <c r="AD85" s="10" t="s">
        <v>991</v>
      </c>
      <c r="AE85" s="11" t="str">
        <f>SUBSTITUTE(SUBSTITUTE(PROPERTIES[[#This Row],[PURCHASECOST_VALUE]], "PURCHASECOST_", ""), "_VALUE", "")</f>
        <v>STEAMENGINE</v>
      </c>
      <c r="AF85" s="10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110</v>
      </c>
      <c r="B86">
        <v>1930</v>
      </c>
      <c r="C86">
        <v>0</v>
      </c>
      <c r="D86" t="s">
        <v>2019</v>
      </c>
      <c r="E86" t="str">
        <f>_xlfn.XLOOKUP(PROPERTIES[[#This Row],[COUNTRY]],COUNTRIES[COUNTRY_DESCRIPTION],COUNTRIES[COUNTRY_LABEL],"")</f>
        <v>US</v>
      </c>
      <c r="F86" t="s">
        <v>23</v>
      </c>
      <c r="G86" t="s">
        <v>20</v>
      </c>
      <c r="H86">
        <v>0</v>
      </c>
      <c r="I86">
        <v>8</v>
      </c>
      <c r="J86">
        <v>12</v>
      </c>
      <c r="K86" s="2" t="s">
        <v>20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4">
        <v>415</v>
      </c>
      <c r="P86">
        <v>5000</v>
      </c>
      <c r="Q86">
        <v>110</v>
      </c>
      <c r="R86" s="31">
        <v>0</v>
      </c>
      <c r="S86" s="30">
        <f>IFERROR(PROPERTIES[[#This Row],[TE_STARTING_KN]]/(PROPERTIES[[#This Row],[WEIGHT]]*9.81),0)</f>
        <v>0</v>
      </c>
      <c r="T86" s="30">
        <v>0.11</v>
      </c>
      <c r="U86" s="27">
        <f>ROUND(IF(IFERROR(PROPERTIES[[#This Row],[TE_COEFFICIENT_CALC]],0)=0,PROPERTIES[[#This Row],[TE_COEFFICIENT_MANUAL]],PROPERTIES[[#This Row],[TE_COEFFICIENT_CALC]]),3)</f>
        <v>0.11</v>
      </c>
      <c r="V86" s="6">
        <v>40</v>
      </c>
      <c r="W86" s="10">
        <v>0</v>
      </c>
      <c r="X86" s="10">
        <v>6</v>
      </c>
      <c r="Y86" s="11"/>
      <c r="Z86" t="s">
        <v>910</v>
      </c>
      <c r="AA86" t="s">
        <v>904</v>
      </c>
      <c r="AB86" s="2" t="s">
        <v>922</v>
      </c>
      <c r="AC86" s="10" t="s">
        <v>990</v>
      </c>
      <c r="AD86" s="10" t="s">
        <v>991</v>
      </c>
      <c r="AE86" s="11" t="str">
        <f>SUBSTITUTE(SUBSTITUTE(PROPERTIES[[#This Row],[PURCHASECOST_VALUE]], "PURCHASECOST_", ""), "_VALUE", "")</f>
        <v>STEAMENGINE</v>
      </c>
      <c r="AF86" s="10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111</v>
      </c>
      <c r="B87">
        <v>1910</v>
      </c>
      <c r="C87">
        <v>0</v>
      </c>
      <c r="D87" t="s">
        <v>1844</v>
      </c>
      <c r="E87" t="str">
        <f>_xlfn.XLOOKUP(PROPERTIES[[#This Row],[COUNTRY]],COUNTRIES[COUNTRY_DESCRIPTION],COUNTRIES[COUNTRY_LABEL],"")</f>
        <v>DE</v>
      </c>
      <c r="F87" t="s">
        <v>23</v>
      </c>
      <c r="G87" t="s">
        <v>20</v>
      </c>
      <c r="H87">
        <v>0</v>
      </c>
      <c r="I87">
        <v>8</v>
      </c>
      <c r="J87">
        <v>8</v>
      </c>
      <c r="K87" s="2" t="s">
        <v>20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4">
        <v>140</v>
      </c>
      <c r="P87">
        <v>1500</v>
      </c>
      <c r="Q87">
        <v>110</v>
      </c>
      <c r="R87" s="31">
        <v>0</v>
      </c>
      <c r="S87" s="30">
        <f>IFERROR(PROPERTIES[[#This Row],[TE_STARTING_KN]]/(PROPERTIES[[#This Row],[WEIGHT]]*9.81),0)</f>
        <v>0</v>
      </c>
      <c r="T87" s="30">
        <v>0.1</v>
      </c>
      <c r="U87" s="27">
        <f>ROUND(IF(IFERROR(PROPERTIES[[#This Row],[TE_COEFFICIENT_CALC]],0)=0,PROPERTIES[[#This Row],[TE_COEFFICIENT_MANUAL]],PROPERTIES[[#This Row],[TE_COEFFICIENT_CALC]]),3)</f>
        <v>0.1</v>
      </c>
      <c r="V87" s="6">
        <v>40</v>
      </c>
      <c r="W87" s="10">
        <v>0</v>
      </c>
      <c r="X87" s="10">
        <v>4</v>
      </c>
      <c r="Y87" s="11"/>
      <c r="Z87" t="s">
        <v>905</v>
      </c>
      <c r="AA87" t="s">
        <v>904</v>
      </c>
      <c r="AB87" s="2" t="s">
        <v>922</v>
      </c>
      <c r="AC87" s="10" t="s">
        <v>990</v>
      </c>
      <c r="AD87" s="10" t="s">
        <v>991</v>
      </c>
      <c r="AE87" s="11" t="str">
        <f>SUBSTITUTE(SUBSTITUTE(PROPERTIES[[#This Row],[PURCHASECOST_VALUE]], "PURCHASECOST_", ""), "_VALUE", "")</f>
        <v>STEAMENGINE</v>
      </c>
      <c r="AF87" s="10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112</v>
      </c>
      <c r="B88">
        <v>1934</v>
      </c>
      <c r="C88">
        <v>0</v>
      </c>
      <c r="D88" t="s">
        <v>1863</v>
      </c>
      <c r="E88" t="str">
        <f>_xlfn.XLOOKUP(PROPERTIES[[#This Row],[COUNTRY]],COUNTRIES[COUNTRY_DESCRIPTION],COUNTRIES[COUNTRY_LABEL],"")</f>
        <v>GB</v>
      </c>
      <c r="F88" t="s">
        <v>23</v>
      </c>
      <c r="G88" t="s">
        <v>20</v>
      </c>
      <c r="H88">
        <v>0</v>
      </c>
      <c r="I88">
        <v>8</v>
      </c>
      <c r="J88">
        <v>10</v>
      </c>
      <c r="K88" s="2" t="s">
        <v>20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4">
        <v>125</v>
      </c>
      <c r="P88">
        <v>1600</v>
      </c>
      <c r="Q88">
        <v>145</v>
      </c>
      <c r="R88" s="31">
        <v>0</v>
      </c>
      <c r="S88" s="30">
        <f>IFERROR(PROPERTIES[[#This Row],[TE_STARTING_KN]]/(PROPERTIES[[#This Row],[WEIGHT]]*9.81),0)</f>
        <v>0</v>
      </c>
      <c r="T88" s="30">
        <v>0.11</v>
      </c>
      <c r="U88" s="27">
        <f>ROUND(IF(IFERROR(PROPERTIES[[#This Row],[TE_COEFFICIENT_CALC]],0)=0,PROPERTIES[[#This Row],[TE_COEFFICIENT_MANUAL]],PROPERTIES[[#This Row],[TE_COEFFICIENT_CALC]]),3)</f>
        <v>0.11</v>
      </c>
      <c r="V88" s="6">
        <v>40</v>
      </c>
      <c r="W88" s="10">
        <v>0</v>
      </c>
      <c r="X88" s="10">
        <v>5</v>
      </c>
      <c r="Y88" s="11"/>
      <c r="Z88" t="s">
        <v>909</v>
      </c>
      <c r="AA88" t="s">
        <v>904</v>
      </c>
      <c r="AB88" s="2" t="s">
        <v>922</v>
      </c>
      <c r="AC88" s="10" t="s">
        <v>990</v>
      </c>
      <c r="AD88" s="10" t="s">
        <v>991</v>
      </c>
      <c r="AE88" s="11" t="str">
        <f>SUBSTITUTE(SUBSTITUTE(PROPERTIES[[#This Row],[PURCHASECOST_VALUE]], "PURCHASECOST_", ""), "_VALUE", "")</f>
        <v>STEAMENGINE</v>
      </c>
      <c r="AF88" s="10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113</v>
      </c>
      <c r="B89">
        <v>1935</v>
      </c>
      <c r="C89">
        <v>0</v>
      </c>
      <c r="D89" t="s">
        <v>2038</v>
      </c>
      <c r="E89" t="str">
        <f>_xlfn.XLOOKUP(PROPERTIES[[#This Row],[COUNTRY]],COUNTRIES[COUNTRY_DESCRIPTION],COUNTRIES[COUNTRY_LABEL],"")</f>
        <v>SU</v>
      </c>
      <c r="F89" t="s">
        <v>23</v>
      </c>
      <c r="G89" t="s">
        <v>20</v>
      </c>
      <c r="H89">
        <v>0</v>
      </c>
      <c r="I89">
        <v>6</v>
      </c>
      <c r="J89">
        <v>6</v>
      </c>
      <c r="K89" s="2" t="s">
        <v>20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4">
        <v>55</v>
      </c>
      <c r="P89">
        <v>450</v>
      </c>
      <c r="Q89">
        <v>35</v>
      </c>
      <c r="R89" s="31">
        <v>0</v>
      </c>
      <c r="S89" s="30">
        <f>IFERROR(PROPERTIES[[#This Row],[TE_STARTING_KN]]/(PROPERTIES[[#This Row],[WEIGHT]]*9.81),0)</f>
        <v>0</v>
      </c>
      <c r="T89" s="30">
        <v>0.18</v>
      </c>
      <c r="U89" s="27">
        <f>ROUND(IF(IFERROR(PROPERTIES[[#This Row],[TE_COEFFICIENT_CALC]],0)=0,PROPERTIES[[#This Row],[TE_COEFFICIENT_MANUAL]],PROPERTIES[[#This Row],[TE_COEFFICIENT_CALC]]),3)</f>
        <v>0.18</v>
      </c>
      <c r="V89" s="6">
        <v>40</v>
      </c>
      <c r="W89" s="10">
        <v>0</v>
      </c>
      <c r="X89" s="10">
        <v>0</v>
      </c>
      <c r="Y89" s="11"/>
      <c r="Z89" t="s">
        <v>913</v>
      </c>
      <c r="AA89" t="s">
        <v>904</v>
      </c>
      <c r="AB89" s="2" t="s">
        <v>922</v>
      </c>
      <c r="AC89" s="10" t="s">
        <v>990</v>
      </c>
      <c r="AD89" s="10" t="s">
        <v>991</v>
      </c>
      <c r="AE89" s="11" t="str">
        <f>SUBSTITUTE(SUBSTITUTE(PROPERTIES[[#This Row],[PURCHASECOST_VALUE]], "PURCHASECOST_", ""), "_VALUE", "")</f>
        <v>STEAMENGINE</v>
      </c>
      <c r="AF89" s="10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89" s="2" t="b">
        <v>0</v>
      </c>
      <c r="AY89"/>
      <c r="AZ89"/>
      <c r="BA89"/>
    </row>
    <row r="90" spans="1:53">
      <c r="A90" s="2" t="s">
        <v>114</v>
      </c>
      <c r="B90">
        <v>1935</v>
      </c>
      <c r="C90">
        <v>0</v>
      </c>
      <c r="D90" t="s">
        <v>1863</v>
      </c>
      <c r="E90" t="str">
        <f>_xlfn.XLOOKUP(PROPERTIES[[#This Row],[COUNTRY]],COUNTRIES[COUNTRY_DESCRIPTION],COUNTRIES[COUNTRY_LABEL],"")</f>
        <v>GB</v>
      </c>
      <c r="F90" t="s">
        <v>23</v>
      </c>
      <c r="G90" t="s">
        <v>20</v>
      </c>
      <c r="H90">
        <v>0</v>
      </c>
      <c r="I90">
        <v>8</v>
      </c>
      <c r="J90">
        <v>12</v>
      </c>
      <c r="K90" s="2" t="s">
        <v>20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4">
        <v>170</v>
      </c>
      <c r="P90">
        <v>2200</v>
      </c>
      <c r="Q90">
        <v>140</v>
      </c>
      <c r="R90" s="31">
        <v>0</v>
      </c>
      <c r="S90" s="30">
        <f>IFERROR(PROPERTIES[[#This Row],[TE_STARTING_KN]]/(PROPERTIES[[#This Row],[WEIGHT]]*9.81),0)</f>
        <v>0</v>
      </c>
      <c r="T90" s="30">
        <v>0.09</v>
      </c>
      <c r="U90" s="27">
        <f>ROUND(IF(IFERROR(PROPERTIES[[#This Row],[TE_COEFFICIENT_CALC]],0)=0,PROPERTIES[[#This Row],[TE_COEFFICIENT_MANUAL]],PROPERTIES[[#This Row],[TE_COEFFICIENT_CALC]]),3)</f>
        <v>0.09</v>
      </c>
      <c r="V90" s="6">
        <v>40</v>
      </c>
      <c r="W90" s="10">
        <v>0</v>
      </c>
      <c r="X90" s="10">
        <v>6</v>
      </c>
      <c r="Y90" s="11"/>
      <c r="Z90" t="s">
        <v>909</v>
      </c>
      <c r="AA90" t="s">
        <v>904</v>
      </c>
      <c r="AB90" s="2" t="s">
        <v>922</v>
      </c>
      <c r="AC90" s="10" t="s">
        <v>990</v>
      </c>
      <c r="AD90" s="10" t="s">
        <v>991</v>
      </c>
      <c r="AE90" s="11" t="str">
        <f>SUBSTITUTE(SUBSTITUTE(PROPERTIES[[#This Row],[PURCHASECOST_VALUE]], "PURCHASECOST_", ""), "_VALUE", "")</f>
        <v>STEAMENGINE</v>
      </c>
      <c r="AF90" s="10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115</v>
      </c>
      <c r="B91">
        <v>1937</v>
      </c>
      <c r="C91">
        <v>0</v>
      </c>
      <c r="D91" t="s">
        <v>1825</v>
      </c>
      <c r="E91" t="str">
        <f>_xlfn.XLOOKUP(PROPERTIES[[#This Row],[COUNTRY]],COUNTRIES[COUNTRY_DESCRIPTION],COUNTRIES[COUNTRY_LABEL],"")</f>
        <v>CA</v>
      </c>
      <c r="F91" t="s">
        <v>23</v>
      </c>
      <c r="G91" t="s">
        <v>20</v>
      </c>
      <c r="H91">
        <v>0</v>
      </c>
      <c r="I91">
        <v>8</v>
      </c>
      <c r="J91">
        <v>12</v>
      </c>
      <c r="K91" s="2" t="s">
        <v>20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4">
        <v>286</v>
      </c>
      <c r="P91">
        <v>3100</v>
      </c>
      <c r="Q91">
        <v>144</v>
      </c>
      <c r="R91" s="31">
        <v>0</v>
      </c>
      <c r="S91" s="30">
        <f>IFERROR(PROPERTIES[[#This Row],[TE_STARTING_KN]]/(PROPERTIES[[#This Row],[WEIGHT]]*9.81),0)</f>
        <v>0</v>
      </c>
      <c r="T91" s="30">
        <v>7.0000000000000007E-2</v>
      </c>
      <c r="U91" s="27">
        <f>ROUND(IF(IFERROR(PROPERTIES[[#This Row],[TE_COEFFICIENT_CALC]],0)=0,PROPERTIES[[#This Row],[TE_COEFFICIENT_MANUAL]],PROPERTIES[[#This Row],[TE_COEFFICIENT_CALC]]),3)</f>
        <v>7.0000000000000007E-2</v>
      </c>
      <c r="V91" s="6">
        <v>40</v>
      </c>
      <c r="W91" s="10">
        <v>0</v>
      </c>
      <c r="X91" s="10">
        <v>6</v>
      </c>
      <c r="Y91" s="11"/>
      <c r="Z91" t="s">
        <v>910</v>
      </c>
      <c r="AA91" t="s">
        <v>904</v>
      </c>
      <c r="AB91" s="2" t="s">
        <v>922</v>
      </c>
      <c r="AC91" s="10" t="s">
        <v>990</v>
      </c>
      <c r="AD91" s="10" t="s">
        <v>991</v>
      </c>
      <c r="AE91" s="11" t="str">
        <f>SUBSTITUTE(SUBSTITUTE(PROPERTIES[[#This Row],[PURCHASECOST_VALUE]], "PURCHASECOST_", ""), "_VALUE", "")</f>
        <v>STEAMENGINE</v>
      </c>
      <c r="AF91" s="10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116</v>
      </c>
      <c r="B92">
        <v>1937</v>
      </c>
      <c r="C92">
        <v>0</v>
      </c>
      <c r="D92" t="s">
        <v>1846</v>
      </c>
      <c r="E92" t="str">
        <f>_xlfn.XLOOKUP(PROPERTIES[[#This Row],[COUNTRY]],COUNTRIES[COUNTRY_DESCRIPTION],COUNTRIES[COUNTRY_LABEL],"")</f>
        <v>DK</v>
      </c>
      <c r="F92" t="s">
        <v>23</v>
      </c>
      <c r="G92" t="s">
        <v>20</v>
      </c>
      <c r="H92">
        <v>0</v>
      </c>
      <c r="I92">
        <v>6</v>
      </c>
      <c r="J92">
        <v>8</v>
      </c>
      <c r="K92" s="2" t="s">
        <v>20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4">
        <v>132</v>
      </c>
      <c r="P92">
        <v>1600</v>
      </c>
      <c r="Q92">
        <v>110</v>
      </c>
      <c r="R92" s="31">
        <v>0</v>
      </c>
      <c r="S92" s="30">
        <f>IFERROR(PROPERTIES[[#This Row],[TE_STARTING_KN]]/(PROPERTIES[[#This Row],[WEIGHT]]*9.81),0)</f>
        <v>0</v>
      </c>
      <c r="T92" s="30">
        <v>0.09</v>
      </c>
      <c r="U92" s="27">
        <f>ROUND(IF(IFERROR(PROPERTIES[[#This Row],[TE_COEFFICIENT_CALC]],0)=0,PROPERTIES[[#This Row],[TE_COEFFICIENT_MANUAL]],PROPERTIES[[#This Row],[TE_COEFFICIENT_CALC]]),3)</f>
        <v>0.09</v>
      </c>
      <c r="V92" s="6">
        <v>40</v>
      </c>
      <c r="W92" s="10">
        <v>0</v>
      </c>
      <c r="X92" s="10">
        <v>4</v>
      </c>
      <c r="Y92" s="11"/>
      <c r="Z92" t="s">
        <v>909</v>
      </c>
      <c r="AA92" t="s">
        <v>904</v>
      </c>
      <c r="AB92" s="2" t="s">
        <v>922</v>
      </c>
      <c r="AC92" s="10" t="s">
        <v>990</v>
      </c>
      <c r="AD92" s="10" t="s">
        <v>991</v>
      </c>
      <c r="AE92" s="11" t="str">
        <f>SUBSTITUTE(SUBSTITUTE(PROPERTIES[[#This Row],[PURCHASECOST_VALUE]], "PURCHASECOST_", ""), "_VALUE", "")</f>
        <v>STEAMENGINE</v>
      </c>
      <c r="AF92" s="10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117</v>
      </c>
      <c r="B93">
        <v>1937</v>
      </c>
      <c r="C93">
        <v>0</v>
      </c>
      <c r="D93" t="s">
        <v>1844</v>
      </c>
      <c r="E93" t="str">
        <f>_xlfn.XLOOKUP(PROPERTIES[[#This Row],[COUNTRY]],COUNTRIES[COUNTRY_DESCRIPTION],COUNTRIES[COUNTRY_LABEL],"")</f>
        <v>DE</v>
      </c>
      <c r="F93" t="s">
        <v>23</v>
      </c>
      <c r="G93" t="s">
        <v>20</v>
      </c>
      <c r="H93">
        <v>0</v>
      </c>
      <c r="I93">
        <v>8</v>
      </c>
      <c r="J93">
        <v>12</v>
      </c>
      <c r="K93" s="2" t="s">
        <v>20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4">
        <v>150</v>
      </c>
      <c r="P93">
        <v>1600</v>
      </c>
      <c r="Q93">
        <v>80</v>
      </c>
      <c r="R93" s="31">
        <v>0</v>
      </c>
      <c r="S93" s="30">
        <f>IFERROR(PROPERTIES[[#This Row],[TE_STARTING_KN]]/(PROPERTIES[[#This Row],[WEIGHT]]*9.81),0)</f>
        <v>0</v>
      </c>
      <c r="T93" s="30">
        <v>0.12</v>
      </c>
      <c r="U93" s="27">
        <f>ROUND(IF(IFERROR(PROPERTIES[[#This Row],[TE_COEFFICIENT_CALC]],0)=0,PROPERTIES[[#This Row],[TE_COEFFICIENT_MANUAL]],PROPERTIES[[#This Row],[TE_COEFFICIENT_CALC]]),3)</f>
        <v>0.12</v>
      </c>
      <c r="V93" s="6">
        <v>40</v>
      </c>
      <c r="W93" s="10">
        <v>0</v>
      </c>
      <c r="X93" s="10">
        <v>6</v>
      </c>
      <c r="Y93" s="11"/>
      <c r="Z93" t="s">
        <v>905</v>
      </c>
      <c r="AA93" t="s">
        <v>904</v>
      </c>
      <c r="AB93" s="2" t="s">
        <v>922</v>
      </c>
      <c r="AC93" s="10" t="s">
        <v>990</v>
      </c>
      <c r="AD93" s="10" t="s">
        <v>991</v>
      </c>
      <c r="AE93" s="11" t="str">
        <f>SUBSTITUTE(SUBSTITUTE(PROPERTIES[[#This Row],[PURCHASECOST_VALUE]], "PURCHASECOST_", ""), "_VALUE", "")</f>
        <v>STEAMENGINE</v>
      </c>
      <c r="AF93" s="10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118</v>
      </c>
      <c r="B94">
        <v>1948</v>
      </c>
      <c r="C94">
        <v>0</v>
      </c>
      <c r="D94" t="s">
        <v>1863</v>
      </c>
      <c r="E94" t="str">
        <f>_xlfn.XLOOKUP(PROPERTIES[[#This Row],[COUNTRY]],COUNTRIES[COUNTRY_DESCRIPTION],COUNTRIES[COUNTRY_LABEL],"")</f>
        <v>GB</v>
      </c>
      <c r="F94" t="s">
        <v>23</v>
      </c>
      <c r="G94" t="s">
        <v>20</v>
      </c>
      <c r="H94">
        <v>0</v>
      </c>
      <c r="I94">
        <v>8</v>
      </c>
      <c r="J94">
        <v>10</v>
      </c>
      <c r="K94" s="2" t="s">
        <v>20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4">
        <v>162</v>
      </c>
      <c r="P94">
        <v>2400</v>
      </c>
      <c r="Q94">
        <v>160</v>
      </c>
      <c r="R94" s="31">
        <v>0</v>
      </c>
      <c r="S94" s="30">
        <f>IFERROR(PROPERTIES[[#This Row],[TE_STARTING_KN]]/(PROPERTIES[[#This Row],[WEIGHT]]*9.81),0)</f>
        <v>0</v>
      </c>
      <c r="T94" s="30">
        <v>0.11</v>
      </c>
      <c r="U94" s="27">
        <f>ROUND(IF(IFERROR(PROPERTIES[[#This Row],[TE_COEFFICIENT_CALC]],0)=0,PROPERTIES[[#This Row],[TE_COEFFICIENT_MANUAL]],PROPERTIES[[#This Row],[TE_COEFFICIENT_CALC]]),3)</f>
        <v>0.11</v>
      </c>
      <c r="V94" s="6">
        <v>40</v>
      </c>
      <c r="W94" s="10">
        <v>0</v>
      </c>
      <c r="X94" s="10">
        <v>5</v>
      </c>
      <c r="Y94" s="11"/>
      <c r="Z94" t="s">
        <v>909</v>
      </c>
      <c r="AA94" t="s">
        <v>904</v>
      </c>
      <c r="AB94" s="2" t="s">
        <v>922</v>
      </c>
      <c r="AC94" s="10" t="s">
        <v>990</v>
      </c>
      <c r="AD94" s="10" t="s">
        <v>991</v>
      </c>
      <c r="AE94" s="11" t="str">
        <f>SUBSTITUTE(SUBSTITUTE(PROPERTIES[[#This Row],[PURCHASECOST_VALUE]], "PURCHASECOST_", ""), "_VALUE", "")</f>
        <v>STEAMENGINE</v>
      </c>
      <c r="AF94" s="10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119</v>
      </c>
      <c r="B95">
        <v>1953</v>
      </c>
      <c r="C95">
        <v>0</v>
      </c>
      <c r="D95" t="s">
        <v>2033</v>
      </c>
      <c r="E95" t="str">
        <f>_xlfn.XLOOKUP(PROPERTIES[[#This Row],[COUNTRY]],COUNTRIES[COUNTRY_DESCRIPTION],COUNTRIES[COUNTRY_LABEL],"")</f>
        <v>ZA</v>
      </c>
      <c r="F95" t="s">
        <v>23</v>
      </c>
      <c r="G95" t="s">
        <v>20</v>
      </c>
      <c r="H95">
        <v>0</v>
      </c>
      <c r="I95">
        <v>8</v>
      </c>
      <c r="J95">
        <v>10</v>
      </c>
      <c r="K95" s="2" t="s">
        <v>20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4">
        <v>231</v>
      </c>
      <c r="P95">
        <v>3000</v>
      </c>
      <c r="Q95">
        <v>100</v>
      </c>
      <c r="R95" s="31">
        <v>201</v>
      </c>
      <c r="S95" s="30">
        <f>IFERROR(PROPERTIES[[#This Row],[TE_STARTING_KN]]/(PROPERTIES[[#This Row],[WEIGHT]]*9.81),0)</f>
        <v>8.8698253835868504E-2</v>
      </c>
      <c r="T95" s="30">
        <v>0.08</v>
      </c>
      <c r="U95" s="27">
        <f>ROUND(IF(IFERROR(PROPERTIES[[#This Row],[TE_COEFFICIENT_CALC]],0)=0,PROPERTIES[[#This Row],[TE_COEFFICIENT_MANUAL]],PROPERTIES[[#This Row],[TE_COEFFICIENT_CALC]]),3)</f>
        <v>8.8999999999999996E-2</v>
      </c>
      <c r="V95" s="6">
        <v>40</v>
      </c>
      <c r="W95" s="10">
        <v>0</v>
      </c>
      <c r="X95" s="10">
        <v>5</v>
      </c>
      <c r="Y95" s="11"/>
      <c r="Z95" t="s">
        <v>908</v>
      </c>
      <c r="AA95" t="s">
        <v>904</v>
      </c>
      <c r="AB95" s="2" t="s">
        <v>922</v>
      </c>
      <c r="AC95" s="10" t="s">
        <v>990</v>
      </c>
      <c r="AD95" s="10" t="s">
        <v>991</v>
      </c>
      <c r="AE95" s="11" t="str">
        <f>SUBSTITUTE(SUBSTITUTE(PROPERTIES[[#This Row],[PURCHASECOST_VALUE]], "PURCHASECOST_", ""), "_VALUE", "")</f>
        <v>STEAMENGINE</v>
      </c>
      <c r="AF95" s="10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120</v>
      </c>
      <c r="B96">
        <v>1954</v>
      </c>
      <c r="C96">
        <v>0</v>
      </c>
      <c r="D96" t="s">
        <v>2038</v>
      </c>
      <c r="E96" t="str">
        <f>_xlfn.XLOOKUP(PROPERTIES[[#This Row],[COUNTRY]],COUNTRIES[COUNTRY_DESCRIPTION],COUNTRIES[COUNTRY_LABEL],"")</f>
        <v>SU</v>
      </c>
      <c r="F96" t="s">
        <v>23</v>
      </c>
      <c r="G96" t="s">
        <v>20</v>
      </c>
      <c r="H96">
        <v>0</v>
      </c>
      <c r="I96">
        <v>8</v>
      </c>
      <c r="J96">
        <v>12</v>
      </c>
      <c r="K96" s="2" t="s">
        <v>20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4">
        <v>254</v>
      </c>
      <c r="P96">
        <v>3000</v>
      </c>
      <c r="Q96">
        <v>125</v>
      </c>
      <c r="R96" s="31">
        <v>176</v>
      </c>
      <c r="S96" s="30">
        <f>IFERROR(PROPERTIES[[#This Row],[TE_STARTING_KN]]/(PROPERTIES[[#This Row],[WEIGHT]]*9.81),0)</f>
        <v>7.0633372663279473E-2</v>
      </c>
      <c r="T96" s="30">
        <v>0.06</v>
      </c>
      <c r="U96" s="27">
        <f>ROUND(IF(IFERROR(PROPERTIES[[#This Row],[TE_COEFFICIENT_CALC]],0)=0,PROPERTIES[[#This Row],[TE_COEFFICIENT_MANUAL]],PROPERTIES[[#This Row],[TE_COEFFICIENT_CALC]]),3)</f>
        <v>7.0999999999999994E-2</v>
      </c>
      <c r="V96" s="6">
        <v>40</v>
      </c>
      <c r="W96" s="10">
        <v>0</v>
      </c>
      <c r="X96" s="10">
        <v>6</v>
      </c>
      <c r="Y96" s="11"/>
      <c r="Z96" t="s">
        <v>913</v>
      </c>
      <c r="AA96" t="s">
        <v>904</v>
      </c>
      <c r="AB96" s="2" t="s">
        <v>922</v>
      </c>
      <c r="AC96" s="10" t="s">
        <v>990</v>
      </c>
      <c r="AD96" s="10" t="s">
        <v>991</v>
      </c>
      <c r="AE96" s="11" t="str">
        <f>SUBSTITUTE(SUBSTITUTE(PROPERTIES[[#This Row],[PURCHASECOST_VALUE]], "PURCHASECOST_", ""), "_VALUE", "")</f>
        <v>STEAMENGINE</v>
      </c>
      <c r="AF96" s="10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121</v>
      </c>
      <c r="B97">
        <v>1934</v>
      </c>
      <c r="C97">
        <v>0</v>
      </c>
      <c r="D97" t="s">
        <v>1862</v>
      </c>
      <c r="E97" t="str">
        <f>_xlfn.XLOOKUP(PROPERTIES[[#This Row],[COUNTRY]],COUNTRIES[COUNTRY_DESCRIPTION],COUNTRIES[COUNTRY_LABEL],"")</f>
        <v>FR</v>
      </c>
      <c r="F97" t="s">
        <v>23</v>
      </c>
      <c r="G97" t="s">
        <v>20</v>
      </c>
      <c r="H97">
        <v>0</v>
      </c>
      <c r="I97">
        <v>8</v>
      </c>
      <c r="J97">
        <v>10</v>
      </c>
      <c r="K97" s="2" t="s">
        <v>20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4">
        <v>119</v>
      </c>
      <c r="P97">
        <v>1500</v>
      </c>
      <c r="Q97">
        <v>105</v>
      </c>
      <c r="R97" s="31">
        <v>253</v>
      </c>
      <c r="S97" s="30">
        <f>IFERROR(PROPERTIES[[#This Row],[TE_STARTING_KN]]/(PROPERTIES[[#This Row],[WEIGHT]]*9.81),0)</f>
        <v>0.21672277473680601</v>
      </c>
      <c r="T97" s="30">
        <v>0.22</v>
      </c>
      <c r="U97" s="27">
        <f>ROUND(IF(IFERROR(PROPERTIES[[#This Row],[TE_COEFFICIENT_CALC]],0)=0,PROPERTIES[[#This Row],[TE_COEFFICIENT_MANUAL]],PROPERTIES[[#This Row],[TE_COEFFICIENT_CALC]]),3)</f>
        <v>0.217</v>
      </c>
      <c r="V97" s="6">
        <v>40</v>
      </c>
      <c r="W97" s="10">
        <v>0</v>
      </c>
      <c r="X97" s="10">
        <v>5</v>
      </c>
      <c r="Y97" s="11"/>
      <c r="Z97" t="s">
        <v>905</v>
      </c>
      <c r="AA97" t="s">
        <v>904</v>
      </c>
      <c r="AB97" s="2" t="s">
        <v>922</v>
      </c>
      <c r="AC97" s="10" t="s">
        <v>990</v>
      </c>
      <c r="AD97" s="10" t="s">
        <v>991</v>
      </c>
      <c r="AE97" s="11" t="str">
        <f>SUBSTITUTE(SUBSTITUTE(PROPERTIES[[#This Row],[PURCHASECOST_VALUE]], "PURCHASECOST_", ""), "_VALUE", "")</f>
        <v>STEAMENGINE</v>
      </c>
      <c r="AF97" s="10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122</v>
      </c>
      <c r="B98">
        <v>1908</v>
      </c>
      <c r="C98">
        <v>0</v>
      </c>
      <c r="D98" t="s">
        <v>1896</v>
      </c>
      <c r="E98" t="str">
        <f>_xlfn.XLOOKUP(PROPERTIES[[#This Row],[COUNTRY]],COUNTRIES[COUNTRY_DESCRIPTION],COUNTRIES[COUNTRY_LABEL],"")</f>
        <v>IT</v>
      </c>
      <c r="F98" t="s">
        <v>23</v>
      </c>
      <c r="G98" t="s">
        <v>20</v>
      </c>
      <c r="H98">
        <v>0</v>
      </c>
      <c r="I98">
        <v>5</v>
      </c>
      <c r="J98">
        <v>5</v>
      </c>
      <c r="K98" s="2" t="s">
        <v>20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4">
        <v>55</v>
      </c>
      <c r="P98">
        <v>500</v>
      </c>
      <c r="Q98">
        <v>40</v>
      </c>
      <c r="R98" s="31">
        <v>0</v>
      </c>
      <c r="S98" s="30">
        <f>IFERROR(PROPERTIES[[#This Row],[TE_STARTING_KN]]/(PROPERTIES[[#This Row],[WEIGHT]]*9.81),0)</f>
        <v>0</v>
      </c>
      <c r="T98" s="30">
        <v>0.21</v>
      </c>
      <c r="U98" s="27">
        <f>ROUND(IF(IFERROR(PROPERTIES[[#This Row],[TE_COEFFICIENT_CALC]],0)=0,PROPERTIES[[#This Row],[TE_COEFFICIENT_MANUAL]],PROPERTIES[[#This Row],[TE_COEFFICIENT_CALC]]),3)</f>
        <v>0.21</v>
      </c>
      <c r="V98" s="6">
        <v>40</v>
      </c>
      <c r="W98" s="10">
        <v>0</v>
      </c>
      <c r="X98" s="10">
        <v>0</v>
      </c>
      <c r="Y98" s="11"/>
      <c r="Z98" t="s">
        <v>906</v>
      </c>
      <c r="AA98" t="s">
        <v>904</v>
      </c>
      <c r="AB98" s="2" t="s">
        <v>922</v>
      </c>
      <c r="AC98" s="10" t="s">
        <v>990</v>
      </c>
      <c r="AD98" s="10" t="s">
        <v>991</v>
      </c>
      <c r="AE98" s="11" t="str">
        <f>SUBSTITUTE(SUBSTITUTE(PROPERTIES[[#This Row],[PURCHASECOST_VALUE]], "PURCHASECOST_", ""), "_VALUE", "")</f>
        <v>STEAMENGINE</v>
      </c>
      <c r="AF98" s="10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98" s="2" t="b">
        <v>0</v>
      </c>
      <c r="AY98"/>
      <c r="AZ98"/>
      <c r="BA98"/>
    </row>
    <row r="99" spans="1:53">
      <c r="A99" s="2" t="s">
        <v>123</v>
      </c>
      <c r="B99">
        <v>1934</v>
      </c>
      <c r="C99">
        <v>0</v>
      </c>
      <c r="D99" t="s">
        <v>1965</v>
      </c>
      <c r="E99" t="str">
        <f>_xlfn.XLOOKUP(PROPERTIES[[#This Row],[COUNTRY]],COUNTRIES[COUNTRY_DESCRIPTION],COUNTRIES[COUNTRY_LABEL],"")</f>
        <v>PL</v>
      </c>
      <c r="F99" t="s">
        <v>23</v>
      </c>
      <c r="G99" t="s">
        <v>20</v>
      </c>
      <c r="H99">
        <v>0</v>
      </c>
      <c r="I99">
        <v>7</v>
      </c>
      <c r="J99">
        <v>7</v>
      </c>
      <c r="K99" s="2" t="s">
        <v>20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4">
        <v>118</v>
      </c>
      <c r="P99">
        <v>1868</v>
      </c>
      <c r="Q99">
        <v>75</v>
      </c>
      <c r="R99" s="31">
        <v>0</v>
      </c>
      <c r="S99" s="30">
        <f>IFERROR(PROPERTIES[[#This Row],[TE_STARTING_KN]]/(PROPERTIES[[#This Row],[WEIGHT]]*9.81),0)</f>
        <v>0</v>
      </c>
      <c r="T99" s="30">
        <v>0.11</v>
      </c>
      <c r="U99" s="27">
        <f>ROUND(IF(IFERROR(PROPERTIES[[#This Row],[TE_COEFFICIENT_CALC]],0)=0,PROPERTIES[[#This Row],[TE_COEFFICIENT_MANUAL]],PROPERTIES[[#This Row],[TE_COEFFICIENT_CALC]]),3)</f>
        <v>0.11</v>
      </c>
      <c r="V99" s="6">
        <v>40</v>
      </c>
      <c r="W99" s="10">
        <v>0</v>
      </c>
      <c r="X99" s="10">
        <v>0</v>
      </c>
      <c r="Y99" s="11"/>
      <c r="Z99" t="s">
        <v>911</v>
      </c>
      <c r="AA99" t="s">
        <v>904</v>
      </c>
      <c r="AB99" s="2" t="s">
        <v>922</v>
      </c>
      <c r="AC99" s="10" t="s">
        <v>990</v>
      </c>
      <c r="AD99" s="10" t="s">
        <v>991</v>
      </c>
      <c r="AE99" s="11" t="str">
        <f>SUBSTITUTE(SUBSTITUTE(PROPERTIES[[#This Row],[PURCHASECOST_VALUE]], "PURCHASECOST_", ""), "_VALUE", "")</f>
        <v>STEAMENGINE</v>
      </c>
      <c r="AF99" s="10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124</v>
      </c>
      <c r="B100">
        <v>1913</v>
      </c>
      <c r="C100">
        <v>0</v>
      </c>
      <c r="D100" t="s">
        <v>1830</v>
      </c>
      <c r="E100" t="str">
        <f>_xlfn.XLOOKUP(PROPERTIES[[#This Row],[COUNTRY]],COUNTRIES[COUNTRY_DESCRIPTION],COUNTRIES[COUNTRY_LABEL],"")</f>
        <v>CH</v>
      </c>
      <c r="F100" t="s">
        <v>23</v>
      </c>
      <c r="G100" t="s">
        <v>20</v>
      </c>
      <c r="H100">
        <v>0</v>
      </c>
      <c r="I100">
        <v>8</v>
      </c>
      <c r="J100">
        <v>8</v>
      </c>
      <c r="K100" s="2" t="s">
        <v>20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4">
        <v>151</v>
      </c>
      <c r="P100">
        <v>1620</v>
      </c>
      <c r="Q100">
        <v>65</v>
      </c>
      <c r="R100" s="31">
        <v>0</v>
      </c>
      <c r="S100" s="30">
        <f>IFERROR(PROPERTIES[[#This Row],[TE_STARTING_KN]]/(PROPERTIES[[#This Row],[WEIGHT]]*9.81),0)</f>
        <v>0</v>
      </c>
      <c r="T100" s="30">
        <v>0.12</v>
      </c>
      <c r="U100" s="27">
        <f>ROUND(IF(IFERROR(PROPERTIES[[#This Row],[TE_COEFFICIENT_CALC]],0)=0,PROPERTIES[[#This Row],[TE_COEFFICIENT_MANUAL]],PROPERTIES[[#This Row],[TE_COEFFICIENT_CALC]]),3)</f>
        <v>0.12</v>
      </c>
      <c r="V100" s="6">
        <v>40</v>
      </c>
      <c r="W100" s="10">
        <v>0</v>
      </c>
      <c r="X100" s="10">
        <v>4</v>
      </c>
      <c r="Y100" s="11"/>
      <c r="Z100" t="s">
        <v>905</v>
      </c>
      <c r="AA100" t="s">
        <v>904</v>
      </c>
      <c r="AB100" s="2" t="s">
        <v>922</v>
      </c>
      <c r="AC100" s="10" t="s">
        <v>990</v>
      </c>
      <c r="AD100" s="10" t="s">
        <v>991</v>
      </c>
      <c r="AE100" s="11" t="str">
        <f>SUBSTITUTE(SUBSTITUTE(PROPERTIES[[#This Row],[PURCHASECOST_VALUE]], "PURCHASECOST_", ""), "_VALUE", "")</f>
        <v>STEAMENGINE</v>
      </c>
      <c r="AF100" s="10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125</v>
      </c>
      <c r="B101">
        <v>1941</v>
      </c>
      <c r="C101">
        <v>0</v>
      </c>
      <c r="D101" t="s">
        <v>2019</v>
      </c>
      <c r="E101" t="str">
        <f>_xlfn.XLOOKUP(PROPERTIES[[#This Row],[COUNTRY]],COUNTRIES[COUNTRY_DESCRIPTION],COUNTRIES[COUNTRY_LABEL],"")</f>
        <v>US</v>
      </c>
      <c r="F101" t="s">
        <v>23</v>
      </c>
      <c r="G101" t="s">
        <v>20</v>
      </c>
      <c r="H101">
        <v>0</v>
      </c>
      <c r="I101">
        <v>8</v>
      </c>
      <c r="J101">
        <v>6</v>
      </c>
      <c r="K101" s="2" t="s">
        <v>20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4">
        <v>603</v>
      </c>
      <c r="P101">
        <v>6290</v>
      </c>
      <c r="Q101">
        <v>128</v>
      </c>
      <c r="R101" s="31">
        <v>0</v>
      </c>
      <c r="S101" s="30">
        <f>IFERROR(PROPERTIES[[#This Row],[TE_STARTING_KN]]/(PROPERTIES[[#This Row],[WEIGHT]]*9.81),0)</f>
        <v>0</v>
      </c>
      <c r="T101" s="30">
        <v>0.1</v>
      </c>
      <c r="U101" s="27">
        <f>ROUND(IF(IFERROR(PROPERTIES[[#This Row],[TE_COEFFICIENT_CALC]],0)=0,PROPERTIES[[#This Row],[TE_COEFFICIENT_MANUAL]],PROPERTIES[[#This Row],[TE_COEFFICIENT_CALC]]),3)</f>
        <v>0.1</v>
      </c>
      <c r="V101" s="6">
        <v>40</v>
      </c>
      <c r="W101" s="10">
        <v>0</v>
      </c>
      <c r="X101" s="10">
        <v>0</v>
      </c>
      <c r="Y101" s="11"/>
      <c r="Z101" t="s">
        <v>910</v>
      </c>
      <c r="AA101" t="s">
        <v>904</v>
      </c>
      <c r="AB101" s="2" t="s">
        <v>922</v>
      </c>
      <c r="AC101" s="10" t="s">
        <v>990</v>
      </c>
      <c r="AD101" s="10" t="s">
        <v>991</v>
      </c>
      <c r="AE101" s="11" t="str">
        <f>SUBSTITUTE(SUBSTITUTE(PROPERTIES[[#This Row],[PURCHASECOST_VALUE]], "PURCHASECOST_", ""), "_VALUE", "")</f>
        <v>STEAMENGINE</v>
      </c>
      <c r="AF101" s="10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126</v>
      </c>
      <c r="B102">
        <v>1844</v>
      </c>
      <c r="C102">
        <v>0</v>
      </c>
      <c r="D102" t="s">
        <v>1952</v>
      </c>
      <c r="E102" t="str">
        <f>_xlfn.XLOOKUP(PROPERTIES[[#This Row],[COUNTRY]],COUNTRIES[COUNTRY_DESCRIPTION],COUNTRIES[COUNTRY_LABEL],"")</f>
        <v>NL</v>
      </c>
      <c r="F102" t="s">
        <v>23</v>
      </c>
      <c r="G102" t="s">
        <v>18</v>
      </c>
      <c r="H102">
        <v>0</v>
      </c>
      <c r="I102">
        <v>4</v>
      </c>
      <c r="J102">
        <v>6</v>
      </c>
      <c r="K102" s="2" t="s">
        <v>20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4">
        <f>48+32</f>
        <v>80</v>
      </c>
      <c r="P102">
        <v>600</v>
      </c>
      <c r="Q102">
        <v>90</v>
      </c>
      <c r="R102" s="31">
        <v>0</v>
      </c>
      <c r="S102" s="30">
        <f>IFERROR(PROPERTIES[[#This Row],[TE_STARTING_KN]]/(PROPERTIES[[#This Row],[WEIGHT]]*9.81),0)</f>
        <v>0</v>
      </c>
      <c r="T102" s="30">
        <v>0.08</v>
      </c>
      <c r="U102" s="27">
        <f>ROUND(IF(IFERROR(PROPERTIES[[#This Row],[TE_COEFFICIENT_CALC]],0)=0,PROPERTIES[[#This Row],[TE_COEFFICIENT_MANUAL]],PROPERTIES[[#This Row],[TE_COEFFICIENT_CALC]]),3)</f>
        <v>0.08</v>
      </c>
      <c r="V102" s="6">
        <v>40</v>
      </c>
      <c r="W102" s="10">
        <v>0</v>
      </c>
      <c r="X102" s="10">
        <v>3</v>
      </c>
      <c r="Y102" s="11"/>
      <c r="Z102" t="s">
        <v>905</v>
      </c>
      <c r="AA102" t="s">
        <v>904</v>
      </c>
      <c r="AB102" s="2" t="s">
        <v>922</v>
      </c>
      <c r="AC102" s="10" t="s">
        <v>990</v>
      </c>
      <c r="AD102" s="10" t="s">
        <v>991</v>
      </c>
      <c r="AE102" s="11" t="str">
        <f>SUBSTITUTE(SUBSTITUTE(PROPERTIES[[#This Row],[PURCHASECOST_VALUE]], "PURCHASECOST_", ""), "_VALUE", "")</f>
        <v>STEAMENGINE</v>
      </c>
      <c r="AF102" s="10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127</v>
      </c>
      <c r="B103">
        <v>1846</v>
      </c>
      <c r="C103">
        <v>0</v>
      </c>
      <c r="D103" t="s">
        <v>1863</v>
      </c>
      <c r="E103" t="str">
        <f>_xlfn.XLOOKUP(PROPERTIES[[#This Row],[COUNTRY]],COUNTRIES[COUNTRY_DESCRIPTION],COUNTRIES[COUNTRY_LABEL],"")</f>
        <v>GB</v>
      </c>
      <c r="F103" t="s">
        <v>23</v>
      </c>
      <c r="G103" t="s">
        <v>18</v>
      </c>
      <c r="H103">
        <v>0</v>
      </c>
      <c r="I103">
        <v>8</v>
      </c>
      <c r="J103">
        <v>8</v>
      </c>
      <c r="K103" s="2" t="s">
        <v>20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4">
        <v>65</v>
      </c>
      <c r="P103">
        <v>450</v>
      </c>
      <c r="Q103">
        <v>128</v>
      </c>
      <c r="R103" s="31">
        <v>0</v>
      </c>
      <c r="S103" s="30">
        <f>IFERROR(PROPERTIES[[#This Row],[TE_STARTING_KN]]/(PROPERTIES[[#This Row],[WEIGHT]]*9.81),0)</f>
        <v>0</v>
      </c>
      <c r="T103" s="30">
        <v>0.06</v>
      </c>
      <c r="U103" s="27">
        <f>ROUND(IF(IFERROR(PROPERTIES[[#This Row],[TE_COEFFICIENT_CALC]],0)=0,PROPERTIES[[#This Row],[TE_COEFFICIENT_MANUAL]],PROPERTIES[[#This Row],[TE_COEFFICIENT_CALC]]),3)</f>
        <v>0.06</v>
      </c>
      <c r="V103" s="6">
        <v>40</v>
      </c>
      <c r="W103" s="10">
        <v>0</v>
      </c>
      <c r="X103" s="10">
        <v>4</v>
      </c>
      <c r="Y103" s="11"/>
      <c r="Z103" t="s">
        <v>909</v>
      </c>
      <c r="AA103" t="s">
        <v>904</v>
      </c>
      <c r="AB103" s="2" t="s">
        <v>922</v>
      </c>
      <c r="AC103" s="10" t="s">
        <v>990</v>
      </c>
      <c r="AD103" s="10" t="s">
        <v>991</v>
      </c>
      <c r="AE103" s="11" t="str">
        <f>SUBSTITUTE(SUBSTITUTE(PROPERTIES[[#This Row],[PURCHASECOST_VALUE]], "PURCHASECOST_", ""), "_VALUE", "")</f>
        <v>STEAMENGINE</v>
      </c>
      <c r="AF103" s="10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128</v>
      </c>
      <c r="B104">
        <v>1855</v>
      </c>
      <c r="C104">
        <v>0</v>
      </c>
      <c r="D104" t="s">
        <v>1800</v>
      </c>
      <c r="E104" t="str">
        <f>_xlfn.XLOOKUP(PROPERTIES[[#This Row],[COUNTRY]],COUNTRIES[COUNTRY_DESCRIPTION],COUNTRIES[COUNTRY_LABEL],"")</f>
        <v>AU</v>
      </c>
      <c r="F104" t="s">
        <v>23</v>
      </c>
      <c r="G104" t="s">
        <v>18</v>
      </c>
      <c r="H104">
        <v>0</v>
      </c>
      <c r="I104">
        <v>5</v>
      </c>
      <c r="J104">
        <v>8</v>
      </c>
      <c r="K104" s="2" t="s">
        <v>20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4">
        <v>45</v>
      </c>
      <c r="P104">
        <v>160</v>
      </c>
      <c r="Q104">
        <v>55</v>
      </c>
      <c r="R104" s="31">
        <v>40</v>
      </c>
      <c r="S104" s="30">
        <f>IFERROR(PROPERTIES[[#This Row],[TE_STARTING_KN]]/(PROPERTIES[[#This Row],[WEIGHT]]*9.81),0)</f>
        <v>9.0610488164004979E-2</v>
      </c>
      <c r="T104" s="30">
        <v>0.08</v>
      </c>
      <c r="U104" s="27">
        <f>ROUND(IF(IFERROR(PROPERTIES[[#This Row],[TE_COEFFICIENT_CALC]],0)=0,PROPERTIES[[#This Row],[TE_COEFFICIENT_MANUAL]],PROPERTIES[[#This Row],[TE_COEFFICIENT_CALC]]),3)</f>
        <v>9.0999999999999998E-2</v>
      </c>
      <c r="V104" s="6">
        <v>40</v>
      </c>
      <c r="W104" s="10">
        <v>0</v>
      </c>
      <c r="X104" s="10">
        <v>4</v>
      </c>
      <c r="Y104" s="11"/>
      <c r="Z104" t="s">
        <v>907</v>
      </c>
      <c r="AA104" t="s">
        <v>904</v>
      </c>
      <c r="AB104" s="2" t="s">
        <v>922</v>
      </c>
      <c r="AC104" s="10" t="s">
        <v>990</v>
      </c>
      <c r="AD104" s="10" t="s">
        <v>991</v>
      </c>
      <c r="AE104" s="11" t="str">
        <f>SUBSTITUTE(SUBSTITUTE(PROPERTIES[[#This Row],[PURCHASECOST_VALUE]], "PURCHASECOST_", ""), "_VALUE", "")</f>
        <v>STEAMENGINE</v>
      </c>
      <c r="AF104" s="10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04" s="2" t="b">
        <v>0</v>
      </c>
      <c r="AY104"/>
      <c r="AZ104"/>
      <c r="BA104"/>
    </row>
    <row r="105" spans="1:53">
      <c r="A105" s="2" t="s">
        <v>129</v>
      </c>
      <c r="B105">
        <v>1863</v>
      </c>
      <c r="C105">
        <v>0</v>
      </c>
      <c r="D105" t="s">
        <v>2019</v>
      </c>
      <c r="E105" t="str">
        <f>_xlfn.XLOOKUP(PROPERTIES[[#This Row],[COUNTRY]],COUNTRIES[COUNTRY_DESCRIPTION],COUNTRIES[COUNTRY_LABEL],"")</f>
        <v>US</v>
      </c>
      <c r="F105" t="s">
        <v>23</v>
      </c>
      <c r="G105" t="s">
        <v>18</v>
      </c>
      <c r="H105">
        <v>0</v>
      </c>
      <c r="I105">
        <v>5</v>
      </c>
      <c r="J105">
        <v>6</v>
      </c>
      <c r="K105" s="2" t="s">
        <v>20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4">
        <v>45</v>
      </c>
      <c r="P105">
        <v>126</v>
      </c>
      <c r="Q105">
        <v>65</v>
      </c>
      <c r="R105" s="31">
        <v>34.6</v>
      </c>
      <c r="S105" s="30">
        <f>IFERROR(PROPERTIES[[#This Row],[TE_STARTING_KN]]/(PROPERTIES[[#This Row],[WEIGHT]]*9.81),0)</f>
        <v>7.8378072261864301E-2</v>
      </c>
      <c r="T105" s="30">
        <v>0.14000000000000001</v>
      </c>
      <c r="U105" s="27">
        <f>ROUND(IF(IFERROR(PROPERTIES[[#This Row],[TE_COEFFICIENT_CALC]],0)=0,PROPERTIES[[#This Row],[TE_COEFFICIENT_MANUAL]],PROPERTIES[[#This Row],[TE_COEFFICIENT_CALC]]),3)</f>
        <v>7.8E-2</v>
      </c>
      <c r="V105" s="6">
        <v>40</v>
      </c>
      <c r="W105" s="10">
        <v>0</v>
      </c>
      <c r="X105" s="10">
        <v>3</v>
      </c>
      <c r="Y105" s="11"/>
      <c r="Z105" t="s">
        <v>910</v>
      </c>
      <c r="AA105" t="s">
        <v>904</v>
      </c>
      <c r="AB105" s="2" t="s">
        <v>922</v>
      </c>
      <c r="AC105" s="10" t="s">
        <v>990</v>
      </c>
      <c r="AD105" s="10" t="s">
        <v>991</v>
      </c>
      <c r="AE105" s="11" t="str">
        <f>SUBSTITUTE(SUBSTITUTE(PROPERTIES[[#This Row],[PURCHASECOST_VALUE]], "PURCHASECOST_", ""), "_VALUE", "")</f>
        <v>STEAMENGINE</v>
      </c>
      <c r="AF105" s="10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130</v>
      </c>
      <c r="B106">
        <v>1865</v>
      </c>
      <c r="C106">
        <v>0</v>
      </c>
      <c r="D106" t="s">
        <v>1952</v>
      </c>
      <c r="E106" t="str">
        <f>_xlfn.XLOOKUP(PROPERTIES[[#This Row],[COUNTRY]],COUNTRIES[COUNTRY_DESCRIPTION],COUNTRIES[COUNTRY_LABEL],"")</f>
        <v>NL</v>
      </c>
      <c r="F106" t="s">
        <v>23</v>
      </c>
      <c r="G106" t="s">
        <v>18</v>
      </c>
      <c r="H106">
        <v>0</v>
      </c>
      <c r="I106">
        <v>5</v>
      </c>
      <c r="J106">
        <v>6</v>
      </c>
      <c r="K106" s="2" t="s">
        <v>20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4">
        <v>49</v>
      </c>
      <c r="P106">
        <v>320</v>
      </c>
      <c r="Q106">
        <v>90</v>
      </c>
      <c r="R106" s="31">
        <v>0</v>
      </c>
      <c r="S106" s="30">
        <f>IFERROR(PROPERTIES[[#This Row],[TE_STARTING_KN]]/(PROPERTIES[[#This Row],[WEIGHT]]*9.81),0)</f>
        <v>0</v>
      </c>
      <c r="T106" s="30">
        <v>7.0000000000000007E-2</v>
      </c>
      <c r="U106" s="27">
        <f>ROUND(IF(IFERROR(PROPERTIES[[#This Row],[TE_COEFFICIENT_CALC]],0)=0,PROPERTIES[[#This Row],[TE_COEFFICIENT_MANUAL]],PROPERTIES[[#This Row],[TE_COEFFICIENT_CALC]]),3)</f>
        <v>7.0000000000000007E-2</v>
      </c>
      <c r="V106" s="6">
        <v>40</v>
      </c>
      <c r="W106" s="10">
        <v>0</v>
      </c>
      <c r="X106" s="10">
        <v>3</v>
      </c>
      <c r="Y106" s="11"/>
      <c r="Z106" t="s">
        <v>905</v>
      </c>
      <c r="AA106" t="s">
        <v>904</v>
      </c>
      <c r="AB106" s="2" t="s">
        <v>922</v>
      </c>
      <c r="AC106" s="10" t="s">
        <v>990</v>
      </c>
      <c r="AD106" s="10" t="s">
        <v>991</v>
      </c>
      <c r="AE106" s="11" t="str">
        <f>SUBSTITUTE(SUBSTITUTE(PROPERTIES[[#This Row],[PURCHASECOST_VALUE]], "PURCHASECOST_", ""), "_VALUE", "")</f>
        <v>STEAMENGINE</v>
      </c>
      <c r="AF106" s="10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131</v>
      </c>
      <c r="B107">
        <v>1876</v>
      </c>
      <c r="C107">
        <v>0</v>
      </c>
      <c r="D107" t="s">
        <v>2033</v>
      </c>
      <c r="E107" t="str">
        <f>_xlfn.XLOOKUP(PROPERTIES[[#This Row],[COUNTRY]],COUNTRIES[COUNTRY_DESCRIPTION],COUNTRIES[COUNTRY_LABEL],"")</f>
        <v>ZA</v>
      </c>
      <c r="F107" t="s">
        <v>23</v>
      </c>
      <c r="G107" t="s">
        <v>18</v>
      </c>
      <c r="H107">
        <v>0</v>
      </c>
      <c r="I107">
        <v>5</v>
      </c>
      <c r="J107">
        <v>5</v>
      </c>
      <c r="K107" s="2" t="s">
        <v>20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4">
        <v>30</v>
      </c>
      <c r="P107">
        <v>240</v>
      </c>
      <c r="Q107">
        <v>55</v>
      </c>
      <c r="R107" s="31">
        <v>44</v>
      </c>
      <c r="S107" s="30">
        <f>IFERROR(PROPERTIES[[#This Row],[TE_STARTING_KN]]/(PROPERTIES[[#This Row],[WEIGHT]]*9.81),0)</f>
        <v>0.14950730547060823</v>
      </c>
      <c r="T107" s="30">
        <v>0.17</v>
      </c>
      <c r="U107" s="27">
        <f>ROUND(IF(IFERROR(PROPERTIES[[#This Row],[TE_COEFFICIENT_CALC]],0)=0,PROPERTIES[[#This Row],[TE_COEFFICIENT_MANUAL]],PROPERTIES[[#This Row],[TE_COEFFICIENT_CALC]]),3)</f>
        <v>0.15</v>
      </c>
      <c r="V107" s="6">
        <v>40</v>
      </c>
      <c r="W107" s="10">
        <v>0</v>
      </c>
      <c r="X107" s="10">
        <v>0</v>
      </c>
      <c r="Y107" s="11"/>
      <c r="Z107" t="s">
        <v>908</v>
      </c>
      <c r="AA107" t="s">
        <v>904</v>
      </c>
      <c r="AB107" s="2" t="s">
        <v>922</v>
      </c>
      <c r="AC107" s="10" t="s">
        <v>990</v>
      </c>
      <c r="AD107" s="10" t="s">
        <v>991</v>
      </c>
      <c r="AE107" s="11" t="str">
        <f>SUBSTITUTE(SUBSTITUTE(PROPERTIES[[#This Row],[PURCHASECOST_VALUE]], "PURCHASECOST_", ""), "_VALUE", "")</f>
        <v>STEAMENGINE</v>
      </c>
      <c r="AF107" s="10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07" s="2" t="b">
        <v>0</v>
      </c>
      <c r="AY107"/>
      <c r="AZ107"/>
      <c r="BA107"/>
    </row>
    <row r="108" spans="1:53">
      <c r="A108" s="2" t="s">
        <v>132</v>
      </c>
      <c r="B108">
        <v>1881</v>
      </c>
      <c r="C108">
        <v>0</v>
      </c>
      <c r="D108" t="s">
        <v>1800</v>
      </c>
      <c r="E108" t="str">
        <f>_xlfn.XLOOKUP(PROPERTIES[[#This Row],[COUNTRY]],COUNTRIES[COUNTRY_DESCRIPTION],COUNTRIES[COUNTRY_LABEL],"")</f>
        <v>AU</v>
      </c>
      <c r="F108" t="s">
        <v>23</v>
      </c>
      <c r="G108" t="s">
        <v>18</v>
      </c>
      <c r="H108">
        <v>0</v>
      </c>
      <c r="I108">
        <v>7</v>
      </c>
      <c r="J108">
        <v>8</v>
      </c>
      <c r="K108" s="2" t="s">
        <v>20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4">
        <v>75</v>
      </c>
      <c r="P108">
        <v>650</v>
      </c>
      <c r="Q108">
        <v>80</v>
      </c>
      <c r="R108" s="31">
        <v>98.1</v>
      </c>
      <c r="S108" s="30">
        <f>IFERROR(PROPERTIES[[#This Row],[TE_STARTING_KN]]/(PROPERTIES[[#This Row],[WEIGHT]]*9.81),0)</f>
        <v>0.13333333333333333</v>
      </c>
      <c r="T108" s="30">
        <v>0.14000000000000001</v>
      </c>
      <c r="U108" s="27">
        <f>ROUND(IF(IFERROR(PROPERTIES[[#This Row],[TE_COEFFICIENT_CALC]],0)=0,PROPERTIES[[#This Row],[TE_COEFFICIENT_MANUAL]],PROPERTIES[[#This Row],[TE_COEFFICIENT_CALC]]),3)</f>
        <v>0.13300000000000001</v>
      </c>
      <c r="V108" s="6">
        <v>40</v>
      </c>
      <c r="W108" s="10">
        <v>0</v>
      </c>
      <c r="X108" s="10">
        <v>4</v>
      </c>
      <c r="Y108" s="11"/>
      <c r="Z108" t="s">
        <v>907</v>
      </c>
      <c r="AA108" t="s">
        <v>904</v>
      </c>
      <c r="AB108" s="2" t="s">
        <v>922</v>
      </c>
      <c r="AC108" s="10" t="s">
        <v>990</v>
      </c>
      <c r="AD108" s="10" t="s">
        <v>991</v>
      </c>
      <c r="AE108" s="11" t="str">
        <f>SUBSTITUTE(SUBSTITUTE(PROPERTIES[[#This Row],[PURCHASECOST_VALUE]], "PURCHASECOST_", ""), "_VALUE", "")</f>
        <v>STEAMENGINE</v>
      </c>
      <c r="AF108" s="10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133</v>
      </c>
      <c r="B109">
        <v>1886</v>
      </c>
      <c r="C109">
        <v>0</v>
      </c>
      <c r="D109" t="s">
        <v>1825</v>
      </c>
      <c r="E109" t="str">
        <f>_xlfn.XLOOKUP(PROPERTIES[[#This Row],[COUNTRY]],COUNTRIES[COUNTRY_DESCRIPTION],COUNTRIES[COUNTRY_LABEL],"")</f>
        <v>CA</v>
      </c>
      <c r="F109" t="s">
        <v>23</v>
      </c>
      <c r="G109" t="s">
        <v>18</v>
      </c>
      <c r="H109">
        <v>0</v>
      </c>
      <c r="I109">
        <v>6</v>
      </c>
      <c r="J109">
        <v>8</v>
      </c>
      <c r="K109" s="2" t="s">
        <v>20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4">
        <v>82</v>
      </c>
      <c r="P109">
        <v>380</v>
      </c>
      <c r="Q109">
        <v>80</v>
      </c>
      <c r="R109" s="31">
        <v>67</v>
      </c>
      <c r="S109" s="30">
        <f>IFERROR(PROPERTIES[[#This Row],[TE_STARTING_KN]]/(PROPERTIES[[#This Row],[WEIGHT]]*9.81),0)</f>
        <v>8.3289823723925308E-2</v>
      </c>
      <c r="T109" s="30">
        <v>0.13</v>
      </c>
      <c r="U109" s="27">
        <f>ROUND(IF(IFERROR(PROPERTIES[[#This Row],[TE_COEFFICIENT_CALC]],0)=0,PROPERTIES[[#This Row],[TE_COEFFICIENT_MANUAL]],PROPERTIES[[#This Row],[TE_COEFFICIENT_CALC]]),3)</f>
        <v>8.3000000000000004E-2</v>
      </c>
      <c r="V109" s="6">
        <v>40</v>
      </c>
      <c r="W109" s="10">
        <v>0</v>
      </c>
      <c r="X109" s="10">
        <v>4</v>
      </c>
      <c r="Y109" s="11"/>
      <c r="Z109" t="s">
        <v>910</v>
      </c>
      <c r="AA109" t="s">
        <v>904</v>
      </c>
      <c r="AB109" s="2" t="s">
        <v>922</v>
      </c>
      <c r="AC109" s="10" t="s">
        <v>990</v>
      </c>
      <c r="AD109" s="10" t="s">
        <v>991</v>
      </c>
      <c r="AE109" s="11" t="str">
        <f>SUBSTITUTE(SUBSTITUTE(PROPERTIES[[#This Row],[PURCHASECOST_VALUE]], "PURCHASECOST_", ""), "_VALUE", "")</f>
        <v>STEAMENGINE</v>
      </c>
      <c r="AF109" s="10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134</v>
      </c>
      <c r="B110">
        <v>1887</v>
      </c>
      <c r="C110">
        <v>0</v>
      </c>
      <c r="D110" t="s">
        <v>2033</v>
      </c>
      <c r="E110" t="str">
        <f>_xlfn.XLOOKUP(PROPERTIES[[#This Row],[COUNTRY]],COUNTRIES[COUNTRY_DESCRIPTION],COUNTRIES[COUNTRY_LABEL],"")</f>
        <v>ZA</v>
      </c>
      <c r="F110" t="s">
        <v>23</v>
      </c>
      <c r="G110" t="s">
        <v>18</v>
      </c>
      <c r="H110">
        <v>0</v>
      </c>
      <c r="I110">
        <v>5</v>
      </c>
      <c r="J110">
        <v>5</v>
      </c>
      <c r="K110" s="2" t="s">
        <v>20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4">
        <v>36</v>
      </c>
      <c r="P110">
        <v>220</v>
      </c>
      <c r="Q110">
        <v>60</v>
      </c>
      <c r="R110" s="31">
        <v>41.6</v>
      </c>
      <c r="S110" s="30">
        <f>IFERROR(PROPERTIES[[#This Row],[TE_STARTING_KN]]/(PROPERTIES[[#This Row],[WEIGHT]]*9.81),0)</f>
        <v>0.11779363461320648</v>
      </c>
      <c r="T110" s="30">
        <v>0.12</v>
      </c>
      <c r="U110" s="27">
        <f>ROUND(IF(IFERROR(PROPERTIES[[#This Row],[TE_COEFFICIENT_CALC]],0)=0,PROPERTIES[[#This Row],[TE_COEFFICIENT_MANUAL]],PROPERTIES[[#This Row],[TE_COEFFICIENT_CALC]]),3)</f>
        <v>0.11799999999999999</v>
      </c>
      <c r="V110" s="6">
        <v>40</v>
      </c>
      <c r="W110" s="10">
        <v>0</v>
      </c>
      <c r="X110" s="10">
        <v>0</v>
      </c>
      <c r="Y110" s="11"/>
      <c r="Z110" t="s">
        <v>908</v>
      </c>
      <c r="AA110" t="s">
        <v>904</v>
      </c>
      <c r="AB110" s="2" t="s">
        <v>922</v>
      </c>
      <c r="AC110" s="10" t="s">
        <v>990</v>
      </c>
      <c r="AD110" s="10" t="s">
        <v>991</v>
      </c>
      <c r="AE110" s="11" t="str">
        <f>SUBSTITUTE(SUBSTITUTE(PROPERTIES[[#This Row],[PURCHASECOST_VALUE]], "PURCHASECOST_", ""), "_VALUE", "")</f>
        <v>STEAMENGINE</v>
      </c>
      <c r="AF110" s="10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10" s="2" t="b">
        <v>0</v>
      </c>
      <c r="AY110"/>
      <c r="AZ110"/>
      <c r="BA110"/>
    </row>
    <row r="111" spans="1:53">
      <c r="A111" s="2" t="s">
        <v>135</v>
      </c>
      <c r="B111">
        <v>1891</v>
      </c>
      <c r="C111">
        <v>0</v>
      </c>
      <c r="D111" t="s">
        <v>1855</v>
      </c>
      <c r="E111" t="str">
        <f>_xlfn.XLOOKUP(PROPERTIES[[#This Row],[COUNTRY]],COUNTRIES[COUNTRY_DESCRIPTION],COUNTRIES[COUNTRY_LABEL],"")</f>
        <v>ES</v>
      </c>
      <c r="F111" t="s">
        <v>23</v>
      </c>
      <c r="G111" t="s">
        <v>18</v>
      </c>
      <c r="H111">
        <v>0</v>
      </c>
      <c r="I111">
        <v>6</v>
      </c>
      <c r="J111">
        <v>6</v>
      </c>
      <c r="K111" s="2" t="s">
        <v>20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4">
        <v>88.5</v>
      </c>
      <c r="P111">
        <v>750</v>
      </c>
      <c r="Q111">
        <v>55</v>
      </c>
      <c r="R111" s="31">
        <v>118</v>
      </c>
      <c r="S111" s="30">
        <f>IFERROR(PROPERTIES[[#This Row],[TE_STARTING_KN]]/(PROPERTIES[[#This Row],[WEIGHT]]*9.81),0)</f>
        <v>0.13591573224600748</v>
      </c>
      <c r="T111" s="30">
        <v>0.1</v>
      </c>
      <c r="U111" s="27">
        <f>ROUND(IF(IFERROR(PROPERTIES[[#This Row],[TE_COEFFICIENT_CALC]],0)=0,PROPERTIES[[#This Row],[TE_COEFFICIENT_MANUAL]],PROPERTIES[[#This Row],[TE_COEFFICIENT_CALC]]),3)</f>
        <v>0.13600000000000001</v>
      </c>
      <c r="V111" s="6">
        <v>40</v>
      </c>
      <c r="W111" s="10">
        <v>0</v>
      </c>
      <c r="X111" s="10">
        <v>3</v>
      </c>
      <c r="Y111" s="11"/>
      <c r="Z111" t="s">
        <v>906</v>
      </c>
      <c r="AA111" t="s">
        <v>904</v>
      </c>
      <c r="AB111" s="2" t="s">
        <v>922</v>
      </c>
      <c r="AC111" s="10" t="s">
        <v>990</v>
      </c>
      <c r="AD111" s="10" t="s">
        <v>991</v>
      </c>
      <c r="AE111" s="11" t="str">
        <f>SUBSTITUTE(SUBSTITUTE(PROPERTIES[[#This Row],[PURCHASECOST_VALUE]], "PURCHASECOST_", ""), "_VALUE", "")</f>
        <v>STEAMENGINE</v>
      </c>
      <c r="AF111" s="10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11" s="2" t="b">
        <v>0</v>
      </c>
      <c r="AY111"/>
      <c r="AZ111"/>
      <c r="BA111"/>
    </row>
    <row r="112" spans="1:53">
      <c r="A112" s="2" t="s">
        <v>136</v>
      </c>
      <c r="B112">
        <v>1892</v>
      </c>
      <c r="C112">
        <v>0</v>
      </c>
      <c r="D112" t="s">
        <v>1844</v>
      </c>
      <c r="E112" t="str">
        <f>_xlfn.XLOOKUP(PROPERTIES[[#This Row],[COUNTRY]],COUNTRIES[COUNTRY_DESCRIPTION],COUNTRIES[COUNTRY_LABEL],"")</f>
        <v>DE</v>
      </c>
      <c r="F112" t="s">
        <v>23</v>
      </c>
      <c r="G112" t="s">
        <v>18</v>
      </c>
      <c r="H112">
        <v>0</v>
      </c>
      <c r="I112">
        <v>6</v>
      </c>
      <c r="J112">
        <v>6</v>
      </c>
      <c r="K112" s="2" t="s">
        <v>20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4">
        <v>27</v>
      </c>
      <c r="P112">
        <v>206</v>
      </c>
      <c r="Q112">
        <v>30</v>
      </c>
      <c r="R112" s="31">
        <v>42.17</v>
      </c>
      <c r="S112" s="30">
        <f>IFERROR(PROPERTIES[[#This Row],[TE_STARTING_KN]]/(PROPERTIES[[#This Row],[WEIGHT]]*9.81),0)</f>
        <v>0.15921017857817044</v>
      </c>
      <c r="T112" s="30">
        <v>0.14000000000000001</v>
      </c>
      <c r="U112" s="27">
        <f>ROUND(IF(IFERROR(PROPERTIES[[#This Row],[TE_COEFFICIENT_CALC]],0)=0,PROPERTIES[[#This Row],[TE_COEFFICIENT_MANUAL]],PROPERTIES[[#This Row],[TE_COEFFICIENT_CALC]]),3)</f>
        <v>0.159</v>
      </c>
      <c r="V112" s="6">
        <v>40</v>
      </c>
      <c r="W112" s="10">
        <v>0</v>
      </c>
      <c r="X112" s="10">
        <v>0</v>
      </c>
      <c r="Y112" s="11"/>
      <c r="Z112" t="s">
        <v>905</v>
      </c>
      <c r="AA112" t="s">
        <v>904</v>
      </c>
      <c r="AB112" s="2" t="s">
        <v>922</v>
      </c>
      <c r="AC112" s="10" t="s">
        <v>990</v>
      </c>
      <c r="AD112" s="10" t="s">
        <v>991</v>
      </c>
      <c r="AE112" s="11" t="str">
        <f>SUBSTITUTE(SUBSTITUTE(PROPERTIES[[#This Row],[PURCHASECOST_VALUE]], "PURCHASECOST_", ""), "_VALUE", "")</f>
        <v>STEAMENGINE</v>
      </c>
      <c r="AF112" s="10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12" s="2" t="b">
        <v>0</v>
      </c>
      <c r="AY112"/>
      <c r="AZ112"/>
      <c r="BA112"/>
    </row>
    <row r="113" spans="1:53">
      <c r="A113" s="2" t="s">
        <v>137</v>
      </c>
      <c r="B113">
        <v>1893</v>
      </c>
      <c r="C113">
        <v>0</v>
      </c>
      <c r="D113" t="s">
        <v>1844</v>
      </c>
      <c r="E113" t="str">
        <f>_xlfn.XLOOKUP(PROPERTIES[[#This Row],[COUNTRY]],COUNTRIES[COUNTRY_DESCRIPTION],COUNTRIES[COUNTRY_LABEL],"")</f>
        <v>DE</v>
      </c>
      <c r="F113" t="s">
        <v>23</v>
      </c>
      <c r="G113" t="s">
        <v>18</v>
      </c>
      <c r="H113">
        <v>0</v>
      </c>
      <c r="I113">
        <v>7</v>
      </c>
      <c r="J113">
        <v>8</v>
      </c>
      <c r="K113" s="2" t="s">
        <v>20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4">
        <v>50.5</v>
      </c>
      <c r="P113">
        <v>580</v>
      </c>
      <c r="Q113">
        <v>100</v>
      </c>
      <c r="R113" s="31">
        <v>64</v>
      </c>
      <c r="S113" s="30">
        <f>IFERROR(PROPERTIES[[#This Row],[TE_STARTING_KN]]/(PROPERTIES[[#This Row],[WEIGHT]]*9.81),0)</f>
        <v>0.12918723064967047</v>
      </c>
      <c r="T113" s="30">
        <v>0.13</v>
      </c>
      <c r="U113" s="27">
        <f>ROUND(IF(IFERROR(PROPERTIES[[#This Row],[TE_COEFFICIENT_CALC]],0)=0,PROPERTIES[[#This Row],[TE_COEFFICIENT_MANUAL]],PROPERTIES[[#This Row],[TE_COEFFICIENT_CALC]]),3)</f>
        <v>0.129</v>
      </c>
      <c r="V113" s="6">
        <v>40</v>
      </c>
      <c r="W113" s="10">
        <v>0</v>
      </c>
      <c r="X113" s="10">
        <v>4</v>
      </c>
      <c r="Y113" s="11"/>
      <c r="Z113" t="s">
        <v>905</v>
      </c>
      <c r="AA113" t="s">
        <v>904</v>
      </c>
      <c r="AB113" s="2" t="s">
        <v>922</v>
      </c>
      <c r="AC113" s="10" t="s">
        <v>990</v>
      </c>
      <c r="AD113" s="10" t="s">
        <v>991</v>
      </c>
      <c r="AE113" s="11" t="str">
        <f>SUBSTITUTE(SUBSTITUTE(PROPERTIES[[#This Row],[PURCHASECOST_VALUE]], "PURCHASECOST_", ""), "_VALUE", "")</f>
        <v>STEAMENGINE</v>
      </c>
      <c r="AF113" s="10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138</v>
      </c>
      <c r="B114">
        <v>1894</v>
      </c>
      <c r="C114">
        <v>0</v>
      </c>
      <c r="D114" t="s">
        <v>1953</v>
      </c>
      <c r="E114" t="str">
        <f>_xlfn.XLOOKUP(PROPERTIES[[#This Row],[COUNTRY]],COUNTRIES[COUNTRY_DESCRIPTION],COUNTRIES[COUNTRY_LABEL],"")</f>
        <v>NO</v>
      </c>
      <c r="F114" t="s">
        <v>23</v>
      </c>
      <c r="G114" t="s">
        <v>18</v>
      </c>
      <c r="H114">
        <v>0</v>
      </c>
      <c r="I114">
        <v>7</v>
      </c>
      <c r="J114">
        <v>7</v>
      </c>
      <c r="K114" s="2" t="s">
        <v>20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4">
        <v>77.599999999999994</v>
      </c>
      <c r="P114">
        <v>700</v>
      </c>
      <c r="Q114">
        <v>60</v>
      </c>
      <c r="R114" s="31">
        <v>82.56</v>
      </c>
      <c r="S114" s="30">
        <f>IFERROR(PROPERTIES[[#This Row],[TE_STARTING_KN]]/(PROPERTIES[[#This Row],[WEIGHT]]*9.81),0)</f>
        <v>0.10845234717361835</v>
      </c>
      <c r="T114" s="30">
        <v>0.17</v>
      </c>
      <c r="U114" s="27">
        <f>ROUND(IF(IFERROR(PROPERTIES[[#This Row],[TE_COEFFICIENT_CALC]],0)=0,PROPERTIES[[#This Row],[TE_COEFFICIENT_MANUAL]],PROPERTIES[[#This Row],[TE_COEFFICIENT_CALC]]),3)</f>
        <v>0.108</v>
      </c>
      <c r="V114" s="6">
        <v>40</v>
      </c>
      <c r="W114" s="10">
        <v>0</v>
      </c>
      <c r="X114" s="10">
        <v>0</v>
      </c>
      <c r="Y114" s="11"/>
      <c r="Z114" t="s">
        <v>909</v>
      </c>
      <c r="AA114" t="s">
        <v>904</v>
      </c>
      <c r="AB114" s="2" t="s">
        <v>922</v>
      </c>
      <c r="AC114" s="10" t="s">
        <v>990</v>
      </c>
      <c r="AD114" s="10" t="s">
        <v>991</v>
      </c>
      <c r="AE114" s="11" t="str">
        <f>SUBSTITUTE(SUBSTITUTE(PROPERTIES[[#This Row],[PURCHASECOST_VALUE]], "PURCHASECOST_", ""), "_VALUE", "")</f>
        <v>STEAMENGINE</v>
      </c>
      <c r="AF114" s="10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14" s="2" t="b">
        <v>0</v>
      </c>
      <c r="AY114"/>
      <c r="AZ114"/>
      <c r="BA114"/>
    </row>
    <row r="115" spans="1:53">
      <c r="A115" s="2" t="s">
        <v>139</v>
      </c>
      <c r="B115">
        <v>1895</v>
      </c>
      <c r="C115">
        <v>0</v>
      </c>
      <c r="D115" t="s">
        <v>2019</v>
      </c>
      <c r="E115" t="str">
        <f>_xlfn.XLOOKUP(PROPERTIES[[#This Row],[COUNTRY]],COUNTRIES[COUNTRY_DESCRIPTION],COUNTRIES[COUNTRY_LABEL],"")</f>
        <v>US</v>
      </c>
      <c r="F115" t="s">
        <v>23</v>
      </c>
      <c r="G115" t="s">
        <v>18</v>
      </c>
      <c r="H115">
        <v>0</v>
      </c>
      <c r="I115">
        <v>7</v>
      </c>
      <c r="J115">
        <v>8</v>
      </c>
      <c r="K115" s="2" t="s">
        <v>20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4">
        <v>106.5</v>
      </c>
      <c r="P115">
        <v>850</v>
      </c>
      <c r="Q115">
        <v>128</v>
      </c>
      <c r="R115" s="31">
        <v>77.84</v>
      </c>
      <c r="S115" s="30">
        <f>IFERROR(PROPERTIES[[#This Row],[TE_STARTING_KN]]/(PROPERTIES[[#This Row],[WEIGHT]]*9.81),0)</f>
        <v>7.4504792943867762E-2</v>
      </c>
      <c r="T115" s="30">
        <v>0.17</v>
      </c>
      <c r="U115" s="27">
        <f>ROUND(IF(IFERROR(PROPERTIES[[#This Row],[TE_COEFFICIENT_CALC]],0)=0,PROPERTIES[[#This Row],[TE_COEFFICIENT_MANUAL]],PROPERTIES[[#This Row],[TE_COEFFICIENT_CALC]]),3)</f>
        <v>7.4999999999999997E-2</v>
      </c>
      <c r="V115" s="6">
        <v>40</v>
      </c>
      <c r="W115" s="10">
        <v>0</v>
      </c>
      <c r="X115" s="10">
        <v>4</v>
      </c>
      <c r="Y115" s="11"/>
      <c r="Z115" t="s">
        <v>910</v>
      </c>
      <c r="AA115" t="s">
        <v>904</v>
      </c>
      <c r="AB115" s="2" t="s">
        <v>922</v>
      </c>
      <c r="AC115" s="10" t="s">
        <v>990</v>
      </c>
      <c r="AD115" s="10" t="s">
        <v>991</v>
      </c>
      <c r="AE115" s="11" t="str">
        <f>SUBSTITUTE(SUBSTITUTE(PROPERTIES[[#This Row],[PURCHASECOST_VALUE]], "PURCHASECOST_", ""), "_VALUE", "")</f>
        <v>STEAMENGINE</v>
      </c>
      <c r="AF115" s="10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140</v>
      </c>
      <c r="B116">
        <v>1901</v>
      </c>
      <c r="C116">
        <v>0</v>
      </c>
      <c r="D116" t="s">
        <v>1952</v>
      </c>
      <c r="E116" t="str">
        <f>_xlfn.XLOOKUP(PROPERTIES[[#This Row],[COUNTRY]],COUNTRIES[COUNTRY_DESCRIPTION],COUNTRIES[COUNTRY_LABEL],"")</f>
        <v>NL</v>
      </c>
      <c r="F116" t="s">
        <v>23</v>
      </c>
      <c r="G116" t="s">
        <v>18</v>
      </c>
      <c r="H116">
        <v>0</v>
      </c>
      <c r="I116">
        <v>4</v>
      </c>
      <c r="J116">
        <v>4</v>
      </c>
      <c r="K116" s="2" t="s">
        <v>20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4">
        <v>35</v>
      </c>
      <c r="P116">
        <v>290</v>
      </c>
      <c r="Q116">
        <v>45</v>
      </c>
      <c r="R116" s="31">
        <v>68</v>
      </c>
      <c r="S116" s="30">
        <f>IFERROR(PROPERTIES[[#This Row],[TE_STARTING_KN]]/(PROPERTIES[[#This Row],[WEIGHT]]*9.81),0)</f>
        <v>0.19804863841561088</v>
      </c>
      <c r="T116" s="30">
        <v>0.14000000000000001</v>
      </c>
      <c r="U116" s="27">
        <f>ROUND(IF(IFERROR(PROPERTIES[[#This Row],[TE_COEFFICIENT_CALC]],0)=0,PROPERTIES[[#This Row],[TE_COEFFICIENT_MANUAL]],PROPERTIES[[#This Row],[TE_COEFFICIENT_CALC]]),3)</f>
        <v>0.19800000000000001</v>
      </c>
      <c r="V116" s="6">
        <v>40</v>
      </c>
      <c r="W116" s="10">
        <v>0</v>
      </c>
      <c r="X116" s="10">
        <v>0</v>
      </c>
      <c r="Y116" s="11"/>
      <c r="Z116" t="s">
        <v>905</v>
      </c>
      <c r="AA116" t="s">
        <v>904</v>
      </c>
      <c r="AB116" s="2" t="s">
        <v>922</v>
      </c>
      <c r="AC116" s="10" t="s">
        <v>990</v>
      </c>
      <c r="AD116" s="10" t="s">
        <v>991</v>
      </c>
      <c r="AE116" s="11" t="str">
        <f>SUBSTITUTE(SUBSTITUTE(PROPERTIES[[#This Row],[PURCHASECOST_VALUE]], "PURCHASECOST_", ""), "_VALUE", "")</f>
        <v>STEAMENGINE</v>
      </c>
      <c r="AF116" s="10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16" s="2" t="b">
        <v>0</v>
      </c>
      <c r="AY116"/>
      <c r="AZ116"/>
      <c r="BA116"/>
    </row>
    <row r="117" spans="1:53">
      <c r="A117" s="2" t="s">
        <v>141</v>
      </c>
      <c r="B117">
        <v>1910</v>
      </c>
      <c r="C117">
        <v>0</v>
      </c>
      <c r="D117" t="s">
        <v>2033</v>
      </c>
      <c r="E117" t="str">
        <f>_xlfn.XLOOKUP(PROPERTIES[[#This Row],[COUNTRY]],COUNTRIES[COUNTRY_DESCRIPTION],COUNTRIES[COUNTRY_LABEL],"")</f>
        <v>ZA</v>
      </c>
      <c r="F117" t="s">
        <v>23</v>
      </c>
      <c r="G117" t="s">
        <v>18</v>
      </c>
      <c r="H117">
        <v>0</v>
      </c>
      <c r="I117">
        <v>8</v>
      </c>
      <c r="J117">
        <v>10</v>
      </c>
      <c r="K117" s="2" t="s">
        <v>20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4">
        <v>159.9</v>
      </c>
      <c r="P117">
        <v>1200</v>
      </c>
      <c r="Q117">
        <v>50</v>
      </c>
      <c r="R117" s="31">
        <v>204</v>
      </c>
      <c r="S117" s="30">
        <f>IFERROR(PROPERTIES[[#This Row],[TE_STARTING_KN]]/(PROPERTIES[[#This Row],[WEIGHT]]*9.81),0)</f>
        <v>0.13005070064814972</v>
      </c>
      <c r="T117" s="30">
        <v>0.2</v>
      </c>
      <c r="U117" s="27">
        <f>ROUND(IF(IFERROR(PROPERTIES[[#This Row],[TE_COEFFICIENT_CALC]],0)=0,PROPERTIES[[#This Row],[TE_COEFFICIENT_MANUAL]],PROPERTIES[[#This Row],[TE_COEFFICIENT_CALC]]),3)</f>
        <v>0.13</v>
      </c>
      <c r="V117" s="6">
        <v>40</v>
      </c>
      <c r="W117" s="10">
        <v>0</v>
      </c>
      <c r="X117" s="10">
        <v>5</v>
      </c>
      <c r="Y117" s="11"/>
      <c r="Z117" t="s">
        <v>908</v>
      </c>
      <c r="AA117" t="s">
        <v>904</v>
      </c>
      <c r="AB117" s="2" t="s">
        <v>922</v>
      </c>
      <c r="AC117" s="10" t="s">
        <v>990</v>
      </c>
      <c r="AD117" s="10" t="s">
        <v>991</v>
      </c>
      <c r="AE117" s="11" t="str">
        <f>SUBSTITUTE(SUBSTITUTE(PROPERTIES[[#This Row],[PURCHASECOST_VALUE]], "PURCHASECOST_", ""), "_VALUE", "")</f>
        <v>STEAMENGINE</v>
      </c>
      <c r="AF117" s="10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142</v>
      </c>
      <c r="B118">
        <v>1911</v>
      </c>
      <c r="C118">
        <v>0</v>
      </c>
      <c r="D118" t="s">
        <v>1795</v>
      </c>
      <c r="E118" t="str">
        <f>_xlfn.XLOOKUP(PROPERTIES[[#This Row],[COUNTRY]],COUNTRIES[COUNTRY_DESCRIPTION],COUNTRIES[COUNTRY_LABEL],"")</f>
        <v>AO</v>
      </c>
      <c r="F118" t="s">
        <v>23</v>
      </c>
      <c r="G118" t="s">
        <v>18</v>
      </c>
      <c r="H118">
        <v>0</v>
      </c>
      <c r="I118">
        <v>6</v>
      </c>
      <c r="J118">
        <v>8</v>
      </c>
      <c r="K118" s="2" t="s">
        <v>20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4">
        <v>67.099999999999994</v>
      </c>
      <c r="P118">
        <v>750</v>
      </c>
      <c r="Q118">
        <v>60</v>
      </c>
      <c r="R118" s="31">
        <v>60.4</v>
      </c>
      <c r="S118" s="30">
        <f>IFERROR(PROPERTIES[[#This Row],[TE_STARTING_KN]]/(PROPERTIES[[#This Row],[WEIGHT]]*9.81),0)</f>
        <v>9.1758311039405946E-2</v>
      </c>
      <c r="T118" s="30">
        <v>0.09</v>
      </c>
      <c r="U118" s="27">
        <f>ROUND(IF(IFERROR(PROPERTIES[[#This Row],[TE_COEFFICIENT_CALC]],0)=0,PROPERTIES[[#This Row],[TE_COEFFICIENT_MANUAL]],PROPERTIES[[#This Row],[TE_COEFFICIENT_CALC]]),3)</f>
        <v>9.1999999999999998E-2</v>
      </c>
      <c r="V118" s="6">
        <v>40</v>
      </c>
      <c r="W118" s="10">
        <v>0</v>
      </c>
      <c r="X118" s="10">
        <v>4</v>
      </c>
      <c r="Y118" s="11"/>
      <c r="Z118" t="s">
        <v>908</v>
      </c>
      <c r="AA118" t="s">
        <v>904</v>
      </c>
      <c r="AB118" s="2" t="s">
        <v>922</v>
      </c>
      <c r="AC118" s="10" t="s">
        <v>990</v>
      </c>
      <c r="AD118" s="10" t="s">
        <v>991</v>
      </c>
      <c r="AE118" s="11" t="str">
        <f>SUBSTITUTE(SUBSTITUTE(PROPERTIES[[#This Row],[PURCHASECOST_VALUE]], "PURCHASECOST_", ""), "_VALUE", "")</f>
        <v>STEAMENGINE</v>
      </c>
      <c r="AF118" s="10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18" s="2" t="b">
        <v>0</v>
      </c>
      <c r="AY118"/>
      <c r="AZ118"/>
      <c r="BA118"/>
    </row>
    <row r="119" spans="1:53">
      <c r="A119" s="2" t="s">
        <v>143</v>
      </c>
      <c r="B119">
        <v>1915</v>
      </c>
      <c r="C119">
        <v>0</v>
      </c>
      <c r="D119" t="s">
        <v>1863</v>
      </c>
      <c r="E119" t="str">
        <f>_xlfn.XLOOKUP(PROPERTIES[[#This Row],[COUNTRY]],COUNTRIES[COUNTRY_DESCRIPTION],COUNTRIES[COUNTRY_LABEL],"")</f>
        <v>GB</v>
      </c>
      <c r="F119" t="s">
        <v>23</v>
      </c>
      <c r="G119" t="s">
        <v>18</v>
      </c>
      <c r="H119">
        <v>0</v>
      </c>
      <c r="I119">
        <v>6</v>
      </c>
      <c r="J119">
        <v>6</v>
      </c>
      <c r="K119" s="2" t="s">
        <v>20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4">
        <v>63</v>
      </c>
      <c r="P119">
        <v>850</v>
      </c>
      <c r="Q119">
        <v>75</v>
      </c>
      <c r="R119" s="31">
        <v>91.24</v>
      </c>
      <c r="S119" s="30">
        <f>IFERROR(PROPERTIES[[#This Row],[TE_STARTING_KN]]/(PROPERTIES[[#This Row],[WEIGHT]]*9.81),0)</f>
        <v>0.14763037393006809</v>
      </c>
      <c r="T119" s="30">
        <v>0.14000000000000001</v>
      </c>
      <c r="U119" s="27">
        <f>ROUND(IF(IFERROR(PROPERTIES[[#This Row],[TE_COEFFICIENT_CALC]],0)=0,PROPERTIES[[#This Row],[TE_COEFFICIENT_MANUAL]],PROPERTIES[[#This Row],[TE_COEFFICIENT_CALC]]),3)</f>
        <v>0.14799999999999999</v>
      </c>
      <c r="V119" s="6">
        <v>40</v>
      </c>
      <c r="W119" s="10">
        <v>0</v>
      </c>
      <c r="X119" s="10">
        <v>0</v>
      </c>
      <c r="Y119" s="11"/>
      <c r="Z119" t="s">
        <v>909</v>
      </c>
      <c r="AA119" t="s">
        <v>904</v>
      </c>
      <c r="AB119" s="2" t="s">
        <v>922</v>
      </c>
      <c r="AC119" s="10" t="s">
        <v>990</v>
      </c>
      <c r="AD119" s="10" t="s">
        <v>991</v>
      </c>
      <c r="AE119" s="11" t="str">
        <f>SUBSTITUTE(SUBSTITUTE(PROPERTIES[[#This Row],[PURCHASECOST_VALUE]], "PURCHASECOST_", ""), "_VALUE", "")</f>
        <v>STEAMENGINE</v>
      </c>
      <c r="AF119" s="10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144</v>
      </c>
      <c r="B120">
        <v>1918</v>
      </c>
      <c r="C120">
        <v>0</v>
      </c>
      <c r="D120" t="s">
        <v>1844</v>
      </c>
      <c r="E120" t="str">
        <f>_xlfn.XLOOKUP(PROPERTIES[[#This Row],[COUNTRY]],COUNTRIES[COUNTRY_DESCRIPTION],COUNTRIES[COUNTRY_LABEL],"")</f>
        <v>DE</v>
      </c>
      <c r="F120" t="s">
        <v>23</v>
      </c>
      <c r="G120" t="s">
        <v>18</v>
      </c>
      <c r="H120">
        <v>0</v>
      </c>
      <c r="I120">
        <v>8</v>
      </c>
      <c r="J120">
        <v>12</v>
      </c>
      <c r="K120" s="2" t="s">
        <v>20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4">
        <v>162.69999999999999</v>
      </c>
      <c r="P120">
        <v>1780</v>
      </c>
      <c r="Q120">
        <v>115</v>
      </c>
      <c r="R120" s="31">
        <v>112</v>
      </c>
      <c r="S120" s="30">
        <f>IFERROR(PROPERTIES[[#This Row],[TE_STARTING_KN]]/(PROPERTIES[[#This Row],[WEIGHT]]*9.81),0)</f>
        <v>7.0171613452148909E-2</v>
      </c>
      <c r="T120" s="30">
        <v>0.23</v>
      </c>
      <c r="U120" s="27">
        <f>ROUND(IF(IFERROR(PROPERTIES[[#This Row],[TE_COEFFICIENT_CALC]],0)=0,PROPERTIES[[#This Row],[TE_COEFFICIENT_MANUAL]],PROPERTIES[[#This Row],[TE_COEFFICIENT_CALC]]),3)</f>
        <v>7.0000000000000007E-2</v>
      </c>
      <c r="V120" s="6">
        <v>40</v>
      </c>
      <c r="W120" s="10">
        <v>0</v>
      </c>
      <c r="X120" s="10">
        <v>6</v>
      </c>
      <c r="Y120" s="11"/>
      <c r="Z120" t="s">
        <v>905</v>
      </c>
      <c r="AA120" t="s">
        <v>904</v>
      </c>
      <c r="AB120" s="2" t="s">
        <v>922</v>
      </c>
      <c r="AC120" s="10" t="s">
        <v>990</v>
      </c>
      <c r="AD120" s="10" t="s">
        <v>991</v>
      </c>
      <c r="AE120" s="11" t="str">
        <f>SUBSTITUTE(SUBSTITUTE(PROPERTIES[[#This Row],[PURCHASECOST_VALUE]], "PURCHASECOST_", ""), "_VALUE", "")</f>
        <v>STEAMENGINE</v>
      </c>
      <c r="AF120" s="10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145</v>
      </c>
      <c r="B121">
        <v>1921</v>
      </c>
      <c r="C121">
        <v>0</v>
      </c>
      <c r="D121" t="s">
        <v>1807</v>
      </c>
      <c r="E121" t="str">
        <f>_xlfn.XLOOKUP(PROPERTIES[[#This Row],[COUNTRY]],COUNTRIES[COUNTRY_DESCRIPTION],COUNTRIES[COUNTRY_LABEL],"")</f>
        <v>BE</v>
      </c>
      <c r="F121" t="s">
        <v>23</v>
      </c>
      <c r="G121" t="s">
        <v>18</v>
      </c>
      <c r="H121">
        <v>0</v>
      </c>
      <c r="I121">
        <v>8</v>
      </c>
      <c r="J121">
        <v>8</v>
      </c>
      <c r="K121" s="2" t="s">
        <v>20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4">
        <v>133</v>
      </c>
      <c r="P121">
        <v>1600</v>
      </c>
      <c r="Q121">
        <v>110</v>
      </c>
      <c r="R121" s="31">
        <v>102</v>
      </c>
      <c r="S121" s="30">
        <f>IFERROR(PROPERTIES[[#This Row],[TE_STARTING_KN]]/(PROPERTIES[[#This Row],[WEIGHT]]*9.81),0)</f>
        <v>7.8177094111425358E-2</v>
      </c>
      <c r="T121" s="30">
        <v>0.12</v>
      </c>
      <c r="U121" s="27">
        <f>ROUND(IF(IFERROR(PROPERTIES[[#This Row],[TE_COEFFICIENT_CALC]],0)=0,PROPERTIES[[#This Row],[TE_COEFFICIENT_MANUAL]],PROPERTIES[[#This Row],[TE_COEFFICIENT_CALC]]),3)</f>
        <v>7.8E-2</v>
      </c>
      <c r="V121" s="6">
        <v>40</v>
      </c>
      <c r="W121" s="10">
        <v>0</v>
      </c>
      <c r="X121" s="10">
        <v>4</v>
      </c>
      <c r="Y121" s="11"/>
      <c r="Z121" t="s">
        <v>905</v>
      </c>
      <c r="AA121" t="s">
        <v>904</v>
      </c>
      <c r="AB121" s="2" t="s">
        <v>922</v>
      </c>
      <c r="AC121" s="10" t="s">
        <v>990</v>
      </c>
      <c r="AD121" s="10" t="s">
        <v>991</v>
      </c>
      <c r="AE121" s="11" t="str">
        <f>SUBSTITUTE(SUBSTITUTE(PROPERTIES[[#This Row],[PURCHASECOST_VALUE]], "PURCHASECOST_", ""), "_VALUE", "")</f>
        <v>STEAMENGINE</v>
      </c>
      <c r="AF121" s="10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146</v>
      </c>
      <c r="B122">
        <v>1922</v>
      </c>
      <c r="C122">
        <v>0</v>
      </c>
      <c r="D122" t="s">
        <v>1888</v>
      </c>
      <c r="E122" t="str">
        <f>_xlfn.XLOOKUP(PROPERTIES[[#This Row],[COUNTRY]],COUNTRIES[COUNTRY_DESCRIPTION],COUNTRIES[COUNTRY_LABEL],"")</f>
        <v>IE</v>
      </c>
      <c r="F122" t="s">
        <v>23</v>
      </c>
      <c r="G122" t="s">
        <v>18</v>
      </c>
      <c r="H122">
        <v>0</v>
      </c>
      <c r="I122">
        <v>7</v>
      </c>
      <c r="J122">
        <v>8</v>
      </c>
      <c r="K122" s="2" t="s">
        <v>20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4">
        <v>84</v>
      </c>
      <c r="P122">
        <v>550</v>
      </c>
      <c r="Q122">
        <v>120</v>
      </c>
      <c r="R122" s="31">
        <v>101.8</v>
      </c>
      <c r="S122" s="30">
        <f>IFERROR(PROPERTIES[[#This Row],[TE_STARTING_KN]]/(PROPERTIES[[#This Row],[WEIGHT]]*9.81),0)</f>
        <v>0.12353769234503179</v>
      </c>
      <c r="T122" s="30">
        <v>0.12</v>
      </c>
      <c r="U122" s="27">
        <f>ROUND(IF(IFERROR(PROPERTIES[[#This Row],[TE_COEFFICIENT_CALC]],0)=0,PROPERTIES[[#This Row],[TE_COEFFICIENT_MANUAL]],PROPERTIES[[#This Row],[TE_COEFFICIENT_CALC]]),3)</f>
        <v>0.124</v>
      </c>
      <c r="V122" s="6">
        <v>40</v>
      </c>
      <c r="W122" s="10">
        <v>0</v>
      </c>
      <c r="X122" s="10">
        <v>4</v>
      </c>
      <c r="Y122" s="11"/>
      <c r="Z122" t="s">
        <v>909</v>
      </c>
      <c r="AA122" t="s">
        <v>904</v>
      </c>
      <c r="AB122" s="2" t="s">
        <v>922</v>
      </c>
      <c r="AC122" s="10" t="s">
        <v>990</v>
      </c>
      <c r="AD122" s="10" t="s">
        <v>991</v>
      </c>
      <c r="AE122" s="11" t="str">
        <f>SUBSTITUTE(SUBSTITUTE(PROPERTIES[[#This Row],[PURCHASECOST_VALUE]], "PURCHASECOST_", ""), "_VALUE", "")</f>
        <v>STEAMENGINE</v>
      </c>
      <c r="AF122" s="10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147</v>
      </c>
      <c r="B123">
        <v>1922</v>
      </c>
      <c r="C123">
        <v>0</v>
      </c>
      <c r="D123" t="s">
        <v>2019</v>
      </c>
      <c r="E123" t="str">
        <f>_xlfn.XLOOKUP(PROPERTIES[[#This Row],[COUNTRY]],COUNTRIES[COUNTRY_DESCRIPTION],COUNTRIES[COUNTRY_LABEL],"")</f>
        <v>US</v>
      </c>
      <c r="F123" t="s">
        <v>23</v>
      </c>
      <c r="G123" t="s">
        <v>18</v>
      </c>
      <c r="H123">
        <v>0</v>
      </c>
      <c r="I123">
        <v>6</v>
      </c>
      <c r="J123">
        <v>8</v>
      </c>
      <c r="K123" s="2" t="s">
        <v>20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4">
        <v>105</v>
      </c>
      <c r="P123">
        <v>850</v>
      </c>
      <c r="Q123">
        <v>65</v>
      </c>
      <c r="R123" s="31">
        <v>136.80000000000001</v>
      </c>
      <c r="S123" s="30">
        <f>IFERROR(PROPERTIES[[#This Row],[TE_STARTING_KN]]/(PROPERTIES[[#This Row],[WEIGHT]]*9.81),0)</f>
        <v>0.13280908693752733</v>
      </c>
      <c r="T123" s="30">
        <v>0.21</v>
      </c>
      <c r="U123" s="27">
        <f>ROUND(IF(IFERROR(PROPERTIES[[#This Row],[TE_COEFFICIENT_CALC]],0)=0,PROPERTIES[[#This Row],[TE_COEFFICIENT_MANUAL]],PROPERTIES[[#This Row],[TE_COEFFICIENT_CALC]]),3)</f>
        <v>0.13300000000000001</v>
      </c>
      <c r="V123" s="6">
        <v>40</v>
      </c>
      <c r="W123" s="10">
        <v>0</v>
      </c>
      <c r="X123" s="10">
        <v>4</v>
      </c>
      <c r="Y123" s="11"/>
      <c r="Z123" t="s">
        <v>910</v>
      </c>
      <c r="AA123" t="s">
        <v>904</v>
      </c>
      <c r="AB123" s="2" t="s">
        <v>922</v>
      </c>
      <c r="AC123" s="10" t="s">
        <v>990</v>
      </c>
      <c r="AD123" s="10" t="s">
        <v>991</v>
      </c>
      <c r="AE123" s="11" t="str">
        <f>SUBSTITUTE(SUBSTITUTE(PROPERTIES[[#This Row],[PURCHASECOST_VALUE]], "PURCHASECOST_", ""), "_VALUE", "")</f>
        <v>STEAMENGINE</v>
      </c>
      <c r="AF123" s="10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148</v>
      </c>
      <c r="B124">
        <v>1923</v>
      </c>
      <c r="C124">
        <v>0</v>
      </c>
      <c r="D124" t="s">
        <v>1825</v>
      </c>
      <c r="E124" t="str">
        <f>_xlfn.XLOOKUP(PROPERTIES[[#This Row],[COUNTRY]],COUNTRIES[COUNTRY_DESCRIPTION],COUNTRIES[COUNTRY_LABEL],"")</f>
        <v>CA</v>
      </c>
      <c r="F124" t="s">
        <v>23</v>
      </c>
      <c r="G124" t="s">
        <v>18</v>
      </c>
      <c r="H124">
        <v>0</v>
      </c>
      <c r="I124">
        <v>8</v>
      </c>
      <c r="J124">
        <v>12</v>
      </c>
      <c r="K124" s="2" t="s">
        <v>20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4">
        <v>273</v>
      </c>
      <c r="P124">
        <v>3200</v>
      </c>
      <c r="Q124">
        <v>130</v>
      </c>
      <c r="R124" s="31">
        <v>220.6</v>
      </c>
      <c r="S124" s="30">
        <f>IFERROR(PROPERTIES[[#This Row],[TE_STARTING_KN]]/(PROPERTIES[[#This Row],[WEIGHT]]*9.81),0)</f>
        <v>8.2370908058981451E-2</v>
      </c>
      <c r="T124" s="30">
        <v>0.08</v>
      </c>
      <c r="U124" s="27">
        <f>ROUND(IF(IFERROR(PROPERTIES[[#This Row],[TE_COEFFICIENT_CALC]],0)=0,PROPERTIES[[#This Row],[TE_COEFFICIENT_MANUAL]],PROPERTIES[[#This Row],[TE_COEFFICIENT_CALC]]),3)</f>
        <v>8.2000000000000003E-2</v>
      </c>
      <c r="V124" s="6">
        <v>40</v>
      </c>
      <c r="W124" s="10">
        <v>0</v>
      </c>
      <c r="X124" s="10">
        <v>6</v>
      </c>
      <c r="Y124" s="11"/>
      <c r="Z124" t="s">
        <v>910</v>
      </c>
      <c r="AA124" t="s">
        <v>904</v>
      </c>
      <c r="AB124" s="2" t="s">
        <v>922</v>
      </c>
      <c r="AC124" s="10" t="s">
        <v>990</v>
      </c>
      <c r="AD124" s="10" t="s">
        <v>991</v>
      </c>
      <c r="AE124" s="11" t="str">
        <f>SUBSTITUTE(SUBSTITUTE(PROPERTIES[[#This Row],[PURCHASECOST_VALUE]], "PURCHASECOST_", ""), "_VALUE", "")</f>
        <v>STEAMENGINE</v>
      </c>
      <c r="AF124" s="10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149</v>
      </c>
      <c r="B125">
        <v>1927</v>
      </c>
      <c r="C125">
        <v>0</v>
      </c>
      <c r="D125" t="s">
        <v>1891</v>
      </c>
      <c r="E125" t="str">
        <f>_xlfn.XLOOKUP(PROPERTIES[[#This Row],[COUNTRY]],COUNTRIES[COUNTRY_DESCRIPTION],COUNTRIES[COUNTRY_LABEL],"")</f>
        <v>IN</v>
      </c>
      <c r="F125" t="s">
        <v>23</v>
      </c>
      <c r="G125" t="s">
        <v>18</v>
      </c>
      <c r="H125">
        <v>0</v>
      </c>
      <c r="I125">
        <v>8</v>
      </c>
      <c r="J125">
        <v>14</v>
      </c>
      <c r="K125" s="2" t="s">
        <v>20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4">
        <v>162.5</v>
      </c>
      <c r="P125">
        <v>2150</v>
      </c>
      <c r="Q125">
        <v>110</v>
      </c>
      <c r="R125" s="31">
        <v>119.03</v>
      </c>
      <c r="S125" s="30">
        <f>IFERROR(PROPERTIES[[#This Row],[TE_STARTING_KN]]/(PROPERTIES[[#This Row],[WEIGHT]]*9.81),0)</f>
        <v>7.4667921273425863E-2</v>
      </c>
      <c r="T125" s="30">
        <v>0.08</v>
      </c>
      <c r="U125" s="27">
        <f>ROUND(IF(IFERROR(PROPERTIES[[#This Row],[TE_COEFFICIENT_CALC]],0)=0,PROPERTIES[[#This Row],[TE_COEFFICIENT_MANUAL]],PROPERTIES[[#This Row],[TE_COEFFICIENT_CALC]]),3)</f>
        <v>7.4999999999999997E-2</v>
      </c>
      <c r="V125" s="6">
        <v>40</v>
      </c>
      <c r="W125" s="10">
        <v>0</v>
      </c>
      <c r="X125" s="10">
        <v>7</v>
      </c>
      <c r="Y125" s="11"/>
      <c r="Z125" t="s">
        <v>913</v>
      </c>
      <c r="AA125" t="s">
        <v>904</v>
      </c>
      <c r="AB125" s="2" t="s">
        <v>922</v>
      </c>
      <c r="AC125" s="10" t="s">
        <v>990</v>
      </c>
      <c r="AD125" s="10" t="s">
        <v>991</v>
      </c>
      <c r="AE125" s="11" t="str">
        <f>SUBSTITUTE(SUBSTITUTE(PROPERTIES[[#This Row],[PURCHASECOST_VALUE]], "PURCHASECOST_", ""), "_VALUE", "")</f>
        <v>STEAMENGINE</v>
      </c>
      <c r="AF125" s="10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150</v>
      </c>
      <c r="B126">
        <v>1940</v>
      </c>
      <c r="C126">
        <v>0</v>
      </c>
      <c r="D126" t="s">
        <v>1893</v>
      </c>
      <c r="E126" t="str">
        <f>_xlfn.XLOOKUP(PROPERTIES[[#This Row],[COUNTRY]],COUNTRIES[COUNTRY_DESCRIPTION],COUNTRIES[COUNTRY_LABEL],"")</f>
        <v>IQ</v>
      </c>
      <c r="F126" t="s">
        <v>23</v>
      </c>
      <c r="G126" t="s">
        <v>18</v>
      </c>
      <c r="H126">
        <v>0</v>
      </c>
      <c r="I126">
        <v>8</v>
      </c>
      <c r="J126">
        <v>12</v>
      </c>
      <c r="K126" s="2" t="s">
        <v>20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4">
        <v>162</v>
      </c>
      <c r="P126">
        <v>1640</v>
      </c>
      <c r="Q126">
        <v>110</v>
      </c>
      <c r="R126" s="31">
        <v>0</v>
      </c>
      <c r="S126" s="30">
        <f>IFERROR(PROPERTIES[[#This Row],[TE_STARTING_KN]]/(PROPERTIES[[#This Row],[WEIGHT]]*9.81),0)</f>
        <v>0</v>
      </c>
      <c r="T126" s="30">
        <v>0.08</v>
      </c>
      <c r="U126" s="27">
        <f>ROUND(IF(IFERROR(PROPERTIES[[#This Row],[TE_COEFFICIENT_CALC]],0)=0,PROPERTIES[[#This Row],[TE_COEFFICIENT_MANUAL]],PROPERTIES[[#This Row],[TE_COEFFICIENT_CALC]]),3)</f>
        <v>0.08</v>
      </c>
      <c r="V126" s="6">
        <v>40</v>
      </c>
      <c r="W126" s="10">
        <v>0</v>
      </c>
      <c r="X126" s="10">
        <v>6</v>
      </c>
      <c r="Y126" s="11"/>
      <c r="Z126" t="s">
        <v>913</v>
      </c>
      <c r="AA126" t="s">
        <v>904</v>
      </c>
      <c r="AB126" s="2" t="s">
        <v>922</v>
      </c>
      <c r="AC126" s="10" t="s">
        <v>990</v>
      </c>
      <c r="AD126" s="10" t="s">
        <v>991</v>
      </c>
      <c r="AE126" s="11" t="str">
        <f>SUBSTITUTE(SUBSTITUTE(PROPERTIES[[#This Row],[PURCHASECOST_VALUE]], "PURCHASECOST_", ""), "_VALUE", "")</f>
        <v>STEAMENGINE</v>
      </c>
      <c r="AF126" s="10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151</v>
      </c>
      <c r="B127">
        <v>1942</v>
      </c>
      <c r="C127">
        <v>0</v>
      </c>
      <c r="D127" t="s">
        <v>1852</v>
      </c>
      <c r="E127" t="str">
        <f>_xlfn.XLOOKUP(PROPERTIES[[#This Row],[COUNTRY]],COUNTRIES[COUNTRY_DESCRIPTION],COUNTRIES[COUNTRY_LABEL],"")</f>
        <v>EG</v>
      </c>
      <c r="F127" t="s">
        <v>23</v>
      </c>
      <c r="G127" t="s">
        <v>18</v>
      </c>
      <c r="H127">
        <v>0</v>
      </c>
      <c r="I127">
        <v>6</v>
      </c>
      <c r="J127">
        <v>6</v>
      </c>
      <c r="K127" s="2" t="s">
        <v>20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4">
        <v>46</v>
      </c>
      <c r="P127">
        <v>560</v>
      </c>
      <c r="Q127">
        <v>65</v>
      </c>
      <c r="R127" s="31">
        <v>92.68</v>
      </c>
      <c r="S127" s="30">
        <f>IFERROR(PROPERTIES[[#This Row],[TE_STARTING_KN]]/(PROPERTIES[[#This Row],[WEIGHT]]*9.81),0)</f>
        <v>0.20538049018304302</v>
      </c>
      <c r="T127" s="30">
        <v>0.22</v>
      </c>
      <c r="U127" s="27">
        <f>ROUND(IF(IFERROR(PROPERTIES[[#This Row],[TE_COEFFICIENT_CALC]],0)=0,PROPERTIES[[#This Row],[TE_COEFFICIENT_MANUAL]],PROPERTIES[[#This Row],[TE_COEFFICIENT_CALC]]),3)</f>
        <v>0.20499999999999999</v>
      </c>
      <c r="V127" s="6">
        <v>40</v>
      </c>
      <c r="W127" s="10">
        <v>0</v>
      </c>
      <c r="X127" s="10">
        <v>0</v>
      </c>
      <c r="Y127" s="11"/>
      <c r="Z127" t="s">
        <v>908</v>
      </c>
      <c r="AA127" t="s">
        <v>904</v>
      </c>
      <c r="AB127" s="2" t="s">
        <v>922</v>
      </c>
      <c r="AC127" s="10" t="s">
        <v>990</v>
      </c>
      <c r="AD127" s="10" t="s">
        <v>991</v>
      </c>
      <c r="AE127" s="11" t="str">
        <f>SUBSTITUTE(SUBSTITUTE(PROPERTIES[[#This Row],[PURCHASECOST_VALUE]], "PURCHASECOST_", ""), "_VALUE", "")</f>
        <v>STEAMENGINE</v>
      </c>
      <c r="AF127" s="10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152</v>
      </c>
      <c r="B128">
        <v>1949</v>
      </c>
      <c r="C128">
        <v>0</v>
      </c>
      <c r="D128" t="s">
        <v>1863</v>
      </c>
      <c r="E128" t="str">
        <f>_xlfn.XLOOKUP(PROPERTIES[[#This Row],[COUNTRY]],COUNTRIES[COUNTRY_DESCRIPTION],COUNTRIES[COUNTRY_LABEL],"")</f>
        <v>GB</v>
      </c>
      <c r="F128" t="s">
        <v>23</v>
      </c>
      <c r="G128" t="s">
        <v>18</v>
      </c>
      <c r="H128">
        <v>0</v>
      </c>
      <c r="I128">
        <v>6</v>
      </c>
      <c r="J128">
        <v>6</v>
      </c>
      <c r="K128" s="2" t="s">
        <v>20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4">
        <v>41.6</v>
      </c>
      <c r="P128">
        <v>500</v>
      </c>
      <c r="Q128">
        <v>65</v>
      </c>
      <c r="R128" s="31">
        <v>82.36</v>
      </c>
      <c r="S128" s="30">
        <f>IFERROR(PROPERTIES[[#This Row],[TE_STARTING_KN]]/(PROPERTIES[[#This Row],[WEIGHT]]*9.81),0)</f>
        <v>0.20181525915470866</v>
      </c>
      <c r="T128" s="30">
        <v>0.2</v>
      </c>
      <c r="U128" s="27">
        <f>ROUND(IF(IFERROR(PROPERTIES[[#This Row],[TE_COEFFICIENT_CALC]],0)=0,PROPERTIES[[#This Row],[TE_COEFFICIENT_MANUAL]],PROPERTIES[[#This Row],[TE_COEFFICIENT_CALC]]),3)</f>
        <v>0.20200000000000001</v>
      </c>
      <c r="V128" s="6">
        <v>40</v>
      </c>
      <c r="W128" s="10">
        <v>0</v>
      </c>
      <c r="X128" s="10">
        <v>0</v>
      </c>
      <c r="Y128" s="11"/>
      <c r="Z128" t="s">
        <v>909</v>
      </c>
      <c r="AA128" t="s">
        <v>904</v>
      </c>
      <c r="AB128" s="2" t="s">
        <v>922</v>
      </c>
      <c r="AC128" s="10" t="s">
        <v>990</v>
      </c>
      <c r="AD128" s="10" t="s">
        <v>991</v>
      </c>
      <c r="AE128" s="11" t="str">
        <f>SUBSTITUTE(SUBSTITUTE(PROPERTIES[[#This Row],[PURCHASECOST_VALUE]], "PURCHASECOST_", ""), "_VALUE", "")</f>
        <v>STEAMENGINE</v>
      </c>
      <c r="AF128" s="10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153</v>
      </c>
      <c r="B129">
        <v>1951</v>
      </c>
      <c r="C129">
        <v>0</v>
      </c>
      <c r="D129" t="s">
        <v>1800</v>
      </c>
      <c r="E129" t="str">
        <f>_xlfn.XLOOKUP(PROPERTIES[[#This Row],[COUNTRY]],COUNTRIES[COUNTRY_DESCRIPTION],COUNTRIES[COUNTRY_LABEL],"")</f>
        <v>AU</v>
      </c>
      <c r="F129" t="s">
        <v>23</v>
      </c>
      <c r="G129" t="s">
        <v>18</v>
      </c>
      <c r="H129">
        <v>0</v>
      </c>
      <c r="I129">
        <v>8</v>
      </c>
      <c r="J129">
        <v>10</v>
      </c>
      <c r="K129" s="2" t="s">
        <v>20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4">
        <v>188.3</v>
      </c>
      <c r="P129">
        <v>2400</v>
      </c>
      <c r="Q129">
        <v>130</v>
      </c>
      <c r="R129" s="31">
        <v>142.69999999999999</v>
      </c>
      <c r="S129" s="30">
        <f>IFERROR(PROPERTIES[[#This Row],[TE_STARTING_KN]]/(PROPERTIES[[#This Row],[WEIGHT]]*9.81),0)</f>
        <v>7.7251095292771896E-2</v>
      </c>
      <c r="T129" s="30">
        <v>7.0000000000000007E-2</v>
      </c>
      <c r="U129" s="27">
        <f>ROUND(IF(IFERROR(PROPERTIES[[#This Row],[TE_COEFFICIENT_CALC]],0)=0,PROPERTIES[[#This Row],[TE_COEFFICIENT_MANUAL]],PROPERTIES[[#This Row],[TE_COEFFICIENT_CALC]]),3)</f>
        <v>7.6999999999999999E-2</v>
      </c>
      <c r="V129" s="6">
        <v>40</v>
      </c>
      <c r="W129" s="10">
        <v>0</v>
      </c>
      <c r="X129" s="10">
        <v>5</v>
      </c>
      <c r="Y129" s="11"/>
      <c r="Z129" t="s">
        <v>907</v>
      </c>
      <c r="AA129" t="s">
        <v>904</v>
      </c>
      <c r="AB129" s="2" t="s">
        <v>922</v>
      </c>
      <c r="AC129" s="10" t="s">
        <v>990</v>
      </c>
      <c r="AD129" s="10" t="s">
        <v>991</v>
      </c>
      <c r="AE129" s="11" t="str">
        <f>SUBSTITUTE(SUBSTITUTE(PROPERTIES[[#This Row],[PURCHASECOST_VALUE]], "PURCHASECOST_", ""), "_VALUE", "")</f>
        <v>STEAMENGINE</v>
      </c>
      <c r="AF129" s="10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154</v>
      </c>
      <c r="B130">
        <v>1952</v>
      </c>
      <c r="C130">
        <v>0</v>
      </c>
      <c r="D130" t="s">
        <v>2036</v>
      </c>
      <c r="E130" t="str">
        <f>_xlfn.XLOOKUP(PROPERTIES[[#This Row],[COUNTRY]],COUNTRIES[COUNTRY_DESCRIPTION],COUNTRIES[COUNTRY_LABEL],"")</f>
        <v>GDR</v>
      </c>
      <c r="F130" t="s">
        <v>23</v>
      </c>
      <c r="G130" t="s">
        <v>18</v>
      </c>
      <c r="H130">
        <v>0</v>
      </c>
      <c r="I130">
        <v>7</v>
      </c>
      <c r="J130">
        <v>7</v>
      </c>
      <c r="K130" s="2" t="s">
        <v>20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4">
        <v>55</v>
      </c>
      <c r="P130">
        <v>592</v>
      </c>
      <c r="Q130">
        <v>30</v>
      </c>
      <c r="R130" s="31">
        <v>83.35</v>
      </c>
      <c r="S130" s="30">
        <f>IFERROR(PROPERTIES[[#This Row],[TE_STARTING_KN]]/(PROPERTIES[[#This Row],[WEIGHT]]*9.81),0)</f>
        <v>0.15448058567324618</v>
      </c>
      <c r="T130" s="30">
        <v>0.2</v>
      </c>
      <c r="U130" s="27">
        <f>ROUND(IF(IFERROR(PROPERTIES[[#This Row],[TE_COEFFICIENT_CALC]],0)=0,PROPERTIES[[#This Row],[TE_COEFFICIENT_MANUAL]],PROPERTIES[[#This Row],[TE_COEFFICIENT_CALC]]),3)</f>
        <v>0.154</v>
      </c>
      <c r="V130" s="6">
        <v>40</v>
      </c>
      <c r="W130" s="10">
        <v>0</v>
      </c>
      <c r="X130" s="10">
        <v>0</v>
      </c>
      <c r="Y130" s="11"/>
      <c r="Z130" t="s">
        <v>905</v>
      </c>
      <c r="AA130" t="s">
        <v>904</v>
      </c>
      <c r="AB130" s="2" t="s">
        <v>922</v>
      </c>
      <c r="AC130" s="10" t="s">
        <v>990</v>
      </c>
      <c r="AD130" s="10" t="s">
        <v>991</v>
      </c>
      <c r="AE130" s="11" t="str">
        <f>SUBSTITUTE(SUBSTITUTE(PROPERTIES[[#This Row],[PURCHASECOST_VALUE]], "PURCHASECOST_", ""), "_VALUE", "")</f>
        <v>STEAMENGINE</v>
      </c>
      <c r="AF130" s="10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30" s="2" t="b">
        <v>0</v>
      </c>
      <c r="AY130"/>
      <c r="AZ130"/>
      <c r="BA130"/>
    </row>
    <row r="131" spans="1:53">
      <c r="A131" s="2" t="s">
        <v>155</v>
      </c>
      <c r="B131">
        <v>1961</v>
      </c>
      <c r="C131">
        <v>0</v>
      </c>
      <c r="D131" t="s">
        <v>2036</v>
      </c>
      <c r="E131" t="str">
        <f>_xlfn.XLOOKUP(PROPERTIES[[#This Row],[COUNTRY]],COUNTRIES[COUNTRY_DESCRIPTION],COUNTRIES[COUNTRY_LABEL],"")</f>
        <v>GDR</v>
      </c>
      <c r="F131" t="s">
        <v>23</v>
      </c>
      <c r="G131" t="s">
        <v>18</v>
      </c>
      <c r="H131">
        <v>0</v>
      </c>
      <c r="I131">
        <v>8</v>
      </c>
      <c r="J131">
        <v>12</v>
      </c>
      <c r="K131" s="2" t="s">
        <v>20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4">
        <v>172</v>
      </c>
      <c r="P131">
        <v>2120</v>
      </c>
      <c r="Q131">
        <v>182</v>
      </c>
      <c r="R131" s="31">
        <v>0</v>
      </c>
      <c r="S131" s="30">
        <f>IFERROR(PROPERTIES[[#This Row],[TE_STARTING_KN]]/(PROPERTIES[[#This Row],[WEIGHT]]*9.81),0)</f>
        <v>0</v>
      </c>
      <c r="T131" s="30">
        <v>0.06</v>
      </c>
      <c r="U131" s="27">
        <f>ROUND(IF(IFERROR(PROPERTIES[[#This Row],[TE_COEFFICIENT_CALC]],0)=0,PROPERTIES[[#This Row],[TE_COEFFICIENT_MANUAL]],PROPERTIES[[#This Row],[TE_COEFFICIENT_CALC]]),3)</f>
        <v>0.06</v>
      </c>
      <c r="V131" s="6">
        <v>40</v>
      </c>
      <c r="W131" s="10">
        <v>0</v>
      </c>
      <c r="X131" s="10">
        <v>6</v>
      </c>
      <c r="Y131" s="11"/>
      <c r="Z131" t="s">
        <v>905</v>
      </c>
      <c r="AA131" t="s">
        <v>904</v>
      </c>
      <c r="AB131" s="2" t="s">
        <v>922</v>
      </c>
      <c r="AC131" s="10" t="s">
        <v>990</v>
      </c>
      <c r="AD131" s="10" t="s">
        <v>991</v>
      </c>
      <c r="AE131" s="11" t="str">
        <f>SUBSTITUTE(SUBSTITUTE(PROPERTIES[[#This Row],[PURCHASECOST_VALUE]], "PURCHASECOST_", ""), "_VALUE", "")</f>
        <v>STEAMENGINE</v>
      </c>
      <c r="AF131" s="10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156</v>
      </c>
      <c r="B132">
        <v>1923</v>
      </c>
      <c r="C132">
        <v>0</v>
      </c>
      <c r="D132" t="s">
        <v>1957</v>
      </c>
      <c r="E132" t="str">
        <f>_xlfn.XLOOKUP(PROPERTIES[[#This Row],[COUNTRY]],COUNTRIES[COUNTRY_DESCRIPTION],COUNTRIES[COUNTRY_LABEL],"")</f>
        <v>NZ</v>
      </c>
      <c r="F132" t="s">
        <v>23</v>
      </c>
      <c r="G132" t="s">
        <v>20</v>
      </c>
      <c r="H132">
        <v>0</v>
      </c>
      <c r="I132">
        <v>6</v>
      </c>
      <c r="J132">
        <v>6</v>
      </c>
      <c r="K132" s="2" t="s">
        <v>24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4">
        <v>74</v>
      </c>
      <c r="P132">
        <v>1000</v>
      </c>
      <c r="Q132">
        <v>97</v>
      </c>
      <c r="R132" s="31">
        <v>99</v>
      </c>
      <c r="S132" s="30">
        <f>IFERROR(PROPERTIES[[#This Row],[TE_STARTING_KN]]/(PROPERTIES[[#This Row],[WEIGHT]]*9.81),0)</f>
        <v>0.13637490701710883</v>
      </c>
      <c r="T132" s="30">
        <v>0.14000000000000001</v>
      </c>
      <c r="U132" s="27">
        <f>ROUND(IF(IFERROR(PROPERTIES[[#This Row],[TE_COEFFICIENT_CALC]],0)=0,PROPERTIES[[#This Row],[TE_COEFFICIENT_MANUAL]],PROPERTIES[[#This Row],[TE_COEFFICIENT_CALC]]),3)</f>
        <v>0.13600000000000001</v>
      </c>
      <c r="V132" s="6">
        <v>40</v>
      </c>
      <c r="W132" s="10">
        <v>0</v>
      </c>
      <c r="X132" s="10">
        <v>0</v>
      </c>
      <c r="Y132" s="11"/>
      <c r="Z132" t="s">
        <v>907</v>
      </c>
      <c r="AA132" t="s">
        <v>904</v>
      </c>
      <c r="AB132" s="2" t="s">
        <v>922</v>
      </c>
      <c r="AC132" s="10" t="s">
        <v>990</v>
      </c>
      <c r="AD132" s="10" t="s">
        <v>991</v>
      </c>
      <c r="AE132" s="11" t="str">
        <f>SUBSTITUTE(SUBSTITUTE(PROPERTIES[[#This Row],[PURCHASECOST_VALUE]], "PURCHASECOST_", ""), "_VALUE", "")</f>
        <v>STEAMENGINE</v>
      </c>
      <c r="AF132" s="10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157</v>
      </c>
      <c r="B133">
        <v>1929</v>
      </c>
      <c r="C133">
        <v>0</v>
      </c>
      <c r="D133" t="s">
        <v>1800</v>
      </c>
      <c r="E133" t="str">
        <f>_xlfn.XLOOKUP(PROPERTIES[[#This Row],[COUNTRY]],COUNTRIES[COUNTRY_DESCRIPTION],COUNTRIES[COUNTRY_LABEL],"")</f>
        <v>AU</v>
      </c>
      <c r="F133" t="s">
        <v>23</v>
      </c>
      <c r="G133" t="s">
        <v>20</v>
      </c>
      <c r="H133">
        <v>0</v>
      </c>
      <c r="I133">
        <v>8</v>
      </c>
      <c r="J133">
        <v>10</v>
      </c>
      <c r="K133" s="2" t="s">
        <v>24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4">
        <v>231</v>
      </c>
      <c r="P133">
        <v>2800</v>
      </c>
      <c r="Q133">
        <v>80</v>
      </c>
      <c r="R133" s="31">
        <v>289.10000000000002</v>
      </c>
      <c r="S133" s="30">
        <f>IFERROR(PROPERTIES[[#This Row],[TE_STARTING_KN]]/(PROPERTIES[[#This Row],[WEIGHT]]*9.81),0)</f>
        <v>0.12757544867636611</v>
      </c>
      <c r="T133" s="30">
        <v>0.12</v>
      </c>
      <c r="U133" s="27">
        <f>ROUND(IF(IFERROR(PROPERTIES[[#This Row],[TE_COEFFICIENT_CALC]],0)=0,PROPERTIES[[#This Row],[TE_COEFFICIENT_MANUAL]],PROPERTIES[[#This Row],[TE_COEFFICIENT_CALC]]),3)</f>
        <v>0.128</v>
      </c>
      <c r="V133" s="6">
        <v>40</v>
      </c>
      <c r="W133" s="10">
        <v>0</v>
      </c>
      <c r="X133" s="10">
        <v>5</v>
      </c>
      <c r="Y133" s="11"/>
      <c r="Z133" t="s">
        <v>907</v>
      </c>
      <c r="AA133" t="s">
        <v>904</v>
      </c>
      <c r="AB133" s="2" t="s">
        <v>922</v>
      </c>
      <c r="AC133" s="10" t="s">
        <v>990</v>
      </c>
      <c r="AD133" s="10" t="s">
        <v>991</v>
      </c>
      <c r="AE133" s="11" t="str">
        <f>SUBSTITUTE(SUBSTITUTE(PROPERTIES[[#This Row],[PURCHASECOST_VALUE]], "PURCHASECOST_", ""), "_VALUE", "")</f>
        <v>STEAMENGINE</v>
      </c>
      <c r="AF133" s="10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158</v>
      </c>
      <c r="B134">
        <v>1943</v>
      </c>
      <c r="C134">
        <v>0</v>
      </c>
      <c r="D134" t="s">
        <v>1800</v>
      </c>
      <c r="E134" t="str">
        <f>_xlfn.XLOOKUP(PROPERTIES[[#This Row],[COUNTRY]],COUNTRIES[COUNTRY_DESCRIPTION],COUNTRIES[COUNTRY_LABEL],"")</f>
        <v>AU</v>
      </c>
      <c r="F134" t="s">
        <v>23</v>
      </c>
      <c r="G134" t="s">
        <v>20</v>
      </c>
      <c r="H134">
        <v>0</v>
      </c>
      <c r="I134">
        <v>8</v>
      </c>
      <c r="J134">
        <v>10</v>
      </c>
      <c r="K134" s="2" t="s">
        <v>24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4">
        <v>200</v>
      </c>
      <c r="P134">
        <v>2600</v>
      </c>
      <c r="Q134">
        <v>112</v>
      </c>
      <c r="R134" s="31">
        <v>145</v>
      </c>
      <c r="S134" s="30">
        <f>IFERROR(PROPERTIES[[#This Row],[TE_STARTING_KN]]/(PROPERTIES[[#This Row],[WEIGHT]]*9.81),0)</f>
        <v>7.3904179408766563E-2</v>
      </c>
      <c r="T134" s="30">
        <v>7.0000000000000007E-2</v>
      </c>
      <c r="U134" s="27">
        <f>ROUND(IF(IFERROR(PROPERTIES[[#This Row],[TE_COEFFICIENT_CALC]],0)=0,PROPERTIES[[#This Row],[TE_COEFFICIENT_MANUAL]],PROPERTIES[[#This Row],[TE_COEFFICIENT_CALC]]),3)</f>
        <v>7.3999999999999996E-2</v>
      </c>
      <c r="V134" s="6">
        <v>40</v>
      </c>
      <c r="W134" s="10">
        <v>0</v>
      </c>
      <c r="X134" s="10">
        <v>5</v>
      </c>
      <c r="Y134" s="11"/>
      <c r="Z134" t="s">
        <v>907</v>
      </c>
      <c r="AA134" t="s">
        <v>904</v>
      </c>
      <c r="AB134" s="2" t="s">
        <v>922</v>
      </c>
      <c r="AC134" s="10" t="s">
        <v>990</v>
      </c>
      <c r="AD134" s="10" t="s">
        <v>991</v>
      </c>
      <c r="AE134" s="11" t="str">
        <f>SUBSTITUTE(SUBSTITUTE(PROPERTIES[[#This Row],[PURCHASECOST_VALUE]], "PURCHASECOST_", ""), "_VALUE", "")</f>
        <v>STEAMENGINE</v>
      </c>
      <c r="AF134" s="10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159</v>
      </c>
      <c r="B135">
        <v>1952</v>
      </c>
      <c r="C135">
        <v>0</v>
      </c>
      <c r="D135" t="s">
        <v>1800</v>
      </c>
      <c r="E135" t="str">
        <f>_xlfn.XLOOKUP(PROPERTIES[[#This Row],[COUNTRY]],COUNTRIES[COUNTRY_DESCRIPTION],COUNTRIES[COUNTRY_LABEL],"")</f>
        <v>AU</v>
      </c>
      <c r="F135" t="s">
        <v>23</v>
      </c>
      <c r="G135" t="s">
        <v>20</v>
      </c>
      <c r="H135">
        <v>0</v>
      </c>
      <c r="I135">
        <v>4</v>
      </c>
      <c r="J135">
        <v>12</v>
      </c>
      <c r="K135" s="2" t="s">
        <v>24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4">
        <v>259</v>
      </c>
      <c r="P135">
        <v>3500</v>
      </c>
      <c r="Q135">
        <v>95</v>
      </c>
      <c r="R135" s="31">
        <f>264.9*2</f>
        <v>529.79999999999995</v>
      </c>
      <c r="S135" s="30">
        <f>IFERROR(PROPERTIES[[#This Row],[TE_STARTING_KN]]/(PROPERTIES[[#This Row],[WEIGHT]]*9.81),0)</f>
        <v>0.20851782319672227</v>
      </c>
      <c r="T135" s="30">
        <v>0.11</v>
      </c>
      <c r="U135" s="27">
        <f>ROUND(IF(IFERROR(PROPERTIES[[#This Row],[TE_COEFFICIENT_CALC]],0)=0,PROPERTIES[[#This Row],[TE_COEFFICIENT_MANUAL]],PROPERTIES[[#This Row],[TE_COEFFICIENT_CALC]]),3)</f>
        <v>0.20899999999999999</v>
      </c>
      <c r="V135" s="6">
        <v>40</v>
      </c>
      <c r="W135" s="10">
        <v>0</v>
      </c>
      <c r="X135" s="10">
        <v>0</v>
      </c>
      <c r="Y135" s="11"/>
      <c r="Z135" t="s">
        <v>907</v>
      </c>
      <c r="AA135" t="s">
        <v>904</v>
      </c>
      <c r="AB135" s="2" t="s">
        <v>922</v>
      </c>
      <c r="AC135" s="10" t="s">
        <v>990</v>
      </c>
      <c r="AD135" s="10" t="s">
        <v>991</v>
      </c>
      <c r="AE135" s="11" t="str">
        <f>SUBSTITUTE(SUBSTITUTE(PROPERTIES[[#This Row],[PURCHASECOST_VALUE]], "PURCHASECOST_", ""), "_VALUE", "")</f>
        <v>STEAMENGINE</v>
      </c>
      <c r="AF135" s="10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160</v>
      </c>
      <c r="B136">
        <v>1910</v>
      </c>
      <c r="C136">
        <v>0</v>
      </c>
      <c r="D136" t="s">
        <v>2020</v>
      </c>
      <c r="E136" t="str">
        <f>_xlfn.XLOOKUP(PROPERTIES[[#This Row],[COUNTRY]],COUNTRIES[COUNTRY_DESCRIPTION],COUNTRIES[COUNTRY_LABEL],"")</f>
        <v>UY</v>
      </c>
      <c r="F136" t="s">
        <v>23</v>
      </c>
      <c r="G136" t="s">
        <v>20</v>
      </c>
      <c r="H136">
        <v>0</v>
      </c>
      <c r="I136">
        <v>5</v>
      </c>
      <c r="J136">
        <v>6</v>
      </c>
      <c r="K136" s="2" t="s">
        <v>24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4">
        <v>84.5</v>
      </c>
      <c r="P136">
        <v>650</v>
      </c>
      <c r="Q136">
        <v>75</v>
      </c>
      <c r="R136" s="31">
        <v>0</v>
      </c>
      <c r="S136" s="30">
        <f>IFERROR(PROPERTIES[[#This Row],[TE_STARTING_KN]]/(PROPERTIES[[#This Row],[WEIGHT]]*9.81),0)</f>
        <v>0</v>
      </c>
      <c r="T136" s="30">
        <v>0.1</v>
      </c>
      <c r="U136" s="27">
        <f>ROUND(IF(IFERROR(PROPERTIES[[#This Row],[TE_COEFFICIENT_CALC]],0)=0,PROPERTIES[[#This Row],[TE_COEFFICIENT_MANUAL]],PROPERTIES[[#This Row],[TE_COEFFICIENT_CALC]]),3)</f>
        <v>0.1</v>
      </c>
      <c r="V136" s="6">
        <v>40</v>
      </c>
      <c r="W136" s="10">
        <v>0</v>
      </c>
      <c r="X136" s="10">
        <v>3</v>
      </c>
      <c r="Y136" s="11"/>
      <c r="Z136" t="s">
        <v>912</v>
      </c>
      <c r="AA136" t="s">
        <v>904</v>
      </c>
      <c r="AB136" s="2" t="s">
        <v>922</v>
      </c>
      <c r="AC136" s="10" t="s">
        <v>990</v>
      </c>
      <c r="AD136" s="10" t="s">
        <v>991</v>
      </c>
      <c r="AE136" s="11" t="str">
        <f>SUBSTITUTE(SUBSTITUTE(PROPERTIES[[#This Row],[PURCHASECOST_VALUE]], "PURCHASECOST_", ""), "_VALUE", "")</f>
        <v>STEAMENGINE</v>
      </c>
      <c r="AF136" s="10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161</v>
      </c>
      <c r="B137">
        <v>1930</v>
      </c>
      <c r="C137">
        <v>0</v>
      </c>
      <c r="D137" t="s">
        <v>1797</v>
      </c>
      <c r="E137" t="str">
        <f>_xlfn.XLOOKUP(PROPERTIES[[#This Row],[COUNTRY]],COUNTRIES[COUNTRY_DESCRIPTION],COUNTRIES[COUNTRY_LABEL],"")</f>
        <v>AR</v>
      </c>
      <c r="F137" t="s">
        <v>23</v>
      </c>
      <c r="G137" t="s">
        <v>20</v>
      </c>
      <c r="H137">
        <v>0</v>
      </c>
      <c r="I137">
        <v>8</v>
      </c>
      <c r="J137">
        <v>10</v>
      </c>
      <c r="K137" s="2" t="s">
        <v>24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4">
        <v>203</v>
      </c>
      <c r="P137">
        <v>1500</v>
      </c>
      <c r="Q137">
        <v>160</v>
      </c>
      <c r="R137" s="31">
        <v>0</v>
      </c>
      <c r="S137" s="30">
        <f>IFERROR(PROPERTIES[[#This Row],[TE_STARTING_KN]]/(PROPERTIES[[#This Row],[WEIGHT]]*9.81),0)</f>
        <v>0</v>
      </c>
      <c r="T137" s="30">
        <v>0.08</v>
      </c>
      <c r="U137" s="27">
        <f>ROUND(IF(IFERROR(PROPERTIES[[#This Row],[TE_COEFFICIENT_CALC]],0)=0,PROPERTIES[[#This Row],[TE_COEFFICIENT_MANUAL]],PROPERTIES[[#This Row],[TE_COEFFICIENT_CALC]]),3)</f>
        <v>0.08</v>
      </c>
      <c r="V137" s="6">
        <v>40</v>
      </c>
      <c r="W137" s="10">
        <v>0</v>
      </c>
      <c r="X137" s="10">
        <v>5</v>
      </c>
      <c r="Y137" s="11"/>
      <c r="Z137" t="s">
        <v>912</v>
      </c>
      <c r="AA137" t="s">
        <v>904</v>
      </c>
      <c r="AB137" s="2" t="s">
        <v>922</v>
      </c>
      <c r="AC137" s="10" t="s">
        <v>990</v>
      </c>
      <c r="AD137" s="10" t="s">
        <v>991</v>
      </c>
      <c r="AE137" s="11" t="str">
        <f>SUBSTITUTE(SUBSTITUTE(PROPERTIES[[#This Row],[PURCHASECOST_VALUE]], "PURCHASECOST_", ""), "_VALUE", "")</f>
        <v>STEAMENGINE</v>
      </c>
      <c r="AF137" s="10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162</v>
      </c>
      <c r="B138">
        <v>1873</v>
      </c>
      <c r="C138">
        <v>0</v>
      </c>
      <c r="D138" t="s">
        <v>2033</v>
      </c>
      <c r="E138" t="str">
        <f>_xlfn.XLOOKUP(PROPERTIES[[#This Row],[COUNTRY]],COUNTRIES[COUNTRY_DESCRIPTION],COUNTRIES[COUNTRY_LABEL],"")</f>
        <v>ZA</v>
      </c>
      <c r="F138" t="s">
        <v>23</v>
      </c>
      <c r="G138" t="s">
        <v>20</v>
      </c>
      <c r="H138">
        <v>0</v>
      </c>
      <c r="I138">
        <v>3</v>
      </c>
      <c r="J138">
        <v>3</v>
      </c>
      <c r="K138" s="2" t="s">
        <v>24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4">
        <v>14</v>
      </c>
      <c r="P138">
        <v>40</v>
      </c>
      <c r="Q138">
        <v>16</v>
      </c>
      <c r="R138" s="31">
        <v>14.6</v>
      </c>
      <c r="S138" s="30">
        <f>IFERROR(PROPERTIES[[#This Row],[TE_STARTING_KN]]/(PROPERTIES[[#This Row],[WEIGHT]]*9.81),0)</f>
        <v>0.10630551914955584</v>
      </c>
      <c r="T138" s="30">
        <v>0.06</v>
      </c>
      <c r="U138" s="27">
        <f>ROUND(IF(IFERROR(PROPERTIES[[#This Row],[TE_COEFFICIENT_CALC]],0)=0,PROPERTIES[[#This Row],[TE_COEFFICIENT_MANUAL]],PROPERTIES[[#This Row],[TE_COEFFICIENT_CALC]]),3)</f>
        <v>0.106</v>
      </c>
      <c r="V138" s="6">
        <v>40</v>
      </c>
      <c r="W138" s="10">
        <v>0</v>
      </c>
      <c r="X138" s="10">
        <v>0</v>
      </c>
      <c r="Y138" s="11"/>
      <c r="Z138" t="s">
        <v>908</v>
      </c>
      <c r="AA138" t="s">
        <v>904</v>
      </c>
      <c r="AB138" s="2" t="s">
        <v>922</v>
      </c>
      <c r="AC138" s="10" t="s">
        <v>990</v>
      </c>
      <c r="AD138" s="10" t="s">
        <v>991</v>
      </c>
      <c r="AE138" s="11" t="str">
        <f>SUBSTITUTE(SUBSTITUTE(PROPERTIES[[#This Row],[PURCHASECOST_VALUE]], "PURCHASECOST_", ""), "_VALUE", "")</f>
        <v>STEAMENGINE</v>
      </c>
      <c r="AF138" s="10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38" s="2" t="b">
        <v>0</v>
      </c>
      <c r="AY138"/>
      <c r="AZ138"/>
      <c r="BA138"/>
    </row>
    <row r="139" spans="1:53">
      <c r="A139" s="2" t="s">
        <v>163</v>
      </c>
      <c r="B139">
        <v>1895</v>
      </c>
      <c r="C139">
        <v>0</v>
      </c>
      <c r="D139" t="s">
        <v>1945</v>
      </c>
      <c r="E139" t="str">
        <f>_xlfn.XLOOKUP(PROPERTIES[[#This Row],[COUNTRY]],COUNTRIES[COUNTRY_DESCRIPTION],COUNTRIES[COUNTRY_LABEL],"")</f>
        <v>MZ</v>
      </c>
      <c r="F139" t="s">
        <v>23</v>
      </c>
      <c r="G139" t="s">
        <v>20</v>
      </c>
      <c r="H139">
        <v>0</v>
      </c>
      <c r="I139">
        <v>4</v>
      </c>
      <c r="J139">
        <v>6</v>
      </c>
      <c r="K139" s="2" t="s">
        <v>24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4">
        <v>20</v>
      </c>
      <c r="P139">
        <v>120</v>
      </c>
      <c r="Q139">
        <v>30</v>
      </c>
      <c r="R139" s="31">
        <v>13</v>
      </c>
      <c r="S139" s="30">
        <f>IFERROR(PROPERTIES[[#This Row],[TE_STARTING_KN]]/(PROPERTIES[[#This Row],[WEIGHT]]*9.81),0)</f>
        <v>6.6258919469928637E-2</v>
      </c>
      <c r="T139" s="30">
        <v>0.08</v>
      </c>
      <c r="U139" s="27">
        <f>ROUND(IF(IFERROR(PROPERTIES[[#This Row],[TE_COEFFICIENT_CALC]],0)=0,PROPERTIES[[#This Row],[TE_COEFFICIENT_MANUAL]],PROPERTIES[[#This Row],[TE_COEFFICIENT_CALC]]),3)</f>
        <v>6.6000000000000003E-2</v>
      </c>
      <c r="V139" s="6">
        <v>40</v>
      </c>
      <c r="W139" s="10">
        <v>0</v>
      </c>
      <c r="X139" s="10">
        <v>3</v>
      </c>
      <c r="Y139" s="11"/>
      <c r="Z139" t="s">
        <v>908</v>
      </c>
      <c r="AA139" t="s">
        <v>904</v>
      </c>
      <c r="AB139" s="2" t="s">
        <v>922</v>
      </c>
      <c r="AC139" s="10" t="s">
        <v>990</v>
      </c>
      <c r="AD139" s="10" t="s">
        <v>991</v>
      </c>
      <c r="AE139" s="11" t="str">
        <f>SUBSTITUTE(SUBSTITUTE(PROPERTIES[[#This Row],[PURCHASECOST_VALUE]], "PURCHASECOST_", ""), "_VALUE", "")</f>
        <v>STEAMENGINE</v>
      </c>
      <c r="AF139" s="10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39" s="2" t="b">
        <v>0</v>
      </c>
      <c r="AY139"/>
      <c r="AZ139"/>
      <c r="BA139"/>
    </row>
    <row r="140" spans="1:53">
      <c r="A140" s="2" t="s">
        <v>164</v>
      </c>
      <c r="B140">
        <v>1911</v>
      </c>
      <c r="C140">
        <v>0</v>
      </c>
      <c r="D140" t="s">
        <v>1854</v>
      </c>
      <c r="E140" t="str">
        <f>_xlfn.XLOOKUP(PROPERTIES[[#This Row],[COUNTRY]],COUNTRIES[COUNTRY_DESCRIPTION],COUNTRIES[COUNTRY_LABEL],"")</f>
        <v>ER</v>
      </c>
      <c r="F140" t="s">
        <v>23</v>
      </c>
      <c r="G140" t="s">
        <v>20</v>
      </c>
      <c r="H140">
        <v>0</v>
      </c>
      <c r="I140">
        <v>5</v>
      </c>
      <c r="J140">
        <v>5</v>
      </c>
      <c r="K140" s="2" t="s">
        <v>24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4">
        <v>35</v>
      </c>
      <c r="P140">
        <v>250</v>
      </c>
      <c r="Q140">
        <v>40</v>
      </c>
      <c r="R140" s="31">
        <v>48</v>
      </c>
      <c r="S140" s="30">
        <f>IFERROR(PROPERTIES[[#This Row],[TE_STARTING_KN]]/(PROPERTIES[[#This Row],[WEIGHT]]*9.81),0)</f>
        <v>0.13979903888160769</v>
      </c>
      <c r="T140" s="30">
        <v>0.14000000000000001</v>
      </c>
      <c r="U140" s="27">
        <f>ROUND(IF(IFERROR(PROPERTIES[[#This Row],[TE_COEFFICIENT_CALC]],0)=0,PROPERTIES[[#This Row],[TE_COEFFICIENT_MANUAL]],PROPERTIES[[#This Row],[TE_COEFFICIENT_CALC]]),3)</f>
        <v>0.14000000000000001</v>
      </c>
      <c r="V140" s="6">
        <v>40</v>
      </c>
      <c r="W140" s="10">
        <v>0</v>
      </c>
      <c r="X140" s="10">
        <v>0</v>
      </c>
      <c r="Y140" s="11"/>
      <c r="Z140" t="s">
        <v>908</v>
      </c>
      <c r="AA140" t="s">
        <v>904</v>
      </c>
      <c r="AB140" s="2" t="s">
        <v>922</v>
      </c>
      <c r="AC140" s="10" t="s">
        <v>990</v>
      </c>
      <c r="AD140" s="10" t="s">
        <v>991</v>
      </c>
      <c r="AE140" s="11" t="str">
        <f>SUBSTITUTE(SUBSTITUTE(PROPERTIES[[#This Row],[PURCHASECOST_VALUE]], "PURCHASECOST_", ""), "_VALUE", "")</f>
        <v>STEAMENGINE</v>
      </c>
      <c r="AF140" s="10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40" s="2" t="b">
        <v>0</v>
      </c>
      <c r="AY140"/>
      <c r="AZ140"/>
      <c r="BA140"/>
    </row>
    <row r="141" spans="1:53">
      <c r="A141" s="2" t="s">
        <v>165</v>
      </c>
      <c r="B141">
        <v>1923</v>
      </c>
      <c r="C141">
        <v>0</v>
      </c>
      <c r="D141" t="s">
        <v>1901</v>
      </c>
      <c r="E141" t="str">
        <f>_xlfn.XLOOKUP(PROPERTIES[[#This Row],[COUNTRY]],COUNTRIES[COUNTRY_DESCRIPTION],COUNTRIES[COUNTRY_LABEL],"")</f>
        <v>KE</v>
      </c>
      <c r="F141" t="s">
        <v>23</v>
      </c>
      <c r="G141" t="s">
        <v>20</v>
      </c>
      <c r="H141">
        <v>0</v>
      </c>
      <c r="I141">
        <v>5</v>
      </c>
      <c r="J141">
        <v>6</v>
      </c>
      <c r="K141" s="2" t="s">
        <v>24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4">
        <v>108</v>
      </c>
      <c r="P141">
        <v>1100</v>
      </c>
      <c r="Q141">
        <v>75</v>
      </c>
      <c r="R141" s="31">
        <v>108.49</v>
      </c>
      <c r="S141" s="30">
        <f>IFERROR(PROPERTIES[[#This Row],[TE_STARTING_KN]]/(PROPERTIES[[#This Row],[WEIGHT]]*9.81),0)</f>
        <v>0.10239929021784271</v>
      </c>
      <c r="T141" s="30">
        <v>0.14000000000000001</v>
      </c>
      <c r="U141" s="27">
        <f>ROUND(IF(IFERROR(PROPERTIES[[#This Row],[TE_COEFFICIENT_CALC]],0)=0,PROPERTIES[[#This Row],[TE_COEFFICIENT_MANUAL]],PROPERTIES[[#This Row],[TE_COEFFICIENT_CALC]]),3)</f>
        <v>0.10199999999999999</v>
      </c>
      <c r="V141" s="6">
        <v>40</v>
      </c>
      <c r="W141" s="10">
        <v>0</v>
      </c>
      <c r="X141" s="10">
        <v>3</v>
      </c>
      <c r="Y141" s="11"/>
      <c r="Z141" t="s">
        <v>908</v>
      </c>
      <c r="AA141" t="s">
        <v>904</v>
      </c>
      <c r="AB141" s="2" t="s">
        <v>922</v>
      </c>
      <c r="AC141" s="10" t="s">
        <v>990</v>
      </c>
      <c r="AD141" s="10" t="s">
        <v>991</v>
      </c>
      <c r="AE141" s="11" t="str">
        <f>SUBSTITUTE(SUBSTITUTE(PROPERTIES[[#This Row],[PURCHASECOST_VALUE]], "PURCHASECOST_", ""), "_VALUE", "")</f>
        <v>STEAMENGINE</v>
      </c>
      <c r="AF141" s="10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166</v>
      </c>
      <c r="B142">
        <v>1928</v>
      </c>
      <c r="C142">
        <v>0</v>
      </c>
      <c r="D142" t="s">
        <v>1901</v>
      </c>
      <c r="E142" t="str">
        <f>_xlfn.XLOOKUP(PROPERTIES[[#This Row],[COUNTRY]],COUNTRIES[COUNTRY_DESCRIPTION],COUNTRIES[COUNTRY_LABEL],"")</f>
        <v>KE</v>
      </c>
      <c r="F142" t="s">
        <v>23</v>
      </c>
      <c r="G142" t="s">
        <v>20</v>
      </c>
      <c r="H142">
        <v>0</v>
      </c>
      <c r="I142">
        <v>6</v>
      </c>
      <c r="J142">
        <v>6</v>
      </c>
      <c r="K142" s="2" t="s">
        <v>24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4">
        <v>94.2</v>
      </c>
      <c r="P142">
        <v>900</v>
      </c>
      <c r="Q142">
        <v>65</v>
      </c>
      <c r="R142" s="31">
        <v>108.09</v>
      </c>
      <c r="S142" s="30">
        <f>IFERROR(PROPERTIES[[#This Row],[TE_STARTING_KN]]/(PROPERTIES[[#This Row],[WEIGHT]]*9.81),0)</f>
        <v>0.11696760747190245</v>
      </c>
      <c r="T142" s="30">
        <v>0.13</v>
      </c>
      <c r="U142" s="27">
        <f>ROUND(IF(IFERROR(PROPERTIES[[#This Row],[TE_COEFFICIENT_CALC]],0)=0,PROPERTIES[[#This Row],[TE_COEFFICIENT_MANUAL]],PROPERTIES[[#This Row],[TE_COEFFICIENT_CALC]]),3)</f>
        <v>0.11700000000000001</v>
      </c>
      <c r="V142" s="6">
        <v>40</v>
      </c>
      <c r="W142" s="10">
        <v>0</v>
      </c>
      <c r="X142" s="10">
        <v>3</v>
      </c>
      <c r="Y142" s="11"/>
      <c r="Z142" t="s">
        <v>908</v>
      </c>
      <c r="AA142" t="s">
        <v>904</v>
      </c>
      <c r="AB142" s="2" t="s">
        <v>922</v>
      </c>
      <c r="AC142" s="10" t="s">
        <v>990</v>
      </c>
      <c r="AD142" s="10" t="s">
        <v>991</v>
      </c>
      <c r="AE142" s="11" t="str">
        <f>SUBSTITUTE(SUBSTITUTE(PROPERTIES[[#This Row],[PURCHASECOST_VALUE]], "PURCHASECOST_", ""), "_VALUE", "")</f>
        <v>STEAMENGINE</v>
      </c>
      <c r="AF142" s="10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167</v>
      </c>
      <c r="B143">
        <v>1940</v>
      </c>
      <c r="C143">
        <v>0</v>
      </c>
      <c r="D143" t="s">
        <v>2035</v>
      </c>
      <c r="E143" t="str">
        <f>_xlfn.XLOOKUP(PROPERTIES[[#This Row],[COUNTRY]],COUNTRIES[COUNTRY_DESCRIPTION],COUNTRIES[COUNTRY_LABEL],"")</f>
        <v>ZW</v>
      </c>
      <c r="F143" t="s">
        <v>23</v>
      </c>
      <c r="G143" t="s">
        <v>20</v>
      </c>
      <c r="H143">
        <v>0</v>
      </c>
      <c r="I143">
        <v>4</v>
      </c>
      <c r="J143">
        <v>12</v>
      </c>
      <c r="K143" s="2" t="s">
        <v>24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4">
        <v>179.5</v>
      </c>
      <c r="P143">
        <v>1600</v>
      </c>
      <c r="Q143">
        <v>100</v>
      </c>
      <c r="R143" s="31">
        <v>190.1</v>
      </c>
      <c r="S143" s="30">
        <f>IFERROR(PROPERTIES[[#This Row],[TE_STARTING_KN]]/(PROPERTIES[[#This Row],[WEIGHT]]*9.81),0)</f>
        <v>0.10795646532019229</v>
      </c>
      <c r="T143" s="30">
        <v>0.1</v>
      </c>
      <c r="U143" s="27">
        <f>ROUND(IF(IFERROR(PROPERTIES[[#This Row],[TE_COEFFICIENT_CALC]],0)=0,PROPERTIES[[#This Row],[TE_COEFFICIENT_MANUAL]],PROPERTIES[[#This Row],[TE_COEFFICIENT_CALC]]),3)</f>
        <v>0.108</v>
      </c>
      <c r="V143" s="6">
        <v>40</v>
      </c>
      <c r="W143" s="10">
        <v>0</v>
      </c>
      <c r="X143" s="10">
        <v>0</v>
      </c>
      <c r="Y143" s="11"/>
      <c r="Z143" t="s">
        <v>908</v>
      </c>
      <c r="AA143" t="s">
        <v>904</v>
      </c>
      <c r="AB143" s="2" t="s">
        <v>922</v>
      </c>
      <c r="AC143" s="10" t="s">
        <v>990</v>
      </c>
      <c r="AD143" s="10" t="s">
        <v>991</v>
      </c>
      <c r="AE143" s="11" t="str">
        <f>SUBSTITUTE(SUBSTITUTE(PROPERTIES[[#This Row],[PURCHASECOST_VALUE]], "PURCHASECOST_", ""), "_VALUE", "")</f>
        <v>STEAMENGINE</v>
      </c>
      <c r="AF143" s="10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168</v>
      </c>
      <c r="B144">
        <v>1953</v>
      </c>
      <c r="C144">
        <v>0</v>
      </c>
      <c r="D144" t="s">
        <v>2033</v>
      </c>
      <c r="E144" t="str">
        <f>_xlfn.XLOOKUP(PROPERTIES[[#This Row],[COUNTRY]],COUNTRIES[COUNTRY_DESCRIPTION],COUNTRIES[COUNTRY_LABEL],"")</f>
        <v>ZA</v>
      </c>
      <c r="F144" t="s">
        <v>23</v>
      </c>
      <c r="G144" t="s">
        <v>20</v>
      </c>
      <c r="H144">
        <v>0</v>
      </c>
      <c r="I144">
        <v>7</v>
      </c>
      <c r="J144">
        <v>12</v>
      </c>
      <c r="K144" s="2" t="s">
        <v>24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4">
        <v>241.3</v>
      </c>
      <c r="P144">
        <v>2500</v>
      </c>
      <c r="Q144">
        <v>85</v>
      </c>
      <c r="R144" s="31">
        <v>430</v>
      </c>
      <c r="S144" s="30">
        <f>IFERROR(PROPERTIES[[#This Row],[TE_STARTING_KN]]/(PROPERTIES[[#This Row],[WEIGHT]]*9.81),0)</f>
        <v>0.1816528124713527</v>
      </c>
      <c r="T144" s="30">
        <v>0.13</v>
      </c>
      <c r="U144" s="27">
        <f>ROUND(IF(IFERROR(PROPERTIES[[#This Row],[TE_COEFFICIENT_CALC]],0)=0,PROPERTIES[[#This Row],[TE_COEFFICIENT_MANUAL]],PROPERTIES[[#This Row],[TE_COEFFICIENT_CALC]]),3)</f>
        <v>0.182</v>
      </c>
      <c r="V144" s="6">
        <v>40</v>
      </c>
      <c r="W144" s="10">
        <v>0</v>
      </c>
      <c r="X144" s="10">
        <v>0</v>
      </c>
      <c r="Y144" s="11"/>
      <c r="Z144" t="s">
        <v>908</v>
      </c>
      <c r="AA144" t="s">
        <v>904</v>
      </c>
      <c r="AB144" s="2" t="s">
        <v>922</v>
      </c>
      <c r="AC144" s="10" t="s">
        <v>990</v>
      </c>
      <c r="AD144" s="10" t="s">
        <v>991</v>
      </c>
      <c r="AE144" s="11" t="str">
        <f>SUBSTITUTE(SUBSTITUTE(PROPERTIES[[#This Row],[PURCHASECOST_VALUE]], "PURCHASECOST_", ""), "_VALUE", "")</f>
        <v>STEAMENGINE</v>
      </c>
      <c r="AF144" s="10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169</v>
      </c>
      <c r="B145">
        <v>1955</v>
      </c>
      <c r="C145">
        <v>0</v>
      </c>
      <c r="D145" t="s">
        <v>1901</v>
      </c>
      <c r="E145" t="str">
        <f>_xlfn.XLOOKUP(PROPERTIES[[#This Row],[COUNTRY]],COUNTRIES[COUNTRY_DESCRIPTION],COUNTRIES[COUNTRY_LABEL],"")</f>
        <v>KE</v>
      </c>
      <c r="F145" t="s">
        <v>23</v>
      </c>
      <c r="G145" t="s">
        <v>20</v>
      </c>
      <c r="H145">
        <v>0</v>
      </c>
      <c r="I145">
        <v>7</v>
      </c>
      <c r="J145">
        <v>8</v>
      </c>
      <c r="K145" s="2" t="s">
        <v>24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4">
        <v>135.19999999999999</v>
      </c>
      <c r="P145">
        <v>1650</v>
      </c>
      <c r="Q145">
        <v>95</v>
      </c>
      <c r="R145" s="31">
        <v>118.32</v>
      </c>
      <c r="S145" s="30">
        <f>IFERROR(PROPERTIES[[#This Row],[TE_STARTING_KN]]/(PROPERTIES[[#This Row],[WEIGHT]]*9.81),0)</f>
        <v>8.9209778694605793E-2</v>
      </c>
      <c r="T145" s="30">
        <v>0.1</v>
      </c>
      <c r="U145" s="27">
        <f>ROUND(IF(IFERROR(PROPERTIES[[#This Row],[TE_COEFFICIENT_CALC]],0)=0,PROPERTIES[[#This Row],[TE_COEFFICIENT_MANUAL]],PROPERTIES[[#This Row],[TE_COEFFICIENT_CALC]]),3)</f>
        <v>8.8999999999999996E-2</v>
      </c>
      <c r="V145" s="6">
        <v>40</v>
      </c>
      <c r="W145" s="10">
        <v>0</v>
      </c>
      <c r="X145" s="10">
        <v>4</v>
      </c>
      <c r="Y145" s="11"/>
      <c r="Z145" t="s">
        <v>908</v>
      </c>
      <c r="AA145" t="s">
        <v>904</v>
      </c>
      <c r="AB145" s="2" t="s">
        <v>922</v>
      </c>
      <c r="AC145" s="10" t="s">
        <v>990</v>
      </c>
      <c r="AD145" s="10" t="s">
        <v>991</v>
      </c>
      <c r="AE145" s="11" t="str">
        <f>SUBSTITUTE(SUBSTITUTE(PROPERTIES[[#This Row],[PURCHASECOST_VALUE]], "PURCHASECOST_", ""), "_VALUE", "")</f>
        <v>STEAMENGINE</v>
      </c>
      <c r="AF145" s="10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170</v>
      </c>
      <c r="B146">
        <v>1855</v>
      </c>
      <c r="C146">
        <v>0</v>
      </c>
      <c r="D146" t="s">
        <v>1891</v>
      </c>
      <c r="E146" t="str">
        <f>_xlfn.XLOOKUP(PROPERTIES[[#This Row],[COUNTRY]],COUNTRIES[COUNTRY_DESCRIPTION],COUNTRIES[COUNTRY_LABEL],"")</f>
        <v>IN</v>
      </c>
      <c r="F146" t="s">
        <v>23</v>
      </c>
      <c r="G146" t="s">
        <v>20</v>
      </c>
      <c r="H146">
        <v>0</v>
      </c>
      <c r="I146">
        <v>5</v>
      </c>
      <c r="J146">
        <v>5</v>
      </c>
      <c r="K146" s="2" t="s">
        <v>24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4">
        <v>28</v>
      </c>
      <c r="P146">
        <v>130</v>
      </c>
      <c r="Q146">
        <v>40</v>
      </c>
      <c r="R146" s="31">
        <v>20</v>
      </c>
      <c r="S146" s="30">
        <f>IFERROR(PROPERTIES[[#This Row],[TE_STARTING_KN]]/(PROPERTIES[[#This Row],[WEIGHT]]*9.81),0)</f>
        <v>7.2811999417504006E-2</v>
      </c>
      <c r="T146" s="30">
        <v>0.16</v>
      </c>
      <c r="U146" s="27">
        <f>ROUND(IF(IFERROR(PROPERTIES[[#This Row],[TE_COEFFICIENT_CALC]],0)=0,PROPERTIES[[#This Row],[TE_COEFFICIENT_MANUAL]],PROPERTIES[[#This Row],[TE_COEFFICIENT_CALC]]),3)</f>
        <v>7.2999999999999995E-2</v>
      </c>
      <c r="V146" s="6">
        <v>40</v>
      </c>
      <c r="W146" s="10">
        <v>0</v>
      </c>
      <c r="X146" s="10">
        <v>0</v>
      </c>
      <c r="Y146" s="11"/>
      <c r="Z146" t="s">
        <v>913</v>
      </c>
      <c r="AA146" t="s">
        <v>904</v>
      </c>
      <c r="AB146" s="2" t="s">
        <v>922</v>
      </c>
      <c r="AC146" s="10" t="s">
        <v>990</v>
      </c>
      <c r="AD146" s="10" t="s">
        <v>991</v>
      </c>
      <c r="AE146" s="11" t="str">
        <f>SUBSTITUTE(SUBSTITUTE(PROPERTIES[[#This Row],[PURCHASECOST_VALUE]], "PURCHASECOST_", ""), "_VALUE", "")</f>
        <v>STEAMENGINE</v>
      </c>
      <c r="AF146" s="10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46" s="2" t="b">
        <v>0</v>
      </c>
      <c r="AY146"/>
      <c r="AZ146"/>
      <c r="BA146"/>
    </row>
    <row r="147" spans="1:53">
      <c r="A147" s="2" t="s">
        <v>171</v>
      </c>
      <c r="B147">
        <v>1889</v>
      </c>
      <c r="C147">
        <v>0</v>
      </c>
      <c r="D147" t="s">
        <v>1891</v>
      </c>
      <c r="E147" t="str">
        <f>_xlfn.XLOOKUP(PROPERTIES[[#This Row],[COUNTRY]],COUNTRIES[COUNTRY_DESCRIPTION],COUNTRIES[COUNTRY_LABEL],"")</f>
        <v>IN</v>
      </c>
      <c r="F147" t="s">
        <v>23</v>
      </c>
      <c r="G147" t="s">
        <v>20</v>
      </c>
      <c r="H147">
        <v>0</v>
      </c>
      <c r="I147">
        <v>5</v>
      </c>
      <c r="J147">
        <v>4</v>
      </c>
      <c r="K147" s="2" t="s">
        <v>24</v>
      </c>
      <c r="L147">
        <f>_xlfn.XLOOKUP("LOADINGSPEEDDEF_"&amp;PROPERTIES[[#This Row],[LOADINGSPEED]],LOADINGSPEEDDEF[TYPE],LOADINGSPEEDDEF[SPEED])</f>
        <v>40</v>
      </c>
      <c r="M147" t="s">
        <v>21</v>
      </c>
      <c r="N147">
        <v>1</v>
      </c>
      <c r="O147" s="34">
        <v>14.2</v>
      </c>
      <c r="P147">
        <v>100</v>
      </c>
      <c r="Q147">
        <v>25</v>
      </c>
      <c r="R147" s="31">
        <v>34.47</v>
      </c>
      <c r="S147" s="30">
        <f>IFERROR(PROPERTIES[[#This Row],[TE_STARTING_KN]]/(PROPERTIES[[#This Row],[WEIGHT]]*9.81),0)</f>
        <v>0.24744799069647241</v>
      </c>
      <c r="T147" s="30">
        <v>0.18</v>
      </c>
      <c r="U147" s="27">
        <f>ROUND(IF(IFERROR(PROPERTIES[[#This Row],[TE_COEFFICIENT_CALC]],0)=0,PROPERTIES[[#This Row],[TE_COEFFICIENT_MANUAL]],PROPERTIES[[#This Row],[TE_COEFFICIENT_CALC]]),3)</f>
        <v>0.247</v>
      </c>
      <c r="V147" s="6">
        <v>40</v>
      </c>
      <c r="W147" s="10">
        <v>0</v>
      </c>
      <c r="X147" s="10">
        <v>2</v>
      </c>
      <c r="Y147" s="11"/>
      <c r="Z147" t="s">
        <v>913</v>
      </c>
      <c r="AA147" t="s">
        <v>904</v>
      </c>
      <c r="AB147" s="2" t="s">
        <v>922</v>
      </c>
      <c r="AC147" s="10" t="s">
        <v>990</v>
      </c>
      <c r="AD147" s="10" t="s">
        <v>991</v>
      </c>
      <c r="AE147" s="11" t="str">
        <f>SUBSTITUTE(SUBSTITUTE(PROPERTIES[[#This Row],[PURCHASECOST_VALUE]], "PURCHASECOST_", ""), "_VALUE", "")</f>
        <v>STEAMENGINE</v>
      </c>
      <c r="AF147" s="10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47" s="2" t="b">
        <v>0</v>
      </c>
      <c r="AY147"/>
      <c r="AZ147"/>
      <c r="BA147"/>
    </row>
    <row r="148" spans="1:53">
      <c r="A148" s="2" t="s">
        <v>172</v>
      </c>
      <c r="B148">
        <v>1895</v>
      </c>
      <c r="C148">
        <v>0</v>
      </c>
      <c r="D148" t="s">
        <v>1835</v>
      </c>
      <c r="E148" t="str">
        <f>_xlfn.XLOOKUP(PROPERTIES[[#This Row],[COUNTRY]],COUNTRIES[COUNTRY_DESCRIPTION],COUNTRIES[COUNTRY_LABEL],"")</f>
        <v>CN</v>
      </c>
      <c r="F148" t="s">
        <v>23</v>
      </c>
      <c r="G148" t="s">
        <v>20</v>
      </c>
      <c r="H148">
        <v>0</v>
      </c>
      <c r="I148">
        <v>5</v>
      </c>
      <c r="J148">
        <v>6</v>
      </c>
      <c r="K148" s="2" t="s">
        <v>24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4">
        <v>102.5</v>
      </c>
      <c r="P148">
        <v>850</v>
      </c>
      <c r="Q148">
        <v>70</v>
      </c>
      <c r="R148" s="31">
        <v>130</v>
      </c>
      <c r="S148" s="30">
        <f>IFERROR(PROPERTIES[[#This Row],[TE_STARTING_KN]]/(PROPERTIES[[#This Row],[WEIGHT]]*9.81),0)</f>
        <v>0.12928569652669003</v>
      </c>
      <c r="T148" s="30">
        <v>0.16</v>
      </c>
      <c r="U148" s="27">
        <f>ROUND(IF(IFERROR(PROPERTIES[[#This Row],[TE_COEFFICIENT_CALC]],0)=0,PROPERTIES[[#This Row],[TE_COEFFICIENT_MANUAL]],PROPERTIES[[#This Row],[TE_COEFFICIENT_CALC]]),3)</f>
        <v>0.129</v>
      </c>
      <c r="V148" s="6">
        <v>40</v>
      </c>
      <c r="W148" s="10">
        <v>0</v>
      </c>
      <c r="X148" s="10">
        <v>3</v>
      </c>
      <c r="Y148" s="11"/>
      <c r="Z148" t="s">
        <v>913</v>
      </c>
      <c r="AA148" t="s">
        <v>904</v>
      </c>
      <c r="AB148" s="2" t="s">
        <v>922</v>
      </c>
      <c r="AC148" s="10" t="s">
        <v>990</v>
      </c>
      <c r="AD148" s="10" t="s">
        <v>991</v>
      </c>
      <c r="AE148" s="11" t="str">
        <f>SUBSTITUTE(SUBSTITUTE(PROPERTIES[[#This Row],[PURCHASECOST_VALUE]], "PURCHASECOST_", ""), "_VALUE", "")</f>
        <v>STEAMENGINE</v>
      </c>
      <c r="AF148" s="10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173</v>
      </c>
      <c r="B149">
        <v>1906</v>
      </c>
      <c r="C149">
        <v>0</v>
      </c>
      <c r="D149" t="s">
        <v>1977</v>
      </c>
      <c r="E149" t="str">
        <f>_xlfn.XLOOKUP(PROPERTIES[[#This Row],[COUNTRY]],COUNTRIES[COUNTRY_DESCRIPTION],COUNTRIES[COUNTRY_LABEL],"")</f>
        <v>RU</v>
      </c>
      <c r="F149" t="s">
        <v>23</v>
      </c>
      <c r="G149" t="s">
        <v>20</v>
      </c>
      <c r="H149">
        <v>0</v>
      </c>
      <c r="I149">
        <v>5</v>
      </c>
      <c r="J149">
        <v>6</v>
      </c>
      <c r="K149" s="2" t="s">
        <v>24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4">
        <v>126.5</v>
      </c>
      <c r="P149">
        <v>1200</v>
      </c>
      <c r="Q149">
        <v>115</v>
      </c>
      <c r="R149" s="31">
        <v>87</v>
      </c>
      <c r="S149" s="30">
        <f>IFERROR(PROPERTIES[[#This Row],[TE_STARTING_KN]]/(PROPERTIES[[#This Row],[WEIGHT]]*9.81),0)</f>
        <v>7.0106731454956411E-2</v>
      </c>
      <c r="T149" s="30">
        <v>0.13</v>
      </c>
      <c r="U149" s="27">
        <f>ROUND(IF(IFERROR(PROPERTIES[[#This Row],[TE_COEFFICIENT_CALC]],0)=0,PROPERTIES[[#This Row],[TE_COEFFICIENT_MANUAL]],PROPERTIES[[#This Row],[TE_COEFFICIENT_CALC]]),3)</f>
        <v>7.0000000000000007E-2</v>
      </c>
      <c r="V149" s="6">
        <v>40</v>
      </c>
      <c r="W149" s="10">
        <v>0</v>
      </c>
      <c r="X149" s="10">
        <v>3</v>
      </c>
      <c r="Y149" s="11"/>
      <c r="Z149" t="s">
        <v>913</v>
      </c>
      <c r="AA149" t="s">
        <v>904</v>
      </c>
      <c r="AB149" s="2" t="s">
        <v>922</v>
      </c>
      <c r="AC149" s="10" t="s">
        <v>990</v>
      </c>
      <c r="AD149" s="10" t="s">
        <v>991</v>
      </c>
      <c r="AE149" s="11" t="str">
        <f>SUBSTITUTE(SUBSTITUTE(PROPERTIES[[#This Row],[PURCHASECOST_VALUE]], "PURCHASECOST_", ""), "_VALUE", "")</f>
        <v>STEAMENGINE</v>
      </c>
      <c r="AF149" s="10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174</v>
      </c>
      <c r="B150">
        <v>1915</v>
      </c>
      <c r="C150">
        <v>0</v>
      </c>
      <c r="D150" t="s">
        <v>1977</v>
      </c>
      <c r="E150" t="str">
        <f>_xlfn.XLOOKUP(PROPERTIES[[#This Row],[COUNTRY]],COUNTRIES[COUNTRY_DESCRIPTION],COUNTRIES[COUNTRY_LABEL],"")</f>
        <v>RU</v>
      </c>
      <c r="F150" t="s">
        <v>23</v>
      </c>
      <c r="G150" t="s">
        <v>20</v>
      </c>
      <c r="H150">
        <v>0</v>
      </c>
      <c r="I150">
        <v>5</v>
      </c>
      <c r="J150">
        <v>6</v>
      </c>
      <c r="K150" s="2" t="s">
        <v>24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4">
        <v>155</v>
      </c>
      <c r="P150">
        <v>1600</v>
      </c>
      <c r="Q150">
        <v>89</v>
      </c>
      <c r="R150" s="31">
        <v>229.08</v>
      </c>
      <c r="S150" s="30">
        <f>IFERROR(PROPERTIES[[#This Row],[TE_STARTING_KN]]/(PROPERTIES[[#This Row],[WEIGHT]]*9.81),0)</f>
        <v>0.15065601262700995</v>
      </c>
      <c r="T150" s="30">
        <v>0.22</v>
      </c>
      <c r="U150" s="27">
        <f>ROUND(IF(IFERROR(PROPERTIES[[#This Row],[TE_COEFFICIENT_CALC]],0)=0,PROPERTIES[[#This Row],[TE_COEFFICIENT_MANUAL]],PROPERTIES[[#This Row],[TE_COEFFICIENT_CALC]]),3)</f>
        <v>0.151</v>
      </c>
      <c r="V150" s="6">
        <v>40</v>
      </c>
      <c r="W150" s="10">
        <v>0</v>
      </c>
      <c r="X150" s="10">
        <v>3</v>
      </c>
      <c r="Y150" s="11"/>
      <c r="Z150" t="s">
        <v>913</v>
      </c>
      <c r="AA150" t="s">
        <v>904</v>
      </c>
      <c r="AB150" s="2" t="s">
        <v>922</v>
      </c>
      <c r="AC150" s="10" t="s">
        <v>990</v>
      </c>
      <c r="AD150" s="10" t="s">
        <v>991</v>
      </c>
      <c r="AE150" s="11" t="str">
        <f>SUBSTITUTE(SUBSTITUTE(PROPERTIES[[#This Row],[PURCHASECOST_VALUE]], "PURCHASECOST_", ""), "_VALUE", "")</f>
        <v>STEAMENGINE</v>
      </c>
      <c r="AF150" s="10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175</v>
      </c>
      <c r="B151">
        <v>1918</v>
      </c>
      <c r="C151">
        <v>0</v>
      </c>
      <c r="D151" t="s">
        <v>1889</v>
      </c>
      <c r="E151" t="str">
        <f>_xlfn.XLOOKUP(PROPERTIES[[#This Row],[COUNTRY]],COUNTRIES[COUNTRY_DESCRIPTION],COUNTRIES[COUNTRY_LABEL],"")</f>
        <v>IL</v>
      </c>
      <c r="F151" t="s">
        <v>23</v>
      </c>
      <c r="G151" t="s">
        <v>20</v>
      </c>
      <c r="H151">
        <v>0</v>
      </c>
      <c r="I151">
        <v>5</v>
      </c>
      <c r="J151">
        <v>6</v>
      </c>
      <c r="K151" s="2" t="s">
        <v>24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4">
        <v>119</v>
      </c>
      <c r="P151">
        <v>1050</v>
      </c>
      <c r="Q151">
        <v>85</v>
      </c>
      <c r="R151" s="31">
        <v>108.9</v>
      </c>
      <c r="S151" s="30">
        <f>IFERROR(PROPERTIES[[#This Row],[TE_STARTING_KN]]/(PROPERTIES[[#This Row],[WEIGHT]]*9.81),0)</f>
        <v>9.3285020430190421E-2</v>
      </c>
      <c r="T151" s="30">
        <v>0.09</v>
      </c>
      <c r="U151" s="27">
        <f>ROUND(IF(IFERROR(PROPERTIES[[#This Row],[TE_COEFFICIENT_CALC]],0)=0,PROPERTIES[[#This Row],[TE_COEFFICIENT_MANUAL]],PROPERTIES[[#This Row],[TE_COEFFICIENT_CALC]]),3)</f>
        <v>9.2999999999999999E-2</v>
      </c>
      <c r="V151" s="6">
        <v>40</v>
      </c>
      <c r="W151" s="10">
        <v>0</v>
      </c>
      <c r="X151" s="10">
        <v>3</v>
      </c>
      <c r="Y151" s="11"/>
      <c r="Z151" t="s">
        <v>913</v>
      </c>
      <c r="AA151" t="s">
        <v>904</v>
      </c>
      <c r="AB151" s="2" t="s">
        <v>922</v>
      </c>
      <c r="AC151" s="10" t="s">
        <v>990</v>
      </c>
      <c r="AD151" s="10" t="s">
        <v>991</v>
      </c>
      <c r="AE151" s="11" t="str">
        <f>SUBSTITUTE(SUBSTITUTE(PROPERTIES[[#This Row],[PURCHASECOST_VALUE]], "PURCHASECOST_", ""), "_VALUE", "")</f>
        <v>STEAMENGINE</v>
      </c>
      <c r="AF151" s="10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176</v>
      </c>
      <c r="B152">
        <v>1923</v>
      </c>
      <c r="C152">
        <v>0</v>
      </c>
      <c r="D152" t="s">
        <v>1896</v>
      </c>
      <c r="E152" t="str">
        <f>_xlfn.XLOOKUP(PROPERTIES[[#This Row],[COUNTRY]],COUNTRIES[COUNTRY_DESCRIPTION],COUNTRIES[COUNTRY_LABEL],"")</f>
        <v>IT</v>
      </c>
      <c r="F152" t="s">
        <v>23</v>
      </c>
      <c r="G152" t="s">
        <v>20</v>
      </c>
      <c r="H152">
        <v>0</v>
      </c>
      <c r="I152">
        <v>6</v>
      </c>
      <c r="J152">
        <v>8</v>
      </c>
      <c r="K152" s="2" t="s">
        <v>24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4">
        <v>128.80000000000001</v>
      </c>
      <c r="P152">
        <v>1500</v>
      </c>
      <c r="Q152">
        <v>70</v>
      </c>
      <c r="R152" s="31">
        <v>177.4</v>
      </c>
      <c r="S152" s="30">
        <f>IFERROR(PROPERTIES[[#This Row],[TE_STARTING_KN]]/(PROPERTIES[[#This Row],[WEIGHT]]*9.81),0)</f>
        <v>0.14040052931157834</v>
      </c>
      <c r="T152" s="30">
        <v>0.13</v>
      </c>
      <c r="U152" s="27">
        <f>ROUND(IF(IFERROR(PROPERTIES[[#This Row],[TE_COEFFICIENT_CALC]],0)=0,PROPERTIES[[#This Row],[TE_COEFFICIENT_MANUAL]],PROPERTIES[[#This Row],[TE_COEFFICIENT_CALC]]),3)</f>
        <v>0.14000000000000001</v>
      </c>
      <c r="V152" s="6">
        <v>40</v>
      </c>
      <c r="W152" s="10">
        <v>0</v>
      </c>
      <c r="X152" s="10">
        <v>4</v>
      </c>
      <c r="Y152" s="11"/>
      <c r="Z152" t="s">
        <v>906</v>
      </c>
      <c r="AA152" t="s">
        <v>904</v>
      </c>
      <c r="AB152" s="2" t="s">
        <v>922</v>
      </c>
      <c r="AC152" s="10" t="s">
        <v>990</v>
      </c>
      <c r="AD152" s="10" t="s">
        <v>991</v>
      </c>
      <c r="AE152" s="11" t="str">
        <f>SUBSTITUTE(SUBSTITUTE(PROPERTIES[[#This Row],[PURCHASECOST_VALUE]], "PURCHASECOST_", ""), "_VALUE", "")</f>
        <v>STEAMENGINE</v>
      </c>
      <c r="AF152" s="10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177</v>
      </c>
      <c r="B153">
        <v>1928</v>
      </c>
      <c r="C153">
        <v>0</v>
      </c>
      <c r="D153" t="s">
        <v>1896</v>
      </c>
      <c r="E153" t="str">
        <f>_xlfn.XLOOKUP(PROPERTIES[[#This Row],[COUNTRY]],COUNTRIES[COUNTRY_DESCRIPTION],COUNTRIES[COUNTRY_LABEL],"")</f>
        <v>IT</v>
      </c>
      <c r="F153" t="s">
        <v>23</v>
      </c>
      <c r="G153" t="s">
        <v>20</v>
      </c>
      <c r="H153">
        <v>0</v>
      </c>
      <c r="I153">
        <v>6</v>
      </c>
      <c r="J153">
        <v>8</v>
      </c>
      <c r="K153" s="2" t="s">
        <v>24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4">
        <v>144</v>
      </c>
      <c r="P153">
        <v>1750</v>
      </c>
      <c r="Q153">
        <v>130</v>
      </c>
      <c r="R153" s="31">
        <v>145</v>
      </c>
      <c r="S153" s="30">
        <f>IFERROR(PROPERTIES[[#This Row],[TE_STARTING_KN]]/(PROPERTIES[[#This Row],[WEIGHT]]*9.81),0)</f>
        <v>0.10264469362328689</v>
      </c>
      <c r="T153" s="30">
        <v>0.1</v>
      </c>
      <c r="U153" s="27">
        <f>ROUND(IF(IFERROR(PROPERTIES[[#This Row],[TE_COEFFICIENT_CALC]],0)=0,PROPERTIES[[#This Row],[TE_COEFFICIENT_MANUAL]],PROPERTIES[[#This Row],[TE_COEFFICIENT_CALC]]),3)</f>
        <v>0.10299999999999999</v>
      </c>
      <c r="V153" s="6">
        <v>40</v>
      </c>
      <c r="W153" s="10">
        <v>0</v>
      </c>
      <c r="X153" s="10">
        <v>4</v>
      </c>
      <c r="Y153" s="11"/>
      <c r="Z153" t="s">
        <v>906</v>
      </c>
      <c r="AA153" t="s">
        <v>904</v>
      </c>
      <c r="AB153" s="2" t="s">
        <v>922</v>
      </c>
      <c r="AC153" s="10" t="s">
        <v>990</v>
      </c>
      <c r="AD153" s="10" t="s">
        <v>991</v>
      </c>
      <c r="AE153" s="11" t="str">
        <f>SUBSTITUTE(SUBSTITUTE(PROPERTIES[[#This Row],[PURCHASECOST_VALUE]], "PURCHASECOST_", ""), "_VALUE", "")</f>
        <v>STEAMENGINE</v>
      </c>
      <c r="AF153" s="10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178</v>
      </c>
      <c r="B154">
        <v>1943</v>
      </c>
      <c r="C154">
        <v>0</v>
      </c>
      <c r="D154" t="s">
        <v>1875</v>
      </c>
      <c r="E154" t="str">
        <f>_xlfn.XLOOKUP(PROPERTIES[[#This Row],[COUNTRY]],COUNTRIES[COUNTRY_DESCRIPTION],COUNTRIES[COUNTRY_LABEL],"")</f>
        <v>GR</v>
      </c>
      <c r="F154" t="s">
        <v>23</v>
      </c>
      <c r="G154" t="s">
        <v>20</v>
      </c>
      <c r="H154">
        <v>0</v>
      </c>
      <c r="I154">
        <v>7</v>
      </c>
      <c r="J154">
        <v>8</v>
      </c>
      <c r="K154" s="2" t="s">
        <v>24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4">
        <v>138.5</v>
      </c>
      <c r="P154">
        <v>1600</v>
      </c>
      <c r="Q154">
        <v>75</v>
      </c>
      <c r="R154" s="31">
        <v>152.19999999999999</v>
      </c>
      <c r="S154" s="30">
        <f>IFERROR(PROPERTIES[[#This Row],[TE_STARTING_KN]]/(PROPERTIES[[#This Row],[WEIGHT]]*9.81),0)</f>
        <v>0.11202007823741336</v>
      </c>
      <c r="T154" s="30">
        <v>0.11</v>
      </c>
      <c r="U154" s="27">
        <f>ROUND(IF(IFERROR(PROPERTIES[[#This Row],[TE_COEFFICIENT_CALC]],0)=0,PROPERTIES[[#This Row],[TE_COEFFICIENT_MANUAL]],PROPERTIES[[#This Row],[TE_COEFFICIENT_CALC]]),3)</f>
        <v>0.112</v>
      </c>
      <c r="V154" s="6">
        <v>40</v>
      </c>
      <c r="W154" s="10">
        <v>0</v>
      </c>
      <c r="X154" s="10">
        <v>4</v>
      </c>
      <c r="Y154" s="11"/>
      <c r="Z154" t="s">
        <v>906</v>
      </c>
      <c r="AA154" t="s">
        <v>904</v>
      </c>
      <c r="AB154" s="2" t="s">
        <v>922</v>
      </c>
      <c r="AC154" s="10" t="s">
        <v>990</v>
      </c>
      <c r="AD154" s="10" t="s">
        <v>991</v>
      </c>
      <c r="AE154" s="11" t="str">
        <f>SUBSTITUTE(SUBSTITUTE(PROPERTIES[[#This Row],[PURCHASECOST_VALUE]], "PURCHASECOST_", ""), "_VALUE", "")</f>
        <v>STEAMENGINE</v>
      </c>
      <c r="AF154" s="10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179</v>
      </c>
      <c r="B155">
        <v>1951</v>
      </c>
      <c r="C155">
        <v>0</v>
      </c>
      <c r="D155" t="s">
        <v>2039</v>
      </c>
      <c r="E155" t="str">
        <f>_xlfn.XLOOKUP(PROPERTIES[[#This Row],[COUNTRY]],COUNTRIES[COUNTRY_DESCRIPTION],COUNTRIES[COUNTRY_LABEL],"")</f>
        <v>YU</v>
      </c>
      <c r="F155" t="s">
        <v>23</v>
      </c>
      <c r="G155" t="s">
        <v>20</v>
      </c>
      <c r="H155">
        <v>0</v>
      </c>
      <c r="I155">
        <v>5</v>
      </c>
      <c r="J155">
        <v>5</v>
      </c>
      <c r="K155" s="2" t="s">
        <v>24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4">
        <v>123.5</v>
      </c>
      <c r="P155">
        <v>1200</v>
      </c>
      <c r="Q155">
        <v>80</v>
      </c>
      <c r="R155" s="31">
        <v>138</v>
      </c>
      <c r="S155" s="30">
        <f>IFERROR(PROPERTIES[[#This Row],[TE_STARTING_KN]]/(PROPERTIES[[#This Row],[WEIGHT]]*9.81),0)</f>
        <v>0.11390508734786861</v>
      </c>
      <c r="T155" s="30">
        <v>0.14000000000000001</v>
      </c>
      <c r="U155" s="27">
        <f>ROUND(IF(IFERROR(PROPERTIES[[#This Row],[TE_COEFFICIENT_CALC]],0)=0,PROPERTIES[[#This Row],[TE_COEFFICIENT_MANUAL]],PROPERTIES[[#This Row],[TE_COEFFICIENT_CALC]]),3)</f>
        <v>0.114</v>
      </c>
      <c r="V155" s="6">
        <v>40</v>
      </c>
      <c r="W155" s="10">
        <v>0</v>
      </c>
      <c r="X155" s="10">
        <v>0</v>
      </c>
      <c r="Y155" s="11"/>
      <c r="Z155" t="s">
        <v>906</v>
      </c>
      <c r="AA155" t="s">
        <v>904</v>
      </c>
      <c r="AB155" s="2" t="s">
        <v>922</v>
      </c>
      <c r="AC155" s="10" t="s">
        <v>990</v>
      </c>
      <c r="AD155" s="10" t="s">
        <v>991</v>
      </c>
      <c r="AE155" s="11" t="str">
        <f>SUBSTITUTE(SUBSTITUTE(PROPERTIES[[#This Row],[PURCHASECOST_VALUE]], "PURCHASECOST_", ""), "_VALUE", "")</f>
        <v>STEAMENGINE</v>
      </c>
      <c r="AF155" s="10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180</v>
      </c>
      <c r="B156">
        <v>1955</v>
      </c>
      <c r="C156">
        <v>0</v>
      </c>
      <c r="D156" t="s">
        <v>1855</v>
      </c>
      <c r="E156" t="str">
        <f>_xlfn.XLOOKUP(PROPERTIES[[#This Row],[COUNTRY]],COUNTRIES[COUNTRY_DESCRIPTION],COUNTRIES[COUNTRY_LABEL],"")</f>
        <v>ES</v>
      </c>
      <c r="F156" t="s">
        <v>23</v>
      </c>
      <c r="G156" t="s">
        <v>20</v>
      </c>
      <c r="H156">
        <v>0</v>
      </c>
      <c r="I156">
        <v>8</v>
      </c>
      <c r="J156">
        <v>10</v>
      </c>
      <c r="K156" s="2" t="s">
        <v>24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4">
        <v>213.5</v>
      </c>
      <c r="P156">
        <v>3500</v>
      </c>
      <c r="Q156">
        <f>ROUND(1.62*75,0)</f>
        <v>122</v>
      </c>
      <c r="R156" s="31">
        <v>0</v>
      </c>
      <c r="S156" s="30">
        <f>IFERROR(PROPERTIES[[#This Row],[TE_STARTING_KN]]/(PROPERTIES[[#This Row],[WEIGHT]]*9.81),0)</f>
        <v>0</v>
      </c>
      <c r="T156" s="30">
        <v>0.11</v>
      </c>
      <c r="U156" s="27">
        <f>ROUND(IF(IFERROR(PROPERTIES[[#This Row],[TE_COEFFICIENT_CALC]],0)=0,PROPERTIES[[#This Row],[TE_COEFFICIENT_MANUAL]],PROPERTIES[[#This Row],[TE_COEFFICIENT_CALC]]),3)</f>
        <v>0.11</v>
      </c>
      <c r="V156" s="6">
        <v>40</v>
      </c>
      <c r="W156" s="10">
        <v>0</v>
      </c>
      <c r="X156" s="10">
        <v>5</v>
      </c>
      <c r="Y156" s="11"/>
      <c r="Z156" t="s">
        <v>906</v>
      </c>
      <c r="AA156" t="s">
        <v>904</v>
      </c>
      <c r="AB156" s="2" t="s">
        <v>922</v>
      </c>
      <c r="AC156" s="10" t="s">
        <v>990</v>
      </c>
      <c r="AD156" s="10" t="s">
        <v>991</v>
      </c>
      <c r="AE156" s="11" t="str">
        <f>SUBSTITUTE(SUBSTITUTE(PROPERTIES[[#This Row],[PURCHASECOST_VALUE]], "PURCHASECOST_", ""), "_VALUE", "")</f>
        <v>STEAMENGINE</v>
      </c>
      <c r="AF156" s="10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181</v>
      </c>
      <c r="B157">
        <v>1910</v>
      </c>
      <c r="C157">
        <v>0</v>
      </c>
      <c r="D157" t="s">
        <v>1843</v>
      </c>
      <c r="E157" t="str">
        <f>_xlfn.XLOOKUP(PROPERTIES[[#This Row],[COUNTRY]],COUNTRIES[COUNTRY_DESCRIPTION],COUNTRIES[COUNTRY_LABEL],"")</f>
        <v>CZ</v>
      </c>
      <c r="F157" t="s">
        <v>23</v>
      </c>
      <c r="G157" t="s">
        <v>20</v>
      </c>
      <c r="H157">
        <v>0</v>
      </c>
      <c r="I157">
        <v>7</v>
      </c>
      <c r="J157">
        <v>6</v>
      </c>
      <c r="K157" s="2" t="s">
        <v>24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4">
        <v>132</v>
      </c>
      <c r="P157">
        <v>1400</v>
      </c>
      <c r="Q157">
        <v>60</v>
      </c>
      <c r="R157" s="31">
        <v>195</v>
      </c>
      <c r="S157" s="30">
        <f>IFERROR(PROPERTIES[[#This Row],[TE_STARTING_KN]]/(PROPERTIES[[#This Row],[WEIGHT]]*9.81),0)</f>
        <v>0.15058845334074691</v>
      </c>
      <c r="T157" s="30">
        <v>0.31</v>
      </c>
      <c r="U157" s="27">
        <f>ROUND(IF(IFERROR(PROPERTIES[[#This Row],[TE_COEFFICIENT_CALC]],0)=0,PROPERTIES[[#This Row],[TE_COEFFICIENT_MANUAL]],PROPERTIES[[#This Row],[TE_COEFFICIENT_CALC]]),3)</f>
        <v>0.151</v>
      </c>
      <c r="V157" s="6">
        <v>40</v>
      </c>
      <c r="W157" s="10">
        <v>0</v>
      </c>
      <c r="X157" s="10">
        <v>3</v>
      </c>
      <c r="Y157" s="11"/>
      <c r="Z157" t="s">
        <v>911</v>
      </c>
      <c r="AA157" t="s">
        <v>904</v>
      </c>
      <c r="AB157" s="2" t="s">
        <v>922</v>
      </c>
      <c r="AC157" s="10" t="s">
        <v>990</v>
      </c>
      <c r="AD157" s="10" t="s">
        <v>991</v>
      </c>
      <c r="AE157" s="11" t="str">
        <f>SUBSTITUTE(SUBSTITUTE(PROPERTIES[[#This Row],[PURCHASECOST_VALUE]], "PURCHASECOST_", ""), "_VALUE", "")</f>
        <v>STEAMENGINE</v>
      </c>
      <c r="AF157" s="10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182</v>
      </c>
      <c r="B158">
        <v>1923</v>
      </c>
      <c r="C158">
        <v>0</v>
      </c>
      <c r="D158" t="s">
        <v>1965</v>
      </c>
      <c r="E158" t="str">
        <f>_xlfn.XLOOKUP(PROPERTIES[[#This Row],[COUNTRY]],COUNTRIES[COUNTRY_DESCRIPTION],COUNTRIES[COUNTRY_LABEL],"")</f>
        <v>PL</v>
      </c>
      <c r="F158" t="s">
        <v>23</v>
      </c>
      <c r="G158" t="s">
        <v>20</v>
      </c>
      <c r="H158">
        <v>0</v>
      </c>
      <c r="I158">
        <v>6</v>
      </c>
      <c r="J158">
        <v>6</v>
      </c>
      <c r="K158" s="2" t="s">
        <v>24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4">
        <v>133</v>
      </c>
      <c r="P158">
        <v>980</v>
      </c>
      <c r="Q158">
        <v>100</v>
      </c>
      <c r="R158" s="31">
        <v>123</v>
      </c>
      <c r="S158" s="30">
        <f>IFERROR(PROPERTIES[[#This Row],[TE_STARTING_KN]]/(PROPERTIES[[#This Row],[WEIGHT]]*9.81),0)</f>
        <v>9.4272378193189399E-2</v>
      </c>
      <c r="T158" s="30">
        <v>0.06</v>
      </c>
      <c r="U158" s="27">
        <f>ROUND(IF(IFERROR(PROPERTIES[[#This Row],[TE_COEFFICIENT_CALC]],0)=0,PROPERTIES[[#This Row],[TE_COEFFICIENT_MANUAL]],PROPERTIES[[#This Row],[TE_COEFFICIENT_CALC]]),3)</f>
        <v>9.4E-2</v>
      </c>
      <c r="V158" s="6">
        <v>40</v>
      </c>
      <c r="W158" s="10">
        <v>0</v>
      </c>
      <c r="X158" s="10">
        <v>3</v>
      </c>
      <c r="Y158" s="11"/>
      <c r="Z158" t="s">
        <v>911</v>
      </c>
      <c r="AA158" t="s">
        <v>904</v>
      </c>
      <c r="AB158" s="2" t="s">
        <v>922</v>
      </c>
      <c r="AC158" s="10" t="s">
        <v>990</v>
      </c>
      <c r="AD158" s="10" t="s">
        <v>991</v>
      </c>
      <c r="AE158" s="11" t="str">
        <f>SUBSTITUTE(SUBSTITUTE(PROPERTIES[[#This Row],[PURCHASECOST_VALUE]], "PURCHASECOST_", ""), "_VALUE", "")</f>
        <v>STEAMENGINE</v>
      </c>
      <c r="AF158" s="10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183</v>
      </c>
      <c r="B159">
        <v>1924</v>
      </c>
      <c r="C159">
        <v>0</v>
      </c>
      <c r="D159" t="s">
        <v>1884</v>
      </c>
      <c r="E159" t="str">
        <f>_xlfn.XLOOKUP(PROPERTIES[[#This Row],[COUNTRY]],COUNTRIES[COUNTRY_DESCRIPTION],COUNTRIES[COUNTRY_LABEL],"")</f>
        <v>HR</v>
      </c>
      <c r="F159" t="s">
        <v>23</v>
      </c>
      <c r="G159" t="s">
        <v>20</v>
      </c>
      <c r="H159">
        <v>0</v>
      </c>
      <c r="I159">
        <v>7</v>
      </c>
      <c r="J159">
        <v>8</v>
      </c>
      <c r="K159" s="2" t="s">
        <v>24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4">
        <v>145.19999999999999</v>
      </c>
      <c r="P159">
        <v>1350</v>
      </c>
      <c r="Q159">
        <v>90</v>
      </c>
      <c r="R159" s="31">
        <v>113.2</v>
      </c>
      <c r="S159" s="30">
        <f>IFERROR(PROPERTIES[[#This Row],[TE_STARTING_KN]]/(PROPERTIES[[#This Row],[WEIGHT]]*9.81),0)</f>
        <v>7.9471388895909323E-2</v>
      </c>
      <c r="T159" s="30">
        <v>0.13</v>
      </c>
      <c r="U159" s="27">
        <f>ROUND(IF(IFERROR(PROPERTIES[[#This Row],[TE_COEFFICIENT_CALC]],0)=0,PROPERTIES[[#This Row],[TE_COEFFICIENT_MANUAL]],PROPERTIES[[#This Row],[TE_COEFFICIENT_CALC]]),3)</f>
        <v>7.9000000000000001E-2</v>
      </c>
      <c r="V159" s="6">
        <v>40</v>
      </c>
      <c r="W159" s="10">
        <v>0</v>
      </c>
      <c r="X159" s="10">
        <v>4</v>
      </c>
      <c r="Y159" s="11"/>
      <c r="Z159" t="s">
        <v>911</v>
      </c>
      <c r="AA159" t="s">
        <v>904</v>
      </c>
      <c r="AB159" s="2" t="s">
        <v>922</v>
      </c>
      <c r="AC159" s="10" t="s">
        <v>990</v>
      </c>
      <c r="AD159" s="10" t="s">
        <v>991</v>
      </c>
      <c r="AE159" s="11" t="str">
        <f>SUBSTITUTE(SUBSTITUTE(PROPERTIES[[#This Row],[PURCHASECOST_VALUE]], "PURCHASECOST_", ""), "_VALUE", "")</f>
        <v>STEAMENGINE</v>
      </c>
      <c r="AF159" s="10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184</v>
      </c>
      <c r="B160">
        <v>1936</v>
      </c>
      <c r="C160">
        <v>0</v>
      </c>
      <c r="D160" t="s">
        <v>1886</v>
      </c>
      <c r="E160" t="str">
        <f>_xlfn.XLOOKUP(PROPERTIES[[#This Row],[COUNTRY]],COUNTRIES[COUNTRY_DESCRIPTION],COUNTRIES[COUNTRY_LABEL],"")</f>
        <v>HU</v>
      </c>
      <c r="F160" t="s">
        <v>23</v>
      </c>
      <c r="G160" t="s">
        <v>20</v>
      </c>
      <c r="H160">
        <v>0</v>
      </c>
      <c r="I160">
        <v>7</v>
      </c>
      <c r="J160">
        <v>7</v>
      </c>
      <c r="K160" s="2" t="s">
        <v>24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4">
        <v>85</v>
      </c>
      <c r="P160">
        <v>618</v>
      </c>
      <c r="Q160">
        <v>120</v>
      </c>
      <c r="R160" s="31">
        <v>65</v>
      </c>
      <c r="S160" s="30">
        <f>IFERROR(PROPERTIES[[#This Row],[TE_STARTING_KN]]/(PROPERTIES[[#This Row],[WEIGHT]]*9.81),0)</f>
        <v>7.7951669964621939E-2</v>
      </c>
      <c r="T160" s="30">
        <v>0.08</v>
      </c>
      <c r="U160" s="27">
        <f>ROUND(IF(IFERROR(PROPERTIES[[#This Row],[TE_COEFFICIENT_CALC]],0)=0,PROPERTIES[[#This Row],[TE_COEFFICIENT_MANUAL]],PROPERTIES[[#This Row],[TE_COEFFICIENT_CALC]]),3)</f>
        <v>7.8E-2</v>
      </c>
      <c r="V160" s="6">
        <v>40</v>
      </c>
      <c r="W160" s="10">
        <v>0</v>
      </c>
      <c r="X160" s="10">
        <v>0</v>
      </c>
      <c r="Y160" s="11"/>
      <c r="Z160" t="s">
        <v>911</v>
      </c>
      <c r="AA160" t="s">
        <v>904</v>
      </c>
      <c r="AB160" s="2" t="s">
        <v>922</v>
      </c>
      <c r="AC160" s="10" t="s">
        <v>990</v>
      </c>
      <c r="AD160" s="10" t="s">
        <v>991</v>
      </c>
      <c r="AE160" s="11" t="str">
        <f>SUBSTITUTE(SUBSTITUTE(PROPERTIES[[#This Row],[PURCHASECOST_VALUE]], "PURCHASECOST_", ""), "_VALUE", "")</f>
        <v>STEAMENGINE</v>
      </c>
      <c r="AF160" s="10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185</v>
      </c>
      <c r="B161">
        <v>1946</v>
      </c>
      <c r="C161">
        <v>0</v>
      </c>
      <c r="D161" t="s">
        <v>1843</v>
      </c>
      <c r="E161" t="str">
        <f>_xlfn.XLOOKUP(PROPERTIES[[#This Row],[COUNTRY]],COUNTRIES[COUNTRY_DESCRIPTION],COUNTRIES[COUNTRY_LABEL],"")</f>
        <v>CZ</v>
      </c>
      <c r="F161" t="s">
        <v>23</v>
      </c>
      <c r="G161" t="s">
        <v>20</v>
      </c>
      <c r="H161">
        <v>0</v>
      </c>
      <c r="I161">
        <v>5</v>
      </c>
      <c r="J161">
        <v>6</v>
      </c>
      <c r="K161" s="2" t="s">
        <v>24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4">
        <v>143.69999999999999</v>
      </c>
      <c r="P161">
        <v>1857</v>
      </c>
      <c r="Q161">
        <v>80</v>
      </c>
      <c r="R161" s="31">
        <v>200</v>
      </c>
      <c r="S161" s="30">
        <f>IFERROR(PROPERTIES[[#This Row],[TE_STARTING_KN]]/(PROPERTIES[[#This Row],[WEIGHT]]*9.81),0)</f>
        <v>0.14187445954698066</v>
      </c>
      <c r="T161" s="30">
        <v>0.2</v>
      </c>
      <c r="U161" s="27">
        <f>ROUND(IF(IFERROR(PROPERTIES[[#This Row],[TE_COEFFICIENT_CALC]],0)=0,PROPERTIES[[#This Row],[TE_COEFFICIENT_MANUAL]],PROPERTIES[[#This Row],[TE_COEFFICIENT_CALC]]),3)</f>
        <v>0.14199999999999999</v>
      </c>
      <c r="V161" s="6">
        <v>40</v>
      </c>
      <c r="W161" s="10">
        <v>0</v>
      </c>
      <c r="X161" s="10">
        <v>3</v>
      </c>
      <c r="Y161" s="11"/>
      <c r="Z161" t="s">
        <v>911</v>
      </c>
      <c r="AA161" t="s">
        <v>904</v>
      </c>
      <c r="AB161" s="2" t="s">
        <v>922</v>
      </c>
      <c r="AC161" s="10" t="s">
        <v>990</v>
      </c>
      <c r="AD161" s="10" t="s">
        <v>991</v>
      </c>
      <c r="AE161" s="11" t="str">
        <f>SUBSTITUTE(SUBSTITUTE(PROPERTIES[[#This Row],[PURCHASECOST_VALUE]], "PURCHASECOST_", ""), "_VALUE", "")</f>
        <v>STEAMENGINE</v>
      </c>
      <c r="AF161" s="10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186</v>
      </c>
      <c r="B162">
        <v>1951</v>
      </c>
      <c r="C162">
        <v>0</v>
      </c>
      <c r="D162" t="s">
        <v>1965</v>
      </c>
      <c r="E162" t="str">
        <f>_xlfn.XLOOKUP(PROPERTIES[[#This Row],[COUNTRY]],COUNTRIES[COUNTRY_DESCRIPTION],COUNTRIES[COUNTRY_LABEL],"")</f>
        <v>PL</v>
      </c>
      <c r="F162" t="s">
        <v>23</v>
      </c>
      <c r="G162" t="s">
        <v>20</v>
      </c>
      <c r="H162">
        <v>0</v>
      </c>
      <c r="I162">
        <v>7</v>
      </c>
      <c r="J162">
        <v>8</v>
      </c>
      <c r="K162" s="2" t="s">
        <v>24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4">
        <v>144.9</v>
      </c>
      <c r="P162">
        <v>1290</v>
      </c>
      <c r="Q162">
        <v>100</v>
      </c>
      <c r="R162" s="31">
        <v>125</v>
      </c>
      <c r="S162" s="30">
        <f>IFERROR(PROPERTIES[[#This Row],[TE_STARTING_KN]]/(PROPERTIES[[#This Row],[WEIGHT]]*9.81),0)</f>
        <v>8.7937197364135272E-2</v>
      </c>
      <c r="T162" s="30">
        <v>0.1</v>
      </c>
      <c r="U162" s="27">
        <f>ROUND(IF(IFERROR(PROPERTIES[[#This Row],[TE_COEFFICIENT_CALC]],0)=0,PROPERTIES[[#This Row],[TE_COEFFICIENT_MANUAL]],PROPERTIES[[#This Row],[TE_COEFFICIENT_CALC]]),3)</f>
        <v>8.7999999999999995E-2</v>
      </c>
      <c r="V162" s="6">
        <v>40</v>
      </c>
      <c r="W162" s="10">
        <v>0</v>
      </c>
      <c r="X162" s="10">
        <v>4</v>
      </c>
      <c r="Y162" s="11"/>
      <c r="Z162" t="s">
        <v>911</v>
      </c>
      <c r="AA162" t="s">
        <v>904</v>
      </c>
      <c r="AB162" s="2" t="s">
        <v>922</v>
      </c>
      <c r="AC162" s="10" t="s">
        <v>990</v>
      </c>
      <c r="AD162" s="10" t="s">
        <v>991</v>
      </c>
      <c r="AE162" s="11" t="str">
        <f>SUBSTITUTE(SUBSTITUTE(PROPERTIES[[#This Row],[PURCHASECOST_VALUE]], "PURCHASECOST_", ""), "_VALUE", "")</f>
        <v>STEAMENGINE</v>
      </c>
      <c r="AF162" s="10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187</v>
      </c>
      <c r="B163">
        <v>1911</v>
      </c>
      <c r="C163">
        <v>0</v>
      </c>
      <c r="D163" t="s">
        <v>1799</v>
      </c>
      <c r="E163" t="str">
        <f>_xlfn.XLOOKUP(PROPERTIES[[#This Row],[COUNTRY]],COUNTRIES[COUNTRY_DESCRIPTION],COUNTRIES[COUNTRY_LABEL],"")</f>
        <v>AT</v>
      </c>
      <c r="F163" t="s">
        <v>23</v>
      </c>
      <c r="G163" t="s">
        <v>20</v>
      </c>
      <c r="H163">
        <v>0</v>
      </c>
      <c r="I163">
        <v>7</v>
      </c>
      <c r="J163">
        <v>8</v>
      </c>
      <c r="K163" s="2" t="s">
        <v>24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4">
        <v>138</v>
      </c>
      <c r="P163">
        <v>1885</v>
      </c>
      <c r="Q163">
        <v>100</v>
      </c>
      <c r="R163" s="31">
        <v>96.39</v>
      </c>
      <c r="S163" s="30">
        <f>IFERROR(PROPERTIES[[#This Row],[TE_STARTING_KN]]/(PROPERTIES[[#This Row],[WEIGHT]]*9.81),0)</f>
        <v>7.1200638213003598E-2</v>
      </c>
      <c r="T163" s="30">
        <v>0.17</v>
      </c>
      <c r="U163" s="27">
        <f>ROUND(IF(IFERROR(PROPERTIES[[#This Row],[TE_COEFFICIENT_CALC]],0)=0,PROPERTIES[[#This Row],[TE_COEFFICIENT_MANUAL]],PROPERTIES[[#This Row],[TE_COEFFICIENT_CALC]]),3)</f>
        <v>7.0999999999999994E-2</v>
      </c>
      <c r="V163" s="6">
        <v>40</v>
      </c>
      <c r="W163" s="10">
        <v>0</v>
      </c>
      <c r="X163" s="10">
        <v>4</v>
      </c>
      <c r="Y163" s="11"/>
      <c r="Z163" t="s">
        <v>905</v>
      </c>
      <c r="AA163" t="s">
        <v>904</v>
      </c>
      <c r="AB163" s="2" t="s">
        <v>922</v>
      </c>
      <c r="AC163" s="10" t="s">
        <v>990</v>
      </c>
      <c r="AD163" s="10" t="s">
        <v>991</v>
      </c>
      <c r="AE163" s="11" t="str">
        <f>SUBSTITUTE(SUBSTITUTE(PROPERTIES[[#This Row],[PURCHASECOST_VALUE]], "PURCHASECOST_", ""), "_VALUE", "")</f>
        <v>STEAMENGINE</v>
      </c>
      <c r="AF163" s="10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188</v>
      </c>
      <c r="B164">
        <v>1941</v>
      </c>
      <c r="C164">
        <v>0</v>
      </c>
      <c r="D164" t="s">
        <v>2019</v>
      </c>
      <c r="E164" t="str">
        <f>_xlfn.XLOOKUP(PROPERTIES[[#This Row],[COUNTRY]],COUNTRIES[COUNTRY_DESCRIPTION],COUNTRIES[COUNTRY_LABEL],"")</f>
        <v>US</v>
      </c>
      <c r="F164" t="s">
        <v>23</v>
      </c>
      <c r="G164" t="s">
        <v>20</v>
      </c>
      <c r="H164">
        <v>0</v>
      </c>
      <c r="I164">
        <v>8</v>
      </c>
      <c r="J164">
        <v>12</v>
      </c>
      <c r="K164" s="2" t="s">
        <v>24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4">
        <v>390</v>
      </c>
      <c r="P164">
        <v>5500</v>
      </c>
      <c r="Q164">
        <v>177</v>
      </c>
      <c r="R164" s="31">
        <v>349.85</v>
      </c>
      <c r="S164" s="30">
        <f>IFERROR(PROPERTIES[[#This Row],[TE_STARTING_KN]]/(PROPERTIES[[#This Row],[WEIGHT]]*9.81),0)</f>
        <v>9.1442536396664845E-2</v>
      </c>
      <c r="T164" s="30">
        <v>0.09</v>
      </c>
      <c r="U164" s="27">
        <f>ROUND(IF(IFERROR(PROPERTIES[[#This Row],[TE_COEFFICIENT_CALC]],0)=0,PROPERTIES[[#This Row],[TE_COEFFICIENT_MANUAL]],PROPERTIES[[#This Row],[TE_COEFFICIENT_CALC]]),3)</f>
        <v>9.0999999999999998E-2</v>
      </c>
      <c r="V164" s="6">
        <v>40</v>
      </c>
      <c r="W164" s="10">
        <v>0</v>
      </c>
      <c r="X164" s="10">
        <v>6</v>
      </c>
      <c r="Y164" s="11"/>
      <c r="Z164" t="s">
        <v>910</v>
      </c>
      <c r="AA164" t="s">
        <v>904</v>
      </c>
      <c r="AB164" s="2" t="s">
        <v>922</v>
      </c>
      <c r="AC164" s="10" t="s">
        <v>990</v>
      </c>
      <c r="AD164" s="10" t="s">
        <v>991</v>
      </c>
      <c r="AE164" s="11" t="str">
        <f>SUBSTITUTE(SUBSTITUTE(PROPERTIES[[#This Row],[PURCHASECOST_VALUE]], "PURCHASECOST_", ""), "_VALUE", "")</f>
        <v>STEAMENGINE</v>
      </c>
      <c r="AF164" s="10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189</v>
      </c>
      <c r="B165">
        <v>1866</v>
      </c>
      <c r="C165">
        <v>0</v>
      </c>
      <c r="D165" t="s">
        <v>1888</v>
      </c>
      <c r="E165" t="str">
        <f>_xlfn.XLOOKUP(PROPERTIES[[#This Row],[COUNTRY]],COUNTRIES[COUNTRY_DESCRIPTION],COUNTRIES[COUNTRY_LABEL],"")</f>
        <v>IE</v>
      </c>
      <c r="F165" t="s">
        <v>23</v>
      </c>
      <c r="G165" t="s">
        <v>20</v>
      </c>
      <c r="H165">
        <v>0</v>
      </c>
      <c r="I165">
        <v>5</v>
      </c>
      <c r="J165">
        <v>6</v>
      </c>
      <c r="K165" s="2" t="s">
        <v>20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4">
        <v>74.5</v>
      </c>
      <c r="P165">
        <v>650</v>
      </c>
      <c r="Q165">
        <v>60</v>
      </c>
      <c r="R165" s="31">
        <v>76.400000000000006</v>
      </c>
      <c r="S165" s="30">
        <f>IFERROR(PROPERTIES[[#This Row],[TE_STARTING_KN]]/(PROPERTIES[[#This Row],[WEIGHT]]*9.81),0)</f>
        <v>0.10453652963350643</v>
      </c>
      <c r="T165" s="30">
        <v>0.13</v>
      </c>
      <c r="U165" s="27">
        <f>ROUND(IF(IFERROR(PROPERTIES[[#This Row],[TE_COEFFICIENT_CALC]],0)=0,PROPERTIES[[#This Row],[TE_COEFFICIENT_MANUAL]],PROPERTIES[[#This Row],[TE_COEFFICIENT_CALC]]),3)</f>
        <v>0.105</v>
      </c>
      <c r="V165" s="6">
        <v>40</v>
      </c>
      <c r="W165" s="10">
        <v>0</v>
      </c>
      <c r="X165" s="10">
        <v>3</v>
      </c>
      <c r="Y165" s="11"/>
      <c r="Z165" t="s">
        <v>909</v>
      </c>
      <c r="AA165" t="s">
        <v>904</v>
      </c>
      <c r="AB165" s="2" t="s">
        <v>922</v>
      </c>
      <c r="AC165" s="10" t="s">
        <v>990</v>
      </c>
      <c r="AD165" s="10" t="s">
        <v>991</v>
      </c>
      <c r="AE165" s="11" t="str">
        <f>SUBSTITUTE(SUBSTITUTE(PROPERTIES[[#This Row],[PURCHASECOST_VALUE]], "PURCHASECOST_", ""), "_VALUE", "")</f>
        <v>STEAMENGINE</v>
      </c>
      <c r="AF165" s="10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65" s="2" t="b">
        <v>0</v>
      </c>
      <c r="AY165"/>
      <c r="AZ165"/>
      <c r="BA165"/>
    </row>
    <row r="166" spans="1:53">
      <c r="A166" s="2" t="s">
        <v>190</v>
      </c>
      <c r="B166">
        <v>1914</v>
      </c>
      <c r="C166">
        <v>0</v>
      </c>
      <c r="D166" t="s">
        <v>2019</v>
      </c>
      <c r="E166" t="str">
        <f>_xlfn.XLOOKUP(PROPERTIES[[#This Row],[COUNTRY]],COUNTRIES[COUNTRY_DESCRIPTION],COUNTRIES[COUNTRY_LABEL],"")</f>
        <v>US</v>
      </c>
      <c r="F166" t="s">
        <v>23</v>
      </c>
      <c r="G166" t="s">
        <v>20</v>
      </c>
      <c r="H166">
        <v>0</v>
      </c>
      <c r="I166">
        <v>6</v>
      </c>
      <c r="J166">
        <v>8</v>
      </c>
      <c r="K166" s="2" t="s">
        <v>20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4">
        <v>217</v>
      </c>
      <c r="P166">
        <v>2990</v>
      </c>
      <c r="Q166">
        <v>96</v>
      </c>
      <c r="R166" s="31">
        <v>243.42</v>
      </c>
      <c r="S166" s="30">
        <f>IFERROR(PROPERTIES[[#This Row],[TE_STARTING_KN]]/(PROPERTIES[[#This Row],[WEIGHT]]*9.81),0)</f>
        <v>0.11434772192392789</v>
      </c>
      <c r="T166" s="30">
        <v>0.11</v>
      </c>
      <c r="U166" s="27">
        <f>ROUND(IF(IFERROR(PROPERTIES[[#This Row],[TE_COEFFICIENT_CALC]],0)=0,PROPERTIES[[#This Row],[TE_COEFFICIENT_MANUAL]],PROPERTIES[[#This Row],[TE_COEFFICIENT_CALC]]),3)</f>
        <v>0.114</v>
      </c>
      <c r="V166" s="6">
        <v>40</v>
      </c>
      <c r="W166" s="10">
        <v>0</v>
      </c>
      <c r="X166" s="10">
        <v>4</v>
      </c>
      <c r="Y166" s="11"/>
      <c r="Z166" t="s">
        <v>910</v>
      </c>
      <c r="AA166" t="s">
        <v>904</v>
      </c>
      <c r="AB166" s="2" t="s">
        <v>922</v>
      </c>
      <c r="AC166" s="10" t="s">
        <v>990</v>
      </c>
      <c r="AD166" s="10" t="s">
        <v>991</v>
      </c>
      <c r="AE166" s="11" t="str">
        <f>SUBSTITUTE(SUBSTITUTE(PROPERTIES[[#This Row],[PURCHASECOST_VALUE]], "PURCHASECOST_", ""), "_VALUE", "")</f>
        <v>STEAMENGINE</v>
      </c>
      <c r="AF166" s="10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191</v>
      </c>
      <c r="B167">
        <v>1871</v>
      </c>
      <c r="C167">
        <v>0</v>
      </c>
      <c r="D167" t="s">
        <v>1797</v>
      </c>
      <c r="E167" t="str">
        <f>_xlfn.XLOOKUP(PROPERTIES[[#This Row],[COUNTRY]],COUNTRIES[COUNTRY_DESCRIPTION],COUNTRIES[COUNTRY_LABEL],"")</f>
        <v>AR</v>
      </c>
      <c r="F167" t="s">
        <v>23</v>
      </c>
      <c r="G167" t="s">
        <v>20</v>
      </c>
      <c r="H167">
        <v>0</v>
      </c>
      <c r="I167">
        <v>4</v>
      </c>
      <c r="J167">
        <v>4</v>
      </c>
      <c r="K167" s="2" t="s">
        <v>20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4">
        <v>48</v>
      </c>
      <c r="P167">
        <v>145</v>
      </c>
      <c r="Q167">
        <v>45</v>
      </c>
      <c r="R167" s="31">
        <v>62</v>
      </c>
      <c r="S167" s="30">
        <f>IFERROR(PROPERTIES[[#This Row],[TE_STARTING_KN]]/(PROPERTIES[[#This Row],[WEIGHT]]*9.81),0)</f>
        <v>0.13166836561331974</v>
      </c>
      <c r="T167" s="30">
        <v>0.04</v>
      </c>
      <c r="U167" s="27">
        <f>ROUND(IF(IFERROR(PROPERTIES[[#This Row],[TE_COEFFICIENT_CALC]],0)=0,PROPERTIES[[#This Row],[TE_COEFFICIENT_MANUAL]],PROPERTIES[[#This Row],[TE_COEFFICIENT_CALC]]),3)</f>
        <v>0.13200000000000001</v>
      </c>
      <c r="V167" s="6">
        <v>40</v>
      </c>
      <c r="W167" s="10">
        <v>0</v>
      </c>
      <c r="X167" s="10">
        <v>0</v>
      </c>
      <c r="Y167" s="11"/>
      <c r="Z167" t="s">
        <v>912</v>
      </c>
      <c r="AA167" t="s">
        <v>904</v>
      </c>
      <c r="AB167" s="2" t="s">
        <v>922</v>
      </c>
      <c r="AC167" s="10" t="s">
        <v>990</v>
      </c>
      <c r="AD167" s="10" t="s">
        <v>991</v>
      </c>
      <c r="AE167" s="11" t="str">
        <f>SUBSTITUTE(SUBSTITUTE(PROPERTIES[[#This Row],[PURCHASECOST_VALUE]], "PURCHASECOST_", ""), "_VALUE", "")</f>
        <v>STEAMENGINE</v>
      </c>
      <c r="AF167" s="10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67" s="2" t="b">
        <v>0</v>
      </c>
      <c r="AY167"/>
      <c r="AZ167"/>
      <c r="BA167"/>
    </row>
    <row r="168" spans="1:53">
      <c r="A168" s="2" t="s">
        <v>192</v>
      </c>
      <c r="B168">
        <v>1914</v>
      </c>
      <c r="C168">
        <v>0</v>
      </c>
      <c r="D168" t="s">
        <v>1800</v>
      </c>
      <c r="E168" t="str">
        <f>_xlfn.XLOOKUP(PROPERTIES[[#This Row],[COUNTRY]],COUNTRIES[COUNTRY_DESCRIPTION],COUNTRIES[COUNTRY_LABEL],"")</f>
        <v>AU</v>
      </c>
      <c r="F168" t="s">
        <v>23</v>
      </c>
      <c r="G168" t="s">
        <v>20</v>
      </c>
      <c r="H168">
        <v>0</v>
      </c>
      <c r="I168">
        <v>6</v>
      </c>
      <c r="J168">
        <v>8</v>
      </c>
      <c r="K168" s="2" t="s">
        <v>20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4">
        <v>126</v>
      </c>
      <c r="P168">
        <v>1400</v>
      </c>
      <c r="Q168">
        <v>80</v>
      </c>
      <c r="R168" s="31">
        <v>129.80000000000001</v>
      </c>
      <c r="S168" s="30">
        <f>IFERROR(PROPERTIES[[#This Row],[TE_STARTING_KN]]/(PROPERTIES[[#This Row],[WEIGHT]]*9.81),0)</f>
        <v>0.10501108360435576</v>
      </c>
      <c r="T168" s="30">
        <v>0.1</v>
      </c>
      <c r="U168" s="27">
        <f>ROUND(IF(IFERROR(PROPERTIES[[#This Row],[TE_COEFFICIENT_CALC]],0)=0,PROPERTIES[[#This Row],[TE_COEFFICIENT_MANUAL]],PROPERTIES[[#This Row],[TE_COEFFICIENT_CALC]]),3)</f>
        <v>0.105</v>
      </c>
      <c r="V168" s="6">
        <v>40</v>
      </c>
      <c r="W168" s="10">
        <v>0</v>
      </c>
      <c r="X168" s="10">
        <v>4</v>
      </c>
      <c r="Y168" s="11"/>
      <c r="Z168" t="s">
        <v>907</v>
      </c>
      <c r="AA168" t="s">
        <v>904</v>
      </c>
      <c r="AB168" s="2" t="s">
        <v>922</v>
      </c>
      <c r="AC168" s="10" t="s">
        <v>990</v>
      </c>
      <c r="AD168" s="10" t="s">
        <v>991</v>
      </c>
      <c r="AE168" s="11" t="str">
        <f>SUBSTITUTE(SUBSTITUTE(PROPERTIES[[#This Row],[PURCHASECOST_VALUE]], "PURCHASECOST_", ""), "_VALUE", "")</f>
        <v>STEAMENGINE</v>
      </c>
      <c r="AF168" s="10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193</v>
      </c>
      <c r="B169">
        <v>1945</v>
      </c>
      <c r="C169">
        <v>0</v>
      </c>
      <c r="D169" t="s">
        <v>1807</v>
      </c>
      <c r="E169" t="str">
        <f>_xlfn.XLOOKUP(PROPERTIES[[#This Row],[COUNTRY]],COUNTRIES[COUNTRY_DESCRIPTION],COUNTRIES[COUNTRY_LABEL],"")</f>
        <v>BE</v>
      </c>
      <c r="F169" t="s">
        <v>23</v>
      </c>
      <c r="G169" t="s">
        <v>20</v>
      </c>
      <c r="H169">
        <v>0</v>
      </c>
      <c r="I169">
        <v>7</v>
      </c>
      <c r="J169">
        <v>8</v>
      </c>
      <c r="K169" s="2" t="s">
        <v>20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4">
        <v>127</v>
      </c>
      <c r="P169">
        <v>1970</v>
      </c>
      <c r="Q169">
        <v>96</v>
      </c>
      <c r="R169" s="31">
        <v>138</v>
      </c>
      <c r="S169" s="30">
        <f>IFERROR(PROPERTIES[[#This Row],[TE_STARTING_KN]]/(PROPERTIES[[#This Row],[WEIGHT]]*9.81),0)</f>
        <v>0.11076597076741553</v>
      </c>
      <c r="T169" s="30">
        <v>0.15</v>
      </c>
      <c r="U169" s="27">
        <f>ROUND(IF(IFERROR(PROPERTIES[[#This Row],[TE_COEFFICIENT_CALC]],0)=0,PROPERTIES[[#This Row],[TE_COEFFICIENT_MANUAL]],PROPERTIES[[#This Row],[TE_COEFFICIENT_CALC]]),3)</f>
        <v>0.111</v>
      </c>
      <c r="V169" s="6">
        <v>40</v>
      </c>
      <c r="W169" s="10">
        <v>0</v>
      </c>
      <c r="X169" s="10">
        <v>4</v>
      </c>
      <c r="Y169" s="11"/>
      <c r="Z169" t="s">
        <v>905</v>
      </c>
      <c r="AA169" t="s">
        <v>904</v>
      </c>
      <c r="AB169" s="2" t="s">
        <v>922</v>
      </c>
      <c r="AC169" s="10" t="s">
        <v>990</v>
      </c>
      <c r="AD169" s="10" t="s">
        <v>991</v>
      </c>
      <c r="AE169" s="11" t="str">
        <f>SUBSTITUTE(SUBSTITUTE(PROPERTIES[[#This Row],[PURCHASECOST_VALUE]], "PURCHASECOST_", ""), "_VALUE", "")</f>
        <v>STEAMENGINE</v>
      </c>
      <c r="AF169" s="10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194</v>
      </c>
      <c r="B170">
        <v>1954</v>
      </c>
      <c r="C170">
        <v>0</v>
      </c>
      <c r="D170" t="s">
        <v>1833</v>
      </c>
      <c r="E170" t="str">
        <f>_xlfn.XLOOKUP(PROPERTIES[[#This Row],[COUNTRY]],COUNTRIES[COUNTRY_DESCRIPTION],COUNTRIES[COUNTRY_LABEL],"")</f>
        <v>CL</v>
      </c>
      <c r="F170" t="s">
        <v>23</v>
      </c>
      <c r="G170" t="s">
        <v>20</v>
      </c>
      <c r="H170">
        <v>0</v>
      </c>
      <c r="I170">
        <v>7</v>
      </c>
      <c r="J170">
        <v>8</v>
      </c>
      <c r="K170" s="2" t="s">
        <v>20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4">
        <v>146</v>
      </c>
      <c r="P170">
        <v>1457</v>
      </c>
      <c r="Q170">
        <v>85</v>
      </c>
      <c r="R170" s="31">
        <v>151</v>
      </c>
      <c r="S170" s="30">
        <f>IFERROR(PROPERTIES[[#This Row],[TE_STARTING_KN]]/(PROPERTIES[[#This Row],[WEIGHT]]*9.81),0)</f>
        <v>0.10542778545794758</v>
      </c>
      <c r="T170" s="30">
        <v>0.1</v>
      </c>
      <c r="U170" s="27">
        <f>ROUND(IF(IFERROR(PROPERTIES[[#This Row],[TE_COEFFICIENT_CALC]],0)=0,PROPERTIES[[#This Row],[TE_COEFFICIENT_MANUAL]],PROPERTIES[[#This Row],[TE_COEFFICIENT_CALC]]),3)</f>
        <v>0.105</v>
      </c>
      <c r="V170" s="6">
        <v>40</v>
      </c>
      <c r="W170" s="10">
        <v>0</v>
      </c>
      <c r="X170" s="10">
        <v>4</v>
      </c>
      <c r="Y170" s="11"/>
      <c r="Z170" t="s">
        <v>912</v>
      </c>
      <c r="AA170" t="s">
        <v>904</v>
      </c>
      <c r="AB170" s="2" t="s">
        <v>922</v>
      </c>
      <c r="AC170" s="10" t="s">
        <v>990</v>
      </c>
      <c r="AD170" s="10" t="s">
        <v>991</v>
      </c>
      <c r="AE170" s="11" t="str">
        <f>SUBSTITUTE(SUBSTITUTE(PROPERTIES[[#This Row],[PURCHASECOST_VALUE]], "PURCHASECOST_", ""), "_VALUE", "")</f>
        <v>STEAMENGINE</v>
      </c>
      <c r="AF170" s="10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195</v>
      </c>
      <c r="B171">
        <v>1956</v>
      </c>
      <c r="C171">
        <v>0</v>
      </c>
      <c r="D171" t="s">
        <v>1835</v>
      </c>
      <c r="E171" t="str">
        <f>_xlfn.XLOOKUP(PROPERTIES[[#This Row],[COUNTRY]],COUNTRIES[COUNTRY_DESCRIPTION],COUNTRIES[COUNTRY_LABEL],"")</f>
        <v>CN</v>
      </c>
      <c r="F171" t="s">
        <v>23</v>
      </c>
      <c r="G171" t="s">
        <v>20</v>
      </c>
      <c r="H171">
        <v>0</v>
      </c>
      <c r="I171">
        <v>8</v>
      </c>
      <c r="J171">
        <v>12</v>
      </c>
      <c r="K171" s="2" t="s">
        <v>24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4">
        <v>203.2</v>
      </c>
      <c r="P171">
        <v>2980</v>
      </c>
      <c r="Q171">
        <v>80</v>
      </c>
      <c r="R171" s="31">
        <v>281.75</v>
      </c>
      <c r="S171" s="30">
        <f>IFERROR(PROPERTIES[[#This Row],[TE_STARTING_KN]]/(PROPERTIES[[#This Row],[WEIGHT]]*9.81),0)</f>
        <v>0.1413419939480042</v>
      </c>
      <c r="T171" s="30">
        <v>0.21</v>
      </c>
      <c r="U171" s="27">
        <f>ROUND(IF(IFERROR(PROPERTIES[[#This Row],[TE_COEFFICIENT_CALC]],0)=0,PROPERTIES[[#This Row],[TE_COEFFICIENT_MANUAL]],PROPERTIES[[#This Row],[TE_COEFFICIENT_CALC]]),3)</f>
        <v>0.14099999999999999</v>
      </c>
      <c r="V171" s="6">
        <v>40</v>
      </c>
      <c r="W171" s="10">
        <v>0</v>
      </c>
      <c r="X171" s="10">
        <v>6</v>
      </c>
      <c r="Y171" s="11"/>
      <c r="Z171" t="s">
        <v>913</v>
      </c>
      <c r="AA171" t="s">
        <v>904</v>
      </c>
      <c r="AB171" s="2" t="s">
        <v>922</v>
      </c>
      <c r="AC171" s="10" t="s">
        <v>990</v>
      </c>
      <c r="AD171" s="10" t="s">
        <v>991</v>
      </c>
      <c r="AE171" s="11" t="str">
        <f>SUBSTITUTE(SUBSTITUTE(PROPERTIES[[#This Row],[PURCHASECOST_VALUE]], "PURCHASECOST_", ""), "_VALUE", "")</f>
        <v>STEAMENGINE</v>
      </c>
      <c r="AF171" s="10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196</v>
      </c>
      <c r="B172">
        <v>1930</v>
      </c>
      <c r="C172">
        <v>0</v>
      </c>
      <c r="D172" t="s">
        <v>1844</v>
      </c>
      <c r="E172" t="str">
        <f>_xlfn.XLOOKUP(PROPERTIES[[#This Row],[COUNTRY]],COUNTRIES[COUNTRY_DESCRIPTION],COUNTRIES[COUNTRY_LABEL],"")</f>
        <v>DE</v>
      </c>
      <c r="F172" t="s">
        <v>35</v>
      </c>
      <c r="G172" t="s">
        <v>20</v>
      </c>
      <c r="H172">
        <v>0</v>
      </c>
      <c r="I172">
        <v>4</v>
      </c>
      <c r="J172">
        <v>4</v>
      </c>
      <c r="K172" s="2" t="s">
        <v>20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4">
        <v>15</v>
      </c>
      <c r="P172">
        <v>60</v>
      </c>
      <c r="Q172">
        <v>30</v>
      </c>
      <c r="R172" s="31">
        <v>30</v>
      </c>
      <c r="S172" s="30">
        <f>IFERROR(PROPERTIES[[#This Row],[TE_STARTING_KN]]/(PROPERTIES[[#This Row],[WEIGHT]]*9.81),0)</f>
        <v>0.2038735983690112</v>
      </c>
      <c r="T172" s="30">
        <v>0.39</v>
      </c>
      <c r="U172" s="27">
        <f>ROUND(IF(IFERROR(PROPERTIES[[#This Row],[TE_COEFFICIENT_CALC]],0)=0,PROPERTIES[[#This Row],[TE_COEFFICIENT_MANUAL]],PROPERTIES[[#This Row],[TE_COEFFICIENT_CALC]]),3)</f>
        <v>0.20399999999999999</v>
      </c>
      <c r="V172" s="6">
        <v>40</v>
      </c>
      <c r="W172" s="10">
        <v>0</v>
      </c>
      <c r="X172" s="10">
        <v>0</v>
      </c>
      <c r="Y172" s="11"/>
      <c r="Z172" t="s">
        <v>905</v>
      </c>
      <c r="AA172" t="s">
        <v>904</v>
      </c>
      <c r="AB172" s="2" t="s">
        <v>922</v>
      </c>
      <c r="AC172" s="10" t="s">
        <v>992</v>
      </c>
      <c r="AD172" s="10" t="s">
        <v>993</v>
      </c>
      <c r="AE172" s="11" t="str">
        <f>SUBSTITUTE(SUBSTITUTE(PROPERTIES[[#This Row],[PURCHASECOST_VALUE]], "PURCHASECOST_", ""), "_VALUE", "")</f>
        <v>DIESELENGINE</v>
      </c>
      <c r="AF172" s="10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72" s="2" t="b">
        <v>0</v>
      </c>
      <c r="AY172"/>
      <c r="AZ172"/>
      <c r="BA172"/>
    </row>
    <row r="173" spans="1:53">
      <c r="A173" s="2" t="s">
        <v>197</v>
      </c>
      <c r="B173">
        <v>1931</v>
      </c>
      <c r="C173">
        <v>0</v>
      </c>
      <c r="D173" t="s">
        <v>2019</v>
      </c>
      <c r="E173" t="str">
        <f>_xlfn.XLOOKUP(PROPERTIES[[#This Row],[COUNTRY]],COUNTRIES[COUNTRY_DESCRIPTION],COUNTRIES[COUNTRY_LABEL],"")</f>
        <v>US</v>
      </c>
      <c r="F173" t="s">
        <v>35</v>
      </c>
      <c r="G173" t="s">
        <v>20</v>
      </c>
      <c r="H173">
        <v>0</v>
      </c>
      <c r="I173">
        <v>4</v>
      </c>
      <c r="J173">
        <v>4</v>
      </c>
      <c r="K173" s="2" t="s">
        <v>20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4">
        <v>90.7</v>
      </c>
      <c r="P173">
        <v>600</v>
      </c>
      <c r="Q173">
        <v>55</v>
      </c>
      <c r="R173" s="31">
        <v>250</v>
      </c>
      <c r="S173" s="30">
        <f>IFERROR(PROPERTIES[[#This Row],[TE_STARTING_KN]]/(PROPERTIES[[#This Row],[WEIGHT]]*9.81),0)</f>
        <v>0.28097243435641017</v>
      </c>
      <c r="T173" s="30">
        <v>0.11</v>
      </c>
      <c r="U173" s="27">
        <f>ROUND(IF(IFERROR(PROPERTIES[[#This Row],[TE_COEFFICIENT_CALC]],0)=0,PROPERTIES[[#This Row],[TE_COEFFICIENT_MANUAL]],PROPERTIES[[#This Row],[TE_COEFFICIENT_CALC]]),3)</f>
        <v>0.28100000000000003</v>
      </c>
      <c r="V173" s="6">
        <v>40</v>
      </c>
      <c r="W173" s="10">
        <v>0</v>
      </c>
      <c r="X173" s="10">
        <v>0</v>
      </c>
      <c r="Y173" s="11"/>
      <c r="Z173" t="s">
        <v>910</v>
      </c>
      <c r="AA173" t="s">
        <v>904</v>
      </c>
      <c r="AB173" s="2" t="s">
        <v>922</v>
      </c>
      <c r="AC173" s="10" t="s">
        <v>992</v>
      </c>
      <c r="AD173" s="10" t="s">
        <v>993</v>
      </c>
      <c r="AE173" s="11" t="str">
        <f>SUBSTITUTE(SUBSTITUTE(PROPERTIES[[#This Row],[PURCHASECOST_VALUE]], "PURCHASECOST_", ""), "_VALUE", "")</f>
        <v>DIESELENGINE</v>
      </c>
      <c r="AF173" s="10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73" s="2" t="b">
        <v>0</v>
      </c>
      <c r="AY173"/>
      <c r="AZ173"/>
      <c r="BA173"/>
    </row>
    <row r="174" spans="1:53">
      <c r="A174" s="2" t="s">
        <v>198</v>
      </c>
      <c r="B174">
        <v>1934</v>
      </c>
      <c r="C174">
        <v>0</v>
      </c>
      <c r="D174" t="s">
        <v>1952</v>
      </c>
      <c r="E174" t="str">
        <f>_xlfn.XLOOKUP(PROPERTIES[[#This Row],[COUNTRY]],COUNTRIES[COUNTRY_DESCRIPTION],COUNTRIES[COUNTRY_LABEL],"")</f>
        <v>NL</v>
      </c>
      <c r="F174" t="s">
        <v>35</v>
      </c>
      <c r="G174" t="s">
        <v>20</v>
      </c>
      <c r="H174">
        <v>0</v>
      </c>
      <c r="I174">
        <v>4</v>
      </c>
      <c r="J174">
        <v>4</v>
      </c>
      <c r="K174" s="2" t="s">
        <v>20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4">
        <v>21</v>
      </c>
      <c r="P174">
        <v>72</v>
      </c>
      <c r="Q174">
        <v>60</v>
      </c>
      <c r="R174" s="31">
        <v>45</v>
      </c>
      <c r="S174" s="30">
        <f>IFERROR(PROPERTIES[[#This Row],[TE_STARTING_KN]]/(PROPERTIES[[#This Row],[WEIGHT]]*9.81),0)</f>
        <v>0.218435998252512</v>
      </c>
      <c r="T174" s="30">
        <v>0.19</v>
      </c>
      <c r="U174" s="27">
        <f>ROUND(IF(IFERROR(PROPERTIES[[#This Row],[TE_COEFFICIENT_CALC]],0)=0,PROPERTIES[[#This Row],[TE_COEFFICIENT_MANUAL]],PROPERTIES[[#This Row],[TE_COEFFICIENT_CALC]]),3)</f>
        <v>0.218</v>
      </c>
      <c r="V174" s="6">
        <v>40</v>
      </c>
      <c r="W174" s="10">
        <v>0</v>
      </c>
      <c r="X174" s="10">
        <v>0</v>
      </c>
      <c r="Y174" s="11"/>
      <c r="Z174" t="s">
        <v>905</v>
      </c>
      <c r="AA174" t="s">
        <v>904</v>
      </c>
      <c r="AB174" s="2" t="s">
        <v>922</v>
      </c>
      <c r="AC174" s="10" t="s">
        <v>992</v>
      </c>
      <c r="AD174" s="10" t="s">
        <v>993</v>
      </c>
      <c r="AE174" s="11" t="str">
        <f>SUBSTITUTE(SUBSTITUTE(PROPERTIES[[#This Row],[PURCHASECOST_VALUE]], "PURCHASECOST_", ""), "_VALUE", "")</f>
        <v>DIESELENGINE</v>
      </c>
      <c r="AF174" s="10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74" s="2" t="b">
        <v>0</v>
      </c>
      <c r="AY174"/>
      <c r="AZ174"/>
      <c r="BA174"/>
    </row>
    <row r="175" spans="1:53">
      <c r="A175" s="2" t="s">
        <v>199</v>
      </c>
      <c r="B175">
        <v>1936</v>
      </c>
      <c r="C175">
        <v>0</v>
      </c>
      <c r="D175" t="s">
        <v>1844</v>
      </c>
      <c r="E175" t="str">
        <f>_xlfn.XLOOKUP(PROPERTIES[[#This Row],[COUNTRY]],COUNTRIES[COUNTRY_DESCRIPTION],COUNTRIES[COUNTRY_LABEL],"")</f>
        <v>DE</v>
      </c>
      <c r="F175" t="s">
        <v>35</v>
      </c>
      <c r="G175" t="s">
        <v>20</v>
      </c>
      <c r="H175">
        <v>0</v>
      </c>
      <c r="I175">
        <v>5</v>
      </c>
      <c r="J175">
        <v>5</v>
      </c>
      <c r="K175" s="2" t="s">
        <v>20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4">
        <v>26</v>
      </c>
      <c r="P175">
        <v>200</v>
      </c>
      <c r="Q175">
        <v>55</v>
      </c>
      <c r="R175" s="31">
        <v>68</v>
      </c>
      <c r="S175" s="30">
        <f>IFERROR(PROPERTIES[[#This Row],[TE_STARTING_KN]]/(PROPERTIES[[#This Row],[WEIGHT]]*9.81),0)</f>
        <v>0.26660393632870699</v>
      </c>
      <c r="T175" s="30">
        <v>0.31</v>
      </c>
      <c r="U175" s="27">
        <f>ROUND(IF(IFERROR(PROPERTIES[[#This Row],[TE_COEFFICIENT_CALC]],0)=0,PROPERTIES[[#This Row],[TE_COEFFICIENT_MANUAL]],PROPERTIES[[#This Row],[TE_COEFFICIENT_CALC]]),3)</f>
        <v>0.26700000000000002</v>
      </c>
      <c r="V175" s="6">
        <v>40</v>
      </c>
      <c r="W175" s="10">
        <v>0</v>
      </c>
      <c r="X175" s="10">
        <v>0</v>
      </c>
      <c r="Y175" s="11"/>
      <c r="Z175" t="s">
        <v>905</v>
      </c>
      <c r="AA175" t="s">
        <v>904</v>
      </c>
      <c r="AB175" s="2" t="s">
        <v>922</v>
      </c>
      <c r="AC175" s="10" t="s">
        <v>992</v>
      </c>
      <c r="AD175" s="10" t="s">
        <v>993</v>
      </c>
      <c r="AE175" s="11" t="str">
        <f>SUBSTITUTE(SUBSTITUTE(PROPERTIES[[#This Row],[PURCHASECOST_VALUE]], "PURCHASECOST_", ""), "_VALUE", "")</f>
        <v>DIESELENGINE</v>
      </c>
      <c r="AF175" s="10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75" s="2" t="b">
        <v>0</v>
      </c>
      <c r="AY175"/>
      <c r="AZ175"/>
      <c r="BA175"/>
    </row>
    <row r="176" spans="1:53">
      <c r="A176" s="2" t="s">
        <v>200</v>
      </c>
      <c r="B176">
        <v>1941</v>
      </c>
      <c r="C176">
        <v>0</v>
      </c>
      <c r="D176" t="s">
        <v>1830</v>
      </c>
      <c r="E176" t="str">
        <f>_xlfn.XLOOKUP(PROPERTIES[[#This Row],[COUNTRY]],COUNTRIES[COUNTRY_DESCRIPTION],COUNTRIES[COUNTRY_LABEL],"")</f>
        <v>CH</v>
      </c>
      <c r="F176" t="s">
        <v>35</v>
      </c>
      <c r="G176" t="s">
        <v>20</v>
      </c>
      <c r="H176">
        <v>0</v>
      </c>
      <c r="I176">
        <v>8</v>
      </c>
      <c r="J176">
        <v>8</v>
      </c>
      <c r="K176" s="2" t="s">
        <v>20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4">
        <v>92</v>
      </c>
      <c r="P176">
        <v>2170</v>
      </c>
      <c r="Q176">
        <v>110</v>
      </c>
      <c r="R176" s="31">
        <v>127</v>
      </c>
      <c r="S176" s="30">
        <f>IFERROR(PROPERTIES[[#This Row],[TE_STARTING_KN]]/(PROPERTIES[[#This Row],[WEIGHT]]*9.81),0)</f>
        <v>0.14071710322208925</v>
      </c>
      <c r="T176" s="30">
        <v>0.14000000000000001</v>
      </c>
      <c r="U176" s="27">
        <f>ROUND(IF(IFERROR(PROPERTIES[[#This Row],[TE_COEFFICIENT_CALC]],0)=0,PROPERTIES[[#This Row],[TE_COEFFICIENT_MANUAL]],PROPERTIES[[#This Row],[TE_COEFFICIENT_CALC]]),3)</f>
        <v>0.14099999999999999</v>
      </c>
      <c r="V176" s="6">
        <v>40</v>
      </c>
      <c r="W176" s="10">
        <v>0</v>
      </c>
      <c r="X176" s="10">
        <v>0</v>
      </c>
      <c r="Y176" s="11"/>
      <c r="Z176" t="s">
        <v>905</v>
      </c>
      <c r="AA176" t="s">
        <v>904</v>
      </c>
      <c r="AB176" s="2" t="s">
        <v>922</v>
      </c>
      <c r="AC176" s="10" t="s">
        <v>992</v>
      </c>
      <c r="AD176" s="10" t="s">
        <v>993</v>
      </c>
      <c r="AE176" s="11" t="str">
        <f>SUBSTITUTE(SUBSTITUTE(PROPERTIES[[#This Row],[PURCHASECOST_VALUE]], "PURCHASECOST_", ""), "_VALUE", "")</f>
        <v>DIESELENGINE</v>
      </c>
      <c r="AF176" s="10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201</v>
      </c>
      <c r="B177">
        <v>1943</v>
      </c>
      <c r="C177">
        <v>0</v>
      </c>
      <c r="D177" t="s">
        <v>1800</v>
      </c>
      <c r="E177" t="str">
        <f>_xlfn.XLOOKUP(PROPERTIES[[#This Row],[COUNTRY]],COUNTRIES[COUNTRY_DESCRIPTION],COUNTRIES[COUNTRY_LABEL],"")</f>
        <v>AU</v>
      </c>
      <c r="F177" t="s">
        <v>35</v>
      </c>
      <c r="G177" t="s">
        <v>20</v>
      </c>
      <c r="H177">
        <v>0</v>
      </c>
      <c r="I177">
        <v>5</v>
      </c>
      <c r="J177">
        <v>5</v>
      </c>
      <c r="K177" s="2" t="s">
        <v>20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4">
        <v>40</v>
      </c>
      <c r="P177">
        <v>380</v>
      </c>
      <c r="Q177">
        <v>56</v>
      </c>
      <c r="R177" s="31">
        <v>57.83</v>
      </c>
      <c r="S177" s="30">
        <f>IFERROR(PROPERTIES[[#This Row],[TE_STARTING_KN]]/(PROPERTIES[[#This Row],[WEIGHT]]*9.81),0)</f>
        <v>0.14737512742099895</v>
      </c>
      <c r="T177" s="30">
        <v>0.15</v>
      </c>
      <c r="U177" s="27">
        <f>ROUND(IF(IFERROR(PROPERTIES[[#This Row],[TE_COEFFICIENT_CALC]],0)=0,PROPERTIES[[#This Row],[TE_COEFFICIENT_MANUAL]],PROPERTIES[[#This Row],[TE_COEFFICIENT_CALC]]),3)</f>
        <v>0.14699999999999999</v>
      </c>
      <c r="V177" s="6">
        <v>40</v>
      </c>
      <c r="W177" s="10">
        <v>0</v>
      </c>
      <c r="X177" s="10">
        <v>0</v>
      </c>
      <c r="Y177" s="11"/>
      <c r="Z177" t="s">
        <v>907</v>
      </c>
      <c r="AA177" t="s">
        <v>904</v>
      </c>
      <c r="AB177" s="2" t="s">
        <v>922</v>
      </c>
      <c r="AC177" s="10" t="s">
        <v>992</v>
      </c>
      <c r="AD177" s="10" t="s">
        <v>993</v>
      </c>
      <c r="AE177" s="11" t="str">
        <f>SUBSTITUTE(SUBSTITUTE(PROPERTIES[[#This Row],[PURCHASECOST_VALUE]], "PURCHASECOST_", ""), "_VALUE", "")</f>
        <v>DIESELENGINE</v>
      </c>
      <c r="AF177" s="10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77" s="2" t="b">
        <v>0</v>
      </c>
      <c r="AY177"/>
      <c r="AZ177"/>
      <c r="BA177"/>
    </row>
    <row r="178" spans="1:53">
      <c r="A178" s="2" t="s">
        <v>202</v>
      </c>
      <c r="B178">
        <v>1940</v>
      </c>
      <c r="C178">
        <v>0</v>
      </c>
      <c r="D178" t="s">
        <v>2019</v>
      </c>
      <c r="E178" t="str">
        <f>_xlfn.XLOOKUP(PROPERTIES[[#This Row],[COUNTRY]],COUNTRIES[COUNTRY_DESCRIPTION],COUNTRIES[COUNTRY_LABEL],"")</f>
        <v>US</v>
      </c>
      <c r="F178" t="s">
        <v>35</v>
      </c>
      <c r="G178" t="s">
        <v>20</v>
      </c>
      <c r="H178">
        <v>0</v>
      </c>
      <c r="I178">
        <v>6</v>
      </c>
      <c r="J178">
        <v>6</v>
      </c>
      <c r="K178" s="2" t="s">
        <v>20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4">
        <v>104</v>
      </c>
      <c r="P178">
        <v>1000</v>
      </c>
      <c r="Q178">
        <v>96</v>
      </c>
      <c r="R178" s="31">
        <v>261</v>
      </c>
      <c r="S178" s="30">
        <f>IFERROR(PROPERTIES[[#This Row],[TE_STARTING_KN]]/(PROPERTIES[[#This Row],[WEIGHT]]*9.81),0)</f>
        <v>0.25582215949188425</v>
      </c>
      <c r="T178" s="30">
        <v>0.15</v>
      </c>
      <c r="U178" s="27">
        <f>ROUND(IF(IFERROR(PROPERTIES[[#This Row],[TE_COEFFICIENT_CALC]],0)=0,PROPERTIES[[#This Row],[TE_COEFFICIENT_MANUAL]],PROPERTIES[[#This Row],[TE_COEFFICIENT_CALC]]),3)</f>
        <v>0.25600000000000001</v>
      </c>
      <c r="V178" s="6">
        <v>40</v>
      </c>
      <c r="W178" s="10">
        <v>0</v>
      </c>
      <c r="X178" s="10">
        <v>0</v>
      </c>
      <c r="Y178" s="11"/>
      <c r="Z178" t="s">
        <v>910</v>
      </c>
      <c r="AA178" t="s">
        <v>904</v>
      </c>
      <c r="AB178" s="2" t="s">
        <v>922</v>
      </c>
      <c r="AC178" s="10" t="s">
        <v>992</v>
      </c>
      <c r="AD178" s="10" t="s">
        <v>993</v>
      </c>
      <c r="AE178" s="11" t="str">
        <f>SUBSTITUTE(SUBSTITUTE(PROPERTIES[[#This Row],[PURCHASECOST_VALUE]], "PURCHASECOST_", ""), "_VALUE", "")</f>
        <v>DIESELENGINE</v>
      </c>
      <c r="AF178" s="10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203</v>
      </c>
      <c r="B179">
        <v>1946</v>
      </c>
      <c r="C179">
        <v>0</v>
      </c>
      <c r="D179" t="s">
        <v>2019</v>
      </c>
      <c r="E179" t="str">
        <f>_xlfn.XLOOKUP(PROPERTIES[[#This Row],[COUNTRY]],COUNTRIES[COUNTRY_DESCRIPTION],COUNTRIES[COUNTRY_LABEL],"")</f>
        <v>US</v>
      </c>
      <c r="F179" t="s">
        <v>35</v>
      </c>
      <c r="G179" t="s">
        <v>20</v>
      </c>
      <c r="H179">
        <v>0</v>
      </c>
      <c r="I179">
        <v>7</v>
      </c>
      <c r="J179">
        <v>7</v>
      </c>
      <c r="K179" s="2" t="s">
        <v>20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4">
        <v>139</v>
      </c>
      <c r="P179">
        <v>1500</v>
      </c>
      <c r="Q179">
        <v>164</v>
      </c>
      <c r="R179" s="31">
        <v>250</v>
      </c>
      <c r="S179" s="30">
        <f>IFERROR(PROPERTIES[[#This Row],[TE_STARTING_KN]]/(PROPERTIES[[#This Row],[WEIGHT]]*9.81),0)</f>
        <v>0.1833395668786072</v>
      </c>
      <c r="T179" s="30">
        <v>0.16</v>
      </c>
      <c r="U179" s="27">
        <f>ROUND(IF(IFERROR(PROPERTIES[[#This Row],[TE_COEFFICIENT_CALC]],0)=0,PROPERTIES[[#This Row],[TE_COEFFICIENT_MANUAL]],PROPERTIES[[#This Row],[TE_COEFFICIENT_CALC]]),3)</f>
        <v>0.183</v>
      </c>
      <c r="V179" s="6">
        <v>40</v>
      </c>
      <c r="W179" s="10">
        <v>0</v>
      </c>
      <c r="X179" s="10">
        <v>0</v>
      </c>
      <c r="Y179" s="11"/>
      <c r="Z179" t="s">
        <v>910</v>
      </c>
      <c r="AA179" t="s">
        <v>904</v>
      </c>
      <c r="AB179" s="2" t="s">
        <v>922</v>
      </c>
      <c r="AC179" s="10" t="s">
        <v>992</v>
      </c>
      <c r="AD179" s="10" t="s">
        <v>993</v>
      </c>
      <c r="AE179" s="11" t="str">
        <f>SUBSTITUTE(SUBSTITUTE(PROPERTIES[[#This Row],[PURCHASECOST_VALUE]], "PURCHASECOST_", ""), "_VALUE", "")</f>
        <v>DIESELENGINE</v>
      </c>
      <c r="AF179" s="10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204</v>
      </c>
      <c r="B180">
        <v>1949</v>
      </c>
      <c r="C180">
        <v>0</v>
      </c>
      <c r="D180" t="s">
        <v>2019</v>
      </c>
      <c r="E180" t="str">
        <f>_xlfn.XLOOKUP(PROPERTIES[[#This Row],[COUNTRY]],COUNTRIES[COUNTRY_DESCRIPTION],COUNTRIES[COUNTRY_LABEL],"")</f>
        <v>US</v>
      </c>
      <c r="F180" t="s">
        <v>35</v>
      </c>
      <c r="G180" t="s">
        <v>20</v>
      </c>
      <c r="H180">
        <v>0</v>
      </c>
      <c r="I180">
        <v>8</v>
      </c>
      <c r="J180">
        <v>8</v>
      </c>
      <c r="K180" s="2" t="s">
        <v>20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4">
        <v>143</v>
      </c>
      <c r="P180">
        <v>2250</v>
      </c>
      <c r="Q180">
        <v>188</v>
      </c>
      <c r="R180" s="31">
        <v>251</v>
      </c>
      <c r="S180" s="30">
        <f>IFERROR(PROPERTIES[[#This Row],[TE_STARTING_KN]]/(PROPERTIES[[#This Row],[WEIGHT]]*9.81),0)</f>
        <v>0.17892403213504129</v>
      </c>
      <c r="T180" s="30">
        <v>0.13</v>
      </c>
      <c r="U180" s="27">
        <f>ROUND(IF(IFERROR(PROPERTIES[[#This Row],[TE_COEFFICIENT_CALC]],0)=0,PROPERTIES[[#This Row],[TE_COEFFICIENT_MANUAL]],PROPERTIES[[#This Row],[TE_COEFFICIENT_CALC]]),3)</f>
        <v>0.17899999999999999</v>
      </c>
      <c r="V180" s="6">
        <v>40</v>
      </c>
      <c r="W180" s="10">
        <v>0</v>
      </c>
      <c r="X180" s="10">
        <v>0</v>
      </c>
      <c r="Y180" s="11"/>
      <c r="Z180" t="s">
        <v>910</v>
      </c>
      <c r="AA180" t="s">
        <v>904</v>
      </c>
      <c r="AB180" s="2" t="s">
        <v>922</v>
      </c>
      <c r="AC180" s="10" t="s">
        <v>992</v>
      </c>
      <c r="AD180" s="10" t="s">
        <v>993</v>
      </c>
      <c r="AE180" s="11" t="str">
        <f>SUBSTITUTE(SUBSTITUTE(PROPERTIES[[#This Row],[PURCHASECOST_VALUE]], "PURCHASECOST_", ""), "_VALUE", "")</f>
        <v>DIESELENGINE</v>
      </c>
      <c r="AF180" s="10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205</v>
      </c>
      <c r="B181">
        <v>1950</v>
      </c>
      <c r="C181">
        <v>0</v>
      </c>
      <c r="D181" t="s">
        <v>1818</v>
      </c>
      <c r="E181" t="str">
        <f>_xlfn.XLOOKUP(PROPERTIES[[#This Row],[COUNTRY]],COUNTRIES[COUNTRY_DESCRIPTION],COUNTRIES[COUNTRY_LABEL],"")</f>
        <v>BR</v>
      </c>
      <c r="F181" t="s">
        <v>35</v>
      </c>
      <c r="G181" t="s">
        <v>20</v>
      </c>
      <c r="H181">
        <v>0</v>
      </c>
      <c r="I181">
        <v>7</v>
      </c>
      <c r="J181">
        <v>7</v>
      </c>
      <c r="K181" s="2" t="s">
        <v>20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4">
        <v>112</v>
      </c>
      <c r="P181">
        <v>1600</v>
      </c>
      <c r="Q181">
        <v>137</v>
      </c>
      <c r="R181" s="31">
        <v>274.8</v>
      </c>
      <c r="S181" s="30">
        <f>IFERROR(PROPERTIES[[#This Row],[TE_STARTING_KN]]/(PROPERTIES[[#This Row],[WEIGHT]]*9.81),0)</f>
        <v>0.25010921799912628</v>
      </c>
      <c r="T181" s="30">
        <v>0.1</v>
      </c>
      <c r="U181" s="27">
        <f>ROUND(IF(IFERROR(PROPERTIES[[#This Row],[TE_COEFFICIENT_CALC]],0)=0,PROPERTIES[[#This Row],[TE_COEFFICIENT_MANUAL]],PROPERTIES[[#This Row],[TE_COEFFICIENT_CALC]]),3)</f>
        <v>0.25</v>
      </c>
      <c r="V181" s="6">
        <v>40</v>
      </c>
      <c r="W181" s="10">
        <v>0</v>
      </c>
      <c r="X181" s="10">
        <v>0</v>
      </c>
      <c r="Y181" s="11"/>
      <c r="Z181" t="s">
        <v>912</v>
      </c>
      <c r="AA181" t="s">
        <v>904</v>
      </c>
      <c r="AB181" s="2" t="s">
        <v>922</v>
      </c>
      <c r="AC181" s="10" t="s">
        <v>992</v>
      </c>
      <c r="AD181" s="10" t="s">
        <v>993</v>
      </c>
      <c r="AE181" s="11" t="str">
        <f>SUBSTITUTE(SUBSTITUTE(PROPERTIES[[#This Row],[PURCHASECOST_VALUE]], "PURCHASECOST_", ""), "_VALUE", "")</f>
        <v>DIESELENGINE</v>
      </c>
      <c r="AF181" s="10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206</v>
      </c>
      <c r="B182">
        <v>1950</v>
      </c>
      <c r="C182">
        <v>0</v>
      </c>
      <c r="D182" t="s">
        <v>1952</v>
      </c>
      <c r="E182" t="str">
        <f>_xlfn.XLOOKUP(PROPERTIES[[#This Row],[COUNTRY]],COUNTRIES[COUNTRY_DESCRIPTION],COUNTRIES[COUNTRY_LABEL],"")</f>
        <v>NL</v>
      </c>
      <c r="F182" t="s">
        <v>35</v>
      </c>
      <c r="G182" t="s">
        <v>20</v>
      </c>
      <c r="H182">
        <v>0</v>
      </c>
      <c r="I182">
        <v>5</v>
      </c>
      <c r="J182">
        <v>5</v>
      </c>
      <c r="K182" s="2" t="s">
        <v>20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4">
        <v>47</v>
      </c>
      <c r="P182">
        <v>400</v>
      </c>
      <c r="Q182">
        <v>30</v>
      </c>
      <c r="R182" s="31">
        <v>143</v>
      </c>
      <c r="S182" s="30">
        <f>IFERROR(PROPERTIES[[#This Row],[TE_STARTING_KN]]/(PROPERTIES[[#This Row],[WEIGHT]]*9.81),0)</f>
        <v>0.31014813368902766</v>
      </c>
      <c r="T182" s="30">
        <v>0.3</v>
      </c>
      <c r="U182" s="27">
        <f>ROUND(IF(IFERROR(PROPERTIES[[#This Row],[TE_COEFFICIENT_CALC]],0)=0,PROPERTIES[[#This Row],[TE_COEFFICIENT_MANUAL]],PROPERTIES[[#This Row],[TE_COEFFICIENT_CALC]]),3)</f>
        <v>0.31</v>
      </c>
      <c r="V182" s="6">
        <v>40</v>
      </c>
      <c r="W182" s="10">
        <v>0</v>
      </c>
      <c r="X182" s="10">
        <v>0</v>
      </c>
      <c r="Y182" s="11"/>
      <c r="Z182" t="s">
        <v>905</v>
      </c>
      <c r="AA182" t="s">
        <v>904</v>
      </c>
      <c r="AB182" s="2" t="s">
        <v>922</v>
      </c>
      <c r="AC182" s="10" t="s">
        <v>992</v>
      </c>
      <c r="AD182" s="10" t="s">
        <v>993</v>
      </c>
      <c r="AE182" s="11" t="str">
        <f>SUBSTITUTE(SUBSTITUTE(PROPERTIES[[#This Row],[PURCHASECOST_VALUE]], "PURCHASECOST_", ""), "_VALUE", "")</f>
        <v>DIESELENGINE</v>
      </c>
      <c r="AF182" s="10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82" s="2" t="b">
        <v>0</v>
      </c>
      <c r="AY182"/>
      <c r="AZ182"/>
      <c r="BA182"/>
    </row>
    <row r="183" spans="1:53">
      <c r="A183" s="2" t="s">
        <v>207</v>
      </c>
      <c r="B183">
        <v>1950</v>
      </c>
      <c r="C183">
        <v>0</v>
      </c>
      <c r="D183" t="s">
        <v>2019</v>
      </c>
      <c r="E183" t="str">
        <f>_xlfn.XLOOKUP(PROPERTIES[[#This Row],[COUNTRY]],COUNTRIES[COUNTRY_DESCRIPTION],COUNTRIES[COUNTRY_LABEL],"")</f>
        <v>US</v>
      </c>
      <c r="F183" t="s">
        <v>35</v>
      </c>
      <c r="G183" t="s">
        <v>20</v>
      </c>
      <c r="H183">
        <v>0</v>
      </c>
      <c r="I183">
        <v>7</v>
      </c>
      <c r="J183">
        <v>7</v>
      </c>
      <c r="K183" s="2" t="s">
        <v>20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4">
        <v>121</v>
      </c>
      <c r="P183">
        <v>1600</v>
      </c>
      <c r="Q183">
        <v>110</v>
      </c>
      <c r="R183" s="31">
        <v>216.18</v>
      </c>
      <c r="S183" s="30">
        <f>IFERROR(PROPERTIES[[#This Row],[TE_STARTING_KN]]/(PROPERTIES[[#This Row],[WEIGHT]]*9.81),0)</f>
        <v>0.18212146485707786</v>
      </c>
      <c r="T183" s="30">
        <v>0.16</v>
      </c>
      <c r="U183" s="27">
        <f>ROUND(IF(IFERROR(PROPERTIES[[#This Row],[TE_COEFFICIENT_CALC]],0)=0,PROPERTIES[[#This Row],[TE_COEFFICIENT_MANUAL]],PROPERTIES[[#This Row],[TE_COEFFICIENT_CALC]]),3)</f>
        <v>0.182</v>
      </c>
      <c r="V183" s="6">
        <v>40</v>
      </c>
      <c r="W183" s="10">
        <v>0</v>
      </c>
      <c r="X183" s="10">
        <v>0</v>
      </c>
      <c r="Y183" s="11"/>
      <c r="Z183" t="s">
        <v>910</v>
      </c>
      <c r="AA183" t="s">
        <v>904</v>
      </c>
      <c r="AB183" s="2" t="s">
        <v>922</v>
      </c>
      <c r="AC183" s="10" t="s">
        <v>992</v>
      </c>
      <c r="AD183" s="10" t="s">
        <v>993</v>
      </c>
      <c r="AE183" s="11" t="str">
        <f>SUBSTITUTE(SUBSTITUTE(PROPERTIES[[#This Row],[PURCHASECOST_VALUE]], "PURCHASECOST_", ""), "_VALUE", "")</f>
        <v>DIESELENGINE</v>
      </c>
      <c r="AF183" s="10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208</v>
      </c>
      <c r="B184">
        <v>1952</v>
      </c>
      <c r="C184">
        <v>0</v>
      </c>
      <c r="D184" t="s">
        <v>2020</v>
      </c>
      <c r="E184" t="str">
        <f>_xlfn.XLOOKUP(PROPERTIES[[#This Row],[COUNTRY]],COUNTRIES[COUNTRY_DESCRIPTION],COUNTRIES[COUNTRY_LABEL],"")</f>
        <v>UY</v>
      </c>
      <c r="F184" t="s">
        <v>35</v>
      </c>
      <c r="G184" t="s">
        <v>20</v>
      </c>
      <c r="H184">
        <v>0</v>
      </c>
      <c r="I184">
        <v>8</v>
      </c>
      <c r="J184">
        <v>8</v>
      </c>
      <c r="K184" s="2" t="s">
        <v>20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4">
        <v>112</v>
      </c>
      <c r="P184">
        <v>1500</v>
      </c>
      <c r="Q184">
        <v>110</v>
      </c>
      <c r="R184" s="31">
        <v>255</v>
      </c>
      <c r="S184" s="30">
        <f>IFERROR(PROPERTIES[[#This Row],[TE_STARTING_KN]]/(PROPERTIES[[#This Row],[WEIGHT]]*9.81),0)</f>
        <v>0.23208824814329401</v>
      </c>
      <c r="T184" s="30">
        <v>0.18</v>
      </c>
      <c r="U184" s="27">
        <f>ROUND(IF(IFERROR(PROPERTIES[[#This Row],[TE_COEFFICIENT_CALC]],0)=0,PROPERTIES[[#This Row],[TE_COEFFICIENT_MANUAL]],PROPERTIES[[#This Row],[TE_COEFFICIENT_CALC]]),3)</f>
        <v>0.23200000000000001</v>
      </c>
      <c r="V184" s="6">
        <v>40</v>
      </c>
      <c r="W184" s="10">
        <v>0</v>
      </c>
      <c r="X184" s="10">
        <v>0</v>
      </c>
      <c r="Y184" s="11"/>
      <c r="Z184" t="s">
        <v>912</v>
      </c>
      <c r="AA184" t="s">
        <v>904</v>
      </c>
      <c r="AB184" s="2" t="s">
        <v>922</v>
      </c>
      <c r="AC184" s="10" t="s">
        <v>992</v>
      </c>
      <c r="AD184" s="10" t="s">
        <v>993</v>
      </c>
      <c r="AE184" s="11" t="str">
        <f>SUBSTITUTE(SUBSTITUTE(PROPERTIES[[#This Row],[PURCHASECOST_VALUE]], "PURCHASECOST_", ""), "_VALUE", "")</f>
        <v>DIESELENGINE</v>
      </c>
      <c r="AF184" s="10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209</v>
      </c>
      <c r="B185">
        <v>1953</v>
      </c>
      <c r="C185">
        <v>0</v>
      </c>
      <c r="D185" t="s">
        <v>1825</v>
      </c>
      <c r="E185" t="str">
        <f>_xlfn.XLOOKUP(PROPERTIES[[#This Row],[COUNTRY]],COUNTRIES[COUNTRY_DESCRIPTION],COUNTRIES[COUNTRY_LABEL],"")</f>
        <v>CA</v>
      </c>
      <c r="F185" t="s">
        <v>35</v>
      </c>
      <c r="G185" t="s">
        <v>20</v>
      </c>
      <c r="H185">
        <v>0</v>
      </c>
      <c r="I185">
        <v>8</v>
      </c>
      <c r="J185">
        <v>8</v>
      </c>
      <c r="K185" s="2" t="s">
        <v>20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4">
        <v>170</v>
      </c>
      <c r="P185">
        <v>2400</v>
      </c>
      <c r="Q185">
        <v>105</v>
      </c>
      <c r="R185" s="31">
        <v>498.2</v>
      </c>
      <c r="S185" s="30">
        <f>IFERROR(PROPERTIES[[#This Row],[TE_STARTING_KN]]/(PROPERTIES[[#This Row],[WEIGHT]]*9.81),0)</f>
        <v>0.29873478443365115</v>
      </c>
      <c r="T185" s="30">
        <v>0.28999999999999998</v>
      </c>
      <c r="U185" s="27">
        <f>ROUND(IF(IFERROR(PROPERTIES[[#This Row],[TE_COEFFICIENT_CALC]],0)=0,PROPERTIES[[#This Row],[TE_COEFFICIENT_MANUAL]],PROPERTIES[[#This Row],[TE_COEFFICIENT_CALC]]),3)</f>
        <v>0.29899999999999999</v>
      </c>
      <c r="V185" s="6">
        <v>40</v>
      </c>
      <c r="W185" s="10">
        <v>0</v>
      </c>
      <c r="X185" s="10">
        <v>0</v>
      </c>
      <c r="Y185" s="11"/>
      <c r="Z185" t="s">
        <v>910</v>
      </c>
      <c r="AA185" t="s">
        <v>904</v>
      </c>
      <c r="AB185" s="2" t="s">
        <v>922</v>
      </c>
      <c r="AC185" s="10" t="s">
        <v>992</v>
      </c>
      <c r="AD185" s="10" t="s">
        <v>993</v>
      </c>
      <c r="AE185" s="11" t="str">
        <f>SUBSTITUTE(SUBSTITUTE(PROPERTIES[[#This Row],[PURCHASECOST_VALUE]], "PURCHASECOST_", ""), "_VALUE", "")</f>
        <v>DIESELENGINE</v>
      </c>
      <c r="AF185" s="10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210</v>
      </c>
      <c r="B186">
        <v>1953</v>
      </c>
      <c r="C186">
        <v>0</v>
      </c>
      <c r="D186" t="s">
        <v>1917</v>
      </c>
      <c r="E186" t="str">
        <f>_xlfn.XLOOKUP(PROPERTIES[[#This Row],[COUNTRY]],COUNTRIES[COUNTRY_DESCRIPTION],COUNTRIES[COUNTRY_LABEL],"")</f>
        <v>LR</v>
      </c>
      <c r="F186" t="s">
        <v>35</v>
      </c>
      <c r="G186" t="s">
        <v>20</v>
      </c>
      <c r="H186">
        <v>0</v>
      </c>
      <c r="I186">
        <v>5</v>
      </c>
      <c r="J186">
        <v>5</v>
      </c>
      <c r="K186" s="2" t="s">
        <v>20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4">
        <v>50</v>
      </c>
      <c r="P186">
        <v>350</v>
      </c>
      <c r="Q186">
        <v>24</v>
      </c>
      <c r="R186" s="31">
        <v>160</v>
      </c>
      <c r="S186" s="30">
        <f>IFERROR(PROPERTIES[[#This Row],[TE_STARTING_KN]]/(PROPERTIES[[#This Row],[WEIGHT]]*9.81),0)</f>
        <v>0.32619775739041795</v>
      </c>
      <c r="T186" s="30">
        <v>0.32</v>
      </c>
      <c r="U186" s="27">
        <f>ROUND(IF(IFERROR(PROPERTIES[[#This Row],[TE_COEFFICIENT_CALC]],0)=0,PROPERTIES[[#This Row],[TE_COEFFICIENT_MANUAL]],PROPERTIES[[#This Row],[TE_COEFFICIENT_CALC]]),3)</f>
        <v>0.32600000000000001</v>
      </c>
      <c r="V186" s="6">
        <v>40</v>
      </c>
      <c r="W186" s="10">
        <v>0</v>
      </c>
      <c r="X186" s="10">
        <v>0</v>
      </c>
      <c r="Y186" s="11"/>
      <c r="Z186" t="s">
        <v>908</v>
      </c>
      <c r="AA186" t="s">
        <v>904</v>
      </c>
      <c r="AB186" s="2" t="s">
        <v>922</v>
      </c>
      <c r="AC186" s="10" t="s">
        <v>992</v>
      </c>
      <c r="AD186" s="10" t="s">
        <v>993</v>
      </c>
      <c r="AE186" s="11" t="str">
        <f>SUBSTITUTE(SUBSTITUTE(PROPERTIES[[#This Row],[PURCHASECOST_VALUE]], "PURCHASECOST_", ""), "_VALUE", "")</f>
        <v>DIESELENGINE</v>
      </c>
      <c r="AF186" s="10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86" s="2" t="b">
        <v>0</v>
      </c>
      <c r="AY186"/>
      <c r="AZ186"/>
      <c r="BA186"/>
    </row>
    <row r="187" spans="1:53">
      <c r="A187" s="2" t="s">
        <v>211</v>
      </c>
      <c r="B187">
        <v>1954</v>
      </c>
      <c r="C187">
        <v>0</v>
      </c>
      <c r="D187" t="s">
        <v>1799</v>
      </c>
      <c r="E187" t="str">
        <f>_xlfn.XLOOKUP(PROPERTIES[[#This Row],[COUNTRY]],COUNTRIES[COUNTRY_DESCRIPTION],COUNTRIES[COUNTRY_LABEL],"")</f>
        <v>AT</v>
      </c>
      <c r="F187" t="s">
        <v>35</v>
      </c>
      <c r="G187" t="s">
        <v>20</v>
      </c>
      <c r="H187">
        <v>0</v>
      </c>
      <c r="I187">
        <v>5</v>
      </c>
      <c r="J187">
        <v>5</v>
      </c>
      <c r="K187" s="2" t="s">
        <v>20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4">
        <v>28</v>
      </c>
      <c r="P187">
        <v>200</v>
      </c>
      <c r="Q187">
        <v>60</v>
      </c>
      <c r="R187" s="31">
        <v>79</v>
      </c>
      <c r="S187" s="30">
        <f>IFERROR(PROPERTIES[[#This Row],[TE_STARTING_KN]]/(PROPERTIES[[#This Row],[WEIGHT]]*9.81),0)</f>
        <v>0.28760739769914079</v>
      </c>
      <c r="T187" s="30">
        <v>0.28000000000000003</v>
      </c>
      <c r="U187" s="27">
        <f>ROUND(IF(IFERROR(PROPERTIES[[#This Row],[TE_COEFFICIENT_CALC]],0)=0,PROPERTIES[[#This Row],[TE_COEFFICIENT_MANUAL]],PROPERTIES[[#This Row],[TE_COEFFICIENT_CALC]]),3)</f>
        <v>0.28799999999999998</v>
      </c>
      <c r="V187" s="6">
        <v>40</v>
      </c>
      <c r="W187" s="10">
        <v>0</v>
      </c>
      <c r="X187" s="10">
        <v>0</v>
      </c>
      <c r="Y187" s="11"/>
      <c r="Z187" t="s">
        <v>905</v>
      </c>
      <c r="AA187" t="s">
        <v>904</v>
      </c>
      <c r="AB187" s="2" t="s">
        <v>922</v>
      </c>
      <c r="AC187" s="10" t="s">
        <v>992</v>
      </c>
      <c r="AD187" s="10" t="s">
        <v>993</v>
      </c>
      <c r="AE187" s="11" t="str">
        <f>SUBSTITUTE(SUBSTITUTE(PROPERTIES[[#This Row],[PURCHASECOST_VALUE]], "PURCHASECOST_", ""), "_VALUE", "")</f>
        <v>DIESELENGINE</v>
      </c>
      <c r="AF187" s="10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87" s="2" t="b">
        <v>0</v>
      </c>
      <c r="AY187"/>
      <c r="AZ187"/>
      <c r="BA187"/>
    </row>
    <row r="188" spans="1:53">
      <c r="A188" s="2" t="s">
        <v>212</v>
      </c>
      <c r="B188">
        <v>1954</v>
      </c>
      <c r="C188">
        <v>0</v>
      </c>
      <c r="D188" t="s">
        <v>1825</v>
      </c>
      <c r="E188" t="str">
        <f>_xlfn.XLOOKUP(PROPERTIES[[#This Row],[COUNTRY]],COUNTRIES[COUNTRY_DESCRIPTION],COUNTRIES[COUNTRY_LABEL],"")</f>
        <v>CA</v>
      </c>
      <c r="F188" t="s">
        <v>35</v>
      </c>
      <c r="G188" t="s">
        <v>20</v>
      </c>
      <c r="H188">
        <v>0</v>
      </c>
      <c r="I188">
        <v>6</v>
      </c>
      <c r="J188">
        <v>6</v>
      </c>
      <c r="K188" s="2" t="s">
        <v>20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4">
        <v>111</v>
      </c>
      <c r="P188">
        <v>1200</v>
      </c>
      <c r="Q188">
        <v>104</v>
      </c>
      <c r="R188" s="31">
        <v>0</v>
      </c>
      <c r="S188" s="30">
        <f>IFERROR(PROPERTIES[[#This Row],[TE_STARTING_KN]]/(PROPERTIES[[#This Row],[WEIGHT]]*9.81),0)</f>
        <v>0</v>
      </c>
      <c r="T188" s="30">
        <v>0.14000000000000001</v>
      </c>
      <c r="U188" s="27">
        <f>ROUND(IF(IFERROR(PROPERTIES[[#This Row],[TE_COEFFICIENT_CALC]],0)=0,PROPERTIES[[#This Row],[TE_COEFFICIENT_MANUAL]],PROPERTIES[[#This Row],[TE_COEFFICIENT_CALC]]),3)</f>
        <v>0.14000000000000001</v>
      </c>
      <c r="V188" s="6">
        <v>40</v>
      </c>
      <c r="W188" s="10">
        <v>0</v>
      </c>
      <c r="X188" s="10">
        <v>0</v>
      </c>
      <c r="Y188" s="11"/>
      <c r="Z188" t="s">
        <v>910</v>
      </c>
      <c r="AA188" t="s">
        <v>904</v>
      </c>
      <c r="AB188" s="2" t="s">
        <v>922</v>
      </c>
      <c r="AC188" s="10" t="s">
        <v>992</v>
      </c>
      <c r="AD188" s="10" t="s">
        <v>993</v>
      </c>
      <c r="AE188" s="11" t="str">
        <f>SUBSTITUTE(SUBSTITUTE(PROPERTIES[[#This Row],[PURCHASECOST_VALUE]], "PURCHASECOST_", ""), "_VALUE", "")</f>
        <v>DIESELENGINE</v>
      </c>
      <c r="AF188" s="10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213</v>
      </c>
      <c r="B189">
        <v>1954</v>
      </c>
      <c r="C189">
        <v>0</v>
      </c>
      <c r="D189" t="s">
        <v>1825</v>
      </c>
      <c r="E189" t="str">
        <f>_xlfn.XLOOKUP(PROPERTIES[[#This Row],[COUNTRY]],COUNTRIES[COUNTRY_DESCRIPTION],COUNTRIES[COUNTRY_LABEL],"")</f>
        <v>CA</v>
      </c>
      <c r="F189" t="s">
        <v>35</v>
      </c>
      <c r="G189" t="s">
        <v>20</v>
      </c>
      <c r="H189">
        <v>0</v>
      </c>
      <c r="I189">
        <v>8</v>
      </c>
      <c r="J189">
        <v>8</v>
      </c>
      <c r="K189" s="2" t="s">
        <v>20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4">
        <v>104</v>
      </c>
      <c r="P189">
        <v>1800</v>
      </c>
      <c r="Q189">
        <v>144</v>
      </c>
      <c r="R189" s="31">
        <v>0</v>
      </c>
      <c r="S189" s="30">
        <f>IFERROR(PROPERTIES[[#This Row],[TE_STARTING_KN]]/(PROPERTIES[[#This Row],[WEIGHT]]*9.81),0)</f>
        <v>0</v>
      </c>
      <c r="T189" s="30">
        <v>0.19</v>
      </c>
      <c r="U189" s="27">
        <f>ROUND(IF(IFERROR(PROPERTIES[[#This Row],[TE_COEFFICIENT_CALC]],0)=0,PROPERTIES[[#This Row],[TE_COEFFICIENT_MANUAL]],PROPERTIES[[#This Row],[TE_COEFFICIENT_CALC]]),3)</f>
        <v>0.19</v>
      </c>
      <c r="V189" s="6">
        <v>40</v>
      </c>
      <c r="W189" s="10">
        <v>0</v>
      </c>
      <c r="X189" s="10">
        <v>0</v>
      </c>
      <c r="Y189" s="11">
        <v>55</v>
      </c>
      <c r="Z189" t="s">
        <v>910</v>
      </c>
      <c r="AA189" t="s">
        <v>904</v>
      </c>
      <c r="AB189" s="2" t="s">
        <v>922</v>
      </c>
      <c r="AC189" s="10" t="s">
        <v>992</v>
      </c>
      <c r="AD189" s="10" t="s">
        <v>993</v>
      </c>
      <c r="AE189" s="11" t="str">
        <f>SUBSTITUTE(SUBSTITUTE(PROPERTIES[[#This Row],[PURCHASECOST_VALUE]], "PURCHASECOST_", ""), "_VALUE", "")</f>
        <v>DIESELENGINE</v>
      </c>
      <c r="AF189" s="10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214</v>
      </c>
      <c r="B190">
        <v>1954</v>
      </c>
      <c r="C190">
        <v>0</v>
      </c>
      <c r="D190" t="s">
        <v>1886</v>
      </c>
      <c r="E190" t="str">
        <f>_xlfn.XLOOKUP(PROPERTIES[[#This Row],[COUNTRY]],COUNTRIES[COUNTRY_DESCRIPTION],COUNTRIES[COUNTRY_LABEL],"")</f>
        <v>HU</v>
      </c>
      <c r="F190" t="s">
        <v>35</v>
      </c>
      <c r="G190" t="s">
        <v>20</v>
      </c>
      <c r="H190">
        <v>0</v>
      </c>
      <c r="I190">
        <v>6</v>
      </c>
      <c r="J190">
        <v>6</v>
      </c>
      <c r="K190" s="2" t="s">
        <v>20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4">
        <v>62</v>
      </c>
      <c r="P190">
        <v>590</v>
      </c>
      <c r="Q190">
        <v>80</v>
      </c>
      <c r="R190" s="31">
        <v>166.5</v>
      </c>
      <c r="S190" s="30">
        <f>IFERROR(PROPERTIES[[#This Row],[TE_STARTING_KN]]/(PROPERTIES[[#This Row],[WEIGHT]]*9.81),0)</f>
        <v>0.27374963006806746</v>
      </c>
      <c r="T190" s="30">
        <v>0.3</v>
      </c>
      <c r="U190" s="27">
        <f>ROUND(IF(IFERROR(PROPERTIES[[#This Row],[TE_COEFFICIENT_CALC]],0)=0,PROPERTIES[[#This Row],[TE_COEFFICIENT_MANUAL]],PROPERTIES[[#This Row],[TE_COEFFICIENT_CALC]]),3)</f>
        <v>0.27400000000000002</v>
      </c>
      <c r="V190" s="6">
        <v>40</v>
      </c>
      <c r="W190" s="10">
        <v>0</v>
      </c>
      <c r="X190" s="10">
        <v>0</v>
      </c>
      <c r="Y190" s="11"/>
      <c r="Z190" t="s">
        <v>911</v>
      </c>
      <c r="AA190" t="s">
        <v>904</v>
      </c>
      <c r="AB190" s="2" t="s">
        <v>922</v>
      </c>
      <c r="AC190" s="10" t="s">
        <v>992</v>
      </c>
      <c r="AD190" s="10" t="s">
        <v>993</v>
      </c>
      <c r="AE190" s="11" t="str">
        <f>SUBSTITUTE(SUBSTITUTE(PROPERTIES[[#This Row],[PURCHASECOST_VALUE]], "PURCHASECOST_", ""), "_VALUE", "")</f>
        <v>DIESELENGINE</v>
      </c>
      <c r="AF190" s="10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215</v>
      </c>
      <c r="B191">
        <v>1955</v>
      </c>
      <c r="C191">
        <v>0</v>
      </c>
      <c r="D191" t="s">
        <v>1886</v>
      </c>
      <c r="E191" t="str">
        <f>_xlfn.XLOOKUP(PROPERTIES[[#This Row],[COUNTRY]],COUNTRIES[COUNTRY_DESCRIPTION],COUNTRIES[COUNTRY_LABEL],"")</f>
        <v>HU</v>
      </c>
      <c r="F191" t="s">
        <v>35</v>
      </c>
      <c r="G191" t="s">
        <v>20</v>
      </c>
      <c r="H191">
        <v>0</v>
      </c>
      <c r="I191">
        <v>4</v>
      </c>
      <c r="J191">
        <v>4</v>
      </c>
      <c r="K191" s="2" t="s">
        <v>20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4">
        <v>19</v>
      </c>
      <c r="P191">
        <v>135</v>
      </c>
      <c r="Q191">
        <v>50</v>
      </c>
      <c r="R191" s="31">
        <v>0</v>
      </c>
      <c r="S191" s="30">
        <f>IFERROR(PROPERTIES[[#This Row],[TE_STARTING_KN]]/(PROPERTIES[[#This Row],[WEIGHT]]*9.81),0)</f>
        <v>0</v>
      </c>
      <c r="T191" s="30">
        <v>0.32</v>
      </c>
      <c r="U191" s="27">
        <f>ROUND(IF(IFERROR(PROPERTIES[[#This Row],[TE_COEFFICIENT_CALC]],0)=0,PROPERTIES[[#This Row],[TE_COEFFICIENT_MANUAL]],PROPERTIES[[#This Row],[TE_COEFFICIENT_CALC]]),3)</f>
        <v>0.32</v>
      </c>
      <c r="V191" s="6">
        <v>40</v>
      </c>
      <c r="W191" s="10">
        <v>0</v>
      </c>
      <c r="X191" s="10">
        <v>0</v>
      </c>
      <c r="Y191" s="11"/>
      <c r="Z191" t="s">
        <v>911</v>
      </c>
      <c r="AA191" t="s">
        <v>904</v>
      </c>
      <c r="AB191" s="2" t="s">
        <v>922</v>
      </c>
      <c r="AC191" s="10" t="s">
        <v>992</v>
      </c>
      <c r="AD191" s="10" t="s">
        <v>993</v>
      </c>
      <c r="AE191" s="11" t="str">
        <f>SUBSTITUTE(SUBSTITUTE(PROPERTIES[[#This Row],[PURCHASECOST_VALUE]], "PURCHASECOST_", ""), "_VALUE", "")</f>
        <v>DIESELENGINE</v>
      </c>
      <c r="AF191" s="10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91" s="2" t="b">
        <v>0</v>
      </c>
      <c r="AY191"/>
      <c r="AZ191"/>
      <c r="BA191"/>
    </row>
    <row r="192" spans="1:53">
      <c r="A192" s="2" t="s">
        <v>216</v>
      </c>
      <c r="B192">
        <v>1956</v>
      </c>
      <c r="C192">
        <v>0</v>
      </c>
      <c r="D192" t="s">
        <v>1807</v>
      </c>
      <c r="E192" t="str">
        <f>_xlfn.XLOOKUP(PROPERTIES[[#This Row],[COUNTRY]],COUNTRIES[COUNTRY_DESCRIPTION],COUNTRIES[COUNTRY_LABEL],"")</f>
        <v>BE</v>
      </c>
      <c r="F192" t="s">
        <v>35</v>
      </c>
      <c r="G192" t="s">
        <v>20</v>
      </c>
      <c r="H192">
        <v>0</v>
      </c>
      <c r="I192">
        <v>5</v>
      </c>
      <c r="J192">
        <v>5</v>
      </c>
      <c r="K192" s="2" t="s">
        <v>20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4">
        <v>57</v>
      </c>
      <c r="P192">
        <v>440</v>
      </c>
      <c r="Q192">
        <v>50</v>
      </c>
      <c r="R192" s="31">
        <v>196</v>
      </c>
      <c r="S192" s="30">
        <f>IFERROR(PROPERTIES[[#This Row],[TE_STARTING_KN]]/(PROPERTIES[[#This Row],[WEIGHT]]*9.81),0)</f>
        <v>0.35051952000286135</v>
      </c>
      <c r="T192" s="30">
        <v>0.39</v>
      </c>
      <c r="U192" s="27">
        <f>ROUND(IF(IFERROR(PROPERTIES[[#This Row],[TE_COEFFICIENT_CALC]],0)=0,PROPERTIES[[#This Row],[TE_COEFFICIENT_MANUAL]],PROPERTIES[[#This Row],[TE_COEFFICIENT_CALC]]),3)</f>
        <v>0.35099999999999998</v>
      </c>
      <c r="V192" s="6">
        <v>40</v>
      </c>
      <c r="W192" s="10">
        <v>0</v>
      </c>
      <c r="X192" s="10">
        <v>0</v>
      </c>
      <c r="Y192" s="11"/>
      <c r="Z192" t="s">
        <v>905</v>
      </c>
      <c r="AA192" t="s">
        <v>904</v>
      </c>
      <c r="AB192" s="2" t="s">
        <v>922</v>
      </c>
      <c r="AC192" s="10" t="s">
        <v>992</v>
      </c>
      <c r="AD192" s="10" t="s">
        <v>993</v>
      </c>
      <c r="AE192" s="11" t="str">
        <f>SUBSTITUTE(SUBSTITUTE(PROPERTIES[[#This Row],[PURCHASECOST_VALUE]], "PURCHASECOST_", ""), "_VALUE", "")</f>
        <v>DIESELENGINE</v>
      </c>
      <c r="AF192" s="10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192" s="2" t="b">
        <v>0</v>
      </c>
      <c r="AY192"/>
      <c r="AZ192"/>
      <c r="BA192"/>
    </row>
    <row r="193" spans="1:53">
      <c r="A193" s="2" t="s">
        <v>217</v>
      </c>
      <c r="B193">
        <v>1956</v>
      </c>
      <c r="C193">
        <v>0</v>
      </c>
      <c r="D193" t="s">
        <v>2036</v>
      </c>
      <c r="E193" t="str">
        <f>_xlfn.XLOOKUP(PROPERTIES[[#This Row],[COUNTRY]],COUNTRIES[COUNTRY_DESCRIPTION],COUNTRIES[COUNTRY_LABEL],"")</f>
        <v>GDR</v>
      </c>
      <c r="F193" t="s">
        <v>35</v>
      </c>
      <c r="G193" t="s">
        <v>20</v>
      </c>
      <c r="H193">
        <v>0</v>
      </c>
      <c r="I193">
        <v>8</v>
      </c>
      <c r="J193">
        <v>8</v>
      </c>
      <c r="K193" s="2" t="s">
        <v>20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4">
        <v>81</v>
      </c>
      <c r="P193">
        <v>2169</v>
      </c>
      <c r="Q193">
        <v>140</v>
      </c>
      <c r="R193" s="31">
        <v>234</v>
      </c>
      <c r="S193" s="30">
        <f>IFERROR(PROPERTIES[[#This Row],[TE_STARTING_KN]]/(PROPERTIES[[#This Row],[WEIGHT]]*9.81),0)</f>
        <v>0.29448408653301616</v>
      </c>
      <c r="T193" s="30">
        <v>0.28999999999999998</v>
      </c>
      <c r="U193" s="27">
        <f>ROUND(IF(IFERROR(PROPERTIES[[#This Row],[TE_COEFFICIENT_CALC]],0)=0,PROPERTIES[[#This Row],[TE_COEFFICIENT_MANUAL]],PROPERTIES[[#This Row],[TE_COEFFICIENT_CALC]]),3)</f>
        <v>0.29399999999999998</v>
      </c>
      <c r="V193" s="6">
        <v>40</v>
      </c>
      <c r="W193" s="10">
        <v>0</v>
      </c>
      <c r="X193" s="10">
        <v>0</v>
      </c>
      <c r="Y193" s="11"/>
      <c r="Z193" t="s">
        <v>905</v>
      </c>
      <c r="AA193" t="s">
        <v>904</v>
      </c>
      <c r="AB193" s="2" t="s">
        <v>922</v>
      </c>
      <c r="AC193" s="10" t="s">
        <v>992</v>
      </c>
      <c r="AD193" s="10" t="s">
        <v>993</v>
      </c>
      <c r="AE193" s="11" t="str">
        <f>SUBSTITUTE(SUBSTITUTE(PROPERTIES[[#This Row],[PURCHASECOST_VALUE]], "PURCHASECOST_", ""), "_VALUE", "")</f>
        <v>DIESELENGINE</v>
      </c>
      <c r="AF193" s="10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218</v>
      </c>
      <c r="B194">
        <v>1956</v>
      </c>
      <c r="C194">
        <v>0</v>
      </c>
      <c r="D194" t="s">
        <v>2019</v>
      </c>
      <c r="E194" t="str">
        <f>_xlfn.XLOOKUP(PROPERTIES[[#This Row],[COUNTRY]],COUNTRIES[COUNTRY_DESCRIPTION],COUNTRIES[COUNTRY_LABEL],"")</f>
        <v>US</v>
      </c>
      <c r="F194" t="s">
        <v>35</v>
      </c>
      <c r="G194" t="s">
        <v>20</v>
      </c>
      <c r="H194">
        <v>0</v>
      </c>
      <c r="I194">
        <v>8</v>
      </c>
      <c r="J194">
        <v>8</v>
      </c>
      <c r="K194" s="2" t="s">
        <v>20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4">
        <v>130</v>
      </c>
      <c r="P194">
        <v>1750</v>
      </c>
      <c r="Q194">
        <v>144</v>
      </c>
      <c r="R194" s="31">
        <v>253.28</v>
      </c>
      <c r="S194" s="30">
        <f>IFERROR(PROPERTIES[[#This Row],[TE_STARTING_KN]]/(PROPERTIES[[#This Row],[WEIGHT]]*9.81),0)</f>
        <v>0.19860424998039677</v>
      </c>
      <c r="T194" s="30">
        <v>0.2</v>
      </c>
      <c r="U194" s="27">
        <f>ROUND(IF(IFERROR(PROPERTIES[[#This Row],[TE_COEFFICIENT_CALC]],0)=0,PROPERTIES[[#This Row],[TE_COEFFICIENT_MANUAL]],PROPERTIES[[#This Row],[TE_COEFFICIENT_CALC]]),3)</f>
        <v>0.19900000000000001</v>
      </c>
      <c r="V194" s="6">
        <v>40</v>
      </c>
      <c r="W194" s="10">
        <v>0</v>
      </c>
      <c r="X194" s="10">
        <v>0</v>
      </c>
      <c r="Y194" s="11"/>
      <c r="Z194" t="s">
        <v>910</v>
      </c>
      <c r="AA194" t="s">
        <v>904</v>
      </c>
      <c r="AB194" s="2" t="s">
        <v>922</v>
      </c>
      <c r="AC194" s="10" t="s">
        <v>992</v>
      </c>
      <c r="AD194" s="10" t="s">
        <v>993</v>
      </c>
      <c r="AE194" s="11" t="str">
        <f>SUBSTITUTE(SUBSTITUTE(PROPERTIES[[#This Row],[PURCHASECOST_VALUE]], "PURCHASECOST_", ""), "_VALUE", "")</f>
        <v>DIESELENGINE</v>
      </c>
      <c r="AF194" s="10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219</v>
      </c>
      <c r="B195">
        <v>1958</v>
      </c>
      <c r="C195">
        <v>0</v>
      </c>
      <c r="D195" t="s">
        <v>1843</v>
      </c>
      <c r="E195" t="str">
        <f>_xlfn.XLOOKUP(PROPERTIES[[#This Row],[COUNTRY]],COUNTRIES[COUNTRY_DESCRIPTION],COUNTRIES[COUNTRY_LABEL],"")</f>
        <v>CZ</v>
      </c>
      <c r="F195" t="s">
        <v>35</v>
      </c>
      <c r="G195" t="s">
        <v>20</v>
      </c>
      <c r="H195">
        <v>0</v>
      </c>
      <c r="I195">
        <v>6</v>
      </c>
      <c r="J195">
        <v>6</v>
      </c>
      <c r="K195" s="2" t="s">
        <v>20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4">
        <v>61</v>
      </c>
      <c r="P195">
        <v>740</v>
      </c>
      <c r="Q195">
        <v>80</v>
      </c>
      <c r="R195" s="31">
        <v>160</v>
      </c>
      <c r="S195" s="30">
        <f>IFERROR(PROPERTIES[[#This Row],[TE_STARTING_KN]]/(PROPERTIES[[#This Row],[WEIGHT]]*9.81),0)</f>
        <v>0.2673752109757524</v>
      </c>
      <c r="T195" s="30">
        <v>0.28000000000000003</v>
      </c>
      <c r="U195" s="27">
        <f>ROUND(IF(IFERROR(PROPERTIES[[#This Row],[TE_COEFFICIENT_CALC]],0)=0,PROPERTIES[[#This Row],[TE_COEFFICIENT_MANUAL]],PROPERTIES[[#This Row],[TE_COEFFICIENT_CALC]]),3)</f>
        <v>0.26700000000000002</v>
      </c>
      <c r="V195" s="6">
        <v>40</v>
      </c>
      <c r="W195" s="10">
        <v>0</v>
      </c>
      <c r="X195" s="10">
        <v>0</v>
      </c>
      <c r="Y195" s="11"/>
      <c r="Z195" t="s">
        <v>911</v>
      </c>
      <c r="AA195" t="s">
        <v>904</v>
      </c>
      <c r="AB195" s="2" t="s">
        <v>922</v>
      </c>
      <c r="AC195" s="10" t="s">
        <v>992</v>
      </c>
      <c r="AD195" s="10" t="s">
        <v>993</v>
      </c>
      <c r="AE195" s="11" t="str">
        <f>SUBSTITUTE(SUBSTITUTE(PROPERTIES[[#This Row],[PURCHASECOST_VALUE]], "PURCHASECOST_", ""), "_VALUE", "")</f>
        <v>DIESELENGINE</v>
      </c>
      <c r="AF195" s="10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220</v>
      </c>
      <c r="B196">
        <v>1959</v>
      </c>
      <c r="C196">
        <v>0</v>
      </c>
      <c r="D196" t="s">
        <v>1857</v>
      </c>
      <c r="E196" t="str">
        <f>_xlfn.XLOOKUP(PROPERTIES[[#This Row],[COUNTRY]],COUNTRIES[COUNTRY_DESCRIPTION],COUNTRIES[COUNTRY_LABEL],"")</f>
        <v>FI</v>
      </c>
      <c r="F196" t="s">
        <v>35</v>
      </c>
      <c r="G196" t="s">
        <v>20</v>
      </c>
      <c r="H196">
        <v>0</v>
      </c>
      <c r="I196">
        <v>8</v>
      </c>
      <c r="J196">
        <v>8</v>
      </c>
      <c r="K196" s="2" t="s">
        <v>20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4">
        <v>122</v>
      </c>
      <c r="P196">
        <v>1900</v>
      </c>
      <c r="Q196">
        <v>120</v>
      </c>
      <c r="R196" s="31">
        <v>275</v>
      </c>
      <c r="S196" s="30">
        <f>IFERROR(PROPERTIES[[#This Row],[TE_STARTING_KN]]/(PROPERTIES[[#This Row],[WEIGHT]]*9.81),0)</f>
        <v>0.2297755719322872</v>
      </c>
      <c r="T196" s="30">
        <v>0.18</v>
      </c>
      <c r="U196" s="27">
        <f>ROUND(IF(IFERROR(PROPERTIES[[#This Row],[TE_COEFFICIENT_CALC]],0)=0,PROPERTIES[[#This Row],[TE_COEFFICIENT_MANUAL]],PROPERTIES[[#This Row],[TE_COEFFICIENT_CALC]]),3)</f>
        <v>0.23</v>
      </c>
      <c r="V196" s="6">
        <v>40</v>
      </c>
      <c r="W196" s="10">
        <v>0</v>
      </c>
      <c r="X196" s="10">
        <v>0</v>
      </c>
      <c r="Y196" s="11"/>
      <c r="Z196" t="s">
        <v>909</v>
      </c>
      <c r="AA196" t="s">
        <v>904</v>
      </c>
      <c r="AB196" s="2" t="s">
        <v>922</v>
      </c>
      <c r="AC196" s="10" t="s">
        <v>992</v>
      </c>
      <c r="AD196" s="10" t="s">
        <v>993</v>
      </c>
      <c r="AE196" s="11" t="str">
        <f>SUBSTITUTE(SUBSTITUTE(PROPERTIES[[#This Row],[PURCHASECOST_VALUE]], "PURCHASECOST_", ""), "_VALUE", "")</f>
        <v>DIESELENGINE</v>
      </c>
      <c r="AF196" s="10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221</v>
      </c>
      <c r="B197">
        <v>1959</v>
      </c>
      <c r="C197">
        <v>0</v>
      </c>
      <c r="D197" t="s">
        <v>1975</v>
      </c>
      <c r="E197" t="str">
        <f>_xlfn.XLOOKUP(PROPERTIES[[#This Row],[COUNTRY]],COUNTRIES[COUNTRY_DESCRIPTION],COUNTRIES[COUNTRY_LABEL],"")</f>
        <v>RO</v>
      </c>
      <c r="F197" t="s">
        <v>35</v>
      </c>
      <c r="G197" t="s">
        <v>20</v>
      </c>
      <c r="H197">
        <v>0</v>
      </c>
      <c r="I197">
        <v>8</v>
      </c>
      <c r="J197">
        <v>8</v>
      </c>
      <c r="K197" s="2" t="s">
        <v>20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4">
        <v>116</v>
      </c>
      <c r="P197">
        <v>2070</v>
      </c>
      <c r="Q197">
        <v>100</v>
      </c>
      <c r="R197" s="31">
        <v>0</v>
      </c>
      <c r="S197" s="30">
        <f>IFERROR(PROPERTIES[[#This Row],[TE_STARTING_KN]]/(PROPERTIES[[#This Row],[WEIGHT]]*9.81),0)</f>
        <v>0</v>
      </c>
      <c r="T197" s="30">
        <v>0.27</v>
      </c>
      <c r="U197" s="27">
        <f>ROUND(IF(IFERROR(PROPERTIES[[#This Row],[TE_COEFFICIENT_CALC]],0)=0,PROPERTIES[[#This Row],[TE_COEFFICIENT_MANUAL]],PROPERTIES[[#This Row],[TE_COEFFICIENT_CALC]]),3)</f>
        <v>0.27</v>
      </c>
      <c r="V197" s="6">
        <v>40</v>
      </c>
      <c r="W197" s="10">
        <v>0</v>
      </c>
      <c r="X197" s="10">
        <v>0</v>
      </c>
      <c r="Y197" s="11"/>
      <c r="Z197" t="s">
        <v>911</v>
      </c>
      <c r="AA197" t="s">
        <v>904</v>
      </c>
      <c r="AB197" s="2" t="s">
        <v>922</v>
      </c>
      <c r="AC197" s="10" t="s">
        <v>992</v>
      </c>
      <c r="AD197" s="10" t="s">
        <v>993</v>
      </c>
      <c r="AE197" s="11" t="str">
        <f>SUBSTITUTE(SUBSTITUTE(PROPERTIES[[#This Row],[PURCHASECOST_VALUE]], "PURCHASECOST_", ""), "_VALUE", "")</f>
        <v>DIESELENGINE</v>
      </c>
      <c r="AF197" s="10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222</v>
      </c>
      <c r="B198">
        <v>1960</v>
      </c>
      <c r="C198">
        <v>0</v>
      </c>
      <c r="D198" t="s">
        <v>1818</v>
      </c>
      <c r="E198" t="str">
        <f>_xlfn.XLOOKUP(PROPERTIES[[#This Row],[COUNTRY]],COUNTRIES[COUNTRY_DESCRIPTION],COUNTRIES[COUNTRY_LABEL],"")</f>
        <v>BR</v>
      </c>
      <c r="F198" t="s">
        <v>35</v>
      </c>
      <c r="G198" t="s">
        <v>20</v>
      </c>
      <c r="H198">
        <v>0</v>
      </c>
      <c r="I198">
        <v>5</v>
      </c>
      <c r="J198">
        <v>5</v>
      </c>
      <c r="K198" s="2" t="s">
        <v>20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4">
        <v>64</v>
      </c>
      <c r="P198">
        <v>875</v>
      </c>
      <c r="Q198">
        <v>124</v>
      </c>
      <c r="R198" s="31">
        <v>152</v>
      </c>
      <c r="S198" s="30">
        <f>IFERROR(PROPERTIES[[#This Row],[TE_STARTING_KN]]/(PROPERTIES[[#This Row],[WEIGHT]]*9.81),0)</f>
        <v>0.24209989806320081</v>
      </c>
      <c r="T198" s="30">
        <v>0.13</v>
      </c>
      <c r="U198" s="27">
        <f>ROUND(IF(IFERROR(PROPERTIES[[#This Row],[TE_COEFFICIENT_CALC]],0)=0,PROPERTIES[[#This Row],[TE_COEFFICIENT_MANUAL]],PROPERTIES[[#This Row],[TE_COEFFICIENT_CALC]]),3)</f>
        <v>0.24199999999999999</v>
      </c>
      <c r="V198" s="6">
        <v>40</v>
      </c>
      <c r="W198" s="10">
        <v>0</v>
      </c>
      <c r="X198" s="10">
        <v>0</v>
      </c>
      <c r="Y198" s="11"/>
      <c r="Z198" t="s">
        <v>912</v>
      </c>
      <c r="AA198" t="s">
        <v>904</v>
      </c>
      <c r="AB198" s="2" t="s">
        <v>922</v>
      </c>
      <c r="AC198" s="10" t="s">
        <v>992</v>
      </c>
      <c r="AD198" s="10" t="s">
        <v>993</v>
      </c>
      <c r="AE198" s="11" t="str">
        <f>SUBSTITUTE(SUBSTITUTE(PROPERTIES[[#This Row],[PURCHASECOST_VALUE]], "PURCHASECOST_", ""), "_VALUE", "")</f>
        <v>DIESELENGINE</v>
      </c>
      <c r="AF198" s="10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223</v>
      </c>
      <c r="B199">
        <v>1960</v>
      </c>
      <c r="C199">
        <v>0</v>
      </c>
      <c r="D199" t="s">
        <v>1818</v>
      </c>
      <c r="E199" t="str">
        <f>_xlfn.XLOOKUP(PROPERTIES[[#This Row],[COUNTRY]],COUNTRIES[COUNTRY_DESCRIPTION],COUNTRIES[COUNTRY_LABEL],"")</f>
        <v>BR</v>
      </c>
      <c r="F199" t="s">
        <v>35</v>
      </c>
      <c r="G199" t="s">
        <v>20</v>
      </c>
      <c r="H199">
        <v>0</v>
      </c>
      <c r="I199">
        <v>8</v>
      </c>
      <c r="J199">
        <v>8</v>
      </c>
      <c r="K199" s="2" t="s">
        <v>20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4">
        <v>156</v>
      </c>
      <c r="P199">
        <v>3540</v>
      </c>
      <c r="Q199">
        <v>110</v>
      </c>
      <c r="R199" s="31">
        <v>400</v>
      </c>
      <c r="S199" s="30">
        <f>IFERROR(PROPERTIES[[#This Row],[TE_STARTING_KN]]/(PROPERTIES[[#This Row],[WEIGHT]]*9.81),0)</f>
        <v>0.26137640816539898</v>
      </c>
      <c r="T199" s="30">
        <v>0.28999999999999998</v>
      </c>
      <c r="U199" s="27">
        <f>ROUND(IF(IFERROR(PROPERTIES[[#This Row],[TE_COEFFICIENT_CALC]],0)=0,PROPERTIES[[#This Row],[TE_COEFFICIENT_MANUAL]],PROPERTIES[[#This Row],[TE_COEFFICIENT_CALC]]),3)</f>
        <v>0.26100000000000001</v>
      </c>
      <c r="V199" s="6">
        <v>40</v>
      </c>
      <c r="W199" s="10">
        <v>0</v>
      </c>
      <c r="X199" s="10">
        <v>0</v>
      </c>
      <c r="Y199" s="11"/>
      <c r="Z199" t="s">
        <v>912</v>
      </c>
      <c r="AA199" t="s">
        <v>904</v>
      </c>
      <c r="AB199" s="2" t="s">
        <v>922</v>
      </c>
      <c r="AC199" s="10" t="s">
        <v>992</v>
      </c>
      <c r="AD199" s="10" t="s">
        <v>993</v>
      </c>
      <c r="AE199" s="11" t="str">
        <f>SUBSTITUTE(SUBSTITUTE(PROPERTIES[[#This Row],[PURCHASECOST_VALUE]], "PURCHASECOST_", ""), "_VALUE", "")</f>
        <v>DIESELENGINE</v>
      </c>
      <c r="AF199" s="10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224</v>
      </c>
      <c r="B200">
        <v>1960</v>
      </c>
      <c r="C200">
        <v>0</v>
      </c>
      <c r="D200" t="s">
        <v>2038</v>
      </c>
      <c r="E200" t="str">
        <f>_xlfn.XLOOKUP(PROPERTIES[[#This Row],[COUNTRY]],COUNTRIES[COUNTRY_DESCRIPTION],COUNTRIES[COUNTRY_LABEL],"")</f>
        <v>SU</v>
      </c>
      <c r="F200" t="s">
        <v>35</v>
      </c>
      <c r="G200" t="s">
        <v>20</v>
      </c>
      <c r="H200">
        <v>0</v>
      </c>
      <c r="I200">
        <v>8</v>
      </c>
      <c r="J200">
        <v>8</v>
      </c>
      <c r="K200" s="2" t="s">
        <v>20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4">
        <v>130</v>
      </c>
      <c r="P200">
        <v>2960</v>
      </c>
      <c r="Q200">
        <v>160</v>
      </c>
      <c r="R200" s="31">
        <v>245</v>
      </c>
      <c r="S200" s="30">
        <f>IFERROR(PROPERTIES[[#This Row],[TE_STARTING_KN]]/(PROPERTIES[[#This Row],[WEIGHT]]*9.81),0)</f>
        <v>0.19211166000156826</v>
      </c>
      <c r="T200" s="30">
        <v>0.15</v>
      </c>
      <c r="U200" s="27">
        <f>ROUND(IF(IFERROR(PROPERTIES[[#This Row],[TE_COEFFICIENT_CALC]],0)=0,PROPERTIES[[#This Row],[TE_COEFFICIENT_MANUAL]],PROPERTIES[[#This Row],[TE_COEFFICIENT_CALC]]),3)</f>
        <v>0.192</v>
      </c>
      <c r="V200" s="6">
        <v>40</v>
      </c>
      <c r="W200" s="10">
        <v>0</v>
      </c>
      <c r="X200" s="10">
        <v>0</v>
      </c>
      <c r="Y200" s="11"/>
      <c r="Z200" t="s">
        <v>913</v>
      </c>
      <c r="AA200" t="s">
        <v>904</v>
      </c>
      <c r="AB200" s="2" t="s">
        <v>922</v>
      </c>
      <c r="AC200" s="10" t="s">
        <v>992</v>
      </c>
      <c r="AD200" s="10" t="s">
        <v>993</v>
      </c>
      <c r="AE200" s="11" t="str">
        <f>SUBSTITUTE(SUBSTITUTE(PROPERTIES[[#This Row],[PURCHASECOST_VALUE]], "PURCHASECOST_", ""), "_VALUE", "")</f>
        <v>DIESELENGINE</v>
      </c>
      <c r="AF200" s="10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225</v>
      </c>
      <c r="B201">
        <v>1961</v>
      </c>
      <c r="C201">
        <v>0</v>
      </c>
      <c r="D201" t="s">
        <v>1807</v>
      </c>
      <c r="E201" t="str">
        <f>_xlfn.XLOOKUP(PROPERTIES[[#This Row],[COUNTRY]],COUNTRIES[COUNTRY_DESCRIPTION],COUNTRIES[COUNTRY_LABEL],"")</f>
        <v>BE</v>
      </c>
      <c r="F201" t="s">
        <v>35</v>
      </c>
      <c r="G201" t="s">
        <v>20</v>
      </c>
      <c r="H201">
        <v>0</v>
      </c>
      <c r="I201">
        <v>8</v>
      </c>
      <c r="J201">
        <v>8</v>
      </c>
      <c r="K201" s="2" t="s">
        <v>20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4">
        <v>78.599999999999994</v>
      </c>
      <c r="P201">
        <v>1380</v>
      </c>
      <c r="Q201">
        <v>120</v>
      </c>
      <c r="R201" s="31">
        <v>212</v>
      </c>
      <c r="S201" s="30">
        <f>IFERROR(PROPERTIES[[#This Row],[TE_STARTING_KN]]/(PROPERTIES[[#This Row],[WEIGHT]]*9.81),0)</f>
        <v>0.27494403851291588</v>
      </c>
      <c r="T201" s="30">
        <v>0.27</v>
      </c>
      <c r="U201" s="27">
        <f>ROUND(IF(IFERROR(PROPERTIES[[#This Row],[TE_COEFFICIENT_CALC]],0)=0,PROPERTIES[[#This Row],[TE_COEFFICIENT_MANUAL]],PROPERTIES[[#This Row],[TE_COEFFICIENT_CALC]]),3)</f>
        <v>0.27500000000000002</v>
      </c>
      <c r="V201" s="6">
        <v>40</v>
      </c>
      <c r="W201" s="10">
        <v>0</v>
      </c>
      <c r="X201" s="10">
        <v>0</v>
      </c>
      <c r="Y201" s="11"/>
      <c r="Z201" t="s">
        <v>905</v>
      </c>
      <c r="AA201" t="s">
        <v>904</v>
      </c>
      <c r="AB201" s="2" t="s">
        <v>922</v>
      </c>
      <c r="AC201" s="10" t="s">
        <v>992</v>
      </c>
      <c r="AD201" s="10" t="s">
        <v>993</v>
      </c>
      <c r="AE201" s="11" t="str">
        <f>SUBSTITUTE(SUBSTITUTE(PROPERTIES[[#This Row],[PURCHASECOST_VALUE]], "PURCHASECOST_", ""), "_VALUE", "")</f>
        <v>DIESELENGINE</v>
      </c>
      <c r="AF201" s="10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226</v>
      </c>
      <c r="B202">
        <v>1960</v>
      </c>
      <c r="C202">
        <v>0</v>
      </c>
      <c r="D202" t="s">
        <v>1846</v>
      </c>
      <c r="E202" t="str">
        <f>_xlfn.XLOOKUP(PROPERTIES[[#This Row],[COUNTRY]],COUNTRIES[COUNTRY_DESCRIPTION],COUNTRIES[COUNTRY_LABEL],"")</f>
        <v>DK</v>
      </c>
      <c r="F202" t="s">
        <v>35</v>
      </c>
      <c r="G202" t="s">
        <v>20</v>
      </c>
      <c r="H202">
        <v>0</v>
      </c>
      <c r="I202">
        <v>7</v>
      </c>
      <c r="J202">
        <v>7</v>
      </c>
      <c r="K202" s="2" t="s">
        <v>20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4">
        <v>45</v>
      </c>
      <c r="P202">
        <v>334</v>
      </c>
      <c r="Q202">
        <v>60</v>
      </c>
      <c r="R202" s="31">
        <v>110</v>
      </c>
      <c r="S202" s="30">
        <f>IFERROR(PROPERTIES[[#This Row],[TE_STARTING_KN]]/(PROPERTIES[[#This Row],[WEIGHT]]*9.81),0)</f>
        <v>0.24917884245101368</v>
      </c>
      <c r="T202" s="30">
        <v>0.21</v>
      </c>
      <c r="U202" s="27">
        <f>ROUND(IF(IFERROR(PROPERTIES[[#This Row],[TE_COEFFICIENT_CALC]],0)=0,PROPERTIES[[#This Row],[TE_COEFFICIENT_MANUAL]],PROPERTIES[[#This Row],[TE_COEFFICIENT_CALC]]),3)</f>
        <v>0.249</v>
      </c>
      <c r="V202" s="6">
        <v>40</v>
      </c>
      <c r="W202" s="10">
        <v>0</v>
      </c>
      <c r="X202" s="10">
        <v>0</v>
      </c>
      <c r="Y202" s="11"/>
      <c r="Z202" t="s">
        <v>909</v>
      </c>
      <c r="AA202" t="s">
        <v>904</v>
      </c>
      <c r="AB202" s="2" t="s">
        <v>922</v>
      </c>
      <c r="AC202" s="10" t="s">
        <v>992</v>
      </c>
      <c r="AD202" s="10" t="s">
        <v>993</v>
      </c>
      <c r="AE202" s="11" t="str">
        <f>SUBSTITUTE(SUBSTITUTE(PROPERTIES[[#This Row],[PURCHASECOST_VALUE]], "PURCHASECOST_", ""), "_VALUE", "")</f>
        <v>DIESELENGINE</v>
      </c>
      <c r="AF202" s="10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202" s="2" t="b">
        <v>0</v>
      </c>
      <c r="AY202"/>
      <c r="AZ202"/>
      <c r="BA202"/>
    </row>
    <row r="203" spans="1:53">
      <c r="A203" s="2" t="s">
        <v>227</v>
      </c>
      <c r="B203">
        <v>1963</v>
      </c>
      <c r="C203">
        <v>0</v>
      </c>
      <c r="D203" t="s">
        <v>1891</v>
      </c>
      <c r="E203" t="str">
        <f>_xlfn.XLOOKUP(PROPERTIES[[#This Row],[COUNTRY]],COUNTRIES[COUNTRY_DESCRIPTION],COUNTRIES[COUNTRY_LABEL],"")</f>
        <v>IN</v>
      </c>
      <c r="F203" t="s">
        <v>35</v>
      </c>
      <c r="G203" t="s">
        <v>20</v>
      </c>
      <c r="H203">
        <v>0</v>
      </c>
      <c r="I203">
        <v>7</v>
      </c>
      <c r="J203">
        <v>7</v>
      </c>
      <c r="K203" s="2" t="s">
        <v>20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4">
        <v>113</v>
      </c>
      <c r="P203">
        <v>2400</v>
      </c>
      <c r="Q203">
        <v>120</v>
      </c>
      <c r="R203" s="31">
        <v>300</v>
      </c>
      <c r="S203" s="30">
        <f>IFERROR(PROPERTIES[[#This Row],[TE_STARTING_KN]]/(PROPERTIES[[#This Row],[WEIGHT]]*9.81),0)</f>
        <v>0.27062867040134231</v>
      </c>
      <c r="T203" s="30">
        <v>0.27</v>
      </c>
      <c r="U203" s="27">
        <f>ROUND(IF(IFERROR(PROPERTIES[[#This Row],[TE_COEFFICIENT_CALC]],0)=0,PROPERTIES[[#This Row],[TE_COEFFICIENT_MANUAL]],PROPERTIES[[#This Row],[TE_COEFFICIENT_CALC]]),3)</f>
        <v>0.27100000000000002</v>
      </c>
      <c r="V203" s="6">
        <v>40</v>
      </c>
      <c r="W203" s="10">
        <v>0</v>
      </c>
      <c r="X203" s="10">
        <v>0</v>
      </c>
      <c r="Y203" s="11"/>
      <c r="Z203" t="s">
        <v>913</v>
      </c>
      <c r="AA203" t="s">
        <v>904</v>
      </c>
      <c r="AB203" s="2" t="s">
        <v>922</v>
      </c>
      <c r="AC203" s="10" t="s">
        <v>992</v>
      </c>
      <c r="AD203" s="10" t="s">
        <v>993</v>
      </c>
      <c r="AE203" s="11" t="str">
        <f>SUBSTITUTE(SUBSTITUTE(PROPERTIES[[#This Row],[PURCHASECOST_VALUE]], "PURCHASECOST_", ""), "_VALUE", "")</f>
        <v>DIESELENGINE</v>
      </c>
      <c r="AF203" s="10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228</v>
      </c>
      <c r="B204">
        <v>1964</v>
      </c>
      <c r="C204">
        <v>0</v>
      </c>
      <c r="D204" t="s">
        <v>1863</v>
      </c>
      <c r="E204" t="str">
        <f>_xlfn.XLOOKUP(PROPERTIES[[#This Row],[COUNTRY]],COUNTRIES[COUNTRY_DESCRIPTION],COUNTRIES[COUNTRY_LABEL],"")</f>
        <v>GB</v>
      </c>
      <c r="F204" t="s">
        <v>35</v>
      </c>
      <c r="G204" t="s">
        <v>20</v>
      </c>
      <c r="H204">
        <v>0</v>
      </c>
      <c r="I204">
        <v>6</v>
      </c>
      <c r="J204">
        <v>6</v>
      </c>
      <c r="K204" s="2" t="s">
        <v>20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4">
        <v>49</v>
      </c>
      <c r="P204">
        <v>650</v>
      </c>
      <c r="Q204">
        <v>64</v>
      </c>
      <c r="R204" s="31">
        <v>137.5</v>
      </c>
      <c r="S204" s="30">
        <f>IFERROR(PROPERTIES[[#This Row],[TE_STARTING_KN]]/(PROPERTIES[[#This Row],[WEIGHT]]*9.81),0)</f>
        <v>0.28604714056876573</v>
      </c>
      <c r="T204" s="30">
        <v>0.28000000000000003</v>
      </c>
      <c r="U204" s="27">
        <f>ROUND(IF(IFERROR(PROPERTIES[[#This Row],[TE_COEFFICIENT_CALC]],0)=0,PROPERTIES[[#This Row],[TE_COEFFICIENT_MANUAL]],PROPERTIES[[#This Row],[TE_COEFFICIENT_CALC]]),3)</f>
        <v>0.28599999999999998</v>
      </c>
      <c r="V204" s="6">
        <v>40</v>
      </c>
      <c r="W204" s="10">
        <v>0</v>
      </c>
      <c r="X204" s="10">
        <v>0</v>
      </c>
      <c r="Y204" s="11"/>
      <c r="Z204" t="s">
        <v>909</v>
      </c>
      <c r="AA204" t="s">
        <v>904</v>
      </c>
      <c r="AB204" s="2" t="s">
        <v>922</v>
      </c>
      <c r="AC204" s="10" t="s">
        <v>992</v>
      </c>
      <c r="AD204" s="10" t="s">
        <v>993</v>
      </c>
      <c r="AE204" s="11" t="str">
        <f>SUBSTITUTE(SUBSTITUTE(PROPERTIES[[#This Row],[PURCHASECOST_VALUE]], "PURCHASECOST_", ""), "_VALUE", "")</f>
        <v>DIESELENGINE</v>
      </c>
      <c r="AF204" s="10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229</v>
      </c>
      <c r="B205">
        <v>1964</v>
      </c>
      <c r="C205">
        <v>0</v>
      </c>
      <c r="D205" t="s">
        <v>2038</v>
      </c>
      <c r="E205" t="str">
        <f>_xlfn.XLOOKUP(PROPERTIES[[#This Row],[COUNTRY]],COUNTRIES[COUNTRY_DESCRIPTION],COUNTRIES[COUNTRY_LABEL],"")</f>
        <v>SU</v>
      </c>
      <c r="F205" t="s">
        <v>35</v>
      </c>
      <c r="G205" t="s">
        <v>20</v>
      </c>
      <c r="H205">
        <v>0</v>
      </c>
      <c r="I205">
        <v>8</v>
      </c>
      <c r="J205">
        <v>8</v>
      </c>
      <c r="K205" s="2" t="s">
        <v>20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4">
        <v>126</v>
      </c>
      <c r="P205">
        <v>1250</v>
      </c>
      <c r="Q205">
        <v>95</v>
      </c>
      <c r="R205" s="31">
        <v>362</v>
      </c>
      <c r="S205" s="30">
        <f>IFERROR(PROPERTIES[[#This Row],[TE_STARTING_KN]]/(PROPERTIES[[#This Row],[WEIGHT]]*9.81),0)</f>
        <v>0.29286604210151607</v>
      </c>
      <c r="T205" s="30">
        <v>0.28999999999999998</v>
      </c>
      <c r="U205" s="27">
        <f>ROUND(IF(IFERROR(PROPERTIES[[#This Row],[TE_COEFFICIENT_CALC]],0)=0,PROPERTIES[[#This Row],[TE_COEFFICIENT_MANUAL]],PROPERTIES[[#This Row],[TE_COEFFICIENT_CALC]]),3)</f>
        <v>0.29299999999999998</v>
      </c>
      <c r="V205" s="6">
        <v>40</v>
      </c>
      <c r="W205" s="10">
        <v>0</v>
      </c>
      <c r="X205" s="10">
        <v>0</v>
      </c>
      <c r="Y205" s="11"/>
      <c r="Z205" t="s">
        <v>913</v>
      </c>
      <c r="AA205" t="s">
        <v>904</v>
      </c>
      <c r="AB205" s="2" t="s">
        <v>922</v>
      </c>
      <c r="AC205" s="10" t="s">
        <v>992</v>
      </c>
      <c r="AD205" s="10" t="s">
        <v>993</v>
      </c>
      <c r="AE205" s="11" t="str">
        <f>SUBSTITUTE(SUBSTITUTE(PROPERTIES[[#This Row],[PURCHASECOST_VALUE]], "PURCHASECOST_", ""), "_VALUE", "")</f>
        <v>DIESELENGINE</v>
      </c>
      <c r="AF205" s="10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230</v>
      </c>
      <c r="B206">
        <v>1965</v>
      </c>
      <c r="C206">
        <v>0</v>
      </c>
      <c r="D206" t="s">
        <v>1797</v>
      </c>
      <c r="E206" t="str">
        <f>_xlfn.XLOOKUP(PROPERTIES[[#This Row],[COUNTRY]],COUNTRIES[COUNTRY_DESCRIPTION],COUNTRIES[COUNTRY_LABEL],"")</f>
        <v>AR</v>
      </c>
      <c r="F206" t="s">
        <v>35</v>
      </c>
      <c r="G206" t="s">
        <v>20</v>
      </c>
      <c r="H206">
        <v>0</v>
      </c>
      <c r="I206">
        <v>8</v>
      </c>
      <c r="J206">
        <v>8</v>
      </c>
      <c r="K206" s="2" t="s">
        <v>20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4">
        <v>112</v>
      </c>
      <c r="P206">
        <v>1870</v>
      </c>
      <c r="Q206">
        <v>120</v>
      </c>
      <c r="R206" s="31">
        <v>255</v>
      </c>
      <c r="S206" s="30">
        <f>IFERROR(PROPERTIES[[#This Row],[TE_STARTING_KN]]/(PROPERTIES[[#This Row],[WEIGHT]]*9.81),0)</f>
        <v>0.23208824814329401</v>
      </c>
      <c r="T206" s="30">
        <v>0.21</v>
      </c>
      <c r="U206" s="27">
        <f>ROUND(IF(IFERROR(PROPERTIES[[#This Row],[TE_COEFFICIENT_CALC]],0)=0,PROPERTIES[[#This Row],[TE_COEFFICIENT_MANUAL]],PROPERTIES[[#This Row],[TE_COEFFICIENT_CALC]]),3)</f>
        <v>0.23200000000000001</v>
      </c>
      <c r="V206" s="6">
        <v>40</v>
      </c>
      <c r="W206" s="10">
        <v>0</v>
      </c>
      <c r="X206" s="10">
        <v>0</v>
      </c>
      <c r="Y206" s="11"/>
      <c r="Z206" t="s">
        <v>912</v>
      </c>
      <c r="AA206" t="s">
        <v>904</v>
      </c>
      <c r="AB206" s="2" t="s">
        <v>922</v>
      </c>
      <c r="AC206" s="10" t="s">
        <v>992</v>
      </c>
      <c r="AD206" s="10" t="s">
        <v>993</v>
      </c>
      <c r="AE206" s="11" t="str">
        <f>SUBSTITUTE(SUBSTITUTE(PROPERTIES[[#This Row],[PURCHASECOST_VALUE]], "PURCHASECOST_", ""), "_VALUE", "")</f>
        <v>DIESELENGINE</v>
      </c>
      <c r="AF206" s="10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231</v>
      </c>
      <c r="B207">
        <v>1965</v>
      </c>
      <c r="C207">
        <v>0</v>
      </c>
      <c r="D207" t="s">
        <v>2038</v>
      </c>
      <c r="E207" t="str">
        <f>_xlfn.XLOOKUP(PROPERTIES[[#This Row],[COUNTRY]],COUNTRIES[COUNTRY_DESCRIPTION],COUNTRIES[COUNTRY_LABEL],"")</f>
        <v>SU</v>
      </c>
      <c r="F207" t="s">
        <v>35</v>
      </c>
      <c r="G207" t="s">
        <v>20</v>
      </c>
      <c r="H207">
        <v>0</v>
      </c>
      <c r="I207">
        <v>8</v>
      </c>
      <c r="J207">
        <v>8</v>
      </c>
      <c r="K207" s="2" t="s">
        <v>20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4">
        <v>116</v>
      </c>
      <c r="P207">
        <v>1970</v>
      </c>
      <c r="Q207">
        <v>100</v>
      </c>
      <c r="R207" s="31">
        <v>314</v>
      </c>
      <c r="S207" s="30">
        <f>IFERROR(PROPERTIES[[#This Row],[TE_STARTING_KN]]/(PROPERTIES[[#This Row],[WEIGHT]]*9.81),0)</f>
        <v>0.27593237020633415</v>
      </c>
      <c r="T207" s="30">
        <v>0.3</v>
      </c>
      <c r="U207" s="27">
        <f>ROUND(IF(IFERROR(PROPERTIES[[#This Row],[TE_COEFFICIENT_CALC]],0)=0,PROPERTIES[[#This Row],[TE_COEFFICIENT_MANUAL]],PROPERTIES[[#This Row],[TE_COEFFICIENT_CALC]]),3)</f>
        <v>0.27600000000000002</v>
      </c>
      <c r="V207" s="6">
        <v>40</v>
      </c>
      <c r="W207" s="10">
        <v>0</v>
      </c>
      <c r="X207" s="10">
        <v>0</v>
      </c>
      <c r="Y207" s="11"/>
      <c r="Z207" t="s">
        <v>913</v>
      </c>
      <c r="AA207" t="s">
        <v>904</v>
      </c>
      <c r="AB207" s="2" t="s">
        <v>922</v>
      </c>
      <c r="AC207" s="10" t="s">
        <v>992</v>
      </c>
      <c r="AD207" s="10" t="s">
        <v>993</v>
      </c>
      <c r="AE207" s="11" t="str">
        <f>SUBSTITUTE(SUBSTITUTE(PROPERTIES[[#This Row],[PURCHASECOST_VALUE]], "PURCHASECOST_", ""), "_VALUE", "")</f>
        <v>DIESELENGINE</v>
      </c>
      <c r="AF207" s="10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232</v>
      </c>
      <c r="B208">
        <v>1969</v>
      </c>
      <c r="C208">
        <v>0</v>
      </c>
      <c r="D208" t="s">
        <v>1800</v>
      </c>
      <c r="E208" t="str">
        <f>_xlfn.XLOOKUP(PROPERTIES[[#This Row],[COUNTRY]],COUNTRIES[COUNTRY_DESCRIPTION],COUNTRIES[COUNTRY_LABEL],"")</f>
        <v>AU</v>
      </c>
      <c r="F208" t="s">
        <v>35</v>
      </c>
      <c r="G208" t="s">
        <v>20</v>
      </c>
      <c r="H208">
        <v>0</v>
      </c>
      <c r="I208">
        <v>8</v>
      </c>
      <c r="J208">
        <v>8</v>
      </c>
      <c r="K208" s="2" t="s">
        <v>20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4">
        <v>110</v>
      </c>
      <c r="P208">
        <v>2000</v>
      </c>
      <c r="Q208">
        <v>124</v>
      </c>
      <c r="R208" s="31">
        <v>315.47000000000003</v>
      </c>
      <c r="S208" s="30">
        <f>IFERROR(PROPERTIES[[#This Row],[TE_STARTING_KN]]/(PROPERTIES[[#This Row],[WEIGHT]]*9.81),0)</f>
        <v>0.29234547307941799</v>
      </c>
      <c r="T208" s="30">
        <v>0.25</v>
      </c>
      <c r="U208" s="27">
        <f>ROUND(IF(IFERROR(PROPERTIES[[#This Row],[TE_COEFFICIENT_CALC]],0)=0,PROPERTIES[[#This Row],[TE_COEFFICIENT_MANUAL]],PROPERTIES[[#This Row],[TE_COEFFICIENT_CALC]]),3)</f>
        <v>0.29199999999999998</v>
      </c>
      <c r="V208" s="6">
        <v>40</v>
      </c>
      <c r="W208" s="10">
        <v>0</v>
      </c>
      <c r="X208" s="10">
        <v>0</v>
      </c>
      <c r="Y208" s="11"/>
      <c r="Z208" t="s">
        <v>907</v>
      </c>
      <c r="AA208" t="s">
        <v>904</v>
      </c>
      <c r="AB208" s="2" t="s">
        <v>922</v>
      </c>
      <c r="AC208" s="10" t="s">
        <v>992</v>
      </c>
      <c r="AD208" s="10" t="s">
        <v>993</v>
      </c>
      <c r="AE208" s="11" t="str">
        <f>SUBSTITUTE(SUBSTITUTE(PROPERTIES[[#This Row],[PURCHASECOST_VALUE]], "PURCHASECOST_", ""), "_VALUE", "")</f>
        <v>DIESELENGINE</v>
      </c>
      <c r="AF208" s="10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233</v>
      </c>
      <c r="B209">
        <v>1969</v>
      </c>
      <c r="C209">
        <v>0</v>
      </c>
      <c r="D209" t="s">
        <v>1852</v>
      </c>
      <c r="E209" t="str">
        <f>_xlfn.XLOOKUP(PROPERTIES[[#This Row],[COUNTRY]],COUNTRIES[COUNTRY_DESCRIPTION],COUNTRIES[COUNTRY_LABEL],"")</f>
        <v>EG</v>
      </c>
      <c r="F209" t="s">
        <v>35</v>
      </c>
      <c r="G209" t="s">
        <v>20</v>
      </c>
      <c r="H209">
        <v>0</v>
      </c>
      <c r="I209">
        <v>8</v>
      </c>
      <c r="J209">
        <v>8</v>
      </c>
      <c r="K209" s="2" t="s">
        <v>20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4">
        <v>108</v>
      </c>
      <c r="P209">
        <v>1650</v>
      </c>
      <c r="Q209">
        <v>110</v>
      </c>
      <c r="R209" s="31">
        <v>265</v>
      </c>
      <c r="S209" s="30">
        <f>IFERROR(PROPERTIES[[#This Row],[TE_STARTING_KN]]/(PROPERTIES[[#This Row],[WEIGHT]]*9.81),0)</f>
        <v>0.25012270170272211</v>
      </c>
      <c r="T209" s="30">
        <v>0.21</v>
      </c>
      <c r="U209" s="27">
        <f>ROUND(IF(IFERROR(PROPERTIES[[#This Row],[TE_COEFFICIENT_CALC]],0)=0,PROPERTIES[[#This Row],[TE_COEFFICIENT_MANUAL]],PROPERTIES[[#This Row],[TE_COEFFICIENT_CALC]]),3)</f>
        <v>0.25</v>
      </c>
      <c r="V209" s="6">
        <v>40</v>
      </c>
      <c r="W209" s="10">
        <v>0</v>
      </c>
      <c r="X209" s="10">
        <v>0</v>
      </c>
      <c r="Y209" s="11"/>
      <c r="Z209" t="s">
        <v>908</v>
      </c>
      <c r="AA209" t="s">
        <v>904</v>
      </c>
      <c r="AB209" s="2" t="s">
        <v>922</v>
      </c>
      <c r="AC209" s="10" t="s">
        <v>992</v>
      </c>
      <c r="AD209" s="10" t="s">
        <v>993</v>
      </c>
      <c r="AE209" s="11" t="str">
        <f>SUBSTITUTE(SUBSTITUTE(PROPERTIES[[#This Row],[PURCHASECOST_VALUE]], "PURCHASECOST_", ""), "_VALUE", "")</f>
        <v>DIESELENGINE</v>
      </c>
      <c r="AF209" s="10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234</v>
      </c>
      <c r="B210">
        <v>1969</v>
      </c>
      <c r="C210">
        <v>0</v>
      </c>
      <c r="D210" t="s">
        <v>2019</v>
      </c>
      <c r="E210" t="str">
        <f>_xlfn.XLOOKUP(PROPERTIES[[#This Row],[COUNTRY]],COUNTRIES[COUNTRY_DESCRIPTION],COUNTRIES[COUNTRY_LABEL],"")</f>
        <v>US</v>
      </c>
      <c r="F210" t="s">
        <v>35</v>
      </c>
      <c r="G210" t="s">
        <v>20</v>
      </c>
      <c r="H210">
        <v>0</v>
      </c>
      <c r="I210">
        <v>8</v>
      </c>
      <c r="J210">
        <v>4</v>
      </c>
      <c r="K210" s="2" t="s">
        <v>20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4">
        <v>247</v>
      </c>
      <c r="P210">
        <v>6600</v>
      </c>
      <c r="Q210">
        <v>144</v>
      </c>
      <c r="R210" s="31">
        <v>506.8</v>
      </c>
      <c r="S210" s="30">
        <f>IFERROR(PROPERTIES[[#This Row],[TE_STARTING_KN]]/(PROPERTIES[[#This Row],[WEIGHT]]*9.81),0)</f>
        <v>0.20915615314456454</v>
      </c>
      <c r="T210" s="30">
        <v>0.19</v>
      </c>
      <c r="U210" s="27">
        <f>ROUND(IF(IFERROR(PROPERTIES[[#This Row],[TE_COEFFICIENT_CALC]],0)=0,PROPERTIES[[#This Row],[TE_COEFFICIENT_MANUAL]],PROPERTIES[[#This Row],[TE_COEFFICIENT_CALC]]),3)</f>
        <v>0.20899999999999999</v>
      </c>
      <c r="V210" s="6">
        <v>40</v>
      </c>
      <c r="W210" s="10">
        <v>0</v>
      </c>
      <c r="X210" s="10">
        <v>2</v>
      </c>
      <c r="Y210" s="11"/>
      <c r="Z210" t="s">
        <v>910</v>
      </c>
      <c r="AA210" t="s">
        <v>904</v>
      </c>
      <c r="AB210" s="2" t="s">
        <v>922</v>
      </c>
      <c r="AC210" s="10" t="s">
        <v>992</v>
      </c>
      <c r="AD210" s="10" t="s">
        <v>993</v>
      </c>
      <c r="AE210" s="11" t="str">
        <f>SUBSTITUTE(SUBSTITUTE(PROPERTIES[[#This Row],[PURCHASECOST_VALUE]], "PURCHASECOST_", ""), "_VALUE", "")</f>
        <v>DIESELENGINE</v>
      </c>
      <c r="AF210" s="10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235</v>
      </c>
      <c r="B211">
        <v>1970</v>
      </c>
      <c r="C211">
        <v>0</v>
      </c>
      <c r="D211" t="s">
        <v>1800</v>
      </c>
      <c r="E211" t="str">
        <f>_xlfn.XLOOKUP(PROPERTIES[[#This Row],[COUNTRY]],COUNTRIES[COUNTRY_DESCRIPTION],COUNTRIES[COUNTRY_LABEL],"")</f>
        <v>AU</v>
      </c>
      <c r="F211" t="s">
        <v>35</v>
      </c>
      <c r="G211" t="s">
        <v>20</v>
      </c>
      <c r="H211">
        <v>0</v>
      </c>
      <c r="I211">
        <v>8</v>
      </c>
      <c r="J211">
        <v>8</v>
      </c>
      <c r="K211" s="2" t="s">
        <v>20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4">
        <v>98</v>
      </c>
      <c r="P211">
        <v>2000</v>
      </c>
      <c r="Q211">
        <v>80</v>
      </c>
      <c r="R211" s="31">
        <v>286</v>
      </c>
      <c r="S211" s="30">
        <f>IFERROR(PROPERTIES[[#This Row],[TE_STARTING_KN]]/(PROPERTIES[[#This Row],[WEIGHT]]*9.81),0)</f>
        <v>0.29748902619151635</v>
      </c>
      <c r="T211" s="30">
        <v>0.28999999999999998</v>
      </c>
      <c r="U211" s="27">
        <f>ROUND(IF(IFERROR(PROPERTIES[[#This Row],[TE_COEFFICIENT_CALC]],0)=0,PROPERTIES[[#This Row],[TE_COEFFICIENT_MANUAL]],PROPERTIES[[#This Row],[TE_COEFFICIENT_CALC]]),3)</f>
        <v>0.29699999999999999</v>
      </c>
      <c r="V211" s="6">
        <v>40</v>
      </c>
      <c r="W211" s="10">
        <v>0</v>
      </c>
      <c r="X211" s="10">
        <v>0</v>
      </c>
      <c r="Y211" s="11"/>
      <c r="Z211" t="s">
        <v>907</v>
      </c>
      <c r="AA211" t="s">
        <v>904</v>
      </c>
      <c r="AB211" s="2" t="s">
        <v>922</v>
      </c>
      <c r="AC211" s="10" t="s">
        <v>992</v>
      </c>
      <c r="AD211" s="10" t="s">
        <v>993</v>
      </c>
      <c r="AE211" s="11" t="str">
        <f>SUBSTITUTE(SUBSTITUTE(PROPERTIES[[#This Row],[PURCHASECOST_VALUE]], "PURCHASECOST_", ""), "_VALUE", "")</f>
        <v>DIESELENGINE</v>
      </c>
      <c r="AF211" s="10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236</v>
      </c>
      <c r="B212">
        <v>1972</v>
      </c>
      <c r="C212">
        <v>0</v>
      </c>
      <c r="D212" t="s">
        <v>2039</v>
      </c>
      <c r="E212" t="str">
        <f>_xlfn.XLOOKUP(PROPERTIES[[#This Row],[COUNTRY]],COUNTRIES[COUNTRY_DESCRIPTION],COUNTRIES[COUNTRY_LABEL],"")</f>
        <v>YU</v>
      </c>
      <c r="F212" t="s">
        <v>35</v>
      </c>
      <c r="G212" t="s">
        <v>20</v>
      </c>
      <c r="H212">
        <v>0</v>
      </c>
      <c r="I212">
        <v>8</v>
      </c>
      <c r="J212">
        <v>8</v>
      </c>
      <c r="K212" s="2" t="s">
        <v>20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4">
        <v>103</v>
      </c>
      <c r="P212">
        <v>2200</v>
      </c>
      <c r="Q212">
        <v>124</v>
      </c>
      <c r="R212" s="31">
        <v>0</v>
      </c>
      <c r="S212" s="30">
        <f>IFERROR(PROPERTIES[[#This Row],[TE_STARTING_KN]]/(PROPERTIES[[#This Row],[WEIGHT]]*9.81),0)</f>
        <v>0</v>
      </c>
      <c r="T212" s="30">
        <v>0.26</v>
      </c>
      <c r="U212" s="27">
        <f>ROUND(IF(IFERROR(PROPERTIES[[#This Row],[TE_COEFFICIENT_CALC]],0)=0,PROPERTIES[[#This Row],[TE_COEFFICIENT_MANUAL]],PROPERTIES[[#This Row],[TE_COEFFICIENT_CALC]]),3)</f>
        <v>0.26</v>
      </c>
      <c r="V212" s="6">
        <v>40</v>
      </c>
      <c r="W212" s="10">
        <v>0</v>
      </c>
      <c r="X212" s="10">
        <v>0</v>
      </c>
      <c r="Y212" s="11"/>
      <c r="Z212" t="s">
        <v>911</v>
      </c>
      <c r="AA212" t="s">
        <v>904</v>
      </c>
      <c r="AB212" s="2" t="s">
        <v>922</v>
      </c>
      <c r="AC212" s="10" t="s">
        <v>992</v>
      </c>
      <c r="AD212" s="10" t="s">
        <v>993</v>
      </c>
      <c r="AE212" s="11" t="str">
        <f>SUBSTITUTE(SUBSTITUTE(PROPERTIES[[#This Row],[PURCHASECOST_VALUE]], "PURCHASECOST_", ""), "_VALUE", "")</f>
        <v>DIESELENGINE</v>
      </c>
      <c r="AF212" s="10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237</v>
      </c>
      <c r="B213">
        <v>1972</v>
      </c>
      <c r="C213">
        <v>0</v>
      </c>
      <c r="D213" t="s">
        <v>1983</v>
      </c>
      <c r="E213" t="str">
        <f>_xlfn.XLOOKUP(PROPERTIES[[#This Row],[COUNTRY]],COUNTRIES[COUNTRY_DESCRIPTION],COUNTRIES[COUNTRY_LABEL],"")</f>
        <v>SE</v>
      </c>
      <c r="F213" t="s">
        <v>35</v>
      </c>
      <c r="G213" t="s">
        <v>20</v>
      </c>
      <c r="H213">
        <v>0</v>
      </c>
      <c r="I213">
        <v>6</v>
      </c>
      <c r="J213">
        <v>6</v>
      </c>
      <c r="K213" s="2" t="s">
        <v>20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4">
        <v>46</v>
      </c>
      <c r="P213">
        <v>620</v>
      </c>
      <c r="Q213">
        <v>70</v>
      </c>
      <c r="R213" s="31">
        <v>0</v>
      </c>
      <c r="S213" s="30">
        <f>IFERROR(PROPERTIES[[#This Row],[TE_STARTING_KN]]/(PROPERTIES[[#This Row],[WEIGHT]]*9.81),0)</f>
        <v>0</v>
      </c>
      <c r="T213" s="30">
        <v>0.3</v>
      </c>
      <c r="U213" s="27">
        <f>ROUND(IF(IFERROR(PROPERTIES[[#This Row],[TE_COEFFICIENT_CALC]],0)=0,PROPERTIES[[#This Row],[TE_COEFFICIENT_MANUAL]],PROPERTIES[[#This Row],[TE_COEFFICIENT_CALC]]),3)</f>
        <v>0.3</v>
      </c>
      <c r="V213" s="6">
        <v>40</v>
      </c>
      <c r="W213" s="10">
        <v>0</v>
      </c>
      <c r="X213" s="10">
        <v>0</v>
      </c>
      <c r="Y213" s="11"/>
      <c r="Z213" t="s">
        <v>909</v>
      </c>
      <c r="AA213" t="s">
        <v>904</v>
      </c>
      <c r="AB213" s="2" t="s">
        <v>922</v>
      </c>
      <c r="AC213" s="10" t="s">
        <v>992</v>
      </c>
      <c r="AD213" s="10" t="s">
        <v>993</v>
      </c>
      <c r="AE213" s="11" t="str">
        <f>SUBSTITUTE(SUBSTITUTE(PROPERTIES[[#This Row],[PURCHASECOST_VALUE]], "PURCHASECOST_", ""), "_VALUE", "")</f>
        <v>DIESELENGINE</v>
      </c>
      <c r="AF213" s="10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238</v>
      </c>
      <c r="B214">
        <v>1973</v>
      </c>
      <c r="C214">
        <v>0</v>
      </c>
      <c r="D214" t="s">
        <v>1825</v>
      </c>
      <c r="E214" t="str">
        <f>_xlfn.XLOOKUP(PROPERTIES[[#This Row],[COUNTRY]],COUNTRIES[COUNTRY_DESCRIPTION],COUNTRIES[COUNTRY_LABEL],"")</f>
        <v>CA</v>
      </c>
      <c r="F214" t="s">
        <v>35</v>
      </c>
      <c r="G214" t="s">
        <v>20</v>
      </c>
      <c r="H214">
        <v>0</v>
      </c>
      <c r="I214">
        <v>8</v>
      </c>
      <c r="J214">
        <v>8</v>
      </c>
      <c r="K214" s="2" t="s">
        <v>20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4">
        <v>125</v>
      </c>
      <c r="P214">
        <v>2000</v>
      </c>
      <c r="Q214">
        <v>108</v>
      </c>
      <c r="R214" s="31">
        <v>268.67</v>
      </c>
      <c r="S214" s="30">
        <f>IFERROR(PROPERTIES[[#This Row],[TE_STARTING_KN]]/(PROPERTIES[[#This Row],[WEIGHT]]*9.81),0)</f>
        <v>0.21909887869520897</v>
      </c>
      <c r="T214" s="30">
        <v>0.13</v>
      </c>
      <c r="U214" s="27">
        <f>ROUND(IF(IFERROR(PROPERTIES[[#This Row],[TE_COEFFICIENT_CALC]],0)=0,PROPERTIES[[#This Row],[TE_COEFFICIENT_MANUAL]],PROPERTIES[[#This Row],[TE_COEFFICIENT_CALC]]),3)</f>
        <v>0.219</v>
      </c>
      <c r="V214" s="6">
        <v>40</v>
      </c>
      <c r="W214" s="10">
        <v>0</v>
      </c>
      <c r="X214" s="10">
        <v>0</v>
      </c>
      <c r="Y214" s="11"/>
      <c r="Z214" t="s">
        <v>910</v>
      </c>
      <c r="AA214" t="s">
        <v>904</v>
      </c>
      <c r="AB214" s="2" t="s">
        <v>922</v>
      </c>
      <c r="AC214" s="10" t="s">
        <v>992</v>
      </c>
      <c r="AD214" s="10" t="s">
        <v>993</v>
      </c>
      <c r="AE214" s="11" t="str">
        <f>SUBSTITUTE(SUBSTITUTE(PROPERTIES[[#This Row],[PURCHASECOST_VALUE]], "PURCHASECOST_", ""), "_VALUE", "")</f>
        <v>DIESELENGINE</v>
      </c>
      <c r="AF214" s="10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928</v>
      </c>
      <c r="B215">
        <v>1973</v>
      </c>
      <c r="C215">
        <v>0</v>
      </c>
      <c r="D215" t="s">
        <v>2019</v>
      </c>
      <c r="E215" t="str">
        <f>_xlfn.XLOOKUP(PROPERTIES[[#This Row],[COUNTRY]],COUNTRIES[COUNTRY_DESCRIPTION],COUNTRIES[COUNTRY_LABEL],"")</f>
        <v>US</v>
      </c>
      <c r="F215" t="s">
        <v>35</v>
      </c>
      <c r="G215" t="s">
        <v>20</v>
      </c>
      <c r="H215">
        <v>0</v>
      </c>
      <c r="I215">
        <v>8</v>
      </c>
      <c r="J215">
        <v>8</v>
      </c>
      <c r="K215" s="2" t="s">
        <v>20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4">
        <v>131</v>
      </c>
      <c r="P215">
        <v>3000</v>
      </c>
      <c r="Q215">
        <v>153</v>
      </c>
      <c r="R215" s="31">
        <v>289</v>
      </c>
      <c r="S215" s="30">
        <f>IFERROR(PROPERTIES[[#This Row],[TE_STARTING_KN]]/(PROPERTIES[[#This Row],[WEIGHT]]*9.81),0)</f>
        <v>0.22488347301009251</v>
      </c>
      <c r="T215" s="30">
        <v>0.15</v>
      </c>
      <c r="U215" s="27">
        <f>ROUND(IF(IFERROR(PROPERTIES[[#This Row],[TE_COEFFICIENT_CALC]],0)=0,PROPERTIES[[#This Row],[TE_COEFFICIENT_MANUAL]],PROPERTIES[[#This Row],[TE_COEFFICIENT_CALC]]),3)</f>
        <v>0.22500000000000001</v>
      </c>
      <c r="V215" s="6">
        <v>40</v>
      </c>
      <c r="W215" s="10">
        <v>0</v>
      </c>
      <c r="X215" s="10">
        <v>0</v>
      </c>
      <c r="Y215" s="11"/>
      <c r="Z215" t="s">
        <v>910</v>
      </c>
      <c r="AA215" t="s">
        <v>904</v>
      </c>
      <c r="AB215" s="2" t="s">
        <v>922</v>
      </c>
      <c r="AC215" s="10" t="s">
        <v>992</v>
      </c>
      <c r="AD215" s="10" t="s">
        <v>993</v>
      </c>
      <c r="AE215" s="11" t="str">
        <f>SUBSTITUTE(SUBSTITUTE(PROPERTIES[[#This Row],[PURCHASECOST_VALUE]], "PURCHASECOST_", ""), "_VALUE", "")</f>
        <v>DIESELENGINE</v>
      </c>
      <c r="AF215" s="10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239</v>
      </c>
      <c r="B216">
        <v>1976</v>
      </c>
      <c r="C216">
        <v>0</v>
      </c>
      <c r="D216" t="s">
        <v>1835</v>
      </c>
      <c r="E216" t="str">
        <f>_xlfn.XLOOKUP(PROPERTIES[[#This Row],[COUNTRY]],COUNTRIES[COUNTRY_DESCRIPTION],COUNTRIES[COUNTRY_LABEL],"")</f>
        <v>CN</v>
      </c>
      <c r="F216" t="s">
        <v>35</v>
      </c>
      <c r="G216" t="s">
        <v>20</v>
      </c>
      <c r="H216">
        <v>0</v>
      </c>
      <c r="I216">
        <v>8</v>
      </c>
      <c r="J216">
        <v>8</v>
      </c>
      <c r="K216" s="2" t="s">
        <v>20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4">
        <v>92</v>
      </c>
      <c r="P216">
        <v>2200</v>
      </c>
      <c r="Q216">
        <v>120</v>
      </c>
      <c r="R216" s="31">
        <v>271</v>
      </c>
      <c r="S216" s="30">
        <f>IFERROR(PROPERTIES[[#This Row],[TE_STARTING_KN]]/(PROPERTIES[[#This Row],[WEIGHT]]*9.81),0)</f>
        <v>0.30027035411957625</v>
      </c>
      <c r="T216" s="30">
        <v>0.28999999999999998</v>
      </c>
      <c r="U216" s="27">
        <f>ROUND(IF(IFERROR(PROPERTIES[[#This Row],[TE_COEFFICIENT_CALC]],0)=0,PROPERTIES[[#This Row],[TE_COEFFICIENT_MANUAL]],PROPERTIES[[#This Row],[TE_COEFFICIENT_CALC]]),3)</f>
        <v>0.3</v>
      </c>
      <c r="V216" s="6">
        <v>40</v>
      </c>
      <c r="W216" s="10">
        <v>0</v>
      </c>
      <c r="X216" s="10">
        <v>0</v>
      </c>
      <c r="Y216" s="11"/>
      <c r="Z216" t="s">
        <v>913</v>
      </c>
      <c r="AA216" t="s">
        <v>904</v>
      </c>
      <c r="AB216" s="2" t="s">
        <v>922</v>
      </c>
      <c r="AC216" s="10" t="s">
        <v>992</v>
      </c>
      <c r="AD216" s="10" t="s">
        <v>993</v>
      </c>
      <c r="AE216" s="11" t="str">
        <f>SUBSTITUTE(SUBSTITUTE(PROPERTIES[[#This Row],[PURCHASECOST_VALUE]], "PURCHASECOST_", ""), "_VALUE", "")</f>
        <v>DIESELENGINE</v>
      </c>
      <c r="AF216" s="10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240</v>
      </c>
      <c r="B217">
        <v>2001</v>
      </c>
      <c r="C217">
        <v>0</v>
      </c>
      <c r="D217" t="s">
        <v>1959</v>
      </c>
      <c r="E217" t="str">
        <f>_xlfn.XLOOKUP(PROPERTIES[[#This Row],[COUNTRY]],COUNTRIES[COUNTRY_DESCRIPTION],COUNTRIES[COUNTRY_LABEL],"")</f>
        <v>PA</v>
      </c>
      <c r="F217" t="s">
        <v>35</v>
      </c>
      <c r="G217" t="s">
        <v>20</v>
      </c>
      <c r="H217">
        <v>0</v>
      </c>
      <c r="I217">
        <v>7</v>
      </c>
      <c r="J217">
        <v>7</v>
      </c>
      <c r="K217" s="2" t="s">
        <v>20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4">
        <v>115</v>
      </c>
      <c r="P217">
        <v>3000</v>
      </c>
      <c r="Q217">
        <v>165</v>
      </c>
      <c r="R217" s="31">
        <v>289</v>
      </c>
      <c r="S217" s="30">
        <f>IFERROR(PROPERTIES[[#This Row],[TE_STARTING_KN]]/(PROPERTIES[[#This Row],[WEIGHT]]*9.81),0)</f>
        <v>0.2561716083854097</v>
      </c>
      <c r="T217" s="30">
        <v>0.1</v>
      </c>
      <c r="U217" s="27">
        <f>ROUND(IF(IFERROR(PROPERTIES[[#This Row],[TE_COEFFICIENT_CALC]],0)=0,PROPERTIES[[#This Row],[TE_COEFFICIENT_MANUAL]],PROPERTIES[[#This Row],[TE_COEFFICIENT_CALC]]),3)</f>
        <v>0.25600000000000001</v>
      </c>
      <c r="V217" s="6">
        <v>40</v>
      </c>
      <c r="W217" s="10">
        <v>0</v>
      </c>
      <c r="X217" s="10">
        <v>0</v>
      </c>
      <c r="Y217" s="11"/>
      <c r="Z217" t="s">
        <v>910</v>
      </c>
      <c r="AA217" t="s">
        <v>904</v>
      </c>
      <c r="AB217" s="2" t="s">
        <v>922</v>
      </c>
      <c r="AC217" s="10" t="s">
        <v>992</v>
      </c>
      <c r="AD217" s="10" t="s">
        <v>993</v>
      </c>
      <c r="AE217" s="11" t="str">
        <f>SUBSTITUTE(SUBSTITUTE(PROPERTIES[[#This Row],[PURCHASECOST_VALUE]], "PURCHASECOST_", ""), "_VALUE", "")</f>
        <v>DIESELENGINE</v>
      </c>
      <c r="AF217" s="10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241</v>
      </c>
      <c r="B218">
        <v>1981</v>
      </c>
      <c r="C218">
        <v>0</v>
      </c>
      <c r="D218" t="s">
        <v>1970</v>
      </c>
      <c r="E218" t="str">
        <f>_xlfn.XLOOKUP(PROPERTIES[[#This Row],[COUNTRY]],COUNTRIES[COUNTRY_DESCRIPTION],COUNTRIES[COUNTRY_LABEL],"")</f>
        <v>PT</v>
      </c>
      <c r="F218" t="s">
        <v>35</v>
      </c>
      <c r="G218" t="s">
        <v>20</v>
      </c>
      <c r="H218">
        <v>0</v>
      </c>
      <c r="I218">
        <v>8</v>
      </c>
      <c r="J218">
        <v>8</v>
      </c>
      <c r="K218" s="2" t="s">
        <v>20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4">
        <v>115</v>
      </c>
      <c r="P218">
        <v>2260</v>
      </c>
      <c r="Q218">
        <v>100</v>
      </c>
      <c r="R218" s="31">
        <v>388.3</v>
      </c>
      <c r="S218" s="30">
        <f>IFERROR(PROPERTIES[[#This Row],[TE_STARTING_KN]]/(PROPERTIES[[#This Row],[WEIGHT]]*9.81),0)</f>
        <v>0.34419181846385671</v>
      </c>
      <c r="T218" s="30">
        <v>0.34</v>
      </c>
      <c r="U218" s="27">
        <f>ROUND(IF(IFERROR(PROPERTIES[[#This Row],[TE_COEFFICIENT_CALC]],0)=0,PROPERTIES[[#This Row],[TE_COEFFICIENT_MANUAL]],PROPERTIES[[#This Row],[TE_COEFFICIENT_CALC]]),3)</f>
        <v>0.34399999999999997</v>
      </c>
      <c r="V218" s="6">
        <v>40</v>
      </c>
      <c r="W218" s="10">
        <v>0</v>
      </c>
      <c r="X218" s="10">
        <v>0</v>
      </c>
      <c r="Y218" s="11"/>
      <c r="Z218" t="s">
        <v>906</v>
      </c>
      <c r="AA218" t="s">
        <v>904</v>
      </c>
      <c r="AB218" s="2" t="s">
        <v>922</v>
      </c>
      <c r="AC218" s="10" t="s">
        <v>992</v>
      </c>
      <c r="AD218" s="10" t="s">
        <v>993</v>
      </c>
      <c r="AE218" s="11" t="str">
        <f>SUBSTITUTE(SUBSTITUTE(PROPERTIES[[#This Row],[PURCHASECOST_VALUE]], "PURCHASECOST_", ""), "_VALUE", "")</f>
        <v>DIESELENGINE</v>
      </c>
      <c r="AF218" s="10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242</v>
      </c>
      <c r="B219">
        <v>1985</v>
      </c>
      <c r="C219">
        <v>0</v>
      </c>
      <c r="D219" t="s">
        <v>1857</v>
      </c>
      <c r="E219" t="str">
        <f>_xlfn.XLOOKUP(PROPERTIES[[#This Row],[COUNTRY]],COUNTRIES[COUNTRY_DESCRIPTION],COUNTRIES[COUNTRY_LABEL],"")</f>
        <v>FI</v>
      </c>
      <c r="F219" t="s">
        <v>35</v>
      </c>
      <c r="G219" t="s">
        <v>20</v>
      </c>
      <c r="H219">
        <v>0</v>
      </c>
      <c r="I219">
        <v>8</v>
      </c>
      <c r="J219">
        <v>8</v>
      </c>
      <c r="K219" s="2" t="s">
        <v>20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4">
        <v>82</v>
      </c>
      <c r="P219">
        <v>2250</v>
      </c>
      <c r="Q219">
        <v>140</v>
      </c>
      <c r="R219" s="31">
        <v>270</v>
      </c>
      <c r="S219" s="30">
        <f>IFERROR(PROPERTIES[[#This Row],[TE_STARTING_KN]]/(PROPERTIES[[#This Row],[WEIGHT]]*9.81),0)</f>
        <v>0.33564555829044523</v>
      </c>
      <c r="T219" s="30">
        <v>0.33</v>
      </c>
      <c r="U219" s="27">
        <f>ROUND(IF(IFERROR(PROPERTIES[[#This Row],[TE_COEFFICIENT_CALC]],0)=0,PROPERTIES[[#This Row],[TE_COEFFICIENT_MANUAL]],PROPERTIES[[#This Row],[TE_COEFFICIENT_CALC]]),3)</f>
        <v>0.33600000000000002</v>
      </c>
      <c r="V219" s="6">
        <v>40</v>
      </c>
      <c r="W219" s="10">
        <v>0</v>
      </c>
      <c r="X219" s="10">
        <v>0</v>
      </c>
      <c r="Y219" s="11"/>
      <c r="Z219" t="s">
        <v>909</v>
      </c>
      <c r="AA219" t="s">
        <v>904</v>
      </c>
      <c r="AB219" s="2" t="s">
        <v>922</v>
      </c>
      <c r="AC219" s="10" t="s">
        <v>992</v>
      </c>
      <c r="AD219" s="10" t="s">
        <v>993</v>
      </c>
      <c r="AE219" s="11" t="str">
        <f>SUBSTITUTE(SUBSTITUTE(PROPERTIES[[#This Row],[PURCHASECOST_VALUE]], "PURCHASECOST_", ""), "_VALUE", "")</f>
        <v>DIESELENGINE</v>
      </c>
      <c r="AF219" s="10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243</v>
      </c>
      <c r="B220">
        <v>1988</v>
      </c>
      <c r="C220">
        <v>0</v>
      </c>
      <c r="D220" t="s">
        <v>2038</v>
      </c>
      <c r="E220" t="str">
        <f>_xlfn.XLOOKUP(PROPERTIES[[#This Row],[COUNTRY]],COUNTRIES[COUNTRY_DESCRIPTION],COUNTRIES[COUNTRY_LABEL],"")</f>
        <v>SU</v>
      </c>
      <c r="F220" t="s">
        <v>35</v>
      </c>
      <c r="G220" t="s">
        <v>20</v>
      </c>
      <c r="H220">
        <v>0</v>
      </c>
      <c r="I220">
        <v>8</v>
      </c>
      <c r="J220">
        <v>8</v>
      </c>
      <c r="K220" s="2" t="s">
        <v>20</v>
      </c>
      <c r="L220">
        <f>_xlfn.XLOOKUP("LOADINGSPEEDDEF_"&amp;PROPERTIES[[#This Row],[LOADINGSPEED]],LOADINGSPEEDDEF[TYPE],LOADINGSPEEDDEF[SPEED])</f>
        <v>0</v>
      </c>
      <c r="M220" t="s">
        <v>21</v>
      </c>
      <c r="N220">
        <v>1</v>
      </c>
      <c r="O220" s="34">
        <v>180</v>
      </c>
      <c r="P220">
        <v>6000</v>
      </c>
      <c r="Q220">
        <v>160</v>
      </c>
      <c r="R220" s="31">
        <v>240</v>
      </c>
      <c r="S220" s="30">
        <f>IFERROR(PROPERTIES[[#This Row],[TE_STARTING_KN]]/(PROPERTIES[[#This Row],[WEIGHT]]*9.81),0)</f>
        <v>0.13591573224600745</v>
      </c>
      <c r="T220" s="30">
        <v>0.13</v>
      </c>
      <c r="U220" s="27">
        <f>ROUND(IF(IFERROR(PROPERTIES[[#This Row],[TE_COEFFICIENT_CALC]],0)=0,PROPERTIES[[#This Row],[TE_COEFFICIENT_MANUAL]],PROPERTIES[[#This Row],[TE_COEFFICIENT_CALC]]),3)</f>
        <v>0.13600000000000001</v>
      </c>
      <c r="V220" s="6">
        <v>40</v>
      </c>
      <c r="W220" s="10">
        <v>0</v>
      </c>
      <c r="X220" s="10">
        <v>0</v>
      </c>
      <c r="Y220" s="11"/>
      <c r="Z220" t="s">
        <v>913</v>
      </c>
      <c r="AA220" t="s">
        <v>904</v>
      </c>
      <c r="AB220" s="2" t="s">
        <v>922</v>
      </c>
      <c r="AC220" s="10" t="s">
        <v>992</v>
      </c>
      <c r="AD220" s="10" t="s">
        <v>993</v>
      </c>
      <c r="AE220" s="11" t="str">
        <f>SUBSTITUTE(SUBSTITUTE(PROPERTIES[[#This Row],[PURCHASECOST_VALUE]], "PURCHASECOST_", ""), "_VALUE", "")</f>
        <v>DIESELENGINE</v>
      </c>
      <c r="AF220" s="10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244</v>
      </c>
      <c r="B221">
        <v>1992</v>
      </c>
      <c r="C221">
        <v>0</v>
      </c>
      <c r="D221" t="s">
        <v>1800</v>
      </c>
      <c r="E221" t="str">
        <f>_xlfn.XLOOKUP(PROPERTIES[[#This Row],[COUNTRY]],COUNTRIES[COUNTRY_DESCRIPTION],COUNTRIES[COUNTRY_LABEL],"")</f>
        <v>AU</v>
      </c>
      <c r="F221" t="s">
        <v>35</v>
      </c>
      <c r="G221" t="s">
        <v>20</v>
      </c>
      <c r="H221">
        <v>0</v>
      </c>
      <c r="I221">
        <v>8</v>
      </c>
      <c r="J221">
        <v>8</v>
      </c>
      <c r="K221" s="2" t="s">
        <v>20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4">
        <v>128</v>
      </c>
      <c r="P221">
        <v>4063</v>
      </c>
      <c r="Q221">
        <v>150</v>
      </c>
      <c r="R221" s="31">
        <v>323</v>
      </c>
      <c r="S221" s="30">
        <f>IFERROR(PROPERTIES[[#This Row],[TE_STARTING_KN]]/(PROPERTIES[[#This Row],[WEIGHT]]*9.81),0)</f>
        <v>0.25723114169215083</v>
      </c>
      <c r="T221" s="30">
        <v>0.25</v>
      </c>
      <c r="U221" s="27">
        <f>ROUND(IF(IFERROR(PROPERTIES[[#This Row],[TE_COEFFICIENT_CALC]],0)=0,PROPERTIES[[#This Row],[TE_COEFFICIENT_MANUAL]],PROPERTIES[[#This Row],[TE_COEFFICIENT_CALC]]),3)</f>
        <v>0.25700000000000001</v>
      </c>
      <c r="V221" s="6">
        <v>40</v>
      </c>
      <c r="W221" s="10">
        <v>0</v>
      </c>
      <c r="X221" s="10">
        <v>0</v>
      </c>
      <c r="Y221" s="11"/>
      <c r="Z221" t="s">
        <v>907</v>
      </c>
      <c r="AA221" t="s">
        <v>904</v>
      </c>
      <c r="AB221" s="2" t="s">
        <v>922</v>
      </c>
      <c r="AC221" s="10" t="s">
        <v>992</v>
      </c>
      <c r="AD221" s="10" t="s">
        <v>993</v>
      </c>
      <c r="AE221" s="11" t="str">
        <f>SUBSTITUTE(SUBSTITUTE(PROPERTIES[[#This Row],[PURCHASECOST_VALUE]], "PURCHASECOST_", ""), "_VALUE", "")</f>
        <v>DIESELENGINE</v>
      </c>
      <c r="AF221" s="10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245</v>
      </c>
      <c r="B222">
        <v>1992</v>
      </c>
      <c r="C222">
        <v>0</v>
      </c>
      <c r="D222" t="s">
        <v>2019</v>
      </c>
      <c r="E222" t="str">
        <f>_xlfn.XLOOKUP(PROPERTIES[[#This Row],[COUNTRY]],COUNTRIES[COUNTRY_DESCRIPTION],COUNTRIES[COUNTRY_LABEL],"")</f>
        <v>US</v>
      </c>
      <c r="F222" t="s">
        <v>35</v>
      </c>
      <c r="G222" t="s">
        <v>20</v>
      </c>
      <c r="H222">
        <v>0</v>
      </c>
      <c r="I222">
        <v>8</v>
      </c>
      <c r="J222">
        <v>8</v>
      </c>
      <c r="K222" s="2" t="s">
        <v>20</v>
      </c>
      <c r="L222">
        <f>_xlfn.XLOOKUP("LOADINGSPEEDDEF_"&amp;PROPERTIES[[#This Row],[LOADINGSPEED]],LOADINGSPEEDDEF[TYPE],LOADINGSPEEDDEF[SPEED])</f>
        <v>0</v>
      </c>
      <c r="M222" t="s">
        <v>21</v>
      </c>
      <c r="N222">
        <v>1</v>
      </c>
      <c r="O222" s="34">
        <v>121.6</v>
      </c>
      <c r="P222">
        <v>4250</v>
      </c>
      <c r="Q222">
        <v>177</v>
      </c>
      <c r="R222" s="31">
        <v>280.25</v>
      </c>
      <c r="S222" s="30">
        <f>IFERROR(PROPERTIES[[#This Row],[TE_STARTING_KN]]/(PROPERTIES[[#This Row],[WEIGHT]]*9.81),0)</f>
        <v>0.23493246687054029</v>
      </c>
      <c r="T222" s="30">
        <v>0.19</v>
      </c>
      <c r="U222" s="27">
        <f>ROUND(IF(IFERROR(PROPERTIES[[#This Row],[TE_COEFFICIENT_CALC]],0)=0,PROPERTIES[[#This Row],[TE_COEFFICIENT_MANUAL]],PROPERTIES[[#This Row],[TE_COEFFICIENT_CALC]]),3)</f>
        <v>0.23499999999999999</v>
      </c>
      <c r="V222" s="6">
        <v>40</v>
      </c>
      <c r="W222" s="10">
        <v>0</v>
      </c>
      <c r="X222" s="10">
        <v>0</v>
      </c>
      <c r="Y222" s="11"/>
      <c r="Z222" t="s">
        <v>910</v>
      </c>
      <c r="AA222" t="s">
        <v>904</v>
      </c>
      <c r="AB222" s="2" t="s">
        <v>922</v>
      </c>
      <c r="AC222" s="10" t="s">
        <v>992</v>
      </c>
      <c r="AD222" s="10" t="s">
        <v>993</v>
      </c>
      <c r="AE222" s="11" t="str">
        <f>SUBSTITUTE(SUBSTITUTE(PROPERTIES[[#This Row],[PURCHASECOST_VALUE]], "PURCHASECOST_", ""), "_VALUE", "")</f>
        <v>DIESELENGINE</v>
      </c>
      <c r="AF222" s="10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246</v>
      </c>
      <c r="B223">
        <v>1994</v>
      </c>
      <c r="C223">
        <v>0</v>
      </c>
      <c r="D223" t="s">
        <v>2290</v>
      </c>
      <c r="E223" t="str">
        <f>_xlfn.XLOOKUP(PROPERTIES[[#This Row],[COUNTRY]],COUNTRIES[COUNTRY_DESCRIPTION],COUNTRIES[COUNTRY_LABEL],"")</f>
        <v>TR</v>
      </c>
      <c r="F223" t="s">
        <v>35</v>
      </c>
      <c r="G223" t="s">
        <v>20</v>
      </c>
      <c r="H223">
        <v>0</v>
      </c>
      <c r="I223">
        <v>6</v>
      </c>
      <c r="J223">
        <v>6</v>
      </c>
      <c r="K223" s="2" t="s">
        <v>20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4">
        <v>51</v>
      </c>
      <c r="P223">
        <v>700</v>
      </c>
      <c r="Q223">
        <v>40</v>
      </c>
      <c r="R223" s="31">
        <v>0</v>
      </c>
      <c r="S223" s="30">
        <f>IFERROR(PROPERTIES[[#This Row],[TE_STARTING_KN]]/(PROPERTIES[[#This Row],[WEIGHT]]*9.81),0)</f>
        <v>0</v>
      </c>
      <c r="T223" s="30">
        <v>0.28000000000000003</v>
      </c>
      <c r="U223" s="27">
        <f>ROUND(IF(IFERROR(PROPERTIES[[#This Row],[TE_COEFFICIENT_CALC]],0)=0,PROPERTIES[[#This Row],[TE_COEFFICIENT_MANUAL]],PROPERTIES[[#This Row],[TE_COEFFICIENT_CALC]]),3)</f>
        <v>0.28000000000000003</v>
      </c>
      <c r="V223" s="6">
        <v>40</v>
      </c>
      <c r="W223" s="10">
        <v>0</v>
      </c>
      <c r="X223" s="10">
        <v>0</v>
      </c>
      <c r="Y223" s="11"/>
      <c r="Z223" t="s">
        <v>913</v>
      </c>
      <c r="AA223" t="s">
        <v>904</v>
      </c>
      <c r="AB223" s="2" t="s">
        <v>922</v>
      </c>
      <c r="AC223" s="10" t="s">
        <v>992</v>
      </c>
      <c r="AD223" s="10" t="s">
        <v>993</v>
      </c>
      <c r="AE223" s="11" t="str">
        <f>SUBSTITUTE(SUBSTITUTE(PROPERTIES[[#This Row],[PURCHASECOST_VALUE]], "PURCHASECOST_", ""), "_VALUE", "")</f>
        <v>DIESELENGINE</v>
      </c>
      <c r="AF223" s="10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223" s="2" t="b">
        <v>0</v>
      </c>
      <c r="AY223"/>
      <c r="AZ223"/>
      <c r="BA223"/>
    </row>
    <row r="224" spans="1:53">
      <c r="A224" s="2" t="s">
        <v>247</v>
      </c>
      <c r="B224">
        <v>1995</v>
      </c>
      <c r="C224">
        <v>0</v>
      </c>
      <c r="D224" t="s">
        <v>1797</v>
      </c>
      <c r="E224" t="str">
        <f>_xlfn.XLOOKUP(PROPERTIES[[#This Row],[COUNTRY]],COUNTRIES[COUNTRY_DESCRIPTION],COUNTRIES[COUNTRY_LABEL],"")</f>
        <v>AR</v>
      </c>
      <c r="F224" t="s">
        <v>35</v>
      </c>
      <c r="G224" t="s">
        <v>20</v>
      </c>
      <c r="H224">
        <v>0</v>
      </c>
      <c r="I224">
        <v>8</v>
      </c>
      <c r="J224">
        <v>8</v>
      </c>
      <c r="K224" s="2" t="s">
        <v>20</v>
      </c>
      <c r="L224">
        <f>_xlfn.XLOOKUP("LOADINGSPEEDDEF_"&amp;PROPERTIES[[#This Row],[LOADINGSPEED]],LOADINGSPEEDDEF[TYPE],LOADINGSPEEDDEF[SPEED])</f>
        <v>0</v>
      </c>
      <c r="M224" t="s">
        <v>21</v>
      </c>
      <c r="N224">
        <v>1</v>
      </c>
      <c r="O224" s="34">
        <v>96</v>
      </c>
      <c r="P224">
        <v>2150</v>
      </c>
      <c r="Q224">
        <v>104</v>
      </c>
      <c r="R224" s="31">
        <v>245</v>
      </c>
      <c r="S224" s="30">
        <f>IFERROR(PROPERTIES[[#This Row],[TE_STARTING_KN]]/(PROPERTIES[[#This Row],[WEIGHT]]*9.81),0)</f>
        <v>0.26015120625212368</v>
      </c>
      <c r="T224" s="30">
        <v>0.28999999999999998</v>
      </c>
      <c r="U224" s="27">
        <f>ROUND(IF(IFERROR(PROPERTIES[[#This Row],[TE_COEFFICIENT_CALC]],0)=0,PROPERTIES[[#This Row],[TE_COEFFICIENT_MANUAL]],PROPERTIES[[#This Row],[TE_COEFFICIENT_CALC]]),3)</f>
        <v>0.26</v>
      </c>
      <c r="V224" s="6">
        <v>40</v>
      </c>
      <c r="W224" s="10">
        <v>0</v>
      </c>
      <c r="X224" s="10">
        <v>0</v>
      </c>
      <c r="Y224" s="11"/>
      <c r="Z224" t="s">
        <v>912</v>
      </c>
      <c r="AA224" t="s">
        <v>904</v>
      </c>
      <c r="AB224" s="2" t="s">
        <v>922</v>
      </c>
      <c r="AC224" s="10" t="s">
        <v>992</v>
      </c>
      <c r="AD224" s="10" t="s">
        <v>993</v>
      </c>
      <c r="AE224" s="11" t="str">
        <f>SUBSTITUTE(SUBSTITUTE(PROPERTIES[[#This Row],[PURCHASECOST_VALUE]], "PURCHASECOST_", ""), "_VALUE", "")</f>
        <v>DIESELENGINE</v>
      </c>
      <c r="AF224" s="10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248</v>
      </c>
      <c r="B225">
        <v>1999</v>
      </c>
      <c r="C225">
        <v>0</v>
      </c>
      <c r="D225" t="s">
        <v>1807</v>
      </c>
      <c r="E225" t="str">
        <f>_xlfn.XLOOKUP(PROPERTIES[[#This Row],[COUNTRY]],COUNTRIES[COUNTRY_DESCRIPTION],COUNTRIES[COUNTRY_LABEL],"")</f>
        <v>BE</v>
      </c>
      <c r="F225" t="s">
        <v>35</v>
      </c>
      <c r="G225" t="s">
        <v>20</v>
      </c>
      <c r="H225">
        <v>0</v>
      </c>
      <c r="I225">
        <v>7</v>
      </c>
      <c r="J225">
        <v>7</v>
      </c>
      <c r="K225" s="2" t="s">
        <v>20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4">
        <v>90</v>
      </c>
      <c r="P225">
        <v>1500</v>
      </c>
      <c r="Q225">
        <v>100</v>
      </c>
      <c r="R225" s="31">
        <v>291</v>
      </c>
      <c r="S225" s="30">
        <f>IFERROR(PROPERTIES[[#This Row],[TE_STARTING_KN]]/(PROPERTIES[[#This Row],[WEIGHT]]*9.81),0)</f>
        <v>0.3295956506965681</v>
      </c>
      <c r="T225" s="30">
        <v>0.34</v>
      </c>
      <c r="U225" s="27">
        <f>ROUND(IF(IFERROR(PROPERTIES[[#This Row],[TE_COEFFICIENT_CALC]],0)=0,PROPERTIES[[#This Row],[TE_COEFFICIENT_MANUAL]],PROPERTIES[[#This Row],[TE_COEFFICIENT_CALC]]),3)</f>
        <v>0.33</v>
      </c>
      <c r="V225" s="6">
        <v>40</v>
      </c>
      <c r="W225" s="10">
        <v>0</v>
      </c>
      <c r="X225" s="10">
        <v>0</v>
      </c>
      <c r="Y225" s="11"/>
      <c r="Z225" t="s">
        <v>905</v>
      </c>
      <c r="AA225" t="s">
        <v>904</v>
      </c>
      <c r="AB225" s="2" t="s">
        <v>922</v>
      </c>
      <c r="AC225" s="10" t="s">
        <v>992</v>
      </c>
      <c r="AD225" s="10" t="s">
        <v>993</v>
      </c>
      <c r="AE225" s="11" t="str">
        <f>SUBSTITUTE(SUBSTITUTE(PROPERTIES[[#This Row],[PURCHASECOST_VALUE]], "PURCHASECOST_", ""), "_VALUE", "")</f>
        <v>DIESELENGINE</v>
      </c>
      <c r="AF225" s="10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249</v>
      </c>
      <c r="B226">
        <v>1998</v>
      </c>
      <c r="C226">
        <v>0</v>
      </c>
      <c r="D226" t="s">
        <v>1863</v>
      </c>
      <c r="E226" t="str">
        <f>_xlfn.XLOOKUP(PROPERTIES[[#This Row],[COUNTRY]],COUNTRIES[COUNTRY_DESCRIPTION],COUNTRIES[COUNTRY_LABEL],"")</f>
        <v>GB</v>
      </c>
      <c r="F226" t="s">
        <v>35</v>
      </c>
      <c r="G226" t="s">
        <v>20</v>
      </c>
      <c r="H226">
        <v>0</v>
      </c>
      <c r="I226">
        <v>8</v>
      </c>
      <c r="J226">
        <v>8</v>
      </c>
      <c r="K226" s="2" t="s">
        <v>20</v>
      </c>
      <c r="L226">
        <f>_xlfn.XLOOKUP("LOADINGSPEEDDEF_"&amp;PROPERTIES[[#This Row],[LOADINGSPEED]],LOADINGSPEEDDEF[TYPE],LOADINGSPEEDDEF[SPEED])</f>
        <v>0</v>
      </c>
      <c r="M226" t="s">
        <v>21</v>
      </c>
      <c r="N226">
        <v>0</v>
      </c>
      <c r="O226" s="34">
        <v>126</v>
      </c>
      <c r="P226">
        <v>3200</v>
      </c>
      <c r="Q226">
        <v>120</v>
      </c>
      <c r="R226" s="31">
        <v>409</v>
      </c>
      <c r="S226" s="30">
        <f>IFERROR(PROPERTIES[[#This Row],[TE_STARTING_KN]]/(PROPERTIES[[#This Row],[WEIGHT]]*9.81),0)</f>
        <v>0.33089008624176813</v>
      </c>
      <c r="T226" s="30">
        <v>0.32</v>
      </c>
      <c r="U226" s="27">
        <f>ROUND(IF(IFERROR(PROPERTIES[[#This Row],[TE_COEFFICIENT_CALC]],0)=0,PROPERTIES[[#This Row],[TE_COEFFICIENT_MANUAL]],PROPERTIES[[#This Row],[TE_COEFFICIENT_CALC]]),3)</f>
        <v>0.33100000000000002</v>
      </c>
      <c r="V226" s="6">
        <v>40</v>
      </c>
      <c r="W226" s="10">
        <v>0</v>
      </c>
      <c r="X226" s="10">
        <v>0</v>
      </c>
      <c r="Y226" s="11"/>
      <c r="Z226" t="s">
        <v>909</v>
      </c>
      <c r="AA226" t="s">
        <v>904</v>
      </c>
      <c r="AB226" s="2" t="s">
        <v>922</v>
      </c>
      <c r="AC226" s="10" t="s">
        <v>992</v>
      </c>
      <c r="AD226" s="10" t="s">
        <v>993</v>
      </c>
      <c r="AE226" s="11" t="str">
        <f>SUBSTITUTE(SUBSTITUTE(PROPERTIES[[#This Row],[PURCHASECOST_VALUE]], "PURCHASECOST_", ""), "_VALUE", "")</f>
        <v>DIESELENGINE</v>
      </c>
      <c r="AF226" s="10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250</v>
      </c>
      <c r="B227">
        <v>1999</v>
      </c>
      <c r="C227">
        <v>0</v>
      </c>
      <c r="D227" t="s">
        <v>1863</v>
      </c>
      <c r="E227" t="str">
        <f>_xlfn.XLOOKUP(PROPERTIES[[#This Row],[COUNTRY]],COUNTRIES[COUNTRY_DESCRIPTION],COUNTRIES[COUNTRY_LABEL],"")</f>
        <v>GB</v>
      </c>
      <c r="F227" t="s">
        <v>35</v>
      </c>
      <c r="G227" t="s">
        <v>20</v>
      </c>
      <c r="H227">
        <v>0</v>
      </c>
      <c r="I227">
        <v>8</v>
      </c>
      <c r="J227">
        <v>8</v>
      </c>
      <c r="K227" s="2" t="s">
        <v>20</v>
      </c>
      <c r="L227">
        <f>_xlfn.XLOOKUP("LOADINGSPEEDDEF_"&amp;PROPERTIES[[#This Row],[LOADINGSPEED]],LOADINGSPEEDDEF[TYPE],LOADINGSPEEDDEF[SPEED])</f>
        <v>0</v>
      </c>
      <c r="M227" t="s">
        <v>21</v>
      </c>
      <c r="N227">
        <v>1</v>
      </c>
      <c r="O227" s="34">
        <v>88</v>
      </c>
      <c r="P227">
        <v>3200</v>
      </c>
      <c r="Q227">
        <v>200</v>
      </c>
      <c r="R227" s="31">
        <v>143</v>
      </c>
      <c r="S227" s="30">
        <f>IFERROR(PROPERTIES[[#This Row],[TE_STARTING_KN]]/(PROPERTIES[[#This Row],[WEIGHT]]*9.81),0)</f>
        <v>0.16564729867482159</v>
      </c>
      <c r="T227" s="30">
        <v>0.2</v>
      </c>
      <c r="U227" s="27">
        <f>ROUND(IF(IFERROR(PROPERTIES[[#This Row],[TE_COEFFICIENT_CALC]],0)=0,PROPERTIES[[#This Row],[TE_COEFFICIENT_MANUAL]],PROPERTIES[[#This Row],[TE_COEFFICIENT_CALC]]),3)</f>
        <v>0.16600000000000001</v>
      </c>
      <c r="V227" s="6">
        <v>40</v>
      </c>
      <c r="W227" s="10">
        <v>0</v>
      </c>
      <c r="X227" s="10">
        <v>0</v>
      </c>
      <c r="Y227" s="11"/>
      <c r="Z227" t="s">
        <v>909</v>
      </c>
      <c r="AA227" t="s">
        <v>904</v>
      </c>
      <c r="AB227" s="2" t="s">
        <v>922</v>
      </c>
      <c r="AC227" s="10" t="s">
        <v>992</v>
      </c>
      <c r="AD227" s="10" t="s">
        <v>993</v>
      </c>
      <c r="AE227" s="11" t="str">
        <f>SUBSTITUTE(SUBSTITUTE(PROPERTIES[[#This Row],[PURCHASECOST_VALUE]], "PURCHASECOST_", ""), "_VALUE", "")</f>
        <v>DIESELENGINE</v>
      </c>
      <c r="AF227" s="10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251</v>
      </c>
      <c r="B228">
        <v>2002</v>
      </c>
      <c r="C228">
        <v>0</v>
      </c>
      <c r="D228" t="s">
        <v>1894</v>
      </c>
      <c r="E228" t="str">
        <f>_xlfn.XLOOKUP(PROPERTIES[[#This Row],[COUNTRY]],COUNTRIES[COUNTRY_DESCRIPTION],COUNTRIES[COUNTRY_LABEL],"")</f>
        <v>IR</v>
      </c>
      <c r="F228" t="s">
        <v>35</v>
      </c>
      <c r="G228" t="s">
        <v>20</v>
      </c>
      <c r="H228">
        <v>0</v>
      </c>
      <c r="I228">
        <v>8</v>
      </c>
      <c r="J228">
        <v>8</v>
      </c>
      <c r="K228" s="2" t="s">
        <v>20</v>
      </c>
      <c r="L228">
        <f>_xlfn.XLOOKUP("LOADINGSPEEDDEF_"&amp;PROPERTIES[[#This Row],[LOADINGSPEED]],LOADINGSPEEDDEF[TYPE],LOADINGSPEEDDEF[SPEED])</f>
        <v>0</v>
      </c>
      <c r="M228" t="s">
        <v>21</v>
      </c>
      <c r="N228">
        <v>1</v>
      </c>
      <c r="O228" s="34">
        <v>123</v>
      </c>
      <c r="P228">
        <v>4300</v>
      </c>
      <c r="Q228">
        <v>160</v>
      </c>
      <c r="R228" s="31">
        <v>542</v>
      </c>
      <c r="S228" s="30">
        <f>IFERROR(PROPERTIES[[#This Row],[TE_STARTING_KN]]/(PROPERTIES[[#This Row],[WEIGHT]]*9.81),0)</f>
        <v>0.44918491998375637</v>
      </c>
      <c r="T228" s="30">
        <v>0.21</v>
      </c>
      <c r="U228" s="27">
        <f>ROUND(IF(IFERROR(PROPERTIES[[#This Row],[TE_COEFFICIENT_CALC]],0)=0,PROPERTIES[[#This Row],[TE_COEFFICIENT_MANUAL]],PROPERTIES[[#This Row],[TE_COEFFICIENT_CALC]]),3)</f>
        <v>0.44900000000000001</v>
      </c>
      <c r="V228" s="6">
        <v>40</v>
      </c>
      <c r="W228" s="10">
        <v>0</v>
      </c>
      <c r="X228" s="10">
        <v>0</v>
      </c>
      <c r="Y228" s="11"/>
      <c r="Z228" t="s">
        <v>913</v>
      </c>
      <c r="AA228" t="s">
        <v>904</v>
      </c>
      <c r="AB228" s="2" t="s">
        <v>922</v>
      </c>
      <c r="AC228" s="10" t="s">
        <v>992</v>
      </c>
      <c r="AD228" s="10" t="s">
        <v>993</v>
      </c>
      <c r="AE228" s="11" t="str">
        <f>SUBSTITUTE(SUBSTITUTE(PROPERTIES[[#This Row],[PURCHASECOST_VALUE]], "PURCHASECOST_", ""), "_VALUE", "")</f>
        <v>DIESELENGINE</v>
      </c>
      <c r="AF228" s="10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252</v>
      </c>
      <c r="B229">
        <v>2006</v>
      </c>
      <c r="C229">
        <v>0</v>
      </c>
      <c r="D229" t="s">
        <v>2016</v>
      </c>
      <c r="E229" t="str">
        <f>_xlfn.XLOOKUP(PROPERTIES[[#This Row],[COUNTRY]],COUNTRIES[COUNTRY_DESCRIPTION],COUNTRIES[COUNTRY_LABEL],"")</f>
        <v>UA</v>
      </c>
      <c r="F229" t="s">
        <v>35</v>
      </c>
      <c r="G229" t="s">
        <v>20</v>
      </c>
      <c r="H229">
        <v>0</v>
      </c>
      <c r="I229">
        <v>8</v>
      </c>
      <c r="J229">
        <v>8</v>
      </c>
      <c r="K229" s="2" t="s">
        <v>20</v>
      </c>
      <c r="L229">
        <f>_xlfn.XLOOKUP("LOADINGSPEEDDEF_"&amp;PROPERTIES[[#This Row],[LOADINGSPEED]],LOADINGSPEEDDEF[TYPE],LOADINGSPEEDDEF[SPEED])</f>
        <v>0</v>
      </c>
      <c r="M229" t="s">
        <v>21</v>
      </c>
      <c r="N229">
        <v>1</v>
      </c>
      <c r="O229" s="34">
        <v>135</v>
      </c>
      <c r="P229">
        <v>4216</v>
      </c>
      <c r="Q229">
        <v>160</v>
      </c>
      <c r="R229" s="31">
        <v>310</v>
      </c>
      <c r="S229" s="30">
        <f>IFERROR(PROPERTIES[[#This Row],[TE_STARTING_KN]]/(PROPERTIES[[#This Row],[WEIGHT]]*9.81),0)</f>
        <v>0.23407709442367952</v>
      </c>
      <c r="T229" s="30">
        <v>0.12</v>
      </c>
      <c r="U229" s="27">
        <f>ROUND(IF(IFERROR(PROPERTIES[[#This Row],[TE_COEFFICIENT_CALC]],0)=0,PROPERTIES[[#This Row],[TE_COEFFICIENT_MANUAL]],PROPERTIES[[#This Row],[TE_COEFFICIENT_CALC]]),3)</f>
        <v>0.23400000000000001</v>
      </c>
      <c r="V229" s="6">
        <v>40</v>
      </c>
      <c r="W229" s="10">
        <v>0</v>
      </c>
      <c r="X229" s="10">
        <v>0</v>
      </c>
      <c r="Y229" s="11"/>
      <c r="Z229" t="s">
        <v>911</v>
      </c>
      <c r="AA229" t="s">
        <v>904</v>
      </c>
      <c r="AB229" s="2" t="s">
        <v>922</v>
      </c>
      <c r="AC229" s="10" t="s">
        <v>992</v>
      </c>
      <c r="AD229" s="10" t="s">
        <v>993</v>
      </c>
      <c r="AE229" s="11" t="str">
        <f>SUBSTITUTE(SUBSTITUTE(PROPERTIES[[#This Row],[PURCHASECOST_VALUE]], "PURCHASECOST_", ""), "_VALUE", "")</f>
        <v>DIESELENGINE</v>
      </c>
      <c r="AF229" s="10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253</v>
      </c>
      <c r="B230">
        <v>2008</v>
      </c>
      <c r="C230">
        <v>0</v>
      </c>
      <c r="D230" t="s">
        <v>1835</v>
      </c>
      <c r="E230" t="str">
        <f>_xlfn.XLOOKUP(PROPERTIES[[#This Row],[COUNTRY]],COUNTRIES[COUNTRY_DESCRIPTION],COUNTRIES[COUNTRY_LABEL],"")</f>
        <v>CN</v>
      </c>
      <c r="F230" t="s">
        <v>35</v>
      </c>
      <c r="G230" t="s">
        <v>20</v>
      </c>
      <c r="H230">
        <v>0</v>
      </c>
      <c r="I230">
        <v>8</v>
      </c>
      <c r="J230">
        <v>8</v>
      </c>
      <c r="K230" s="2" t="s">
        <v>20</v>
      </c>
      <c r="L230">
        <f>_xlfn.XLOOKUP("LOADINGSPEEDDEF_"&amp;PROPERTIES[[#This Row],[LOADINGSPEED]],LOADINGSPEEDDEF[TYPE],LOADINGSPEEDDEF[SPEED])</f>
        <v>0</v>
      </c>
      <c r="M230" t="s">
        <v>21</v>
      </c>
      <c r="N230">
        <v>1</v>
      </c>
      <c r="O230" s="34">
        <v>150</v>
      </c>
      <c r="P230">
        <v>6250</v>
      </c>
      <c r="Q230">
        <v>120</v>
      </c>
      <c r="R230" s="31">
        <v>620</v>
      </c>
      <c r="S230" s="30">
        <f>IFERROR(PROPERTIES[[#This Row],[TE_STARTING_KN]]/(PROPERTIES[[#This Row],[WEIGHT]]*9.81),0)</f>
        <v>0.42133876996262315</v>
      </c>
      <c r="T230" s="30">
        <v>0.41</v>
      </c>
      <c r="U230" s="27">
        <f>ROUND(IF(IFERROR(PROPERTIES[[#This Row],[TE_COEFFICIENT_CALC]],0)=0,PROPERTIES[[#This Row],[TE_COEFFICIENT_MANUAL]],PROPERTIES[[#This Row],[TE_COEFFICIENT_CALC]]),3)</f>
        <v>0.42099999999999999</v>
      </c>
      <c r="V230" s="6">
        <v>40</v>
      </c>
      <c r="W230" s="10">
        <v>0</v>
      </c>
      <c r="X230" s="10">
        <v>0</v>
      </c>
      <c r="Y230" s="11"/>
      <c r="Z230" t="s">
        <v>913</v>
      </c>
      <c r="AA230" t="s">
        <v>904</v>
      </c>
      <c r="AB230" s="2" t="s">
        <v>922</v>
      </c>
      <c r="AC230" s="10" t="s">
        <v>992</v>
      </c>
      <c r="AD230" s="10" t="s">
        <v>993</v>
      </c>
      <c r="AE230" s="11" t="str">
        <f>SUBSTITUTE(SUBSTITUTE(PROPERTIES[[#This Row],[PURCHASECOST_VALUE]], "PURCHASECOST_", ""), "_VALUE", "")</f>
        <v>DIESELENGINE</v>
      </c>
      <c r="AF230" s="10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254</v>
      </c>
      <c r="B231">
        <v>2010</v>
      </c>
      <c r="C231">
        <v>0</v>
      </c>
      <c r="D231" t="s">
        <v>1844</v>
      </c>
      <c r="E231" t="str">
        <f>_xlfn.XLOOKUP(PROPERTIES[[#This Row],[COUNTRY]],COUNTRIES[COUNTRY_DESCRIPTION],COUNTRIES[COUNTRY_LABEL],"")</f>
        <v>DE</v>
      </c>
      <c r="F231" t="s">
        <v>35</v>
      </c>
      <c r="G231" t="s">
        <v>20</v>
      </c>
      <c r="H231">
        <v>0</v>
      </c>
      <c r="I231">
        <v>8</v>
      </c>
      <c r="J231">
        <v>8</v>
      </c>
      <c r="K231" s="2" t="s">
        <v>20</v>
      </c>
      <c r="L231">
        <f>_xlfn.XLOOKUP("LOADINGSPEEDDEF_"&amp;PROPERTIES[[#This Row],[LOADINGSPEED]],LOADINGSPEEDDEF[TYPE],LOADINGSPEEDDEF[SPEED])</f>
        <v>0</v>
      </c>
      <c r="M231" t="s">
        <v>21</v>
      </c>
      <c r="N231">
        <v>1</v>
      </c>
      <c r="O231" s="34">
        <v>80</v>
      </c>
      <c r="P231">
        <v>1600</v>
      </c>
      <c r="Q231">
        <v>100</v>
      </c>
      <c r="R231" s="31">
        <v>313</v>
      </c>
      <c r="S231" s="30">
        <f>IFERROR(PROPERTIES[[#This Row],[TE_STARTING_KN]]/(PROPERTIES[[#This Row],[WEIGHT]]*9.81),0)</f>
        <v>0.39882772680937817</v>
      </c>
      <c r="T231" s="30">
        <v>0.32</v>
      </c>
      <c r="U231" s="27">
        <f>ROUND(IF(IFERROR(PROPERTIES[[#This Row],[TE_COEFFICIENT_CALC]],0)=0,PROPERTIES[[#This Row],[TE_COEFFICIENT_MANUAL]],PROPERTIES[[#This Row],[TE_COEFFICIENT_CALC]]),3)</f>
        <v>0.39900000000000002</v>
      </c>
      <c r="V231" s="6">
        <v>40</v>
      </c>
      <c r="W231" s="10">
        <v>0</v>
      </c>
      <c r="X231" s="10">
        <v>0</v>
      </c>
      <c r="Y231" s="11"/>
      <c r="Z231" t="s">
        <v>905</v>
      </c>
      <c r="AA231" t="s">
        <v>904</v>
      </c>
      <c r="AB231" s="2" t="s">
        <v>922</v>
      </c>
      <c r="AC231" s="10" t="s">
        <v>992</v>
      </c>
      <c r="AD231" s="10" t="s">
        <v>993</v>
      </c>
      <c r="AE231" s="11" t="str">
        <f>SUBSTITUTE(SUBSTITUTE(PROPERTIES[[#This Row],[PURCHASECOST_VALUE]], "PURCHASECOST_", ""), "_VALUE", "")</f>
        <v>DIESELENGINE</v>
      </c>
      <c r="AF231" s="10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255</v>
      </c>
      <c r="B232">
        <v>2011</v>
      </c>
      <c r="C232">
        <v>0</v>
      </c>
      <c r="D232" t="s">
        <v>1977</v>
      </c>
      <c r="E232" t="str">
        <f>_xlfn.XLOOKUP(PROPERTIES[[#This Row],[COUNTRY]],COUNTRIES[COUNTRY_DESCRIPTION],COUNTRIES[COUNTRY_LABEL],"")</f>
        <v>RU</v>
      </c>
      <c r="F232" t="s">
        <v>35</v>
      </c>
      <c r="G232" t="s">
        <v>20</v>
      </c>
      <c r="H232">
        <v>0</v>
      </c>
      <c r="I232">
        <v>8</v>
      </c>
      <c r="J232">
        <v>16</v>
      </c>
      <c r="K232" s="2" t="s">
        <v>20</v>
      </c>
      <c r="L232">
        <f>_xlfn.XLOOKUP("LOADINGSPEEDDEF_"&amp;PROPERTIES[[#This Row],[LOADINGSPEED]],LOADINGSPEEDDEF[TYPE],LOADINGSPEEDDEF[SPEED])</f>
        <v>0</v>
      </c>
      <c r="M232" t="s">
        <v>21</v>
      </c>
      <c r="N232">
        <v>1</v>
      </c>
      <c r="O232" s="34">
        <v>300</v>
      </c>
      <c r="P232">
        <v>11130</v>
      </c>
      <c r="Q232">
        <v>100</v>
      </c>
      <c r="R232" s="31">
        <v>775</v>
      </c>
      <c r="S232" s="30">
        <f>IFERROR(PROPERTIES[[#This Row],[TE_STARTING_KN]]/(PROPERTIES[[#This Row],[WEIGHT]]*9.81),0)</f>
        <v>0.26333673122663948</v>
      </c>
      <c r="T232" s="30">
        <v>0.23</v>
      </c>
      <c r="U232" s="27">
        <f>ROUND(IF(IFERROR(PROPERTIES[[#This Row],[TE_COEFFICIENT_CALC]],0)=0,PROPERTIES[[#This Row],[TE_COEFFICIENT_MANUAL]],PROPERTIES[[#This Row],[TE_COEFFICIENT_CALC]]),3)</f>
        <v>0.26300000000000001</v>
      </c>
      <c r="V232" s="6">
        <v>40</v>
      </c>
      <c r="W232" s="10">
        <v>0</v>
      </c>
      <c r="X232" s="10">
        <v>8</v>
      </c>
      <c r="Y232" s="11"/>
      <c r="Z232" t="s">
        <v>913</v>
      </c>
      <c r="AA232" t="s">
        <v>904</v>
      </c>
      <c r="AB232" s="2" t="s">
        <v>922</v>
      </c>
      <c r="AC232" s="10" t="s">
        <v>992</v>
      </c>
      <c r="AD232" s="10" t="s">
        <v>993</v>
      </c>
      <c r="AE232" s="11" t="str">
        <f>SUBSTITUTE(SUBSTITUTE(PROPERTIES[[#This Row],[PURCHASECOST_VALUE]], "PURCHASECOST_", ""), "_VALUE", "")</f>
        <v>DIESELENGINE</v>
      </c>
      <c r="AF232" s="10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256</v>
      </c>
      <c r="B233">
        <v>2003</v>
      </c>
      <c r="C233">
        <v>0</v>
      </c>
      <c r="D233" t="s">
        <v>1835</v>
      </c>
      <c r="E233" t="str">
        <f>_xlfn.XLOOKUP(PROPERTIES[[#This Row],[COUNTRY]],COUNTRIES[COUNTRY_DESCRIPTION],COUNTRIES[COUNTRY_LABEL],"")</f>
        <v>CN</v>
      </c>
      <c r="F233" t="s">
        <v>35</v>
      </c>
      <c r="G233" t="s">
        <v>20</v>
      </c>
      <c r="H233">
        <v>0</v>
      </c>
      <c r="I233">
        <v>8</v>
      </c>
      <c r="J233">
        <v>8</v>
      </c>
      <c r="K233" s="2" t="s">
        <v>20</v>
      </c>
      <c r="L233">
        <f>_xlfn.XLOOKUP("LOADINGSPEEDDEF_"&amp;PROPERTIES[[#This Row],[LOADINGSPEED]],LOADINGSPEEDDEF[TYPE],LOADINGSPEEDDEF[SPEED])</f>
        <v>0</v>
      </c>
      <c r="M233" t="s">
        <v>21</v>
      </c>
      <c r="N233">
        <v>1</v>
      </c>
      <c r="O233" s="34">
        <v>80</v>
      </c>
      <c r="P233">
        <v>2680</v>
      </c>
      <c r="Q233">
        <v>140</v>
      </c>
      <c r="R233" s="31">
        <v>235</v>
      </c>
      <c r="S233" s="30">
        <f>IFERROR(PROPERTIES[[#This Row],[TE_STARTING_KN]]/(PROPERTIES[[#This Row],[WEIGHT]]*9.81),0)</f>
        <v>0.29943934760448521</v>
      </c>
      <c r="T233" s="30">
        <v>0.28999999999999998</v>
      </c>
      <c r="U233" s="27">
        <f>ROUND(IF(IFERROR(PROPERTIES[[#This Row],[TE_COEFFICIENT_CALC]],0)=0,PROPERTIES[[#This Row],[TE_COEFFICIENT_MANUAL]],PROPERTIES[[#This Row],[TE_COEFFICIENT_CALC]]),3)</f>
        <v>0.29899999999999999</v>
      </c>
      <c r="V233" s="6">
        <v>40</v>
      </c>
      <c r="W233" s="10">
        <v>0</v>
      </c>
      <c r="X233" s="10">
        <v>0</v>
      </c>
      <c r="Y233" s="11"/>
      <c r="Z233" t="s">
        <v>913</v>
      </c>
      <c r="AA233" t="s">
        <v>904</v>
      </c>
      <c r="AB233" s="2" t="s">
        <v>922</v>
      </c>
      <c r="AC233" s="10" t="s">
        <v>992</v>
      </c>
      <c r="AD233" s="10" t="s">
        <v>993</v>
      </c>
      <c r="AE233" s="11" t="str">
        <f>SUBSTITUTE(SUBSTITUTE(PROPERTIES[[#This Row],[PURCHASECOST_VALUE]], "PURCHASECOST_", ""), "_VALUE", "")</f>
        <v>DIESELENGINE</v>
      </c>
      <c r="AF233" s="10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257</v>
      </c>
      <c r="B234">
        <v>2010</v>
      </c>
      <c r="C234">
        <v>0</v>
      </c>
      <c r="D234" t="s">
        <v>1844</v>
      </c>
      <c r="E234" t="str">
        <f>_xlfn.XLOOKUP(PROPERTIES[[#This Row],[COUNTRY]],COUNTRIES[COUNTRY_DESCRIPTION],COUNTRIES[COUNTRY_LABEL],"")</f>
        <v>DE</v>
      </c>
      <c r="F234" t="s">
        <v>35</v>
      </c>
      <c r="G234" t="s">
        <v>20</v>
      </c>
      <c r="H234">
        <v>0</v>
      </c>
      <c r="I234">
        <v>8</v>
      </c>
      <c r="J234">
        <v>8</v>
      </c>
      <c r="K234" s="2" t="s">
        <v>20</v>
      </c>
      <c r="L234">
        <f>_xlfn.XLOOKUP("LOADINGSPEEDDEF_"&amp;PROPERTIES[[#This Row],[LOADINGSPEED]],LOADINGSPEEDDEF[TYPE],LOADINGSPEEDDEF[SPEED])</f>
        <v>0</v>
      </c>
      <c r="M234" t="s">
        <v>21</v>
      </c>
      <c r="N234">
        <v>1</v>
      </c>
      <c r="O234" s="34">
        <v>135</v>
      </c>
      <c r="P234">
        <v>4900</v>
      </c>
      <c r="Q234">
        <v>140</v>
      </c>
      <c r="R234" s="31">
        <v>408</v>
      </c>
      <c r="S234" s="30">
        <f>IFERROR(PROPERTIES[[#This Row],[TE_STARTING_KN]]/(PROPERTIES[[#This Row],[WEIGHT]]*9.81),0)</f>
        <v>0.30807565975761692</v>
      </c>
      <c r="T234" s="30">
        <v>0.35</v>
      </c>
      <c r="U234" s="27">
        <f>ROUND(IF(IFERROR(PROPERTIES[[#This Row],[TE_COEFFICIENT_CALC]],0)=0,PROPERTIES[[#This Row],[TE_COEFFICIENT_MANUAL]],PROPERTIES[[#This Row],[TE_COEFFICIENT_CALC]]),3)</f>
        <v>0.308</v>
      </c>
      <c r="V234" s="6">
        <v>40</v>
      </c>
      <c r="W234" s="10">
        <v>0</v>
      </c>
      <c r="X234" s="10">
        <v>0</v>
      </c>
      <c r="Y234" s="11"/>
      <c r="Z234" t="s">
        <v>905</v>
      </c>
      <c r="AA234" t="s">
        <v>904</v>
      </c>
      <c r="AB234" s="2" t="s">
        <v>922</v>
      </c>
      <c r="AC234" s="10" t="s">
        <v>992</v>
      </c>
      <c r="AD234" s="10" t="s">
        <v>993</v>
      </c>
      <c r="AE234" s="11" t="str">
        <f>SUBSTITUTE(SUBSTITUTE(PROPERTIES[[#This Row],[PURCHASECOST_VALUE]], "PURCHASECOST_", ""), "_VALUE", "")</f>
        <v>DIESELENGINE</v>
      </c>
      <c r="AF234" s="10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258</v>
      </c>
      <c r="B235">
        <v>1963</v>
      </c>
      <c r="C235">
        <v>0</v>
      </c>
      <c r="D235" t="s">
        <v>2038</v>
      </c>
      <c r="E235" t="str">
        <f>_xlfn.XLOOKUP(PROPERTIES[[#This Row],[COUNTRY]],COUNTRIES[COUNTRY_DESCRIPTION],COUNTRIES[COUNTRY_LABEL],"")</f>
        <v>SU</v>
      </c>
      <c r="F235" t="s">
        <v>35</v>
      </c>
      <c r="G235" t="s">
        <v>20</v>
      </c>
      <c r="H235">
        <v>0</v>
      </c>
      <c r="I235">
        <v>7</v>
      </c>
      <c r="J235">
        <v>7</v>
      </c>
      <c r="K235" s="2" t="s">
        <v>20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4">
        <v>125</v>
      </c>
      <c r="P235">
        <v>1300</v>
      </c>
      <c r="Q235">
        <v>95</v>
      </c>
      <c r="R235" s="31">
        <v>265</v>
      </c>
      <c r="S235" s="30">
        <f>IFERROR(PROPERTIES[[#This Row],[TE_STARTING_KN]]/(PROPERTIES[[#This Row],[WEIGHT]]*9.81),0)</f>
        <v>0.21610601427115189</v>
      </c>
      <c r="T235" s="30">
        <v>0.12</v>
      </c>
      <c r="U235" s="27">
        <f>ROUND(IF(IFERROR(PROPERTIES[[#This Row],[TE_COEFFICIENT_CALC]],0)=0,PROPERTIES[[#This Row],[TE_COEFFICIENT_MANUAL]],PROPERTIES[[#This Row],[TE_COEFFICIENT_CALC]]),3)</f>
        <v>0.216</v>
      </c>
      <c r="V235" s="6">
        <v>40</v>
      </c>
      <c r="W235" s="10">
        <v>0</v>
      </c>
      <c r="X235" s="10">
        <v>0</v>
      </c>
      <c r="Y235" s="11"/>
      <c r="Z235" t="s">
        <v>913</v>
      </c>
      <c r="AA235" t="s">
        <v>904</v>
      </c>
      <c r="AB235" s="2" t="s">
        <v>922</v>
      </c>
      <c r="AC235" s="10" t="s">
        <v>992</v>
      </c>
      <c r="AD235" s="10" t="s">
        <v>993</v>
      </c>
      <c r="AE235" s="11" t="str">
        <f>SUBSTITUTE(SUBSTITUTE(PROPERTIES[[#This Row],[PURCHASECOST_VALUE]], "PURCHASECOST_", ""), "_VALUE", "")</f>
        <v>DIESELENGINE</v>
      </c>
      <c r="AF235" s="10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259</v>
      </c>
      <c r="B236">
        <v>1928</v>
      </c>
      <c r="C236">
        <v>0</v>
      </c>
      <c r="D236" t="s">
        <v>1825</v>
      </c>
      <c r="E236" t="str">
        <f>_xlfn.XLOOKUP(PROPERTIES[[#This Row],[COUNTRY]],COUNTRIES[COUNTRY_DESCRIPTION],COUNTRIES[COUNTRY_LABEL],"")</f>
        <v>CA</v>
      </c>
      <c r="F236" t="s">
        <v>35</v>
      </c>
      <c r="G236" t="s">
        <v>20</v>
      </c>
      <c r="H236">
        <v>0</v>
      </c>
      <c r="I236">
        <v>7</v>
      </c>
      <c r="J236">
        <v>14</v>
      </c>
      <c r="K236" s="2" t="s">
        <v>20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4">
        <v>335</v>
      </c>
      <c r="P236">
        <v>2660</v>
      </c>
      <c r="Q236">
        <v>112</v>
      </c>
      <c r="R236" s="31">
        <v>213.5</v>
      </c>
      <c r="S236" s="30">
        <f>IFERROR(PROPERTIES[[#This Row],[TE_STARTING_KN]]/(PROPERTIES[[#This Row],[WEIGHT]]*9.81),0)</f>
        <v>6.4965691420572971E-2</v>
      </c>
      <c r="T236" s="30">
        <v>0.11</v>
      </c>
      <c r="U236" s="27">
        <f>ROUND(IF(IFERROR(PROPERTIES[[#This Row],[TE_COEFFICIENT_CALC]],0)=0,PROPERTIES[[#This Row],[TE_COEFFICIENT_MANUAL]],PROPERTIES[[#This Row],[TE_COEFFICIENT_CALC]]),3)</f>
        <v>6.5000000000000002E-2</v>
      </c>
      <c r="V236" s="6">
        <v>40</v>
      </c>
      <c r="W236" s="10">
        <v>0</v>
      </c>
      <c r="X236" s="10">
        <v>7</v>
      </c>
      <c r="Y236" s="11"/>
      <c r="Z236" t="s">
        <v>910</v>
      </c>
      <c r="AA236" t="s">
        <v>904</v>
      </c>
      <c r="AB236" s="2" t="s">
        <v>922</v>
      </c>
      <c r="AC236" s="10" t="s">
        <v>992</v>
      </c>
      <c r="AD236" s="10" t="s">
        <v>993</v>
      </c>
      <c r="AE236" s="11" t="str">
        <f>SUBSTITUTE(SUBSTITUTE(PROPERTIES[[#This Row],[PURCHASECOST_VALUE]], "PURCHASECOST_", ""), "_VALUE", "")</f>
        <v>DIESELENGINE</v>
      </c>
      <c r="AF236" s="10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260</v>
      </c>
      <c r="B237">
        <v>1932</v>
      </c>
      <c r="C237">
        <v>0</v>
      </c>
      <c r="D237" t="s">
        <v>1863</v>
      </c>
      <c r="E237" t="str">
        <f>_xlfn.XLOOKUP(PROPERTIES[[#This Row],[COUNTRY]],COUNTRIES[COUNTRY_DESCRIPTION],COUNTRIES[COUNTRY_LABEL],"")</f>
        <v>GB</v>
      </c>
      <c r="F237" t="s">
        <v>35</v>
      </c>
      <c r="G237" t="s">
        <v>20</v>
      </c>
      <c r="H237">
        <v>0</v>
      </c>
      <c r="I237">
        <v>4</v>
      </c>
      <c r="J237">
        <v>4</v>
      </c>
      <c r="K237" s="2" t="s">
        <v>20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4">
        <v>22</v>
      </c>
      <c r="P237">
        <v>150</v>
      </c>
      <c r="Q237">
        <v>48</v>
      </c>
      <c r="R237" s="31">
        <v>46.8</v>
      </c>
      <c r="S237" s="30">
        <f>IFERROR(PROPERTIES[[#This Row],[TE_STARTING_KN]]/(PROPERTIES[[#This Row],[WEIGHT]]*9.81),0)</f>
        <v>0.21684737281067554</v>
      </c>
      <c r="T237" s="30">
        <v>0.21</v>
      </c>
      <c r="U237" s="27">
        <f>ROUND(IF(IFERROR(PROPERTIES[[#This Row],[TE_COEFFICIENT_CALC]],0)=0,PROPERTIES[[#This Row],[TE_COEFFICIENT_MANUAL]],PROPERTIES[[#This Row],[TE_COEFFICIENT_CALC]]),3)</f>
        <v>0.217</v>
      </c>
      <c r="V237" s="6">
        <v>40</v>
      </c>
      <c r="W237" s="10">
        <v>0</v>
      </c>
      <c r="X237" s="10">
        <v>0</v>
      </c>
      <c r="Y237" s="11"/>
      <c r="Z237" t="s">
        <v>909</v>
      </c>
      <c r="AA237" t="s">
        <v>904</v>
      </c>
      <c r="AB237" s="2" t="s">
        <v>922</v>
      </c>
      <c r="AC237" s="10" t="s">
        <v>992</v>
      </c>
      <c r="AD237" s="10" t="s">
        <v>993</v>
      </c>
      <c r="AE237" s="11" t="str">
        <f>SUBSTITUTE(SUBSTITUTE(PROPERTIES[[#This Row],[PURCHASECOST_VALUE]], "PURCHASECOST_", ""), "_VALUE", "")</f>
        <v>DIESELENGINE</v>
      </c>
      <c r="AF237" s="10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237" s="2" t="b">
        <v>0</v>
      </c>
      <c r="AY237"/>
      <c r="AZ237"/>
      <c r="BA237"/>
    </row>
    <row r="238" spans="1:53">
      <c r="A238" s="2" t="s">
        <v>261</v>
      </c>
      <c r="B238">
        <v>1937</v>
      </c>
      <c r="C238">
        <v>0</v>
      </c>
      <c r="D238" t="s">
        <v>2019</v>
      </c>
      <c r="E238" t="str">
        <f>_xlfn.XLOOKUP(PROPERTIES[[#This Row],[COUNTRY]],COUNTRIES[COUNTRY_DESCRIPTION],COUNTRIES[COUNTRY_LABEL],"")</f>
        <v>US</v>
      </c>
      <c r="F238" t="s">
        <v>35</v>
      </c>
      <c r="G238" t="s">
        <v>20</v>
      </c>
      <c r="H238">
        <v>0</v>
      </c>
      <c r="I238">
        <v>8</v>
      </c>
      <c r="J238">
        <v>8</v>
      </c>
      <c r="K238" s="2" t="s">
        <v>20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4">
        <v>98</v>
      </c>
      <c r="P238">
        <v>1200</v>
      </c>
      <c r="Q238">
        <v>180</v>
      </c>
      <c r="R238" s="31">
        <v>125</v>
      </c>
      <c r="S238" s="30">
        <f>IFERROR(PROPERTIES[[#This Row],[TE_STARTING_KN]]/(PROPERTIES[[#This Row],[WEIGHT]]*9.81),0)</f>
        <v>0.13002142753125714</v>
      </c>
      <c r="T238" s="30">
        <v>0.12</v>
      </c>
      <c r="U238" s="27">
        <f>ROUND(IF(IFERROR(PROPERTIES[[#This Row],[TE_COEFFICIENT_CALC]],0)=0,PROPERTIES[[#This Row],[TE_COEFFICIENT_MANUAL]],PROPERTIES[[#This Row],[TE_COEFFICIENT_CALC]]),3)</f>
        <v>0.13</v>
      </c>
      <c r="V238" s="6">
        <v>40</v>
      </c>
      <c r="W238" s="10">
        <v>0</v>
      </c>
      <c r="X238" s="10">
        <v>0</v>
      </c>
      <c r="Y238" s="11"/>
      <c r="Z238" t="s">
        <v>910</v>
      </c>
      <c r="AA238" t="s">
        <v>904</v>
      </c>
      <c r="AB238" s="2" t="s">
        <v>922</v>
      </c>
      <c r="AC238" s="10" t="s">
        <v>992</v>
      </c>
      <c r="AD238" s="10" t="s">
        <v>993</v>
      </c>
      <c r="AE238" s="11" t="str">
        <f>SUBSTITUTE(SUBSTITUTE(PROPERTIES[[#This Row],[PURCHASECOST_VALUE]], "PURCHASECOST_", ""), "_VALUE", "")</f>
        <v>DIESELENGINE</v>
      </c>
      <c r="AF238" s="10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262</v>
      </c>
      <c r="B239">
        <v>1939</v>
      </c>
      <c r="C239">
        <v>0</v>
      </c>
      <c r="D239" t="s">
        <v>2019</v>
      </c>
      <c r="E239" t="str">
        <f>_xlfn.XLOOKUP(PROPERTIES[[#This Row],[COUNTRY]],COUNTRIES[COUNTRY_DESCRIPTION],COUNTRIES[COUNTRY_LABEL],"")</f>
        <v>US</v>
      </c>
      <c r="F239" t="s">
        <v>35</v>
      </c>
      <c r="G239" t="s">
        <v>20</v>
      </c>
      <c r="H239">
        <v>0</v>
      </c>
      <c r="I239">
        <v>6</v>
      </c>
      <c r="J239">
        <v>6</v>
      </c>
      <c r="K239" s="2" t="s">
        <v>20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4">
        <v>92</v>
      </c>
      <c r="P239">
        <v>660</v>
      </c>
      <c r="Q239">
        <v>64</v>
      </c>
      <c r="R239" s="31">
        <v>226.84</v>
      </c>
      <c r="S239" s="30">
        <f>IFERROR(PROPERTIES[[#This Row],[TE_STARTING_KN]]/(PROPERTIES[[#This Row],[WEIGHT]]*9.81),0)</f>
        <v>0.2513406905110136</v>
      </c>
      <c r="T239" s="30">
        <v>0.24</v>
      </c>
      <c r="U239" s="27">
        <f>ROUND(IF(IFERROR(PROPERTIES[[#This Row],[TE_COEFFICIENT_CALC]],0)=0,PROPERTIES[[#This Row],[TE_COEFFICIENT_MANUAL]],PROPERTIES[[#This Row],[TE_COEFFICIENT_CALC]]),3)</f>
        <v>0.251</v>
      </c>
      <c r="V239" s="6">
        <v>40</v>
      </c>
      <c r="W239" s="10">
        <v>0</v>
      </c>
      <c r="X239" s="10">
        <v>0</v>
      </c>
      <c r="Y239" s="11"/>
      <c r="Z239" t="s">
        <v>910</v>
      </c>
      <c r="AA239" t="s">
        <v>904</v>
      </c>
      <c r="AB239" s="2" t="s">
        <v>922</v>
      </c>
      <c r="AC239" s="10" t="s">
        <v>992</v>
      </c>
      <c r="AD239" s="10" t="s">
        <v>993</v>
      </c>
      <c r="AE239" s="11" t="str">
        <f>SUBSTITUTE(SUBSTITUTE(PROPERTIES[[#This Row],[PURCHASECOST_VALUE]], "PURCHASECOST_", ""), "_VALUE", "")</f>
        <v>DIESELENGINE</v>
      </c>
      <c r="AF239" s="10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263</v>
      </c>
      <c r="B240">
        <v>1939</v>
      </c>
      <c r="C240">
        <v>0</v>
      </c>
      <c r="D240" t="s">
        <v>1863</v>
      </c>
      <c r="E240" t="str">
        <f>_xlfn.XLOOKUP(PROPERTIES[[#This Row],[COUNTRY]],COUNTRIES[COUNTRY_DESCRIPTION],COUNTRIES[COUNTRY_LABEL],"")</f>
        <v>GB</v>
      </c>
      <c r="F240" t="s">
        <v>35</v>
      </c>
      <c r="G240" t="s">
        <v>20</v>
      </c>
      <c r="H240">
        <v>0</v>
      </c>
      <c r="I240">
        <v>5</v>
      </c>
      <c r="J240">
        <v>5</v>
      </c>
      <c r="K240" s="2" t="s">
        <v>20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4">
        <v>55</v>
      </c>
      <c r="P240">
        <v>350</v>
      </c>
      <c r="Q240">
        <v>32</v>
      </c>
      <c r="R240" s="31">
        <v>160</v>
      </c>
      <c r="S240" s="30">
        <f>IFERROR(PROPERTIES[[#This Row],[TE_STARTING_KN]]/(PROPERTIES[[#This Row],[WEIGHT]]*9.81),0)</f>
        <v>0.2965434158094708</v>
      </c>
      <c r="T240" s="30">
        <v>0.28999999999999998</v>
      </c>
      <c r="U240" s="27">
        <f>ROUND(IF(IFERROR(PROPERTIES[[#This Row],[TE_COEFFICIENT_CALC]],0)=0,PROPERTIES[[#This Row],[TE_COEFFICIENT_MANUAL]],PROPERTIES[[#This Row],[TE_COEFFICIENT_CALC]]),3)</f>
        <v>0.29699999999999999</v>
      </c>
      <c r="V240" s="6">
        <v>40</v>
      </c>
      <c r="W240" s="10">
        <v>0</v>
      </c>
      <c r="X240" s="10">
        <v>0</v>
      </c>
      <c r="Y240" s="11"/>
      <c r="Z240" t="s">
        <v>909</v>
      </c>
      <c r="AA240" t="s">
        <v>904</v>
      </c>
      <c r="AB240" s="2" t="s">
        <v>922</v>
      </c>
      <c r="AC240" s="10" t="s">
        <v>992</v>
      </c>
      <c r="AD240" s="10" t="s">
        <v>993</v>
      </c>
      <c r="AE240" s="11" t="str">
        <f>SUBSTITUTE(SUBSTITUTE(PROPERTIES[[#This Row],[PURCHASECOST_VALUE]], "PURCHASECOST_", ""), "_VALUE", "")</f>
        <v>DIESELENGINE</v>
      </c>
      <c r="AF240" s="10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240" s="2" t="b">
        <v>0</v>
      </c>
      <c r="AY240"/>
      <c r="AZ240"/>
      <c r="BA240"/>
    </row>
    <row r="241" spans="1:53">
      <c r="A241" s="2" t="s">
        <v>264</v>
      </c>
      <c r="B241">
        <v>1939</v>
      </c>
      <c r="C241">
        <v>0</v>
      </c>
      <c r="D241" t="s">
        <v>1800</v>
      </c>
      <c r="E241" t="str">
        <f>_xlfn.XLOOKUP(PROPERTIES[[#This Row],[COUNTRY]],COUNTRIES[COUNTRY_DESCRIPTION],COUNTRIES[COUNTRY_LABEL],"")</f>
        <v>AU</v>
      </c>
      <c r="F241" t="s">
        <v>35</v>
      </c>
      <c r="G241" t="s">
        <v>20</v>
      </c>
      <c r="H241">
        <v>0</v>
      </c>
      <c r="I241">
        <v>5</v>
      </c>
      <c r="J241">
        <v>5</v>
      </c>
      <c r="K241" s="2" t="s">
        <v>20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4">
        <v>18</v>
      </c>
      <c r="P241">
        <v>150</v>
      </c>
      <c r="Q241">
        <v>50</v>
      </c>
      <c r="R241" s="31">
        <v>31</v>
      </c>
      <c r="S241" s="30">
        <f>IFERROR(PROPERTIES[[#This Row],[TE_STARTING_KN]]/(PROPERTIES[[#This Row],[WEIGHT]]*9.81),0)</f>
        <v>0.17555782081775964</v>
      </c>
      <c r="T241" s="30">
        <v>0.17</v>
      </c>
      <c r="U241" s="27">
        <f>ROUND(IF(IFERROR(PROPERTIES[[#This Row],[TE_COEFFICIENT_CALC]],0)=0,PROPERTIES[[#This Row],[TE_COEFFICIENT_MANUAL]],PROPERTIES[[#This Row],[TE_COEFFICIENT_CALC]]),3)</f>
        <v>0.17599999999999999</v>
      </c>
      <c r="V241" s="6">
        <v>40</v>
      </c>
      <c r="W241" s="10">
        <v>0</v>
      </c>
      <c r="X241" s="10">
        <v>0</v>
      </c>
      <c r="Y241" s="11"/>
      <c r="Z241" t="s">
        <v>907</v>
      </c>
      <c r="AA241" t="s">
        <v>904</v>
      </c>
      <c r="AB241" s="2" t="s">
        <v>922</v>
      </c>
      <c r="AC241" s="10" t="s">
        <v>992</v>
      </c>
      <c r="AD241" s="10" t="s">
        <v>993</v>
      </c>
      <c r="AE241" s="11" t="str">
        <f>SUBSTITUTE(SUBSTITUTE(PROPERTIES[[#This Row],[PURCHASECOST_VALUE]], "PURCHASECOST_", ""), "_VALUE", "")</f>
        <v>DIESELENGINE</v>
      </c>
      <c r="AF241" s="10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241" s="2" t="b">
        <v>0</v>
      </c>
      <c r="AY241"/>
      <c r="AZ241"/>
      <c r="BA241"/>
    </row>
    <row r="242" spans="1:53">
      <c r="A242" s="2" t="s">
        <v>265</v>
      </c>
      <c r="B242">
        <v>1944</v>
      </c>
      <c r="C242">
        <v>0</v>
      </c>
      <c r="D242" t="s">
        <v>2019</v>
      </c>
      <c r="E242" t="str">
        <f>_xlfn.XLOOKUP(PROPERTIES[[#This Row],[COUNTRY]],COUNTRIES[COUNTRY_DESCRIPTION],COUNTRIES[COUNTRY_LABEL],"")</f>
        <v>US</v>
      </c>
      <c r="F242" t="s">
        <v>35</v>
      </c>
      <c r="G242" t="s">
        <v>20</v>
      </c>
      <c r="H242">
        <v>0</v>
      </c>
      <c r="I242">
        <v>6</v>
      </c>
      <c r="J242">
        <v>6</v>
      </c>
      <c r="K242" s="2" t="s">
        <v>20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4">
        <v>109</v>
      </c>
      <c r="P242">
        <v>1000</v>
      </c>
      <c r="Q242">
        <v>97</v>
      </c>
      <c r="R242" s="31">
        <v>179.9</v>
      </c>
      <c r="S242" s="30">
        <f>IFERROR(PROPERTIES[[#This Row],[TE_STARTING_KN]]/(PROPERTIES[[#This Row],[WEIGHT]]*9.81),0)</f>
        <v>0.16824247865406017</v>
      </c>
      <c r="T242" s="30">
        <v>0.17</v>
      </c>
      <c r="U242" s="27">
        <f>ROUND(IF(IFERROR(PROPERTIES[[#This Row],[TE_COEFFICIENT_CALC]],0)=0,PROPERTIES[[#This Row],[TE_COEFFICIENT_MANUAL]],PROPERTIES[[#This Row],[TE_COEFFICIENT_CALC]]),3)</f>
        <v>0.16800000000000001</v>
      </c>
      <c r="V242" s="6">
        <v>40</v>
      </c>
      <c r="W242" s="10">
        <v>0</v>
      </c>
      <c r="X242" s="10">
        <v>0</v>
      </c>
      <c r="Y242" s="11"/>
      <c r="Z242" t="s">
        <v>910</v>
      </c>
      <c r="AA242" t="s">
        <v>904</v>
      </c>
      <c r="AB242" s="2" t="s">
        <v>922</v>
      </c>
      <c r="AC242" s="10" t="s">
        <v>992</v>
      </c>
      <c r="AD242" s="10" t="s">
        <v>993</v>
      </c>
      <c r="AE242" s="11" t="str">
        <f>SUBSTITUTE(SUBSTITUTE(PROPERTIES[[#This Row],[PURCHASECOST_VALUE]], "PURCHASECOST_", ""), "_VALUE", "")</f>
        <v>DIESELENGINE</v>
      </c>
      <c r="AF242" s="10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266</v>
      </c>
      <c r="B243">
        <v>1948</v>
      </c>
      <c r="C243">
        <v>0</v>
      </c>
      <c r="D243" t="s">
        <v>1849</v>
      </c>
      <c r="E243" t="str">
        <f>_xlfn.XLOOKUP(PROPERTIES[[#This Row],[COUNTRY]],COUNTRIES[COUNTRY_DESCRIPTION],COUNTRIES[COUNTRY_LABEL],"")</f>
        <v>DZ</v>
      </c>
      <c r="F243" t="s">
        <v>35</v>
      </c>
      <c r="G243" t="s">
        <v>20</v>
      </c>
      <c r="H243">
        <v>0</v>
      </c>
      <c r="I243">
        <v>7</v>
      </c>
      <c r="J243">
        <v>7</v>
      </c>
      <c r="K243" s="2" t="s">
        <v>20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4">
        <v>92</v>
      </c>
      <c r="P243">
        <v>1000</v>
      </c>
      <c r="Q243">
        <v>80</v>
      </c>
      <c r="R243" s="31">
        <v>0</v>
      </c>
      <c r="S243" s="30">
        <f>IFERROR(PROPERTIES[[#This Row],[TE_STARTING_KN]]/(PROPERTIES[[#This Row],[WEIGHT]]*9.81),0)</f>
        <v>0</v>
      </c>
      <c r="T243" s="30">
        <v>0.14000000000000001</v>
      </c>
      <c r="U243" s="27">
        <f>ROUND(IF(IFERROR(PROPERTIES[[#This Row],[TE_COEFFICIENT_CALC]],0)=0,PROPERTIES[[#This Row],[TE_COEFFICIENT_MANUAL]],PROPERTIES[[#This Row],[TE_COEFFICIENT_CALC]]),3)</f>
        <v>0.14000000000000001</v>
      </c>
      <c r="V243" s="6">
        <v>40</v>
      </c>
      <c r="W243" s="10">
        <v>0</v>
      </c>
      <c r="X243" s="10">
        <v>0</v>
      </c>
      <c r="Y243" s="11"/>
      <c r="Z243" t="s">
        <v>908</v>
      </c>
      <c r="AA243" t="s">
        <v>904</v>
      </c>
      <c r="AB243" s="2" t="s">
        <v>922</v>
      </c>
      <c r="AC243" s="10" t="s">
        <v>992</v>
      </c>
      <c r="AD243" s="10" t="s">
        <v>993</v>
      </c>
      <c r="AE243" s="11" t="str">
        <f>SUBSTITUTE(SUBSTITUTE(PROPERTIES[[#This Row],[PURCHASECOST_VALUE]], "PURCHASECOST_", ""), "_VALUE", "")</f>
        <v>DIESELENGINE</v>
      </c>
      <c r="AF243" s="10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267</v>
      </c>
      <c r="B244">
        <v>1950</v>
      </c>
      <c r="C244">
        <v>0</v>
      </c>
      <c r="D244" t="s">
        <v>1888</v>
      </c>
      <c r="E244" t="str">
        <f>_xlfn.XLOOKUP(PROPERTIES[[#This Row],[COUNTRY]],COUNTRIES[COUNTRY_DESCRIPTION],COUNTRIES[COUNTRY_LABEL],"")</f>
        <v>IE</v>
      </c>
      <c r="F244" t="s">
        <v>35</v>
      </c>
      <c r="G244" t="s">
        <v>20</v>
      </c>
      <c r="H244">
        <v>0</v>
      </c>
      <c r="I244">
        <v>8</v>
      </c>
      <c r="J244">
        <v>8</v>
      </c>
      <c r="K244" s="2" t="s">
        <v>20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4">
        <v>81</v>
      </c>
      <c r="P244">
        <v>915</v>
      </c>
      <c r="Q244">
        <v>88</v>
      </c>
      <c r="R244" s="31">
        <v>205</v>
      </c>
      <c r="S244" s="30">
        <f>IFERROR(PROPERTIES[[#This Row],[TE_STARTING_KN]]/(PROPERTIES[[#This Row],[WEIGHT]]*9.81),0)</f>
        <v>0.25798819546695861</v>
      </c>
      <c r="T244" s="30">
        <v>0.25</v>
      </c>
      <c r="U244" s="27">
        <f>ROUND(IF(IFERROR(PROPERTIES[[#This Row],[TE_COEFFICIENT_CALC]],0)=0,PROPERTIES[[#This Row],[TE_COEFFICIENT_MANUAL]],PROPERTIES[[#This Row],[TE_COEFFICIENT_CALC]]),3)</f>
        <v>0.25800000000000001</v>
      </c>
      <c r="V244" s="6">
        <v>40</v>
      </c>
      <c r="W244" s="10">
        <v>0</v>
      </c>
      <c r="X244" s="10">
        <v>0</v>
      </c>
      <c r="Y244" s="11"/>
      <c r="Z244" t="s">
        <v>909</v>
      </c>
      <c r="AA244" t="s">
        <v>904</v>
      </c>
      <c r="AB244" s="2" t="s">
        <v>922</v>
      </c>
      <c r="AC244" s="10" t="s">
        <v>992</v>
      </c>
      <c r="AD244" s="10" t="s">
        <v>993</v>
      </c>
      <c r="AE244" s="11" t="str">
        <f>SUBSTITUTE(SUBSTITUTE(PROPERTIES[[#This Row],[PURCHASECOST_VALUE]], "PURCHASECOST_", ""), "_VALUE", "")</f>
        <v>DIESELENGINE</v>
      </c>
      <c r="AF244" s="10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268</v>
      </c>
      <c r="B245">
        <v>1950</v>
      </c>
      <c r="C245">
        <v>0</v>
      </c>
      <c r="D245" t="s">
        <v>1818</v>
      </c>
      <c r="E245" t="str">
        <f>_xlfn.XLOOKUP(PROPERTIES[[#This Row],[COUNTRY]],COUNTRIES[COUNTRY_DESCRIPTION],COUNTRIES[COUNTRY_LABEL],"")</f>
        <v>BR</v>
      </c>
      <c r="F245" t="s">
        <v>35</v>
      </c>
      <c r="G245" t="s">
        <v>20</v>
      </c>
      <c r="H245">
        <v>0</v>
      </c>
      <c r="I245">
        <v>8</v>
      </c>
      <c r="J245">
        <v>8</v>
      </c>
      <c r="K245" s="2" t="s">
        <v>20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4">
        <v>148</v>
      </c>
      <c r="P245">
        <v>1600</v>
      </c>
      <c r="Q245">
        <v>100</v>
      </c>
      <c r="R245" s="31">
        <v>434</v>
      </c>
      <c r="S245" s="30">
        <f>IFERROR(PROPERTIES[[#This Row],[TE_STARTING_KN]]/(PROPERTIES[[#This Row],[WEIGHT]]*9.81),0)</f>
        <v>0.29892277598699613</v>
      </c>
      <c r="T245" s="30">
        <v>0.24</v>
      </c>
      <c r="U245" s="27">
        <f>ROUND(IF(IFERROR(PROPERTIES[[#This Row],[TE_COEFFICIENT_CALC]],0)=0,PROPERTIES[[#This Row],[TE_COEFFICIENT_MANUAL]],PROPERTIES[[#This Row],[TE_COEFFICIENT_CALC]]),3)</f>
        <v>0.29899999999999999</v>
      </c>
      <c r="V245" s="6">
        <v>40</v>
      </c>
      <c r="W245" s="10">
        <v>0</v>
      </c>
      <c r="X245" s="10">
        <v>0</v>
      </c>
      <c r="Y245" s="11"/>
      <c r="Z245" t="s">
        <v>912</v>
      </c>
      <c r="AA245" t="s">
        <v>904</v>
      </c>
      <c r="AB245" s="2" t="s">
        <v>922</v>
      </c>
      <c r="AC245" s="10" t="s">
        <v>992</v>
      </c>
      <c r="AD245" s="10" t="s">
        <v>993</v>
      </c>
      <c r="AE245" s="11" t="str">
        <f>SUBSTITUTE(SUBSTITUTE(PROPERTIES[[#This Row],[PURCHASECOST_VALUE]], "PURCHASECOST_", ""), "_VALUE", "")</f>
        <v>DIESELENGINE</v>
      </c>
      <c r="AF245" s="10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269</v>
      </c>
      <c r="B246">
        <v>1950</v>
      </c>
      <c r="C246">
        <v>0</v>
      </c>
      <c r="D246" t="s">
        <v>1943</v>
      </c>
      <c r="E246" t="str">
        <f>_xlfn.XLOOKUP(PROPERTIES[[#This Row],[COUNTRY]],COUNTRIES[COUNTRY_DESCRIPTION],COUNTRIES[COUNTRY_LABEL],"")</f>
        <v>MX</v>
      </c>
      <c r="F246" t="s">
        <v>35</v>
      </c>
      <c r="G246" t="s">
        <v>20</v>
      </c>
      <c r="H246">
        <v>0</v>
      </c>
      <c r="I246">
        <v>8</v>
      </c>
      <c r="J246">
        <v>8</v>
      </c>
      <c r="K246" s="2" t="s">
        <v>20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4">
        <v>113</v>
      </c>
      <c r="P246">
        <v>1600</v>
      </c>
      <c r="Q246">
        <v>105</v>
      </c>
      <c r="R246" s="31">
        <v>187.4</v>
      </c>
      <c r="S246" s="30">
        <f>IFERROR(PROPERTIES[[#This Row],[TE_STARTING_KN]]/(PROPERTIES[[#This Row],[WEIGHT]]*9.81),0)</f>
        <v>0.16905270944403852</v>
      </c>
      <c r="T246" s="30">
        <v>0.17</v>
      </c>
      <c r="U246" s="27">
        <f>ROUND(IF(IFERROR(PROPERTIES[[#This Row],[TE_COEFFICIENT_CALC]],0)=0,PROPERTIES[[#This Row],[TE_COEFFICIENT_MANUAL]],PROPERTIES[[#This Row],[TE_COEFFICIENT_CALC]]),3)</f>
        <v>0.16900000000000001</v>
      </c>
      <c r="V246" s="6">
        <v>40</v>
      </c>
      <c r="W246" s="10">
        <v>0</v>
      </c>
      <c r="X246" s="10">
        <v>0</v>
      </c>
      <c r="Y246" s="11"/>
      <c r="Z246" t="s">
        <v>910</v>
      </c>
      <c r="AA246" t="s">
        <v>904</v>
      </c>
      <c r="AB246" s="2" t="s">
        <v>922</v>
      </c>
      <c r="AC246" s="10" t="s">
        <v>992</v>
      </c>
      <c r="AD246" s="10" t="s">
        <v>993</v>
      </c>
      <c r="AE246" s="11" t="str">
        <f>SUBSTITUTE(SUBSTITUTE(PROPERTIES[[#This Row],[PURCHASECOST_VALUE]], "PURCHASECOST_", ""), "_VALUE", "")</f>
        <v>DIESELENGINE</v>
      </c>
      <c r="AF246" s="10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270</v>
      </c>
      <c r="B247">
        <v>1951</v>
      </c>
      <c r="C247">
        <v>0</v>
      </c>
      <c r="D247" t="s">
        <v>1800</v>
      </c>
      <c r="E247" t="str">
        <f>_xlfn.XLOOKUP(PROPERTIES[[#This Row],[COUNTRY]],COUNTRIES[COUNTRY_DESCRIPTION],COUNTRIES[COUNTRY_LABEL],"")</f>
        <v>AU</v>
      </c>
      <c r="F247" t="s">
        <v>35</v>
      </c>
      <c r="G247" t="s">
        <v>20</v>
      </c>
      <c r="H247">
        <v>0</v>
      </c>
      <c r="I247">
        <v>8</v>
      </c>
      <c r="J247">
        <v>8</v>
      </c>
      <c r="K247" s="2" t="s">
        <v>20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4">
        <v>121</v>
      </c>
      <c r="P247">
        <v>1590</v>
      </c>
      <c r="Q247">
        <v>121</v>
      </c>
      <c r="R247" s="31">
        <v>249.1</v>
      </c>
      <c r="S247" s="30">
        <f>IFERROR(PROPERTIES[[#This Row],[TE_STARTING_KN]]/(PROPERTIES[[#This Row],[WEIGHT]]*9.81),0)</f>
        <v>0.20985501385834998</v>
      </c>
      <c r="T247" s="30">
        <v>0.12</v>
      </c>
      <c r="U247" s="27">
        <f>ROUND(IF(IFERROR(PROPERTIES[[#This Row],[TE_COEFFICIENT_CALC]],0)=0,PROPERTIES[[#This Row],[TE_COEFFICIENT_MANUAL]],PROPERTIES[[#This Row],[TE_COEFFICIENT_CALC]]),3)</f>
        <v>0.21</v>
      </c>
      <c r="V247" s="6">
        <v>40</v>
      </c>
      <c r="W247" s="10">
        <v>0</v>
      </c>
      <c r="X247" s="10">
        <v>0</v>
      </c>
      <c r="Y247" s="11"/>
      <c r="Z247" t="s">
        <v>907</v>
      </c>
      <c r="AA247" t="s">
        <v>904</v>
      </c>
      <c r="AB247" s="2" t="s">
        <v>922</v>
      </c>
      <c r="AC247" s="10" t="s">
        <v>992</v>
      </c>
      <c r="AD247" s="10" t="s">
        <v>993</v>
      </c>
      <c r="AE247" s="11" t="str">
        <f>SUBSTITUTE(SUBSTITUTE(PROPERTIES[[#This Row],[PURCHASECOST_VALUE]], "PURCHASECOST_", ""), "_VALUE", "")</f>
        <v>DIESELENGINE</v>
      </c>
      <c r="AF247" s="10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271</v>
      </c>
      <c r="B248">
        <v>1954</v>
      </c>
      <c r="C248">
        <v>0</v>
      </c>
      <c r="D248" t="s">
        <v>1916</v>
      </c>
      <c r="E248" t="str">
        <f>_xlfn.XLOOKUP(PROPERTIES[[#This Row],[COUNTRY]],COUNTRIES[COUNTRY_DESCRIPTION],COUNTRIES[COUNTRY_LABEL],"")</f>
        <v>LK</v>
      </c>
      <c r="F248" t="s">
        <v>35</v>
      </c>
      <c r="G248" t="s">
        <v>20</v>
      </c>
      <c r="H248">
        <v>0</v>
      </c>
      <c r="I248">
        <v>6</v>
      </c>
      <c r="J248">
        <v>6</v>
      </c>
      <c r="K248" s="2" t="s">
        <v>20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4">
        <v>79</v>
      </c>
      <c r="P248">
        <v>1425</v>
      </c>
      <c r="Q248">
        <v>112</v>
      </c>
      <c r="R248" s="31">
        <v>0</v>
      </c>
      <c r="S248" s="30">
        <f>IFERROR(PROPERTIES[[#This Row],[TE_STARTING_KN]]/(PROPERTIES[[#This Row],[WEIGHT]]*9.81),0)</f>
        <v>0</v>
      </c>
      <c r="T248" s="30">
        <v>0.24</v>
      </c>
      <c r="U248" s="27">
        <f>ROUND(IF(IFERROR(PROPERTIES[[#This Row],[TE_COEFFICIENT_CALC]],0)=0,PROPERTIES[[#This Row],[TE_COEFFICIENT_MANUAL]],PROPERTIES[[#This Row],[TE_COEFFICIENT_CALC]]),3)</f>
        <v>0.24</v>
      </c>
      <c r="V248" s="6">
        <v>40</v>
      </c>
      <c r="W248" s="10">
        <v>0</v>
      </c>
      <c r="X248" s="10">
        <v>0</v>
      </c>
      <c r="Y248" s="11"/>
      <c r="Z248" t="s">
        <v>913</v>
      </c>
      <c r="AA248" t="s">
        <v>904</v>
      </c>
      <c r="AB248" s="2" t="s">
        <v>922</v>
      </c>
      <c r="AC248" s="10" t="s">
        <v>992</v>
      </c>
      <c r="AD248" s="10" t="s">
        <v>993</v>
      </c>
      <c r="AE248" s="11" t="str">
        <f>SUBSTITUTE(SUBSTITUTE(PROPERTIES[[#This Row],[PURCHASECOST_VALUE]], "PURCHASECOST_", ""), "_VALUE", "")</f>
        <v>DIESELENGINE</v>
      </c>
      <c r="AF248" s="10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272</v>
      </c>
      <c r="B249">
        <v>1955</v>
      </c>
      <c r="C249">
        <v>0</v>
      </c>
      <c r="D249" t="s">
        <v>1888</v>
      </c>
      <c r="E249" t="str">
        <f>_xlfn.XLOOKUP(PROPERTIES[[#This Row],[COUNTRY]],COUNTRIES[COUNTRY_DESCRIPTION],COUNTRIES[COUNTRY_LABEL],"")</f>
        <v>IE</v>
      </c>
      <c r="F249" t="s">
        <v>35</v>
      </c>
      <c r="G249" t="s">
        <v>20</v>
      </c>
      <c r="H249">
        <v>0</v>
      </c>
      <c r="I249">
        <v>7</v>
      </c>
      <c r="J249">
        <v>7</v>
      </c>
      <c r="K249" s="2" t="s">
        <v>20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4">
        <v>82</v>
      </c>
      <c r="P249">
        <v>1325</v>
      </c>
      <c r="Q249">
        <v>120</v>
      </c>
      <c r="R249" s="31">
        <v>275</v>
      </c>
      <c r="S249" s="30">
        <f>IFERROR(PROPERTIES[[#This Row],[TE_STARTING_KN]]/(PROPERTIES[[#This Row],[WEIGHT]]*9.81),0)</f>
        <v>0.34186121677730535</v>
      </c>
      <c r="T249" s="30">
        <v>0.33</v>
      </c>
      <c r="U249" s="27">
        <f>ROUND(IF(IFERROR(PROPERTIES[[#This Row],[TE_COEFFICIENT_CALC]],0)=0,PROPERTIES[[#This Row],[TE_COEFFICIENT_MANUAL]],PROPERTIES[[#This Row],[TE_COEFFICIENT_CALC]]),3)</f>
        <v>0.34200000000000003</v>
      </c>
      <c r="V249" s="6">
        <v>40</v>
      </c>
      <c r="W249" s="10">
        <v>0</v>
      </c>
      <c r="X249" s="10">
        <v>0</v>
      </c>
      <c r="Y249" s="11"/>
      <c r="Z249" t="s">
        <v>909</v>
      </c>
      <c r="AA249" t="s">
        <v>904</v>
      </c>
      <c r="AB249" s="2" t="s">
        <v>922</v>
      </c>
      <c r="AC249" s="10" t="s">
        <v>992</v>
      </c>
      <c r="AD249" s="10" t="s">
        <v>993</v>
      </c>
      <c r="AE249" s="11" t="str">
        <f>SUBSTITUTE(SUBSTITUTE(PROPERTIES[[#This Row],[PURCHASECOST_VALUE]], "PURCHASECOST_", ""), "_VALUE", "")</f>
        <v>DIESELENGINE</v>
      </c>
      <c r="AF249" s="10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273</v>
      </c>
      <c r="B250">
        <v>1957</v>
      </c>
      <c r="C250">
        <v>0</v>
      </c>
      <c r="D250" t="s">
        <v>1896</v>
      </c>
      <c r="E250" t="str">
        <f>_xlfn.XLOOKUP(PROPERTIES[[#This Row],[COUNTRY]],COUNTRIES[COUNTRY_DESCRIPTION],COUNTRIES[COUNTRY_LABEL],"")</f>
        <v>IT</v>
      </c>
      <c r="F250" t="s">
        <v>35</v>
      </c>
      <c r="G250" t="s">
        <v>20</v>
      </c>
      <c r="H250">
        <v>0</v>
      </c>
      <c r="I250">
        <v>8</v>
      </c>
      <c r="J250">
        <v>8</v>
      </c>
      <c r="K250" s="2" t="s">
        <v>20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4">
        <v>67</v>
      </c>
      <c r="P250">
        <v>1380</v>
      </c>
      <c r="Q250">
        <v>110</v>
      </c>
      <c r="R250" s="31">
        <v>0</v>
      </c>
      <c r="S250" s="30">
        <f>IFERROR(PROPERTIES[[#This Row],[TE_STARTING_KN]]/(PROPERTIES[[#This Row],[WEIGHT]]*9.81),0)</f>
        <v>0</v>
      </c>
      <c r="T250" s="30">
        <v>0.26</v>
      </c>
      <c r="U250" s="27">
        <f>ROUND(IF(IFERROR(PROPERTIES[[#This Row],[TE_COEFFICIENT_CALC]],0)=0,PROPERTIES[[#This Row],[TE_COEFFICIENT_MANUAL]],PROPERTIES[[#This Row],[TE_COEFFICIENT_CALC]]),3)</f>
        <v>0.26</v>
      </c>
      <c r="V250" s="6">
        <v>40</v>
      </c>
      <c r="W250" s="10">
        <v>0</v>
      </c>
      <c r="X250" s="10">
        <v>0</v>
      </c>
      <c r="Y250" s="11"/>
      <c r="Z250" t="s">
        <v>906</v>
      </c>
      <c r="AA250" t="s">
        <v>904</v>
      </c>
      <c r="AB250" s="2" t="s">
        <v>922</v>
      </c>
      <c r="AC250" s="10" t="s">
        <v>992</v>
      </c>
      <c r="AD250" s="10" t="s">
        <v>993</v>
      </c>
      <c r="AE250" s="11" t="str">
        <f>SUBSTITUTE(SUBSTITUTE(PROPERTIES[[#This Row],[PURCHASECOST_VALUE]], "PURCHASECOST_", ""), "_VALUE", "")</f>
        <v>DIESELENGINE</v>
      </c>
      <c r="AF250" s="10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274</v>
      </c>
      <c r="B251">
        <v>1957</v>
      </c>
      <c r="C251">
        <v>0</v>
      </c>
      <c r="D251" t="s">
        <v>1800</v>
      </c>
      <c r="E251" t="str">
        <f>_xlfn.XLOOKUP(PROPERTIES[[#This Row],[COUNTRY]],COUNTRIES[COUNTRY_DESCRIPTION],COUNTRIES[COUNTRY_LABEL],"")</f>
        <v>AU</v>
      </c>
      <c r="F251" t="s">
        <v>35</v>
      </c>
      <c r="G251" t="s">
        <v>20</v>
      </c>
      <c r="H251">
        <v>0</v>
      </c>
      <c r="I251">
        <v>8</v>
      </c>
      <c r="J251">
        <v>8</v>
      </c>
      <c r="K251" s="2" t="s">
        <v>20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4">
        <v>112</v>
      </c>
      <c r="P251">
        <v>1950</v>
      </c>
      <c r="Q251">
        <v>129</v>
      </c>
      <c r="R251" s="31">
        <v>254</v>
      </c>
      <c r="S251" s="30">
        <f>IFERROR(PROPERTIES[[#This Row],[TE_STARTING_KN]]/(PROPERTIES[[#This Row],[WEIGHT]]*9.81),0)</f>
        <v>0.23117809815057522</v>
      </c>
      <c r="T251" s="30">
        <v>0.19</v>
      </c>
      <c r="U251" s="27">
        <f>ROUND(IF(IFERROR(PROPERTIES[[#This Row],[TE_COEFFICIENT_CALC]],0)=0,PROPERTIES[[#This Row],[TE_COEFFICIENT_MANUAL]],PROPERTIES[[#This Row],[TE_COEFFICIENT_CALC]]),3)</f>
        <v>0.23100000000000001</v>
      </c>
      <c r="V251" s="6">
        <v>40</v>
      </c>
      <c r="W251" s="10">
        <v>0</v>
      </c>
      <c r="X251" s="10">
        <v>0</v>
      </c>
      <c r="Y251" s="11"/>
      <c r="Z251" t="s">
        <v>907</v>
      </c>
      <c r="AA251" t="s">
        <v>904</v>
      </c>
      <c r="AB251" s="2" t="s">
        <v>922</v>
      </c>
      <c r="AC251" s="10" t="s">
        <v>992</v>
      </c>
      <c r="AD251" s="10" t="s">
        <v>993</v>
      </c>
      <c r="AE251" s="11" t="str">
        <f>SUBSTITUTE(SUBSTITUTE(PROPERTIES[[#This Row],[PURCHASECOST_VALUE]], "PURCHASECOST_", ""), "_VALUE", "")</f>
        <v>DIESELENGINE</v>
      </c>
      <c r="AF251" s="10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275</v>
      </c>
      <c r="B252">
        <v>1959</v>
      </c>
      <c r="C252">
        <v>0</v>
      </c>
      <c r="D252" t="s">
        <v>2035</v>
      </c>
      <c r="E252" t="str">
        <f>_xlfn.XLOOKUP(PROPERTIES[[#This Row],[COUNTRY]],COUNTRIES[COUNTRY_DESCRIPTION],COUNTRIES[COUNTRY_LABEL],"")</f>
        <v>ZW</v>
      </c>
      <c r="F252" t="s">
        <v>35</v>
      </c>
      <c r="G252" t="s">
        <v>20</v>
      </c>
      <c r="H252">
        <v>0</v>
      </c>
      <c r="I252">
        <v>8</v>
      </c>
      <c r="J252">
        <v>8</v>
      </c>
      <c r="K252" s="2" t="s">
        <v>20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4">
        <v>76</v>
      </c>
      <c r="P252">
        <v>1316</v>
      </c>
      <c r="Q252">
        <v>89</v>
      </c>
      <c r="R252" s="31">
        <v>197.2</v>
      </c>
      <c r="S252" s="30">
        <f>IFERROR(PROPERTIES[[#This Row],[TE_STARTING_KN]]/(PROPERTIES[[#This Row],[WEIGHT]]*9.81),0)</f>
        <v>0.26449916841032239</v>
      </c>
      <c r="T252" s="30">
        <v>0.26</v>
      </c>
      <c r="U252" s="27">
        <f>ROUND(IF(IFERROR(PROPERTIES[[#This Row],[TE_COEFFICIENT_CALC]],0)=0,PROPERTIES[[#This Row],[TE_COEFFICIENT_MANUAL]],PROPERTIES[[#This Row],[TE_COEFFICIENT_CALC]]),3)</f>
        <v>0.26400000000000001</v>
      </c>
      <c r="V252" s="6">
        <v>40</v>
      </c>
      <c r="W252" s="10">
        <v>0</v>
      </c>
      <c r="X252" s="10">
        <v>0</v>
      </c>
      <c r="Y252" s="11"/>
      <c r="Z252" t="s">
        <v>908</v>
      </c>
      <c r="AA252" t="s">
        <v>904</v>
      </c>
      <c r="AB252" s="2" t="s">
        <v>922</v>
      </c>
      <c r="AC252" s="10" t="s">
        <v>992</v>
      </c>
      <c r="AD252" s="10" t="s">
        <v>993</v>
      </c>
      <c r="AE252" s="11" t="str">
        <f>SUBSTITUTE(SUBSTITUTE(PROPERTIES[[#This Row],[PURCHASECOST_VALUE]], "PURCHASECOST_", ""), "_VALUE", "")</f>
        <v>DIESELENGINE</v>
      </c>
      <c r="AF252" s="10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276</v>
      </c>
      <c r="B253">
        <v>1960</v>
      </c>
      <c r="C253">
        <v>0</v>
      </c>
      <c r="D253" t="s">
        <v>1908</v>
      </c>
      <c r="E253" t="str">
        <f>_xlfn.XLOOKUP(PROPERTIES[[#This Row],[COUNTRY]],COUNTRIES[COUNTRY_DESCRIPTION],COUNTRIES[COUNTRY_LABEL],"")</f>
        <v>KR</v>
      </c>
      <c r="F253" t="s">
        <v>35</v>
      </c>
      <c r="G253" t="s">
        <v>20</v>
      </c>
      <c r="H253">
        <v>0</v>
      </c>
      <c r="I253">
        <v>8</v>
      </c>
      <c r="J253">
        <v>8</v>
      </c>
      <c r="K253" s="2" t="s">
        <v>20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4">
        <v>177</v>
      </c>
      <c r="P253">
        <v>1800</v>
      </c>
      <c r="Q253">
        <v>104</v>
      </c>
      <c r="R253" s="31">
        <v>433</v>
      </c>
      <c r="S253" s="30">
        <f>IFERROR(PROPERTIES[[#This Row],[TE_STARTING_KN]]/(PROPERTIES[[#This Row],[WEIGHT]]*9.81),0)</f>
        <v>0.2493708138242425</v>
      </c>
      <c r="T253" s="30">
        <v>0.09</v>
      </c>
      <c r="U253" s="27">
        <f>ROUND(IF(IFERROR(PROPERTIES[[#This Row],[TE_COEFFICIENT_CALC]],0)=0,PROPERTIES[[#This Row],[TE_COEFFICIENT_MANUAL]],PROPERTIES[[#This Row],[TE_COEFFICIENT_CALC]]),3)</f>
        <v>0.249</v>
      </c>
      <c r="V253" s="6">
        <v>40</v>
      </c>
      <c r="W253" s="10">
        <v>0</v>
      </c>
      <c r="X253" s="10">
        <v>0</v>
      </c>
      <c r="Y253" s="11"/>
      <c r="Z253" t="s">
        <v>913</v>
      </c>
      <c r="AA253" t="s">
        <v>904</v>
      </c>
      <c r="AB253" s="2" t="s">
        <v>922</v>
      </c>
      <c r="AC253" s="10" t="s">
        <v>992</v>
      </c>
      <c r="AD253" s="10" t="s">
        <v>993</v>
      </c>
      <c r="AE253" s="11" t="str">
        <f>SUBSTITUTE(SUBSTITUTE(PROPERTIES[[#This Row],[PURCHASECOST_VALUE]], "PURCHASECOST_", ""), "_VALUE", "")</f>
        <v>DIESELENGINE</v>
      </c>
      <c r="AF253" s="10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277</v>
      </c>
      <c r="B254">
        <v>1971</v>
      </c>
      <c r="C254">
        <v>0</v>
      </c>
      <c r="D254" t="s">
        <v>1896</v>
      </c>
      <c r="E254" t="str">
        <f>_xlfn.XLOOKUP(PROPERTIES[[#This Row],[COUNTRY]],COUNTRIES[COUNTRY_DESCRIPTION],COUNTRIES[COUNTRY_LABEL],"")</f>
        <v>IT</v>
      </c>
      <c r="F254" t="s">
        <v>35</v>
      </c>
      <c r="G254" t="s">
        <v>20</v>
      </c>
      <c r="H254">
        <v>0</v>
      </c>
      <c r="I254">
        <v>8</v>
      </c>
      <c r="J254">
        <v>8</v>
      </c>
      <c r="K254" s="2" t="s">
        <v>20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4">
        <v>62</v>
      </c>
      <c r="P254">
        <v>1010</v>
      </c>
      <c r="Q254">
        <v>130</v>
      </c>
      <c r="R254" s="31">
        <v>0</v>
      </c>
      <c r="S254" s="30">
        <f>IFERROR(PROPERTIES[[#This Row],[TE_STARTING_KN]]/(PROPERTIES[[#This Row],[WEIGHT]]*9.81),0)</f>
        <v>0</v>
      </c>
      <c r="T254" s="30">
        <v>0.3</v>
      </c>
      <c r="U254" s="27">
        <f>ROUND(IF(IFERROR(PROPERTIES[[#This Row],[TE_COEFFICIENT_CALC]],0)=0,PROPERTIES[[#This Row],[TE_COEFFICIENT_MANUAL]],PROPERTIES[[#This Row],[TE_COEFFICIENT_CALC]]),3)</f>
        <v>0.3</v>
      </c>
      <c r="V254" s="6">
        <v>40</v>
      </c>
      <c r="W254" s="10">
        <v>0</v>
      </c>
      <c r="X254" s="10">
        <v>0</v>
      </c>
      <c r="Y254" s="11"/>
      <c r="Z254" t="s">
        <v>906</v>
      </c>
      <c r="AA254" t="s">
        <v>904</v>
      </c>
      <c r="AB254" s="2" t="s">
        <v>922</v>
      </c>
      <c r="AC254" s="10" t="s">
        <v>992</v>
      </c>
      <c r="AD254" s="10" t="s">
        <v>993</v>
      </c>
      <c r="AE254" s="11" t="str">
        <f>SUBSTITUTE(SUBSTITUTE(PROPERTIES[[#This Row],[PURCHASECOST_VALUE]], "PURCHASECOST_", ""), "_VALUE", "")</f>
        <v>DIESELENGINE</v>
      </c>
      <c r="AF254" s="10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278</v>
      </c>
      <c r="B255">
        <v>1980</v>
      </c>
      <c r="C255">
        <v>0</v>
      </c>
      <c r="D255" t="s">
        <v>1953</v>
      </c>
      <c r="E255" t="str">
        <f>_xlfn.XLOOKUP(PROPERTIES[[#This Row],[COUNTRY]],COUNTRIES[COUNTRY_DESCRIPTION],COUNTRIES[COUNTRY_LABEL],"")</f>
        <v>NO</v>
      </c>
      <c r="F255" t="s">
        <v>35</v>
      </c>
      <c r="G255" t="s">
        <v>20</v>
      </c>
      <c r="H255">
        <v>0</v>
      </c>
      <c r="I255">
        <v>8</v>
      </c>
      <c r="J255">
        <v>8</v>
      </c>
      <c r="K255" s="2" t="s">
        <v>20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4">
        <v>120</v>
      </c>
      <c r="P255">
        <v>3290</v>
      </c>
      <c r="Q255">
        <v>140</v>
      </c>
      <c r="R255" s="31">
        <v>360</v>
      </c>
      <c r="S255" s="30">
        <f>IFERROR(PROPERTIES[[#This Row],[TE_STARTING_KN]]/(PROPERTIES[[#This Row],[WEIGHT]]*9.81),0)</f>
        <v>0.3058103975535168</v>
      </c>
      <c r="T255" s="30">
        <v>0.32</v>
      </c>
      <c r="U255" s="27">
        <f>ROUND(IF(IFERROR(PROPERTIES[[#This Row],[TE_COEFFICIENT_CALC]],0)=0,PROPERTIES[[#This Row],[TE_COEFFICIENT_MANUAL]],PROPERTIES[[#This Row],[TE_COEFFICIENT_CALC]]),3)</f>
        <v>0.30599999999999999</v>
      </c>
      <c r="V255" s="6">
        <v>40</v>
      </c>
      <c r="W255" s="10">
        <v>0</v>
      </c>
      <c r="X255" s="10">
        <v>0</v>
      </c>
      <c r="Y255" s="11"/>
      <c r="Z255" t="s">
        <v>909</v>
      </c>
      <c r="AA255" t="s">
        <v>904</v>
      </c>
      <c r="AB255" s="2" t="s">
        <v>922</v>
      </c>
      <c r="AC255" s="10" t="s">
        <v>992</v>
      </c>
      <c r="AD255" s="10" t="s">
        <v>993</v>
      </c>
      <c r="AE255" s="11" t="str">
        <f>SUBSTITUTE(SUBSTITUTE(PROPERTIES[[#This Row],[PURCHASECOST_VALUE]], "PURCHASECOST_", ""), "_VALUE", "")</f>
        <v>DIESELENGINE</v>
      </c>
      <c r="AF255" s="10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279</v>
      </c>
      <c r="B256">
        <v>1984</v>
      </c>
      <c r="C256">
        <v>0</v>
      </c>
      <c r="D256" t="s">
        <v>1835</v>
      </c>
      <c r="E256" t="str">
        <f>_xlfn.XLOOKUP(PROPERTIES[[#This Row],[COUNTRY]],COUNTRIES[COUNTRY_DESCRIPTION],COUNTRIES[COUNTRY_LABEL],"")</f>
        <v>CN</v>
      </c>
      <c r="F256" t="s">
        <v>35</v>
      </c>
      <c r="G256" t="s">
        <v>20</v>
      </c>
      <c r="H256">
        <v>0</v>
      </c>
      <c r="I256">
        <v>8</v>
      </c>
      <c r="J256">
        <v>8</v>
      </c>
      <c r="K256" s="2" t="s">
        <v>20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4">
        <v>150</v>
      </c>
      <c r="P256">
        <v>4930</v>
      </c>
      <c r="Q256">
        <v>100</v>
      </c>
      <c r="R256" s="31">
        <v>480</v>
      </c>
      <c r="S256" s="30">
        <f>IFERROR(PROPERTIES[[#This Row],[TE_STARTING_KN]]/(PROPERTIES[[#This Row],[WEIGHT]]*9.81),0)</f>
        <v>0.32619775739041795</v>
      </c>
      <c r="T256" s="30">
        <v>0.35</v>
      </c>
      <c r="U256" s="27">
        <f>ROUND(IF(IFERROR(PROPERTIES[[#This Row],[TE_COEFFICIENT_CALC]],0)=0,PROPERTIES[[#This Row],[TE_COEFFICIENT_MANUAL]],PROPERTIES[[#This Row],[TE_COEFFICIENT_CALC]]),3)</f>
        <v>0.32600000000000001</v>
      </c>
      <c r="V256" s="6">
        <v>40</v>
      </c>
      <c r="W256" s="10">
        <v>0</v>
      </c>
      <c r="X256" s="10">
        <v>0</v>
      </c>
      <c r="Y256" s="11"/>
      <c r="Z256" t="s">
        <v>913</v>
      </c>
      <c r="AA256" t="s">
        <v>904</v>
      </c>
      <c r="AB256" s="2" t="s">
        <v>922</v>
      </c>
      <c r="AC256" s="10" t="s">
        <v>992</v>
      </c>
      <c r="AD256" s="10" t="s">
        <v>993</v>
      </c>
      <c r="AE256" s="11" t="str">
        <f>SUBSTITUTE(SUBSTITUTE(PROPERTIES[[#This Row],[PURCHASECOST_VALUE]], "PURCHASECOST_", ""), "_VALUE", "")</f>
        <v>DIESELENGINE</v>
      </c>
      <c r="AF256" s="10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280</v>
      </c>
      <c r="B257">
        <v>1984</v>
      </c>
      <c r="C257">
        <v>0</v>
      </c>
      <c r="D257" t="s">
        <v>1800</v>
      </c>
      <c r="E257" t="str">
        <f>_xlfn.XLOOKUP(PROPERTIES[[#This Row],[COUNTRY]],COUNTRIES[COUNTRY_DESCRIPTION],COUNTRIES[COUNTRY_LABEL],"")</f>
        <v>AU</v>
      </c>
      <c r="F257" t="s">
        <v>35</v>
      </c>
      <c r="G257" t="s">
        <v>20</v>
      </c>
      <c r="H257">
        <v>0</v>
      </c>
      <c r="I257">
        <v>8</v>
      </c>
      <c r="J257">
        <v>8</v>
      </c>
      <c r="K257" s="2" t="s">
        <v>20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4">
        <v>127</v>
      </c>
      <c r="P257">
        <v>3000</v>
      </c>
      <c r="Q257">
        <v>114</v>
      </c>
      <c r="R257" s="31">
        <v>337</v>
      </c>
      <c r="S257" s="30">
        <f>IFERROR(PROPERTIES[[#This Row],[TE_STARTING_KN]]/(PROPERTIES[[#This Row],[WEIGHT]]*9.81),0)</f>
        <v>0.27049371122187704</v>
      </c>
      <c r="T257" s="30">
        <v>0.27</v>
      </c>
      <c r="U257" s="27">
        <f>ROUND(IF(IFERROR(PROPERTIES[[#This Row],[TE_COEFFICIENT_CALC]],0)=0,PROPERTIES[[#This Row],[TE_COEFFICIENT_MANUAL]],PROPERTIES[[#This Row],[TE_COEFFICIENT_CALC]]),3)</f>
        <v>0.27</v>
      </c>
      <c r="V257" s="6">
        <v>40</v>
      </c>
      <c r="W257" s="10">
        <v>0</v>
      </c>
      <c r="X257" s="10">
        <v>0</v>
      </c>
      <c r="Y257" s="11"/>
      <c r="Z257" t="s">
        <v>907</v>
      </c>
      <c r="AA257" t="s">
        <v>904</v>
      </c>
      <c r="AB257" s="2" t="s">
        <v>922</v>
      </c>
      <c r="AC257" s="10" t="s">
        <v>992</v>
      </c>
      <c r="AD257" s="10" t="s">
        <v>993</v>
      </c>
      <c r="AE257" s="11" t="str">
        <f>SUBSTITUTE(SUBSTITUTE(PROPERTIES[[#This Row],[PURCHASECOST_VALUE]], "PURCHASECOST_", ""), "_VALUE", "")</f>
        <v>DIESELENGINE</v>
      </c>
      <c r="AF257" s="10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281</v>
      </c>
      <c r="B258">
        <v>1989</v>
      </c>
      <c r="C258">
        <v>0</v>
      </c>
      <c r="D258" t="s">
        <v>1863</v>
      </c>
      <c r="E258" t="str">
        <f>_xlfn.XLOOKUP(PROPERTIES[[#This Row],[COUNTRY]],COUNTRIES[COUNTRY_DESCRIPTION],COUNTRIES[COUNTRY_LABEL],"")</f>
        <v>GB</v>
      </c>
      <c r="F258" t="s">
        <v>35</v>
      </c>
      <c r="G258" t="s">
        <v>20</v>
      </c>
      <c r="H258">
        <v>0</v>
      </c>
      <c r="I258">
        <v>8</v>
      </c>
      <c r="J258">
        <v>8</v>
      </c>
      <c r="K258" s="2" t="s">
        <v>20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4">
        <v>130</v>
      </c>
      <c r="P258">
        <v>3100</v>
      </c>
      <c r="Q258">
        <v>97</v>
      </c>
      <c r="R258" s="31">
        <v>474</v>
      </c>
      <c r="S258" s="30">
        <f>IFERROR(PROPERTIES[[#This Row],[TE_STARTING_KN]]/(PROPERTIES[[#This Row],[WEIGHT]]*9.81),0)</f>
        <v>0.37167725241119737</v>
      </c>
      <c r="T258" s="30">
        <v>0.36</v>
      </c>
      <c r="U258" s="27">
        <f>ROUND(IF(IFERROR(PROPERTIES[[#This Row],[TE_COEFFICIENT_CALC]],0)=0,PROPERTIES[[#This Row],[TE_COEFFICIENT_MANUAL]],PROPERTIES[[#This Row],[TE_COEFFICIENT_CALC]]),3)</f>
        <v>0.372</v>
      </c>
      <c r="V258" s="6">
        <v>40</v>
      </c>
      <c r="W258" s="10">
        <v>0</v>
      </c>
      <c r="X258" s="10">
        <v>0</v>
      </c>
      <c r="Y258" s="11"/>
      <c r="Z258" t="s">
        <v>909</v>
      </c>
      <c r="AA258" t="s">
        <v>904</v>
      </c>
      <c r="AB258" s="2" t="s">
        <v>922</v>
      </c>
      <c r="AC258" s="10" t="s">
        <v>992</v>
      </c>
      <c r="AD258" s="10" t="s">
        <v>993</v>
      </c>
      <c r="AE258" s="11" t="str">
        <f>SUBSTITUTE(SUBSTITUTE(PROPERTIES[[#This Row],[PURCHASECOST_VALUE]], "PURCHASECOST_", ""), "_VALUE", "")</f>
        <v>DIESELENGINE</v>
      </c>
      <c r="AF258" s="10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282</v>
      </c>
      <c r="B259">
        <v>1989</v>
      </c>
      <c r="C259">
        <v>0</v>
      </c>
      <c r="D259" t="s">
        <v>1800</v>
      </c>
      <c r="E259" t="str">
        <f>_xlfn.XLOOKUP(PROPERTIES[[#This Row],[COUNTRY]],COUNTRIES[COUNTRY_DESCRIPTION],COUNTRIES[COUNTRY_LABEL],"")</f>
        <v>AU</v>
      </c>
      <c r="F259" t="s">
        <v>35</v>
      </c>
      <c r="G259" t="s">
        <v>20</v>
      </c>
      <c r="H259">
        <v>0</v>
      </c>
      <c r="I259">
        <v>7</v>
      </c>
      <c r="J259">
        <v>7</v>
      </c>
      <c r="K259" s="2" t="s">
        <v>20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4">
        <v>99</v>
      </c>
      <c r="P259">
        <v>2450</v>
      </c>
      <c r="Q259">
        <v>90</v>
      </c>
      <c r="R259" s="31">
        <v>375</v>
      </c>
      <c r="S259" s="30">
        <f>IFERROR(PROPERTIES[[#This Row],[TE_STARTING_KN]]/(PROPERTIES[[#This Row],[WEIGHT]]*9.81),0)</f>
        <v>0.38612423933524848</v>
      </c>
      <c r="T259" s="30">
        <v>0.38</v>
      </c>
      <c r="U259" s="27">
        <f>ROUND(IF(IFERROR(PROPERTIES[[#This Row],[TE_COEFFICIENT_CALC]],0)=0,PROPERTIES[[#This Row],[TE_COEFFICIENT_MANUAL]],PROPERTIES[[#This Row],[TE_COEFFICIENT_CALC]]),3)</f>
        <v>0.38600000000000001</v>
      </c>
      <c r="V259" s="6">
        <v>40</v>
      </c>
      <c r="W259" s="10">
        <v>0</v>
      </c>
      <c r="X259" s="10">
        <v>0</v>
      </c>
      <c r="Y259" s="11"/>
      <c r="Z259" t="s">
        <v>907</v>
      </c>
      <c r="AA259" t="s">
        <v>904</v>
      </c>
      <c r="AB259" s="2" t="s">
        <v>922</v>
      </c>
      <c r="AC259" s="10" t="s">
        <v>992</v>
      </c>
      <c r="AD259" s="10" t="s">
        <v>993</v>
      </c>
      <c r="AE259" s="11" t="str">
        <f>SUBSTITUTE(SUBSTITUTE(PROPERTIES[[#This Row],[PURCHASECOST_VALUE]], "PURCHASECOST_", ""), "_VALUE", "")</f>
        <v>DIESELENGINE</v>
      </c>
      <c r="AF259" s="10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283</v>
      </c>
      <c r="B260">
        <v>1992</v>
      </c>
      <c r="C260">
        <v>0</v>
      </c>
      <c r="D260" t="s">
        <v>1979</v>
      </c>
      <c r="E260" t="str">
        <f>_xlfn.XLOOKUP(PROPERTIES[[#This Row],[COUNTRY]],COUNTRIES[COUNTRY_DESCRIPTION],COUNTRIES[COUNTRY_LABEL],"")</f>
        <v>SA</v>
      </c>
      <c r="F260" t="s">
        <v>35</v>
      </c>
      <c r="G260" t="s">
        <v>20</v>
      </c>
      <c r="H260">
        <v>0</v>
      </c>
      <c r="I260">
        <v>8</v>
      </c>
      <c r="J260">
        <v>8</v>
      </c>
      <c r="K260" s="2" t="s">
        <v>20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4">
        <v>170</v>
      </c>
      <c r="P260">
        <v>4500</v>
      </c>
      <c r="Q260">
        <v>110</v>
      </c>
      <c r="R260" s="31">
        <v>850</v>
      </c>
      <c r="S260" s="30">
        <f>IFERROR(PROPERTIES[[#This Row],[TE_STARTING_KN]]/(PROPERTIES[[#This Row],[WEIGHT]]*9.81),0)</f>
        <v>0.509683995922528</v>
      </c>
      <c r="T260" s="30">
        <v>0.5</v>
      </c>
      <c r="U260" s="27">
        <f>ROUND(IF(IFERROR(PROPERTIES[[#This Row],[TE_COEFFICIENT_CALC]],0)=0,PROPERTIES[[#This Row],[TE_COEFFICIENT_MANUAL]],PROPERTIES[[#This Row],[TE_COEFFICIENT_CALC]]),3)</f>
        <v>0.51</v>
      </c>
      <c r="V260" s="6">
        <v>40</v>
      </c>
      <c r="W260" s="10">
        <v>0</v>
      </c>
      <c r="X260" s="10">
        <v>0</v>
      </c>
      <c r="Y260" s="11"/>
      <c r="Z260" t="s">
        <v>913</v>
      </c>
      <c r="AA260" t="s">
        <v>904</v>
      </c>
      <c r="AB260" s="2" t="s">
        <v>922</v>
      </c>
      <c r="AC260" s="10" t="s">
        <v>992</v>
      </c>
      <c r="AD260" s="10" t="s">
        <v>993</v>
      </c>
      <c r="AE260" s="11" t="str">
        <f>SUBSTITUTE(SUBSTITUTE(PROPERTIES[[#This Row],[PURCHASECOST_VALUE]], "PURCHASECOST_", ""), "_VALUE", "")</f>
        <v>DIESELENGINE</v>
      </c>
      <c r="AF260" s="10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284</v>
      </c>
      <c r="B261">
        <v>1994</v>
      </c>
      <c r="C261">
        <v>0</v>
      </c>
      <c r="D261" t="s">
        <v>1888</v>
      </c>
      <c r="E261" t="str">
        <f>_xlfn.XLOOKUP(PROPERTIES[[#This Row],[COUNTRY]],COUNTRIES[COUNTRY_DESCRIPTION],COUNTRIES[COUNTRY_LABEL],"")</f>
        <v>IE</v>
      </c>
      <c r="F261" t="s">
        <v>35</v>
      </c>
      <c r="G261" t="s">
        <v>20</v>
      </c>
      <c r="H261">
        <v>0</v>
      </c>
      <c r="I261">
        <v>8</v>
      </c>
      <c r="J261">
        <v>8</v>
      </c>
      <c r="K261" s="2" t="s">
        <v>20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4">
        <v>112</v>
      </c>
      <c r="P261">
        <v>3200</v>
      </c>
      <c r="Q261">
        <v>164</v>
      </c>
      <c r="R261" s="31">
        <v>190</v>
      </c>
      <c r="S261" s="30">
        <f>IFERROR(PROPERTIES[[#This Row],[TE_STARTING_KN]]/(PROPERTIES[[#This Row],[WEIGHT]]*9.81),0)</f>
        <v>0.172928498616572</v>
      </c>
      <c r="T261" s="30">
        <v>0.17</v>
      </c>
      <c r="U261" s="27">
        <f>ROUND(IF(IFERROR(PROPERTIES[[#This Row],[TE_COEFFICIENT_CALC]],0)=0,PROPERTIES[[#This Row],[TE_COEFFICIENT_MANUAL]],PROPERTIES[[#This Row],[TE_COEFFICIENT_CALC]]),3)</f>
        <v>0.17299999999999999</v>
      </c>
      <c r="V261" s="6">
        <v>40</v>
      </c>
      <c r="W261" s="10">
        <v>0</v>
      </c>
      <c r="X261" s="10">
        <v>0</v>
      </c>
      <c r="Y261" s="11"/>
      <c r="Z261" t="s">
        <v>909</v>
      </c>
      <c r="AA261" t="s">
        <v>904</v>
      </c>
      <c r="AB261" s="2" t="s">
        <v>922</v>
      </c>
      <c r="AC261" s="10" t="s">
        <v>992</v>
      </c>
      <c r="AD261" s="10" t="s">
        <v>993</v>
      </c>
      <c r="AE261" s="11" t="str">
        <f>SUBSTITUTE(SUBSTITUTE(PROPERTIES[[#This Row],[PURCHASECOST_VALUE]], "PURCHASECOST_", ""), "_VALUE", "")</f>
        <v>DIESELENGINE</v>
      </c>
      <c r="AF261" s="10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285</v>
      </c>
      <c r="B262">
        <v>1988</v>
      </c>
      <c r="C262">
        <v>0</v>
      </c>
      <c r="D262" t="s">
        <v>2019</v>
      </c>
      <c r="E262" t="str">
        <f>_xlfn.XLOOKUP(PROPERTIES[[#This Row],[COUNTRY]],COUNTRIES[COUNTRY_DESCRIPTION],COUNTRIES[COUNTRY_LABEL],"")</f>
        <v>US</v>
      </c>
      <c r="F262" t="s">
        <v>35</v>
      </c>
      <c r="G262" t="s">
        <v>20</v>
      </c>
      <c r="H262">
        <v>0</v>
      </c>
      <c r="I262">
        <v>8</v>
      </c>
      <c r="J262">
        <v>8</v>
      </c>
      <c r="K262" s="2" t="s">
        <v>20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4">
        <v>130</v>
      </c>
      <c r="P262">
        <v>3000</v>
      </c>
      <c r="Q262">
        <v>177</v>
      </c>
      <c r="R262" s="31">
        <v>0</v>
      </c>
      <c r="S262" s="30">
        <f>IFERROR(PROPERTIES[[#This Row],[TE_STARTING_KN]]/(PROPERTIES[[#This Row],[WEIGHT]]*9.81),0)</f>
        <v>0</v>
      </c>
      <c r="T262" s="30">
        <v>0.22</v>
      </c>
      <c r="U262" s="27">
        <f>ROUND(IF(IFERROR(PROPERTIES[[#This Row],[TE_COEFFICIENT_CALC]],0)=0,PROPERTIES[[#This Row],[TE_COEFFICIENT_MANUAL]],PROPERTIES[[#This Row],[TE_COEFFICIENT_CALC]]),3)</f>
        <v>0.22</v>
      </c>
      <c r="V262" s="6">
        <v>40</v>
      </c>
      <c r="W262" s="10">
        <v>0</v>
      </c>
      <c r="X262" s="10">
        <v>0</v>
      </c>
      <c r="Y262" s="11"/>
      <c r="Z262" t="s">
        <v>910</v>
      </c>
      <c r="AA262" t="s">
        <v>904</v>
      </c>
      <c r="AB262" s="2" t="s">
        <v>922</v>
      </c>
      <c r="AC262" s="10" t="s">
        <v>992</v>
      </c>
      <c r="AD262" s="10" t="s">
        <v>993</v>
      </c>
      <c r="AE262" s="11" t="str">
        <f>SUBSTITUTE(SUBSTITUTE(PROPERTIES[[#This Row],[PURCHASECOST_VALUE]], "PURCHASECOST_", ""), "_VALUE", "")</f>
        <v>DIESELENGINE</v>
      </c>
      <c r="AF262" s="10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286</v>
      </c>
      <c r="B263">
        <v>2002</v>
      </c>
      <c r="C263">
        <v>0</v>
      </c>
      <c r="D263" t="s">
        <v>1862</v>
      </c>
      <c r="E263" t="str">
        <f>_xlfn.XLOOKUP(PROPERTIES[[#This Row],[COUNTRY]],COUNTRIES[COUNTRY_DESCRIPTION],COUNTRIES[COUNTRY_LABEL],"")</f>
        <v>FR</v>
      </c>
      <c r="F263" t="s">
        <v>35</v>
      </c>
      <c r="G263" t="s">
        <v>20</v>
      </c>
      <c r="H263">
        <v>0</v>
      </c>
      <c r="I263">
        <v>7</v>
      </c>
      <c r="J263">
        <v>7</v>
      </c>
      <c r="K263" s="2" t="s">
        <v>20</v>
      </c>
      <c r="L263">
        <f>_xlfn.XLOOKUP("LOADINGSPEEDDEF_"&amp;PROPERTIES[[#This Row],[LOADINGSPEED]],LOADINGSPEEDDEF[TYPE],LOADINGSPEEDDEF[SPEED])</f>
        <v>0</v>
      </c>
      <c r="M263" t="s">
        <v>21</v>
      </c>
      <c r="N263">
        <v>1</v>
      </c>
      <c r="O263" s="34">
        <v>86</v>
      </c>
      <c r="P263">
        <v>2010</v>
      </c>
      <c r="Q263">
        <v>100</v>
      </c>
      <c r="R263" s="31">
        <v>0</v>
      </c>
      <c r="S263" s="30">
        <f>IFERROR(PROPERTIES[[#This Row],[TE_STARTING_KN]]/(PROPERTIES[[#This Row],[WEIGHT]]*9.81),0)</f>
        <v>0</v>
      </c>
      <c r="T263" s="30">
        <v>0.33</v>
      </c>
      <c r="U263" s="27">
        <f>ROUND(IF(IFERROR(PROPERTIES[[#This Row],[TE_COEFFICIENT_CALC]],0)=0,PROPERTIES[[#This Row],[TE_COEFFICIENT_MANUAL]],PROPERTIES[[#This Row],[TE_COEFFICIENT_CALC]]),3)</f>
        <v>0.33</v>
      </c>
      <c r="V263" s="6">
        <v>40</v>
      </c>
      <c r="W263" s="10">
        <v>0</v>
      </c>
      <c r="X263" s="10">
        <v>0</v>
      </c>
      <c r="Y263" s="11"/>
      <c r="Z263" t="s">
        <v>905</v>
      </c>
      <c r="AA263" t="s">
        <v>904</v>
      </c>
      <c r="AB263" s="2" t="s">
        <v>922</v>
      </c>
      <c r="AC263" s="10" t="s">
        <v>992</v>
      </c>
      <c r="AD263" s="10" t="s">
        <v>993</v>
      </c>
      <c r="AE263" s="11" t="str">
        <f>SUBSTITUTE(SUBSTITUTE(PROPERTIES[[#This Row],[PURCHASECOST_VALUE]], "PURCHASECOST_", ""), "_VALUE", "")</f>
        <v>DIESELENGINE</v>
      </c>
      <c r="AF263" s="10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287</v>
      </c>
      <c r="B264">
        <v>2003</v>
      </c>
      <c r="C264">
        <v>0</v>
      </c>
      <c r="D264" t="s">
        <v>1896</v>
      </c>
      <c r="E264" t="str">
        <f>_xlfn.XLOOKUP(PROPERTIES[[#This Row],[COUNTRY]],COUNTRIES[COUNTRY_DESCRIPTION],COUNTRIES[COUNTRY_LABEL],"")</f>
        <v>IT</v>
      </c>
      <c r="F264" t="s">
        <v>35</v>
      </c>
      <c r="G264" t="s">
        <v>20</v>
      </c>
      <c r="H264">
        <v>0</v>
      </c>
      <c r="I264">
        <v>7</v>
      </c>
      <c r="J264">
        <v>7</v>
      </c>
      <c r="K264" s="2" t="s">
        <v>20</v>
      </c>
      <c r="L264">
        <f>_xlfn.XLOOKUP("LOADINGSPEEDDEF_"&amp;PROPERTIES[[#This Row],[LOADINGSPEED]],LOADINGSPEEDDEF[TYPE],LOADINGSPEEDDEF[SPEED])</f>
        <v>0</v>
      </c>
      <c r="M264" t="s">
        <v>21</v>
      </c>
      <c r="N264">
        <v>1</v>
      </c>
      <c r="O264" s="34">
        <v>89</v>
      </c>
      <c r="P264">
        <v>3000</v>
      </c>
      <c r="Q264">
        <v>120</v>
      </c>
      <c r="R264" s="31">
        <v>275</v>
      </c>
      <c r="S264" s="30">
        <f>IFERROR(PROPERTIES[[#This Row],[TE_STARTING_KN]]/(PROPERTIES[[#This Row],[WEIGHT]]*9.81),0)</f>
        <v>0.31497325590718023</v>
      </c>
      <c r="T264" s="30">
        <v>0.32</v>
      </c>
      <c r="U264" s="27">
        <f>ROUND(IF(IFERROR(PROPERTIES[[#This Row],[TE_COEFFICIENT_CALC]],0)=0,PROPERTIES[[#This Row],[TE_COEFFICIENT_MANUAL]],PROPERTIES[[#This Row],[TE_COEFFICIENT_CALC]]),3)</f>
        <v>0.315</v>
      </c>
      <c r="V264" s="6">
        <v>40</v>
      </c>
      <c r="W264" s="10">
        <v>0</v>
      </c>
      <c r="X264" s="10">
        <v>0</v>
      </c>
      <c r="Y264" s="11"/>
      <c r="Z264" t="s">
        <v>906</v>
      </c>
      <c r="AA264" t="s">
        <v>904</v>
      </c>
      <c r="AB264" s="2" t="s">
        <v>922</v>
      </c>
      <c r="AC264" s="10" t="s">
        <v>992</v>
      </c>
      <c r="AD264" s="10" t="s">
        <v>993</v>
      </c>
      <c r="AE264" s="11" t="str">
        <f>SUBSTITUTE(SUBSTITUTE(PROPERTIES[[#This Row],[PURCHASECOST_VALUE]], "PURCHASECOST_", ""), "_VALUE", "")</f>
        <v>DIESELENGINE</v>
      </c>
      <c r="AF264" s="10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288</v>
      </c>
      <c r="B265">
        <v>2003</v>
      </c>
      <c r="C265">
        <v>0</v>
      </c>
      <c r="D265" t="s">
        <v>1825</v>
      </c>
      <c r="E265" t="str">
        <f>_xlfn.XLOOKUP(PROPERTIES[[#This Row],[COUNTRY]],COUNTRIES[COUNTRY_DESCRIPTION],COUNTRIES[COUNTRY_LABEL],"")</f>
        <v>CA</v>
      </c>
      <c r="F265" t="s">
        <v>35</v>
      </c>
      <c r="G265" t="s">
        <v>20</v>
      </c>
      <c r="H265">
        <v>0</v>
      </c>
      <c r="I265">
        <v>8</v>
      </c>
      <c r="J265">
        <v>8</v>
      </c>
      <c r="K265" s="2" t="s">
        <v>20</v>
      </c>
      <c r="L265">
        <f>_xlfn.XLOOKUP("LOADINGSPEEDDEF_"&amp;PROPERTIES[[#This Row],[LOADINGSPEED]],LOADINGSPEEDDEF[TYPE],LOADINGSPEEDDEF[SPEED])</f>
        <v>0</v>
      </c>
      <c r="M265" t="s">
        <v>21</v>
      </c>
      <c r="N265">
        <v>1</v>
      </c>
      <c r="O265" s="34">
        <v>134</v>
      </c>
      <c r="P265">
        <v>4000</v>
      </c>
      <c r="Q265">
        <v>150</v>
      </c>
      <c r="R265" s="31">
        <v>380</v>
      </c>
      <c r="S265" s="30">
        <f>IFERROR(PROPERTIES[[#This Row],[TE_STARTING_KN]]/(PROPERTIES[[#This Row],[WEIGHT]]*9.81),0)</f>
        <v>0.28907450515009053</v>
      </c>
      <c r="T265" s="30">
        <v>0.3</v>
      </c>
      <c r="U265" s="27">
        <f>ROUND(IF(IFERROR(PROPERTIES[[#This Row],[TE_COEFFICIENT_CALC]],0)=0,PROPERTIES[[#This Row],[TE_COEFFICIENT_MANUAL]],PROPERTIES[[#This Row],[TE_COEFFICIENT_CALC]]),3)</f>
        <v>0.28899999999999998</v>
      </c>
      <c r="V265" s="6">
        <v>40</v>
      </c>
      <c r="W265" s="10">
        <v>0</v>
      </c>
      <c r="X265" s="10">
        <v>0</v>
      </c>
      <c r="Y265" s="11"/>
      <c r="Z265" t="s">
        <v>910</v>
      </c>
      <c r="AA265" t="s">
        <v>904</v>
      </c>
      <c r="AB265" s="2" t="s">
        <v>922</v>
      </c>
      <c r="AC265" s="10" t="s">
        <v>992</v>
      </c>
      <c r="AD265" s="10" t="s">
        <v>993</v>
      </c>
      <c r="AE265" s="11" t="str">
        <f>SUBSTITUTE(SUBSTITUTE(PROPERTIES[[#This Row],[PURCHASECOST_VALUE]], "PURCHASECOST_", ""), "_VALUE", "")</f>
        <v>DIESELENGINE</v>
      </c>
      <c r="AF265" s="10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289</v>
      </c>
      <c r="B266">
        <v>2006</v>
      </c>
      <c r="C266">
        <v>0</v>
      </c>
      <c r="D266" t="s">
        <v>1855</v>
      </c>
      <c r="E266" t="str">
        <f>_xlfn.XLOOKUP(PROPERTIES[[#This Row],[COUNTRY]],COUNTRIES[COUNTRY_DESCRIPTION],COUNTRIES[COUNTRY_LABEL],"")</f>
        <v>ES</v>
      </c>
      <c r="F266" t="s">
        <v>35</v>
      </c>
      <c r="G266" t="s">
        <v>20</v>
      </c>
      <c r="H266">
        <v>0</v>
      </c>
      <c r="I266">
        <v>8</v>
      </c>
      <c r="J266">
        <v>8</v>
      </c>
      <c r="K266" s="2" t="s">
        <v>20</v>
      </c>
      <c r="L266">
        <f>_xlfn.XLOOKUP("LOADINGSPEEDDEF_"&amp;PROPERTIES[[#This Row],[LOADINGSPEED]],LOADINGSPEEDDEF[TYPE],LOADINGSPEEDDEF[SPEED])</f>
        <v>0</v>
      </c>
      <c r="M266" t="s">
        <v>21</v>
      </c>
      <c r="N266">
        <v>1</v>
      </c>
      <c r="O266" s="34">
        <v>80</v>
      </c>
      <c r="P266">
        <v>3300</v>
      </c>
      <c r="Q266">
        <v>200</v>
      </c>
      <c r="R266" s="31">
        <v>178</v>
      </c>
      <c r="S266" s="30">
        <f>IFERROR(PROPERTIES[[#This Row],[TE_STARTING_KN]]/(PROPERTIES[[#This Row],[WEIGHT]]*9.81),0)</f>
        <v>0.22680937818552496</v>
      </c>
      <c r="T266" s="30">
        <v>0.2</v>
      </c>
      <c r="U266" s="27">
        <f>ROUND(IF(IFERROR(PROPERTIES[[#This Row],[TE_COEFFICIENT_CALC]],0)=0,PROPERTIES[[#This Row],[TE_COEFFICIENT_MANUAL]],PROPERTIES[[#This Row],[TE_COEFFICIENT_CALC]]),3)</f>
        <v>0.22700000000000001</v>
      </c>
      <c r="V266" s="6">
        <v>40</v>
      </c>
      <c r="W266" s="10">
        <v>0</v>
      </c>
      <c r="X266" s="10">
        <v>0</v>
      </c>
      <c r="Y266" s="11"/>
      <c r="Z266" t="s">
        <v>906</v>
      </c>
      <c r="AA266" t="s">
        <v>904</v>
      </c>
      <c r="AB266" s="2" t="s">
        <v>922</v>
      </c>
      <c r="AC266" s="10" t="s">
        <v>992</v>
      </c>
      <c r="AD266" s="10" t="s">
        <v>993</v>
      </c>
      <c r="AE266" s="11" t="str">
        <f>SUBSTITUTE(SUBSTITUTE(PROPERTIES[[#This Row],[PURCHASECOST_VALUE]], "PURCHASECOST_", ""), "_VALUE", "")</f>
        <v>DIESELENGINE</v>
      </c>
      <c r="AF266" s="10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290</v>
      </c>
      <c r="B267">
        <v>2011</v>
      </c>
      <c r="C267">
        <v>0</v>
      </c>
      <c r="D267" t="s">
        <v>1887</v>
      </c>
      <c r="E267" t="str">
        <f>_xlfn.XLOOKUP(PROPERTIES[[#This Row],[COUNTRY]],COUNTRIES[COUNTRY_DESCRIPTION],COUNTRIES[COUNTRY_LABEL],"")</f>
        <v>ID</v>
      </c>
      <c r="F267" t="s">
        <v>35</v>
      </c>
      <c r="G267" t="s">
        <v>20</v>
      </c>
      <c r="H267">
        <v>0</v>
      </c>
      <c r="I267">
        <v>8</v>
      </c>
      <c r="J267">
        <v>8</v>
      </c>
      <c r="K267" s="2" t="s">
        <v>20</v>
      </c>
      <c r="L267">
        <f>_xlfn.XLOOKUP("LOADINGSPEEDDEF_"&amp;PROPERTIES[[#This Row],[LOADINGSPEED]],LOADINGSPEEDDEF[TYPE],LOADINGSPEEDDEF[SPEED])</f>
        <v>0</v>
      </c>
      <c r="M267" t="s">
        <v>21</v>
      </c>
      <c r="N267">
        <v>1</v>
      </c>
      <c r="O267" s="34">
        <v>76</v>
      </c>
      <c r="P267">
        <v>2500</v>
      </c>
      <c r="Q267">
        <v>120</v>
      </c>
      <c r="R267" s="31">
        <v>270</v>
      </c>
      <c r="S267" s="30">
        <f>IFERROR(PROPERTIES[[#This Row],[TE_STARTING_KN]]/(PROPERTIES[[#This Row],[WEIGHT]]*9.81),0)</f>
        <v>0.36214389183969092</v>
      </c>
      <c r="T267" s="30">
        <v>0.3</v>
      </c>
      <c r="U267" s="27">
        <f>ROUND(IF(IFERROR(PROPERTIES[[#This Row],[TE_COEFFICIENT_CALC]],0)=0,PROPERTIES[[#This Row],[TE_COEFFICIENT_MANUAL]],PROPERTIES[[#This Row],[TE_COEFFICIENT_CALC]]),3)</f>
        <v>0.36199999999999999</v>
      </c>
      <c r="V267" s="6">
        <v>40</v>
      </c>
      <c r="W267" s="10">
        <v>0</v>
      </c>
      <c r="X267" s="10">
        <v>0</v>
      </c>
      <c r="Y267" s="11"/>
      <c r="Z267" t="s">
        <v>907</v>
      </c>
      <c r="AA267" t="s">
        <v>904</v>
      </c>
      <c r="AB267" s="2" t="s">
        <v>922</v>
      </c>
      <c r="AC267" s="10" t="s">
        <v>992</v>
      </c>
      <c r="AD267" s="10" t="s">
        <v>993</v>
      </c>
      <c r="AE267" s="11" t="str">
        <f>SUBSTITUTE(SUBSTITUTE(PROPERTIES[[#This Row],[PURCHASECOST_VALUE]], "PURCHASECOST_", ""), "_VALUE", "")</f>
        <v>DIESELENGINE</v>
      </c>
      <c r="AF267" s="10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291</v>
      </c>
      <c r="B268">
        <v>1930</v>
      </c>
      <c r="C268">
        <v>0</v>
      </c>
      <c r="D268" t="s">
        <v>1797</v>
      </c>
      <c r="E268" t="str">
        <f>_xlfn.XLOOKUP(PROPERTIES[[#This Row],[COUNTRY]],COUNTRIES[COUNTRY_DESCRIPTION],COUNTRIES[COUNTRY_LABEL],"")</f>
        <v>AR</v>
      </c>
      <c r="F268" t="s">
        <v>35</v>
      </c>
      <c r="G268" t="s">
        <v>20</v>
      </c>
      <c r="H268">
        <v>0</v>
      </c>
      <c r="I268">
        <v>6</v>
      </c>
      <c r="J268">
        <v>6</v>
      </c>
      <c r="K268" s="2" t="s">
        <v>20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4">
        <v>148</v>
      </c>
      <c r="P268">
        <v>1200</v>
      </c>
      <c r="Q268">
        <v>85</v>
      </c>
      <c r="R268" s="31">
        <v>200</v>
      </c>
      <c r="S268" s="30">
        <f>IFERROR(PROPERTIES[[#This Row],[TE_STARTING_KN]]/(PROPERTIES[[#This Row],[WEIGHT]]*9.81),0)</f>
        <v>0.13775243133041298</v>
      </c>
      <c r="T268" s="30">
        <v>0.15</v>
      </c>
      <c r="U268" s="27">
        <f>ROUND(IF(IFERROR(PROPERTIES[[#This Row],[TE_COEFFICIENT_CALC]],0)=0,PROPERTIES[[#This Row],[TE_COEFFICIENT_MANUAL]],PROPERTIES[[#This Row],[TE_COEFFICIENT_CALC]]),3)</f>
        <v>0.13800000000000001</v>
      </c>
      <c r="V268" s="6">
        <v>40</v>
      </c>
      <c r="W268" s="10">
        <v>0</v>
      </c>
      <c r="X268" s="10">
        <v>0</v>
      </c>
      <c r="Y268" s="11"/>
      <c r="Z268" t="s">
        <v>912</v>
      </c>
      <c r="AA268" t="s">
        <v>904</v>
      </c>
      <c r="AB268" s="2" t="s">
        <v>922</v>
      </c>
      <c r="AC268" s="10" t="s">
        <v>992</v>
      </c>
      <c r="AD268" s="10" t="s">
        <v>993</v>
      </c>
      <c r="AE268" s="11" t="str">
        <f>SUBSTITUTE(SUBSTITUTE(PROPERTIES[[#This Row],[PURCHASECOST_VALUE]], "PURCHASECOST_", ""), "_VALUE", "")</f>
        <v>DIESELENGINE</v>
      </c>
      <c r="AF268" s="10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292</v>
      </c>
      <c r="B269">
        <v>1938</v>
      </c>
      <c r="C269">
        <v>0</v>
      </c>
      <c r="D269" t="s">
        <v>1818</v>
      </c>
      <c r="E269" t="str">
        <f>_xlfn.XLOOKUP(PROPERTIES[[#This Row],[COUNTRY]],COUNTRIES[COUNTRY_DESCRIPTION],COUNTRIES[COUNTRY_LABEL],"")</f>
        <v>BR</v>
      </c>
      <c r="F269" t="s">
        <v>35</v>
      </c>
      <c r="G269" t="s">
        <v>20</v>
      </c>
      <c r="H269">
        <v>0</v>
      </c>
      <c r="I269">
        <v>4</v>
      </c>
      <c r="J269">
        <v>4</v>
      </c>
      <c r="K269" s="2" t="s">
        <v>20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4">
        <v>52</v>
      </c>
      <c r="P269">
        <v>450</v>
      </c>
      <c r="Q269">
        <v>76</v>
      </c>
      <c r="R269" s="31">
        <v>0</v>
      </c>
      <c r="S269" s="30">
        <f>IFERROR(PROPERTIES[[#This Row],[TE_STARTING_KN]]/(PROPERTIES[[#This Row],[WEIGHT]]*9.81),0)</f>
        <v>0</v>
      </c>
      <c r="T269" s="30">
        <v>0.22</v>
      </c>
      <c r="U269" s="27">
        <f>ROUND(IF(IFERROR(PROPERTIES[[#This Row],[TE_COEFFICIENT_CALC]],0)=0,PROPERTIES[[#This Row],[TE_COEFFICIENT_MANUAL]],PROPERTIES[[#This Row],[TE_COEFFICIENT_CALC]]),3)</f>
        <v>0.22</v>
      </c>
      <c r="V269" s="6">
        <v>40</v>
      </c>
      <c r="W269" s="10">
        <v>0</v>
      </c>
      <c r="X269" s="10">
        <v>0</v>
      </c>
      <c r="Y269" s="11"/>
      <c r="Z269" t="s">
        <v>912</v>
      </c>
      <c r="AA269" t="s">
        <v>904</v>
      </c>
      <c r="AB269" s="2" t="s">
        <v>922</v>
      </c>
      <c r="AC269" s="10" t="s">
        <v>992</v>
      </c>
      <c r="AD269" s="10" t="s">
        <v>993</v>
      </c>
      <c r="AE269" s="11" t="str">
        <f>SUBSTITUTE(SUBSTITUTE(PROPERTIES[[#This Row],[PURCHASECOST_VALUE]], "PURCHASECOST_", ""), "_VALUE", "")</f>
        <v>DIESELENGINE</v>
      </c>
      <c r="AF269" s="10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293</v>
      </c>
      <c r="B270">
        <v>1961</v>
      </c>
      <c r="C270">
        <v>0</v>
      </c>
      <c r="D270" t="s">
        <v>1833</v>
      </c>
      <c r="E270" t="str">
        <f>_xlfn.XLOOKUP(PROPERTIES[[#This Row],[COUNTRY]],COUNTRIES[COUNTRY_DESCRIPTION],COUNTRIES[COUNTRY_LABEL],"")</f>
        <v>CL</v>
      </c>
      <c r="F270" t="s">
        <v>35</v>
      </c>
      <c r="G270" t="s">
        <v>20</v>
      </c>
      <c r="H270">
        <v>0</v>
      </c>
      <c r="I270">
        <v>5</v>
      </c>
      <c r="J270">
        <v>5</v>
      </c>
      <c r="K270" s="2" t="s">
        <v>20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4">
        <v>54</v>
      </c>
      <c r="P270">
        <v>600</v>
      </c>
      <c r="Q270">
        <v>64</v>
      </c>
      <c r="R270" s="31">
        <v>138</v>
      </c>
      <c r="S270" s="30">
        <f>IFERROR(PROPERTIES[[#This Row],[TE_STARTING_KN]]/(PROPERTIES[[#This Row],[WEIGHT]]*9.81),0)</f>
        <v>0.26050515347151432</v>
      </c>
      <c r="T270" s="30">
        <v>0.18</v>
      </c>
      <c r="U270" s="27">
        <f>ROUND(IF(IFERROR(PROPERTIES[[#This Row],[TE_COEFFICIENT_CALC]],0)=0,PROPERTIES[[#This Row],[TE_COEFFICIENT_MANUAL]],PROPERTIES[[#This Row],[TE_COEFFICIENT_CALC]]),3)</f>
        <v>0.26100000000000001</v>
      </c>
      <c r="V270" s="6">
        <v>40</v>
      </c>
      <c r="W270" s="10">
        <v>0</v>
      </c>
      <c r="X270" s="10">
        <v>0</v>
      </c>
      <c r="Y270" s="11"/>
      <c r="Z270" t="s">
        <v>912</v>
      </c>
      <c r="AA270" t="s">
        <v>904</v>
      </c>
      <c r="AB270" s="2" t="s">
        <v>922</v>
      </c>
      <c r="AC270" s="10" t="s">
        <v>992</v>
      </c>
      <c r="AD270" s="10" t="s">
        <v>993</v>
      </c>
      <c r="AE270" s="11" t="str">
        <f>SUBSTITUTE(SUBSTITUTE(PROPERTIES[[#This Row],[PURCHASECOST_VALUE]], "PURCHASECOST_", ""), "_VALUE", "")</f>
        <v>DIESELENGINE</v>
      </c>
      <c r="AF270" s="10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294</v>
      </c>
      <c r="B271">
        <v>1965</v>
      </c>
      <c r="C271">
        <v>0</v>
      </c>
      <c r="D271" t="s">
        <v>1960</v>
      </c>
      <c r="E271" t="str">
        <f>_xlfn.XLOOKUP(PROPERTIES[[#This Row],[COUNTRY]],COUNTRIES[COUNTRY_DESCRIPTION],COUNTRIES[COUNTRY_LABEL],"")</f>
        <v>PE</v>
      </c>
      <c r="F271" t="s">
        <v>35</v>
      </c>
      <c r="G271" t="s">
        <v>20</v>
      </c>
      <c r="H271">
        <v>0</v>
      </c>
      <c r="I271">
        <v>6</v>
      </c>
      <c r="J271">
        <v>6</v>
      </c>
      <c r="K271" s="2" t="s">
        <v>20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4">
        <v>83</v>
      </c>
      <c r="P271">
        <v>1350</v>
      </c>
      <c r="Q271">
        <v>120</v>
      </c>
      <c r="R271" s="31">
        <v>0</v>
      </c>
      <c r="S271" s="30">
        <f>IFERROR(PROPERTIES[[#This Row],[TE_STARTING_KN]]/(PROPERTIES[[#This Row],[WEIGHT]]*9.81),0)</f>
        <v>0</v>
      </c>
      <c r="T271" s="30">
        <v>0.17</v>
      </c>
      <c r="U271" s="27">
        <f>ROUND(IF(IFERROR(PROPERTIES[[#This Row],[TE_COEFFICIENT_CALC]],0)=0,PROPERTIES[[#This Row],[TE_COEFFICIENT_MANUAL]],PROPERTIES[[#This Row],[TE_COEFFICIENT_CALC]]),3)</f>
        <v>0.17</v>
      </c>
      <c r="V271" s="6">
        <v>40</v>
      </c>
      <c r="W271" s="10">
        <v>0</v>
      </c>
      <c r="X271" s="10">
        <v>0</v>
      </c>
      <c r="Y271" s="11"/>
      <c r="Z271" t="s">
        <v>912</v>
      </c>
      <c r="AA271" t="s">
        <v>904</v>
      </c>
      <c r="AB271" s="2" t="s">
        <v>922</v>
      </c>
      <c r="AC271" s="10" t="s">
        <v>992</v>
      </c>
      <c r="AD271" s="10" t="s">
        <v>993</v>
      </c>
      <c r="AE271" s="11" t="str">
        <f>SUBSTITUTE(SUBSTITUTE(PROPERTIES[[#This Row],[PURCHASECOST_VALUE]], "PURCHASECOST_", ""), "_VALUE", "")</f>
        <v>DIESELENGINE</v>
      </c>
      <c r="AF271" s="10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295</v>
      </c>
      <c r="B272">
        <v>1970</v>
      </c>
      <c r="C272">
        <v>0</v>
      </c>
      <c r="D272" t="s">
        <v>1818</v>
      </c>
      <c r="E272" t="str">
        <f>_xlfn.XLOOKUP(PROPERTIES[[#This Row],[COUNTRY]],COUNTRIES[COUNTRY_DESCRIPTION],COUNTRIES[COUNTRY_LABEL],"")</f>
        <v>BR</v>
      </c>
      <c r="F272" t="s">
        <v>35</v>
      </c>
      <c r="G272" t="s">
        <v>20</v>
      </c>
      <c r="H272">
        <v>0</v>
      </c>
      <c r="I272">
        <v>8</v>
      </c>
      <c r="J272">
        <v>8</v>
      </c>
      <c r="K272" s="2" t="s">
        <v>20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4">
        <v>162</v>
      </c>
      <c r="P272">
        <v>3600</v>
      </c>
      <c r="Q272">
        <v>85</v>
      </c>
      <c r="R272" s="31">
        <v>388.9</v>
      </c>
      <c r="S272" s="30">
        <f>IFERROR(PROPERTIES[[#This Row],[TE_STARTING_KN]]/(PROPERTIES[[#This Row],[WEIGHT]]*9.81),0)</f>
        <v>0.24471124199292732</v>
      </c>
      <c r="T272" s="30">
        <v>0.24</v>
      </c>
      <c r="U272" s="27">
        <f>ROUND(IF(IFERROR(PROPERTIES[[#This Row],[TE_COEFFICIENT_CALC]],0)=0,PROPERTIES[[#This Row],[TE_COEFFICIENT_MANUAL]],PROPERTIES[[#This Row],[TE_COEFFICIENT_CALC]]),3)</f>
        <v>0.245</v>
      </c>
      <c r="V272" s="6">
        <v>40</v>
      </c>
      <c r="W272" s="10">
        <v>0</v>
      </c>
      <c r="X272" s="10">
        <v>0</v>
      </c>
      <c r="Y272" s="11"/>
      <c r="Z272" t="s">
        <v>912</v>
      </c>
      <c r="AA272" t="s">
        <v>904</v>
      </c>
      <c r="AB272" s="2" t="s">
        <v>922</v>
      </c>
      <c r="AC272" s="10" t="s">
        <v>992</v>
      </c>
      <c r="AD272" s="10" t="s">
        <v>993</v>
      </c>
      <c r="AE272" s="11" t="str">
        <f>SUBSTITUTE(SUBSTITUTE(PROPERTIES[[#This Row],[PURCHASECOST_VALUE]], "PURCHASECOST_", ""), "_VALUE", "")</f>
        <v>DIESELENGINE</v>
      </c>
      <c r="AF272" s="10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296</v>
      </c>
      <c r="B273">
        <v>1984</v>
      </c>
      <c r="C273">
        <v>0</v>
      </c>
      <c r="D273" t="s">
        <v>1960</v>
      </c>
      <c r="E273" t="str">
        <f>_xlfn.XLOOKUP(PROPERTIES[[#This Row],[COUNTRY]],COUNTRIES[COUNTRY_DESCRIPTION],COUNTRIES[COUNTRY_LABEL],"")</f>
        <v>PE</v>
      </c>
      <c r="F273" t="s">
        <v>35</v>
      </c>
      <c r="G273" t="s">
        <v>20</v>
      </c>
      <c r="H273">
        <v>0</v>
      </c>
      <c r="I273">
        <v>8</v>
      </c>
      <c r="J273">
        <v>8</v>
      </c>
      <c r="K273" s="2" t="s">
        <v>20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4">
        <v>166</v>
      </c>
      <c r="P273">
        <v>3900</v>
      </c>
      <c r="Q273">
        <v>110</v>
      </c>
      <c r="R273" s="31">
        <v>0</v>
      </c>
      <c r="S273" s="30">
        <f>IFERROR(PROPERTIES[[#This Row],[TE_STARTING_KN]]/(PROPERTIES[[#This Row],[WEIGHT]]*9.81),0)</f>
        <v>0</v>
      </c>
      <c r="T273" s="30">
        <v>0.28999999999999998</v>
      </c>
      <c r="U273" s="27">
        <f>ROUND(IF(IFERROR(PROPERTIES[[#This Row],[TE_COEFFICIENT_CALC]],0)=0,PROPERTIES[[#This Row],[TE_COEFFICIENT_MANUAL]],PROPERTIES[[#This Row],[TE_COEFFICIENT_CALC]]),3)</f>
        <v>0.28999999999999998</v>
      </c>
      <c r="V273" s="6">
        <v>40</v>
      </c>
      <c r="W273" s="10">
        <v>0</v>
      </c>
      <c r="X273" s="10">
        <v>0</v>
      </c>
      <c r="Y273" s="11"/>
      <c r="Z273" t="s">
        <v>912</v>
      </c>
      <c r="AA273" t="s">
        <v>904</v>
      </c>
      <c r="AB273" s="2" t="s">
        <v>922</v>
      </c>
      <c r="AC273" s="10" t="s">
        <v>992</v>
      </c>
      <c r="AD273" s="10" t="s">
        <v>993</v>
      </c>
      <c r="AE273" s="11" t="str">
        <f>SUBSTITUTE(SUBSTITUTE(PROPERTIES[[#This Row],[PURCHASECOST_VALUE]], "PURCHASECOST_", ""), "_VALUE", "")</f>
        <v>DIESELENGINE</v>
      </c>
      <c r="AF273" s="10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297</v>
      </c>
      <c r="B274">
        <v>1991</v>
      </c>
      <c r="C274">
        <v>0</v>
      </c>
      <c r="D274" t="s">
        <v>1797</v>
      </c>
      <c r="E274" t="str">
        <f>_xlfn.XLOOKUP(PROPERTIES[[#This Row],[COUNTRY]],COUNTRIES[COUNTRY_DESCRIPTION],COUNTRIES[COUNTRY_LABEL],"")</f>
        <v>AR</v>
      </c>
      <c r="F274" t="s">
        <v>35</v>
      </c>
      <c r="G274" t="s">
        <v>20</v>
      </c>
      <c r="H274">
        <v>0</v>
      </c>
      <c r="I274">
        <v>7</v>
      </c>
      <c r="J274">
        <v>7</v>
      </c>
      <c r="K274" s="2" t="s">
        <v>20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4">
        <v>117</v>
      </c>
      <c r="P274">
        <v>1876</v>
      </c>
      <c r="Q274">
        <v>140</v>
      </c>
      <c r="R274" s="31">
        <v>302</v>
      </c>
      <c r="S274" s="30">
        <f>IFERROR(PROPERTIES[[#This Row],[TE_STARTING_KN]]/(PROPERTIES[[#This Row],[WEIGHT]]*9.81),0)</f>
        <v>0.2631189175531683</v>
      </c>
      <c r="T274" s="30">
        <v>0.18</v>
      </c>
      <c r="U274" s="27">
        <f>ROUND(IF(IFERROR(PROPERTIES[[#This Row],[TE_COEFFICIENT_CALC]],0)=0,PROPERTIES[[#This Row],[TE_COEFFICIENT_MANUAL]],PROPERTIES[[#This Row],[TE_COEFFICIENT_CALC]]),3)</f>
        <v>0.26300000000000001</v>
      </c>
      <c r="V274" s="6">
        <v>40</v>
      </c>
      <c r="W274" s="10">
        <v>0</v>
      </c>
      <c r="X274" s="10">
        <v>0</v>
      </c>
      <c r="Y274" s="11"/>
      <c r="Z274" t="s">
        <v>912</v>
      </c>
      <c r="AA274" t="s">
        <v>904</v>
      </c>
      <c r="AB274" s="2" t="s">
        <v>922</v>
      </c>
      <c r="AC274" s="10" t="s">
        <v>992</v>
      </c>
      <c r="AD274" s="10" t="s">
        <v>993</v>
      </c>
      <c r="AE274" s="11" t="str">
        <f>SUBSTITUTE(SUBSTITUTE(PROPERTIES[[#This Row],[PURCHASECOST_VALUE]], "PURCHASECOST_", ""), "_VALUE", "")</f>
        <v>DIESELENGINE</v>
      </c>
      <c r="AF274" s="10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298</v>
      </c>
      <c r="B275">
        <v>2013</v>
      </c>
      <c r="C275">
        <v>0</v>
      </c>
      <c r="D275" t="s">
        <v>1797</v>
      </c>
      <c r="E275" t="str">
        <f>_xlfn.XLOOKUP(PROPERTIES[[#This Row],[COUNTRY]],COUNTRIES[COUNTRY_DESCRIPTION],COUNTRIES[COUNTRY_LABEL],"")</f>
        <v>AR</v>
      </c>
      <c r="F275" t="s">
        <v>35</v>
      </c>
      <c r="G275" t="s">
        <v>20</v>
      </c>
      <c r="H275">
        <v>0</v>
      </c>
      <c r="I275">
        <v>8</v>
      </c>
      <c r="J275">
        <v>8</v>
      </c>
      <c r="K275" s="2" t="s">
        <v>20</v>
      </c>
      <c r="L275">
        <f>_xlfn.XLOOKUP("LOADINGSPEEDDEF_"&amp;PROPERTIES[[#This Row],[LOADINGSPEED]],LOADINGSPEEDDEF[TYPE],LOADINGSPEEDDEF[SPEED])</f>
        <v>0</v>
      </c>
      <c r="M275" t="s">
        <v>21</v>
      </c>
      <c r="N275">
        <v>1</v>
      </c>
      <c r="O275" s="34">
        <v>120</v>
      </c>
      <c r="P275">
        <v>2950</v>
      </c>
      <c r="Q275">
        <v>120</v>
      </c>
      <c r="R275" s="31">
        <v>384</v>
      </c>
      <c r="S275" s="30">
        <f>IFERROR(PROPERTIES[[#This Row],[TE_STARTING_KN]]/(PROPERTIES[[#This Row],[WEIGHT]]*9.81),0)</f>
        <v>0.32619775739041795</v>
      </c>
      <c r="T275" s="30">
        <v>0.32</v>
      </c>
      <c r="U275" s="27">
        <f>ROUND(IF(IFERROR(PROPERTIES[[#This Row],[TE_COEFFICIENT_CALC]],0)=0,PROPERTIES[[#This Row],[TE_COEFFICIENT_MANUAL]],PROPERTIES[[#This Row],[TE_COEFFICIENT_CALC]]),3)</f>
        <v>0.32600000000000001</v>
      </c>
      <c r="V275" s="6">
        <v>40</v>
      </c>
      <c r="W275" s="10">
        <v>0</v>
      </c>
      <c r="X275" s="10">
        <v>0</v>
      </c>
      <c r="Y275" s="11"/>
      <c r="Z275" t="s">
        <v>912</v>
      </c>
      <c r="AA275" t="s">
        <v>904</v>
      </c>
      <c r="AB275" s="2" t="s">
        <v>922</v>
      </c>
      <c r="AC275" s="10" t="s">
        <v>992</v>
      </c>
      <c r="AD275" s="10" t="s">
        <v>993</v>
      </c>
      <c r="AE275" s="11" t="str">
        <f>SUBSTITUTE(SUBSTITUTE(PROPERTIES[[#This Row],[PURCHASECOST_VALUE]], "PURCHASECOST_", ""), "_VALUE", "")</f>
        <v>DIESELENGINE</v>
      </c>
      <c r="AF275" s="10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299</v>
      </c>
      <c r="B276">
        <v>1939</v>
      </c>
      <c r="C276">
        <v>0</v>
      </c>
      <c r="D276" t="s">
        <v>2033</v>
      </c>
      <c r="E276" t="str">
        <f>_xlfn.XLOOKUP(PROPERTIES[[#This Row],[COUNTRY]],COUNTRIES[COUNTRY_DESCRIPTION],COUNTRIES[COUNTRY_LABEL],"")</f>
        <v>ZA</v>
      </c>
      <c r="F276" t="s">
        <v>35</v>
      </c>
      <c r="G276" t="s">
        <v>20</v>
      </c>
      <c r="H276">
        <v>0</v>
      </c>
      <c r="I276">
        <v>5</v>
      </c>
      <c r="J276">
        <v>5</v>
      </c>
      <c r="K276" s="2" t="s">
        <v>20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4">
        <v>68</v>
      </c>
      <c r="P276">
        <v>410</v>
      </c>
      <c r="Q276">
        <v>60</v>
      </c>
      <c r="R276" s="31">
        <v>157</v>
      </c>
      <c r="S276" s="30">
        <f>IFERROR(PROPERTIES[[#This Row],[TE_STARTING_KN]]/(PROPERTIES[[#This Row],[WEIGHT]]*9.81),0)</f>
        <v>0.23535408047010853</v>
      </c>
      <c r="T276" s="30">
        <v>0.23</v>
      </c>
      <c r="U276" s="27">
        <f>ROUND(IF(IFERROR(PROPERTIES[[#This Row],[TE_COEFFICIENT_CALC]],0)=0,PROPERTIES[[#This Row],[TE_COEFFICIENT_MANUAL]],PROPERTIES[[#This Row],[TE_COEFFICIENT_CALC]]),3)</f>
        <v>0.23499999999999999</v>
      </c>
      <c r="V276" s="6">
        <v>40</v>
      </c>
      <c r="W276" s="10">
        <v>0</v>
      </c>
      <c r="X276" s="10">
        <v>0</v>
      </c>
      <c r="Y276" s="11"/>
      <c r="Z276" t="s">
        <v>908</v>
      </c>
      <c r="AA276" t="s">
        <v>904</v>
      </c>
      <c r="AB276" s="2" t="s">
        <v>922</v>
      </c>
      <c r="AC276" s="10" t="s">
        <v>992</v>
      </c>
      <c r="AD276" s="10" t="s">
        <v>993</v>
      </c>
      <c r="AE276" s="11" t="str">
        <f>SUBSTITUTE(SUBSTITUTE(PROPERTIES[[#This Row],[PURCHASECOST_VALUE]], "PURCHASECOST_", ""), "_VALUE", "")</f>
        <v>DIESELENGINE</v>
      </c>
      <c r="AF276" s="10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276" s="2" t="b">
        <v>0</v>
      </c>
      <c r="AY276"/>
      <c r="AZ276"/>
      <c r="BA276"/>
    </row>
    <row r="277" spans="1:53">
      <c r="A277" s="2" t="s">
        <v>300</v>
      </c>
      <c r="B277">
        <v>1950</v>
      </c>
      <c r="C277">
        <v>0</v>
      </c>
      <c r="D277" t="s">
        <v>1849</v>
      </c>
      <c r="E277" t="str">
        <f>_xlfn.XLOOKUP(PROPERTIES[[#This Row],[COUNTRY]],COUNTRIES[COUNTRY_DESCRIPTION],COUNTRIES[COUNTRY_LABEL],"")</f>
        <v>DZ</v>
      </c>
      <c r="F277" t="s">
        <v>35</v>
      </c>
      <c r="G277" t="s">
        <v>20</v>
      </c>
      <c r="H277">
        <v>0</v>
      </c>
      <c r="I277">
        <v>6</v>
      </c>
      <c r="J277">
        <v>6</v>
      </c>
      <c r="K277" s="2" t="s">
        <v>20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4">
        <v>115</v>
      </c>
      <c r="P277">
        <v>800</v>
      </c>
      <c r="Q277">
        <v>80</v>
      </c>
      <c r="R277" s="31">
        <v>0</v>
      </c>
      <c r="S277" s="30">
        <f>IFERROR(PROPERTIES[[#This Row],[TE_STARTING_KN]]/(PROPERTIES[[#This Row],[WEIGHT]]*9.81),0)</f>
        <v>0</v>
      </c>
      <c r="T277" s="30">
        <v>0.16</v>
      </c>
      <c r="U277" s="27">
        <f>ROUND(IF(IFERROR(PROPERTIES[[#This Row],[TE_COEFFICIENT_CALC]],0)=0,PROPERTIES[[#This Row],[TE_COEFFICIENT_MANUAL]],PROPERTIES[[#This Row],[TE_COEFFICIENT_CALC]]),3)</f>
        <v>0.16</v>
      </c>
      <c r="V277" s="6">
        <v>40</v>
      </c>
      <c r="W277" s="10">
        <v>0</v>
      </c>
      <c r="X277" s="10">
        <v>0</v>
      </c>
      <c r="Y277" s="11"/>
      <c r="Z277" t="s">
        <v>908</v>
      </c>
      <c r="AA277" t="s">
        <v>904</v>
      </c>
      <c r="AB277" s="2" t="s">
        <v>922</v>
      </c>
      <c r="AC277" s="10" t="s">
        <v>992</v>
      </c>
      <c r="AD277" s="10" t="s">
        <v>993</v>
      </c>
      <c r="AE277" s="11" t="str">
        <f>SUBSTITUTE(SUBSTITUTE(PROPERTIES[[#This Row],[PURCHASECOST_VALUE]], "PURCHASECOST_", ""), "_VALUE", "")</f>
        <v>DIESELENGINE</v>
      </c>
      <c r="AF277" s="10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301</v>
      </c>
      <c r="B278">
        <v>1960</v>
      </c>
      <c r="C278">
        <v>0</v>
      </c>
      <c r="D278" t="s">
        <v>2009</v>
      </c>
      <c r="E278" t="str">
        <f>_xlfn.XLOOKUP(PROPERTIES[[#This Row],[COUNTRY]],COUNTRIES[COUNTRY_DESCRIPTION],COUNTRIES[COUNTRY_LABEL],"")</f>
        <v>TN</v>
      </c>
      <c r="F278" t="s">
        <v>35</v>
      </c>
      <c r="G278" t="s">
        <v>20</v>
      </c>
      <c r="H278">
        <v>0</v>
      </c>
      <c r="I278">
        <v>5</v>
      </c>
      <c r="J278">
        <v>5</v>
      </c>
      <c r="K278" s="2" t="s">
        <v>20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4">
        <v>59</v>
      </c>
      <c r="P278">
        <v>875</v>
      </c>
      <c r="Q278">
        <v>100</v>
      </c>
      <c r="R278" s="31">
        <v>0</v>
      </c>
      <c r="S278" s="30">
        <f>IFERROR(PROPERTIES[[#This Row],[TE_STARTING_KN]]/(PROPERTIES[[#This Row],[WEIGHT]]*9.81),0)</f>
        <v>0</v>
      </c>
      <c r="T278" s="30">
        <v>0.25</v>
      </c>
      <c r="U278" s="27">
        <f>ROUND(IF(IFERROR(PROPERTIES[[#This Row],[TE_COEFFICIENT_CALC]],0)=0,PROPERTIES[[#This Row],[TE_COEFFICIENT_MANUAL]],PROPERTIES[[#This Row],[TE_COEFFICIENT_CALC]]),3)</f>
        <v>0.25</v>
      </c>
      <c r="V278" s="6">
        <v>40</v>
      </c>
      <c r="W278" s="10">
        <v>0</v>
      </c>
      <c r="X278" s="10">
        <v>0</v>
      </c>
      <c r="Y278" s="11"/>
      <c r="Z278" t="s">
        <v>908</v>
      </c>
      <c r="AA278" t="s">
        <v>904</v>
      </c>
      <c r="AB278" s="2" t="s">
        <v>922</v>
      </c>
      <c r="AC278" s="10" t="s">
        <v>992</v>
      </c>
      <c r="AD278" s="10" t="s">
        <v>993</v>
      </c>
      <c r="AE278" s="11" t="str">
        <f>SUBSTITUTE(SUBSTITUTE(PROPERTIES[[#This Row],[PURCHASECOST_VALUE]], "PURCHASECOST_", ""), "_VALUE", "")</f>
        <v>DIESELENGINE</v>
      </c>
      <c r="AF278" s="10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302</v>
      </c>
      <c r="B279">
        <v>1974</v>
      </c>
      <c r="C279">
        <v>0</v>
      </c>
      <c r="D279" t="s">
        <v>1852</v>
      </c>
      <c r="E279" t="str">
        <f>_xlfn.XLOOKUP(PROPERTIES[[#This Row],[COUNTRY]],COUNTRIES[COUNTRY_DESCRIPTION],COUNTRIES[COUNTRY_LABEL],"")</f>
        <v>EG</v>
      </c>
      <c r="F279" t="s">
        <v>35</v>
      </c>
      <c r="G279" t="s">
        <v>20</v>
      </c>
      <c r="H279">
        <v>0</v>
      </c>
      <c r="I279">
        <v>7</v>
      </c>
      <c r="J279">
        <v>7</v>
      </c>
      <c r="K279" s="2" t="s">
        <v>20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4">
        <v>120</v>
      </c>
      <c r="P279">
        <v>2800</v>
      </c>
      <c r="Q279">
        <v>120</v>
      </c>
      <c r="R279" s="31">
        <v>365</v>
      </c>
      <c r="S279" s="30">
        <f>IFERROR(PROPERTIES[[#This Row],[TE_STARTING_KN]]/(PROPERTIES[[#This Row],[WEIGHT]]*9.81),0)</f>
        <v>0.31005776418620457</v>
      </c>
      <c r="T279" s="30">
        <v>0.17</v>
      </c>
      <c r="U279" s="27">
        <f>ROUND(IF(IFERROR(PROPERTIES[[#This Row],[TE_COEFFICIENT_CALC]],0)=0,PROPERTIES[[#This Row],[TE_COEFFICIENT_MANUAL]],PROPERTIES[[#This Row],[TE_COEFFICIENT_CALC]]),3)</f>
        <v>0.31</v>
      </c>
      <c r="V279" s="6">
        <v>40</v>
      </c>
      <c r="W279" s="10">
        <v>0</v>
      </c>
      <c r="X279" s="10">
        <v>0</v>
      </c>
      <c r="Y279" s="11"/>
      <c r="Z279" t="s">
        <v>908</v>
      </c>
      <c r="AA279" t="s">
        <v>904</v>
      </c>
      <c r="AB279" s="2" t="s">
        <v>922</v>
      </c>
      <c r="AC279" s="10" t="s">
        <v>992</v>
      </c>
      <c r="AD279" s="10" t="s">
        <v>993</v>
      </c>
      <c r="AE279" s="11" t="str">
        <f>SUBSTITUTE(SUBSTITUTE(PROPERTIES[[#This Row],[PURCHASECOST_VALUE]], "PURCHASECOST_", ""), "_VALUE", "")</f>
        <v>DIESELENGINE</v>
      </c>
      <c r="AF279" s="10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303</v>
      </c>
      <c r="B280">
        <v>1977</v>
      </c>
      <c r="C280">
        <v>0</v>
      </c>
      <c r="D280" t="s">
        <v>2009</v>
      </c>
      <c r="E280" t="str">
        <f>_xlfn.XLOOKUP(PROPERTIES[[#This Row],[COUNTRY]],COUNTRIES[COUNTRY_DESCRIPTION],COUNTRIES[COUNTRY_LABEL],"")</f>
        <v>TN</v>
      </c>
      <c r="F280" t="s">
        <v>35</v>
      </c>
      <c r="G280" t="s">
        <v>20</v>
      </c>
      <c r="H280">
        <v>0</v>
      </c>
      <c r="I280">
        <v>5</v>
      </c>
      <c r="J280">
        <v>5</v>
      </c>
      <c r="K280" s="2" t="s">
        <v>20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4">
        <v>53</v>
      </c>
      <c r="P280">
        <v>700</v>
      </c>
      <c r="Q280">
        <v>75</v>
      </c>
      <c r="R280" s="31">
        <v>128</v>
      </c>
      <c r="S280" s="30">
        <f>IFERROR(PROPERTIES[[#This Row],[TE_STARTING_KN]]/(PROPERTIES[[#This Row],[WEIGHT]]*9.81),0)</f>
        <v>0.24618698670974937</v>
      </c>
      <c r="T280" s="30">
        <v>0.28000000000000003</v>
      </c>
      <c r="U280" s="27">
        <f>ROUND(IF(IFERROR(PROPERTIES[[#This Row],[TE_COEFFICIENT_CALC]],0)=0,PROPERTIES[[#This Row],[TE_COEFFICIENT_MANUAL]],PROPERTIES[[#This Row],[TE_COEFFICIENT_CALC]]),3)</f>
        <v>0.246</v>
      </c>
      <c r="V280" s="6">
        <v>40</v>
      </c>
      <c r="W280" s="10">
        <v>0</v>
      </c>
      <c r="X280" s="10">
        <v>0</v>
      </c>
      <c r="Y280" s="11"/>
      <c r="Z280" t="s">
        <v>908</v>
      </c>
      <c r="AA280" t="s">
        <v>904</v>
      </c>
      <c r="AB280" s="2" t="s">
        <v>922</v>
      </c>
      <c r="AC280" s="10" t="s">
        <v>992</v>
      </c>
      <c r="AD280" s="10" t="s">
        <v>993</v>
      </c>
      <c r="AE280" s="11" t="str">
        <f>SUBSTITUTE(SUBSTITUTE(PROPERTIES[[#This Row],[PURCHASECOST_VALUE]], "PURCHASECOST_", ""), "_VALUE", "")</f>
        <v>DIESELENGINE</v>
      </c>
      <c r="AF280" s="10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304</v>
      </c>
      <c r="B281">
        <v>1989</v>
      </c>
      <c r="C281">
        <v>0</v>
      </c>
      <c r="D281" t="s">
        <v>1923</v>
      </c>
      <c r="E281" t="str">
        <f>_xlfn.XLOOKUP(PROPERTIES[[#This Row],[COUNTRY]],COUNTRIES[COUNTRY_DESCRIPTION],COUNTRIES[COUNTRY_LABEL],"")</f>
        <v>MA</v>
      </c>
      <c r="F281" t="s">
        <v>35</v>
      </c>
      <c r="G281" t="s">
        <v>20</v>
      </c>
      <c r="H281">
        <v>0</v>
      </c>
      <c r="I281">
        <v>8</v>
      </c>
      <c r="J281">
        <v>8</v>
      </c>
      <c r="K281" s="2" t="s">
        <v>20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4">
        <v>108</v>
      </c>
      <c r="P281">
        <v>3400</v>
      </c>
      <c r="Q281">
        <v>135</v>
      </c>
      <c r="R281" s="31">
        <v>360</v>
      </c>
      <c r="S281" s="30">
        <f>IFERROR(PROPERTIES[[#This Row],[TE_STARTING_KN]]/(PROPERTIES[[#This Row],[WEIGHT]]*9.81),0)</f>
        <v>0.3397893306150187</v>
      </c>
      <c r="T281" s="30">
        <v>0.33</v>
      </c>
      <c r="U281" s="27">
        <f>ROUND(IF(IFERROR(PROPERTIES[[#This Row],[TE_COEFFICIENT_CALC]],0)=0,PROPERTIES[[#This Row],[TE_COEFFICIENT_MANUAL]],PROPERTIES[[#This Row],[TE_COEFFICIENT_CALC]]),3)</f>
        <v>0.34</v>
      </c>
      <c r="V281" s="6">
        <v>40</v>
      </c>
      <c r="W281" s="10">
        <v>0</v>
      </c>
      <c r="X281" s="10">
        <v>0</v>
      </c>
      <c r="Y281" s="11"/>
      <c r="Z281" t="s">
        <v>908</v>
      </c>
      <c r="AA281" t="s">
        <v>904</v>
      </c>
      <c r="AB281" s="2" t="s">
        <v>922</v>
      </c>
      <c r="AC281" s="10" t="s">
        <v>992</v>
      </c>
      <c r="AD281" s="10" t="s">
        <v>993</v>
      </c>
      <c r="AE281" s="11" t="str">
        <f>SUBSTITUTE(SUBSTITUTE(PROPERTIES[[#This Row],[PURCHASECOST_VALUE]], "PURCHASECOST_", ""), "_VALUE", "")</f>
        <v>DIESELENGINE</v>
      </c>
      <c r="AF281" s="10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305</v>
      </c>
      <c r="B282">
        <v>1964</v>
      </c>
      <c r="C282">
        <v>0</v>
      </c>
      <c r="D282" t="s">
        <v>2016</v>
      </c>
      <c r="E282" t="str">
        <f>_xlfn.XLOOKUP(PROPERTIES[[#This Row],[COUNTRY]],COUNTRIES[COUNTRY_DESCRIPTION],COUNTRIES[COUNTRY_LABEL],"")</f>
        <v>UA</v>
      </c>
      <c r="F282" t="s">
        <v>35</v>
      </c>
      <c r="G282" t="s">
        <v>20</v>
      </c>
      <c r="H282">
        <v>0</v>
      </c>
      <c r="I282">
        <v>8</v>
      </c>
      <c r="J282">
        <v>8</v>
      </c>
      <c r="K282" s="2" t="s">
        <v>20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4">
        <v>129</v>
      </c>
      <c r="P282">
        <v>2290</v>
      </c>
      <c r="Q282">
        <v>140</v>
      </c>
      <c r="R282" s="31">
        <v>245</v>
      </c>
      <c r="S282" s="30">
        <f>IFERROR(PROPERTIES[[#This Row],[TE_STARTING_KN]]/(PROPERTIES[[#This Row],[WEIGHT]]*9.81),0)</f>
        <v>0.19360089767599903</v>
      </c>
      <c r="T282" s="30">
        <v>0.13</v>
      </c>
      <c r="U282" s="27">
        <f>ROUND(IF(IFERROR(PROPERTIES[[#This Row],[TE_COEFFICIENT_CALC]],0)=0,PROPERTIES[[#This Row],[TE_COEFFICIENT_MANUAL]],PROPERTIES[[#This Row],[TE_COEFFICIENT_CALC]]),3)</f>
        <v>0.19400000000000001</v>
      </c>
      <c r="V282" s="6">
        <v>40</v>
      </c>
      <c r="W282" s="10">
        <v>0</v>
      </c>
      <c r="X282" s="10">
        <v>0</v>
      </c>
      <c r="Y282" s="11"/>
      <c r="Z282" t="s">
        <v>911</v>
      </c>
      <c r="AA282" t="s">
        <v>904</v>
      </c>
      <c r="AB282" s="2" t="s">
        <v>922</v>
      </c>
      <c r="AC282" s="10" t="s">
        <v>992</v>
      </c>
      <c r="AD282" s="10" t="s">
        <v>993</v>
      </c>
      <c r="AE282" s="11" t="str">
        <f>SUBSTITUTE(SUBSTITUTE(PROPERTIES[[#This Row],[PURCHASECOST_VALUE]], "PURCHASECOST_", ""), "_VALUE", "")</f>
        <v>DIESELENGINE</v>
      </c>
      <c r="AF282" s="10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306</v>
      </c>
      <c r="B283">
        <v>1981</v>
      </c>
      <c r="C283">
        <v>0</v>
      </c>
      <c r="D283" t="s">
        <v>2038</v>
      </c>
      <c r="E283" t="str">
        <f>_xlfn.XLOOKUP(PROPERTIES[[#This Row],[COUNTRY]],COUNTRIES[COUNTRY_DESCRIPTION],COUNTRIES[COUNTRY_LABEL],"")</f>
        <v>SU</v>
      </c>
      <c r="F283" t="s">
        <v>35</v>
      </c>
      <c r="G283" t="s">
        <v>20</v>
      </c>
      <c r="H283">
        <v>0</v>
      </c>
      <c r="I283">
        <v>8</v>
      </c>
      <c r="J283">
        <v>16</v>
      </c>
      <c r="K283" s="2" t="s">
        <v>20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4">
        <v>276</v>
      </c>
      <c r="P283">
        <v>6160</v>
      </c>
      <c r="Q283">
        <v>100</v>
      </c>
      <c r="R283" s="31">
        <v>784</v>
      </c>
      <c r="S283" s="30">
        <f>IFERROR(PROPERTIES[[#This Row],[TE_STARTING_KN]]/(PROPERTIES[[#This Row],[WEIGHT]]*9.81),0)</f>
        <v>0.28955960348062465</v>
      </c>
      <c r="T283" s="30">
        <v>0.18</v>
      </c>
      <c r="U283" s="27">
        <f>ROUND(IF(IFERROR(PROPERTIES[[#This Row],[TE_COEFFICIENT_CALC]],0)=0,PROPERTIES[[#This Row],[TE_COEFFICIENT_MANUAL]],PROPERTIES[[#This Row],[TE_COEFFICIENT_CALC]]),3)</f>
        <v>0.28999999999999998</v>
      </c>
      <c r="V283" s="6">
        <v>40</v>
      </c>
      <c r="W283" s="10">
        <v>0</v>
      </c>
      <c r="X283" s="10">
        <v>0</v>
      </c>
      <c r="Y283" s="11"/>
      <c r="Z283" t="s">
        <v>911</v>
      </c>
      <c r="AA283" t="s">
        <v>904</v>
      </c>
      <c r="AB283" s="2" t="s">
        <v>922</v>
      </c>
      <c r="AC283" s="10" t="s">
        <v>992</v>
      </c>
      <c r="AD283" s="10" t="s">
        <v>993</v>
      </c>
      <c r="AE283" s="11" t="str">
        <f>SUBSTITUTE(SUBSTITUTE(PROPERTIES[[#This Row],[PURCHASECOST_VALUE]], "PURCHASECOST_", ""), "_VALUE", "")</f>
        <v>DIESELENGINE</v>
      </c>
      <c r="AF283" s="10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307</v>
      </c>
      <c r="B284">
        <v>1985</v>
      </c>
      <c r="C284">
        <v>0</v>
      </c>
      <c r="D284" t="s">
        <v>1965</v>
      </c>
      <c r="E284" t="str">
        <f>_xlfn.XLOOKUP(PROPERTIES[[#This Row],[COUNTRY]],COUNTRIES[COUNTRY_DESCRIPTION],COUNTRIES[COUNTRY_LABEL],"")</f>
        <v>PL</v>
      </c>
      <c r="F284" t="s">
        <v>35</v>
      </c>
      <c r="G284" t="s">
        <v>20</v>
      </c>
      <c r="H284">
        <v>0</v>
      </c>
      <c r="I284">
        <v>6</v>
      </c>
      <c r="J284">
        <v>6</v>
      </c>
      <c r="K284" s="2" t="s">
        <v>20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4">
        <v>74</v>
      </c>
      <c r="P284">
        <v>1015</v>
      </c>
      <c r="Q284">
        <v>100</v>
      </c>
      <c r="R284" s="31">
        <v>181.42</v>
      </c>
      <c r="S284" s="30">
        <f>IFERROR(PROPERTIES[[#This Row],[TE_STARTING_KN]]/(PROPERTIES[[#This Row],[WEIGHT]]*9.81),0)</f>
        <v>0.2499104609196352</v>
      </c>
      <c r="T284" s="30">
        <v>0.25</v>
      </c>
      <c r="U284" s="27">
        <f>ROUND(IF(IFERROR(PROPERTIES[[#This Row],[TE_COEFFICIENT_CALC]],0)=0,PROPERTIES[[#This Row],[TE_COEFFICIENT_MANUAL]],PROPERTIES[[#This Row],[TE_COEFFICIENT_CALC]]),3)</f>
        <v>0.25</v>
      </c>
      <c r="V284" s="6">
        <v>40</v>
      </c>
      <c r="W284" s="10">
        <v>0</v>
      </c>
      <c r="X284" s="10">
        <v>0</v>
      </c>
      <c r="Y284" s="11"/>
      <c r="Z284" t="s">
        <v>911</v>
      </c>
      <c r="AA284" t="s">
        <v>904</v>
      </c>
      <c r="AB284" s="2" t="s">
        <v>922</v>
      </c>
      <c r="AC284" s="10" t="s">
        <v>992</v>
      </c>
      <c r="AD284" s="10" t="s">
        <v>993</v>
      </c>
      <c r="AE284" s="11" t="str">
        <f>SUBSTITUTE(SUBSTITUTE(PROPERTIES[[#This Row],[PURCHASECOST_VALUE]], "PURCHASECOST_", ""), "_VALUE", "")</f>
        <v>DIESELENGINE</v>
      </c>
      <c r="AF284" s="10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308</v>
      </c>
      <c r="B285">
        <v>1987</v>
      </c>
      <c r="C285">
        <v>0</v>
      </c>
      <c r="D285" t="s">
        <v>2016</v>
      </c>
      <c r="E285" t="str">
        <f>_xlfn.XLOOKUP(PROPERTIES[[#This Row],[COUNTRY]],COUNTRIES[COUNTRY_DESCRIPTION],COUNTRIES[COUNTRY_LABEL],"")</f>
        <v>UA</v>
      </c>
      <c r="F285" t="s">
        <v>35</v>
      </c>
      <c r="G285" t="s">
        <v>20</v>
      </c>
      <c r="H285">
        <v>0</v>
      </c>
      <c r="I285">
        <v>8</v>
      </c>
      <c r="J285">
        <v>8</v>
      </c>
      <c r="K285" s="2" t="s">
        <v>20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4">
        <v>272</v>
      </c>
      <c r="P285">
        <v>6035</v>
      </c>
      <c r="Q285">
        <v>100</v>
      </c>
      <c r="R285" s="31">
        <f>2*255</f>
        <v>510</v>
      </c>
      <c r="S285" s="30">
        <f>IFERROR(PROPERTIES[[#This Row],[TE_STARTING_KN]]/(PROPERTIES[[#This Row],[WEIGHT]]*9.81),0)</f>
        <v>0.19113149847094801</v>
      </c>
      <c r="T285" s="30">
        <v>0.2</v>
      </c>
      <c r="U285" s="27">
        <f>ROUND(IF(IFERROR(PROPERTIES[[#This Row],[TE_COEFFICIENT_CALC]],0)=0,PROPERTIES[[#This Row],[TE_COEFFICIENT_MANUAL]],PROPERTIES[[#This Row],[TE_COEFFICIENT_CALC]]),3)</f>
        <v>0.191</v>
      </c>
      <c r="V285" s="6">
        <v>40</v>
      </c>
      <c r="W285" s="10">
        <v>0</v>
      </c>
      <c r="X285" s="10">
        <v>0</v>
      </c>
      <c r="Y285" s="11"/>
      <c r="Z285" t="s">
        <v>911</v>
      </c>
      <c r="AA285" t="s">
        <v>904</v>
      </c>
      <c r="AB285" s="2" t="s">
        <v>922</v>
      </c>
      <c r="AC285" s="10" t="s">
        <v>992</v>
      </c>
      <c r="AD285" s="10" t="s">
        <v>993</v>
      </c>
      <c r="AE285" s="11" t="str">
        <f>SUBSTITUTE(SUBSTITUTE(PROPERTIES[[#This Row],[PURCHASECOST_VALUE]], "PURCHASECOST_", ""), "_VALUE", "")</f>
        <v>DIESELENGINE</v>
      </c>
      <c r="AF285" s="10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309</v>
      </c>
      <c r="B286">
        <v>1989</v>
      </c>
      <c r="C286">
        <v>0</v>
      </c>
      <c r="D286" t="s">
        <v>2016</v>
      </c>
      <c r="E286" t="str">
        <f>_xlfn.XLOOKUP(PROPERTIES[[#This Row],[COUNTRY]],COUNTRIES[COUNTRY_DESCRIPTION],COUNTRIES[COUNTRY_LABEL],"")</f>
        <v>UA</v>
      </c>
      <c r="F286" t="s">
        <v>35</v>
      </c>
      <c r="G286" t="s">
        <v>20</v>
      </c>
      <c r="H286">
        <v>0</v>
      </c>
      <c r="I286">
        <v>8</v>
      </c>
      <c r="J286">
        <v>16</v>
      </c>
      <c r="K286" s="2" t="s">
        <v>20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4">
        <v>276</v>
      </c>
      <c r="P286">
        <v>4560</v>
      </c>
      <c r="Q286">
        <v>120</v>
      </c>
      <c r="R286" s="31">
        <v>0</v>
      </c>
      <c r="S286" s="30">
        <f>IFERROR(PROPERTIES[[#This Row],[TE_STARTING_KN]]/(PROPERTIES[[#This Row],[WEIGHT]]*9.81),0)</f>
        <v>0</v>
      </c>
      <c r="T286" s="30">
        <v>0.15</v>
      </c>
      <c r="U286" s="27">
        <f>ROUND(IF(IFERROR(PROPERTIES[[#This Row],[TE_COEFFICIENT_CALC]],0)=0,PROPERTIES[[#This Row],[TE_COEFFICIENT_MANUAL]],PROPERTIES[[#This Row],[TE_COEFFICIENT_CALC]]),3)</f>
        <v>0.15</v>
      </c>
      <c r="V286" s="6">
        <v>40</v>
      </c>
      <c r="W286" s="10">
        <v>0</v>
      </c>
      <c r="X286" s="10">
        <v>0</v>
      </c>
      <c r="Y286" s="11"/>
      <c r="Z286" t="s">
        <v>911</v>
      </c>
      <c r="AA286" t="s">
        <v>904</v>
      </c>
      <c r="AB286" s="2" t="s">
        <v>922</v>
      </c>
      <c r="AC286" s="10" t="s">
        <v>992</v>
      </c>
      <c r="AD286" s="10" t="s">
        <v>993</v>
      </c>
      <c r="AE286" s="11" t="str">
        <f>SUBSTITUTE(SUBSTITUTE(PROPERTIES[[#This Row],[PURCHASECOST_VALUE]], "PURCHASECOST_", ""), "_VALUE", "")</f>
        <v>DIESELENGINE</v>
      </c>
      <c r="AF286" s="10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310</v>
      </c>
      <c r="B287">
        <v>1992</v>
      </c>
      <c r="C287">
        <v>0</v>
      </c>
      <c r="D287" t="s">
        <v>2039</v>
      </c>
      <c r="E287" t="str">
        <f>_xlfn.XLOOKUP(PROPERTIES[[#This Row],[COUNTRY]],COUNTRIES[COUNTRY_DESCRIPTION],COUNTRIES[COUNTRY_LABEL],"")</f>
        <v>YU</v>
      </c>
      <c r="F287" t="s">
        <v>35</v>
      </c>
      <c r="G287" t="s">
        <v>20</v>
      </c>
      <c r="H287">
        <v>0</v>
      </c>
      <c r="I287">
        <v>4</v>
      </c>
      <c r="J287">
        <v>4</v>
      </c>
      <c r="K287" s="2" t="s">
        <v>20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4">
        <v>36</v>
      </c>
      <c r="P287">
        <v>530</v>
      </c>
      <c r="Q287">
        <v>80</v>
      </c>
      <c r="R287" s="31">
        <v>108</v>
      </c>
      <c r="S287" s="30">
        <f>IFERROR(PROPERTIES[[#This Row],[TE_STARTING_KN]]/(PROPERTIES[[#This Row],[WEIGHT]]*9.81),0)</f>
        <v>0.3058103975535168</v>
      </c>
      <c r="T287" s="30">
        <v>0.3</v>
      </c>
      <c r="U287" s="27">
        <f>ROUND(IF(IFERROR(PROPERTIES[[#This Row],[TE_COEFFICIENT_CALC]],0)=0,PROPERTIES[[#This Row],[TE_COEFFICIENT_MANUAL]],PROPERTIES[[#This Row],[TE_COEFFICIENT_CALC]]),3)</f>
        <v>0.30599999999999999</v>
      </c>
      <c r="V287" s="6">
        <v>40</v>
      </c>
      <c r="W287" s="10">
        <v>0</v>
      </c>
      <c r="X287" s="10">
        <v>0</v>
      </c>
      <c r="Y287" s="11"/>
      <c r="Z287" t="s">
        <v>911</v>
      </c>
      <c r="AA287" t="s">
        <v>904</v>
      </c>
      <c r="AB287" s="2" t="s">
        <v>922</v>
      </c>
      <c r="AC287" s="10" t="s">
        <v>992</v>
      </c>
      <c r="AD287" s="10" t="s">
        <v>993</v>
      </c>
      <c r="AE287" s="11" t="str">
        <f>SUBSTITUTE(SUBSTITUTE(PROPERTIES[[#This Row],[PURCHASECOST_VALUE]], "PURCHASECOST_", ""), "_VALUE", "")</f>
        <v>DIESELENGINE</v>
      </c>
      <c r="AF287" s="10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311</v>
      </c>
      <c r="B288">
        <v>1931</v>
      </c>
      <c r="C288">
        <v>0</v>
      </c>
      <c r="D288" t="s">
        <v>1896</v>
      </c>
      <c r="E288" t="str">
        <f>_xlfn.XLOOKUP(PROPERTIES[[#This Row],[COUNTRY]],COUNTRIES[COUNTRY_DESCRIPTION],COUNTRIES[COUNTRY_LABEL],"")</f>
        <v>IT</v>
      </c>
      <c r="F288" t="s">
        <v>35</v>
      </c>
      <c r="G288" t="s">
        <v>20</v>
      </c>
      <c r="H288">
        <v>0</v>
      </c>
      <c r="I288">
        <v>2</v>
      </c>
      <c r="J288">
        <v>2</v>
      </c>
      <c r="K288" s="2" t="s">
        <v>20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4">
        <v>6</v>
      </c>
      <c r="P288">
        <v>75</v>
      </c>
      <c r="Q288">
        <v>30</v>
      </c>
      <c r="R288" s="31">
        <v>13</v>
      </c>
      <c r="S288" s="30">
        <f>IFERROR(PROPERTIES[[#This Row],[TE_STARTING_KN]]/(PROPERTIES[[#This Row],[WEIGHT]]*9.81),0)</f>
        <v>0.22086306489976215</v>
      </c>
      <c r="T288" s="30">
        <v>0.27</v>
      </c>
      <c r="U288" s="27">
        <f>ROUND(IF(IFERROR(PROPERTIES[[#This Row],[TE_COEFFICIENT_CALC]],0)=0,PROPERTIES[[#This Row],[TE_COEFFICIENT_MANUAL]],PROPERTIES[[#This Row],[TE_COEFFICIENT_CALC]]),3)</f>
        <v>0.221</v>
      </c>
      <c r="V288" s="6">
        <v>40</v>
      </c>
      <c r="W288" s="10">
        <v>0</v>
      </c>
      <c r="X288" s="10">
        <v>0</v>
      </c>
      <c r="Y288" s="11"/>
      <c r="Z288" t="s">
        <v>906</v>
      </c>
      <c r="AA288" t="s">
        <v>904</v>
      </c>
      <c r="AB288" s="2" t="s">
        <v>922</v>
      </c>
      <c r="AC288" s="10" t="s">
        <v>992</v>
      </c>
      <c r="AD288" s="10" t="s">
        <v>993</v>
      </c>
      <c r="AE288" s="11" t="str">
        <f>SUBSTITUTE(SUBSTITUTE(PROPERTIES[[#This Row],[PURCHASECOST_VALUE]], "PURCHASECOST_", ""), "_VALUE", "")</f>
        <v>DIESELENGINE</v>
      </c>
      <c r="AF288" s="10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288" s="2" t="b">
        <v>0</v>
      </c>
      <c r="AY288"/>
      <c r="AZ288"/>
      <c r="BA288"/>
    </row>
    <row r="289" spans="1:53">
      <c r="A289" s="2" t="s">
        <v>312</v>
      </c>
      <c r="B289">
        <v>1945</v>
      </c>
      <c r="C289">
        <v>0</v>
      </c>
      <c r="D289" t="s">
        <v>2038</v>
      </c>
      <c r="E289" t="str">
        <f>_xlfn.XLOOKUP(PROPERTIES[[#This Row],[COUNTRY]],COUNTRIES[COUNTRY_DESCRIPTION],COUNTRIES[COUNTRY_LABEL],"")</f>
        <v>SU</v>
      </c>
      <c r="F289" t="s">
        <v>35</v>
      </c>
      <c r="G289" t="s">
        <v>20</v>
      </c>
      <c r="H289">
        <v>0</v>
      </c>
      <c r="I289">
        <v>8</v>
      </c>
      <c r="J289">
        <v>8</v>
      </c>
      <c r="K289" s="2" t="s">
        <v>20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4">
        <v>122</v>
      </c>
      <c r="P289">
        <v>1000</v>
      </c>
      <c r="Q289">
        <v>97</v>
      </c>
      <c r="R289" s="31">
        <v>310</v>
      </c>
      <c r="S289" s="30">
        <f>IFERROR(PROPERTIES[[#This Row],[TE_STARTING_KN]]/(PROPERTIES[[#This Row],[WEIGHT]]*9.81),0)</f>
        <v>0.2590197356327601</v>
      </c>
      <c r="T289" s="30">
        <v>0.15</v>
      </c>
      <c r="U289" s="27">
        <f>ROUND(IF(IFERROR(PROPERTIES[[#This Row],[TE_COEFFICIENT_CALC]],0)=0,PROPERTIES[[#This Row],[TE_COEFFICIENT_MANUAL]],PROPERTIES[[#This Row],[TE_COEFFICIENT_CALC]]),3)</f>
        <v>0.25900000000000001</v>
      </c>
      <c r="V289" s="6">
        <v>40</v>
      </c>
      <c r="W289" s="10">
        <v>0</v>
      </c>
      <c r="X289" s="10">
        <v>0</v>
      </c>
      <c r="Y289" s="11"/>
      <c r="Z289" t="s">
        <v>913</v>
      </c>
      <c r="AA289" t="s">
        <v>904</v>
      </c>
      <c r="AB289" s="2" t="s">
        <v>922</v>
      </c>
      <c r="AC289" s="10" t="s">
        <v>992</v>
      </c>
      <c r="AD289" s="10" t="s">
        <v>993</v>
      </c>
      <c r="AE289" s="11" t="str">
        <f>SUBSTITUTE(SUBSTITUTE(PROPERTIES[[#This Row],[PURCHASECOST_VALUE]], "PURCHASECOST_", ""), "_VALUE", "")</f>
        <v>DIESELENGINE</v>
      </c>
      <c r="AF289" s="10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313</v>
      </c>
      <c r="B290">
        <v>1948</v>
      </c>
      <c r="C290">
        <v>0</v>
      </c>
      <c r="D290" t="s">
        <v>1970</v>
      </c>
      <c r="E290" t="str">
        <f>_xlfn.XLOOKUP(PROPERTIES[[#This Row],[COUNTRY]],COUNTRIES[COUNTRY_DESCRIPTION],COUNTRIES[COUNTRY_LABEL],"")</f>
        <v>PT</v>
      </c>
      <c r="F290" t="s">
        <v>35</v>
      </c>
      <c r="G290" t="s">
        <v>20</v>
      </c>
      <c r="H290">
        <v>0</v>
      </c>
      <c r="I290">
        <v>6</v>
      </c>
      <c r="J290">
        <v>6</v>
      </c>
      <c r="K290" s="2" t="s">
        <v>20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4">
        <v>111</v>
      </c>
      <c r="P290">
        <v>1500</v>
      </c>
      <c r="Q290">
        <v>120</v>
      </c>
      <c r="R290" s="31">
        <v>0</v>
      </c>
      <c r="S290" s="30">
        <f>IFERROR(PROPERTIES[[#This Row],[TE_STARTING_KN]]/(PROPERTIES[[#This Row],[WEIGHT]]*9.81),0)</f>
        <v>0</v>
      </c>
      <c r="T290" s="30">
        <v>0.15</v>
      </c>
      <c r="U290" s="27">
        <f>ROUND(IF(IFERROR(PROPERTIES[[#This Row],[TE_COEFFICIENT_CALC]],0)=0,PROPERTIES[[#This Row],[TE_COEFFICIENT_MANUAL]],PROPERTIES[[#This Row],[TE_COEFFICIENT_CALC]]),3)</f>
        <v>0.15</v>
      </c>
      <c r="V290" s="6">
        <v>40</v>
      </c>
      <c r="W290" s="10">
        <v>0</v>
      </c>
      <c r="X290" s="10">
        <v>0</v>
      </c>
      <c r="Y290" s="11"/>
      <c r="Z290" t="s">
        <v>906</v>
      </c>
      <c r="AA290" t="s">
        <v>904</v>
      </c>
      <c r="AB290" s="2" t="s">
        <v>922</v>
      </c>
      <c r="AC290" s="10" t="s">
        <v>992</v>
      </c>
      <c r="AD290" s="10" t="s">
        <v>993</v>
      </c>
      <c r="AE290" s="11" t="str">
        <f>SUBSTITUTE(SUBSTITUTE(PROPERTIES[[#This Row],[PURCHASECOST_VALUE]], "PURCHASECOST_", ""), "_VALUE", "")</f>
        <v>DIESELENGINE</v>
      </c>
      <c r="AF290" s="10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314</v>
      </c>
      <c r="B291">
        <v>1969</v>
      </c>
      <c r="C291">
        <v>0</v>
      </c>
      <c r="D291" t="s">
        <v>1862</v>
      </c>
      <c r="E291" t="str">
        <f>_xlfn.XLOOKUP(PROPERTIES[[#This Row],[COUNTRY]],COUNTRIES[COUNTRY_DESCRIPTION],COUNTRIES[COUNTRY_LABEL],"")</f>
        <v>FR</v>
      </c>
      <c r="F291" t="s">
        <v>35</v>
      </c>
      <c r="G291" t="s">
        <v>20</v>
      </c>
      <c r="H291">
        <v>0</v>
      </c>
      <c r="I291">
        <v>8</v>
      </c>
      <c r="J291">
        <v>8</v>
      </c>
      <c r="K291" s="2" t="s">
        <v>20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4">
        <v>83</v>
      </c>
      <c r="P291">
        <v>2367</v>
      </c>
      <c r="Q291">
        <v>140</v>
      </c>
      <c r="R291" s="31">
        <v>250</v>
      </c>
      <c r="S291" s="30">
        <f>IFERROR(PROPERTIES[[#This Row],[TE_STARTING_KN]]/(PROPERTIES[[#This Row],[WEIGHT]]*9.81),0)</f>
        <v>0.30703855176055905</v>
      </c>
      <c r="T291" s="30">
        <v>0.34</v>
      </c>
      <c r="U291" s="27">
        <f>ROUND(IF(IFERROR(PROPERTIES[[#This Row],[TE_COEFFICIENT_CALC]],0)=0,PROPERTIES[[#This Row],[TE_COEFFICIENT_MANUAL]],PROPERTIES[[#This Row],[TE_COEFFICIENT_CALC]]),3)</f>
        <v>0.307</v>
      </c>
      <c r="V291" s="6">
        <v>40</v>
      </c>
      <c r="W291" s="10">
        <v>0</v>
      </c>
      <c r="X291" s="10">
        <v>0</v>
      </c>
      <c r="Y291" s="11"/>
      <c r="Z291" t="s">
        <v>905</v>
      </c>
      <c r="AA291" t="s">
        <v>904</v>
      </c>
      <c r="AB291" s="2" t="s">
        <v>922</v>
      </c>
      <c r="AC291" s="10" t="s">
        <v>992</v>
      </c>
      <c r="AD291" s="10" t="s">
        <v>993</v>
      </c>
      <c r="AE291" s="11" t="str">
        <f>SUBSTITUTE(SUBSTITUTE(PROPERTIES[[#This Row],[PURCHASECOST_VALUE]], "PURCHASECOST_", ""), "_VALUE", "")</f>
        <v>DIESELENGINE</v>
      </c>
      <c r="AF291" s="10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315</v>
      </c>
      <c r="B292">
        <v>1988</v>
      </c>
      <c r="C292">
        <v>0</v>
      </c>
      <c r="D292" t="s">
        <v>1952</v>
      </c>
      <c r="E292" t="str">
        <f>_xlfn.XLOOKUP(PROPERTIES[[#This Row],[COUNTRY]],COUNTRIES[COUNTRY_DESCRIPTION],COUNTRIES[COUNTRY_LABEL],"")</f>
        <v>NL</v>
      </c>
      <c r="F292" t="s">
        <v>35</v>
      </c>
      <c r="G292" t="s">
        <v>20</v>
      </c>
      <c r="H292">
        <v>0</v>
      </c>
      <c r="I292">
        <v>6</v>
      </c>
      <c r="J292">
        <v>6</v>
      </c>
      <c r="K292" s="2" t="s">
        <v>20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4">
        <v>80</v>
      </c>
      <c r="P292">
        <v>1580</v>
      </c>
      <c r="Q292">
        <v>120</v>
      </c>
      <c r="R292" s="31">
        <v>290</v>
      </c>
      <c r="S292" s="30">
        <f>IFERROR(PROPERTIES[[#This Row],[TE_STARTING_KN]]/(PROPERTIES[[#This Row],[WEIGHT]]*9.81),0)</f>
        <v>0.36952089704383279</v>
      </c>
      <c r="T292" s="30">
        <v>0.38</v>
      </c>
      <c r="U292" s="27">
        <f>ROUND(IF(IFERROR(PROPERTIES[[#This Row],[TE_COEFFICIENT_CALC]],0)=0,PROPERTIES[[#This Row],[TE_COEFFICIENT_MANUAL]],PROPERTIES[[#This Row],[TE_COEFFICIENT_CALC]]),3)</f>
        <v>0.37</v>
      </c>
      <c r="V292" s="6">
        <v>40</v>
      </c>
      <c r="W292" s="10">
        <v>0</v>
      </c>
      <c r="X292" s="10">
        <v>0</v>
      </c>
      <c r="Y292" s="11"/>
      <c r="Z292" t="s">
        <v>905</v>
      </c>
      <c r="AA292" t="s">
        <v>904</v>
      </c>
      <c r="AB292" s="2" t="s">
        <v>922</v>
      </c>
      <c r="AC292" s="10" t="s">
        <v>992</v>
      </c>
      <c r="AD292" s="10" t="s">
        <v>993</v>
      </c>
      <c r="AE292" s="11" t="str">
        <f>SUBSTITUTE(SUBSTITUTE(PROPERTIES[[#This Row],[PURCHASECOST_VALUE]], "PURCHASECOST_", ""), "_VALUE", "")</f>
        <v>DIESELENGINE</v>
      </c>
      <c r="AF292" s="10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316</v>
      </c>
      <c r="B293">
        <v>2009</v>
      </c>
      <c r="C293">
        <v>0</v>
      </c>
      <c r="D293" t="s">
        <v>1852</v>
      </c>
      <c r="E293" t="str">
        <f>_xlfn.XLOOKUP(PROPERTIES[[#This Row],[COUNTRY]],COUNTRIES[COUNTRY_DESCRIPTION],COUNTRIES[COUNTRY_LABEL],"")</f>
        <v>EG</v>
      </c>
      <c r="F293" t="s">
        <v>35</v>
      </c>
      <c r="G293" t="s">
        <v>20</v>
      </c>
      <c r="H293">
        <v>0</v>
      </c>
      <c r="I293">
        <v>8</v>
      </c>
      <c r="J293">
        <v>8</v>
      </c>
      <c r="K293" s="2" t="s">
        <v>20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4">
        <v>140</v>
      </c>
      <c r="P293">
        <v>4250</v>
      </c>
      <c r="Q293">
        <v>121</v>
      </c>
      <c r="R293" s="31">
        <v>810</v>
      </c>
      <c r="S293" s="30">
        <f>IFERROR(PROPERTIES[[#This Row],[TE_STARTING_KN]]/(PROPERTIES[[#This Row],[WEIGHT]]*9.81),0)</f>
        <v>0.58977719528178241</v>
      </c>
      <c r="T293" s="30">
        <v>0.53</v>
      </c>
      <c r="U293" s="27">
        <f>ROUND(IF(IFERROR(PROPERTIES[[#This Row],[TE_COEFFICIENT_CALC]],0)=0,PROPERTIES[[#This Row],[TE_COEFFICIENT_MANUAL]],PROPERTIES[[#This Row],[TE_COEFFICIENT_CALC]]),3)</f>
        <v>0.59</v>
      </c>
      <c r="V293" s="6">
        <v>40</v>
      </c>
      <c r="W293" s="10">
        <v>0</v>
      </c>
      <c r="X293" s="10">
        <v>0</v>
      </c>
      <c r="Y293" s="11"/>
      <c r="Z293" t="s">
        <v>908</v>
      </c>
      <c r="AA293" t="s">
        <v>904</v>
      </c>
      <c r="AB293" s="2" t="s">
        <v>922</v>
      </c>
      <c r="AC293" s="10" t="s">
        <v>992</v>
      </c>
      <c r="AD293" s="10" t="s">
        <v>993</v>
      </c>
      <c r="AE293" s="11" t="str">
        <f>SUBSTITUTE(SUBSTITUTE(PROPERTIES[[#This Row],[PURCHASECOST_VALUE]], "PURCHASECOST_", ""), "_VALUE", "")</f>
        <v>DIESELENGINE</v>
      </c>
      <c r="AF293" s="10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317</v>
      </c>
      <c r="B294">
        <v>2014</v>
      </c>
      <c r="C294">
        <v>0</v>
      </c>
      <c r="D294" t="s">
        <v>2033</v>
      </c>
      <c r="E294" t="str">
        <f>_xlfn.XLOOKUP(PROPERTIES[[#This Row],[COUNTRY]],COUNTRIES[COUNTRY_DESCRIPTION],COUNTRIES[COUNTRY_LABEL],"")</f>
        <v>ZA</v>
      </c>
      <c r="F294" t="s">
        <v>35</v>
      </c>
      <c r="G294" t="s">
        <v>20</v>
      </c>
      <c r="H294">
        <v>0</v>
      </c>
      <c r="I294">
        <v>8</v>
      </c>
      <c r="J294">
        <v>8</v>
      </c>
      <c r="K294" s="2" t="s">
        <v>20</v>
      </c>
      <c r="L294">
        <f>_xlfn.XLOOKUP("LOADINGSPEEDDEF_"&amp;PROPERTIES[[#This Row],[LOADINGSPEED]],LOADINGSPEEDDEF[TYPE],LOADINGSPEEDDEF[SPEED])</f>
        <v>0</v>
      </c>
      <c r="M294" t="s">
        <v>21</v>
      </c>
      <c r="N294">
        <v>1</v>
      </c>
      <c r="O294" s="34">
        <v>123</v>
      </c>
      <c r="P294">
        <v>4262</v>
      </c>
      <c r="Q294">
        <v>130</v>
      </c>
      <c r="R294" s="31">
        <v>0</v>
      </c>
      <c r="S294" s="30">
        <f>IFERROR(PROPERTIES[[#This Row],[TE_STARTING_KN]]/(PROPERTIES[[#This Row],[WEIGHT]]*9.81),0)</f>
        <v>0</v>
      </c>
      <c r="T294" s="30">
        <v>0.26</v>
      </c>
      <c r="U294" s="27">
        <f>ROUND(IF(IFERROR(PROPERTIES[[#This Row],[TE_COEFFICIENT_CALC]],0)=0,PROPERTIES[[#This Row],[TE_COEFFICIENT_MANUAL]],PROPERTIES[[#This Row],[TE_COEFFICIENT_CALC]]),3)</f>
        <v>0.26</v>
      </c>
      <c r="V294" s="6">
        <v>40</v>
      </c>
      <c r="W294" s="10">
        <v>0</v>
      </c>
      <c r="X294" s="10">
        <v>0</v>
      </c>
      <c r="Y294" s="11"/>
      <c r="Z294" t="s">
        <v>908</v>
      </c>
      <c r="AA294" t="s">
        <v>904</v>
      </c>
      <c r="AB294" s="2" t="s">
        <v>922</v>
      </c>
      <c r="AC294" s="10" t="s">
        <v>992</v>
      </c>
      <c r="AD294" s="10" t="s">
        <v>993</v>
      </c>
      <c r="AE294" s="11" t="str">
        <f>SUBSTITUTE(SUBSTITUTE(PROPERTIES[[#This Row],[PURCHASECOST_VALUE]], "PURCHASECOST_", ""), "_VALUE", "")</f>
        <v>DIESELENGINE</v>
      </c>
      <c r="AF294" s="10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318</v>
      </c>
      <c r="B295">
        <v>1966</v>
      </c>
      <c r="C295">
        <v>0</v>
      </c>
      <c r="D295" t="s">
        <v>1855</v>
      </c>
      <c r="E295" t="str">
        <f>_xlfn.XLOOKUP(PROPERTIES[[#This Row],[COUNTRY]],COUNTRIES[COUNTRY_DESCRIPTION],COUNTRIES[COUNTRY_LABEL],"")</f>
        <v>ES</v>
      </c>
      <c r="F295" t="s">
        <v>35</v>
      </c>
      <c r="G295" t="s">
        <v>20</v>
      </c>
      <c r="H295">
        <v>0</v>
      </c>
      <c r="I295">
        <v>5</v>
      </c>
      <c r="J295">
        <v>5</v>
      </c>
      <c r="K295" s="2" t="s">
        <v>20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4">
        <v>64</v>
      </c>
      <c r="P295">
        <v>710</v>
      </c>
      <c r="Q295">
        <v>120</v>
      </c>
      <c r="R295" s="31">
        <v>126</v>
      </c>
      <c r="S295" s="30">
        <f>IFERROR(PROPERTIES[[#This Row],[TE_STARTING_KN]]/(PROPERTIES[[#This Row],[WEIGHT]]*9.81),0)</f>
        <v>0.2006880733944954</v>
      </c>
      <c r="T295" s="30">
        <v>0.2</v>
      </c>
      <c r="U295" s="27">
        <f>ROUND(IF(IFERROR(PROPERTIES[[#This Row],[TE_COEFFICIENT_CALC]],0)=0,PROPERTIES[[#This Row],[TE_COEFFICIENT_MANUAL]],PROPERTIES[[#This Row],[TE_COEFFICIENT_CALC]]),3)</f>
        <v>0.20100000000000001</v>
      </c>
      <c r="V295" s="6">
        <v>40</v>
      </c>
      <c r="W295" s="10">
        <v>0</v>
      </c>
      <c r="X295" s="10">
        <v>0</v>
      </c>
      <c r="Y295" s="11"/>
      <c r="Z295" t="s">
        <v>906</v>
      </c>
      <c r="AA295" t="s">
        <v>904</v>
      </c>
      <c r="AB295" s="2" t="s">
        <v>922</v>
      </c>
      <c r="AC295" s="10" t="s">
        <v>992</v>
      </c>
      <c r="AD295" s="10" t="s">
        <v>993</v>
      </c>
      <c r="AE295" s="11" t="str">
        <f>SUBSTITUTE(SUBSTITUTE(PROPERTIES[[#This Row],[PURCHASECOST_VALUE]], "PURCHASECOST_", ""), "_VALUE", "")</f>
        <v>DIESELENGINE</v>
      </c>
      <c r="AF295" s="10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319</v>
      </c>
      <c r="B296">
        <v>2002</v>
      </c>
      <c r="C296">
        <v>0</v>
      </c>
      <c r="D296" t="s">
        <v>1800</v>
      </c>
      <c r="E296" t="str">
        <f>_xlfn.XLOOKUP(PROPERTIES[[#This Row],[COUNTRY]],COUNTRIES[COUNTRY_DESCRIPTION],COUNTRIES[COUNTRY_LABEL],"")</f>
        <v>AU</v>
      </c>
      <c r="F296" t="s">
        <v>35</v>
      </c>
      <c r="G296" t="s">
        <v>20</v>
      </c>
      <c r="H296">
        <v>0</v>
      </c>
      <c r="I296">
        <v>7</v>
      </c>
      <c r="J296">
        <v>7</v>
      </c>
      <c r="K296" s="2" t="s">
        <v>24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4">
        <v>124</v>
      </c>
      <c r="P296">
        <v>3300</v>
      </c>
      <c r="Q296">
        <v>115</v>
      </c>
      <c r="R296" s="31">
        <v>385</v>
      </c>
      <c r="S296" s="30">
        <f>IFERROR(PROPERTIES[[#This Row],[TE_STARTING_KN]]/(PROPERTIES[[#This Row],[WEIGHT]]*9.81),0)</f>
        <v>0.3164973200486666</v>
      </c>
      <c r="T296" s="30">
        <v>0.34</v>
      </c>
      <c r="U296" s="27">
        <f>ROUND(IF(IFERROR(PROPERTIES[[#This Row],[TE_COEFFICIENT_CALC]],0)=0,PROPERTIES[[#This Row],[TE_COEFFICIENT_MANUAL]],PROPERTIES[[#This Row],[TE_COEFFICIENT_CALC]]),3)</f>
        <v>0.316</v>
      </c>
      <c r="V296" s="6">
        <v>40</v>
      </c>
      <c r="W296" s="10">
        <v>0</v>
      </c>
      <c r="X296" s="10">
        <v>0</v>
      </c>
      <c r="Y296" s="11"/>
      <c r="Z296" t="s">
        <v>907</v>
      </c>
      <c r="AA296" t="s">
        <v>904</v>
      </c>
      <c r="AB296" s="2" t="s">
        <v>922</v>
      </c>
      <c r="AC296" s="10" t="s">
        <v>992</v>
      </c>
      <c r="AD296" s="10" t="s">
        <v>993</v>
      </c>
      <c r="AE296" s="11" t="str">
        <f>SUBSTITUTE(SUBSTITUTE(PROPERTIES[[#This Row],[PURCHASECOST_VALUE]], "PURCHASECOST_", ""), "_VALUE", "")</f>
        <v>DIESELENGINE</v>
      </c>
      <c r="AF296" s="10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320</v>
      </c>
      <c r="B297">
        <v>2006</v>
      </c>
      <c r="C297">
        <v>0</v>
      </c>
      <c r="D297" t="s">
        <v>1953</v>
      </c>
      <c r="E297" t="str">
        <f>_xlfn.XLOOKUP(PROPERTIES[[#This Row],[COUNTRY]],COUNTRIES[COUNTRY_DESCRIPTION],COUNTRIES[COUNTRY_LABEL],"")</f>
        <v>NO</v>
      </c>
      <c r="F297" t="s">
        <v>35</v>
      </c>
      <c r="G297" t="s">
        <v>20</v>
      </c>
      <c r="H297">
        <v>0</v>
      </c>
      <c r="I297">
        <v>8</v>
      </c>
      <c r="J297">
        <v>8</v>
      </c>
      <c r="K297" s="2" t="s">
        <v>20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4">
        <v>123</v>
      </c>
      <c r="P297">
        <v>4262</v>
      </c>
      <c r="Q297">
        <v>120</v>
      </c>
      <c r="R297" s="31">
        <v>400</v>
      </c>
      <c r="S297" s="30">
        <f>IFERROR(PROPERTIES[[#This Row],[TE_STARTING_KN]]/(PROPERTIES[[#This Row],[WEIGHT]]*9.81),0)</f>
        <v>0.33150178596587188</v>
      </c>
      <c r="T297" s="30">
        <v>0.33</v>
      </c>
      <c r="U297" s="27">
        <f>ROUND(IF(IFERROR(PROPERTIES[[#This Row],[TE_COEFFICIENT_CALC]],0)=0,PROPERTIES[[#This Row],[TE_COEFFICIENT_MANUAL]],PROPERTIES[[#This Row],[TE_COEFFICIENT_CALC]]),3)</f>
        <v>0.33200000000000002</v>
      </c>
      <c r="V297" s="6">
        <v>40</v>
      </c>
      <c r="W297" s="10">
        <v>0</v>
      </c>
      <c r="X297" s="10">
        <v>0</v>
      </c>
      <c r="Y297" s="11"/>
      <c r="Z297" t="s">
        <v>909</v>
      </c>
      <c r="AA297" t="s">
        <v>904</v>
      </c>
      <c r="AB297" s="2" t="s">
        <v>922</v>
      </c>
      <c r="AC297" s="10" t="s">
        <v>992</v>
      </c>
      <c r="AD297" s="10" t="s">
        <v>993</v>
      </c>
      <c r="AE297" s="11" t="str">
        <f>SUBSTITUTE(SUBSTITUTE(PROPERTIES[[#This Row],[PURCHASECOST_VALUE]], "PURCHASECOST_", ""), "_VALUE", "")</f>
        <v>DIESELENGINE</v>
      </c>
      <c r="AF297" s="10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321</v>
      </c>
      <c r="B298">
        <v>2008</v>
      </c>
      <c r="C298">
        <v>0</v>
      </c>
      <c r="D298" t="s">
        <v>1800</v>
      </c>
      <c r="E298" t="str">
        <f>_xlfn.XLOOKUP(PROPERTIES[[#This Row],[COUNTRY]],COUNTRIES[COUNTRY_DESCRIPTION],COUNTRIES[COUNTRY_LABEL],"")</f>
        <v>AU</v>
      </c>
      <c r="F298" t="s">
        <v>35</v>
      </c>
      <c r="G298" t="s">
        <v>20</v>
      </c>
      <c r="H298">
        <v>0</v>
      </c>
      <c r="I298">
        <v>8</v>
      </c>
      <c r="J298">
        <v>8</v>
      </c>
      <c r="K298" s="2" t="s">
        <v>24</v>
      </c>
      <c r="L298">
        <f>_xlfn.XLOOKUP("LOADINGSPEEDDEF_"&amp;PROPERTIES[[#This Row],[LOADINGSPEED]],LOADINGSPEEDDEF[TYPE],LOADINGSPEEDDEF[SPEED])</f>
        <v>40</v>
      </c>
      <c r="M298" t="s">
        <v>21</v>
      </c>
      <c r="N298">
        <v>1</v>
      </c>
      <c r="O298" s="34">
        <v>140</v>
      </c>
      <c r="P298">
        <v>4520</v>
      </c>
      <c r="Q298">
        <v>115</v>
      </c>
      <c r="R298" s="31">
        <v>535</v>
      </c>
      <c r="S298" s="30">
        <f>IFERROR(PROPERTIES[[#This Row],[TE_STARTING_KN]]/(PROPERTIES[[#This Row],[WEIGHT]]*9.81),0)</f>
        <v>0.38954419688364639</v>
      </c>
      <c r="T298" s="30">
        <v>0.38</v>
      </c>
      <c r="U298" s="27">
        <f>ROUND(IF(IFERROR(PROPERTIES[[#This Row],[TE_COEFFICIENT_CALC]],0)=0,PROPERTIES[[#This Row],[TE_COEFFICIENT_MANUAL]],PROPERTIES[[#This Row],[TE_COEFFICIENT_CALC]]),3)</f>
        <v>0.39</v>
      </c>
      <c r="V298" s="6">
        <v>40</v>
      </c>
      <c r="W298" s="10">
        <v>0</v>
      </c>
      <c r="X298" s="10">
        <v>0</v>
      </c>
      <c r="Y298" s="11"/>
      <c r="Z298" t="s">
        <v>907</v>
      </c>
      <c r="AA298" t="s">
        <v>904</v>
      </c>
      <c r="AB298" s="2" t="s">
        <v>922</v>
      </c>
      <c r="AC298" s="10" t="s">
        <v>992</v>
      </c>
      <c r="AD298" s="10" t="s">
        <v>993</v>
      </c>
      <c r="AE298" s="11" t="str">
        <f>SUBSTITUTE(SUBSTITUTE(PROPERTIES[[#This Row],[PURCHASECOST_VALUE]], "PURCHASECOST_", ""), "_VALUE", "")</f>
        <v>DIESELENGINE</v>
      </c>
      <c r="AF298" s="10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322</v>
      </c>
      <c r="B299">
        <v>2014</v>
      </c>
      <c r="C299">
        <v>0</v>
      </c>
      <c r="D299" t="s">
        <v>1863</v>
      </c>
      <c r="E299" t="str">
        <f>_xlfn.XLOOKUP(PROPERTIES[[#This Row],[COUNTRY]],COUNTRIES[COUNTRY_DESCRIPTION],COUNTRIES[COUNTRY_LABEL],"")</f>
        <v>GB</v>
      </c>
      <c r="F299" t="s">
        <v>35</v>
      </c>
      <c r="G299" t="s">
        <v>20</v>
      </c>
      <c r="H299">
        <v>0</v>
      </c>
      <c r="I299">
        <v>8</v>
      </c>
      <c r="J299">
        <v>8</v>
      </c>
      <c r="K299" s="2" t="s">
        <v>20</v>
      </c>
      <c r="L299">
        <f>_xlfn.XLOOKUP("LOADINGSPEEDDEF_"&amp;PROPERTIES[[#This Row],[LOADINGSPEED]],LOADINGSPEEDDEF[TYPE],LOADINGSPEEDDEF[SPEED])</f>
        <v>0</v>
      </c>
      <c r="M299" t="s">
        <v>21</v>
      </c>
      <c r="N299">
        <v>1</v>
      </c>
      <c r="O299" s="34">
        <v>85</v>
      </c>
      <c r="P299">
        <v>3800</v>
      </c>
      <c r="Q299">
        <v>160</v>
      </c>
      <c r="R299" s="31">
        <v>317</v>
      </c>
      <c r="S299" s="30">
        <f>IFERROR(PROPERTIES[[#This Row],[TE_STARTING_KN]]/(PROPERTIES[[#This Row],[WEIGHT]]*9.81),0)</f>
        <v>0.38016429813515618</v>
      </c>
      <c r="T299" s="30">
        <v>0.37</v>
      </c>
      <c r="U299" s="27">
        <f>ROUND(IF(IFERROR(PROPERTIES[[#This Row],[TE_COEFFICIENT_CALC]],0)=0,PROPERTIES[[#This Row],[TE_COEFFICIENT_MANUAL]],PROPERTIES[[#This Row],[TE_COEFFICIENT_CALC]]),3)</f>
        <v>0.38</v>
      </c>
      <c r="V299" s="6">
        <v>40</v>
      </c>
      <c r="W299" s="10">
        <v>0</v>
      </c>
      <c r="X299" s="10">
        <v>0</v>
      </c>
      <c r="Y299" s="11"/>
      <c r="Z299" t="s">
        <v>909</v>
      </c>
      <c r="AA299" t="s">
        <v>904</v>
      </c>
      <c r="AB299" s="2" t="s">
        <v>922</v>
      </c>
      <c r="AC299" s="10" t="s">
        <v>992</v>
      </c>
      <c r="AD299" s="10" t="s">
        <v>993</v>
      </c>
      <c r="AE299" s="11" t="str">
        <f>SUBSTITUTE(SUBSTITUTE(PROPERTIES[[#This Row],[PURCHASECOST_VALUE]], "PURCHASECOST_", ""), "_VALUE", "")</f>
        <v>DIESELENGINE</v>
      </c>
      <c r="AF299" s="10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323</v>
      </c>
      <c r="B300">
        <v>2015</v>
      </c>
      <c r="C300">
        <v>0</v>
      </c>
      <c r="D300" t="s">
        <v>2019</v>
      </c>
      <c r="E300" t="str">
        <f>_xlfn.XLOOKUP(PROPERTIES[[#This Row],[COUNTRY]],COUNTRIES[COUNTRY_DESCRIPTION],COUNTRIES[COUNTRY_LABEL],"")</f>
        <v>US</v>
      </c>
      <c r="F300" t="s">
        <v>35</v>
      </c>
      <c r="G300" t="s">
        <v>20</v>
      </c>
      <c r="H300">
        <v>0</v>
      </c>
      <c r="I300">
        <v>8</v>
      </c>
      <c r="J300">
        <v>8</v>
      </c>
      <c r="K300" s="2" t="s">
        <v>20</v>
      </c>
      <c r="L300">
        <f>_xlfn.XLOOKUP("LOADINGSPEEDDEF_"&amp;PROPERTIES[[#This Row],[LOADINGSPEED]],LOADINGSPEEDDEF[TYPE],LOADINGSPEEDDEF[SPEED])</f>
        <v>0</v>
      </c>
      <c r="M300" t="s">
        <v>21</v>
      </c>
      <c r="N300">
        <v>1</v>
      </c>
      <c r="O300" s="34">
        <v>120</v>
      </c>
      <c r="P300">
        <v>4200</v>
      </c>
      <c r="Q300">
        <v>201</v>
      </c>
      <c r="R300" s="31">
        <v>290</v>
      </c>
      <c r="S300" s="30">
        <f>IFERROR(PROPERTIES[[#This Row],[TE_STARTING_KN]]/(PROPERTIES[[#This Row],[WEIGHT]]*9.81),0)</f>
        <v>0.24634726469588855</v>
      </c>
      <c r="T300" s="30">
        <v>0.24</v>
      </c>
      <c r="U300" s="27">
        <f>ROUND(IF(IFERROR(PROPERTIES[[#This Row],[TE_COEFFICIENT_CALC]],0)=0,PROPERTIES[[#This Row],[TE_COEFFICIENT_MANUAL]],PROPERTIES[[#This Row],[TE_COEFFICIENT_CALC]]),3)</f>
        <v>0.246</v>
      </c>
      <c r="V300" s="6">
        <v>40</v>
      </c>
      <c r="W300" s="10">
        <v>0</v>
      </c>
      <c r="X300" s="10">
        <v>0</v>
      </c>
      <c r="Y300" s="11"/>
      <c r="Z300" t="s">
        <v>910</v>
      </c>
      <c r="AA300" t="s">
        <v>904</v>
      </c>
      <c r="AB300" s="2" t="s">
        <v>922</v>
      </c>
      <c r="AC300" s="10" t="s">
        <v>992</v>
      </c>
      <c r="AD300" s="10" t="s">
        <v>993</v>
      </c>
      <c r="AE300" s="11" t="str">
        <f>SUBSTITUTE(SUBSTITUTE(PROPERTIES[[#This Row],[PURCHASECOST_VALUE]], "PURCHASECOST_", ""), "_VALUE", "")</f>
        <v>DIESELENGINE</v>
      </c>
      <c r="AF300" s="10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324</v>
      </c>
      <c r="B301">
        <v>1911</v>
      </c>
      <c r="C301">
        <v>1</v>
      </c>
      <c r="D301" t="s">
        <v>1797</v>
      </c>
      <c r="E301" t="str">
        <f>_xlfn.XLOOKUP(PROPERTIES[[#This Row],[COUNTRY]],COUNTRIES[COUNTRY_DESCRIPTION],COUNTRIES[COUNTRY_LABEL],"")</f>
        <v>AR</v>
      </c>
      <c r="F301" t="s">
        <v>19</v>
      </c>
      <c r="G301" t="s">
        <v>325</v>
      </c>
      <c r="H301">
        <v>84</v>
      </c>
      <c r="I301">
        <v>7</v>
      </c>
      <c r="J301">
        <v>7</v>
      </c>
      <c r="K301" s="2" t="s">
        <v>326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4">
        <v>13.5</v>
      </c>
      <c r="P301">
        <v>310</v>
      </c>
      <c r="Q301">
        <v>50</v>
      </c>
      <c r="R301" s="31">
        <v>0</v>
      </c>
      <c r="S301" s="30">
        <f>IFERROR(PROPERTIES[[#This Row],[TE_STARTING_KN]]/(PROPERTIES[[#This Row],[WEIGHT]]*9.81),0)</f>
        <v>0</v>
      </c>
      <c r="T301" s="30">
        <v>0.2</v>
      </c>
      <c r="U301" s="27">
        <f>ROUND(IF(IFERROR(PROPERTIES[[#This Row],[TE_COEFFICIENT_CALC]],0)=0,PROPERTIES[[#This Row],[TE_COEFFICIENT_MANUAL]],PROPERTIES[[#This Row],[TE_COEFFICIENT_CALC]]),3)</f>
        <v>0.2</v>
      </c>
      <c r="V301" s="6">
        <v>60</v>
      </c>
      <c r="W301" s="10">
        <v>142</v>
      </c>
      <c r="X301" s="10">
        <v>7</v>
      </c>
      <c r="Y301" s="11"/>
      <c r="Z301" t="s">
        <v>912</v>
      </c>
      <c r="AA301" t="s">
        <v>904</v>
      </c>
      <c r="AB301" s="2" t="s">
        <v>922</v>
      </c>
      <c r="AC301" s="10" t="s">
        <v>994</v>
      </c>
      <c r="AD301" s="10" t="s">
        <v>995</v>
      </c>
      <c r="AE301" s="11" t="str">
        <f>SUBSTITUTE(SUBSTITUTE(PROPERTIES[[#This Row],[PURCHASECOST_VALUE]], "PURCHASECOST_", ""), "_VALUE", "")</f>
        <v>METRO</v>
      </c>
      <c r="AF301" s="10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327</v>
      </c>
      <c r="B302">
        <v>1930</v>
      </c>
      <c r="C302">
        <v>1</v>
      </c>
      <c r="D302" t="s">
        <v>2019</v>
      </c>
      <c r="E302" t="str">
        <f>_xlfn.XLOOKUP(PROPERTIES[[#This Row],[COUNTRY]],COUNTRIES[COUNTRY_DESCRIPTION],COUNTRIES[COUNTRY_LABEL],"")</f>
        <v>US</v>
      </c>
      <c r="F302" t="s">
        <v>19</v>
      </c>
      <c r="G302" t="s">
        <v>325</v>
      </c>
      <c r="H302">
        <v>105</v>
      </c>
      <c r="I302">
        <v>8</v>
      </c>
      <c r="J302">
        <v>8</v>
      </c>
      <c r="K302" s="2" t="s">
        <v>326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4">
        <v>42</v>
      </c>
      <c r="P302">
        <v>760</v>
      </c>
      <c r="Q302">
        <v>90</v>
      </c>
      <c r="R302" s="31">
        <v>0</v>
      </c>
      <c r="S302" s="30">
        <f>IFERROR(PROPERTIES[[#This Row],[TE_STARTING_KN]]/(PROPERTIES[[#This Row],[WEIGHT]]*9.81),0)</f>
        <v>0</v>
      </c>
      <c r="T302" s="30">
        <v>0.24</v>
      </c>
      <c r="U302" s="27">
        <f>ROUND(IF(IFERROR(PROPERTIES[[#This Row],[TE_COEFFICIENT_CALC]],0)=0,PROPERTIES[[#This Row],[TE_COEFFICIENT_MANUAL]],PROPERTIES[[#This Row],[TE_COEFFICIENT_CALC]]),3)</f>
        <v>0.24</v>
      </c>
      <c r="V302" s="6">
        <v>60</v>
      </c>
      <c r="W302" s="10">
        <v>156</v>
      </c>
      <c r="X302" s="10">
        <v>8</v>
      </c>
      <c r="Y302" s="11"/>
      <c r="Z302" t="s">
        <v>910</v>
      </c>
      <c r="AA302" t="s">
        <v>904</v>
      </c>
      <c r="AB302" s="2" t="s">
        <v>922</v>
      </c>
      <c r="AC302" s="10" t="s">
        <v>994</v>
      </c>
      <c r="AD302" s="10" t="s">
        <v>995</v>
      </c>
      <c r="AE302" s="11" t="str">
        <f>SUBSTITUTE(SUBSTITUTE(PROPERTIES[[#This Row],[PURCHASECOST_VALUE]], "PURCHASECOST_", ""), "_VALUE", "")</f>
        <v>METRO</v>
      </c>
      <c r="AF302" s="10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328</v>
      </c>
      <c r="B303">
        <v>1942</v>
      </c>
      <c r="C303">
        <v>1</v>
      </c>
      <c r="D303" t="s">
        <v>1844</v>
      </c>
      <c r="E303" t="str">
        <f>_xlfn.XLOOKUP(PROPERTIES[[#This Row],[COUNTRY]],COUNTRIES[COUNTRY_DESCRIPTION],COUNTRIES[COUNTRY_LABEL],"")</f>
        <v>DE</v>
      </c>
      <c r="F303" t="s">
        <v>19</v>
      </c>
      <c r="G303" t="s">
        <v>325</v>
      </c>
      <c r="H303">
        <v>95</v>
      </c>
      <c r="I303">
        <v>8</v>
      </c>
      <c r="J303">
        <v>8</v>
      </c>
      <c r="K303" s="2" t="s">
        <v>326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4">
        <v>48</v>
      </c>
      <c r="P303">
        <v>800</v>
      </c>
      <c r="Q303">
        <v>80</v>
      </c>
      <c r="R303" s="31">
        <v>0</v>
      </c>
      <c r="S303" s="30">
        <f>IFERROR(PROPERTIES[[#This Row],[TE_STARTING_KN]]/(PROPERTIES[[#This Row],[WEIGHT]]*9.81),0)</f>
        <v>0</v>
      </c>
      <c r="T303" s="30">
        <v>0.22</v>
      </c>
      <c r="U303" s="27">
        <f>ROUND(IF(IFERROR(PROPERTIES[[#This Row],[TE_COEFFICIENT_CALC]],0)=0,PROPERTIES[[#This Row],[TE_COEFFICIENT_MANUAL]],PROPERTIES[[#This Row],[TE_COEFFICIENT_CALC]]),3)</f>
        <v>0.22</v>
      </c>
      <c r="V303" s="6">
        <v>60</v>
      </c>
      <c r="W303" s="10">
        <v>160</v>
      </c>
      <c r="X303" s="10">
        <v>8</v>
      </c>
      <c r="Y303" s="11"/>
      <c r="Z303" t="s">
        <v>905</v>
      </c>
      <c r="AA303" t="s">
        <v>904</v>
      </c>
      <c r="AB303" s="2" t="s">
        <v>922</v>
      </c>
      <c r="AC303" s="10" t="s">
        <v>994</v>
      </c>
      <c r="AD303" s="10" t="s">
        <v>995</v>
      </c>
      <c r="AE303" s="11" t="str">
        <f>SUBSTITUTE(SUBSTITUTE(PROPERTIES[[#This Row],[PURCHASECOST_VALUE]], "PURCHASECOST_", ""), "_VALUE", "")</f>
        <v>METRO</v>
      </c>
      <c r="AF303" s="10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329</v>
      </c>
      <c r="B304">
        <v>1957</v>
      </c>
      <c r="C304">
        <v>1</v>
      </c>
      <c r="D304" t="s">
        <v>1862</v>
      </c>
      <c r="E304" t="str">
        <f>_xlfn.XLOOKUP(PROPERTIES[[#This Row],[COUNTRY]],COUNTRIES[COUNTRY_DESCRIPTION],COUNTRIES[COUNTRY_LABEL],"")</f>
        <v>FR</v>
      </c>
      <c r="F304" t="s">
        <v>19</v>
      </c>
      <c r="G304" t="s">
        <v>325</v>
      </c>
      <c r="H304">
        <v>65</v>
      </c>
      <c r="I304">
        <v>7</v>
      </c>
      <c r="J304">
        <v>7</v>
      </c>
      <c r="K304" s="2" t="s">
        <v>326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4">
        <v>10</v>
      </c>
      <c r="P304">
        <v>140</v>
      </c>
      <c r="Q304">
        <v>45</v>
      </c>
      <c r="R304" s="31">
        <v>0</v>
      </c>
      <c r="S304" s="30">
        <f>IFERROR(PROPERTIES[[#This Row],[TE_STARTING_KN]]/(PROPERTIES[[#This Row],[WEIGHT]]*9.81),0)</f>
        <v>0</v>
      </c>
      <c r="T304" s="30">
        <v>0.18</v>
      </c>
      <c r="U304" s="27">
        <f>ROUND(IF(IFERROR(PROPERTIES[[#This Row],[TE_COEFFICIENT_CALC]],0)=0,PROPERTIES[[#This Row],[TE_COEFFICIENT_MANUAL]],PROPERTIES[[#This Row],[TE_COEFFICIENT_CALC]]),3)</f>
        <v>0.18</v>
      </c>
      <c r="V304" s="6">
        <v>60</v>
      </c>
      <c r="W304" s="10">
        <v>140</v>
      </c>
      <c r="X304" s="10">
        <v>7</v>
      </c>
      <c r="Y304" s="11"/>
      <c r="Z304" t="s">
        <v>905</v>
      </c>
      <c r="AA304" t="s">
        <v>904</v>
      </c>
      <c r="AB304" s="2" t="s">
        <v>922</v>
      </c>
      <c r="AC304" s="10" t="s">
        <v>994</v>
      </c>
      <c r="AD304" s="10" t="s">
        <v>995</v>
      </c>
      <c r="AE304" s="11" t="str">
        <f>SUBSTITUTE(SUBSTITUTE(PROPERTIES[[#This Row],[PURCHASECOST_VALUE]], "PURCHASECOST_", ""), "_VALUE", "")</f>
        <v>METRO</v>
      </c>
      <c r="AF304" s="10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330</v>
      </c>
      <c r="B305">
        <v>1959</v>
      </c>
      <c r="C305">
        <v>1</v>
      </c>
      <c r="D305" t="s">
        <v>1970</v>
      </c>
      <c r="E305" t="str">
        <f>_xlfn.XLOOKUP(PROPERTIES[[#This Row],[COUNTRY]],COUNTRIES[COUNTRY_DESCRIPTION],COUNTRIES[COUNTRY_LABEL],"")</f>
        <v>PT</v>
      </c>
      <c r="F305" t="s">
        <v>19</v>
      </c>
      <c r="G305" t="s">
        <v>325</v>
      </c>
      <c r="H305">
        <v>85</v>
      </c>
      <c r="I305">
        <v>8</v>
      </c>
      <c r="J305">
        <v>8</v>
      </c>
      <c r="K305" s="2" t="s">
        <v>326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4">
        <v>19</v>
      </c>
      <c r="P305">
        <v>430</v>
      </c>
      <c r="Q305">
        <v>60</v>
      </c>
      <c r="R305" s="31">
        <v>0</v>
      </c>
      <c r="S305" s="30">
        <f>IFERROR(PROPERTIES[[#This Row],[TE_STARTING_KN]]/(PROPERTIES[[#This Row],[WEIGHT]]*9.81),0)</f>
        <v>0</v>
      </c>
      <c r="T305" s="30">
        <v>0.24</v>
      </c>
      <c r="U305" s="27">
        <f>ROUND(IF(IFERROR(PROPERTIES[[#This Row],[TE_COEFFICIENT_CALC]],0)=0,PROPERTIES[[#This Row],[TE_COEFFICIENT_MANUAL]],PROPERTIES[[#This Row],[TE_COEFFICIENT_CALC]]),3)</f>
        <v>0.24</v>
      </c>
      <c r="V305" s="6">
        <v>60</v>
      </c>
      <c r="W305" s="10">
        <v>160</v>
      </c>
      <c r="X305" s="10">
        <v>8</v>
      </c>
      <c r="Y305" s="11"/>
      <c r="Z305" t="s">
        <v>906</v>
      </c>
      <c r="AA305" t="s">
        <v>904</v>
      </c>
      <c r="AB305" s="2" t="s">
        <v>922</v>
      </c>
      <c r="AC305" s="10" t="s">
        <v>994</v>
      </c>
      <c r="AD305" s="10" t="s">
        <v>995</v>
      </c>
      <c r="AE305" s="11" t="str">
        <f>SUBSTITUTE(SUBSTITUTE(PROPERTIES[[#This Row],[PURCHASECOST_VALUE]], "PURCHASECOST_", ""), "_VALUE", "")</f>
        <v>METRO</v>
      </c>
      <c r="AF305" s="10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331</v>
      </c>
      <c r="B306">
        <v>1975</v>
      </c>
      <c r="C306">
        <v>1</v>
      </c>
      <c r="D306" t="s">
        <v>1886</v>
      </c>
      <c r="E306" t="str">
        <f>_xlfn.XLOOKUP(PROPERTIES[[#This Row],[COUNTRY]],COUNTRIES[COUNTRY_DESCRIPTION],COUNTRIES[COUNTRY_LABEL],"")</f>
        <v>HU</v>
      </c>
      <c r="F306" t="s">
        <v>19</v>
      </c>
      <c r="G306" t="s">
        <v>325</v>
      </c>
      <c r="H306">
        <v>132</v>
      </c>
      <c r="I306">
        <v>8</v>
      </c>
      <c r="J306">
        <v>8</v>
      </c>
      <c r="K306" s="2" t="s">
        <v>326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4">
        <v>32.5</v>
      </c>
      <c r="P306">
        <v>770</v>
      </c>
      <c r="Q306">
        <v>90</v>
      </c>
      <c r="R306" s="31">
        <v>0</v>
      </c>
      <c r="S306" s="30">
        <f>IFERROR(PROPERTIES[[#This Row],[TE_STARTING_KN]]/(PROPERTIES[[#This Row],[WEIGHT]]*9.81),0)</f>
        <v>0</v>
      </c>
      <c r="T306" s="30">
        <v>0.25</v>
      </c>
      <c r="U306" s="27">
        <f>ROUND(IF(IFERROR(PROPERTIES[[#This Row],[TE_COEFFICIENT_CALC]],0)=0,PROPERTIES[[#This Row],[TE_COEFFICIENT_MANUAL]],PROPERTIES[[#This Row],[TE_COEFFICIENT_CALC]]),3)</f>
        <v>0.25</v>
      </c>
      <c r="V306" s="6">
        <v>60</v>
      </c>
      <c r="W306" s="10">
        <v>150</v>
      </c>
      <c r="X306" s="10">
        <v>8</v>
      </c>
      <c r="Y306" s="11"/>
      <c r="Z306" t="s">
        <v>911</v>
      </c>
      <c r="AA306" t="s">
        <v>904</v>
      </c>
      <c r="AB306" s="2" t="s">
        <v>922</v>
      </c>
      <c r="AC306" s="10" t="s">
        <v>994</v>
      </c>
      <c r="AD306" s="10" t="s">
        <v>995</v>
      </c>
      <c r="AE306" s="11" t="str">
        <f>SUBSTITUTE(SUBSTITUTE(PROPERTIES[[#This Row],[PURCHASECOST_VALUE]], "PURCHASECOST_", ""), "_VALUE", "")</f>
        <v>METRO</v>
      </c>
      <c r="AF306" s="10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332</v>
      </c>
      <c r="B307">
        <v>1964</v>
      </c>
      <c r="C307">
        <v>1</v>
      </c>
      <c r="D307" t="s">
        <v>1953</v>
      </c>
      <c r="E307" t="str">
        <f>_xlfn.XLOOKUP(PROPERTIES[[#This Row],[COUNTRY]],COUNTRIES[COUNTRY_DESCRIPTION],COUNTRIES[COUNTRY_LABEL],"")</f>
        <v>NO</v>
      </c>
      <c r="F307" t="s">
        <v>19</v>
      </c>
      <c r="G307" t="s">
        <v>325</v>
      </c>
      <c r="H307">
        <v>135</v>
      </c>
      <c r="I307">
        <v>7</v>
      </c>
      <c r="J307">
        <v>7</v>
      </c>
      <c r="K307" s="2" t="s">
        <v>326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4">
        <v>29.7</v>
      </c>
      <c r="P307">
        <v>1050</v>
      </c>
      <c r="Q307">
        <v>70</v>
      </c>
      <c r="R307" s="31">
        <v>0</v>
      </c>
      <c r="S307" s="30">
        <f>IFERROR(PROPERTIES[[#This Row],[TE_STARTING_KN]]/(PROPERTIES[[#This Row],[WEIGHT]]*9.81),0)</f>
        <v>0</v>
      </c>
      <c r="T307" s="30">
        <v>0.25</v>
      </c>
      <c r="U307" s="27">
        <f>ROUND(IF(IFERROR(PROPERTIES[[#This Row],[TE_COEFFICIENT_CALC]],0)=0,PROPERTIES[[#This Row],[TE_COEFFICIENT_MANUAL]],PROPERTIES[[#This Row],[TE_COEFFICIENT_CALC]]),3)</f>
        <v>0.25</v>
      </c>
      <c r="V307" s="6">
        <v>60</v>
      </c>
      <c r="W307" s="10">
        <v>180</v>
      </c>
      <c r="X307" s="10">
        <v>7</v>
      </c>
      <c r="Y307" s="11"/>
      <c r="Z307" t="s">
        <v>909</v>
      </c>
      <c r="AA307" t="s">
        <v>904</v>
      </c>
      <c r="AB307" s="2" t="s">
        <v>922</v>
      </c>
      <c r="AC307" s="10" t="s">
        <v>994</v>
      </c>
      <c r="AD307" s="10" t="s">
        <v>995</v>
      </c>
      <c r="AE307" s="11" t="str">
        <f>SUBSTITUTE(SUBSTITUTE(PROPERTIES[[#This Row],[PURCHASECOST_VALUE]], "PURCHASECOST_", ""), "_VALUE", "")</f>
        <v>METRO</v>
      </c>
      <c r="AF307" s="10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333</v>
      </c>
      <c r="B308">
        <v>1965</v>
      </c>
      <c r="C308">
        <v>1</v>
      </c>
      <c r="D308" t="s">
        <v>1825</v>
      </c>
      <c r="E308" t="str">
        <f>_xlfn.XLOOKUP(PROPERTIES[[#This Row],[COUNTRY]],COUNTRIES[COUNTRY_DESCRIPTION],COUNTRIES[COUNTRY_LABEL],"")</f>
        <v>CA</v>
      </c>
      <c r="F308" t="s">
        <v>19</v>
      </c>
      <c r="G308" t="s">
        <v>325</v>
      </c>
      <c r="H308">
        <v>150</v>
      </c>
      <c r="I308">
        <v>8</v>
      </c>
      <c r="J308">
        <v>8</v>
      </c>
      <c r="K308" s="2" t="s">
        <v>326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4">
        <v>27.5</v>
      </c>
      <c r="P308">
        <v>960</v>
      </c>
      <c r="Q308">
        <v>80</v>
      </c>
      <c r="R308" s="31">
        <v>0</v>
      </c>
      <c r="S308" s="30">
        <f>IFERROR(PROPERTIES[[#This Row],[TE_STARTING_KN]]/(PROPERTIES[[#This Row],[WEIGHT]]*9.81),0)</f>
        <v>0</v>
      </c>
      <c r="T308" s="30">
        <v>0.25</v>
      </c>
      <c r="U308" s="27">
        <f>ROUND(IF(IFERROR(PROPERTIES[[#This Row],[TE_COEFFICIENT_CALC]],0)=0,PROPERTIES[[#This Row],[TE_COEFFICIENT_MANUAL]],PROPERTIES[[#This Row],[TE_COEFFICIENT_CALC]]),3)</f>
        <v>0.25</v>
      </c>
      <c r="V308" s="6">
        <v>60</v>
      </c>
      <c r="W308" s="10">
        <v>210</v>
      </c>
      <c r="X308" s="10">
        <v>8</v>
      </c>
      <c r="Y308" s="11"/>
      <c r="Z308" t="s">
        <v>910</v>
      </c>
      <c r="AA308" t="s">
        <v>904</v>
      </c>
      <c r="AB308" s="2" t="s">
        <v>922</v>
      </c>
      <c r="AC308" s="10" t="s">
        <v>994</v>
      </c>
      <c r="AD308" s="10" t="s">
        <v>995</v>
      </c>
      <c r="AE308" s="11" t="str">
        <f>SUBSTITUTE(SUBSTITUTE(PROPERTIES[[#This Row],[PURCHASECOST_VALUE]], "PURCHASECOST_", ""), "_VALUE", "")</f>
        <v>METRO</v>
      </c>
      <c r="AF308" s="10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334</v>
      </c>
      <c r="B309">
        <v>1971</v>
      </c>
      <c r="C309">
        <v>1</v>
      </c>
      <c r="D309" t="s">
        <v>2036</v>
      </c>
      <c r="E309" t="str">
        <f>_xlfn.XLOOKUP(PROPERTIES[[#This Row],[COUNTRY]],COUNTRIES[COUNTRY_DESCRIPTION],COUNTRIES[COUNTRY_LABEL],"")</f>
        <v>GDR</v>
      </c>
      <c r="F309" t="s">
        <v>19</v>
      </c>
      <c r="G309" t="s">
        <v>325</v>
      </c>
      <c r="H309">
        <v>145</v>
      </c>
      <c r="I309">
        <v>8</v>
      </c>
      <c r="J309">
        <v>8</v>
      </c>
      <c r="K309" s="2" t="s">
        <v>326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4">
        <v>25.8</v>
      </c>
      <c r="P309">
        <v>965</v>
      </c>
      <c r="Q309">
        <v>80</v>
      </c>
      <c r="R309" s="31">
        <v>0</v>
      </c>
      <c r="S309" s="30">
        <f>IFERROR(PROPERTIES[[#This Row],[TE_STARTING_KN]]/(PROPERTIES[[#This Row],[WEIGHT]]*9.81),0)</f>
        <v>0</v>
      </c>
      <c r="T309" s="30">
        <v>0.26</v>
      </c>
      <c r="U309" s="27">
        <f>ROUND(IF(IFERROR(PROPERTIES[[#This Row],[TE_COEFFICIENT_CALC]],0)=0,PROPERTIES[[#This Row],[TE_COEFFICIENT_MANUAL]],PROPERTIES[[#This Row],[TE_COEFFICIENT_CALC]]),3)</f>
        <v>0.26</v>
      </c>
      <c r="V309" s="6">
        <v>60</v>
      </c>
      <c r="W309" s="10">
        <v>195</v>
      </c>
      <c r="X309" s="10">
        <v>8</v>
      </c>
      <c r="Y309" s="11"/>
      <c r="Z309" t="s">
        <v>905</v>
      </c>
      <c r="AA309" t="s">
        <v>904</v>
      </c>
      <c r="AB309" s="2" t="s">
        <v>922</v>
      </c>
      <c r="AC309" s="10" t="s">
        <v>994</v>
      </c>
      <c r="AD309" s="10" t="s">
        <v>995</v>
      </c>
      <c r="AE309" s="11" t="str">
        <f>SUBSTITUTE(SUBSTITUTE(PROPERTIES[[#This Row],[PURCHASECOST_VALUE]], "PURCHASECOST_", ""), "_VALUE", "")</f>
        <v>METRO</v>
      </c>
      <c r="AF309" s="10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335</v>
      </c>
      <c r="B310">
        <v>1971</v>
      </c>
      <c r="C310">
        <v>1</v>
      </c>
      <c r="D310" t="s">
        <v>2019</v>
      </c>
      <c r="E310" t="str">
        <f>_xlfn.XLOOKUP(PROPERTIES[[#This Row],[COUNTRY]],COUNTRIES[COUNTRY_DESCRIPTION],COUNTRIES[COUNTRY_LABEL],"")</f>
        <v>US</v>
      </c>
      <c r="F310" t="s">
        <v>19</v>
      </c>
      <c r="G310" t="s">
        <v>325</v>
      </c>
      <c r="H310">
        <v>150</v>
      </c>
      <c r="I310">
        <v>8</v>
      </c>
      <c r="J310">
        <v>8</v>
      </c>
      <c r="K310" s="2" t="s">
        <v>326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4">
        <v>37</v>
      </c>
      <c r="P310">
        <v>920</v>
      </c>
      <c r="Q310">
        <v>110</v>
      </c>
      <c r="R310" s="31">
        <v>0</v>
      </c>
      <c r="S310" s="30">
        <f>IFERROR(PROPERTIES[[#This Row],[TE_STARTING_KN]]/(PROPERTIES[[#This Row],[WEIGHT]]*9.81),0)</f>
        <v>0</v>
      </c>
      <c r="T310" s="30">
        <v>0.26</v>
      </c>
      <c r="U310" s="27">
        <f>ROUND(IF(IFERROR(PROPERTIES[[#This Row],[TE_COEFFICIENT_CALC]],0)=0,PROPERTIES[[#This Row],[TE_COEFFICIENT_MANUAL]],PROPERTIES[[#This Row],[TE_COEFFICIENT_CALC]]),3)</f>
        <v>0.26</v>
      </c>
      <c r="V310" s="6">
        <v>60</v>
      </c>
      <c r="W310" s="10">
        <v>162</v>
      </c>
      <c r="X310" s="10">
        <v>8</v>
      </c>
      <c r="Y310" s="11"/>
      <c r="Z310" t="s">
        <v>910</v>
      </c>
      <c r="AA310" t="s">
        <v>904</v>
      </c>
      <c r="AB310" s="2" t="s">
        <v>922</v>
      </c>
      <c r="AC310" s="10" t="s">
        <v>994</v>
      </c>
      <c r="AD310" s="10" t="s">
        <v>995</v>
      </c>
      <c r="AE310" s="11" t="str">
        <f>SUBSTITUTE(SUBSTITUTE(PROPERTIES[[#This Row],[PURCHASECOST_VALUE]], "PURCHASECOST_", ""), "_VALUE", "")</f>
        <v>METRO</v>
      </c>
      <c r="AF310" s="10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336</v>
      </c>
      <c r="B311">
        <v>1973</v>
      </c>
      <c r="C311">
        <v>1</v>
      </c>
      <c r="D311" t="s">
        <v>1952</v>
      </c>
      <c r="E311" t="str">
        <f>_xlfn.XLOOKUP(PROPERTIES[[#This Row],[COUNTRY]],COUNTRIES[COUNTRY_DESCRIPTION],COUNTRIES[COUNTRY_LABEL],"")</f>
        <v>NL</v>
      </c>
      <c r="F311" t="s">
        <v>19</v>
      </c>
      <c r="G311" t="s">
        <v>325</v>
      </c>
      <c r="H311">
        <v>150</v>
      </c>
      <c r="I311">
        <v>8</v>
      </c>
      <c r="J311">
        <v>8</v>
      </c>
      <c r="K311" s="2" t="s">
        <v>326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4">
        <v>27</v>
      </c>
      <c r="P311">
        <v>1050</v>
      </c>
      <c r="Q311">
        <v>80</v>
      </c>
      <c r="R311" s="31">
        <v>0</v>
      </c>
      <c r="S311" s="30">
        <f>IFERROR(PROPERTIES[[#This Row],[TE_STARTING_KN]]/(PROPERTIES[[#This Row],[WEIGHT]]*9.81),0)</f>
        <v>0</v>
      </c>
      <c r="T311" s="30">
        <v>0.26</v>
      </c>
      <c r="U311" s="27">
        <f>ROUND(IF(IFERROR(PROPERTIES[[#This Row],[TE_COEFFICIENT_CALC]],0)=0,PROPERTIES[[#This Row],[TE_COEFFICIENT_MANUAL]],PROPERTIES[[#This Row],[TE_COEFFICIENT_CALC]]),3)</f>
        <v>0.26</v>
      </c>
      <c r="V311" s="6">
        <v>60</v>
      </c>
      <c r="W311" s="10">
        <v>174</v>
      </c>
      <c r="X311" s="10">
        <v>7</v>
      </c>
      <c r="Y311" s="11"/>
      <c r="Z311" t="s">
        <v>905</v>
      </c>
      <c r="AA311" t="s">
        <v>904</v>
      </c>
      <c r="AB311" s="2" t="s">
        <v>922</v>
      </c>
      <c r="AC311" s="10" t="s">
        <v>994</v>
      </c>
      <c r="AD311" s="10" t="s">
        <v>995</v>
      </c>
      <c r="AE311" s="11" t="str">
        <f>SUBSTITUTE(SUBSTITUTE(PROPERTIES[[#This Row],[PURCHASECOST_VALUE]], "PURCHASECOST_", ""), "_VALUE", "")</f>
        <v>METRO</v>
      </c>
      <c r="AF311" s="10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337</v>
      </c>
      <c r="B312">
        <v>1974</v>
      </c>
      <c r="C312">
        <v>1</v>
      </c>
      <c r="D312" t="s">
        <v>1983</v>
      </c>
      <c r="E312" t="str">
        <f>_xlfn.XLOOKUP(PROPERTIES[[#This Row],[COUNTRY]],COUNTRIES[COUNTRY_DESCRIPTION],COUNTRIES[COUNTRY_LABEL],"")</f>
        <v>SE</v>
      </c>
      <c r="F312" t="s">
        <v>19</v>
      </c>
      <c r="G312" t="s">
        <v>325</v>
      </c>
      <c r="H312">
        <v>150</v>
      </c>
      <c r="I312">
        <v>8</v>
      </c>
      <c r="J312">
        <v>8</v>
      </c>
      <c r="K312" s="2" t="s">
        <v>326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4">
        <v>23.5</v>
      </c>
      <c r="P312">
        <v>860</v>
      </c>
      <c r="Q312">
        <v>90</v>
      </c>
      <c r="R312" s="31">
        <v>0</v>
      </c>
      <c r="S312" s="30">
        <f>IFERROR(PROPERTIES[[#This Row],[TE_STARTING_KN]]/(PROPERTIES[[#This Row],[WEIGHT]]*9.81),0)</f>
        <v>0</v>
      </c>
      <c r="T312" s="30">
        <v>0.27</v>
      </c>
      <c r="U312" s="27">
        <f>ROUND(IF(IFERROR(PROPERTIES[[#This Row],[TE_COEFFICIENT_CALC]],0)=0,PROPERTIES[[#This Row],[TE_COEFFICIENT_MANUAL]],PROPERTIES[[#This Row],[TE_COEFFICIENT_CALC]]),3)</f>
        <v>0.27</v>
      </c>
      <c r="V312" s="6">
        <v>60</v>
      </c>
      <c r="W312" s="10">
        <v>158</v>
      </c>
      <c r="X312" s="10">
        <v>8</v>
      </c>
      <c r="Y312" s="11"/>
      <c r="Z312" t="s">
        <v>909</v>
      </c>
      <c r="AA312" t="s">
        <v>904</v>
      </c>
      <c r="AB312" s="2" t="s">
        <v>922</v>
      </c>
      <c r="AC312" s="10" t="s">
        <v>994</v>
      </c>
      <c r="AD312" s="10" t="s">
        <v>995</v>
      </c>
      <c r="AE312" s="11" t="str">
        <f>SUBSTITUTE(SUBSTITUTE(PROPERTIES[[#This Row],[PURCHASECOST_VALUE]], "PURCHASECOST_", ""), "_VALUE", "")</f>
        <v>METRO</v>
      </c>
      <c r="AF312" s="10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338</v>
      </c>
      <c r="B313">
        <v>1999</v>
      </c>
      <c r="C313">
        <v>1</v>
      </c>
      <c r="D313" t="s">
        <v>1907</v>
      </c>
      <c r="E313" t="str">
        <f>_xlfn.XLOOKUP(PROPERTIES[[#This Row],[COUNTRY]],COUNTRIES[COUNTRY_DESCRIPTION],COUNTRIES[COUNTRY_LABEL],"")</f>
        <v>KP</v>
      </c>
      <c r="F313" t="s">
        <v>19</v>
      </c>
      <c r="G313" t="s">
        <v>325</v>
      </c>
      <c r="H313">
        <v>160</v>
      </c>
      <c r="I313">
        <v>8</v>
      </c>
      <c r="J313">
        <v>8</v>
      </c>
      <c r="K313" s="2" t="s">
        <v>326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4">
        <v>28.5</v>
      </c>
      <c r="P313">
        <v>800</v>
      </c>
      <c r="Q313">
        <v>70</v>
      </c>
      <c r="R313" s="31">
        <v>0</v>
      </c>
      <c r="S313" s="30">
        <f>IFERROR(PROPERTIES[[#This Row],[TE_STARTING_KN]]/(PROPERTIES[[#This Row],[WEIGHT]]*9.81),0)</f>
        <v>0</v>
      </c>
      <c r="T313" s="30">
        <v>0.23</v>
      </c>
      <c r="U313" s="27">
        <f>ROUND(IF(IFERROR(PROPERTIES[[#This Row],[TE_COEFFICIENT_CALC]],0)=0,PROPERTIES[[#This Row],[TE_COEFFICIENT_MANUAL]],PROPERTIES[[#This Row],[TE_COEFFICIENT_CALC]]),3)</f>
        <v>0.23</v>
      </c>
      <c r="V313" s="6">
        <v>60</v>
      </c>
      <c r="W313" s="10">
        <v>180</v>
      </c>
      <c r="X313" s="10">
        <v>8</v>
      </c>
      <c r="Y313" s="11"/>
      <c r="Z313" t="s">
        <v>913</v>
      </c>
      <c r="AA313" t="s">
        <v>904</v>
      </c>
      <c r="AB313" s="2" t="s">
        <v>922</v>
      </c>
      <c r="AC313" s="10" t="s">
        <v>994</v>
      </c>
      <c r="AD313" s="10" t="s">
        <v>995</v>
      </c>
      <c r="AE313" s="11" t="str">
        <f>SUBSTITUTE(SUBSTITUTE(PROPERTIES[[#This Row],[PURCHASECOST_VALUE]], "PURCHASECOST_", ""), "_VALUE", "")</f>
        <v>METRO</v>
      </c>
      <c r="AF313" s="10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339</v>
      </c>
      <c r="B314">
        <v>1977</v>
      </c>
      <c r="C314">
        <v>1</v>
      </c>
      <c r="D314" t="s">
        <v>1857</v>
      </c>
      <c r="E314" t="str">
        <f>_xlfn.XLOOKUP(PROPERTIES[[#This Row],[COUNTRY]],COUNTRIES[COUNTRY_DESCRIPTION],COUNTRIES[COUNTRY_LABEL],"")</f>
        <v>FI</v>
      </c>
      <c r="F314" t="s">
        <v>19</v>
      </c>
      <c r="G314" t="s">
        <v>325</v>
      </c>
      <c r="H314">
        <v>144</v>
      </c>
      <c r="I314">
        <v>8</v>
      </c>
      <c r="J314">
        <v>8</v>
      </c>
      <c r="K314" s="2" t="s">
        <v>326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4">
        <v>30.8</v>
      </c>
      <c r="P314">
        <v>1340</v>
      </c>
      <c r="Q314">
        <v>90</v>
      </c>
      <c r="R314" s="31">
        <v>0</v>
      </c>
      <c r="S314" s="30">
        <f>IFERROR(PROPERTIES[[#This Row],[TE_STARTING_KN]]/(PROPERTIES[[#This Row],[WEIGHT]]*9.81),0)</f>
        <v>0</v>
      </c>
      <c r="T314" s="30">
        <v>0.3</v>
      </c>
      <c r="U314" s="27">
        <f>ROUND(IF(IFERROR(PROPERTIES[[#This Row],[TE_COEFFICIENT_CALC]],0)=0,PROPERTIES[[#This Row],[TE_COEFFICIENT_MANUAL]],PROPERTIES[[#This Row],[TE_COEFFICIENT_CALC]]),3)</f>
        <v>0.3</v>
      </c>
      <c r="V314" s="6">
        <v>60</v>
      </c>
      <c r="W314" s="10">
        <v>165</v>
      </c>
      <c r="X314" s="10">
        <v>8</v>
      </c>
      <c r="Y314" s="11"/>
      <c r="Z314" t="s">
        <v>909</v>
      </c>
      <c r="AA314" t="s">
        <v>904</v>
      </c>
      <c r="AB314" s="2" t="s">
        <v>922</v>
      </c>
      <c r="AC314" s="10" t="s">
        <v>994</v>
      </c>
      <c r="AD314" s="10" t="s">
        <v>995</v>
      </c>
      <c r="AE314" s="11" t="str">
        <f>SUBSTITUTE(SUBSTITUTE(PROPERTIES[[#This Row],[PURCHASECOST_VALUE]], "PURCHASECOST_", ""), "_VALUE", "")</f>
        <v>METRO</v>
      </c>
      <c r="AF314" s="10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340</v>
      </c>
      <c r="B315">
        <v>1979</v>
      </c>
      <c r="C315">
        <v>1</v>
      </c>
      <c r="D315" t="s">
        <v>1818</v>
      </c>
      <c r="E315" t="str">
        <f>_xlfn.XLOOKUP(PROPERTIES[[#This Row],[COUNTRY]],COUNTRIES[COUNTRY_DESCRIPTION],COUNTRIES[COUNTRY_LABEL],"")</f>
        <v>BR</v>
      </c>
      <c r="F315" t="s">
        <v>19</v>
      </c>
      <c r="G315" t="s">
        <v>325</v>
      </c>
      <c r="H315">
        <v>160</v>
      </c>
      <c r="I315">
        <v>8</v>
      </c>
      <c r="J315">
        <v>8</v>
      </c>
      <c r="K315" s="2" t="s">
        <v>326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4">
        <v>52</v>
      </c>
      <c r="P315">
        <v>1530</v>
      </c>
      <c r="Q315">
        <v>100</v>
      </c>
      <c r="R315" s="31">
        <v>0</v>
      </c>
      <c r="S315" s="30">
        <f>IFERROR(PROPERTIES[[#This Row],[TE_STARTING_KN]]/(PROPERTIES[[#This Row],[WEIGHT]]*9.81),0)</f>
        <v>0</v>
      </c>
      <c r="T315" s="30">
        <v>0.25</v>
      </c>
      <c r="U315" s="27">
        <f>ROUND(IF(IFERROR(PROPERTIES[[#This Row],[TE_COEFFICIENT_CALC]],0)=0,PROPERTIES[[#This Row],[TE_COEFFICIENT_MANUAL]],PROPERTIES[[#This Row],[TE_COEFFICIENT_CALC]]),3)</f>
        <v>0.25</v>
      </c>
      <c r="V315" s="6">
        <v>60</v>
      </c>
      <c r="W315" s="10">
        <v>230</v>
      </c>
      <c r="X315" s="10">
        <v>8</v>
      </c>
      <c r="Y315" s="11"/>
      <c r="Z315" t="s">
        <v>912</v>
      </c>
      <c r="AA315" t="s">
        <v>904</v>
      </c>
      <c r="AB315" s="2" t="s">
        <v>922</v>
      </c>
      <c r="AC315" s="10" t="s">
        <v>994</v>
      </c>
      <c r="AD315" s="10" t="s">
        <v>995</v>
      </c>
      <c r="AE315" s="11" t="str">
        <f>SUBSTITUTE(SUBSTITUTE(PROPERTIES[[#This Row],[PURCHASECOST_VALUE]], "PURCHASECOST_", ""), "_VALUE", "")</f>
        <v>METRO</v>
      </c>
      <c r="AF315" s="10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341</v>
      </c>
      <c r="B316">
        <v>1981</v>
      </c>
      <c r="C316">
        <v>1</v>
      </c>
      <c r="D316" t="s">
        <v>2038</v>
      </c>
      <c r="E316" t="str">
        <f>_xlfn.XLOOKUP(PROPERTIES[[#This Row],[COUNTRY]],COUNTRIES[COUNTRY_DESCRIPTION],COUNTRIES[COUNTRY_LABEL],"")</f>
        <v>SU</v>
      </c>
      <c r="F316" t="s">
        <v>19</v>
      </c>
      <c r="G316" t="s">
        <v>325</v>
      </c>
      <c r="H316">
        <v>144</v>
      </c>
      <c r="I316">
        <v>8</v>
      </c>
      <c r="J316">
        <v>8</v>
      </c>
      <c r="K316" s="2" t="s">
        <v>326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4">
        <v>36</v>
      </c>
      <c r="P316">
        <v>1115</v>
      </c>
      <c r="Q316">
        <v>100</v>
      </c>
      <c r="R316" s="31">
        <v>0</v>
      </c>
      <c r="S316" s="30">
        <f>IFERROR(PROPERTIES[[#This Row],[TE_STARTING_KN]]/(PROPERTIES[[#This Row],[WEIGHT]]*9.81),0)</f>
        <v>0</v>
      </c>
      <c r="T316" s="30">
        <v>0.3</v>
      </c>
      <c r="U316" s="27">
        <f>ROUND(IF(IFERROR(PROPERTIES[[#This Row],[TE_COEFFICIENT_CALC]],0)=0,PROPERTIES[[#This Row],[TE_COEFFICIENT_MANUAL]],PROPERTIES[[#This Row],[TE_COEFFICIENT_CALC]]),3)</f>
        <v>0.3</v>
      </c>
      <c r="V316" s="6">
        <v>60</v>
      </c>
      <c r="W316" s="10">
        <v>144</v>
      </c>
      <c r="X316" s="10">
        <v>8</v>
      </c>
      <c r="Y316" s="11"/>
      <c r="Z316" t="s">
        <v>913</v>
      </c>
      <c r="AA316" t="s">
        <v>904</v>
      </c>
      <c r="AB316" s="2" t="s">
        <v>922</v>
      </c>
      <c r="AC316" s="10" t="s">
        <v>994</v>
      </c>
      <c r="AD316" s="10" t="s">
        <v>995</v>
      </c>
      <c r="AE316" s="11" t="str">
        <f>SUBSTITUTE(SUBSTITUTE(PROPERTIES[[#This Row],[PURCHASECOST_VALUE]], "PURCHASECOST_", ""), "_VALUE", "")</f>
        <v>METRO</v>
      </c>
      <c r="AF316" s="10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342</v>
      </c>
      <c r="B317">
        <v>1985</v>
      </c>
      <c r="C317">
        <v>1</v>
      </c>
      <c r="D317" t="s">
        <v>1900</v>
      </c>
      <c r="E317" t="str">
        <f>_xlfn.XLOOKUP(PROPERTIES[[#This Row],[COUNTRY]],COUNTRIES[COUNTRY_DESCRIPTION],COUNTRIES[COUNTRY_LABEL],"")</f>
        <v>JP</v>
      </c>
      <c r="F317" t="s">
        <v>19</v>
      </c>
      <c r="G317" t="s">
        <v>325</v>
      </c>
      <c r="H317">
        <v>100</v>
      </c>
      <c r="I317">
        <v>8</v>
      </c>
      <c r="J317">
        <v>8</v>
      </c>
      <c r="K317" s="2" t="s">
        <v>326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4">
        <v>23.5</v>
      </c>
      <c r="P317">
        <v>640</v>
      </c>
      <c r="Q317">
        <v>80</v>
      </c>
      <c r="R317" s="31">
        <v>0</v>
      </c>
      <c r="S317" s="30">
        <f>IFERROR(PROPERTIES[[#This Row],[TE_STARTING_KN]]/(PROPERTIES[[#This Row],[WEIGHT]]*9.81),0)</f>
        <v>0</v>
      </c>
      <c r="T317" s="30">
        <v>0.28000000000000003</v>
      </c>
      <c r="U317" s="27">
        <f>ROUND(IF(IFERROR(PROPERTIES[[#This Row],[TE_COEFFICIENT_CALC]],0)=0,PROPERTIES[[#This Row],[TE_COEFFICIENT_MANUAL]],PROPERTIES[[#This Row],[TE_COEFFICIENT_CALC]]),3)</f>
        <v>0.28000000000000003</v>
      </c>
      <c r="V317" s="6">
        <v>60</v>
      </c>
      <c r="W317" s="10">
        <v>120</v>
      </c>
      <c r="X317" s="10">
        <v>8</v>
      </c>
      <c r="Y317" s="11"/>
      <c r="Z317" t="s">
        <v>913</v>
      </c>
      <c r="AA317" t="s">
        <v>904</v>
      </c>
      <c r="AB317" s="2" t="s">
        <v>922</v>
      </c>
      <c r="AC317" s="10" t="s">
        <v>994</v>
      </c>
      <c r="AD317" s="10" t="s">
        <v>995</v>
      </c>
      <c r="AE317" s="11" t="str">
        <f>SUBSTITUTE(SUBSTITUTE(PROPERTIES[[#This Row],[PURCHASECOST_VALUE]], "PURCHASECOST_", ""), "_VALUE", "")</f>
        <v>METRO</v>
      </c>
      <c r="AF317" s="10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343</v>
      </c>
      <c r="B318">
        <v>1987</v>
      </c>
      <c r="C318">
        <v>1</v>
      </c>
      <c r="D318" t="s">
        <v>1852</v>
      </c>
      <c r="E318" t="str">
        <f>_xlfn.XLOOKUP(PROPERTIES[[#This Row],[COUNTRY]],COUNTRIES[COUNTRY_DESCRIPTION],COUNTRIES[COUNTRY_LABEL],"")</f>
        <v>EG</v>
      </c>
      <c r="F318" t="s">
        <v>19</v>
      </c>
      <c r="G318" t="s">
        <v>325</v>
      </c>
      <c r="H318">
        <v>165</v>
      </c>
      <c r="I318">
        <v>8</v>
      </c>
      <c r="J318">
        <v>8</v>
      </c>
      <c r="K318" s="2" t="s">
        <v>326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4">
        <v>37.5</v>
      </c>
      <c r="P318">
        <v>1450</v>
      </c>
      <c r="Q318">
        <v>100</v>
      </c>
      <c r="R318" s="31">
        <v>0</v>
      </c>
      <c r="S318" s="30">
        <f>IFERROR(PROPERTIES[[#This Row],[TE_STARTING_KN]]/(PROPERTIES[[#This Row],[WEIGHT]]*9.81),0)</f>
        <v>0</v>
      </c>
      <c r="T318" s="30">
        <v>0.26</v>
      </c>
      <c r="U318" s="27">
        <f>ROUND(IF(IFERROR(PROPERTIES[[#This Row],[TE_COEFFICIENT_CALC]],0)=0,PROPERTIES[[#This Row],[TE_COEFFICIENT_MANUAL]],PROPERTIES[[#This Row],[TE_COEFFICIENT_CALC]]),3)</f>
        <v>0.26</v>
      </c>
      <c r="V318" s="6">
        <v>60</v>
      </c>
      <c r="W318" s="10">
        <v>250</v>
      </c>
      <c r="X318" s="10">
        <v>8</v>
      </c>
      <c r="Y318" s="11"/>
      <c r="Z318" t="s">
        <v>908</v>
      </c>
      <c r="AA318" t="s">
        <v>904</v>
      </c>
      <c r="AB318" s="2" t="s">
        <v>922</v>
      </c>
      <c r="AC318" s="10" t="s">
        <v>994</v>
      </c>
      <c r="AD318" s="10" t="s">
        <v>995</v>
      </c>
      <c r="AE318" s="11" t="str">
        <f>SUBSTITUTE(SUBSTITUTE(PROPERTIES[[#This Row],[PURCHASECOST_VALUE]], "PURCHASECOST_", ""), "_VALUE", "")</f>
        <v>METRO</v>
      </c>
      <c r="AF318" s="10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344</v>
      </c>
      <c r="B319">
        <v>1986</v>
      </c>
      <c r="C319">
        <v>1</v>
      </c>
      <c r="D319" t="s">
        <v>1863</v>
      </c>
      <c r="E319" t="str">
        <f>_xlfn.XLOOKUP(PROPERTIES[[#This Row],[COUNTRY]],COUNTRIES[COUNTRY_DESCRIPTION],COUNTRIES[COUNTRY_LABEL],"")</f>
        <v>GB</v>
      </c>
      <c r="F319" t="s">
        <v>19</v>
      </c>
      <c r="G319" t="s">
        <v>325</v>
      </c>
      <c r="H319">
        <v>142</v>
      </c>
      <c r="I319">
        <v>6</v>
      </c>
      <c r="J319">
        <v>6</v>
      </c>
      <c r="K319" s="2" t="s">
        <v>326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4">
        <v>33</v>
      </c>
      <c r="P319">
        <v>640</v>
      </c>
      <c r="Q319">
        <v>80</v>
      </c>
      <c r="R319" s="31">
        <v>0</v>
      </c>
      <c r="S319" s="30">
        <f>IFERROR(PROPERTIES[[#This Row],[TE_STARTING_KN]]/(PROPERTIES[[#This Row],[WEIGHT]]*9.81),0)</f>
        <v>0</v>
      </c>
      <c r="T319" s="30">
        <v>0.25</v>
      </c>
      <c r="U319" s="27">
        <f>ROUND(IF(IFERROR(PROPERTIES[[#This Row],[TE_COEFFICIENT_CALC]],0)=0,PROPERTIES[[#This Row],[TE_COEFFICIENT_MANUAL]],PROPERTIES[[#This Row],[TE_COEFFICIENT_CALC]]),3)</f>
        <v>0.25</v>
      </c>
      <c r="V319" s="6">
        <v>60</v>
      </c>
      <c r="W319" s="10">
        <v>200</v>
      </c>
      <c r="X319" s="10">
        <v>6</v>
      </c>
      <c r="Y319" s="11"/>
      <c r="Z319" t="s">
        <v>909</v>
      </c>
      <c r="AA319" t="s">
        <v>904</v>
      </c>
      <c r="AB319" s="2" t="s">
        <v>922</v>
      </c>
      <c r="AC319" s="10" t="s">
        <v>994</v>
      </c>
      <c r="AD319" s="10" t="s">
        <v>995</v>
      </c>
      <c r="AE319" s="11" t="str">
        <f>SUBSTITUTE(SUBSTITUTE(PROPERTIES[[#This Row],[PURCHASECOST_VALUE]], "PURCHASECOST_", ""), "_VALUE", "")</f>
        <v>METRO</v>
      </c>
      <c r="AF319" s="10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345</v>
      </c>
      <c r="B320">
        <v>1993</v>
      </c>
      <c r="C320">
        <v>1</v>
      </c>
      <c r="D320" t="s">
        <v>1977</v>
      </c>
      <c r="E320" t="str">
        <f>_xlfn.XLOOKUP(PROPERTIES[[#This Row],[COUNTRY]],COUNTRIES[COUNTRY_DESCRIPTION],COUNTRIES[COUNTRY_LABEL],"")</f>
        <v>RU</v>
      </c>
      <c r="F320" t="s">
        <v>19</v>
      </c>
      <c r="G320" t="s">
        <v>325</v>
      </c>
      <c r="H320">
        <v>144</v>
      </c>
      <c r="I320">
        <v>8</v>
      </c>
      <c r="J320">
        <v>8</v>
      </c>
      <c r="K320" s="2" t="s">
        <v>326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4">
        <v>34</v>
      </c>
      <c r="P320">
        <v>1180</v>
      </c>
      <c r="Q320">
        <v>90</v>
      </c>
      <c r="R320" s="31">
        <v>0</v>
      </c>
      <c r="S320" s="30">
        <f>IFERROR(PROPERTIES[[#This Row],[TE_STARTING_KN]]/(PROPERTIES[[#This Row],[WEIGHT]]*9.81),0)</f>
        <v>0</v>
      </c>
      <c r="T320" s="30">
        <v>0.27</v>
      </c>
      <c r="U320" s="27">
        <f>ROUND(IF(IFERROR(PROPERTIES[[#This Row],[TE_COEFFICIENT_CALC]],0)=0,PROPERTIES[[#This Row],[TE_COEFFICIENT_MANUAL]],PROPERTIES[[#This Row],[TE_COEFFICIENT_CALC]]),3)</f>
        <v>0.27</v>
      </c>
      <c r="V320" s="6">
        <v>60</v>
      </c>
      <c r="W320" s="10">
        <v>147</v>
      </c>
      <c r="X320" s="10">
        <v>8</v>
      </c>
      <c r="Y320" s="11"/>
      <c r="Z320" t="s">
        <v>913</v>
      </c>
      <c r="AA320" t="s">
        <v>904</v>
      </c>
      <c r="AB320" s="2" t="s">
        <v>922</v>
      </c>
      <c r="AC320" s="10" t="s">
        <v>994</v>
      </c>
      <c r="AD320" s="10" t="s">
        <v>995</v>
      </c>
      <c r="AE320" s="11" t="str">
        <f>SUBSTITUTE(SUBSTITUTE(PROPERTIES[[#This Row],[PURCHASECOST_VALUE]], "PURCHASECOST_", ""), "_VALUE", "")</f>
        <v>METRO</v>
      </c>
      <c r="AF320" s="10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346</v>
      </c>
      <c r="B321">
        <v>1993</v>
      </c>
      <c r="C321">
        <v>1</v>
      </c>
      <c r="D321" t="s">
        <v>2019</v>
      </c>
      <c r="E321" t="str">
        <f>_xlfn.XLOOKUP(PROPERTIES[[#This Row],[COUNTRY]],COUNTRIES[COUNTRY_DESCRIPTION],COUNTRIES[COUNTRY_LABEL],"")</f>
        <v>US</v>
      </c>
      <c r="F321" t="s">
        <v>19</v>
      </c>
      <c r="G321" t="s">
        <v>325</v>
      </c>
      <c r="H321">
        <v>155</v>
      </c>
      <c r="I321">
        <v>8</v>
      </c>
      <c r="J321">
        <v>8</v>
      </c>
      <c r="K321" s="2" t="s">
        <v>326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4">
        <v>36.5</v>
      </c>
      <c r="P321">
        <v>910</v>
      </c>
      <c r="Q321">
        <v>80</v>
      </c>
      <c r="R321" s="31">
        <v>0</v>
      </c>
      <c r="S321" s="30">
        <f>IFERROR(PROPERTIES[[#This Row],[TE_STARTING_KN]]/(PROPERTIES[[#This Row],[WEIGHT]]*9.81),0)</f>
        <v>0</v>
      </c>
      <c r="T321" s="30">
        <v>0.26</v>
      </c>
      <c r="U321" s="27">
        <f>ROUND(IF(IFERROR(PROPERTIES[[#This Row],[TE_COEFFICIENT_CALC]],0)=0,PROPERTIES[[#This Row],[TE_COEFFICIENT_MANUAL]],PROPERTIES[[#This Row],[TE_COEFFICIENT_CALC]]),3)</f>
        <v>0.26</v>
      </c>
      <c r="V321" s="6">
        <v>60</v>
      </c>
      <c r="W321" s="10">
        <v>150</v>
      </c>
      <c r="X321" s="10">
        <v>8</v>
      </c>
      <c r="Y321" s="11"/>
      <c r="Z321" t="s">
        <v>910</v>
      </c>
      <c r="AA321" t="s">
        <v>904</v>
      </c>
      <c r="AB321" s="2" t="s">
        <v>922</v>
      </c>
      <c r="AC321" s="10" t="s">
        <v>994</v>
      </c>
      <c r="AD321" s="10" t="s">
        <v>995</v>
      </c>
      <c r="AE321" s="11" t="str">
        <f>SUBSTITUTE(SUBSTITUTE(PROPERTIES[[#This Row],[PURCHASECOST_VALUE]], "PURCHASECOST_", ""), "_VALUE", "")</f>
        <v>METRO</v>
      </c>
      <c r="AF321" s="10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347</v>
      </c>
      <c r="B322">
        <v>1993</v>
      </c>
      <c r="C322">
        <v>1</v>
      </c>
      <c r="D322" t="s">
        <v>2019</v>
      </c>
      <c r="E322" t="str">
        <f>_xlfn.XLOOKUP(PROPERTIES[[#This Row],[COUNTRY]],COUNTRIES[COUNTRY_DESCRIPTION],COUNTRIES[COUNTRY_LABEL],"")</f>
        <v>US</v>
      </c>
      <c r="F322" t="s">
        <v>19</v>
      </c>
      <c r="G322" t="s">
        <v>325</v>
      </c>
      <c r="H322">
        <v>150</v>
      </c>
      <c r="I322">
        <v>8</v>
      </c>
      <c r="J322">
        <v>8</v>
      </c>
      <c r="K322" s="2" t="s">
        <v>326</v>
      </c>
      <c r="L322">
        <f>_xlfn.XLOOKUP("LOADINGSPEEDDEF_"&amp;PROPERTIES[[#This Row],[LOADINGSPEED]],LOADINGSPEEDDEF[TYPE],LOADINGSPEEDDEF[SPEED])</f>
        <v>120</v>
      </c>
      <c r="M322" t="s">
        <v>21</v>
      </c>
      <c r="N322">
        <v>1</v>
      </c>
      <c r="O322" s="34">
        <v>36.5</v>
      </c>
      <c r="P322">
        <v>1250</v>
      </c>
      <c r="Q322">
        <v>70</v>
      </c>
      <c r="R322" s="31">
        <v>0</v>
      </c>
      <c r="S322" s="30">
        <f>IFERROR(PROPERTIES[[#This Row],[TE_STARTING_KN]]/(PROPERTIES[[#This Row],[WEIGHT]]*9.81),0)</f>
        <v>0</v>
      </c>
      <c r="T322" s="30">
        <v>0.28000000000000003</v>
      </c>
      <c r="U322" s="27">
        <f>ROUND(IF(IFERROR(PROPERTIES[[#This Row],[TE_COEFFICIENT_CALC]],0)=0,PROPERTIES[[#This Row],[TE_COEFFICIENT_MANUAL]],PROPERTIES[[#This Row],[TE_COEFFICIENT_CALC]]),3)</f>
        <v>0.28000000000000003</v>
      </c>
      <c r="V322" s="6">
        <v>60</v>
      </c>
      <c r="W322" s="10">
        <v>170</v>
      </c>
      <c r="X322" s="10">
        <v>8</v>
      </c>
      <c r="Y322" s="11"/>
      <c r="Z322" t="s">
        <v>910</v>
      </c>
      <c r="AA322" t="s">
        <v>904</v>
      </c>
      <c r="AB322" s="2" t="s">
        <v>922</v>
      </c>
      <c r="AC322" s="10" t="s">
        <v>994</v>
      </c>
      <c r="AD322" s="10" t="s">
        <v>995</v>
      </c>
      <c r="AE322" s="11" t="str">
        <f>SUBSTITUTE(SUBSTITUTE(PROPERTIES[[#This Row],[PURCHASECOST_VALUE]], "PURCHASECOST_", ""), "_VALUE", "")</f>
        <v>METRO</v>
      </c>
      <c r="AF322" s="10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348</v>
      </c>
      <c r="B323">
        <v>1992</v>
      </c>
      <c r="C323">
        <v>1</v>
      </c>
      <c r="D323" t="s">
        <v>2014</v>
      </c>
      <c r="E323" t="str">
        <f>_xlfn.XLOOKUP(PROPERTIES[[#This Row],[COUNTRY]],COUNTRIES[COUNTRY_DESCRIPTION],COUNTRIES[COUNTRY_LABEL],"")</f>
        <v>TW</v>
      </c>
      <c r="F323" t="s">
        <v>19</v>
      </c>
      <c r="G323" t="s">
        <v>325</v>
      </c>
      <c r="H323">
        <v>155</v>
      </c>
      <c r="I323">
        <v>8</v>
      </c>
      <c r="J323">
        <v>8</v>
      </c>
      <c r="K323" s="2" t="s">
        <v>326</v>
      </c>
      <c r="L323">
        <f>_xlfn.XLOOKUP("LOADINGSPEEDDEF_"&amp;PROPERTIES[[#This Row],[LOADINGSPEED]],LOADINGSPEEDDEF[TYPE],LOADINGSPEEDDEF[SPEED])</f>
        <v>120</v>
      </c>
      <c r="M323" t="s">
        <v>21</v>
      </c>
      <c r="N323">
        <v>1</v>
      </c>
      <c r="O323" s="34">
        <v>39.5</v>
      </c>
      <c r="P323">
        <v>1550</v>
      </c>
      <c r="Q323">
        <v>80</v>
      </c>
      <c r="R323" s="31">
        <v>0</v>
      </c>
      <c r="S323" s="30">
        <f>IFERROR(PROPERTIES[[#This Row],[TE_STARTING_KN]]/(PROPERTIES[[#This Row],[WEIGHT]]*9.81),0)</f>
        <v>0</v>
      </c>
      <c r="T323" s="30">
        <v>0.3</v>
      </c>
      <c r="U323" s="27">
        <f>ROUND(IF(IFERROR(PROPERTIES[[#This Row],[TE_COEFFICIENT_CALC]],0)=0,PROPERTIES[[#This Row],[TE_COEFFICIENT_MANUAL]],PROPERTIES[[#This Row],[TE_COEFFICIENT_CALC]]),3)</f>
        <v>0.3</v>
      </c>
      <c r="V323" s="6">
        <v>60</v>
      </c>
      <c r="W323" s="10">
        <v>250</v>
      </c>
      <c r="X323" s="10">
        <v>8</v>
      </c>
      <c r="Y323" s="11"/>
      <c r="Z323" t="s">
        <v>913</v>
      </c>
      <c r="AA323" t="s">
        <v>904</v>
      </c>
      <c r="AB323" s="2" t="s">
        <v>922</v>
      </c>
      <c r="AC323" s="10" t="s">
        <v>994</v>
      </c>
      <c r="AD323" s="10" t="s">
        <v>995</v>
      </c>
      <c r="AE323" s="11" t="str">
        <f>SUBSTITUTE(SUBSTITUTE(PROPERTIES[[#This Row],[PURCHASECOST_VALUE]], "PURCHASECOST_", ""), "_VALUE", "")</f>
        <v>METRO</v>
      </c>
      <c r="AF323" s="10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349</v>
      </c>
      <c r="B324">
        <v>1997</v>
      </c>
      <c r="C324">
        <v>1</v>
      </c>
      <c r="D324" t="s">
        <v>1952</v>
      </c>
      <c r="E324" t="str">
        <f>_xlfn.XLOOKUP(PROPERTIES[[#This Row],[COUNTRY]],COUNTRIES[COUNTRY_DESCRIPTION],COUNTRIES[COUNTRY_LABEL],"")</f>
        <v>NL</v>
      </c>
      <c r="F324" t="s">
        <v>19</v>
      </c>
      <c r="G324" t="s">
        <v>325</v>
      </c>
      <c r="H324">
        <v>125</v>
      </c>
      <c r="I324">
        <v>8</v>
      </c>
      <c r="J324">
        <v>8</v>
      </c>
      <c r="K324" s="2" t="s">
        <v>326</v>
      </c>
      <c r="L324">
        <f>_xlfn.XLOOKUP("LOADINGSPEEDDEF_"&amp;PROPERTIES[[#This Row],[LOADINGSPEED]],LOADINGSPEEDDEF[TYPE],LOADINGSPEEDDEF[SPEED])</f>
        <v>120</v>
      </c>
      <c r="M324" t="s">
        <v>21</v>
      </c>
      <c r="N324">
        <v>1</v>
      </c>
      <c r="O324" s="34">
        <v>24</v>
      </c>
      <c r="P324">
        <v>1020</v>
      </c>
      <c r="Q324">
        <v>70</v>
      </c>
      <c r="R324" s="31">
        <v>0</v>
      </c>
      <c r="S324" s="30">
        <f>IFERROR(PROPERTIES[[#This Row],[TE_STARTING_KN]]/(PROPERTIES[[#This Row],[WEIGHT]]*9.81),0)</f>
        <v>0</v>
      </c>
      <c r="T324" s="30">
        <v>0.28000000000000003</v>
      </c>
      <c r="U324" s="27">
        <f>ROUND(IF(IFERROR(PROPERTIES[[#This Row],[TE_COEFFICIENT_CALC]],0)=0,PROPERTIES[[#This Row],[TE_COEFFICIENT_MANUAL]],PROPERTIES[[#This Row],[TE_COEFFICIENT_CALC]]),3)</f>
        <v>0.28000000000000003</v>
      </c>
      <c r="V324" s="6">
        <v>60</v>
      </c>
      <c r="W324" s="10">
        <v>250</v>
      </c>
      <c r="X324" s="10">
        <v>8</v>
      </c>
      <c r="Y324" s="11"/>
      <c r="Z324" t="s">
        <v>905</v>
      </c>
      <c r="AA324" t="s">
        <v>904</v>
      </c>
      <c r="AB324" s="2" t="s">
        <v>922</v>
      </c>
      <c r="AC324" s="10" t="s">
        <v>994</v>
      </c>
      <c r="AD324" s="10" t="s">
        <v>995</v>
      </c>
      <c r="AE324" s="11" t="str">
        <f>SUBSTITUTE(SUBSTITUTE(PROPERTIES[[#This Row],[PURCHASECOST_VALUE]], "PURCHASECOST_", ""), "_VALUE", "")</f>
        <v>METRO</v>
      </c>
      <c r="AF324" s="10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350</v>
      </c>
      <c r="B325">
        <v>1997</v>
      </c>
      <c r="C325">
        <v>1</v>
      </c>
      <c r="D325" t="s">
        <v>1862</v>
      </c>
      <c r="E325" t="str">
        <f>_xlfn.XLOOKUP(PROPERTIES[[#This Row],[COUNTRY]],COUNTRIES[COUNTRY_DESCRIPTION],COUNTRIES[COUNTRY_LABEL],"")</f>
        <v>FR</v>
      </c>
      <c r="F325" t="s">
        <v>19</v>
      </c>
      <c r="G325" t="s">
        <v>325</v>
      </c>
      <c r="H325">
        <v>120</v>
      </c>
      <c r="I325">
        <v>7</v>
      </c>
      <c r="J325">
        <v>7</v>
      </c>
      <c r="K325" s="2" t="s">
        <v>326</v>
      </c>
      <c r="L325">
        <f>_xlfn.XLOOKUP("LOADINGSPEEDDEF_"&amp;PROPERTIES[[#This Row],[LOADINGSPEED]],LOADINGSPEEDDEF[TYPE],LOADINGSPEEDDEF[SPEED])</f>
        <v>120</v>
      </c>
      <c r="M325" t="s">
        <v>21</v>
      </c>
      <c r="N325">
        <v>1</v>
      </c>
      <c r="O325" s="34">
        <v>24</v>
      </c>
      <c r="P325">
        <v>2680</v>
      </c>
      <c r="Q325">
        <v>80</v>
      </c>
      <c r="R325" s="31">
        <v>0</v>
      </c>
      <c r="S325" s="30">
        <f>IFERROR(PROPERTIES[[#This Row],[TE_STARTING_KN]]/(PROPERTIES[[#This Row],[WEIGHT]]*9.81),0)</f>
        <v>0</v>
      </c>
      <c r="T325" s="30">
        <v>0.35</v>
      </c>
      <c r="U325" s="27">
        <f>ROUND(IF(IFERROR(PROPERTIES[[#This Row],[TE_COEFFICIENT_CALC]],0)=0,PROPERTIES[[#This Row],[TE_COEFFICIENT_MANUAL]],PROPERTIES[[#This Row],[TE_COEFFICIENT_CALC]]),3)</f>
        <v>0.35</v>
      </c>
      <c r="V325" s="6">
        <v>60</v>
      </c>
      <c r="W325" s="10">
        <v>120</v>
      </c>
      <c r="X325" s="10">
        <v>7</v>
      </c>
      <c r="Y325" s="11"/>
      <c r="Z325" t="s">
        <v>905</v>
      </c>
      <c r="AA325" t="s">
        <v>904</v>
      </c>
      <c r="AB325" s="2" t="s">
        <v>922</v>
      </c>
      <c r="AC325" s="10" t="s">
        <v>994</v>
      </c>
      <c r="AD325" s="10" t="s">
        <v>995</v>
      </c>
      <c r="AE325" s="11" t="str">
        <f>SUBSTITUTE(SUBSTITUTE(PROPERTIES[[#This Row],[PURCHASECOST_VALUE]], "PURCHASECOST_", ""), "_VALUE", "")</f>
        <v>METRO</v>
      </c>
      <c r="AF325" s="10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351</v>
      </c>
      <c r="B326">
        <v>2003</v>
      </c>
      <c r="C326">
        <v>1</v>
      </c>
      <c r="D326" t="s">
        <v>1977</v>
      </c>
      <c r="E326" t="str">
        <f>_xlfn.XLOOKUP(PROPERTIES[[#This Row],[COUNTRY]],COUNTRIES[COUNTRY_DESCRIPTION],COUNTRIES[COUNTRY_LABEL],"")</f>
        <v>RU</v>
      </c>
      <c r="F326" t="s">
        <v>19</v>
      </c>
      <c r="G326" t="s">
        <v>325</v>
      </c>
      <c r="H326">
        <v>172</v>
      </c>
      <c r="I326">
        <v>7</v>
      </c>
      <c r="J326">
        <v>7</v>
      </c>
      <c r="K326" s="2" t="s">
        <v>326</v>
      </c>
      <c r="L326">
        <f>_xlfn.XLOOKUP("LOADINGSPEEDDEF_"&amp;PROPERTIES[[#This Row],[LOADINGSPEED]],LOADINGSPEEDDEF[TYPE],LOADINGSPEEDDEF[SPEED])</f>
        <v>120</v>
      </c>
      <c r="M326" t="s">
        <v>21</v>
      </c>
      <c r="N326">
        <v>1</v>
      </c>
      <c r="O326" s="34">
        <v>47</v>
      </c>
      <c r="P326">
        <v>1400</v>
      </c>
      <c r="Q326">
        <v>90</v>
      </c>
      <c r="R326" s="31">
        <v>0</v>
      </c>
      <c r="S326" s="30">
        <f>IFERROR(PROPERTIES[[#This Row],[TE_STARTING_KN]]/(PROPERTIES[[#This Row],[WEIGHT]]*9.81),0)</f>
        <v>0</v>
      </c>
      <c r="T326" s="30">
        <v>0.3</v>
      </c>
      <c r="U326" s="27">
        <f>ROUND(IF(IFERROR(PROPERTIES[[#This Row],[TE_COEFFICIENT_CALC]],0)=0,PROPERTIES[[#This Row],[TE_COEFFICIENT_MANUAL]],PROPERTIES[[#This Row],[TE_COEFFICIENT_CALC]]),3)</f>
        <v>0.3</v>
      </c>
      <c r="V326" s="6">
        <v>60</v>
      </c>
      <c r="W326" s="10">
        <v>120</v>
      </c>
      <c r="X326" s="10">
        <v>6</v>
      </c>
      <c r="Y326" s="11"/>
      <c r="Z326" t="s">
        <v>913</v>
      </c>
      <c r="AA326" t="s">
        <v>904</v>
      </c>
      <c r="AB326" s="2" t="s">
        <v>922</v>
      </c>
      <c r="AC326" s="10" t="s">
        <v>994</v>
      </c>
      <c r="AD326" s="10" t="s">
        <v>995</v>
      </c>
      <c r="AE326" s="11" t="str">
        <f>SUBSTITUTE(SUBSTITUTE(PROPERTIES[[#This Row],[PURCHASECOST_VALUE]], "PURCHASECOST_", ""), "_VALUE", "")</f>
        <v>METRO</v>
      </c>
      <c r="AF326" s="10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352</v>
      </c>
      <c r="B327">
        <v>2003</v>
      </c>
      <c r="C327">
        <v>1</v>
      </c>
      <c r="D327" t="s">
        <v>1984</v>
      </c>
      <c r="E327" t="str">
        <f>_xlfn.XLOOKUP(PROPERTIES[[#This Row],[COUNTRY]],COUNTRIES[COUNTRY_DESCRIPTION],COUNTRIES[COUNTRY_LABEL],"")</f>
        <v>SG</v>
      </c>
      <c r="F327" t="s">
        <v>19</v>
      </c>
      <c r="G327" t="s">
        <v>325</v>
      </c>
      <c r="H327">
        <v>150</v>
      </c>
      <c r="I327">
        <v>8</v>
      </c>
      <c r="J327">
        <v>8</v>
      </c>
      <c r="K327" s="2" t="s">
        <v>326</v>
      </c>
      <c r="L327">
        <f>_xlfn.XLOOKUP("LOADINGSPEEDDEF_"&amp;PROPERTIES[[#This Row],[LOADINGSPEED]],LOADINGSPEEDDEF[TYPE],LOADINGSPEEDDEF[SPEED])</f>
        <v>120</v>
      </c>
      <c r="M327" t="s">
        <v>21</v>
      </c>
      <c r="N327">
        <v>1</v>
      </c>
      <c r="O327" s="34">
        <v>35</v>
      </c>
      <c r="P327">
        <v>1500</v>
      </c>
      <c r="Q327">
        <v>90</v>
      </c>
      <c r="R327" s="31">
        <v>0</v>
      </c>
      <c r="S327" s="30">
        <f>IFERROR(PROPERTIES[[#This Row],[TE_STARTING_KN]]/(PROPERTIES[[#This Row],[WEIGHT]]*9.81),0)</f>
        <v>0</v>
      </c>
      <c r="T327" s="30">
        <v>0.3</v>
      </c>
      <c r="U327" s="27">
        <f>ROUND(IF(IFERROR(PROPERTIES[[#This Row],[TE_COEFFICIENT_CALC]],0)=0,PROPERTIES[[#This Row],[TE_COEFFICIENT_MANUAL]],PROPERTIES[[#This Row],[TE_COEFFICIENT_CALC]]),3)</f>
        <v>0.3</v>
      </c>
      <c r="V327" s="6">
        <v>60</v>
      </c>
      <c r="W327" s="10">
        <v>250</v>
      </c>
      <c r="X327" s="10">
        <v>8</v>
      </c>
      <c r="Y327" s="11"/>
      <c r="Z327" t="s">
        <v>913</v>
      </c>
      <c r="AA327" t="s">
        <v>904</v>
      </c>
      <c r="AB327" s="2" t="s">
        <v>922</v>
      </c>
      <c r="AC327" s="10" t="s">
        <v>994</v>
      </c>
      <c r="AD327" s="10" t="s">
        <v>995</v>
      </c>
      <c r="AE327" s="11" t="str">
        <f>SUBSTITUTE(SUBSTITUTE(PROPERTIES[[#This Row],[PURCHASECOST_VALUE]], "PURCHASECOST_", ""), "_VALUE", "")</f>
        <v>METRO</v>
      </c>
      <c r="AF327" s="10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353</v>
      </c>
      <c r="B328">
        <v>2007</v>
      </c>
      <c r="C328">
        <v>1</v>
      </c>
      <c r="D328" t="s">
        <v>1953</v>
      </c>
      <c r="E328" t="str">
        <f>_xlfn.XLOOKUP(PROPERTIES[[#This Row],[COUNTRY]],COUNTRIES[COUNTRY_DESCRIPTION],COUNTRIES[COUNTRY_LABEL],"")</f>
        <v>NO</v>
      </c>
      <c r="F328" t="s">
        <v>19</v>
      </c>
      <c r="G328" t="s">
        <v>325</v>
      </c>
      <c r="H328">
        <v>164</v>
      </c>
      <c r="I328">
        <v>7</v>
      </c>
      <c r="J328">
        <v>7</v>
      </c>
      <c r="K328" s="2" t="s">
        <v>326</v>
      </c>
      <c r="L328">
        <f>_xlfn.XLOOKUP("LOADINGSPEEDDEF_"&amp;PROPERTIES[[#This Row],[LOADINGSPEED]],LOADINGSPEEDDEF[TYPE],LOADINGSPEEDDEF[SPEED])</f>
        <v>120</v>
      </c>
      <c r="M328" t="s">
        <v>21</v>
      </c>
      <c r="N328">
        <v>1</v>
      </c>
      <c r="O328" s="34">
        <v>31.3</v>
      </c>
      <c r="P328">
        <v>1500</v>
      </c>
      <c r="Q328">
        <v>80</v>
      </c>
      <c r="R328" s="31">
        <v>0</v>
      </c>
      <c r="S328" s="30">
        <f>IFERROR(PROPERTIES[[#This Row],[TE_STARTING_KN]]/(PROPERTIES[[#This Row],[WEIGHT]]*9.81),0)</f>
        <v>0</v>
      </c>
      <c r="T328" s="30">
        <v>0.32</v>
      </c>
      <c r="U328" s="27">
        <f>ROUND(IF(IFERROR(PROPERTIES[[#This Row],[TE_COEFFICIENT_CALC]],0)=0,PROPERTIES[[#This Row],[TE_COEFFICIENT_MANUAL]],PROPERTIES[[#This Row],[TE_COEFFICIENT_CALC]]),3)</f>
        <v>0.32</v>
      </c>
      <c r="V328" s="6">
        <v>60</v>
      </c>
      <c r="W328" s="10">
        <v>164</v>
      </c>
      <c r="X328" s="10">
        <v>7</v>
      </c>
      <c r="Y328" s="11"/>
      <c r="Z328" t="s">
        <v>909</v>
      </c>
      <c r="AA328" t="s">
        <v>904</v>
      </c>
      <c r="AB328" s="2" t="s">
        <v>922</v>
      </c>
      <c r="AC328" s="10" t="s">
        <v>994</v>
      </c>
      <c r="AD328" s="10" t="s">
        <v>995</v>
      </c>
      <c r="AE328" s="11" t="str">
        <f>SUBSTITUTE(SUBSTITUTE(PROPERTIES[[#This Row],[PURCHASECOST_VALUE]], "PURCHASECOST_", ""), "_VALUE", "")</f>
        <v>METRO</v>
      </c>
      <c r="AF328" s="10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354</v>
      </c>
      <c r="B329">
        <v>2009</v>
      </c>
      <c r="C329">
        <v>1</v>
      </c>
      <c r="D329" t="s">
        <v>1900</v>
      </c>
      <c r="E329" t="str">
        <f>_xlfn.XLOOKUP(PROPERTIES[[#This Row],[COUNTRY]],COUNTRIES[COUNTRY_DESCRIPTION],COUNTRIES[COUNTRY_LABEL],"")</f>
        <v>JP</v>
      </c>
      <c r="F329" t="s">
        <v>19</v>
      </c>
      <c r="G329" t="s">
        <v>325</v>
      </c>
      <c r="H329">
        <v>140</v>
      </c>
      <c r="I329">
        <v>8</v>
      </c>
      <c r="J329">
        <v>8</v>
      </c>
      <c r="K329" s="2" t="s">
        <v>326</v>
      </c>
      <c r="L329">
        <f>_xlfn.XLOOKUP("LOADINGSPEEDDEF_"&amp;PROPERTIES[[#This Row],[LOADINGSPEED]],LOADINGSPEEDDEF[TYPE],LOADINGSPEEDDEF[SPEED])</f>
        <v>120</v>
      </c>
      <c r="M329" t="s">
        <v>21</v>
      </c>
      <c r="N329">
        <v>1</v>
      </c>
      <c r="O329" s="34">
        <v>31.5</v>
      </c>
      <c r="P329">
        <v>1820</v>
      </c>
      <c r="Q329">
        <v>70</v>
      </c>
      <c r="R329" s="31">
        <v>0</v>
      </c>
      <c r="S329" s="30">
        <f>IFERROR(PROPERTIES[[#This Row],[TE_STARTING_KN]]/(PROPERTIES[[#This Row],[WEIGHT]]*9.81),0)</f>
        <v>0</v>
      </c>
      <c r="T329" s="30">
        <v>0.3</v>
      </c>
      <c r="U329" s="27">
        <f>ROUND(IF(IFERROR(PROPERTIES[[#This Row],[TE_COEFFICIENT_CALC]],0)=0,PROPERTIES[[#This Row],[TE_COEFFICIENT_MANUAL]],PROPERTIES[[#This Row],[TE_COEFFICIENT_CALC]]),3)</f>
        <v>0.3</v>
      </c>
      <c r="V329" s="6">
        <v>60</v>
      </c>
      <c r="W329" s="10">
        <v>140</v>
      </c>
      <c r="X329" s="10">
        <v>8</v>
      </c>
      <c r="Y329" s="11"/>
      <c r="Z329" t="s">
        <v>913</v>
      </c>
      <c r="AA329" t="s">
        <v>904</v>
      </c>
      <c r="AB329" s="2" t="s">
        <v>922</v>
      </c>
      <c r="AC329" s="10" t="s">
        <v>994</v>
      </c>
      <c r="AD329" s="10" t="s">
        <v>995</v>
      </c>
      <c r="AE329" s="11" t="str">
        <f>SUBSTITUTE(SUBSTITUTE(PROPERTIES[[#This Row],[PURCHASECOST_VALUE]], "PURCHASECOST_", ""), "_VALUE", "")</f>
        <v>METRO</v>
      </c>
      <c r="AF329" s="10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355</v>
      </c>
      <c r="B330">
        <v>2012</v>
      </c>
      <c r="C330">
        <v>1</v>
      </c>
      <c r="D330" t="s">
        <v>1984</v>
      </c>
      <c r="E330" t="str">
        <f>_xlfn.XLOOKUP(PROPERTIES[[#This Row],[COUNTRY]],COUNTRIES[COUNTRY_DESCRIPTION],COUNTRIES[COUNTRY_LABEL],"")</f>
        <v>SG</v>
      </c>
      <c r="F330" t="s">
        <v>19</v>
      </c>
      <c r="G330" t="s">
        <v>325</v>
      </c>
      <c r="H330">
        <v>162</v>
      </c>
      <c r="I330">
        <v>8</v>
      </c>
      <c r="J330">
        <v>8</v>
      </c>
      <c r="K330" s="2" t="s">
        <v>326</v>
      </c>
      <c r="L330">
        <f>_xlfn.XLOOKUP("LOADINGSPEEDDEF_"&amp;PROPERTIES[[#This Row],[LOADINGSPEED]],LOADINGSPEEDDEF[TYPE],LOADINGSPEEDDEF[SPEED])</f>
        <v>120</v>
      </c>
      <c r="M330" t="s">
        <v>21</v>
      </c>
      <c r="N330">
        <v>1</v>
      </c>
      <c r="O330" s="34">
        <v>35</v>
      </c>
      <c r="P330">
        <v>1580</v>
      </c>
      <c r="Q330">
        <v>90</v>
      </c>
      <c r="R330" s="31">
        <v>0</v>
      </c>
      <c r="S330" s="30">
        <f>IFERROR(PROPERTIES[[#This Row],[TE_STARTING_KN]]/(PROPERTIES[[#This Row],[WEIGHT]]*9.81),0)</f>
        <v>0</v>
      </c>
      <c r="T330" s="30">
        <v>0.3</v>
      </c>
      <c r="U330" s="27">
        <f>ROUND(IF(IFERROR(PROPERTIES[[#This Row],[TE_COEFFICIENT_CALC]],0)=0,PROPERTIES[[#This Row],[TE_COEFFICIENT_MANUAL]],PROPERTIES[[#This Row],[TE_COEFFICIENT_CALC]]),3)</f>
        <v>0.3</v>
      </c>
      <c r="V330" s="6">
        <v>60</v>
      </c>
      <c r="W330" s="10">
        <v>250</v>
      </c>
      <c r="X330" s="10">
        <v>8</v>
      </c>
      <c r="Y330" s="11"/>
      <c r="Z330" t="s">
        <v>913</v>
      </c>
      <c r="AA330" t="s">
        <v>904</v>
      </c>
      <c r="AB330" s="2" t="s">
        <v>922</v>
      </c>
      <c r="AC330" s="10" t="s">
        <v>994</v>
      </c>
      <c r="AD330" s="10" t="s">
        <v>995</v>
      </c>
      <c r="AE330" s="11" t="str">
        <f>SUBSTITUTE(SUBSTITUTE(PROPERTIES[[#This Row],[PURCHASECOST_VALUE]], "PURCHASECOST_", ""), "_VALUE", "")</f>
        <v>METRO</v>
      </c>
      <c r="AF330" s="10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356</v>
      </c>
      <c r="B331">
        <v>2013</v>
      </c>
      <c r="C331">
        <v>1</v>
      </c>
      <c r="D331" t="s">
        <v>2019</v>
      </c>
      <c r="E331" t="str">
        <f>_xlfn.XLOOKUP(PROPERTIES[[#This Row],[COUNTRY]],COUNTRIES[COUNTRY_DESCRIPTION],COUNTRIES[COUNTRY_LABEL],"")</f>
        <v>US</v>
      </c>
      <c r="F331" t="s">
        <v>19</v>
      </c>
      <c r="G331" t="s">
        <v>325</v>
      </c>
      <c r="H331">
        <v>175</v>
      </c>
      <c r="I331">
        <v>8</v>
      </c>
      <c r="J331">
        <v>8</v>
      </c>
      <c r="K331" s="2" t="s">
        <v>326</v>
      </c>
      <c r="L331">
        <f>_xlfn.XLOOKUP("LOADINGSPEEDDEF_"&amp;PROPERTIES[[#This Row],[LOADINGSPEED]],LOADINGSPEEDDEF[TYPE],LOADINGSPEEDDEF[SPEED])</f>
        <v>120</v>
      </c>
      <c r="M331" t="s">
        <v>21</v>
      </c>
      <c r="N331">
        <v>1</v>
      </c>
      <c r="O331" s="34">
        <v>36.5</v>
      </c>
      <c r="P331">
        <v>1520</v>
      </c>
      <c r="Q331">
        <v>90</v>
      </c>
      <c r="R331" s="31">
        <v>0</v>
      </c>
      <c r="S331" s="30">
        <f>IFERROR(PROPERTIES[[#This Row],[TE_STARTING_KN]]/(PROPERTIES[[#This Row],[WEIGHT]]*9.81),0)</f>
        <v>0</v>
      </c>
      <c r="T331" s="30">
        <v>0.3</v>
      </c>
      <c r="U331" s="27">
        <f>ROUND(IF(IFERROR(PROPERTIES[[#This Row],[TE_COEFFICIENT_CALC]],0)=0,PROPERTIES[[#This Row],[TE_COEFFICIENT_MANUAL]],PROPERTIES[[#This Row],[TE_COEFFICIENT_CALC]]),3)</f>
        <v>0.3</v>
      </c>
      <c r="V331" s="6">
        <v>60</v>
      </c>
      <c r="W331" s="10">
        <v>184</v>
      </c>
      <c r="X331" s="10">
        <v>8</v>
      </c>
      <c r="Y331" s="11"/>
      <c r="Z331" t="s">
        <v>910</v>
      </c>
      <c r="AA331" t="s">
        <v>904</v>
      </c>
      <c r="AB331" s="2" t="s">
        <v>922</v>
      </c>
      <c r="AC331" s="10" t="s">
        <v>994</v>
      </c>
      <c r="AD331" s="10" t="s">
        <v>995</v>
      </c>
      <c r="AE331" s="11" t="str">
        <f>SUBSTITUTE(SUBSTITUTE(PROPERTIES[[#This Row],[PURCHASECOST_VALUE]], "PURCHASECOST_", ""), "_VALUE", "")</f>
        <v>METRO</v>
      </c>
      <c r="AF331" s="10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357</v>
      </c>
      <c r="B332">
        <v>2024</v>
      </c>
      <c r="C332">
        <v>1</v>
      </c>
      <c r="D332" t="s">
        <v>1875</v>
      </c>
      <c r="E332" t="str">
        <f>_xlfn.XLOOKUP(PROPERTIES[[#This Row],[COUNTRY]],COUNTRIES[COUNTRY_DESCRIPTION],COUNTRIES[COUNTRY_LABEL],"")</f>
        <v>GR</v>
      </c>
      <c r="F332" t="s">
        <v>19</v>
      </c>
      <c r="G332" t="s">
        <v>325</v>
      </c>
      <c r="H332">
        <v>115</v>
      </c>
      <c r="I332">
        <v>6</v>
      </c>
      <c r="J332">
        <v>6</v>
      </c>
      <c r="K332" s="2" t="s">
        <v>326</v>
      </c>
      <c r="L332">
        <f>_xlfn.XLOOKUP("LOADINGSPEEDDEF_"&amp;PROPERTIES[[#This Row],[LOADINGSPEED]],LOADINGSPEEDDEF[TYPE],LOADINGSPEEDDEF[SPEED])</f>
        <v>120</v>
      </c>
      <c r="M332" t="s">
        <v>21</v>
      </c>
      <c r="N332">
        <v>1</v>
      </c>
      <c r="O332" s="34">
        <v>27.5</v>
      </c>
      <c r="P332">
        <v>1360</v>
      </c>
      <c r="Q332">
        <v>80</v>
      </c>
      <c r="R332" s="31">
        <v>0</v>
      </c>
      <c r="S332" s="30">
        <f>IFERROR(PROPERTIES[[#This Row],[TE_STARTING_KN]]/(PROPERTIES[[#This Row],[WEIGHT]]*9.81),0)</f>
        <v>0</v>
      </c>
      <c r="T332" s="30">
        <v>0.3</v>
      </c>
      <c r="U332" s="27">
        <f>ROUND(IF(IFERROR(PROPERTIES[[#This Row],[TE_COEFFICIENT_CALC]],0)=0,PROPERTIES[[#This Row],[TE_COEFFICIENT_MANUAL]],PROPERTIES[[#This Row],[TE_COEFFICIENT_CALC]]),3)</f>
        <v>0.3</v>
      </c>
      <c r="V332" s="6">
        <v>60</v>
      </c>
      <c r="W332" s="10">
        <v>110</v>
      </c>
      <c r="X332" s="10">
        <v>6</v>
      </c>
      <c r="Y332" s="11"/>
      <c r="Z332" t="s">
        <v>906</v>
      </c>
      <c r="AA332" t="s">
        <v>904</v>
      </c>
      <c r="AB332" s="2" t="s">
        <v>922</v>
      </c>
      <c r="AC332" s="10" t="s">
        <v>994</v>
      </c>
      <c r="AD332" s="10" t="s">
        <v>995</v>
      </c>
      <c r="AE332" s="11" t="str">
        <f>SUBSTITUTE(SUBSTITUTE(PROPERTIES[[#This Row],[PURCHASECOST_VALUE]], "PURCHASECOST_", ""), "_VALUE", "")</f>
        <v>METRO</v>
      </c>
      <c r="AF332" s="10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358</v>
      </c>
      <c r="B333">
        <v>1901</v>
      </c>
      <c r="C333">
        <v>1</v>
      </c>
      <c r="D333" t="s">
        <v>1844</v>
      </c>
      <c r="E333" t="str">
        <f>_xlfn.XLOOKUP(PROPERTIES[[#This Row],[COUNTRY]],COUNTRIES[COUNTRY_DESCRIPTION],COUNTRIES[COUNTRY_LABEL],"")</f>
        <v>DE</v>
      </c>
      <c r="F333" t="s">
        <v>19</v>
      </c>
      <c r="G333" t="s">
        <v>325</v>
      </c>
      <c r="H333">
        <v>85</v>
      </c>
      <c r="I333">
        <v>5</v>
      </c>
      <c r="J333">
        <v>5</v>
      </c>
      <c r="K333" s="2" t="s">
        <v>326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4">
        <v>18.5</v>
      </c>
      <c r="P333">
        <v>320</v>
      </c>
      <c r="Q333">
        <v>50</v>
      </c>
      <c r="R333" s="31">
        <v>0</v>
      </c>
      <c r="S333" s="30">
        <f>IFERROR(PROPERTIES[[#This Row],[TE_STARTING_KN]]/(PROPERTIES[[#This Row],[WEIGHT]]*9.81),0)</f>
        <v>0</v>
      </c>
      <c r="T333" s="30">
        <v>0.18</v>
      </c>
      <c r="U333" s="27">
        <f>ROUND(IF(IFERROR(PROPERTIES[[#This Row],[TE_COEFFICIENT_CALC]],0)=0,PROPERTIES[[#This Row],[TE_COEFFICIENT_MANUAL]],PROPERTIES[[#This Row],[TE_COEFFICIENT_CALC]]),3)</f>
        <v>0.18</v>
      </c>
      <c r="V333" s="6">
        <v>60</v>
      </c>
      <c r="W333" s="10">
        <v>88</v>
      </c>
      <c r="X333" s="10">
        <v>5</v>
      </c>
      <c r="Y333" s="11"/>
      <c r="Z333" t="s">
        <v>905</v>
      </c>
      <c r="AA333" t="s">
        <v>904</v>
      </c>
      <c r="AB333" s="2" t="s">
        <v>922</v>
      </c>
      <c r="AC333" s="10" t="s">
        <v>994</v>
      </c>
      <c r="AD333" s="10" t="s">
        <v>995</v>
      </c>
      <c r="AE333" s="11" t="str">
        <f>SUBSTITUTE(SUBSTITUTE(PROPERTIES[[#This Row],[PURCHASECOST_VALUE]], "PURCHASECOST_", ""), "_VALUE", "")</f>
        <v>METRO</v>
      </c>
      <c r="AF333" s="10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359</v>
      </c>
      <c r="B334">
        <v>1910</v>
      </c>
      <c r="C334">
        <v>1</v>
      </c>
      <c r="D334" t="s">
        <v>2019</v>
      </c>
      <c r="E334" t="str">
        <f>_xlfn.XLOOKUP(PROPERTIES[[#This Row],[COUNTRY]],COUNTRIES[COUNTRY_DESCRIPTION],COUNTRIES[COUNTRY_LABEL],"")</f>
        <v>US</v>
      </c>
      <c r="F334" t="s">
        <v>19</v>
      </c>
      <c r="G334" t="s">
        <v>325</v>
      </c>
      <c r="H334">
        <v>100</v>
      </c>
      <c r="I334">
        <v>8</v>
      </c>
      <c r="J334">
        <v>8</v>
      </c>
      <c r="K334" s="2" t="s">
        <v>326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4">
        <v>38.5</v>
      </c>
      <c r="P334">
        <v>400</v>
      </c>
      <c r="Q334">
        <v>72</v>
      </c>
      <c r="R334" s="31">
        <v>0</v>
      </c>
      <c r="S334" s="30">
        <f>IFERROR(PROPERTIES[[#This Row],[TE_STARTING_KN]]/(PROPERTIES[[#This Row],[WEIGHT]]*9.81),0)</f>
        <v>0</v>
      </c>
      <c r="T334" s="30">
        <v>0.18</v>
      </c>
      <c r="U334" s="27">
        <f>ROUND(IF(IFERROR(PROPERTIES[[#This Row],[TE_COEFFICIENT_CALC]],0)=0,PROPERTIES[[#This Row],[TE_COEFFICIENT_MANUAL]],PROPERTIES[[#This Row],[TE_COEFFICIENT_CALC]]),3)</f>
        <v>0.18</v>
      </c>
      <c r="V334" s="6">
        <v>60</v>
      </c>
      <c r="W334" s="10">
        <v>128</v>
      </c>
      <c r="X334" s="10">
        <v>8</v>
      </c>
      <c r="Y334" s="11"/>
      <c r="Z334" t="s">
        <v>910</v>
      </c>
      <c r="AA334" t="s">
        <v>904</v>
      </c>
      <c r="AB334" s="2" t="s">
        <v>922</v>
      </c>
      <c r="AC334" s="10" t="s">
        <v>994</v>
      </c>
      <c r="AD334" s="10" t="s">
        <v>995</v>
      </c>
      <c r="AE334" s="11" t="str">
        <f>SUBSTITUTE(SUBSTITUTE(PROPERTIES[[#This Row],[PURCHASECOST_VALUE]], "PURCHASECOST_", ""), "_VALUE", "")</f>
        <v>METRO</v>
      </c>
      <c r="AF334" s="10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360</v>
      </c>
      <c r="B335">
        <v>1933</v>
      </c>
      <c r="C335">
        <v>1</v>
      </c>
      <c r="D335" t="s">
        <v>1900</v>
      </c>
      <c r="E335" t="str">
        <f>_xlfn.XLOOKUP(PROPERTIES[[#This Row],[COUNTRY]],COUNTRIES[COUNTRY_DESCRIPTION],COUNTRIES[COUNTRY_LABEL],"")</f>
        <v>JP</v>
      </c>
      <c r="F335" t="s">
        <v>19</v>
      </c>
      <c r="G335" t="s">
        <v>325</v>
      </c>
      <c r="H335">
        <v>120</v>
      </c>
      <c r="I335">
        <v>7</v>
      </c>
      <c r="J335">
        <v>7</v>
      </c>
      <c r="K335" s="2" t="s">
        <v>326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4">
        <v>40</v>
      </c>
      <c r="P335">
        <v>615</v>
      </c>
      <c r="Q335">
        <v>65</v>
      </c>
      <c r="R335" s="31">
        <v>0</v>
      </c>
      <c r="S335" s="30">
        <f>IFERROR(PROPERTIES[[#This Row],[TE_STARTING_KN]]/(PROPERTIES[[#This Row],[WEIGHT]]*9.81),0)</f>
        <v>0</v>
      </c>
      <c r="T335" s="30">
        <v>0.2</v>
      </c>
      <c r="U335" s="27">
        <f>ROUND(IF(IFERROR(PROPERTIES[[#This Row],[TE_COEFFICIENT_CALC]],0)=0,PROPERTIES[[#This Row],[TE_COEFFICIENT_MANUAL]],PROPERTIES[[#This Row],[TE_COEFFICIENT_CALC]]),3)</f>
        <v>0.2</v>
      </c>
      <c r="V335" s="6">
        <v>60</v>
      </c>
      <c r="W335" s="10">
        <v>145</v>
      </c>
      <c r="X335" s="10">
        <v>7</v>
      </c>
      <c r="Y335" s="11"/>
      <c r="Z335" t="s">
        <v>913</v>
      </c>
      <c r="AA335" t="s">
        <v>904</v>
      </c>
      <c r="AB335" s="2" t="s">
        <v>922</v>
      </c>
      <c r="AC335" s="10" t="s">
        <v>994</v>
      </c>
      <c r="AD335" s="10" t="s">
        <v>995</v>
      </c>
      <c r="AE335" s="11" t="str">
        <f>SUBSTITUTE(SUBSTITUTE(PROPERTIES[[#This Row],[PURCHASECOST_VALUE]], "PURCHASECOST_", ""), "_VALUE", "")</f>
        <v>METRO</v>
      </c>
      <c r="AF335" s="10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361</v>
      </c>
      <c r="B336">
        <v>1934</v>
      </c>
      <c r="C336">
        <v>1</v>
      </c>
      <c r="D336" t="s">
        <v>2038</v>
      </c>
      <c r="E336" t="str">
        <f>_xlfn.XLOOKUP(PROPERTIES[[#This Row],[COUNTRY]],COUNTRIES[COUNTRY_DESCRIPTION],COUNTRIES[COUNTRY_LABEL],"")</f>
        <v>SU</v>
      </c>
      <c r="F336" t="s">
        <v>19</v>
      </c>
      <c r="G336" t="s">
        <v>325</v>
      </c>
      <c r="H336">
        <v>135</v>
      </c>
      <c r="I336">
        <v>7</v>
      </c>
      <c r="J336">
        <v>7</v>
      </c>
      <c r="K336" s="2" t="s">
        <v>326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4">
        <v>41</v>
      </c>
      <c r="P336">
        <v>535</v>
      </c>
      <c r="Q336">
        <v>65</v>
      </c>
      <c r="R336" s="31">
        <v>0</v>
      </c>
      <c r="S336" s="30">
        <f>IFERROR(PROPERTIES[[#This Row],[TE_STARTING_KN]]/(PROPERTIES[[#This Row],[WEIGHT]]*9.81),0)</f>
        <v>0</v>
      </c>
      <c r="T336" s="30">
        <v>0.19</v>
      </c>
      <c r="U336" s="27">
        <f>ROUND(IF(IFERROR(PROPERTIES[[#This Row],[TE_COEFFICIENT_CALC]],0)=0,PROPERTIES[[#This Row],[TE_COEFFICIENT_MANUAL]],PROPERTIES[[#This Row],[TE_COEFFICIENT_CALC]]),3)</f>
        <v>0.19</v>
      </c>
      <c r="V336" s="6">
        <v>60</v>
      </c>
      <c r="W336" s="10">
        <v>131</v>
      </c>
      <c r="X336" s="10">
        <v>7</v>
      </c>
      <c r="Y336" s="11"/>
      <c r="Z336" t="s">
        <v>913</v>
      </c>
      <c r="AA336" t="s">
        <v>904</v>
      </c>
      <c r="AB336" s="2" t="s">
        <v>922</v>
      </c>
      <c r="AC336" s="10" t="s">
        <v>994</v>
      </c>
      <c r="AD336" s="10" t="s">
        <v>995</v>
      </c>
      <c r="AE336" s="11" t="str">
        <f>SUBSTITUTE(SUBSTITUTE(PROPERTIES[[#This Row],[PURCHASECOST_VALUE]], "PURCHASECOST_", ""), "_VALUE", "")</f>
        <v>METRO</v>
      </c>
      <c r="AF336" s="10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362</v>
      </c>
      <c r="B337">
        <v>1948</v>
      </c>
      <c r="C337">
        <v>1</v>
      </c>
      <c r="D337" t="s">
        <v>2019</v>
      </c>
      <c r="E337" t="str">
        <f>_xlfn.XLOOKUP(PROPERTIES[[#This Row],[COUNTRY]],COUNTRIES[COUNTRY_DESCRIPTION],COUNTRIES[COUNTRY_LABEL],"")</f>
        <v>US</v>
      </c>
      <c r="F337" t="s">
        <v>19</v>
      </c>
      <c r="G337" t="s">
        <v>325</v>
      </c>
      <c r="H337">
        <v>145</v>
      </c>
      <c r="I337">
        <v>8</v>
      </c>
      <c r="J337">
        <v>8</v>
      </c>
      <c r="K337" s="2" t="s">
        <v>326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4">
        <v>36.5</v>
      </c>
      <c r="P337">
        <v>800</v>
      </c>
      <c r="Q337">
        <v>88</v>
      </c>
      <c r="R337" s="31">
        <v>0</v>
      </c>
      <c r="S337" s="30">
        <f>IFERROR(PROPERTIES[[#This Row],[TE_STARTING_KN]]/(PROPERTIES[[#This Row],[WEIGHT]]*9.81),0)</f>
        <v>0</v>
      </c>
      <c r="T337" s="30">
        <v>0.21</v>
      </c>
      <c r="U337" s="27">
        <f>ROUND(IF(IFERROR(PROPERTIES[[#This Row],[TE_COEFFICIENT_CALC]],0)=0,PROPERTIES[[#This Row],[TE_COEFFICIENT_MANUAL]],PROPERTIES[[#This Row],[TE_COEFFICIENT_CALC]]),3)</f>
        <v>0.21</v>
      </c>
      <c r="V337" s="6">
        <v>60</v>
      </c>
      <c r="W337" s="10">
        <v>160</v>
      </c>
      <c r="X337" s="10">
        <v>8</v>
      </c>
      <c r="Y337" s="11"/>
      <c r="Z337" t="s">
        <v>910</v>
      </c>
      <c r="AA337" t="s">
        <v>904</v>
      </c>
      <c r="AB337" s="2" t="s">
        <v>922</v>
      </c>
      <c r="AC337" s="10" t="s">
        <v>994</v>
      </c>
      <c r="AD337" s="10" t="s">
        <v>995</v>
      </c>
      <c r="AE337" s="11" t="str">
        <f>SUBSTITUTE(SUBSTITUTE(PROPERTIES[[#This Row],[PURCHASECOST_VALUE]], "PURCHASECOST_", ""), "_VALUE", "")</f>
        <v>METRO</v>
      </c>
      <c r="AF337" s="10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363</v>
      </c>
      <c r="B338">
        <v>1954</v>
      </c>
      <c r="C338">
        <v>1</v>
      </c>
      <c r="D338" t="s">
        <v>1896</v>
      </c>
      <c r="E338" t="str">
        <f>_xlfn.XLOOKUP(PROPERTIES[[#This Row],[COUNTRY]],COUNTRIES[COUNTRY_DESCRIPTION],COUNTRIES[COUNTRY_LABEL],"")</f>
        <v>IT</v>
      </c>
      <c r="F338" t="s">
        <v>19</v>
      </c>
      <c r="G338" t="s">
        <v>325</v>
      </c>
      <c r="H338">
        <v>140</v>
      </c>
      <c r="I338">
        <v>7</v>
      </c>
      <c r="J338">
        <v>7</v>
      </c>
      <c r="K338" s="2" t="s">
        <v>326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4">
        <v>40</v>
      </c>
      <c r="P338">
        <v>830</v>
      </c>
      <c r="Q338">
        <v>100</v>
      </c>
      <c r="R338" s="31">
        <v>0</v>
      </c>
      <c r="S338" s="30">
        <f>IFERROR(PROPERTIES[[#This Row],[TE_STARTING_KN]]/(PROPERTIES[[#This Row],[WEIGHT]]*9.81),0)</f>
        <v>0</v>
      </c>
      <c r="T338" s="30">
        <v>0.21</v>
      </c>
      <c r="U338" s="27">
        <f>ROUND(IF(IFERROR(PROPERTIES[[#This Row],[TE_COEFFICIENT_CALC]],0)=0,PROPERTIES[[#This Row],[TE_COEFFICIENT_MANUAL]],PROPERTIES[[#This Row],[TE_COEFFICIENT_CALC]]),3)</f>
        <v>0.21</v>
      </c>
      <c r="V338" s="6">
        <v>60</v>
      </c>
      <c r="W338" s="10">
        <v>156</v>
      </c>
      <c r="X338" s="10">
        <v>7</v>
      </c>
      <c r="Y338" s="11"/>
      <c r="Z338" t="s">
        <v>906</v>
      </c>
      <c r="AA338" t="s">
        <v>904</v>
      </c>
      <c r="AB338" s="2" t="s">
        <v>922</v>
      </c>
      <c r="AC338" s="10" t="s">
        <v>994</v>
      </c>
      <c r="AD338" s="10" t="s">
        <v>995</v>
      </c>
      <c r="AE338" s="11" t="str">
        <f>SUBSTITUTE(SUBSTITUTE(PROPERTIES[[#This Row],[PURCHASECOST_VALUE]], "PURCHASECOST_", ""), "_VALUE", "")</f>
        <v>METRO</v>
      </c>
      <c r="AF338" s="10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364</v>
      </c>
      <c r="B339">
        <v>1955</v>
      </c>
      <c r="C339">
        <v>1</v>
      </c>
      <c r="D339" t="s">
        <v>2038</v>
      </c>
      <c r="E339" t="str">
        <f>_xlfn.XLOOKUP(PROPERTIES[[#This Row],[COUNTRY]],COUNTRIES[COUNTRY_DESCRIPTION],COUNTRIES[COUNTRY_LABEL],"")</f>
        <v>SU</v>
      </c>
      <c r="F339" t="s">
        <v>19</v>
      </c>
      <c r="G339" t="s">
        <v>325</v>
      </c>
      <c r="H339">
        <v>140</v>
      </c>
      <c r="I339">
        <v>8</v>
      </c>
      <c r="J339">
        <v>8</v>
      </c>
      <c r="K339" s="2" t="s">
        <v>326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4">
        <v>36.200000000000003</v>
      </c>
      <c r="P339">
        <v>760</v>
      </c>
      <c r="Q339">
        <v>75</v>
      </c>
      <c r="R339" s="31">
        <v>0</v>
      </c>
      <c r="S339" s="30">
        <f>IFERROR(PROPERTIES[[#This Row],[TE_STARTING_KN]]/(PROPERTIES[[#This Row],[WEIGHT]]*9.81),0)</f>
        <v>0</v>
      </c>
      <c r="T339" s="30">
        <v>0.21</v>
      </c>
      <c r="U339" s="27">
        <f>ROUND(IF(IFERROR(PROPERTIES[[#This Row],[TE_COEFFICIENT_CALC]],0)=0,PROPERTIES[[#This Row],[TE_COEFFICIENT_MANUAL]],PROPERTIES[[#This Row],[TE_COEFFICIENT_CALC]]),3)</f>
        <v>0.21</v>
      </c>
      <c r="V339" s="6">
        <v>60</v>
      </c>
      <c r="W339" s="10">
        <v>132</v>
      </c>
      <c r="X339" s="10">
        <v>8</v>
      </c>
      <c r="Y339" s="11"/>
      <c r="Z339" t="s">
        <v>913</v>
      </c>
      <c r="AA339" t="s">
        <v>904</v>
      </c>
      <c r="AB339" s="2" t="s">
        <v>922</v>
      </c>
      <c r="AC339" s="10" t="s">
        <v>994</v>
      </c>
      <c r="AD339" s="10" t="s">
        <v>995</v>
      </c>
      <c r="AE339" s="11" t="str">
        <f>SUBSTITUTE(SUBSTITUTE(PROPERTIES[[#This Row],[PURCHASECOST_VALUE]], "PURCHASECOST_", ""), "_VALUE", "")</f>
        <v>METRO</v>
      </c>
      <c r="AF339" s="10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365</v>
      </c>
      <c r="B340">
        <v>1968</v>
      </c>
      <c r="C340">
        <v>1</v>
      </c>
      <c r="D340" t="s">
        <v>1952</v>
      </c>
      <c r="E340" t="str">
        <f>_xlfn.XLOOKUP(PROPERTIES[[#This Row],[COUNTRY]],COUNTRIES[COUNTRY_DESCRIPTION],COUNTRIES[COUNTRY_LABEL],"")</f>
        <v>NL</v>
      </c>
      <c r="F340" t="s">
        <v>19</v>
      </c>
      <c r="G340" t="s">
        <v>325</v>
      </c>
      <c r="H340">
        <v>140</v>
      </c>
      <c r="I340">
        <v>7</v>
      </c>
      <c r="J340">
        <v>7</v>
      </c>
      <c r="K340" s="2" t="s">
        <v>326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4">
        <v>25</v>
      </c>
      <c r="P340">
        <v>630</v>
      </c>
      <c r="Q340">
        <v>80</v>
      </c>
      <c r="R340" s="31">
        <v>0</v>
      </c>
      <c r="S340" s="30">
        <f>IFERROR(PROPERTIES[[#This Row],[TE_STARTING_KN]]/(PROPERTIES[[#This Row],[WEIGHT]]*9.81),0)</f>
        <v>0</v>
      </c>
      <c r="T340" s="30">
        <v>0.23</v>
      </c>
      <c r="U340" s="27">
        <f>ROUND(IF(IFERROR(PROPERTIES[[#This Row],[TE_COEFFICIENT_CALC]],0)=0,PROPERTIES[[#This Row],[TE_COEFFICIENT_MANUAL]],PROPERTIES[[#This Row],[TE_COEFFICIENT_CALC]]),3)</f>
        <v>0.23</v>
      </c>
      <c r="V340" s="6">
        <v>60</v>
      </c>
      <c r="W340" s="10">
        <v>235</v>
      </c>
      <c r="X340" s="10">
        <v>7</v>
      </c>
      <c r="Y340" s="11"/>
      <c r="Z340" t="s">
        <v>905</v>
      </c>
      <c r="AA340" t="s">
        <v>904</v>
      </c>
      <c r="AB340" s="2" t="s">
        <v>922</v>
      </c>
      <c r="AC340" s="10" t="s">
        <v>994</v>
      </c>
      <c r="AD340" s="10" t="s">
        <v>995</v>
      </c>
      <c r="AE340" s="11" t="str">
        <f>SUBSTITUTE(SUBSTITUTE(PROPERTIES[[#This Row],[PURCHASECOST_VALUE]], "PURCHASECOST_", ""), "_VALUE", "")</f>
        <v>METRO</v>
      </c>
      <c r="AF340" s="10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366</v>
      </c>
      <c r="B341">
        <v>1972</v>
      </c>
      <c r="C341">
        <v>1</v>
      </c>
      <c r="D341" t="s">
        <v>1843</v>
      </c>
      <c r="E341" t="str">
        <f>_xlfn.XLOOKUP(PROPERTIES[[#This Row],[COUNTRY]],COUNTRIES[COUNTRY_DESCRIPTION],COUNTRIES[COUNTRY_LABEL],"")</f>
        <v>CZ</v>
      </c>
      <c r="F341" t="s">
        <v>19</v>
      </c>
      <c r="G341" t="s">
        <v>325</v>
      </c>
      <c r="H341">
        <v>131</v>
      </c>
      <c r="I341">
        <v>8</v>
      </c>
      <c r="J341">
        <v>8</v>
      </c>
      <c r="K341" s="2" t="s">
        <v>326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4">
        <v>32.5</v>
      </c>
      <c r="P341">
        <v>910</v>
      </c>
      <c r="Q341">
        <v>80</v>
      </c>
      <c r="R341" s="31">
        <v>0</v>
      </c>
      <c r="S341" s="30">
        <f>IFERROR(PROPERTIES[[#This Row],[TE_STARTING_KN]]/(PROPERTIES[[#This Row],[WEIGHT]]*9.81),0)</f>
        <v>0</v>
      </c>
      <c r="T341" s="30">
        <v>0.25</v>
      </c>
      <c r="U341" s="27">
        <f>ROUND(IF(IFERROR(PROPERTIES[[#This Row],[TE_COEFFICIENT_CALC]],0)=0,PROPERTIES[[#This Row],[TE_COEFFICIENT_MANUAL]],PROPERTIES[[#This Row],[TE_COEFFICIENT_CALC]]),3)</f>
        <v>0.25</v>
      </c>
      <c r="V341" s="6">
        <v>60</v>
      </c>
      <c r="W341" s="10">
        <v>150</v>
      </c>
      <c r="X341" s="10">
        <v>8</v>
      </c>
      <c r="Y341" s="11"/>
      <c r="Z341" t="s">
        <v>911</v>
      </c>
      <c r="AA341" t="s">
        <v>904</v>
      </c>
      <c r="AB341" s="2" t="s">
        <v>922</v>
      </c>
      <c r="AC341" s="10" t="s">
        <v>994</v>
      </c>
      <c r="AD341" s="10" t="s">
        <v>995</v>
      </c>
      <c r="AE341" s="11" t="str">
        <f>SUBSTITUTE(SUBSTITUTE(PROPERTIES[[#This Row],[PURCHASECOST_VALUE]], "PURCHASECOST_", ""), "_VALUE", "")</f>
        <v>METRO</v>
      </c>
      <c r="AF341" s="10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367</v>
      </c>
      <c r="B342">
        <v>1999</v>
      </c>
      <c r="C342">
        <v>1</v>
      </c>
      <c r="D342" t="s">
        <v>1797</v>
      </c>
      <c r="E342" t="str">
        <f>_xlfn.XLOOKUP(PROPERTIES[[#This Row],[COUNTRY]],COUNTRIES[COUNTRY_DESCRIPTION],COUNTRIES[COUNTRY_LABEL],"")</f>
        <v>AR</v>
      </c>
      <c r="F342" t="s">
        <v>19</v>
      </c>
      <c r="G342" t="s">
        <v>325</v>
      </c>
      <c r="H342">
        <v>115</v>
      </c>
      <c r="I342">
        <v>7</v>
      </c>
      <c r="J342">
        <v>7</v>
      </c>
      <c r="K342" s="2" t="s">
        <v>326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4">
        <v>23.5</v>
      </c>
      <c r="P342">
        <v>640</v>
      </c>
      <c r="Q342">
        <v>75</v>
      </c>
      <c r="R342" s="31">
        <v>0</v>
      </c>
      <c r="S342" s="30">
        <f>IFERROR(PROPERTIES[[#This Row],[TE_STARTING_KN]]/(PROPERTIES[[#This Row],[WEIGHT]]*9.81),0)</f>
        <v>0</v>
      </c>
      <c r="T342" s="30">
        <v>0.23</v>
      </c>
      <c r="U342" s="27">
        <f>ROUND(IF(IFERROR(PROPERTIES[[#This Row],[TE_COEFFICIENT_CALC]],0)=0,PROPERTIES[[#This Row],[TE_COEFFICIENT_MANUAL]],PROPERTIES[[#This Row],[TE_COEFFICIENT_CALC]]),3)</f>
        <v>0.23</v>
      </c>
      <c r="V342" s="6">
        <v>40</v>
      </c>
      <c r="W342" s="10">
        <v>162</v>
      </c>
      <c r="X342" s="10">
        <v>7</v>
      </c>
      <c r="Y342" s="11"/>
      <c r="Z342" t="s">
        <v>912</v>
      </c>
      <c r="AA342" t="s">
        <v>904</v>
      </c>
      <c r="AB342" s="2" t="s">
        <v>922</v>
      </c>
      <c r="AC342" s="10" t="s">
        <v>994</v>
      </c>
      <c r="AD342" s="10" t="s">
        <v>995</v>
      </c>
      <c r="AE342" s="11" t="str">
        <f>SUBSTITUTE(SUBSTITUTE(PROPERTIES[[#This Row],[PURCHASECOST_VALUE]], "PURCHASECOST_", ""), "_VALUE", "")</f>
        <v>METRO</v>
      </c>
      <c r="AF342" s="10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368</v>
      </c>
      <c r="B343">
        <v>1996</v>
      </c>
      <c r="C343">
        <v>1</v>
      </c>
      <c r="D343" t="s">
        <v>1833</v>
      </c>
      <c r="E343" t="str">
        <f>_xlfn.XLOOKUP(PROPERTIES[[#This Row],[COUNTRY]],COUNTRIES[COUNTRY_DESCRIPTION],COUNTRIES[COUNTRY_LABEL],"")</f>
        <v>CL</v>
      </c>
      <c r="F343" t="s">
        <v>19</v>
      </c>
      <c r="G343" t="s">
        <v>325</v>
      </c>
      <c r="H343">
        <v>160</v>
      </c>
      <c r="I343">
        <v>7</v>
      </c>
      <c r="J343">
        <v>7</v>
      </c>
      <c r="K343" s="2" t="s">
        <v>326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4">
        <v>24.5</v>
      </c>
      <c r="P343">
        <v>2400</v>
      </c>
      <c r="Q343">
        <v>100</v>
      </c>
      <c r="R343" s="31">
        <v>0</v>
      </c>
      <c r="S343" s="30">
        <f>IFERROR(PROPERTIES[[#This Row],[TE_STARTING_KN]]/(PROPERTIES[[#This Row],[WEIGHT]]*9.81),0)</f>
        <v>0</v>
      </c>
      <c r="T343" s="30">
        <v>0.35</v>
      </c>
      <c r="U343" s="27">
        <f>ROUND(IF(IFERROR(PROPERTIES[[#This Row],[TE_COEFFICIENT_CALC]],0)=0,PROPERTIES[[#This Row],[TE_COEFFICIENT_MANUAL]],PROPERTIES[[#This Row],[TE_COEFFICIENT_CALC]]),3)</f>
        <v>0.35</v>
      </c>
      <c r="V343" s="6">
        <v>40</v>
      </c>
      <c r="W343" s="10">
        <v>116</v>
      </c>
      <c r="X343" s="10">
        <v>7</v>
      </c>
      <c r="Y343" s="11"/>
      <c r="Z343" t="s">
        <v>912</v>
      </c>
      <c r="AA343" t="s">
        <v>904</v>
      </c>
      <c r="AB343" s="2" t="s">
        <v>922</v>
      </c>
      <c r="AC343" s="10" t="s">
        <v>994</v>
      </c>
      <c r="AD343" s="10" t="s">
        <v>995</v>
      </c>
      <c r="AE343" s="11" t="str">
        <f>SUBSTITUTE(SUBSTITUTE(PROPERTIES[[#This Row],[PURCHASECOST_VALUE]], "PURCHASECOST_", ""), "_VALUE", "")</f>
        <v>METRO</v>
      </c>
      <c r="AF343" s="10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369</v>
      </c>
      <c r="B344">
        <v>2004</v>
      </c>
      <c r="C344">
        <v>1</v>
      </c>
      <c r="D344" t="s">
        <v>1833</v>
      </c>
      <c r="E344" t="str">
        <f>_xlfn.XLOOKUP(PROPERTIES[[#This Row],[COUNTRY]],COUNTRIES[COUNTRY_DESCRIPTION],COUNTRIES[COUNTRY_LABEL],"")</f>
        <v>CL</v>
      </c>
      <c r="F344" t="s">
        <v>19</v>
      </c>
      <c r="G344" t="s">
        <v>325</v>
      </c>
      <c r="H344">
        <v>175</v>
      </c>
      <c r="I344">
        <v>8</v>
      </c>
      <c r="J344">
        <v>8</v>
      </c>
      <c r="K344" s="2" t="s">
        <v>326</v>
      </c>
      <c r="L344">
        <f>_xlfn.XLOOKUP("LOADINGSPEEDDEF_"&amp;PROPERTIES[[#This Row],[LOADINGSPEED]],LOADINGSPEEDDEF[TYPE],LOADINGSPEEDDEF[SPEED])</f>
        <v>120</v>
      </c>
      <c r="M344" t="s">
        <v>21</v>
      </c>
      <c r="N344">
        <v>1</v>
      </c>
      <c r="O344" s="34">
        <v>32</v>
      </c>
      <c r="P344">
        <v>1550</v>
      </c>
      <c r="Q344">
        <v>100</v>
      </c>
      <c r="R344" s="31">
        <v>0</v>
      </c>
      <c r="S344" s="30">
        <f>IFERROR(PROPERTIES[[#This Row],[TE_STARTING_KN]]/(PROPERTIES[[#This Row],[WEIGHT]]*9.81),0)</f>
        <v>0</v>
      </c>
      <c r="T344" s="30">
        <v>0.28000000000000003</v>
      </c>
      <c r="U344" s="27">
        <f>ROUND(IF(IFERROR(PROPERTIES[[#This Row],[TE_COEFFICIENT_CALC]],0)=0,PROPERTIES[[#This Row],[TE_COEFFICIENT_MANUAL]],PROPERTIES[[#This Row],[TE_COEFFICIENT_CALC]]),3)</f>
        <v>0.28000000000000003</v>
      </c>
      <c r="V344" s="6">
        <v>40</v>
      </c>
      <c r="W344" s="10">
        <v>196</v>
      </c>
      <c r="X344" s="10">
        <v>8</v>
      </c>
      <c r="Y344" s="11"/>
      <c r="Z344" t="s">
        <v>912</v>
      </c>
      <c r="AA344" t="s">
        <v>904</v>
      </c>
      <c r="AB344" s="2" t="s">
        <v>922</v>
      </c>
      <c r="AC344" s="10" t="s">
        <v>994</v>
      </c>
      <c r="AD344" s="10" t="s">
        <v>995</v>
      </c>
      <c r="AE344" s="11" t="str">
        <f>SUBSTITUTE(SUBSTITUTE(PROPERTIES[[#This Row],[PURCHASECOST_VALUE]], "PURCHASECOST_", ""), "_VALUE", "")</f>
        <v>METRO</v>
      </c>
      <c r="AF344" s="10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370</v>
      </c>
      <c r="B345">
        <v>2008</v>
      </c>
      <c r="C345">
        <v>1</v>
      </c>
      <c r="D345" t="s">
        <v>1818</v>
      </c>
      <c r="E345" t="str">
        <f>_xlfn.XLOOKUP(PROPERTIES[[#This Row],[COUNTRY]],COUNTRIES[COUNTRY_DESCRIPTION],COUNTRIES[COUNTRY_LABEL],"")</f>
        <v>BR</v>
      </c>
      <c r="F345" t="s">
        <v>19</v>
      </c>
      <c r="G345" t="s">
        <v>325</v>
      </c>
      <c r="H345">
        <v>150</v>
      </c>
      <c r="I345">
        <v>8</v>
      </c>
      <c r="J345">
        <v>8</v>
      </c>
      <c r="K345" s="2" t="s">
        <v>326</v>
      </c>
      <c r="L345">
        <f>_xlfn.XLOOKUP("LOADINGSPEEDDEF_"&amp;PROPERTIES[[#This Row],[LOADINGSPEED]],LOADINGSPEEDDEF[TYPE],LOADINGSPEEDDEF[SPEED])</f>
        <v>120</v>
      </c>
      <c r="M345" t="s">
        <v>21</v>
      </c>
      <c r="N345">
        <v>1</v>
      </c>
      <c r="O345" s="34">
        <v>28</v>
      </c>
      <c r="P345">
        <v>1000</v>
      </c>
      <c r="Q345">
        <v>80</v>
      </c>
      <c r="R345" s="31">
        <v>0</v>
      </c>
      <c r="S345" s="30">
        <f>IFERROR(PROPERTIES[[#This Row],[TE_STARTING_KN]]/(PROPERTIES[[#This Row],[WEIGHT]]*9.81),0)</f>
        <v>0</v>
      </c>
      <c r="T345" s="30">
        <v>0.24</v>
      </c>
      <c r="U345" s="27">
        <f>ROUND(IF(IFERROR(PROPERTIES[[#This Row],[TE_COEFFICIENT_CALC]],0)=0,PROPERTIES[[#This Row],[TE_COEFFICIENT_MANUAL]],PROPERTIES[[#This Row],[TE_COEFFICIENT_CALC]]),3)</f>
        <v>0.24</v>
      </c>
      <c r="V345" s="6">
        <v>40</v>
      </c>
      <c r="W345" s="10">
        <v>182</v>
      </c>
      <c r="X345" s="10">
        <v>8</v>
      </c>
      <c r="Y345" s="11"/>
      <c r="Z345" t="s">
        <v>912</v>
      </c>
      <c r="AA345" t="s">
        <v>904</v>
      </c>
      <c r="AB345" s="2" t="s">
        <v>922</v>
      </c>
      <c r="AC345" s="10" t="s">
        <v>994</v>
      </c>
      <c r="AD345" s="10" t="s">
        <v>995</v>
      </c>
      <c r="AE345" s="11" t="str">
        <f>SUBSTITUTE(SUBSTITUTE(PROPERTIES[[#This Row],[PURCHASECOST_VALUE]], "PURCHASECOST_", ""), "_VALUE", "")</f>
        <v>METRO</v>
      </c>
      <c r="AF345" s="10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371</v>
      </c>
      <c r="B346">
        <v>1974</v>
      </c>
      <c r="C346">
        <v>1</v>
      </c>
      <c r="D346" t="s">
        <v>1855</v>
      </c>
      <c r="E346" t="str">
        <f>_xlfn.XLOOKUP(PROPERTIES[[#This Row],[COUNTRY]],COUNTRIES[COUNTRY_DESCRIPTION],COUNTRIES[COUNTRY_LABEL],"")</f>
        <v>ES</v>
      </c>
      <c r="F346" t="s">
        <v>19</v>
      </c>
      <c r="G346" t="s">
        <v>325</v>
      </c>
      <c r="H346">
        <v>160</v>
      </c>
      <c r="I346">
        <v>8</v>
      </c>
      <c r="J346">
        <v>8</v>
      </c>
      <c r="K346" s="2" t="s">
        <v>24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4">
        <v>32</v>
      </c>
      <c r="P346">
        <v>1100</v>
      </c>
      <c r="Q346">
        <v>80</v>
      </c>
      <c r="R346" s="31">
        <v>0</v>
      </c>
      <c r="S346" s="30">
        <f>IFERROR(PROPERTIES[[#This Row],[TE_STARTING_KN]]/(PROPERTIES[[#This Row],[WEIGHT]]*9.81),0)</f>
        <v>0</v>
      </c>
      <c r="T346" s="30">
        <v>0.24</v>
      </c>
      <c r="U346" s="27">
        <f>ROUND(IF(IFERROR(PROPERTIES[[#This Row],[TE_COEFFICIENT_CALC]],0)=0,PROPERTIES[[#This Row],[TE_COEFFICIENT_MANUAL]],PROPERTIES[[#This Row],[TE_COEFFICIENT_CALC]]),3)</f>
        <v>0.24</v>
      </c>
      <c r="V346" s="6">
        <v>40</v>
      </c>
      <c r="W346" s="10">
        <v>192</v>
      </c>
      <c r="X346" s="10">
        <v>8</v>
      </c>
      <c r="Y346" s="11"/>
      <c r="Z346" t="s">
        <v>906</v>
      </c>
      <c r="AA346" t="s">
        <v>904</v>
      </c>
      <c r="AB346" s="2" t="s">
        <v>922</v>
      </c>
      <c r="AC346" s="10" t="s">
        <v>994</v>
      </c>
      <c r="AD346" s="10" t="s">
        <v>995</v>
      </c>
      <c r="AE346" s="11" t="str">
        <f>SUBSTITUTE(SUBSTITUTE(PROPERTIES[[#This Row],[PURCHASECOST_VALUE]], "PURCHASECOST_", ""), "_VALUE", "")</f>
        <v>METRO</v>
      </c>
      <c r="AF346" s="10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372</v>
      </c>
      <c r="B347">
        <v>1999</v>
      </c>
      <c r="C347">
        <v>1</v>
      </c>
      <c r="D347" t="s">
        <v>1896</v>
      </c>
      <c r="E347" t="str">
        <f>_xlfn.XLOOKUP(PROPERTIES[[#This Row],[COUNTRY]],COUNTRIES[COUNTRY_DESCRIPTION],COUNTRIES[COUNTRY_LABEL],"")</f>
        <v>IT</v>
      </c>
      <c r="F347" t="s">
        <v>19</v>
      </c>
      <c r="G347" t="s">
        <v>325</v>
      </c>
      <c r="H347">
        <v>210</v>
      </c>
      <c r="I347">
        <v>8</v>
      </c>
      <c r="J347">
        <v>8</v>
      </c>
      <c r="K347" s="2" t="s">
        <v>24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4">
        <v>31.5</v>
      </c>
      <c r="P347">
        <v>1650</v>
      </c>
      <c r="Q347">
        <v>80</v>
      </c>
      <c r="R347" s="31">
        <v>0</v>
      </c>
      <c r="S347" s="30">
        <f>IFERROR(PROPERTIES[[#This Row],[TE_STARTING_KN]]/(PROPERTIES[[#This Row],[WEIGHT]]*9.81),0)</f>
        <v>0</v>
      </c>
      <c r="T347" s="30">
        <v>0.3</v>
      </c>
      <c r="U347" s="27">
        <f>ROUND(IF(IFERROR(PROPERTIES[[#This Row],[TE_COEFFICIENT_CALC]],0)=0,PROPERTIES[[#This Row],[TE_COEFFICIENT_MANUAL]],PROPERTIES[[#This Row],[TE_COEFFICIENT_CALC]]),3)</f>
        <v>0.3</v>
      </c>
      <c r="V347" s="6">
        <v>40</v>
      </c>
      <c r="W347" s="10">
        <v>194</v>
      </c>
      <c r="X347" s="10">
        <v>8</v>
      </c>
      <c r="Y347" s="11"/>
      <c r="Z347" t="s">
        <v>906</v>
      </c>
      <c r="AA347" t="s">
        <v>904</v>
      </c>
      <c r="AB347" s="2" t="s">
        <v>922</v>
      </c>
      <c r="AC347" s="10" t="s">
        <v>994</v>
      </c>
      <c r="AD347" s="10" t="s">
        <v>995</v>
      </c>
      <c r="AE347" s="11" t="str">
        <f>SUBSTITUTE(SUBSTITUTE(PROPERTIES[[#This Row],[PURCHASECOST_VALUE]], "PURCHASECOST_", ""), "_VALUE", "")</f>
        <v>METRO</v>
      </c>
      <c r="AF347" s="10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373</v>
      </c>
      <c r="B348">
        <v>2011</v>
      </c>
      <c r="C348">
        <v>1</v>
      </c>
      <c r="D348" t="s">
        <v>1849</v>
      </c>
      <c r="E348" t="str">
        <f>_xlfn.XLOOKUP(PROPERTIES[[#This Row],[COUNTRY]],COUNTRIES[COUNTRY_DESCRIPTION],COUNTRIES[COUNTRY_LABEL],"")</f>
        <v>DZ</v>
      </c>
      <c r="F348" t="s">
        <v>19</v>
      </c>
      <c r="G348" t="s">
        <v>325</v>
      </c>
      <c r="H348">
        <v>165</v>
      </c>
      <c r="I348">
        <v>7</v>
      </c>
      <c r="J348">
        <v>7</v>
      </c>
      <c r="K348" s="2" t="s">
        <v>24</v>
      </c>
      <c r="L348">
        <f>_xlfn.XLOOKUP("LOADINGSPEEDDEF_"&amp;PROPERTIES[[#This Row],[LOADINGSPEED]],LOADINGSPEEDDEF[TYPE],LOADINGSPEEDDEF[SPEED])</f>
        <v>40</v>
      </c>
      <c r="M348" t="s">
        <v>21</v>
      </c>
      <c r="N348">
        <v>1</v>
      </c>
      <c r="O348" s="34">
        <v>25.5</v>
      </c>
      <c r="P348">
        <v>1450</v>
      </c>
      <c r="Q348">
        <v>80</v>
      </c>
      <c r="R348" s="31">
        <v>0</v>
      </c>
      <c r="S348" s="30">
        <f>IFERROR(PROPERTIES[[#This Row],[TE_STARTING_KN]]/(PROPERTIES[[#This Row],[WEIGHT]]*9.81),0)</f>
        <v>0</v>
      </c>
      <c r="T348" s="30">
        <v>0.3</v>
      </c>
      <c r="U348" s="27">
        <f>ROUND(IF(IFERROR(PROPERTIES[[#This Row],[TE_COEFFICIENT_CALC]],0)=0,PROPERTIES[[#This Row],[TE_COEFFICIENT_MANUAL]],PROPERTIES[[#This Row],[TE_COEFFICIENT_CALC]]),3)</f>
        <v>0.3</v>
      </c>
      <c r="V348" s="6">
        <v>40</v>
      </c>
      <c r="W348" s="10">
        <v>215</v>
      </c>
      <c r="X348" s="10">
        <v>7</v>
      </c>
      <c r="Y348" s="11"/>
      <c r="Z348" t="s">
        <v>908</v>
      </c>
      <c r="AA348" t="s">
        <v>904</v>
      </c>
      <c r="AB348" s="2" t="s">
        <v>922</v>
      </c>
      <c r="AC348" s="10" t="s">
        <v>994</v>
      </c>
      <c r="AD348" s="10" t="s">
        <v>995</v>
      </c>
      <c r="AE348" s="11" t="str">
        <f>SUBSTITUTE(SUBSTITUTE(PROPERTIES[[#This Row],[PURCHASECOST_VALUE]], "PURCHASECOST_", ""), "_VALUE", "")</f>
        <v>METRO</v>
      </c>
      <c r="AF348" s="10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374</v>
      </c>
      <c r="B349">
        <v>2015</v>
      </c>
      <c r="C349">
        <v>1</v>
      </c>
      <c r="D349" t="s">
        <v>1844</v>
      </c>
      <c r="E349" t="str">
        <f>_xlfn.XLOOKUP(PROPERTIES[[#This Row],[COUNTRY]],COUNTRIES[COUNTRY_DESCRIPTION],COUNTRIES[COUNTRY_LABEL],"")</f>
        <v>DE</v>
      </c>
      <c r="F349" t="s">
        <v>19</v>
      </c>
      <c r="G349" t="s">
        <v>325</v>
      </c>
      <c r="H349">
        <v>125</v>
      </c>
      <c r="I349">
        <v>8</v>
      </c>
      <c r="J349">
        <v>8</v>
      </c>
      <c r="K349" s="2" t="s">
        <v>24</v>
      </c>
      <c r="L349">
        <f>_xlfn.XLOOKUP("LOADINGSPEEDDEF_"&amp;PROPERTIES[[#This Row],[LOADINGSPEED]],LOADINGSPEEDDEF[TYPE],LOADINGSPEEDDEF[SPEED])</f>
        <v>40</v>
      </c>
      <c r="M349" t="s">
        <v>21</v>
      </c>
      <c r="N349">
        <v>1</v>
      </c>
      <c r="O349" s="34">
        <v>21.5</v>
      </c>
      <c r="P349">
        <v>440</v>
      </c>
      <c r="Q349">
        <v>80</v>
      </c>
      <c r="R349" s="31">
        <v>0</v>
      </c>
      <c r="S349" s="30">
        <f>IFERROR(PROPERTIES[[#This Row],[TE_STARTING_KN]]/(PROPERTIES[[#This Row],[WEIGHT]]*9.81),0)</f>
        <v>0</v>
      </c>
      <c r="T349" s="30">
        <v>0.22</v>
      </c>
      <c r="U349" s="27">
        <f>ROUND(IF(IFERROR(PROPERTIES[[#This Row],[TE_COEFFICIENT_CALC]],0)=0,PROPERTIES[[#This Row],[TE_COEFFICIENT_MANUAL]],PROPERTIES[[#This Row],[TE_COEFFICIENT_CALC]]),3)</f>
        <v>0.22</v>
      </c>
      <c r="V349" s="6">
        <v>40</v>
      </c>
      <c r="W349" s="10">
        <v>145</v>
      </c>
      <c r="X349" s="10">
        <v>8</v>
      </c>
      <c r="Y349" s="11"/>
      <c r="Z349" t="s">
        <v>905</v>
      </c>
      <c r="AA349" t="s">
        <v>904</v>
      </c>
      <c r="AB349" s="2" t="s">
        <v>922</v>
      </c>
      <c r="AC349" s="10" t="s">
        <v>994</v>
      </c>
      <c r="AD349" s="10" t="s">
        <v>995</v>
      </c>
      <c r="AE349" s="11" t="str">
        <f>SUBSTITUTE(SUBSTITUTE(PROPERTIES[[#This Row],[PURCHASECOST_VALUE]], "PURCHASECOST_", ""), "_VALUE", "")</f>
        <v>METRO</v>
      </c>
      <c r="AF349" s="10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375</v>
      </c>
      <c r="B350">
        <v>1950</v>
      </c>
      <c r="C350">
        <v>1</v>
      </c>
      <c r="D350" t="s">
        <v>2019</v>
      </c>
      <c r="E350" t="str">
        <f>_xlfn.XLOOKUP(PROPERTIES[[#This Row],[COUNTRY]],COUNTRIES[COUNTRY_DESCRIPTION],COUNTRIES[COUNTRY_LABEL],"")</f>
        <v>US</v>
      </c>
      <c r="F350" t="s">
        <v>19</v>
      </c>
      <c r="G350" t="s">
        <v>325</v>
      </c>
      <c r="H350">
        <v>125</v>
      </c>
      <c r="I350">
        <v>7</v>
      </c>
      <c r="J350">
        <v>7</v>
      </c>
      <c r="K350" s="2" t="s">
        <v>326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4">
        <v>21.5</v>
      </c>
      <c r="P350">
        <v>440</v>
      </c>
      <c r="Q350">
        <v>80</v>
      </c>
      <c r="R350" s="31">
        <v>0</v>
      </c>
      <c r="S350" s="30">
        <f>IFERROR(PROPERTIES[[#This Row],[TE_STARTING_KN]]/(PROPERTIES[[#This Row],[WEIGHT]]*9.81),0)</f>
        <v>0</v>
      </c>
      <c r="T350" s="30">
        <v>0.22</v>
      </c>
      <c r="U350" s="27">
        <f>ROUND(IF(IFERROR(PROPERTIES[[#This Row],[TE_COEFFICIENT_CALC]],0)=0,PROPERTIES[[#This Row],[TE_COEFFICIENT_MANUAL]],PROPERTIES[[#This Row],[TE_COEFFICIENT_CALC]]),3)</f>
        <v>0.22</v>
      </c>
      <c r="V350" s="6">
        <v>60</v>
      </c>
      <c r="W350" s="10">
        <v>130</v>
      </c>
      <c r="X350" s="10">
        <v>7</v>
      </c>
      <c r="Y350" s="11"/>
      <c r="Z350" t="s">
        <v>910</v>
      </c>
      <c r="AA350" t="s">
        <v>904</v>
      </c>
      <c r="AB350" s="2" t="s">
        <v>922</v>
      </c>
      <c r="AC350" s="10" t="s">
        <v>994</v>
      </c>
      <c r="AD350" s="10" t="s">
        <v>995</v>
      </c>
      <c r="AE350" s="11" t="str">
        <f>SUBSTITUTE(SUBSTITUTE(PROPERTIES[[#This Row],[PURCHASECOST_VALUE]], "PURCHASECOST_", ""), "_VALUE", "")</f>
        <v>METRO</v>
      </c>
      <c r="AF350" s="10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376</v>
      </c>
      <c r="B351">
        <v>1903</v>
      </c>
      <c r="C351">
        <v>1</v>
      </c>
      <c r="D351" t="s">
        <v>1863</v>
      </c>
      <c r="E351" t="str">
        <f>_xlfn.XLOOKUP(PROPERTIES[[#This Row],[COUNTRY]],COUNTRIES[COUNTRY_DESCRIPTION],COUNTRIES[COUNTRY_LABEL],"")</f>
        <v>GB</v>
      </c>
      <c r="F351" t="s">
        <v>19</v>
      </c>
      <c r="G351" t="s">
        <v>325</v>
      </c>
      <c r="H351">
        <v>90</v>
      </c>
      <c r="I351">
        <v>8</v>
      </c>
      <c r="J351">
        <v>8</v>
      </c>
      <c r="K351" s="2" t="s">
        <v>326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4">
        <v>29.5</v>
      </c>
      <c r="P351">
        <v>400</v>
      </c>
      <c r="Q351">
        <v>55</v>
      </c>
      <c r="R351" s="31">
        <v>0</v>
      </c>
      <c r="S351" s="30">
        <f>IFERROR(PROPERTIES[[#This Row],[TE_STARTING_KN]]/(PROPERTIES[[#This Row],[WEIGHT]]*9.81),0)</f>
        <v>0</v>
      </c>
      <c r="T351" s="30">
        <v>0.18</v>
      </c>
      <c r="U351" s="27">
        <f>ROUND(IF(IFERROR(PROPERTIES[[#This Row],[TE_COEFFICIENT_CALC]],0)=0,PROPERTIES[[#This Row],[TE_COEFFICIENT_MANUAL]],PROPERTIES[[#This Row],[TE_COEFFICIENT_CALC]]),3)</f>
        <v>0.18</v>
      </c>
      <c r="V351" s="6">
        <v>60</v>
      </c>
      <c r="W351" s="10">
        <v>125</v>
      </c>
      <c r="X351" s="10">
        <v>8</v>
      </c>
      <c r="Y351" s="11"/>
      <c r="Z351" t="s">
        <v>909</v>
      </c>
      <c r="AA351" t="s">
        <v>904</v>
      </c>
      <c r="AB351" s="2" t="s">
        <v>922</v>
      </c>
      <c r="AC351" s="10" t="s">
        <v>994</v>
      </c>
      <c r="AD351" s="10" t="s">
        <v>995</v>
      </c>
      <c r="AE351" s="11" t="str">
        <f>SUBSTITUTE(SUBSTITUTE(PROPERTIES[[#This Row],[PURCHASECOST_VALUE]], "PURCHASECOST_", ""), "_VALUE", "")</f>
        <v>METRO</v>
      </c>
      <c r="AF351" s="10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377</v>
      </c>
      <c r="B352">
        <v>1938</v>
      </c>
      <c r="C352">
        <v>1</v>
      </c>
      <c r="D352" t="s">
        <v>1863</v>
      </c>
      <c r="E352" t="str">
        <f>_xlfn.XLOOKUP(PROPERTIES[[#This Row],[COUNTRY]],COUNTRIES[COUNTRY_DESCRIPTION],COUNTRIES[COUNTRY_LABEL],"")</f>
        <v>GB</v>
      </c>
      <c r="F352" t="s">
        <v>19</v>
      </c>
      <c r="G352" t="s">
        <v>325</v>
      </c>
      <c r="H352">
        <v>105</v>
      </c>
      <c r="I352">
        <v>7</v>
      </c>
      <c r="J352">
        <v>7</v>
      </c>
      <c r="K352" s="2" t="s">
        <v>326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4">
        <v>25.5</v>
      </c>
      <c r="P352">
        <v>600</v>
      </c>
      <c r="Q352">
        <v>72</v>
      </c>
      <c r="R352" s="31">
        <v>0</v>
      </c>
      <c r="S352" s="30">
        <f>IFERROR(PROPERTIES[[#This Row],[TE_STARTING_KN]]/(PROPERTIES[[#This Row],[WEIGHT]]*9.81),0)</f>
        <v>0</v>
      </c>
      <c r="T352" s="30">
        <v>0.2</v>
      </c>
      <c r="U352" s="27">
        <f>ROUND(IF(IFERROR(PROPERTIES[[#This Row],[TE_COEFFICIENT_CALC]],0)=0,PROPERTIES[[#This Row],[TE_COEFFICIENT_MANUAL]],PROPERTIES[[#This Row],[TE_COEFFICIENT_CALC]]),3)</f>
        <v>0.2</v>
      </c>
      <c r="V352" s="6">
        <v>60</v>
      </c>
      <c r="W352" s="10">
        <v>120</v>
      </c>
      <c r="X352" s="10">
        <v>7</v>
      </c>
      <c r="Y352" s="11"/>
      <c r="Z352" t="s">
        <v>909</v>
      </c>
      <c r="AA352" t="s">
        <v>904</v>
      </c>
      <c r="AB352" s="2" t="s">
        <v>922</v>
      </c>
      <c r="AC352" s="10" t="s">
        <v>994</v>
      </c>
      <c r="AD352" s="10" t="s">
        <v>995</v>
      </c>
      <c r="AE352" s="11" t="str">
        <f>SUBSTITUTE(SUBSTITUTE(PROPERTIES[[#This Row],[PURCHASECOST_VALUE]], "PURCHASECOST_", ""), "_VALUE", "")</f>
        <v>METRO</v>
      </c>
      <c r="AF352" s="10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378</v>
      </c>
      <c r="B353">
        <v>1914</v>
      </c>
      <c r="C353">
        <v>0</v>
      </c>
      <c r="D353" t="s">
        <v>1863</v>
      </c>
      <c r="E353" t="str">
        <f>_xlfn.XLOOKUP(PROPERTIES[[#This Row],[COUNTRY]],COUNTRIES[COUNTRY_DESCRIPTION],COUNTRIES[COUNTRY_LABEL],"")</f>
        <v>GB</v>
      </c>
      <c r="F353" t="s">
        <v>74</v>
      </c>
      <c r="G353" t="s">
        <v>20</v>
      </c>
      <c r="H353">
        <v>0</v>
      </c>
      <c r="I353">
        <v>7</v>
      </c>
      <c r="J353">
        <v>7</v>
      </c>
      <c r="K353" s="2" t="s">
        <v>20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4">
        <v>74</v>
      </c>
      <c r="P353">
        <v>1100</v>
      </c>
      <c r="Q353">
        <v>40</v>
      </c>
      <c r="R353" s="31">
        <v>125</v>
      </c>
      <c r="S353" s="30">
        <f>IFERROR(PROPERTIES[[#This Row],[TE_STARTING_KN]]/(PROPERTIES[[#This Row],[WEIGHT]]*9.81),0)</f>
        <v>0.17219053916301622</v>
      </c>
      <c r="T353" s="30">
        <v>0.18</v>
      </c>
      <c r="U353" s="27">
        <f>ROUND(IF(IFERROR(PROPERTIES[[#This Row],[TE_COEFFICIENT_CALC]],0)=0,PROPERTIES[[#This Row],[TE_COEFFICIENT_MANUAL]],PROPERTIES[[#This Row],[TE_COEFFICIENT_CALC]]),3)</f>
        <v>0.17199999999999999</v>
      </c>
      <c r="V353" s="6">
        <v>40</v>
      </c>
      <c r="W353" s="10">
        <v>0</v>
      </c>
      <c r="X353" s="10">
        <v>0</v>
      </c>
      <c r="Y353" s="11"/>
      <c r="Z353" t="s">
        <v>909</v>
      </c>
      <c r="AA353" t="s">
        <v>904</v>
      </c>
      <c r="AB353" s="2" t="s">
        <v>922</v>
      </c>
      <c r="AC353" s="10" t="s">
        <v>996</v>
      </c>
      <c r="AD353" s="10" t="s">
        <v>997</v>
      </c>
      <c r="AE353" s="11" t="str">
        <f>SUBSTITUTE(SUBSTITUTE(PROPERTIES[[#This Row],[PURCHASECOST_VALUE]], "PURCHASECOST_", ""), "_VALUE", "")</f>
        <v>ELECTRICENGINE</v>
      </c>
      <c r="AF353" s="10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353" s="2" t="b">
        <v>0</v>
      </c>
      <c r="AY353"/>
      <c r="AZ353"/>
      <c r="BA353"/>
    </row>
    <row r="354" spans="1:53">
      <c r="A354" s="2" t="s">
        <v>379</v>
      </c>
      <c r="B354">
        <v>1931</v>
      </c>
      <c r="C354">
        <v>0</v>
      </c>
      <c r="D354" t="s">
        <v>1900</v>
      </c>
      <c r="E354" t="str">
        <f>_xlfn.XLOOKUP(PROPERTIES[[#This Row],[COUNTRY]],COUNTRIES[COUNTRY_DESCRIPTION],COUNTRIES[COUNTRY_LABEL],"")</f>
        <v>JP</v>
      </c>
      <c r="F354" t="s">
        <v>74</v>
      </c>
      <c r="G354" t="s">
        <v>20</v>
      </c>
      <c r="H354">
        <v>0</v>
      </c>
      <c r="I354">
        <v>5</v>
      </c>
      <c r="J354">
        <v>5</v>
      </c>
      <c r="K354" s="2" t="s">
        <v>20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4">
        <v>22.64</v>
      </c>
      <c r="P354">
        <v>360</v>
      </c>
      <c r="Q354">
        <v>19</v>
      </c>
      <c r="R354" s="31">
        <v>38</v>
      </c>
      <c r="S354" s="30">
        <f>IFERROR(PROPERTIES[[#This Row],[TE_STARTING_KN]]/(PROPERTIES[[#This Row],[WEIGHT]]*9.81),0)</f>
        <v>0.17109533432028323</v>
      </c>
      <c r="T354" s="30">
        <v>0.3</v>
      </c>
      <c r="U354" s="27">
        <f>ROUND(IF(IFERROR(PROPERTIES[[#This Row],[TE_COEFFICIENT_CALC]],0)=0,PROPERTIES[[#This Row],[TE_COEFFICIENT_MANUAL]],PROPERTIES[[#This Row],[TE_COEFFICIENT_CALC]]),3)</f>
        <v>0.17100000000000001</v>
      </c>
      <c r="V354" s="6">
        <v>40</v>
      </c>
      <c r="W354" s="10">
        <v>0</v>
      </c>
      <c r="X354" s="10">
        <v>0</v>
      </c>
      <c r="Y354" s="11"/>
      <c r="Z354" t="s">
        <v>913</v>
      </c>
      <c r="AA354" t="s">
        <v>904</v>
      </c>
      <c r="AB354" s="2" t="s">
        <v>922</v>
      </c>
      <c r="AC354" s="10" t="s">
        <v>996</v>
      </c>
      <c r="AD354" s="10" t="s">
        <v>997</v>
      </c>
      <c r="AE354" s="11" t="str">
        <f>SUBSTITUTE(SUBSTITUTE(PROPERTIES[[#This Row],[PURCHASECOST_VALUE]], "PURCHASECOST_", ""), "_VALUE", "")</f>
        <v>ELECTRICENGINE</v>
      </c>
      <c r="AF354" s="10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354" s="2" t="b">
        <v>0</v>
      </c>
      <c r="AY354"/>
      <c r="AZ354"/>
      <c r="BA354"/>
    </row>
    <row r="355" spans="1:53">
      <c r="A355" s="2" t="s">
        <v>380</v>
      </c>
      <c r="B355">
        <v>1936</v>
      </c>
      <c r="C355">
        <v>0</v>
      </c>
      <c r="D355" t="s">
        <v>1900</v>
      </c>
      <c r="E355" t="str">
        <f>_xlfn.XLOOKUP(PROPERTIES[[#This Row],[COUNTRY]],COUNTRIES[COUNTRY_DESCRIPTION],COUNTRIES[COUNTRY_LABEL],"")</f>
        <v>JP</v>
      </c>
      <c r="F355" t="s">
        <v>74</v>
      </c>
      <c r="G355" t="s">
        <v>20</v>
      </c>
      <c r="H355">
        <v>0</v>
      </c>
      <c r="I355">
        <v>8</v>
      </c>
      <c r="J355">
        <v>8</v>
      </c>
      <c r="K355" s="2" t="s">
        <v>20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4">
        <v>100</v>
      </c>
      <c r="P355">
        <v>1810</v>
      </c>
      <c r="Q355">
        <v>75</v>
      </c>
      <c r="R355" s="31">
        <v>61.7</v>
      </c>
      <c r="S355" s="30">
        <f>IFERROR(PROPERTIES[[#This Row],[TE_STARTING_KN]]/(PROPERTIES[[#This Row],[WEIGHT]]*9.81),0)</f>
        <v>6.2895005096839957E-2</v>
      </c>
      <c r="T355" s="30">
        <v>0.06</v>
      </c>
      <c r="U355" s="27">
        <f>ROUND(IF(IFERROR(PROPERTIES[[#This Row],[TE_COEFFICIENT_CALC]],0)=0,PROPERTIES[[#This Row],[TE_COEFFICIENT_MANUAL]],PROPERTIES[[#This Row],[TE_COEFFICIENT_CALC]]),3)</f>
        <v>6.3E-2</v>
      </c>
      <c r="V355" s="6">
        <v>40</v>
      </c>
      <c r="W355" s="10">
        <v>0</v>
      </c>
      <c r="X355" s="10">
        <v>0</v>
      </c>
      <c r="Y355" s="11"/>
      <c r="Z355" t="s">
        <v>913</v>
      </c>
      <c r="AA355" t="s">
        <v>904</v>
      </c>
      <c r="AB355" s="2" t="s">
        <v>922</v>
      </c>
      <c r="AC355" s="10" t="s">
        <v>996</v>
      </c>
      <c r="AD355" s="10" t="s">
        <v>997</v>
      </c>
      <c r="AE355" s="11" t="str">
        <f>SUBSTITUTE(SUBSTITUTE(PROPERTIES[[#This Row],[PURCHASECOST_VALUE]], "PURCHASECOST_", ""), "_VALUE", "")</f>
        <v>ELECTRICENGINE</v>
      </c>
      <c r="AF355" s="10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381</v>
      </c>
      <c r="B356">
        <v>1948</v>
      </c>
      <c r="C356">
        <v>0</v>
      </c>
      <c r="D356" t="s">
        <v>1952</v>
      </c>
      <c r="E356" t="str">
        <f>_xlfn.XLOOKUP(PROPERTIES[[#This Row],[COUNTRY]],COUNTRIES[COUNTRY_DESCRIPTION],COUNTRIES[COUNTRY_LABEL],"")</f>
        <v>NL</v>
      </c>
      <c r="F356" t="s">
        <v>74</v>
      </c>
      <c r="G356" t="s">
        <v>20</v>
      </c>
      <c r="H356">
        <v>0</v>
      </c>
      <c r="I356">
        <v>8</v>
      </c>
      <c r="J356">
        <v>8</v>
      </c>
      <c r="K356" s="2" t="s">
        <v>20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4">
        <v>100</v>
      </c>
      <c r="P356">
        <v>3749</v>
      </c>
      <c r="Q356">
        <v>100</v>
      </c>
      <c r="R356" s="31">
        <v>177</v>
      </c>
      <c r="S356" s="30">
        <f>IFERROR(PROPERTIES[[#This Row],[TE_STARTING_KN]]/(PROPERTIES[[#This Row],[WEIGHT]]*9.81),0)</f>
        <v>0.18042813455657492</v>
      </c>
      <c r="T356" s="30">
        <v>0.18</v>
      </c>
      <c r="U356" s="27">
        <f>ROUND(IF(IFERROR(PROPERTIES[[#This Row],[TE_COEFFICIENT_CALC]],0)=0,PROPERTIES[[#This Row],[TE_COEFFICIENT_MANUAL]],PROPERTIES[[#This Row],[TE_COEFFICIENT_CALC]]),3)</f>
        <v>0.18</v>
      </c>
      <c r="V356" s="6">
        <v>40</v>
      </c>
      <c r="W356" s="10">
        <v>0</v>
      </c>
      <c r="X356" s="10">
        <v>0</v>
      </c>
      <c r="Y356" s="11"/>
      <c r="Z356" t="s">
        <v>905</v>
      </c>
      <c r="AA356" t="s">
        <v>904</v>
      </c>
      <c r="AB356" s="2" t="s">
        <v>922</v>
      </c>
      <c r="AC356" s="10" t="s">
        <v>996</v>
      </c>
      <c r="AD356" s="10" t="s">
        <v>997</v>
      </c>
      <c r="AE356" s="11" t="str">
        <f>SUBSTITUTE(SUBSTITUTE(PROPERTIES[[#This Row],[PURCHASECOST_VALUE]], "PURCHASECOST_", ""), "_VALUE", "")</f>
        <v>ELECTRICENGINE</v>
      </c>
      <c r="AF356" s="10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382</v>
      </c>
      <c r="B357">
        <v>1980</v>
      </c>
      <c r="C357">
        <v>0</v>
      </c>
      <c r="D357" t="s">
        <v>1952</v>
      </c>
      <c r="E357" t="str">
        <f>_xlfn.XLOOKUP(PROPERTIES[[#This Row],[COUNTRY]],COUNTRIES[COUNTRY_DESCRIPTION],COUNTRIES[COUNTRY_LABEL],"")</f>
        <v>NL</v>
      </c>
      <c r="F357" t="s">
        <v>74</v>
      </c>
      <c r="G357" t="s">
        <v>20</v>
      </c>
      <c r="H357">
        <v>0</v>
      </c>
      <c r="I357">
        <v>8</v>
      </c>
      <c r="J357">
        <v>8</v>
      </c>
      <c r="K357" s="2" t="s">
        <v>20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4">
        <v>83</v>
      </c>
      <c r="P357">
        <v>6200</v>
      </c>
      <c r="Q357">
        <v>160</v>
      </c>
      <c r="R357" s="31">
        <v>294</v>
      </c>
      <c r="S357" s="30">
        <f>IFERROR(PROPERTIES[[#This Row],[TE_STARTING_KN]]/(PROPERTIES[[#This Row],[WEIGHT]]*9.81),0)</f>
        <v>0.36107733687041743</v>
      </c>
      <c r="T357" s="30">
        <v>0.31</v>
      </c>
      <c r="U357" s="27">
        <f>ROUND(IF(IFERROR(PROPERTIES[[#This Row],[TE_COEFFICIENT_CALC]],0)=0,PROPERTIES[[#This Row],[TE_COEFFICIENT_MANUAL]],PROPERTIES[[#This Row],[TE_COEFFICIENT_CALC]]),3)</f>
        <v>0.36099999999999999</v>
      </c>
      <c r="V357" s="6">
        <v>40</v>
      </c>
      <c r="W357" s="10">
        <v>0</v>
      </c>
      <c r="X357" s="10">
        <v>0</v>
      </c>
      <c r="Y357" s="11"/>
      <c r="Z357" t="s">
        <v>905</v>
      </c>
      <c r="AA357" t="s">
        <v>904</v>
      </c>
      <c r="AB357" s="2" t="s">
        <v>922</v>
      </c>
      <c r="AC357" s="10" t="s">
        <v>996</v>
      </c>
      <c r="AD357" s="10" t="s">
        <v>997</v>
      </c>
      <c r="AE357" s="11" t="str">
        <f>SUBSTITUTE(SUBSTITUTE(PROPERTIES[[#This Row],[PURCHASECOST_VALUE]], "PURCHASECOST_", ""), "_VALUE", "")</f>
        <v>ELECTRICENGINE</v>
      </c>
      <c r="AF357" s="10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383</v>
      </c>
      <c r="B358">
        <v>1923</v>
      </c>
      <c r="C358">
        <v>0</v>
      </c>
      <c r="D358" t="s">
        <v>1800</v>
      </c>
      <c r="E358" t="str">
        <f>_xlfn.XLOOKUP(PROPERTIES[[#This Row],[COUNTRY]],COUNTRIES[COUNTRY_DESCRIPTION],COUNTRIES[COUNTRY_LABEL],"")</f>
        <v>AU</v>
      </c>
      <c r="F358" t="s">
        <v>74</v>
      </c>
      <c r="G358" t="s">
        <v>20</v>
      </c>
      <c r="H358">
        <v>0</v>
      </c>
      <c r="I358">
        <v>7</v>
      </c>
      <c r="J358">
        <v>7</v>
      </c>
      <c r="K358" s="2" t="s">
        <v>20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4">
        <v>56</v>
      </c>
      <c r="P358">
        <v>620</v>
      </c>
      <c r="Q358">
        <v>65</v>
      </c>
      <c r="R358" s="31">
        <v>109</v>
      </c>
      <c r="S358" s="30">
        <f>IFERROR(PROPERTIES[[#This Row],[TE_STARTING_KN]]/(PROPERTIES[[#This Row],[WEIGHT]]*9.81),0)</f>
        <v>0.1984126984126984</v>
      </c>
      <c r="T358" s="30">
        <v>0.11</v>
      </c>
      <c r="U358" s="27">
        <f>ROUND(IF(IFERROR(PROPERTIES[[#This Row],[TE_COEFFICIENT_CALC]],0)=0,PROPERTIES[[#This Row],[TE_COEFFICIENT_MANUAL]],PROPERTIES[[#This Row],[TE_COEFFICIENT_CALC]]),3)</f>
        <v>0.19800000000000001</v>
      </c>
      <c r="V358" s="6">
        <v>40</v>
      </c>
      <c r="W358" s="10">
        <v>0</v>
      </c>
      <c r="X358" s="10">
        <v>0</v>
      </c>
      <c r="Y358" s="11"/>
      <c r="Z358" t="s">
        <v>907</v>
      </c>
      <c r="AA358" t="s">
        <v>904</v>
      </c>
      <c r="AB358" s="2" t="s">
        <v>922</v>
      </c>
      <c r="AC358" s="10" t="s">
        <v>996</v>
      </c>
      <c r="AD358" s="10" t="s">
        <v>997</v>
      </c>
      <c r="AE358" s="11" t="str">
        <f>SUBSTITUTE(SUBSTITUTE(PROPERTIES[[#This Row],[PURCHASECOST_VALUE]], "PURCHASECOST_", ""), "_VALUE", "")</f>
        <v>ELECTRICENGINE</v>
      </c>
      <c r="AF358" s="10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384</v>
      </c>
      <c r="B359">
        <v>1903</v>
      </c>
      <c r="C359">
        <v>0</v>
      </c>
      <c r="D359" t="s">
        <v>1863</v>
      </c>
      <c r="E359" t="str">
        <f>_xlfn.XLOOKUP(PROPERTIES[[#This Row],[COUNTRY]],COUNTRIES[COUNTRY_DESCRIPTION],COUNTRIES[COUNTRY_LABEL],"")</f>
        <v>GB</v>
      </c>
      <c r="F359" t="s">
        <v>74</v>
      </c>
      <c r="G359" t="s">
        <v>20</v>
      </c>
      <c r="H359">
        <v>0</v>
      </c>
      <c r="I359">
        <v>6</v>
      </c>
      <c r="J359">
        <v>6</v>
      </c>
      <c r="K359" s="2" t="s">
        <v>20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4">
        <v>57</v>
      </c>
      <c r="P359">
        <v>640</v>
      </c>
      <c r="Q359">
        <v>43</v>
      </c>
      <c r="R359" s="31">
        <v>111.2</v>
      </c>
      <c r="S359" s="30">
        <f>IFERROR(PROPERTIES[[#This Row],[TE_STARTING_KN]]/(PROPERTIES[[#This Row],[WEIGHT]]*9.81),0)</f>
        <v>0.19886617665468459</v>
      </c>
      <c r="T359" s="30">
        <v>0.19</v>
      </c>
      <c r="U359" s="27">
        <f>ROUND(IF(IFERROR(PROPERTIES[[#This Row],[TE_COEFFICIENT_CALC]],0)=0,PROPERTIES[[#This Row],[TE_COEFFICIENT_MANUAL]],PROPERTIES[[#This Row],[TE_COEFFICIENT_CALC]]),3)</f>
        <v>0.19900000000000001</v>
      </c>
      <c r="V359" s="6">
        <v>40</v>
      </c>
      <c r="W359" s="10">
        <v>0</v>
      </c>
      <c r="X359" s="10">
        <v>0</v>
      </c>
      <c r="Y359" s="11"/>
      <c r="Z359" t="s">
        <v>909</v>
      </c>
      <c r="AA359" t="s">
        <v>904</v>
      </c>
      <c r="AB359" s="2" t="s">
        <v>922</v>
      </c>
      <c r="AC359" s="10" t="s">
        <v>996</v>
      </c>
      <c r="AD359" s="10" t="s">
        <v>997</v>
      </c>
      <c r="AE359" s="11" t="str">
        <f>SUBSTITUTE(SUBSTITUTE(PROPERTIES[[#This Row],[PURCHASECOST_VALUE]], "PURCHASECOST_", ""), "_VALUE", "")</f>
        <v>ELECTRICENGINE</v>
      </c>
      <c r="AF359" s="10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359" s="2" t="b">
        <v>0</v>
      </c>
      <c r="AY359"/>
      <c r="AZ359"/>
      <c r="BA359"/>
    </row>
    <row r="360" spans="1:53">
      <c r="A360" s="2" t="s">
        <v>385</v>
      </c>
      <c r="B360">
        <v>1903</v>
      </c>
      <c r="C360">
        <v>0</v>
      </c>
      <c r="D360" t="s">
        <v>2019</v>
      </c>
      <c r="E360" t="str">
        <f>_xlfn.XLOOKUP(PROPERTIES[[#This Row],[COUNTRY]],COUNTRIES[COUNTRY_DESCRIPTION],COUNTRIES[COUNTRY_LABEL],"")</f>
        <v>US</v>
      </c>
      <c r="F360" t="s">
        <v>74</v>
      </c>
      <c r="G360" t="s">
        <v>20</v>
      </c>
      <c r="H360">
        <v>0</v>
      </c>
      <c r="I360">
        <v>7</v>
      </c>
      <c r="J360">
        <v>7</v>
      </c>
      <c r="K360" s="2" t="s">
        <v>20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4">
        <v>103</v>
      </c>
      <c r="P360">
        <v>2200</v>
      </c>
      <c r="Q360">
        <v>97</v>
      </c>
      <c r="R360" s="31">
        <v>160</v>
      </c>
      <c r="S360" s="30">
        <f>IFERROR(PROPERTIES[[#This Row],[TE_STARTING_KN]]/(PROPERTIES[[#This Row],[WEIGHT]]*9.81),0)</f>
        <v>0.15834842591767861</v>
      </c>
      <c r="T360" s="30">
        <v>0.16</v>
      </c>
      <c r="U360" s="27">
        <f>ROUND(IF(IFERROR(PROPERTIES[[#This Row],[TE_COEFFICIENT_CALC]],0)=0,PROPERTIES[[#This Row],[TE_COEFFICIENT_MANUAL]],PROPERTIES[[#This Row],[TE_COEFFICIENT_CALC]]),3)</f>
        <v>0.158</v>
      </c>
      <c r="V360" s="6">
        <v>40</v>
      </c>
      <c r="W360" s="10">
        <v>0</v>
      </c>
      <c r="X360" s="10">
        <v>0</v>
      </c>
      <c r="Y360" s="11"/>
      <c r="Z360" t="s">
        <v>910</v>
      </c>
      <c r="AA360" t="s">
        <v>904</v>
      </c>
      <c r="AB360" s="2" t="s">
        <v>922</v>
      </c>
      <c r="AC360" s="10" t="s">
        <v>996</v>
      </c>
      <c r="AD360" s="10" t="s">
        <v>997</v>
      </c>
      <c r="AE360" s="11" t="str">
        <f>SUBSTITUTE(SUBSTITUTE(PROPERTIES[[#This Row],[PURCHASECOST_VALUE]], "PURCHASECOST_", ""), "_VALUE", "")</f>
        <v>ELECTRICENGINE</v>
      </c>
      <c r="AF360" s="10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386</v>
      </c>
      <c r="B361">
        <v>1930</v>
      </c>
      <c r="C361">
        <v>0</v>
      </c>
      <c r="D361" t="s">
        <v>1900</v>
      </c>
      <c r="E361" t="str">
        <f>_xlfn.XLOOKUP(PROPERTIES[[#This Row],[COUNTRY]],COUNTRIES[COUNTRY_DESCRIPTION],COUNTRIES[COUNTRY_LABEL],"")</f>
        <v>JP</v>
      </c>
      <c r="F361" t="s">
        <v>74</v>
      </c>
      <c r="G361" t="s">
        <v>20</v>
      </c>
      <c r="H361">
        <v>0</v>
      </c>
      <c r="I361">
        <v>6</v>
      </c>
      <c r="J361">
        <v>6</v>
      </c>
      <c r="K361" s="2" t="s">
        <v>20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4">
        <v>40</v>
      </c>
      <c r="P361">
        <v>482</v>
      </c>
      <c r="Q361">
        <v>28</v>
      </c>
      <c r="R361" s="31">
        <v>78</v>
      </c>
      <c r="S361" s="30">
        <f>IFERROR(PROPERTIES[[#This Row],[TE_STARTING_KN]]/(PROPERTIES[[#This Row],[WEIGHT]]*9.81),0)</f>
        <v>0.19877675840978593</v>
      </c>
      <c r="T361" s="30">
        <v>0.12</v>
      </c>
      <c r="U361" s="27">
        <f>ROUND(IF(IFERROR(PROPERTIES[[#This Row],[TE_COEFFICIENT_CALC]],0)=0,PROPERTIES[[#This Row],[TE_COEFFICIENT_MANUAL]],PROPERTIES[[#This Row],[TE_COEFFICIENT_CALC]]),3)</f>
        <v>0.19900000000000001</v>
      </c>
      <c r="V361" s="6">
        <v>40</v>
      </c>
      <c r="W361" s="10">
        <v>0</v>
      </c>
      <c r="X361" s="10">
        <v>0</v>
      </c>
      <c r="Y361" s="11"/>
      <c r="Z361" t="s">
        <v>913</v>
      </c>
      <c r="AA361" t="s">
        <v>904</v>
      </c>
      <c r="AB361" s="2" t="s">
        <v>922</v>
      </c>
      <c r="AC361" s="10" t="s">
        <v>996</v>
      </c>
      <c r="AD361" s="10" t="s">
        <v>997</v>
      </c>
      <c r="AE361" s="11" t="str">
        <f>SUBSTITUTE(SUBSTITUTE(PROPERTIES[[#This Row],[PURCHASECOST_VALUE]], "PURCHASECOST_", ""), "_VALUE", "")</f>
        <v>ELECTRICENGINE</v>
      </c>
      <c r="AF361" s="10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361" s="2" t="b">
        <v>0</v>
      </c>
      <c r="AY361"/>
      <c r="AZ361"/>
      <c r="BA361"/>
    </row>
    <row r="362" spans="1:53">
      <c r="A362" s="2" t="s">
        <v>387</v>
      </c>
      <c r="B362">
        <v>1928</v>
      </c>
      <c r="C362">
        <v>0</v>
      </c>
      <c r="D362" t="s">
        <v>1891</v>
      </c>
      <c r="E362" t="str">
        <f>_xlfn.XLOOKUP(PROPERTIES[[#This Row],[COUNTRY]],COUNTRIES[COUNTRY_DESCRIPTION],COUNTRIES[COUNTRY_LABEL],"")</f>
        <v>IN</v>
      </c>
      <c r="F362" t="s">
        <v>74</v>
      </c>
      <c r="G362" t="s">
        <v>20</v>
      </c>
      <c r="H362">
        <v>0</v>
      </c>
      <c r="I362">
        <v>8</v>
      </c>
      <c r="J362">
        <v>8</v>
      </c>
      <c r="K362" s="2" t="s">
        <v>20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4">
        <v>123</v>
      </c>
      <c r="P362">
        <v>2600</v>
      </c>
      <c r="Q362">
        <v>80</v>
      </c>
      <c r="R362" s="31">
        <v>300</v>
      </c>
      <c r="S362" s="30">
        <f>IFERROR(PROPERTIES[[#This Row],[TE_STARTING_KN]]/(PROPERTIES[[#This Row],[WEIGHT]]*9.81),0)</f>
        <v>0.24862633947440391</v>
      </c>
      <c r="T362" s="30">
        <v>0.6</v>
      </c>
      <c r="U362" s="27">
        <f>ROUND(IF(IFERROR(PROPERTIES[[#This Row],[TE_COEFFICIENT_CALC]],0)=0,PROPERTIES[[#This Row],[TE_COEFFICIENT_MANUAL]],PROPERTIES[[#This Row],[TE_COEFFICIENT_CALC]]),3)</f>
        <v>0.249</v>
      </c>
      <c r="V362" s="6">
        <v>40</v>
      </c>
      <c r="W362" s="10">
        <v>0</v>
      </c>
      <c r="X362" s="10">
        <v>0</v>
      </c>
      <c r="Y362" s="11"/>
      <c r="Z362" t="s">
        <v>913</v>
      </c>
      <c r="AA362" t="s">
        <v>904</v>
      </c>
      <c r="AB362" s="2" t="s">
        <v>922</v>
      </c>
      <c r="AC362" s="10" t="s">
        <v>996</v>
      </c>
      <c r="AD362" s="10" t="s">
        <v>997</v>
      </c>
      <c r="AE362" s="11" t="str">
        <f>SUBSTITUTE(SUBSTITUTE(PROPERTIES[[#This Row],[PURCHASECOST_VALUE]], "PURCHASECOST_", ""), "_VALUE", "")</f>
        <v>ELECTRICENGINE</v>
      </c>
      <c r="AF362" s="10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388</v>
      </c>
      <c r="B363">
        <v>1954</v>
      </c>
      <c r="C363">
        <v>0</v>
      </c>
      <c r="D363" t="s">
        <v>1862</v>
      </c>
      <c r="E363" t="str">
        <f>_xlfn.XLOOKUP(PROPERTIES[[#This Row],[COUNTRY]],COUNTRIES[COUNTRY_DESCRIPTION],COUNTRIES[COUNTRY_LABEL],"")</f>
        <v>FR</v>
      </c>
      <c r="F363" t="s">
        <v>74</v>
      </c>
      <c r="G363" t="s">
        <v>20</v>
      </c>
      <c r="H363">
        <v>0</v>
      </c>
      <c r="I363">
        <v>8</v>
      </c>
      <c r="J363">
        <v>8</v>
      </c>
      <c r="K363" s="2" t="s">
        <v>20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4">
        <v>83</v>
      </c>
      <c r="P363">
        <v>4260</v>
      </c>
      <c r="Q363">
        <v>140</v>
      </c>
      <c r="R363" s="31">
        <v>235</v>
      </c>
      <c r="S363" s="30">
        <f>IFERROR(PROPERTIES[[#This Row],[TE_STARTING_KN]]/(PROPERTIES[[#This Row],[WEIGHT]]*9.81),0)</f>
        <v>0.28861623865492553</v>
      </c>
      <c r="T363" s="30">
        <v>0.25</v>
      </c>
      <c r="U363" s="27">
        <f>ROUND(IF(IFERROR(PROPERTIES[[#This Row],[TE_COEFFICIENT_CALC]],0)=0,PROPERTIES[[#This Row],[TE_COEFFICIENT_MANUAL]],PROPERTIES[[#This Row],[TE_COEFFICIENT_CALC]]),3)</f>
        <v>0.28899999999999998</v>
      </c>
      <c r="V363" s="6">
        <v>40</v>
      </c>
      <c r="W363" s="10">
        <v>0</v>
      </c>
      <c r="X363" s="10">
        <v>0</v>
      </c>
      <c r="Y363" s="11"/>
      <c r="Z363" t="s">
        <v>905</v>
      </c>
      <c r="AA363" t="s">
        <v>904</v>
      </c>
      <c r="AB363" s="2" t="s">
        <v>922</v>
      </c>
      <c r="AC363" s="10" t="s">
        <v>996</v>
      </c>
      <c r="AD363" s="10" t="s">
        <v>997</v>
      </c>
      <c r="AE363" s="11" t="str">
        <f>SUBSTITUTE(SUBSTITUTE(PROPERTIES[[#This Row],[PURCHASECOST_VALUE]], "PURCHASECOST_", ""), "_VALUE", "")</f>
        <v>ELECTRICENGINE</v>
      </c>
      <c r="AF363" s="10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389</v>
      </c>
      <c r="B364">
        <v>1925</v>
      </c>
      <c r="C364">
        <v>0</v>
      </c>
      <c r="D364" t="s">
        <v>1887</v>
      </c>
      <c r="E364" t="str">
        <f>_xlfn.XLOOKUP(PROPERTIES[[#This Row],[COUNTRY]],COUNTRIES[COUNTRY_DESCRIPTION],COUNTRIES[COUNTRY_LABEL],"")</f>
        <v>ID</v>
      </c>
      <c r="F364" t="s">
        <v>74</v>
      </c>
      <c r="G364" t="s">
        <v>20</v>
      </c>
      <c r="H364">
        <v>0</v>
      </c>
      <c r="I364">
        <v>6</v>
      </c>
      <c r="J364">
        <v>6</v>
      </c>
      <c r="K364" s="2" t="s">
        <v>20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4">
        <v>69</v>
      </c>
      <c r="P364">
        <v>1026</v>
      </c>
      <c r="Q364">
        <v>120</v>
      </c>
      <c r="R364" s="31">
        <v>0</v>
      </c>
      <c r="S364" s="30">
        <f>IFERROR(PROPERTIES[[#This Row],[TE_STARTING_KN]]/(PROPERTIES[[#This Row],[WEIGHT]]*9.81),0)</f>
        <v>0</v>
      </c>
      <c r="T364" s="30">
        <v>0.23</v>
      </c>
      <c r="U364" s="27">
        <f>ROUND(IF(IFERROR(PROPERTIES[[#This Row],[TE_COEFFICIENT_CALC]],0)=0,PROPERTIES[[#This Row],[TE_COEFFICIENT_MANUAL]],PROPERTIES[[#This Row],[TE_COEFFICIENT_CALC]]),3)</f>
        <v>0.23</v>
      </c>
      <c r="V364" s="6">
        <v>40</v>
      </c>
      <c r="W364" s="10">
        <v>0</v>
      </c>
      <c r="X364" s="10">
        <v>0</v>
      </c>
      <c r="Y364" s="11"/>
      <c r="Z364" t="s">
        <v>907</v>
      </c>
      <c r="AA364" t="s">
        <v>904</v>
      </c>
      <c r="AB364" s="2" t="s">
        <v>922</v>
      </c>
      <c r="AC364" s="10" t="s">
        <v>996</v>
      </c>
      <c r="AD364" s="10" t="s">
        <v>997</v>
      </c>
      <c r="AE364" s="11" t="str">
        <f>SUBSTITUTE(SUBSTITUTE(PROPERTIES[[#This Row],[PURCHASECOST_VALUE]], "PURCHASECOST_", ""), "_VALUE", "")</f>
        <v>ELECTRICENGINE</v>
      </c>
      <c r="AF364" s="10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390</v>
      </c>
      <c r="B365">
        <v>1953</v>
      </c>
      <c r="C365">
        <v>0</v>
      </c>
      <c r="D365" t="s">
        <v>1863</v>
      </c>
      <c r="E365" t="str">
        <f>_xlfn.XLOOKUP(PROPERTIES[[#This Row],[COUNTRY]],COUNTRIES[COUNTRY_DESCRIPTION],COUNTRIES[COUNTRY_LABEL],"")</f>
        <v>GB</v>
      </c>
      <c r="F365" t="s">
        <v>74</v>
      </c>
      <c r="G365" t="s">
        <v>20</v>
      </c>
      <c r="H365">
        <v>0</v>
      </c>
      <c r="I365">
        <v>8</v>
      </c>
      <c r="J365">
        <v>8</v>
      </c>
      <c r="K365" s="2" t="s">
        <v>20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4">
        <v>104</v>
      </c>
      <c r="P365">
        <v>2490</v>
      </c>
      <c r="Q365">
        <v>145</v>
      </c>
      <c r="R365" s="31">
        <v>200</v>
      </c>
      <c r="S365" s="30">
        <f>IFERROR(PROPERTIES[[#This Row],[TE_STARTING_KN]]/(PROPERTIES[[#This Row],[WEIGHT]]*9.81),0)</f>
        <v>0.19603230612404923</v>
      </c>
      <c r="T365" s="30">
        <v>0.2</v>
      </c>
      <c r="U365" s="27">
        <f>ROUND(IF(IFERROR(PROPERTIES[[#This Row],[TE_COEFFICIENT_CALC]],0)=0,PROPERTIES[[#This Row],[TE_COEFFICIENT_MANUAL]],PROPERTIES[[#This Row],[TE_COEFFICIENT_CALC]]),3)</f>
        <v>0.19600000000000001</v>
      </c>
      <c r="V365" s="6">
        <v>40</v>
      </c>
      <c r="W365" s="10">
        <v>0</v>
      </c>
      <c r="X365" s="10">
        <v>0</v>
      </c>
      <c r="Y365" s="11"/>
      <c r="Z365" t="s">
        <v>909</v>
      </c>
      <c r="AA365" t="s">
        <v>904</v>
      </c>
      <c r="AB365" s="2" t="s">
        <v>922</v>
      </c>
      <c r="AC365" s="10" t="s">
        <v>996</v>
      </c>
      <c r="AD365" s="10" t="s">
        <v>997</v>
      </c>
      <c r="AE365" s="11" t="str">
        <f>SUBSTITUTE(SUBSTITUTE(PROPERTIES[[#This Row],[PURCHASECOST_VALUE]], "PURCHASECOST_", ""), "_VALUE", "")</f>
        <v>ELECTRICENGINE</v>
      </c>
      <c r="AF365" s="10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391</v>
      </c>
      <c r="B366">
        <v>1922</v>
      </c>
      <c r="C366">
        <v>0</v>
      </c>
      <c r="D366" t="s">
        <v>1863</v>
      </c>
      <c r="E366" t="str">
        <f>_xlfn.XLOOKUP(PROPERTIES[[#This Row],[COUNTRY]],COUNTRIES[COUNTRY_DESCRIPTION],COUNTRIES[COUNTRY_LABEL],"")</f>
        <v>GB</v>
      </c>
      <c r="F366" t="s">
        <v>74</v>
      </c>
      <c r="G366" t="s">
        <v>20</v>
      </c>
      <c r="H366">
        <v>0</v>
      </c>
      <c r="I366">
        <v>8</v>
      </c>
      <c r="J366">
        <v>8</v>
      </c>
      <c r="K366" s="2" t="s">
        <v>20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4">
        <v>111</v>
      </c>
      <c r="P366">
        <v>1800</v>
      </c>
      <c r="Q366">
        <v>105</v>
      </c>
      <c r="R366" s="31">
        <v>126.4</v>
      </c>
      <c r="S366" s="30">
        <f>IFERROR(PROPERTIES[[#This Row],[TE_STARTING_KN]]/(PROPERTIES[[#This Row],[WEIGHT]]*9.81),0)</f>
        <v>0.11607938213442801</v>
      </c>
      <c r="T366" s="30">
        <v>0.11</v>
      </c>
      <c r="U366" s="27">
        <f>ROUND(IF(IFERROR(PROPERTIES[[#This Row],[TE_COEFFICIENT_CALC]],0)=0,PROPERTIES[[#This Row],[TE_COEFFICIENT_MANUAL]],PROPERTIES[[#This Row],[TE_COEFFICIENT_CALC]]),3)</f>
        <v>0.11600000000000001</v>
      </c>
      <c r="V366" s="6">
        <v>40</v>
      </c>
      <c r="W366" s="10">
        <v>0</v>
      </c>
      <c r="X366" s="10">
        <v>0</v>
      </c>
      <c r="Y366" s="11"/>
      <c r="Z366" t="s">
        <v>909</v>
      </c>
      <c r="AA366" t="s">
        <v>904</v>
      </c>
      <c r="AB366" s="2" t="s">
        <v>922</v>
      </c>
      <c r="AC366" s="10" t="s">
        <v>996</v>
      </c>
      <c r="AD366" s="10" t="s">
        <v>997</v>
      </c>
      <c r="AE366" s="11" t="str">
        <f>SUBSTITUTE(SUBSTITUTE(PROPERTIES[[#This Row],[PURCHASECOST_VALUE]], "PURCHASECOST_", ""), "_VALUE", "")</f>
        <v>ELECTRICENGINE</v>
      </c>
      <c r="AF366" s="10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392</v>
      </c>
      <c r="B367">
        <v>1916</v>
      </c>
      <c r="C367">
        <v>0</v>
      </c>
      <c r="D367" t="s">
        <v>2019</v>
      </c>
      <c r="E367" t="str">
        <f>_xlfn.XLOOKUP(PROPERTIES[[#This Row],[COUNTRY]],COUNTRIES[COUNTRY_DESCRIPTION],COUNTRIES[COUNTRY_LABEL],"")</f>
        <v>US</v>
      </c>
      <c r="F367" t="s">
        <v>74</v>
      </c>
      <c r="G367" t="s">
        <v>20</v>
      </c>
      <c r="H367">
        <v>0</v>
      </c>
      <c r="I367">
        <v>6</v>
      </c>
      <c r="J367">
        <v>6</v>
      </c>
      <c r="K367" s="2" t="s">
        <v>20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4">
        <v>74</v>
      </c>
      <c r="P367">
        <v>670</v>
      </c>
      <c r="Q367">
        <v>72</v>
      </c>
      <c r="R367" s="31">
        <v>0</v>
      </c>
      <c r="S367" s="30">
        <f>IFERROR(PROPERTIES[[#This Row],[TE_STARTING_KN]]/(PROPERTIES[[#This Row],[WEIGHT]]*9.81),0)</f>
        <v>0</v>
      </c>
      <c r="T367" s="30">
        <v>0.18</v>
      </c>
      <c r="U367" s="27">
        <f>ROUND(IF(IFERROR(PROPERTIES[[#This Row],[TE_COEFFICIENT_CALC]],0)=0,PROPERTIES[[#This Row],[TE_COEFFICIENT_MANUAL]],PROPERTIES[[#This Row],[TE_COEFFICIENT_CALC]]),3)</f>
        <v>0.18</v>
      </c>
      <c r="V367" s="6">
        <v>40</v>
      </c>
      <c r="W367" s="10">
        <v>0</v>
      </c>
      <c r="X367" s="10">
        <v>0</v>
      </c>
      <c r="Y367" s="11"/>
      <c r="Z367" t="s">
        <v>910</v>
      </c>
      <c r="AA367" t="s">
        <v>904</v>
      </c>
      <c r="AB367" s="2" t="s">
        <v>922</v>
      </c>
      <c r="AC367" s="10" t="s">
        <v>996</v>
      </c>
      <c r="AD367" s="10" t="s">
        <v>997</v>
      </c>
      <c r="AE367" s="11" t="str">
        <f>SUBSTITUTE(SUBSTITUTE(PROPERTIES[[#This Row],[PURCHASECOST_VALUE]], "PURCHASECOST_", ""), "_VALUE", "")</f>
        <v>ELECTRICENGINE</v>
      </c>
      <c r="AF367" s="10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393</v>
      </c>
      <c r="B368">
        <v>1919</v>
      </c>
      <c r="C368">
        <v>0</v>
      </c>
      <c r="D368" t="s">
        <v>2019</v>
      </c>
      <c r="E368" t="str">
        <f>_xlfn.XLOOKUP(PROPERTIES[[#This Row],[COUNTRY]],COUNTRIES[COUNTRY_DESCRIPTION],COUNTRIES[COUNTRY_LABEL],"")</f>
        <v>US</v>
      </c>
      <c r="F368" t="s">
        <v>74</v>
      </c>
      <c r="G368" t="s">
        <v>20</v>
      </c>
      <c r="H368">
        <v>0</v>
      </c>
      <c r="I368">
        <v>8</v>
      </c>
      <c r="J368">
        <v>4</v>
      </c>
      <c r="K368" s="2" t="s">
        <v>20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4">
        <v>240</v>
      </c>
      <c r="P368">
        <v>4440</v>
      </c>
      <c r="Q368">
        <v>113</v>
      </c>
      <c r="R368" s="31">
        <v>516</v>
      </c>
      <c r="S368" s="30">
        <f>IFERROR(PROPERTIES[[#This Row],[TE_STARTING_KN]]/(PROPERTIES[[#This Row],[WEIGHT]]*9.81),0)</f>
        <v>0.21916411824668705</v>
      </c>
      <c r="T368" s="30">
        <v>0.17</v>
      </c>
      <c r="U368" s="27">
        <f>ROUND(IF(IFERROR(PROPERTIES[[#This Row],[TE_COEFFICIENT_CALC]],0)=0,PROPERTIES[[#This Row],[TE_COEFFICIENT_MANUAL]],PROPERTIES[[#This Row],[TE_COEFFICIENT_CALC]]),3)</f>
        <v>0.219</v>
      </c>
      <c r="V368" s="6">
        <v>40</v>
      </c>
      <c r="W368" s="10">
        <v>0</v>
      </c>
      <c r="X368" s="10">
        <v>2</v>
      </c>
      <c r="Y368" s="11"/>
      <c r="Z368" t="s">
        <v>910</v>
      </c>
      <c r="AA368" t="s">
        <v>904</v>
      </c>
      <c r="AB368" s="2" t="s">
        <v>922</v>
      </c>
      <c r="AC368" s="10" t="s">
        <v>996</v>
      </c>
      <c r="AD368" s="10" t="s">
        <v>997</v>
      </c>
      <c r="AE368" s="11" t="str">
        <f>SUBSTITUTE(SUBSTITUTE(PROPERTIES[[#This Row],[PURCHASECOST_VALUE]], "PURCHASECOST_", ""), "_VALUE", "")</f>
        <v>ELECTRICENGINE</v>
      </c>
      <c r="AF368" s="10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394</v>
      </c>
      <c r="B369">
        <v>1922</v>
      </c>
      <c r="C369">
        <v>0</v>
      </c>
      <c r="D369" t="s">
        <v>1833</v>
      </c>
      <c r="E369" t="str">
        <f>_xlfn.XLOOKUP(PROPERTIES[[#This Row],[COUNTRY]],COUNTRIES[COUNTRY_DESCRIPTION],COUNTRIES[COUNTRY_LABEL],"")</f>
        <v>CL</v>
      </c>
      <c r="F369" t="s">
        <v>74</v>
      </c>
      <c r="G369" t="s">
        <v>20</v>
      </c>
      <c r="H369">
        <v>0</v>
      </c>
      <c r="I369">
        <v>8</v>
      </c>
      <c r="J369">
        <v>8</v>
      </c>
      <c r="K369" s="2" t="s">
        <v>20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4">
        <v>80</v>
      </c>
      <c r="P369">
        <v>2450</v>
      </c>
      <c r="Q369">
        <v>80</v>
      </c>
      <c r="R369" s="31">
        <v>200</v>
      </c>
      <c r="S369" s="30">
        <f>IFERROR(PROPERTIES[[#This Row],[TE_STARTING_KN]]/(PROPERTIES[[#This Row],[WEIGHT]]*9.81),0)</f>
        <v>0.254841997961264</v>
      </c>
      <c r="T369" s="30">
        <v>0.19</v>
      </c>
      <c r="U369" s="27">
        <f>ROUND(IF(IFERROR(PROPERTIES[[#This Row],[TE_COEFFICIENT_CALC]],0)=0,PROPERTIES[[#This Row],[TE_COEFFICIENT_MANUAL]],PROPERTIES[[#This Row],[TE_COEFFICIENT_CALC]]),3)</f>
        <v>0.255</v>
      </c>
      <c r="V369" s="6">
        <v>40</v>
      </c>
      <c r="W369" s="10">
        <v>0</v>
      </c>
      <c r="X369" s="10">
        <v>0</v>
      </c>
      <c r="Y369" s="11"/>
      <c r="Z369" t="s">
        <v>912</v>
      </c>
      <c r="AA369" t="s">
        <v>904</v>
      </c>
      <c r="AB369" s="2" t="s">
        <v>922</v>
      </c>
      <c r="AC369" s="10" t="s">
        <v>996</v>
      </c>
      <c r="AD369" s="10" t="s">
        <v>997</v>
      </c>
      <c r="AE369" s="11" t="str">
        <f>SUBSTITUTE(SUBSTITUTE(PROPERTIES[[#This Row],[PURCHASECOST_VALUE]], "PURCHASECOST_", ""), "_VALUE", "")</f>
        <v>ELECTRICENGINE</v>
      </c>
      <c r="AF369" s="10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395</v>
      </c>
      <c r="B370">
        <v>1934</v>
      </c>
      <c r="C370">
        <v>0</v>
      </c>
      <c r="D370" t="s">
        <v>1896</v>
      </c>
      <c r="E370" t="str">
        <f>_xlfn.XLOOKUP(PROPERTIES[[#This Row],[COUNTRY]],COUNTRIES[COUNTRY_DESCRIPTION],COUNTRIES[COUNTRY_LABEL],"")</f>
        <v>IT</v>
      </c>
      <c r="F370" t="s">
        <v>74</v>
      </c>
      <c r="G370" t="s">
        <v>20</v>
      </c>
      <c r="H370">
        <v>0</v>
      </c>
      <c r="I370">
        <v>8</v>
      </c>
      <c r="J370">
        <v>8</v>
      </c>
      <c r="K370" s="2" t="s">
        <v>20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4">
        <v>130</v>
      </c>
      <c r="P370">
        <v>3800</v>
      </c>
      <c r="Q370">
        <v>130</v>
      </c>
      <c r="R370" s="31">
        <v>180</v>
      </c>
      <c r="S370" s="30">
        <f>IFERROR(PROPERTIES[[#This Row],[TE_STARTING_KN]]/(PROPERTIES[[#This Row],[WEIGHT]]*9.81),0)</f>
        <v>0.14114326040931546</v>
      </c>
      <c r="T370" s="30">
        <v>0.1</v>
      </c>
      <c r="U370" s="27">
        <f>ROUND(IF(IFERROR(PROPERTIES[[#This Row],[TE_COEFFICIENT_CALC]],0)=0,PROPERTIES[[#This Row],[TE_COEFFICIENT_MANUAL]],PROPERTIES[[#This Row],[TE_COEFFICIENT_CALC]]),3)</f>
        <v>0.14099999999999999</v>
      </c>
      <c r="V370" s="6">
        <v>40</v>
      </c>
      <c r="W370" s="10">
        <v>0</v>
      </c>
      <c r="X370" s="10">
        <v>0</v>
      </c>
      <c r="Y370" s="11"/>
      <c r="Z370" t="s">
        <v>906</v>
      </c>
      <c r="AA370" t="s">
        <v>904</v>
      </c>
      <c r="AB370" s="2" t="s">
        <v>922</v>
      </c>
      <c r="AC370" s="10" t="s">
        <v>996</v>
      </c>
      <c r="AD370" s="10" t="s">
        <v>997</v>
      </c>
      <c r="AE370" s="11" t="str">
        <f>SUBSTITUTE(SUBSTITUTE(PROPERTIES[[#This Row],[PURCHASECOST_VALUE]], "PURCHASECOST_", ""), "_VALUE", "")</f>
        <v>ELECTRICENGINE</v>
      </c>
      <c r="AF370" s="10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396</v>
      </c>
      <c r="B371">
        <v>1936</v>
      </c>
      <c r="C371">
        <v>0</v>
      </c>
      <c r="D371" t="s">
        <v>2033</v>
      </c>
      <c r="E371" t="str">
        <f>_xlfn.XLOOKUP(PROPERTIES[[#This Row],[COUNTRY]],COUNTRIES[COUNTRY_DESCRIPTION],COUNTRIES[COUNTRY_LABEL],"")</f>
        <v>ZA</v>
      </c>
      <c r="F371" t="s">
        <v>74</v>
      </c>
      <c r="G371" t="s">
        <v>20</v>
      </c>
      <c r="H371">
        <v>0</v>
      </c>
      <c r="I371">
        <v>8</v>
      </c>
      <c r="J371">
        <v>8</v>
      </c>
      <c r="K371" s="2" t="s">
        <v>20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4">
        <v>68</v>
      </c>
      <c r="P371">
        <v>1202</v>
      </c>
      <c r="Q371">
        <v>40</v>
      </c>
      <c r="R371" s="31">
        <v>176</v>
      </c>
      <c r="S371" s="30">
        <f>IFERROR(PROPERTIES[[#This Row],[TE_STARTING_KN]]/(PROPERTIES[[#This Row],[WEIGHT]]*9.81),0)</f>
        <v>0.26383642141872038</v>
      </c>
      <c r="T371" s="30">
        <v>0.11</v>
      </c>
      <c r="U371" s="27">
        <f>ROUND(IF(IFERROR(PROPERTIES[[#This Row],[TE_COEFFICIENT_CALC]],0)=0,PROPERTIES[[#This Row],[TE_COEFFICIENT_MANUAL]],PROPERTIES[[#This Row],[TE_COEFFICIENT_CALC]]),3)</f>
        <v>0.26400000000000001</v>
      </c>
      <c r="V371" s="6">
        <v>40</v>
      </c>
      <c r="W371" s="10">
        <v>0</v>
      </c>
      <c r="X371" s="10">
        <v>0</v>
      </c>
      <c r="Y371" s="11"/>
      <c r="Z371" t="s">
        <v>908</v>
      </c>
      <c r="AA371" t="s">
        <v>904</v>
      </c>
      <c r="AB371" s="2" t="s">
        <v>922</v>
      </c>
      <c r="AC371" s="10" t="s">
        <v>996</v>
      </c>
      <c r="AD371" s="10" t="s">
        <v>997</v>
      </c>
      <c r="AE371" s="11" t="str">
        <f>SUBSTITUTE(SUBSTITUTE(PROPERTIES[[#This Row],[PURCHASECOST_VALUE]], "PURCHASECOST_", ""), "_VALUE", "")</f>
        <v>ELECTRICENGINE</v>
      </c>
      <c r="AF371" s="10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397</v>
      </c>
      <c r="B372">
        <v>1962</v>
      </c>
      <c r="C372">
        <v>0</v>
      </c>
      <c r="D372" t="s">
        <v>1965</v>
      </c>
      <c r="E372" t="str">
        <f>_xlfn.XLOOKUP(PROPERTIES[[#This Row],[COUNTRY]],COUNTRIES[COUNTRY_DESCRIPTION],COUNTRIES[COUNTRY_LABEL],"")</f>
        <v>PL</v>
      </c>
      <c r="F372" t="s">
        <v>74</v>
      </c>
      <c r="G372" t="s">
        <v>20</v>
      </c>
      <c r="H372">
        <v>0</v>
      </c>
      <c r="I372">
        <v>7</v>
      </c>
      <c r="J372">
        <v>7</v>
      </c>
      <c r="K372" s="2" t="s">
        <v>20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4">
        <v>81</v>
      </c>
      <c r="P372">
        <v>1500</v>
      </c>
      <c r="Q372">
        <v>126</v>
      </c>
      <c r="R372" s="31">
        <v>280</v>
      </c>
      <c r="S372" s="30">
        <f>IFERROR(PROPERTIES[[#This Row],[TE_STARTING_KN]]/(PROPERTIES[[#This Row],[WEIGHT]]*9.81),0)</f>
        <v>0.35237412063779716</v>
      </c>
      <c r="T372" s="30">
        <v>0.35</v>
      </c>
      <c r="U372" s="27">
        <f>ROUND(IF(IFERROR(PROPERTIES[[#This Row],[TE_COEFFICIENT_CALC]],0)=0,PROPERTIES[[#This Row],[TE_COEFFICIENT_MANUAL]],PROPERTIES[[#This Row],[TE_COEFFICIENT_CALC]]),3)</f>
        <v>0.35199999999999998</v>
      </c>
      <c r="V372" s="6">
        <v>40</v>
      </c>
      <c r="W372" s="10">
        <v>0</v>
      </c>
      <c r="X372" s="10">
        <v>0</v>
      </c>
      <c r="Y372" s="11"/>
      <c r="Z372" t="s">
        <v>911</v>
      </c>
      <c r="AA372" t="s">
        <v>904</v>
      </c>
      <c r="AB372" s="2" t="s">
        <v>922</v>
      </c>
      <c r="AC372" s="10" t="s">
        <v>996</v>
      </c>
      <c r="AD372" s="10" t="s">
        <v>997</v>
      </c>
      <c r="AE372" s="11" t="str">
        <f>SUBSTITUTE(SUBSTITUTE(PROPERTIES[[#This Row],[PURCHASECOST_VALUE]], "PURCHASECOST_", ""), "_VALUE", "")</f>
        <v>ELECTRICENGINE</v>
      </c>
      <c r="AF372" s="10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398</v>
      </c>
      <c r="B373">
        <v>1977</v>
      </c>
      <c r="C373">
        <v>0</v>
      </c>
      <c r="D373" t="s">
        <v>1965</v>
      </c>
      <c r="E373" t="str">
        <f>_xlfn.XLOOKUP(PROPERTIES[[#This Row],[COUNTRY]],COUNTRIES[COUNTRY_DESCRIPTION],COUNTRIES[COUNTRY_LABEL],"")</f>
        <v>PL</v>
      </c>
      <c r="F373" t="s">
        <v>74</v>
      </c>
      <c r="G373" t="s">
        <v>20</v>
      </c>
      <c r="H373">
        <v>0</v>
      </c>
      <c r="I373">
        <v>7</v>
      </c>
      <c r="J373">
        <v>14</v>
      </c>
      <c r="K373" s="2" t="s">
        <v>20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4">
        <v>167</v>
      </c>
      <c r="P373">
        <v>5400</v>
      </c>
      <c r="Q373">
        <v>125</v>
      </c>
      <c r="R373" s="31">
        <v>500</v>
      </c>
      <c r="S373" s="30">
        <f>IFERROR(PROPERTIES[[#This Row],[TE_STARTING_KN]]/(PROPERTIES[[#This Row],[WEIGHT]]*9.81),0)</f>
        <v>0.30519999755840005</v>
      </c>
      <c r="T373" s="30">
        <v>0.6</v>
      </c>
      <c r="U373" s="27">
        <f>ROUND(IF(IFERROR(PROPERTIES[[#This Row],[TE_COEFFICIENT_CALC]],0)=0,PROPERTIES[[#This Row],[TE_COEFFICIENT_MANUAL]],PROPERTIES[[#This Row],[TE_COEFFICIENT_CALC]]),3)</f>
        <v>0.30499999999999999</v>
      </c>
      <c r="V373" s="6">
        <v>40</v>
      </c>
      <c r="W373" s="10">
        <v>0</v>
      </c>
      <c r="X373" s="10">
        <v>7</v>
      </c>
      <c r="Y373" s="11"/>
      <c r="Z373" t="s">
        <v>911</v>
      </c>
      <c r="AA373" t="s">
        <v>904</v>
      </c>
      <c r="AB373" s="2" t="s">
        <v>922</v>
      </c>
      <c r="AC373" s="10" t="s">
        <v>996</v>
      </c>
      <c r="AD373" s="10" t="s">
        <v>997</v>
      </c>
      <c r="AE373" s="11" t="str">
        <f>SUBSTITUTE(SUBSTITUTE(PROPERTIES[[#This Row],[PURCHASECOST_VALUE]], "PURCHASECOST_", ""), "_VALUE", "")</f>
        <v>ELECTRICENGINE</v>
      </c>
      <c r="AF373" s="10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399</v>
      </c>
      <c r="B374">
        <v>1986</v>
      </c>
      <c r="C374">
        <v>0</v>
      </c>
      <c r="D374" t="s">
        <v>1965</v>
      </c>
      <c r="E374" t="str">
        <f>_xlfn.XLOOKUP(PROPERTIES[[#This Row],[COUNTRY]],COUNTRIES[COUNTRY_DESCRIPTION],COUNTRIES[COUNTRY_LABEL],"")</f>
        <v>PL</v>
      </c>
      <c r="F374" t="s">
        <v>74</v>
      </c>
      <c r="G374" t="s">
        <v>20</v>
      </c>
      <c r="H374">
        <v>0</v>
      </c>
      <c r="I374">
        <v>7</v>
      </c>
      <c r="J374">
        <v>7</v>
      </c>
      <c r="K374" s="2" t="s">
        <v>20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4">
        <v>83.5</v>
      </c>
      <c r="P374">
        <v>3916</v>
      </c>
      <c r="Q374">
        <v>160</v>
      </c>
      <c r="R374" s="31">
        <v>195</v>
      </c>
      <c r="S374" s="30">
        <f>IFERROR(PROPERTIES[[#This Row],[TE_STARTING_KN]]/(PROPERTIES[[#This Row],[WEIGHT]]*9.81),0)</f>
        <v>0.23805599809555203</v>
      </c>
      <c r="T374" s="30">
        <v>0.23</v>
      </c>
      <c r="U374" s="27">
        <f>ROUND(IF(IFERROR(PROPERTIES[[#This Row],[TE_COEFFICIENT_CALC]],0)=0,PROPERTIES[[#This Row],[TE_COEFFICIENT_MANUAL]],PROPERTIES[[#This Row],[TE_COEFFICIENT_CALC]]),3)</f>
        <v>0.23799999999999999</v>
      </c>
      <c r="V374" s="6">
        <v>40</v>
      </c>
      <c r="W374" s="10">
        <v>0</v>
      </c>
      <c r="X374" s="10">
        <v>0</v>
      </c>
      <c r="Y374" s="11"/>
      <c r="Z374" t="s">
        <v>911</v>
      </c>
      <c r="AA374" t="s">
        <v>904</v>
      </c>
      <c r="AB374" s="2" t="s">
        <v>922</v>
      </c>
      <c r="AC374" s="10" t="s">
        <v>996</v>
      </c>
      <c r="AD374" s="10" t="s">
        <v>997</v>
      </c>
      <c r="AE374" s="11" t="str">
        <f>SUBSTITUTE(SUBSTITUTE(PROPERTIES[[#This Row],[PURCHASECOST_VALUE]], "PURCHASECOST_", ""), "_VALUE", "")</f>
        <v>ELECTRICENGINE</v>
      </c>
      <c r="AF374" s="10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400</v>
      </c>
      <c r="B375">
        <v>1991</v>
      </c>
      <c r="C375">
        <v>0</v>
      </c>
      <c r="D375" t="s">
        <v>1988</v>
      </c>
      <c r="E375" t="str">
        <f>_xlfn.XLOOKUP(PROPERTIES[[#This Row],[COUNTRY]],COUNTRIES[COUNTRY_DESCRIPTION],COUNTRIES[COUNTRY_LABEL],"")</f>
        <v>SK</v>
      </c>
      <c r="F375" t="s">
        <v>74</v>
      </c>
      <c r="G375" t="s">
        <v>20</v>
      </c>
      <c r="H375">
        <v>0</v>
      </c>
      <c r="I375">
        <v>7</v>
      </c>
      <c r="J375">
        <v>7</v>
      </c>
      <c r="K375" s="2" t="s">
        <v>20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4">
        <v>85</v>
      </c>
      <c r="P375">
        <v>4872</v>
      </c>
      <c r="Q375">
        <v>140</v>
      </c>
      <c r="R375" s="31">
        <v>258</v>
      </c>
      <c r="S375" s="30">
        <f>IFERROR(PROPERTIES[[#This Row],[TE_STARTING_KN]]/(PROPERTIES[[#This Row],[WEIGHT]]*9.81),0)</f>
        <v>0.30940816693649936</v>
      </c>
      <c r="T375" s="30">
        <v>0.3</v>
      </c>
      <c r="U375" s="27">
        <f>ROUND(IF(IFERROR(PROPERTIES[[#This Row],[TE_COEFFICIENT_CALC]],0)=0,PROPERTIES[[#This Row],[TE_COEFFICIENT_MANUAL]],PROPERTIES[[#This Row],[TE_COEFFICIENT_CALC]]),3)</f>
        <v>0.309</v>
      </c>
      <c r="V375" s="6">
        <v>40</v>
      </c>
      <c r="W375" s="10">
        <v>0</v>
      </c>
      <c r="X375" s="10">
        <v>0</v>
      </c>
      <c r="Y375" s="11"/>
      <c r="Z375" t="s">
        <v>911</v>
      </c>
      <c r="AA375" t="s">
        <v>904</v>
      </c>
      <c r="AB375" s="2" t="s">
        <v>922</v>
      </c>
      <c r="AC375" s="10" t="s">
        <v>996</v>
      </c>
      <c r="AD375" s="10" t="s">
        <v>997</v>
      </c>
      <c r="AE375" s="11" t="str">
        <f>SUBSTITUTE(SUBSTITUTE(PROPERTIES[[#This Row],[PURCHASECOST_VALUE]], "PURCHASECOST_", ""), "_VALUE", "")</f>
        <v>ELECTRICENGINE</v>
      </c>
      <c r="AF375" s="10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401</v>
      </c>
      <c r="B376">
        <v>1961</v>
      </c>
      <c r="C376">
        <v>0</v>
      </c>
      <c r="D376" t="s">
        <v>1896</v>
      </c>
      <c r="E376" t="str">
        <f>_xlfn.XLOOKUP(PROPERTIES[[#This Row],[COUNTRY]],COUNTRIES[COUNTRY_DESCRIPTION],COUNTRIES[COUNTRY_LABEL],"")</f>
        <v>IT</v>
      </c>
      <c r="F376" t="s">
        <v>74</v>
      </c>
      <c r="G376" t="s">
        <v>20</v>
      </c>
      <c r="H376">
        <v>0</v>
      </c>
      <c r="I376">
        <v>5</v>
      </c>
      <c r="J376">
        <v>10</v>
      </c>
      <c r="K376" s="2" t="s">
        <v>20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4">
        <v>110</v>
      </c>
      <c r="P376">
        <v>5070</v>
      </c>
      <c r="Q376">
        <v>140</v>
      </c>
      <c r="R376" s="31">
        <v>233</v>
      </c>
      <c r="S376" s="30">
        <f>IFERROR(PROPERTIES[[#This Row],[TE_STARTING_KN]]/(PROPERTIES[[#This Row],[WEIGHT]]*9.81),0)</f>
        <v>0.21592067463627093</v>
      </c>
      <c r="T376" s="30">
        <v>0.21</v>
      </c>
      <c r="U376" s="27">
        <f>ROUND(IF(IFERROR(PROPERTIES[[#This Row],[TE_COEFFICIENT_CALC]],0)=0,PROPERTIES[[#This Row],[TE_COEFFICIENT_MANUAL]],PROPERTIES[[#This Row],[TE_COEFFICIENT_CALC]]),3)</f>
        <v>0.216</v>
      </c>
      <c r="V376" s="6">
        <v>40</v>
      </c>
      <c r="W376" s="10">
        <v>0</v>
      </c>
      <c r="X376" s="10">
        <v>5</v>
      </c>
      <c r="Y376" s="11"/>
      <c r="Z376" t="s">
        <v>906</v>
      </c>
      <c r="AA376" t="s">
        <v>904</v>
      </c>
      <c r="AB376" s="2" t="s">
        <v>922</v>
      </c>
      <c r="AC376" s="10" t="s">
        <v>996</v>
      </c>
      <c r="AD376" s="10" t="s">
        <v>997</v>
      </c>
      <c r="AE376" s="11" t="str">
        <f>SUBSTITUTE(SUBSTITUTE(PROPERTIES[[#This Row],[PURCHASECOST_VALUE]], "PURCHASECOST_", ""), "_VALUE", "")</f>
        <v>ELECTRICENGINE</v>
      </c>
      <c r="AF376" s="10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402</v>
      </c>
      <c r="B377">
        <v>1943</v>
      </c>
      <c r="C377">
        <v>0</v>
      </c>
      <c r="D377" t="s">
        <v>1896</v>
      </c>
      <c r="E377" t="str">
        <f>_xlfn.XLOOKUP(PROPERTIES[[#This Row],[COUNTRY]],COUNTRIES[COUNTRY_DESCRIPTION],COUNTRIES[COUNTRY_LABEL],"")</f>
        <v>IT</v>
      </c>
      <c r="F377" t="s">
        <v>74</v>
      </c>
      <c r="G377" t="s">
        <v>20</v>
      </c>
      <c r="H377">
        <v>0</v>
      </c>
      <c r="I377">
        <v>8</v>
      </c>
      <c r="J377">
        <v>8</v>
      </c>
      <c r="K377" s="2" t="s">
        <v>20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4">
        <v>65</v>
      </c>
      <c r="P377">
        <v>2000</v>
      </c>
      <c r="Q377">
        <v>120</v>
      </c>
      <c r="R377" s="31">
        <v>168</v>
      </c>
      <c r="S377" s="30">
        <f>IFERROR(PROPERTIES[[#This Row],[TE_STARTING_KN]]/(PROPERTIES[[#This Row],[WEIGHT]]*9.81),0)</f>
        <v>0.26346741943072222</v>
      </c>
      <c r="T377" s="30">
        <v>0.26</v>
      </c>
      <c r="U377" s="27">
        <f>ROUND(IF(IFERROR(PROPERTIES[[#This Row],[TE_COEFFICIENT_CALC]],0)=0,PROPERTIES[[#This Row],[TE_COEFFICIENT_MANUAL]],PROPERTIES[[#This Row],[TE_COEFFICIENT_CALC]]),3)</f>
        <v>0.26300000000000001</v>
      </c>
      <c r="V377" s="6">
        <v>40</v>
      </c>
      <c r="W377" s="10">
        <v>0</v>
      </c>
      <c r="X377" s="10">
        <v>0</v>
      </c>
      <c r="Y377" s="11"/>
      <c r="Z377" t="s">
        <v>906</v>
      </c>
      <c r="AA377" t="s">
        <v>904</v>
      </c>
      <c r="AB377" s="2" t="s">
        <v>922</v>
      </c>
      <c r="AC377" s="10" t="s">
        <v>996</v>
      </c>
      <c r="AD377" s="10" t="s">
        <v>997</v>
      </c>
      <c r="AE377" s="11" t="str">
        <f>SUBSTITUTE(SUBSTITUTE(PROPERTIES[[#This Row],[PURCHASECOST_VALUE]], "PURCHASECOST_", ""), "_VALUE", "")</f>
        <v>ELECTRICENGINE</v>
      </c>
      <c r="AF377" s="10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403</v>
      </c>
      <c r="B378">
        <v>1967</v>
      </c>
      <c r="C378">
        <v>0</v>
      </c>
      <c r="D378" t="s">
        <v>1896</v>
      </c>
      <c r="E378" t="str">
        <f>_xlfn.XLOOKUP(PROPERTIES[[#This Row],[COUNTRY]],COUNTRIES[COUNTRY_DESCRIPTION],COUNTRIES[COUNTRY_LABEL],"")</f>
        <v>IT</v>
      </c>
      <c r="F378" t="s">
        <v>74</v>
      </c>
      <c r="G378" t="s">
        <v>20</v>
      </c>
      <c r="H378">
        <v>0</v>
      </c>
      <c r="I378">
        <v>8</v>
      </c>
      <c r="J378">
        <v>8</v>
      </c>
      <c r="K378" s="2" t="s">
        <v>20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4">
        <v>83</v>
      </c>
      <c r="P378">
        <v>5729</v>
      </c>
      <c r="Q378">
        <v>200</v>
      </c>
      <c r="R378" s="31">
        <v>201</v>
      </c>
      <c r="S378" s="30">
        <f>IFERROR(PROPERTIES[[#This Row],[TE_STARTING_KN]]/(PROPERTIES[[#This Row],[WEIGHT]]*9.81),0)</f>
        <v>0.24685899561548946</v>
      </c>
      <c r="T378" s="30">
        <v>0.24</v>
      </c>
      <c r="U378" s="27">
        <f>ROUND(IF(IFERROR(PROPERTIES[[#This Row],[TE_COEFFICIENT_CALC]],0)=0,PROPERTIES[[#This Row],[TE_COEFFICIENT_MANUAL]],PROPERTIES[[#This Row],[TE_COEFFICIENT_CALC]]),3)</f>
        <v>0.247</v>
      </c>
      <c r="V378" s="6">
        <v>40</v>
      </c>
      <c r="W378" s="10">
        <v>0</v>
      </c>
      <c r="X378" s="10">
        <v>0</v>
      </c>
      <c r="Y378" s="11"/>
      <c r="Z378" t="s">
        <v>906</v>
      </c>
      <c r="AA378" t="s">
        <v>904</v>
      </c>
      <c r="AB378" s="2" t="s">
        <v>922</v>
      </c>
      <c r="AC378" s="10" t="s">
        <v>996</v>
      </c>
      <c r="AD378" s="10" t="s">
        <v>997</v>
      </c>
      <c r="AE378" s="11" t="str">
        <f>SUBSTITUTE(SUBSTITUTE(PROPERTIES[[#This Row],[PURCHASECOST_VALUE]], "PURCHASECOST_", ""), "_VALUE", "")</f>
        <v>ELECTRICENGINE</v>
      </c>
      <c r="AF378" s="10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404</v>
      </c>
      <c r="B379">
        <v>1979</v>
      </c>
      <c r="C379">
        <v>0</v>
      </c>
      <c r="D379" t="s">
        <v>1896</v>
      </c>
      <c r="E379" t="str">
        <f>_xlfn.XLOOKUP(PROPERTIES[[#This Row],[COUNTRY]],COUNTRIES[COUNTRY_DESCRIPTION],COUNTRIES[COUNTRY_LABEL],"")</f>
        <v>IT</v>
      </c>
      <c r="F379" t="s">
        <v>74</v>
      </c>
      <c r="G379" t="s">
        <v>20</v>
      </c>
      <c r="H379">
        <v>0</v>
      </c>
      <c r="I379">
        <v>8</v>
      </c>
      <c r="J379">
        <v>8</v>
      </c>
      <c r="K379" s="2" t="s">
        <v>20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4">
        <v>103</v>
      </c>
      <c r="P379">
        <v>5600</v>
      </c>
      <c r="Q379">
        <v>130</v>
      </c>
      <c r="R379" s="31">
        <v>308</v>
      </c>
      <c r="S379" s="30">
        <f>IFERROR(PROPERTIES[[#This Row],[TE_STARTING_KN]]/(PROPERTIES[[#This Row],[WEIGHT]]*9.81),0)</f>
        <v>0.30482071989153131</v>
      </c>
      <c r="T379" s="30">
        <v>0.27</v>
      </c>
      <c r="U379" s="27">
        <f>ROUND(IF(IFERROR(PROPERTIES[[#This Row],[TE_COEFFICIENT_CALC]],0)=0,PROPERTIES[[#This Row],[TE_COEFFICIENT_MANUAL]],PROPERTIES[[#This Row],[TE_COEFFICIENT_CALC]]),3)</f>
        <v>0.30499999999999999</v>
      </c>
      <c r="V379" s="6">
        <v>40</v>
      </c>
      <c r="W379" s="10">
        <v>0</v>
      </c>
      <c r="X379" s="10">
        <v>0</v>
      </c>
      <c r="Y379" s="11"/>
      <c r="Z379" t="s">
        <v>906</v>
      </c>
      <c r="AA379" t="s">
        <v>904</v>
      </c>
      <c r="AB379" s="2" t="s">
        <v>922</v>
      </c>
      <c r="AC379" s="10" t="s">
        <v>996</v>
      </c>
      <c r="AD379" s="10" t="s">
        <v>997</v>
      </c>
      <c r="AE379" s="11" t="str">
        <f>SUBSTITUTE(SUBSTITUTE(PROPERTIES[[#This Row],[PURCHASECOST_VALUE]], "PURCHASECOST_", ""), "_VALUE", "")</f>
        <v>ELECTRICENGINE</v>
      </c>
      <c r="AF379" s="10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405</v>
      </c>
      <c r="B380">
        <v>1960</v>
      </c>
      <c r="C380">
        <v>0</v>
      </c>
      <c r="D380" t="s">
        <v>1807</v>
      </c>
      <c r="E380" t="str">
        <f>_xlfn.XLOOKUP(PROPERTIES[[#This Row],[COUNTRY]],COUNTRIES[COUNTRY_DESCRIPTION],COUNTRIES[COUNTRY_LABEL],"")</f>
        <v>BE</v>
      </c>
      <c r="F380" t="s">
        <v>74</v>
      </c>
      <c r="G380" t="s">
        <v>20</v>
      </c>
      <c r="H380">
        <v>0</v>
      </c>
      <c r="I380">
        <v>8</v>
      </c>
      <c r="J380">
        <v>8</v>
      </c>
      <c r="K380" s="2" t="s">
        <v>20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4">
        <v>85</v>
      </c>
      <c r="P380">
        <v>2520</v>
      </c>
      <c r="Q380">
        <v>130</v>
      </c>
      <c r="R380" s="31">
        <v>196</v>
      </c>
      <c r="S380" s="30">
        <f>IFERROR(PROPERTIES[[#This Row],[TE_STARTING_KN]]/(PROPERTIES[[#This Row],[WEIGHT]]*9.81),0)</f>
        <v>0.23505426635485999</v>
      </c>
      <c r="T380" s="30">
        <v>0.23</v>
      </c>
      <c r="U380" s="27">
        <f>ROUND(IF(IFERROR(PROPERTIES[[#This Row],[TE_COEFFICIENT_CALC]],0)=0,PROPERTIES[[#This Row],[TE_COEFFICIENT_MANUAL]],PROPERTIES[[#This Row],[TE_COEFFICIENT_CALC]]),3)</f>
        <v>0.23499999999999999</v>
      </c>
      <c r="V380" s="6">
        <v>40</v>
      </c>
      <c r="W380" s="10">
        <v>0</v>
      </c>
      <c r="X380" s="10">
        <v>0</v>
      </c>
      <c r="Y380" s="11"/>
      <c r="Z380" t="s">
        <v>905</v>
      </c>
      <c r="AA380" t="s">
        <v>904</v>
      </c>
      <c r="AB380" s="2" t="s">
        <v>922</v>
      </c>
      <c r="AC380" s="10" t="s">
        <v>996</v>
      </c>
      <c r="AD380" s="10" t="s">
        <v>997</v>
      </c>
      <c r="AE380" s="11" t="str">
        <f>SUBSTITUTE(SUBSTITUTE(PROPERTIES[[#This Row],[PURCHASECOST_VALUE]], "PURCHASECOST_", ""), "_VALUE", "")</f>
        <v>ELECTRICENGINE</v>
      </c>
      <c r="AF380" s="10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406</v>
      </c>
      <c r="B381">
        <v>1982</v>
      </c>
      <c r="C381">
        <v>0</v>
      </c>
      <c r="D381" t="s">
        <v>1855</v>
      </c>
      <c r="E381" t="str">
        <f>_xlfn.XLOOKUP(PROPERTIES[[#This Row],[COUNTRY]],COUNTRIES[COUNTRY_DESCRIPTION],COUNTRIES[COUNTRY_LABEL],"")</f>
        <v>ES</v>
      </c>
      <c r="F381" t="s">
        <v>74</v>
      </c>
      <c r="G381" t="s">
        <v>20</v>
      </c>
      <c r="H381">
        <v>0</v>
      </c>
      <c r="I381">
        <v>8</v>
      </c>
      <c r="J381">
        <v>8</v>
      </c>
      <c r="K381" s="2" t="s">
        <v>20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4">
        <v>124</v>
      </c>
      <c r="P381">
        <v>6440</v>
      </c>
      <c r="Q381">
        <v>160</v>
      </c>
      <c r="R381" s="31">
        <v>410</v>
      </c>
      <c r="S381" s="30">
        <f>IFERROR(PROPERTIES[[#This Row],[TE_STARTING_KN]]/(PROPERTIES[[#This Row],[WEIGHT]]*9.81),0)</f>
        <v>0.33704909407780076</v>
      </c>
      <c r="T381" s="30">
        <v>0.16</v>
      </c>
      <c r="U381" s="27">
        <f>ROUND(IF(IFERROR(PROPERTIES[[#This Row],[TE_COEFFICIENT_CALC]],0)=0,PROPERTIES[[#This Row],[TE_COEFFICIENT_MANUAL]],PROPERTIES[[#This Row],[TE_COEFFICIENT_CALC]]),3)</f>
        <v>0.33700000000000002</v>
      </c>
      <c r="V381" s="6">
        <v>40</v>
      </c>
      <c r="W381" s="10">
        <v>0</v>
      </c>
      <c r="X381" s="10">
        <v>0</v>
      </c>
      <c r="Y381" s="11"/>
      <c r="Z381" t="s">
        <v>906</v>
      </c>
      <c r="AA381" t="s">
        <v>904</v>
      </c>
      <c r="AB381" s="2" t="s">
        <v>922</v>
      </c>
      <c r="AC381" s="10" t="s">
        <v>996</v>
      </c>
      <c r="AD381" s="10" t="s">
        <v>997</v>
      </c>
      <c r="AE381" s="11" t="str">
        <f>SUBSTITUTE(SUBSTITUTE(PROPERTIES[[#This Row],[PURCHASECOST_VALUE]], "PURCHASECOST_", ""), "_VALUE", "")</f>
        <v>ELECTRICENGINE</v>
      </c>
      <c r="AF381" s="10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407</v>
      </c>
      <c r="B382">
        <v>1949</v>
      </c>
      <c r="C382">
        <v>0</v>
      </c>
      <c r="D382" t="s">
        <v>1833</v>
      </c>
      <c r="E382" t="str">
        <f>_xlfn.XLOOKUP(PROPERTIES[[#This Row],[COUNTRY]],COUNTRIES[COUNTRY_DESCRIPTION],COUNTRIES[COUNTRY_LABEL],"")</f>
        <v>CL</v>
      </c>
      <c r="F382" t="s">
        <v>74</v>
      </c>
      <c r="G382" t="s">
        <v>20</v>
      </c>
      <c r="H382">
        <v>0</v>
      </c>
      <c r="I382">
        <v>8</v>
      </c>
      <c r="J382">
        <v>2</v>
      </c>
      <c r="K382" s="2" t="s">
        <v>20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4">
        <v>116</v>
      </c>
      <c r="P382">
        <v>3100</v>
      </c>
      <c r="Q382">
        <v>100</v>
      </c>
      <c r="R382" s="31">
        <v>315</v>
      </c>
      <c r="S382" s="30">
        <f>IFERROR(PROPERTIES[[#This Row],[TE_STARTING_KN]]/(PROPERTIES[[#This Row],[WEIGHT]]*9.81),0)</f>
        <v>0.27681113571654536</v>
      </c>
      <c r="T382" s="30">
        <v>0.2</v>
      </c>
      <c r="U382" s="27">
        <f>ROUND(IF(IFERROR(PROPERTIES[[#This Row],[TE_COEFFICIENT_CALC]],0)=0,PROPERTIES[[#This Row],[TE_COEFFICIENT_MANUAL]],PROPERTIES[[#This Row],[TE_COEFFICIENT_CALC]]),3)</f>
        <v>0.27700000000000002</v>
      </c>
      <c r="V382" s="6">
        <v>40</v>
      </c>
      <c r="W382" s="10">
        <v>0</v>
      </c>
      <c r="X382" s="10">
        <v>1</v>
      </c>
      <c r="Y382" s="11"/>
      <c r="Z382" t="s">
        <v>912</v>
      </c>
      <c r="AA382" t="s">
        <v>904</v>
      </c>
      <c r="AB382" s="2" t="s">
        <v>922</v>
      </c>
      <c r="AC382" s="10" t="s">
        <v>996</v>
      </c>
      <c r="AD382" s="10" t="s">
        <v>997</v>
      </c>
      <c r="AE382" s="11" t="str">
        <f>SUBSTITUTE(SUBSTITUTE(PROPERTIES[[#This Row],[PURCHASECOST_VALUE]], "PURCHASECOST_", ""), "_VALUE", "")</f>
        <v>ELECTRICENGINE</v>
      </c>
      <c r="AF382" s="10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408</v>
      </c>
      <c r="B383">
        <v>1974</v>
      </c>
      <c r="C383">
        <v>0</v>
      </c>
      <c r="D383" t="s">
        <v>1833</v>
      </c>
      <c r="E383" t="str">
        <f>_xlfn.XLOOKUP(PROPERTIES[[#This Row],[COUNTRY]],COUNTRIES[COUNTRY_DESCRIPTION],COUNTRIES[COUNTRY_LABEL],"")</f>
        <v>CL</v>
      </c>
      <c r="F383" t="s">
        <v>74</v>
      </c>
      <c r="G383" t="s">
        <v>20</v>
      </c>
      <c r="H383">
        <v>0</v>
      </c>
      <c r="I383">
        <v>6</v>
      </c>
      <c r="J383">
        <v>6</v>
      </c>
      <c r="K383" s="2" t="s">
        <v>24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4">
        <v>79</v>
      </c>
      <c r="P383">
        <v>1640</v>
      </c>
      <c r="Q383">
        <v>90</v>
      </c>
      <c r="R383" s="31">
        <v>0</v>
      </c>
      <c r="S383" s="30">
        <f>IFERROR(PROPERTIES[[#This Row],[TE_STARTING_KN]]/(PROPERTIES[[#This Row],[WEIGHT]]*9.81),0)</f>
        <v>0</v>
      </c>
      <c r="T383" s="30">
        <v>0.24</v>
      </c>
      <c r="U383" s="27">
        <f>ROUND(IF(IFERROR(PROPERTIES[[#This Row],[TE_COEFFICIENT_CALC]],0)=0,PROPERTIES[[#This Row],[TE_COEFFICIENT_MANUAL]],PROPERTIES[[#This Row],[TE_COEFFICIENT_CALC]]),3)</f>
        <v>0.24</v>
      </c>
      <c r="V383" s="6">
        <v>40</v>
      </c>
      <c r="W383" s="10">
        <v>0</v>
      </c>
      <c r="X383" s="10">
        <v>0</v>
      </c>
      <c r="Y383" s="11"/>
      <c r="Z383" t="s">
        <v>912</v>
      </c>
      <c r="AA383" t="s">
        <v>904</v>
      </c>
      <c r="AB383" s="2" t="s">
        <v>922</v>
      </c>
      <c r="AC383" s="10" t="s">
        <v>996</v>
      </c>
      <c r="AD383" s="10" t="s">
        <v>997</v>
      </c>
      <c r="AE383" s="11" t="str">
        <f>SUBSTITUTE(SUBSTITUTE(PROPERTIES[[#This Row],[PURCHASECOST_VALUE]], "PURCHASECOST_", ""), "_VALUE", "")</f>
        <v>ELECTRICENGINE</v>
      </c>
      <c r="AF383" s="10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409</v>
      </c>
      <c r="B384">
        <v>1948</v>
      </c>
      <c r="C384">
        <v>0</v>
      </c>
      <c r="D384" t="s">
        <v>1923</v>
      </c>
      <c r="E384" t="str">
        <f>_xlfn.XLOOKUP(PROPERTIES[[#This Row],[COUNTRY]],COUNTRIES[COUNTRY_DESCRIPTION],COUNTRIES[COUNTRY_LABEL],"")</f>
        <v>MA</v>
      </c>
      <c r="F384" t="s">
        <v>74</v>
      </c>
      <c r="G384" t="s">
        <v>20</v>
      </c>
      <c r="H384">
        <v>0</v>
      </c>
      <c r="I384">
        <v>6</v>
      </c>
      <c r="J384">
        <v>6</v>
      </c>
      <c r="K384" s="2" t="s">
        <v>20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4">
        <v>88</v>
      </c>
      <c r="P384">
        <v>1710</v>
      </c>
      <c r="Q384">
        <v>80</v>
      </c>
      <c r="R384" s="31">
        <v>0</v>
      </c>
      <c r="S384" s="30">
        <f>IFERROR(PROPERTIES[[#This Row],[TE_STARTING_KN]]/(PROPERTIES[[#This Row],[WEIGHT]]*9.81),0)</f>
        <v>0</v>
      </c>
      <c r="T384" s="30">
        <v>0.17</v>
      </c>
      <c r="U384" s="27">
        <f>ROUND(IF(IFERROR(PROPERTIES[[#This Row],[TE_COEFFICIENT_CALC]],0)=0,PROPERTIES[[#This Row],[TE_COEFFICIENT_MANUAL]],PROPERTIES[[#This Row],[TE_COEFFICIENT_CALC]]),3)</f>
        <v>0.17</v>
      </c>
      <c r="V384" s="6">
        <v>40</v>
      </c>
      <c r="W384" s="10">
        <v>0</v>
      </c>
      <c r="X384" s="10">
        <v>0</v>
      </c>
      <c r="Y384" s="11"/>
      <c r="Z384" t="s">
        <v>908</v>
      </c>
      <c r="AA384" t="s">
        <v>904</v>
      </c>
      <c r="AB384" s="2" t="s">
        <v>922</v>
      </c>
      <c r="AC384" s="10" t="s">
        <v>996</v>
      </c>
      <c r="AD384" s="10" t="s">
        <v>997</v>
      </c>
      <c r="AE384" s="11" t="str">
        <f>SUBSTITUTE(SUBSTITUTE(PROPERTIES[[#This Row],[PURCHASECOST_VALUE]], "PURCHASECOST_", ""), "_VALUE", "")</f>
        <v>ELECTRICENGINE</v>
      </c>
      <c r="AF384" s="10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410</v>
      </c>
      <c r="B385">
        <v>1958</v>
      </c>
      <c r="C385">
        <v>0</v>
      </c>
      <c r="D385" t="s">
        <v>1891</v>
      </c>
      <c r="E385" t="str">
        <f>_xlfn.XLOOKUP(PROPERTIES[[#This Row],[COUNTRY]],COUNTRIES[COUNTRY_DESCRIPTION],COUNTRIES[COUNTRY_LABEL],"")</f>
        <v>IN</v>
      </c>
      <c r="F385" t="s">
        <v>74</v>
      </c>
      <c r="G385" t="s">
        <v>20</v>
      </c>
      <c r="H385">
        <v>0</v>
      </c>
      <c r="I385">
        <v>8</v>
      </c>
      <c r="J385">
        <v>8</v>
      </c>
      <c r="K385" s="2" t="s">
        <v>20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4">
        <v>124</v>
      </c>
      <c r="P385">
        <v>3700</v>
      </c>
      <c r="Q385">
        <v>104</v>
      </c>
      <c r="R385" s="31">
        <v>300</v>
      </c>
      <c r="S385" s="30">
        <f>IFERROR(PROPERTIES[[#This Row],[TE_STARTING_KN]]/(PROPERTIES[[#This Row],[WEIGHT]]*9.81),0)</f>
        <v>0.24662128834961033</v>
      </c>
      <c r="T385" s="30">
        <v>0.25</v>
      </c>
      <c r="U385" s="27">
        <f>ROUND(IF(IFERROR(PROPERTIES[[#This Row],[TE_COEFFICIENT_CALC]],0)=0,PROPERTIES[[#This Row],[TE_COEFFICIENT_MANUAL]],PROPERTIES[[#This Row],[TE_COEFFICIENT_CALC]]),3)</f>
        <v>0.247</v>
      </c>
      <c r="V385" s="6">
        <v>40</v>
      </c>
      <c r="W385" s="10">
        <v>0</v>
      </c>
      <c r="X385" s="10">
        <v>0</v>
      </c>
      <c r="Y385" s="11"/>
      <c r="Z385" t="s">
        <v>913</v>
      </c>
      <c r="AA385" t="s">
        <v>904</v>
      </c>
      <c r="AB385" s="2" t="s">
        <v>922</v>
      </c>
      <c r="AC385" s="10" t="s">
        <v>996</v>
      </c>
      <c r="AD385" s="10" t="s">
        <v>997</v>
      </c>
      <c r="AE385" s="11" t="str">
        <f>SUBSTITUTE(SUBSTITUTE(PROPERTIES[[#This Row],[PURCHASECOST_VALUE]], "PURCHASECOST_", ""), "_VALUE", "")</f>
        <v>ELECTRICENGINE</v>
      </c>
      <c r="AF385" s="10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411</v>
      </c>
      <c r="B386">
        <v>1992</v>
      </c>
      <c r="C386">
        <v>0</v>
      </c>
      <c r="D386" t="s">
        <v>2033</v>
      </c>
      <c r="E386" t="str">
        <f>_xlfn.XLOOKUP(PROPERTIES[[#This Row],[COUNTRY]],COUNTRIES[COUNTRY_DESCRIPTION],COUNTRIES[COUNTRY_LABEL],"")</f>
        <v>ZA</v>
      </c>
      <c r="F386" t="s">
        <v>74</v>
      </c>
      <c r="G386" t="s">
        <v>20</v>
      </c>
      <c r="H386">
        <v>0</v>
      </c>
      <c r="I386">
        <v>6</v>
      </c>
      <c r="J386">
        <v>6</v>
      </c>
      <c r="K386" s="2" t="s">
        <v>24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4">
        <v>74</v>
      </c>
      <c r="P386">
        <v>2000</v>
      </c>
      <c r="Q386">
        <v>100</v>
      </c>
      <c r="R386" s="31">
        <v>260</v>
      </c>
      <c r="S386" s="30">
        <f>IFERROR(PROPERTIES[[#This Row],[TE_STARTING_KN]]/(PROPERTIES[[#This Row],[WEIGHT]]*9.81),0)</f>
        <v>0.35815632145907372</v>
      </c>
      <c r="T386" s="30">
        <v>0.24</v>
      </c>
      <c r="U386" s="27">
        <f>ROUND(IF(IFERROR(PROPERTIES[[#This Row],[TE_COEFFICIENT_CALC]],0)=0,PROPERTIES[[#This Row],[TE_COEFFICIENT_MANUAL]],PROPERTIES[[#This Row],[TE_COEFFICIENT_CALC]]),3)</f>
        <v>0.35799999999999998</v>
      </c>
      <c r="V386" s="6">
        <v>40</v>
      </c>
      <c r="W386" s="10">
        <v>0</v>
      </c>
      <c r="X386" s="10">
        <v>0</v>
      </c>
      <c r="Y386" s="11"/>
      <c r="Z386" t="s">
        <v>908</v>
      </c>
      <c r="AA386" t="s">
        <v>904</v>
      </c>
      <c r="AB386" s="2" t="s">
        <v>922</v>
      </c>
      <c r="AC386" s="10" t="s">
        <v>996</v>
      </c>
      <c r="AD386" s="10" t="s">
        <v>997</v>
      </c>
      <c r="AE386" s="11" t="str">
        <f>SUBSTITUTE(SUBSTITUTE(PROPERTIES[[#This Row],[PURCHASECOST_VALUE]], "PURCHASECOST_", ""), "_VALUE", "")</f>
        <v>ELECTRICENGINE</v>
      </c>
      <c r="AF386" s="10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412</v>
      </c>
      <c r="B387">
        <v>1980</v>
      </c>
      <c r="C387">
        <v>0</v>
      </c>
      <c r="D387" t="s">
        <v>1833</v>
      </c>
      <c r="E387" t="str">
        <f>_xlfn.XLOOKUP(PROPERTIES[[#This Row],[COUNTRY]],COUNTRIES[COUNTRY_DESCRIPTION],COUNTRIES[COUNTRY_LABEL],"")</f>
        <v>CL</v>
      </c>
      <c r="F387" t="s">
        <v>74</v>
      </c>
      <c r="G387" t="s">
        <v>20</v>
      </c>
      <c r="H387">
        <v>0</v>
      </c>
      <c r="I387">
        <v>7</v>
      </c>
      <c r="J387">
        <v>7</v>
      </c>
      <c r="K387" s="2" t="s">
        <v>20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4">
        <v>88</v>
      </c>
      <c r="P387">
        <v>4340</v>
      </c>
      <c r="Q387">
        <v>160</v>
      </c>
      <c r="R387" s="31">
        <v>0</v>
      </c>
      <c r="S387" s="30">
        <f>IFERROR(PROPERTIES[[#This Row],[TE_STARTING_KN]]/(PROPERTIES[[#This Row],[WEIGHT]]*9.81),0)</f>
        <v>0</v>
      </c>
      <c r="T387" s="30">
        <v>0.16</v>
      </c>
      <c r="U387" s="27">
        <f>ROUND(IF(IFERROR(PROPERTIES[[#This Row],[TE_COEFFICIENT_CALC]],0)=0,PROPERTIES[[#This Row],[TE_COEFFICIENT_MANUAL]],PROPERTIES[[#This Row],[TE_COEFFICIENT_CALC]]),3)</f>
        <v>0.16</v>
      </c>
      <c r="V387" s="6">
        <v>40</v>
      </c>
      <c r="W387" s="10">
        <v>0</v>
      </c>
      <c r="X387" s="10">
        <v>0</v>
      </c>
      <c r="Y387" s="11"/>
      <c r="Z387" t="s">
        <v>912</v>
      </c>
      <c r="AA387" t="s">
        <v>904</v>
      </c>
      <c r="AB387" s="2" t="s">
        <v>922</v>
      </c>
      <c r="AC387" s="10" t="s">
        <v>996</v>
      </c>
      <c r="AD387" s="10" t="s">
        <v>997</v>
      </c>
      <c r="AE387" s="11" t="str">
        <f>SUBSTITUTE(SUBSTITUTE(PROPERTIES[[#This Row],[PURCHASECOST_VALUE]], "PURCHASECOST_", ""), "_VALUE", "")</f>
        <v>ELECTRICENGINE</v>
      </c>
      <c r="AF387" s="10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413</v>
      </c>
      <c r="B388">
        <v>1980</v>
      </c>
      <c r="C388">
        <v>0</v>
      </c>
      <c r="D388" t="s">
        <v>1843</v>
      </c>
      <c r="E388" t="str">
        <f>_xlfn.XLOOKUP(PROPERTIES[[#This Row],[COUNTRY]],COUNTRIES[COUNTRY_DESCRIPTION],COUNTRIES[COUNTRY_LABEL],"")</f>
        <v>CZ</v>
      </c>
      <c r="F388" t="s">
        <v>74</v>
      </c>
      <c r="G388" t="s">
        <v>20</v>
      </c>
      <c r="H388">
        <v>0</v>
      </c>
      <c r="I388">
        <v>7</v>
      </c>
      <c r="J388">
        <v>7</v>
      </c>
      <c r="K388" s="2" t="s">
        <v>20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4">
        <v>87</v>
      </c>
      <c r="P388">
        <v>4667</v>
      </c>
      <c r="Q388">
        <v>120</v>
      </c>
      <c r="R388" s="31">
        <v>260</v>
      </c>
      <c r="S388" s="30">
        <f>IFERROR(PROPERTIES[[#This Row],[TE_STARTING_KN]]/(PROPERTIES[[#This Row],[WEIGHT]]*9.81),0)</f>
        <v>0.30463871020656846</v>
      </c>
      <c r="T388" s="30">
        <v>0.3</v>
      </c>
      <c r="U388" s="27">
        <f>ROUND(IF(IFERROR(PROPERTIES[[#This Row],[TE_COEFFICIENT_CALC]],0)=0,PROPERTIES[[#This Row],[TE_COEFFICIENT_MANUAL]],PROPERTIES[[#This Row],[TE_COEFFICIENT_CALC]]),3)</f>
        <v>0.30499999999999999</v>
      </c>
      <c r="V388" s="6">
        <v>40</v>
      </c>
      <c r="W388" s="10">
        <v>0</v>
      </c>
      <c r="X388" s="10">
        <v>0</v>
      </c>
      <c r="Y388" s="11"/>
      <c r="Z388" t="s">
        <v>911</v>
      </c>
      <c r="AA388" t="s">
        <v>904</v>
      </c>
      <c r="AB388" s="2" t="s">
        <v>922</v>
      </c>
      <c r="AC388" s="10" t="s">
        <v>996</v>
      </c>
      <c r="AD388" s="10" t="s">
        <v>997</v>
      </c>
      <c r="AE388" s="11" t="str">
        <f>SUBSTITUTE(SUBSTITUTE(PROPERTIES[[#This Row],[PURCHASECOST_VALUE]], "PURCHASECOST_", ""), "_VALUE", "")</f>
        <v>ELECTRICENGINE</v>
      </c>
      <c r="AF388" s="10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414</v>
      </c>
      <c r="B389">
        <v>1911</v>
      </c>
      <c r="C389">
        <v>0</v>
      </c>
      <c r="D389" t="s">
        <v>1953</v>
      </c>
      <c r="E389" t="str">
        <f>_xlfn.XLOOKUP(PROPERTIES[[#This Row],[COUNTRY]],COUNTRIES[COUNTRY_DESCRIPTION],COUNTRIES[COUNTRY_LABEL],"")</f>
        <v>NO</v>
      </c>
      <c r="F389" t="s">
        <v>74</v>
      </c>
      <c r="G389" t="s">
        <v>20</v>
      </c>
      <c r="H389">
        <v>0</v>
      </c>
      <c r="I389">
        <v>6</v>
      </c>
      <c r="J389">
        <v>6</v>
      </c>
      <c r="K389" s="2" t="s">
        <v>20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4">
        <v>48</v>
      </c>
      <c r="P389">
        <v>490</v>
      </c>
      <c r="Q389">
        <v>45</v>
      </c>
      <c r="R389" s="31">
        <v>0</v>
      </c>
      <c r="S389" s="30">
        <f>IFERROR(PROPERTIES[[#This Row],[TE_STARTING_KN]]/(PROPERTIES[[#This Row],[WEIGHT]]*9.81),0)</f>
        <v>0</v>
      </c>
      <c r="T389" s="30">
        <v>0.22</v>
      </c>
      <c r="U389" s="27">
        <f>ROUND(IF(IFERROR(PROPERTIES[[#This Row],[TE_COEFFICIENT_CALC]],0)=0,PROPERTIES[[#This Row],[TE_COEFFICIENT_MANUAL]],PROPERTIES[[#This Row],[TE_COEFFICIENT_CALC]]),3)</f>
        <v>0.22</v>
      </c>
      <c r="V389" s="6">
        <v>40</v>
      </c>
      <c r="W389" s="10">
        <v>0</v>
      </c>
      <c r="X389" s="10">
        <v>0</v>
      </c>
      <c r="Y389" s="11"/>
      <c r="Z389" t="s">
        <v>909</v>
      </c>
      <c r="AA389" t="s">
        <v>904</v>
      </c>
      <c r="AB389" s="2" t="s">
        <v>922</v>
      </c>
      <c r="AC389" s="10" t="s">
        <v>996</v>
      </c>
      <c r="AD389" s="10" t="s">
        <v>997</v>
      </c>
      <c r="AE389" s="11" t="str">
        <f>SUBSTITUTE(SUBSTITUTE(PROPERTIES[[#This Row],[PURCHASECOST_VALUE]], "PURCHASECOST_", ""), "_VALUE", "")</f>
        <v>ELECTRICENGINE</v>
      </c>
      <c r="AF389" s="10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389" s="2" t="b">
        <v>0</v>
      </c>
      <c r="AY389"/>
      <c r="AZ389"/>
      <c r="BA389"/>
    </row>
    <row r="390" spans="1:53">
      <c r="A390" s="2" t="s">
        <v>415</v>
      </c>
      <c r="B390">
        <v>1916</v>
      </c>
      <c r="C390">
        <v>0</v>
      </c>
      <c r="D390" t="s">
        <v>2019</v>
      </c>
      <c r="E390" t="str">
        <f>_xlfn.XLOOKUP(PROPERTIES[[#This Row],[COUNTRY]],COUNTRIES[COUNTRY_DESCRIPTION],COUNTRIES[COUNTRY_LABEL],"")</f>
        <v>US</v>
      </c>
      <c r="F390" t="s">
        <v>74</v>
      </c>
      <c r="G390" t="s">
        <v>20</v>
      </c>
      <c r="H390">
        <v>0</v>
      </c>
      <c r="I390">
        <v>8</v>
      </c>
      <c r="J390">
        <v>4</v>
      </c>
      <c r="K390" s="2" t="s">
        <v>20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4">
        <v>234</v>
      </c>
      <c r="P390">
        <v>4600</v>
      </c>
      <c r="Q390">
        <v>33</v>
      </c>
      <c r="R390" s="31">
        <v>620</v>
      </c>
      <c r="S390" s="30">
        <f>IFERROR(PROPERTIES[[#This Row],[TE_STARTING_KN]]/(PROPERTIES[[#This Row],[WEIGHT]]*9.81),0)</f>
        <v>0.27008895510424563</v>
      </c>
      <c r="T390" s="30">
        <v>0.17</v>
      </c>
      <c r="U390" s="27">
        <f>ROUND(IF(IFERROR(PROPERTIES[[#This Row],[TE_COEFFICIENT_CALC]],0)=0,PROPERTIES[[#This Row],[TE_COEFFICIENT_MANUAL]],PROPERTIES[[#This Row],[TE_COEFFICIENT_CALC]]),3)</f>
        <v>0.27</v>
      </c>
      <c r="V390" s="6">
        <v>40</v>
      </c>
      <c r="W390" s="10">
        <v>0</v>
      </c>
      <c r="X390" s="10">
        <v>2</v>
      </c>
      <c r="Y390" s="11"/>
      <c r="Z390" t="s">
        <v>910</v>
      </c>
      <c r="AA390" t="s">
        <v>904</v>
      </c>
      <c r="AB390" s="2" t="s">
        <v>922</v>
      </c>
      <c r="AC390" s="10" t="s">
        <v>996</v>
      </c>
      <c r="AD390" s="10" t="s">
        <v>997</v>
      </c>
      <c r="AE390" s="11" t="str">
        <f>SUBSTITUTE(SUBSTITUTE(PROPERTIES[[#This Row],[PURCHASECOST_VALUE]], "PURCHASECOST_", ""), "_VALUE", "")</f>
        <v>ELECTRICENGINE</v>
      </c>
      <c r="AF390" s="10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416</v>
      </c>
      <c r="B391">
        <v>1928</v>
      </c>
      <c r="C391">
        <v>0</v>
      </c>
      <c r="D391" t="s">
        <v>1799</v>
      </c>
      <c r="E391" t="str">
        <f>_xlfn.XLOOKUP(PROPERTIES[[#This Row],[COUNTRY]],COUNTRIES[COUNTRY_DESCRIPTION],COUNTRIES[COUNTRY_LABEL],"")</f>
        <v>AT</v>
      </c>
      <c r="F391" t="s">
        <v>74</v>
      </c>
      <c r="G391" t="s">
        <v>20</v>
      </c>
      <c r="H391">
        <v>0</v>
      </c>
      <c r="I391">
        <v>5</v>
      </c>
      <c r="J391">
        <v>5</v>
      </c>
      <c r="K391" s="2" t="s">
        <v>20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4">
        <v>55</v>
      </c>
      <c r="P391">
        <v>1000</v>
      </c>
      <c r="Q391">
        <v>40</v>
      </c>
      <c r="R391" s="31">
        <v>140</v>
      </c>
      <c r="S391" s="30">
        <f>IFERROR(PROPERTIES[[#This Row],[TE_STARTING_KN]]/(PROPERTIES[[#This Row],[WEIGHT]]*9.81),0)</f>
        <v>0.25947548883328697</v>
      </c>
      <c r="T391" s="30">
        <v>0.25</v>
      </c>
      <c r="U391" s="27">
        <f>ROUND(IF(IFERROR(PROPERTIES[[#This Row],[TE_COEFFICIENT_CALC]],0)=0,PROPERTIES[[#This Row],[TE_COEFFICIENT_MANUAL]],PROPERTIES[[#This Row],[TE_COEFFICIENT_CALC]]),3)</f>
        <v>0.25900000000000001</v>
      </c>
      <c r="V391" s="6">
        <v>40</v>
      </c>
      <c r="W391" s="10">
        <v>0</v>
      </c>
      <c r="X391" s="10">
        <v>0</v>
      </c>
      <c r="Y391" s="11"/>
      <c r="Z391" t="s">
        <v>905</v>
      </c>
      <c r="AA391" t="s">
        <v>904</v>
      </c>
      <c r="AB391" s="2" t="s">
        <v>922</v>
      </c>
      <c r="AC391" s="10" t="s">
        <v>996</v>
      </c>
      <c r="AD391" s="10" t="s">
        <v>997</v>
      </c>
      <c r="AE391" s="11" t="str">
        <f>SUBSTITUTE(SUBSTITUTE(PROPERTIES[[#This Row],[PURCHASECOST_VALUE]], "PURCHASECOST_", ""), "_VALUE", "")</f>
        <v>ELECTRICENGINE</v>
      </c>
      <c r="AF391" s="10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391" s="2" t="b">
        <v>0</v>
      </c>
      <c r="AY391"/>
      <c r="AZ391"/>
      <c r="BA391"/>
    </row>
    <row r="392" spans="1:53">
      <c r="A392" s="2" t="s">
        <v>417</v>
      </c>
      <c r="B392">
        <v>1930</v>
      </c>
      <c r="C392">
        <v>0</v>
      </c>
      <c r="D392" t="s">
        <v>1844</v>
      </c>
      <c r="E392" t="str">
        <f>_xlfn.XLOOKUP(PROPERTIES[[#This Row],[COUNTRY]],COUNTRIES[COUNTRY_DESCRIPTION],COUNTRIES[COUNTRY_LABEL],"")</f>
        <v>DE</v>
      </c>
      <c r="F392" t="s">
        <v>74</v>
      </c>
      <c r="G392" t="s">
        <v>20</v>
      </c>
      <c r="H392">
        <v>0</v>
      </c>
      <c r="I392">
        <v>6</v>
      </c>
      <c r="J392">
        <v>6</v>
      </c>
      <c r="K392" s="2" t="s">
        <v>20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4">
        <v>32</v>
      </c>
      <c r="P392">
        <v>810</v>
      </c>
      <c r="Q392">
        <v>50</v>
      </c>
      <c r="R392" s="31">
        <v>93</v>
      </c>
      <c r="S392" s="30">
        <f>IFERROR(PROPERTIES[[#This Row],[TE_STARTING_KN]]/(PROPERTIES[[#This Row],[WEIGHT]]*9.81),0)</f>
        <v>0.29625382262996941</v>
      </c>
      <c r="T392" s="30">
        <v>0.28999999999999998</v>
      </c>
      <c r="U392" s="27">
        <f>ROUND(IF(IFERROR(PROPERTIES[[#This Row],[TE_COEFFICIENT_CALC]],0)=0,PROPERTIES[[#This Row],[TE_COEFFICIENT_MANUAL]],PROPERTIES[[#This Row],[TE_COEFFICIENT_CALC]]),3)</f>
        <v>0.29599999999999999</v>
      </c>
      <c r="V392" s="6">
        <v>40</v>
      </c>
      <c r="W392" s="10">
        <v>0</v>
      </c>
      <c r="X392" s="10">
        <v>0</v>
      </c>
      <c r="Y392" s="11"/>
      <c r="Z392" t="s">
        <v>905</v>
      </c>
      <c r="AA392" t="s">
        <v>904</v>
      </c>
      <c r="AB392" s="2" t="s">
        <v>922</v>
      </c>
      <c r="AC392" s="10" t="s">
        <v>996</v>
      </c>
      <c r="AD392" s="10" t="s">
        <v>997</v>
      </c>
      <c r="AE392" s="11" t="str">
        <f>SUBSTITUTE(SUBSTITUTE(PROPERTIES[[#This Row],[PURCHASECOST_VALUE]], "PURCHASECOST_", ""), "_VALUE", "")</f>
        <v>ELECTRICENGINE</v>
      </c>
      <c r="AF392" s="10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392" s="2" t="b">
        <v>0</v>
      </c>
      <c r="AY392"/>
      <c r="AZ392"/>
      <c r="BA392"/>
    </row>
    <row r="393" spans="1:53">
      <c r="A393" s="2" t="s">
        <v>418</v>
      </c>
      <c r="B393">
        <v>1931</v>
      </c>
      <c r="C393">
        <v>0</v>
      </c>
      <c r="D393" t="s">
        <v>1953</v>
      </c>
      <c r="E393" t="str">
        <f>_xlfn.XLOOKUP(PROPERTIES[[#This Row],[COUNTRY]],COUNTRIES[COUNTRY_DESCRIPTION],COUNTRIES[COUNTRY_LABEL],"")</f>
        <v>NO</v>
      </c>
      <c r="F393" t="s">
        <v>74</v>
      </c>
      <c r="G393" t="s">
        <v>20</v>
      </c>
      <c r="H393">
        <v>0</v>
      </c>
      <c r="I393">
        <v>6</v>
      </c>
      <c r="J393">
        <v>6</v>
      </c>
      <c r="K393" s="2" t="s">
        <v>20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4">
        <v>47.3</v>
      </c>
      <c r="P393">
        <v>700</v>
      </c>
      <c r="Q393">
        <v>45</v>
      </c>
      <c r="R393" s="31">
        <v>110</v>
      </c>
      <c r="S393" s="30">
        <f>IFERROR(PROPERTIES[[#This Row],[TE_STARTING_KN]]/(PROPERTIES[[#This Row],[WEIGHT]]*9.81),0)</f>
        <v>0.23706232368489677</v>
      </c>
      <c r="T393" s="30">
        <v>0.3</v>
      </c>
      <c r="U393" s="27">
        <f>ROUND(IF(IFERROR(PROPERTIES[[#This Row],[TE_COEFFICIENT_CALC]],0)=0,PROPERTIES[[#This Row],[TE_COEFFICIENT_MANUAL]],PROPERTIES[[#This Row],[TE_COEFFICIENT_CALC]]),3)</f>
        <v>0.23699999999999999</v>
      </c>
      <c r="V393" s="6">
        <v>40</v>
      </c>
      <c r="W393" s="10">
        <v>0</v>
      </c>
      <c r="X393" s="10">
        <v>0</v>
      </c>
      <c r="Y393" s="11"/>
      <c r="Z393" t="s">
        <v>909</v>
      </c>
      <c r="AA393" t="s">
        <v>904</v>
      </c>
      <c r="AB393" s="2" t="s">
        <v>922</v>
      </c>
      <c r="AC393" s="10" t="s">
        <v>996</v>
      </c>
      <c r="AD393" s="10" t="s">
        <v>997</v>
      </c>
      <c r="AE393" s="11" t="str">
        <f>SUBSTITUTE(SUBSTITUTE(PROPERTIES[[#This Row],[PURCHASECOST_VALUE]], "PURCHASECOST_", ""), "_VALUE", "")</f>
        <v>ELECTRICENGINE</v>
      </c>
      <c r="AF393" s="10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393" s="2" t="b">
        <v>0</v>
      </c>
      <c r="AY393"/>
      <c r="AZ393"/>
      <c r="BA393"/>
    </row>
    <row r="394" spans="1:53">
      <c r="A394" s="2" t="s">
        <v>419</v>
      </c>
      <c r="B394">
        <v>1933</v>
      </c>
      <c r="C394">
        <v>0</v>
      </c>
      <c r="D394" t="s">
        <v>1844</v>
      </c>
      <c r="E394" t="str">
        <f>_xlfn.XLOOKUP(PROPERTIES[[#This Row],[COUNTRY]],COUNTRIES[COUNTRY_DESCRIPTION],COUNTRIES[COUNTRY_LABEL],"")</f>
        <v>DE</v>
      </c>
      <c r="F394" t="s">
        <v>74</v>
      </c>
      <c r="G394" t="s">
        <v>20</v>
      </c>
      <c r="H394">
        <v>0</v>
      </c>
      <c r="I394">
        <v>8</v>
      </c>
      <c r="J394">
        <v>8</v>
      </c>
      <c r="K394" s="2" t="s">
        <v>20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4">
        <v>92</v>
      </c>
      <c r="P394">
        <v>2935</v>
      </c>
      <c r="Q394">
        <v>110</v>
      </c>
      <c r="R394" s="31">
        <v>177</v>
      </c>
      <c r="S394" s="30">
        <f>IFERROR(PROPERTIES[[#This Row],[TE_STARTING_KN]]/(PROPERTIES[[#This Row],[WEIGHT]]*9.81),0)</f>
        <v>0.19611753756149447</v>
      </c>
      <c r="T394" s="30">
        <v>0.3</v>
      </c>
      <c r="U394" s="27">
        <f>ROUND(IF(IFERROR(PROPERTIES[[#This Row],[TE_COEFFICIENT_CALC]],0)=0,PROPERTIES[[#This Row],[TE_COEFFICIENT_MANUAL]],PROPERTIES[[#This Row],[TE_COEFFICIENT_CALC]]),3)</f>
        <v>0.19600000000000001</v>
      </c>
      <c r="V394" s="6">
        <v>40</v>
      </c>
      <c r="W394" s="10">
        <v>0</v>
      </c>
      <c r="X394" s="10">
        <v>0</v>
      </c>
      <c r="Y394" s="11"/>
      <c r="Z394" t="s">
        <v>905</v>
      </c>
      <c r="AA394" t="s">
        <v>904</v>
      </c>
      <c r="AB394" s="2" t="s">
        <v>922</v>
      </c>
      <c r="AC394" s="10" t="s">
        <v>996</v>
      </c>
      <c r="AD394" s="10" t="s">
        <v>997</v>
      </c>
      <c r="AE394" s="11" t="str">
        <f>SUBSTITUTE(SUBSTITUTE(PROPERTIES[[#This Row],[PURCHASECOST_VALUE]], "PURCHASECOST_", ""), "_VALUE", "")</f>
        <v>ELECTRICENGINE</v>
      </c>
      <c r="AF394" s="10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420</v>
      </c>
      <c r="B395">
        <v>1935</v>
      </c>
      <c r="C395">
        <v>0</v>
      </c>
      <c r="D395" t="s">
        <v>2019</v>
      </c>
      <c r="E395" t="str">
        <f>_xlfn.XLOOKUP(PROPERTIES[[#This Row],[COUNTRY]],COUNTRIES[COUNTRY_DESCRIPTION],COUNTRIES[COUNTRY_LABEL],"")</f>
        <v>US</v>
      </c>
      <c r="F395" t="s">
        <v>74</v>
      </c>
      <c r="G395" t="s">
        <v>20</v>
      </c>
      <c r="H395">
        <v>0</v>
      </c>
      <c r="I395">
        <v>8</v>
      </c>
      <c r="J395">
        <v>4</v>
      </c>
      <c r="K395" s="2" t="s">
        <v>20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4">
        <v>215</v>
      </c>
      <c r="P395">
        <v>4620</v>
      </c>
      <c r="Q395">
        <v>160</v>
      </c>
      <c r="R395" s="31">
        <v>291</v>
      </c>
      <c r="S395" s="30">
        <f>IFERROR(PROPERTIES[[#This Row],[TE_STARTING_KN]]/(PROPERTIES[[#This Row],[WEIGHT]]*9.81),0)</f>
        <v>0.1379702723846099</v>
      </c>
      <c r="T395" s="30">
        <v>0.15</v>
      </c>
      <c r="U395" s="27">
        <f>ROUND(IF(IFERROR(PROPERTIES[[#This Row],[TE_COEFFICIENT_CALC]],0)=0,PROPERTIES[[#This Row],[TE_COEFFICIENT_MANUAL]],PROPERTIES[[#This Row],[TE_COEFFICIENT_CALC]]),3)</f>
        <v>0.13800000000000001</v>
      </c>
      <c r="V395" s="6">
        <v>40</v>
      </c>
      <c r="W395" s="10">
        <v>0</v>
      </c>
      <c r="X395" s="10">
        <v>2</v>
      </c>
      <c r="Y395" s="11"/>
      <c r="Z395" t="s">
        <v>910</v>
      </c>
      <c r="AA395" t="s">
        <v>904</v>
      </c>
      <c r="AB395" s="2" t="s">
        <v>922</v>
      </c>
      <c r="AC395" s="10" t="s">
        <v>996</v>
      </c>
      <c r="AD395" s="10" t="s">
        <v>997</v>
      </c>
      <c r="AE395" s="11" t="str">
        <f>SUBSTITUTE(SUBSTITUTE(PROPERTIES[[#This Row],[PURCHASECOST_VALUE]], "PURCHASECOST_", ""), "_VALUE", "")</f>
        <v>ELECTRICENGINE</v>
      </c>
      <c r="AF395" s="10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421</v>
      </c>
      <c r="B396">
        <v>1940</v>
      </c>
      <c r="C396">
        <v>0</v>
      </c>
      <c r="D396" t="s">
        <v>1799</v>
      </c>
      <c r="E396" t="str">
        <f>_xlfn.XLOOKUP(PROPERTIES[[#This Row],[COUNTRY]],COUNTRIES[COUNTRY_DESCRIPTION],COUNTRIES[COUNTRY_LABEL],"")</f>
        <v>AT</v>
      </c>
      <c r="F396" t="s">
        <v>74</v>
      </c>
      <c r="G396" t="s">
        <v>20</v>
      </c>
      <c r="H396">
        <v>0</v>
      </c>
      <c r="I396">
        <v>8</v>
      </c>
      <c r="J396">
        <v>8</v>
      </c>
      <c r="K396" s="2" t="s">
        <v>20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4">
        <v>128</v>
      </c>
      <c r="P396">
        <v>3648</v>
      </c>
      <c r="Q396">
        <v>75</v>
      </c>
      <c r="R396" s="31">
        <v>300</v>
      </c>
      <c r="S396" s="30">
        <f>IFERROR(PROPERTIES[[#This Row],[TE_STARTING_KN]]/(PROPERTIES[[#This Row],[WEIGHT]]*9.81),0)</f>
        <v>0.23891437308868502</v>
      </c>
      <c r="T396" s="30">
        <v>0.31</v>
      </c>
      <c r="U396" s="27">
        <f>ROUND(IF(IFERROR(PROPERTIES[[#This Row],[TE_COEFFICIENT_CALC]],0)=0,PROPERTIES[[#This Row],[TE_COEFFICIENT_MANUAL]],PROPERTIES[[#This Row],[TE_COEFFICIENT_CALC]]),3)</f>
        <v>0.23899999999999999</v>
      </c>
      <c r="V396" s="6">
        <v>40</v>
      </c>
      <c r="W396" s="10">
        <v>0</v>
      </c>
      <c r="X396" s="10">
        <v>0</v>
      </c>
      <c r="Y396" s="11"/>
      <c r="Z396" t="s">
        <v>905</v>
      </c>
      <c r="AA396" t="s">
        <v>904</v>
      </c>
      <c r="AB396" s="2" t="s">
        <v>922</v>
      </c>
      <c r="AC396" s="10" t="s">
        <v>996</v>
      </c>
      <c r="AD396" s="10" t="s">
        <v>997</v>
      </c>
      <c r="AE396" s="11" t="str">
        <f>SUBSTITUTE(SUBSTITUTE(PROPERTIES[[#This Row],[PURCHASECOST_VALUE]], "PURCHASECOST_", ""), "_VALUE", "")</f>
        <v>ELECTRICENGINE</v>
      </c>
      <c r="AF396" s="10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422</v>
      </c>
      <c r="B397">
        <v>1970</v>
      </c>
      <c r="C397">
        <v>0</v>
      </c>
      <c r="D397" t="s">
        <v>2036</v>
      </c>
      <c r="E397" t="str">
        <f>_xlfn.XLOOKUP(PROPERTIES[[#This Row],[COUNTRY]],COUNTRIES[COUNTRY_DESCRIPTION],COUNTRIES[COUNTRY_LABEL],"")</f>
        <v>GDR</v>
      </c>
      <c r="F397" t="s">
        <v>74</v>
      </c>
      <c r="G397" t="s">
        <v>20</v>
      </c>
      <c r="H397">
        <v>0</v>
      </c>
      <c r="I397">
        <v>8</v>
      </c>
      <c r="J397">
        <v>8</v>
      </c>
      <c r="K397" s="2" t="s">
        <v>20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4">
        <v>114</v>
      </c>
      <c r="P397">
        <v>9980</v>
      </c>
      <c r="Q397">
        <v>200</v>
      </c>
      <c r="R397" s="31">
        <v>312</v>
      </c>
      <c r="S397" s="30">
        <f>IFERROR(PROPERTIES[[#This Row],[TE_STARTING_KN]]/(PROPERTIES[[#This Row],[WEIGHT]]*9.81),0)</f>
        <v>0.27898492408391007</v>
      </c>
      <c r="T397" s="30">
        <v>0.27</v>
      </c>
      <c r="U397" s="27">
        <f>ROUND(IF(IFERROR(PROPERTIES[[#This Row],[TE_COEFFICIENT_CALC]],0)=0,PROPERTIES[[#This Row],[TE_COEFFICIENT_MANUAL]],PROPERTIES[[#This Row],[TE_COEFFICIENT_CALC]]),3)</f>
        <v>0.27900000000000003</v>
      </c>
      <c r="V397" s="6">
        <v>40</v>
      </c>
      <c r="W397" s="10">
        <v>0</v>
      </c>
      <c r="X397" s="10">
        <v>0</v>
      </c>
      <c r="Y397" s="11"/>
      <c r="Z397" t="s">
        <v>905</v>
      </c>
      <c r="AA397" t="s">
        <v>904</v>
      </c>
      <c r="AB397" s="2" t="s">
        <v>922</v>
      </c>
      <c r="AC397" s="10" t="s">
        <v>996</v>
      </c>
      <c r="AD397" s="10" t="s">
        <v>997</v>
      </c>
      <c r="AE397" s="11" t="str">
        <f>SUBSTITUTE(SUBSTITUTE(PROPERTIES[[#This Row],[PURCHASECOST_VALUE]], "PURCHASECOST_", ""), "_VALUE", "")</f>
        <v>ELECTRICENGINE</v>
      </c>
      <c r="AF397" s="10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423</v>
      </c>
      <c r="B398">
        <v>1925</v>
      </c>
      <c r="C398">
        <v>0</v>
      </c>
      <c r="D398" t="s">
        <v>1844</v>
      </c>
      <c r="E398" t="str">
        <f>_xlfn.XLOOKUP(PROPERTIES[[#This Row],[COUNTRY]],COUNTRIES[COUNTRY_DESCRIPTION],COUNTRIES[COUNTRY_LABEL],"")</f>
        <v>DE</v>
      </c>
      <c r="F398" t="s">
        <v>74</v>
      </c>
      <c r="G398" t="s">
        <v>20</v>
      </c>
      <c r="H398">
        <v>0</v>
      </c>
      <c r="I398">
        <v>8</v>
      </c>
      <c r="J398">
        <v>8</v>
      </c>
      <c r="K398" s="2" t="s">
        <v>20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4">
        <v>124</v>
      </c>
      <c r="P398">
        <v>2230</v>
      </c>
      <c r="Q398">
        <v>55</v>
      </c>
      <c r="R398" s="31">
        <v>294</v>
      </c>
      <c r="S398" s="30">
        <f>IFERROR(PROPERTIES[[#This Row],[TE_STARTING_KN]]/(PROPERTIES[[#This Row],[WEIGHT]]*9.81),0)</f>
        <v>0.24168886258261812</v>
      </c>
      <c r="T398" s="30">
        <v>0.24</v>
      </c>
      <c r="U398" s="27">
        <f>ROUND(IF(IFERROR(PROPERTIES[[#This Row],[TE_COEFFICIENT_CALC]],0)=0,PROPERTIES[[#This Row],[TE_COEFFICIENT_MANUAL]],PROPERTIES[[#This Row],[TE_COEFFICIENT_CALC]]),3)</f>
        <v>0.24199999999999999</v>
      </c>
      <c r="V398" s="6">
        <v>40</v>
      </c>
      <c r="W398" s="10">
        <v>0</v>
      </c>
      <c r="X398" s="10">
        <v>0</v>
      </c>
      <c r="Y398" s="11"/>
      <c r="Z398" t="s">
        <v>905</v>
      </c>
      <c r="AA398" t="s">
        <v>904</v>
      </c>
      <c r="AB398" s="2" t="s">
        <v>922</v>
      </c>
      <c r="AC398" s="10" t="s">
        <v>996</v>
      </c>
      <c r="AD398" s="10" t="s">
        <v>997</v>
      </c>
      <c r="AE398" s="11" t="str">
        <f>SUBSTITUTE(SUBSTITUTE(PROPERTIES[[#This Row],[PURCHASECOST_VALUE]], "PURCHASECOST_", ""), "_VALUE", "")</f>
        <v>ELECTRICENGINE</v>
      </c>
      <c r="AF398" s="10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424</v>
      </c>
      <c r="B399">
        <v>1954</v>
      </c>
      <c r="C399">
        <v>0</v>
      </c>
      <c r="D399" t="s">
        <v>1830</v>
      </c>
      <c r="E399" t="str">
        <f>_xlfn.XLOOKUP(PROPERTIES[[#This Row],[COUNTRY]],COUNTRIES[COUNTRY_DESCRIPTION],COUNTRIES[COUNTRY_LABEL],"")</f>
        <v>CH</v>
      </c>
      <c r="F399" t="s">
        <v>74</v>
      </c>
      <c r="G399" t="s">
        <v>20</v>
      </c>
      <c r="H399">
        <v>0</v>
      </c>
      <c r="I399">
        <v>5</v>
      </c>
      <c r="J399">
        <v>5</v>
      </c>
      <c r="K399" s="2" t="s">
        <v>20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4">
        <v>70</v>
      </c>
      <c r="P399">
        <v>1000</v>
      </c>
      <c r="Q399">
        <v>65</v>
      </c>
      <c r="R399" s="31">
        <v>74</v>
      </c>
      <c r="S399" s="30">
        <f>IFERROR(PROPERTIES[[#This Row],[TE_STARTING_KN]]/(PROPERTIES[[#This Row],[WEIGHT]]*9.81),0)</f>
        <v>0.10776175913790592</v>
      </c>
      <c r="T399" s="30">
        <v>0.17</v>
      </c>
      <c r="U399" s="27">
        <f>ROUND(IF(IFERROR(PROPERTIES[[#This Row],[TE_COEFFICIENT_CALC]],0)=0,PROPERTIES[[#This Row],[TE_COEFFICIENT_MANUAL]],PROPERTIES[[#This Row],[TE_COEFFICIENT_CALC]]),3)</f>
        <v>0.108</v>
      </c>
      <c r="V399" s="6">
        <v>40</v>
      </c>
      <c r="W399" s="10">
        <v>0</v>
      </c>
      <c r="X399" s="10">
        <v>0</v>
      </c>
      <c r="Y399" s="11"/>
      <c r="Z399" t="s">
        <v>905</v>
      </c>
      <c r="AA399" t="s">
        <v>904</v>
      </c>
      <c r="AB399" s="2" t="s">
        <v>922</v>
      </c>
      <c r="AC399" s="10" t="s">
        <v>996</v>
      </c>
      <c r="AD399" s="10" t="s">
        <v>997</v>
      </c>
      <c r="AE399" s="11" t="str">
        <f>SUBSTITUTE(SUBSTITUTE(PROPERTIES[[#This Row],[PURCHASECOST_VALUE]], "PURCHASECOST_", ""), "_VALUE", "")</f>
        <v>ELECTRICENGINE</v>
      </c>
      <c r="AF399" s="10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425</v>
      </c>
      <c r="B400">
        <v>1955</v>
      </c>
      <c r="C400">
        <v>0</v>
      </c>
      <c r="D400" t="s">
        <v>1830</v>
      </c>
      <c r="E400" t="str">
        <f>_xlfn.XLOOKUP(PROPERTIES[[#This Row],[COUNTRY]],COUNTRIES[COUNTRY_DESCRIPTION],COUNTRIES[COUNTRY_LABEL],"")</f>
        <v>CH</v>
      </c>
      <c r="F400" t="s">
        <v>74</v>
      </c>
      <c r="G400" t="s">
        <v>20</v>
      </c>
      <c r="H400">
        <v>0</v>
      </c>
      <c r="I400">
        <v>8</v>
      </c>
      <c r="J400">
        <v>8</v>
      </c>
      <c r="K400" s="2" t="s">
        <v>20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4">
        <v>120</v>
      </c>
      <c r="P400">
        <v>5770</v>
      </c>
      <c r="Q400">
        <v>120</v>
      </c>
      <c r="R400" s="31">
        <v>392</v>
      </c>
      <c r="S400" s="30">
        <f>IFERROR(PROPERTIES[[#This Row],[TE_STARTING_KN]]/(PROPERTIES[[#This Row],[WEIGHT]]*9.81),0)</f>
        <v>0.3329935440027183</v>
      </c>
      <c r="T400" s="30">
        <v>0.33</v>
      </c>
      <c r="U400" s="27">
        <f>ROUND(IF(IFERROR(PROPERTIES[[#This Row],[TE_COEFFICIENT_CALC]],0)=0,PROPERTIES[[#This Row],[TE_COEFFICIENT_MANUAL]],PROPERTIES[[#This Row],[TE_COEFFICIENT_CALC]]),3)</f>
        <v>0.33300000000000002</v>
      </c>
      <c r="V400" s="6">
        <v>40</v>
      </c>
      <c r="W400" s="10">
        <v>0</v>
      </c>
      <c r="X400" s="10">
        <v>0</v>
      </c>
      <c r="Y400" s="11"/>
      <c r="Z400" t="s">
        <v>905</v>
      </c>
      <c r="AA400" t="s">
        <v>904</v>
      </c>
      <c r="AB400" s="2" t="s">
        <v>922</v>
      </c>
      <c r="AC400" s="10" t="s">
        <v>996</v>
      </c>
      <c r="AD400" s="10" t="s">
        <v>997</v>
      </c>
      <c r="AE400" s="11" t="str">
        <f>SUBSTITUTE(SUBSTITUTE(PROPERTIES[[#This Row],[PURCHASECOST_VALUE]], "PURCHASECOST_", ""), "_VALUE", "")</f>
        <v>ELECTRICENGINE</v>
      </c>
      <c r="AF400" s="10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426</v>
      </c>
      <c r="B401">
        <v>1991</v>
      </c>
      <c r="C401">
        <v>0</v>
      </c>
      <c r="D401" t="s">
        <v>1830</v>
      </c>
      <c r="E401" t="str">
        <f>_xlfn.XLOOKUP(PROPERTIES[[#This Row],[COUNTRY]],COUNTRIES[COUNTRY_DESCRIPTION],COUNTRIES[COUNTRY_LABEL],"")</f>
        <v>CH</v>
      </c>
      <c r="F401" t="s">
        <v>74</v>
      </c>
      <c r="G401" t="s">
        <v>20</v>
      </c>
      <c r="H401">
        <v>0</v>
      </c>
      <c r="I401">
        <v>8</v>
      </c>
      <c r="J401">
        <v>8</v>
      </c>
      <c r="K401" s="2" t="s">
        <v>20</v>
      </c>
      <c r="L401">
        <f>_xlfn.XLOOKUP("LOADINGSPEEDDEF_"&amp;PROPERTIES[[#This Row],[LOADINGSPEED]],LOADINGSPEEDDEF[TYPE],LOADINGSPEEDDEF[SPEED])</f>
        <v>0</v>
      </c>
      <c r="M401" t="s">
        <v>21</v>
      </c>
      <c r="N401">
        <v>1</v>
      </c>
      <c r="O401" s="34">
        <v>84</v>
      </c>
      <c r="P401">
        <v>7510</v>
      </c>
      <c r="Q401">
        <v>230</v>
      </c>
      <c r="R401" s="31">
        <v>300</v>
      </c>
      <c r="S401" s="30">
        <f>IFERROR(PROPERTIES[[#This Row],[TE_STARTING_KN]]/(PROPERTIES[[#This Row],[WEIGHT]]*9.81),0)</f>
        <v>0.36405999708752002</v>
      </c>
      <c r="T401" s="30">
        <v>0.36</v>
      </c>
      <c r="U401" s="27">
        <f>ROUND(IF(IFERROR(PROPERTIES[[#This Row],[TE_COEFFICIENT_CALC]],0)=0,PROPERTIES[[#This Row],[TE_COEFFICIENT_MANUAL]],PROPERTIES[[#This Row],[TE_COEFFICIENT_CALC]]),3)</f>
        <v>0.36399999999999999</v>
      </c>
      <c r="V401" s="6">
        <v>40</v>
      </c>
      <c r="W401" s="10">
        <v>0</v>
      </c>
      <c r="X401" s="10">
        <v>0</v>
      </c>
      <c r="Y401" s="11"/>
      <c r="Z401" t="s">
        <v>905</v>
      </c>
      <c r="AA401" t="s">
        <v>904</v>
      </c>
      <c r="AB401" s="2" t="s">
        <v>922</v>
      </c>
      <c r="AC401" s="10" t="s">
        <v>996</v>
      </c>
      <c r="AD401" s="10" t="s">
        <v>997</v>
      </c>
      <c r="AE401" s="11" t="str">
        <f>SUBSTITUTE(SUBSTITUTE(PROPERTIES[[#This Row],[PURCHASECOST_VALUE]], "PURCHASECOST_", ""), "_VALUE", "")</f>
        <v>ELECTRICENGINE</v>
      </c>
      <c r="AF401" s="10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427</v>
      </c>
      <c r="B402">
        <v>2012</v>
      </c>
      <c r="C402">
        <v>0</v>
      </c>
      <c r="D402" t="s">
        <v>1830</v>
      </c>
      <c r="E402" t="str">
        <f>_xlfn.XLOOKUP(PROPERTIES[[#This Row],[COUNTRY]],COUNTRIES[COUNTRY_DESCRIPTION],COUNTRIES[COUNTRY_LABEL],"")</f>
        <v>CH</v>
      </c>
      <c r="F402" t="s">
        <v>74</v>
      </c>
      <c r="G402" t="s">
        <v>20</v>
      </c>
      <c r="H402">
        <v>0</v>
      </c>
      <c r="I402">
        <v>5</v>
      </c>
      <c r="J402">
        <v>5</v>
      </c>
      <c r="K402" s="2" t="s">
        <v>20</v>
      </c>
      <c r="L402">
        <f>_xlfn.XLOOKUP("LOADINGSPEEDDEF_"&amp;PROPERTIES[[#This Row],[LOADINGSPEED]],LOADINGSPEEDDEF[TYPE],LOADINGSPEEDDEF[SPEED])</f>
        <v>0</v>
      </c>
      <c r="M402" t="s">
        <v>21</v>
      </c>
      <c r="N402">
        <v>1</v>
      </c>
      <c r="O402" s="34">
        <v>45</v>
      </c>
      <c r="P402">
        <v>2012</v>
      </c>
      <c r="Q402">
        <v>120</v>
      </c>
      <c r="R402" s="31">
        <v>150</v>
      </c>
      <c r="S402" s="30">
        <f>IFERROR(PROPERTIES[[#This Row],[TE_STARTING_KN]]/(PROPERTIES[[#This Row],[WEIGHT]]*9.81),0)</f>
        <v>0.33978933061501865</v>
      </c>
      <c r="T402" s="30">
        <v>0.27</v>
      </c>
      <c r="U402" s="27">
        <f>ROUND(IF(IFERROR(PROPERTIES[[#This Row],[TE_COEFFICIENT_CALC]],0)=0,PROPERTIES[[#This Row],[TE_COEFFICIENT_MANUAL]],PROPERTIES[[#This Row],[TE_COEFFICIENT_CALC]]),3)</f>
        <v>0.34</v>
      </c>
      <c r="V402" s="6">
        <v>40</v>
      </c>
      <c r="W402" s="10">
        <v>0</v>
      </c>
      <c r="X402" s="10">
        <v>0</v>
      </c>
      <c r="Y402" s="11"/>
      <c r="Z402" t="s">
        <v>905</v>
      </c>
      <c r="AA402" t="s">
        <v>904</v>
      </c>
      <c r="AB402" s="2" t="s">
        <v>922</v>
      </c>
      <c r="AC402" s="10" t="s">
        <v>996</v>
      </c>
      <c r="AD402" s="10" t="s">
        <v>997</v>
      </c>
      <c r="AE402" s="11" t="str">
        <f>SUBSTITUTE(SUBSTITUTE(PROPERTIES[[#This Row],[PURCHASECOST_VALUE]], "PURCHASECOST_", ""), "_VALUE", "")</f>
        <v>ELECTRICENGINE</v>
      </c>
      <c r="AF402" s="10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428</v>
      </c>
      <c r="B403">
        <v>1974</v>
      </c>
      <c r="C403">
        <v>0</v>
      </c>
      <c r="D403" t="s">
        <v>1799</v>
      </c>
      <c r="E403" t="str">
        <f>_xlfn.XLOOKUP(PROPERTIES[[#This Row],[COUNTRY]],COUNTRIES[COUNTRY_DESCRIPTION],COUNTRIES[COUNTRY_LABEL],"")</f>
        <v>AT</v>
      </c>
      <c r="F403" t="s">
        <v>74</v>
      </c>
      <c r="G403" t="s">
        <v>20</v>
      </c>
      <c r="H403">
        <v>0</v>
      </c>
      <c r="I403">
        <v>8</v>
      </c>
      <c r="J403">
        <v>8</v>
      </c>
      <c r="K403" s="2" t="s">
        <v>20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4">
        <v>84</v>
      </c>
      <c r="P403">
        <v>6970</v>
      </c>
      <c r="Q403">
        <v>160</v>
      </c>
      <c r="R403" s="31">
        <v>341</v>
      </c>
      <c r="S403" s="30">
        <f>IFERROR(PROPERTIES[[#This Row],[TE_STARTING_KN]]/(PROPERTIES[[#This Row],[WEIGHT]]*9.81),0)</f>
        <v>0.4138148633561477</v>
      </c>
      <c r="T403" s="30">
        <v>0.39</v>
      </c>
      <c r="U403" s="27">
        <f>ROUND(IF(IFERROR(PROPERTIES[[#This Row],[TE_COEFFICIENT_CALC]],0)=0,PROPERTIES[[#This Row],[TE_COEFFICIENT_MANUAL]],PROPERTIES[[#This Row],[TE_COEFFICIENT_CALC]]),3)</f>
        <v>0.41399999999999998</v>
      </c>
      <c r="V403" s="6">
        <v>40</v>
      </c>
      <c r="W403" s="10">
        <v>0</v>
      </c>
      <c r="X403" s="10">
        <v>0</v>
      </c>
      <c r="Y403" s="11"/>
      <c r="Z403" t="s">
        <v>905</v>
      </c>
      <c r="AA403" t="s">
        <v>904</v>
      </c>
      <c r="AB403" s="2" t="s">
        <v>922</v>
      </c>
      <c r="AC403" s="10" t="s">
        <v>996</v>
      </c>
      <c r="AD403" s="10" t="s">
        <v>997</v>
      </c>
      <c r="AE403" s="11" t="str">
        <f>SUBSTITUTE(SUBSTITUTE(PROPERTIES[[#This Row],[PURCHASECOST_VALUE]], "PURCHASECOST_", ""), "_VALUE", "")</f>
        <v>ELECTRICENGINE</v>
      </c>
      <c r="AF403" s="10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429</v>
      </c>
      <c r="B404">
        <v>1982</v>
      </c>
      <c r="C404">
        <v>0</v>
      </c>
      <c r="D404" t="s">
        <v>1799</v>
      </c>
      <c r="E404" t="str">
        <f>_xlfn.XLOOKUP(PROPERTIES[[#This Row],[COUNTRY]],COUNTRIES[COUNTRY_DESCRIPTION],COUNTRIES[COUNTRY_LABEL],"")</f>
        <v>AT</v>
      </c>
      <c r="F404" t="s">
        <v>74</v>
      </c>
      <c r="G404" t="s">
        <v>20</v>
      </c>
      <c r="H404">
        <v>0</v>
      </c>
      <c r="I404">
        <v>8</v>
      </c>
      <c r="J404">
        <v>8</v>
      </c>
      <c r="K404" s="2" t="s">
        <v>20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4">
        <v>82</v>
      </c>
      <c r="P404">
        <v>2680</v>
      </c>
      <c r="Q404">
        <v>100</v>
      </c>
      <c r="R404" s="31">
        <v>260</v>
      </c>
      <c r="S404" s="30">
        <f>IFERROR(PROPERTIES[[#This Row],[TE_STARTING_KN]]/(PROPERTIES[[#This Row],[WEIGHT]]*9.81),0)</f>
        <v>0.32321424131672505</v>
      </c>
      <c r="T404" s="30">
        <v>0.32</v>
      </c>
      <c r="U404" s="27">
        <f>ROUND(IF(IFERROR(PROPERTIES[[#This Row],[TE_COEFFICIENT_CALC]],0)=0,PROPERTIES[[#This Row],[TE_COEFFICIENT_MANUAL]],PROPERTIES[[#This Row],[TE_COEFFICIENT_CALC]]),3)</f>
        <v>0.32300000000000001</v>
      </c>
      <c r="V404" s="6">
        <v>40</v>
      </c>
      <c r="W404" s="10">
        <v>0</v>
      </c>
      <c r="X404" s="10">
        <v>0</v>
      </c>
      <c r="Y404" s="11"/>
      <c r="Z404" t="s">
        <v>905</v>
      </c>
      <c r="AA404" t="s">
        <v>904</v>
      </c>
      <c r="AB404" s="2" t="s">
        <v>922</v>
      </c>
      <c r="AC404" s="10" t="s">
        <v>996</v>
      </c>
      <c r="AD404" s="10" t="s">
        <v>997</v>
      </c>
      <c r="AE404" s="11" t="str">
        <f>SUBSTITUTE(SUBSTITUTE(PROPERTIES[[#This Row],[PURCHASECOST_VALUE]], "PURCHASECOST_", ""), "_VALUE", "")</f>
        <v>ELECTRICENGINE</v>
      </c>
      <c r="AF404" s="10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430</v>
      </c>
      <c r="B405">
        <v>1953</v>
      </c>
      <c r="C405">
        <v>0</v>
      </c>
      <c r="D405" t="s">
        <v>1983</v>
      </c>
      <c r="E405" t="str">
        <f>_xlfn.XLOOKUP(PROPERTIES[[#This Row],[COUNTRY]],COUNTRIES[COUNTRY_DESCRIPTION],COUNTRIES[COUNTRY_LABEL],"")</f>
        <v>SE</v>
      </c>
      <c r="F405" t="s">
        <v>74</v>
      </c>
      <c r="G405" t="s">
        <v>20</v>
      </c>
      <c r="H405">
        <v>0</v>
      </c>
      <c r="I405">
        <v>7</v>
      </c>
      <c r="J405">
        <v>21</v>
      </c>
      <c r="K405" s="2" t="s">
        <v>20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4">
        <v>273</v>
      </c>
      <c r="P405">
        <v>9700</v>
      </c>
      <c r="Q405">
        <v>75</v>
      </c>
      <c r="R405" s="31">
        <v>940</v>
      </c>
      <c r="S405" s="30">
        <f>IFERROR(PROPERTIES[[#This Row],[TE_STARTING_KN]]/(PROPERTIES[[#This Row],[WEIGHT]]*9.81),0)</f>
        <v>0.35099117667925006</v>
      </c>
      <c r="T405" s="30">
        <v>0.34</v>
      </c>
      <c r="U405" s="27">
        <f>ROUND(IF(IFERROR(PROPERTIES[[#This Row],[TE_COEFFICIENT_CALC]],0)=0,PROPERTIES[[#This Row],[TE_COEFFICIENT_MANUAL]],PROPERTIES[[#This Row],[TE_COEFFICIENT_CALC]]),3)</f>
        <v>0.35099999999999998</v>
      </c>
      <c r="V405" s="6">
        <v>40</v>
      </c>
      <c r="W405" s="10">
        <v>0</v>
      </c>
      <c r="X405" s="10">
        <v>0</v>
      </c>
      <c r="Y405" s="11"/>
      <c r="Z405" t="s">
        <v>909</v>
      </c>
      <c r="AA405" t="s">
        <v>904</v>
      </c>
      <c r="AB405" s="2" t="s">
        <v>922</v>
      </c>
      <c r="AC405" s="10" t="s">
        <v>996</v>
      </c>
      <c r="AD405" s="10" t="s">
        <v>997</v>
      </c>
      <c r="AE405" s="11" t="str">
        <f>SUBSTITUTE(SUBSTITUTE(PROPERTIES[[#This Row],[PURCHASECOST_VALUE]], "PURCHASECOST_", ""), "_VALUE", "")</f>
        <v>ELECTRICENGINE</v>
      </c>
      <c r="AF405" s="10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431</v>
      </c>
      <c r="B406">
        <v>2000</v>
      </c>
      <c r="C406">
        <v>0</v>
      </c>
      <c r="D406" t="s">
        <v>1983</v>
      </c>
      <c r="E406" t="str">
        <f>_xlfn.XLOOKUP(PROPERTIES[[#This Row],[COUNTRY]],COUNTRIES[COUNTRY_DESCRIPTION],COUNTRIES[COUNTRY_LABEL],"")</f>
        <v>SE</v>
      </c>
      <c r="F406" t="s">
        <v>74</v>
      </c>
      <c r="G406" t="s">
        <v>20</v>
      </c>
      <c r="H406">
        <v>0</v>
      </c>
      <c r="I406">
        <v>8</v>
      </c>
      <c r="J406">
        <v>16</v>
      </c>
      <c r="K406" s="2" t="s">
        <v>20</v>
      </c>
      <c r="L406">
        <f>_xlfn.XLOOKUP("LOADINGSPEEDDEF_"&amp;PROPERTIES[[#This Row],[LOADINGSPEED]],LOADINGSPEEDDEF[TYPE],LOADINGSPEEDDEF[SPEED])</f>
        <v>0</v>
      </c>
      <c r="M406" t="s">
        <v>21</v>
      </c>
      <c r="N406">
        <v>0</v>
      </c>
      <c r="O406" s="34">
        <f>180*2</f>
        <v>360</v>
      </c>
      <c r="P406">
        <f>7200*2</f>
        <v>14400</v>
      </c>
      <c r="Q406">
        <v>80</v>
      </c>
      <c r="R406" s="31">
        <f>600*2</f>
        <v>1200</v>
      </c>
      <c r="S406" s="30">
        <f>IFERROR(PROPERTIES[[#This Row],[TE_STARTING_KN]]/(PROPERTIES[[#This Row],[WEIGHT]]*9.81),0)</f>
        <v>0.33978933061501865</v>
      </c>
      <c r="T406" s="30">
        <v>0.39</v>
      </c>
      <c r="U406" s="27">
        <f>ROUND(IF(IFERROR(PROPERTIES[[#This Row],[TE_COEFFICIENT_CALC]],0)=0,PROPERTIES[[#This Row],[TE_COEFFICIENT_MANUAL]],PROPERTIES[[#This Row],[TE_COEFFICIENT_CALC]]),3)</f>
        <v>0.34</v>
      </c>
      <c r="V406" s="6">
        <v>40</v>
      </c>
      <c r="W406" s="10">
        <v>0</v>
      </c>
      <c r="X406" s="10">
        <v>8</v>
      </c>
      <c r="Y406" s="11"/>
      <c r="Z406" t="s">
        <v>909</v>
      </c>
      <c r="AA406" t="s">
        <v>904</v>
      </c>
      <c r="AB406" s="2" t="s">
        <v>922</v>
      </c>
      <c r="AC406" s="10" t="s">
        <v>996</v>
      </c>
      <c r="AD406" s="10" t="s">
        <v>997</v>
      </c>
      <c r="AE406" s="11" t="str">
        <f>SUBSTITUTE(SUBSTITUTE(PROPERTIES[[#This Row],[PURCHASECOST_VALUE]], "PURCHASECOST_", ""), "_VALUE", "")</f>
        <v>ELECTRICENGINE</v>
      </c>
      <c r="AF406" s="10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432</v>
      </c>
      <c r="B407">
        <v>1914</v>
      </c>
      <c r="C407">
        <v>0</v>
      </c>
      <c r="D407" t="s">
        <v>1983</v>
      </c>
      <c r="E407" t="str">
        <f>_xlfn.XLOOKUP(PROPERTIES[[#This Row],[COUNTRY]],COUNTRIES[COUNTRY_DESCRIPTION],COUNTRIES[COUNTRY_LABEL],"")</f>
        <v>SE</v>
      </c>
      <c r="F407" t="s">
        <v>74</v>
      </c>
      <c r="G407" t="s">
        <v>20</v>
      </c>
      <c r="H407">
        <v>0</v>
      </c>
      <c r="I407">
        <v>6</v>
      </c>
      <c r="J407">
        <v>12</v>
      </c>
      <c r="K407" s="2" t="s">
        <v>20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4">
        <v>125</v>
      </c>
      <c r="P407">
        <v>1600</v>
      </c>
      <c r="Q407">
        <v>60</v>
      </c>
      <c r="R407" s="31">
        <v>248</v>
      </c>
      <c r="S407" s="30">
        <f>IFERROR(PROPERTIES[[#This Row],[TE_STARTING_KN]]/(PROPERTIES[[#This Row],[WEIGHT]]*9.81),0)</f>
        <v>0.20224260958205911</v>
      </c>
      <c r="T407" s="30">
        <v>0.2</v>
      </c>
      <c r="U407" s="27">
        <f>ROUND(IF(IFERROR(PROPERTIES[[#This Row],[TE_COEFFICIENT_CALC]],0)=0,PROPERTIES[[#This Row],[TE_COEFFICIENT_MANUAL]],PROPERTIES[[#This Row],[TE_COEFFICIENT_CALC]]),3)</f>
        <v>0.20200000000000001</v>
      </c>
      <c r="V407" s="6">
        <v>40</v>
      </c>
      <c r="W407" s="10">
        <v>0</v>
      </c>
      <c r="X407" s="10">
        <v>6</v>
      </c>
      <c r="Y407" s="11"/>
      <c r="Z407" t="s">
        <v>909</v>
      </c>
      <c r="AA407" t="s">
        <v>904</v>
      </c>
      <c r="AB407" s="2" t="s">
        <v>922</v>
      </c>
      <c r="AC407" s="10" t="s">
        <v>996</v>
      </c>
      <c r="AD407" s="10" t="s">
        <v>997</v>
      </c>
      <c r="AE407" s="11" t="str">
        <f>SUBSTITUTE(SUBSTITUTE(PROPERTIES[[#This Row],[PURCHASECOST_VALUE]], "PURCHASECOST_", ""), "_VALUE", "")</f>
        <v>ELECTRICENGINE</v>
      </c>
      <c r="AF407" s="10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433</v>
      </c>
      <c r="B408">
        <v>1942</v>
      </c>
      <c r="C408">
        <v>0</v>
      </c>
      <c r="D408" t="s">
        <v>1983</v>
      </c>
      <c r="E408" t="str">
        <f>_xlfn.XLOOKUP(PROPERTIES[[#This Row],[COUNTRY]],COUNTRIES[COUNTRY_DESCRIPTION],COUNTRIES[COUNTRY_LABEL],"")</f>
        <v>SE</v>
      </c>
      <c r="F408" t="s">
        <v>74</v>
      </c>
      <c r="G408" t="s">
        <v>20</v>
      </c>
      <c r="H408">
        <v>0</v>
      </c>
      <c r="I408">
        <v>8</v>
      </c>
      <c r="J408">
        <v>8</v>
      </c>
      <c r="K408" s="2" t="s">
        <v>20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4">
        <v>102</v>
      </c>
      <c r="P408">
        <v>3460</v>
      </c>
      <c r="Q408">
        <v>135</v>
      </c>
      <c r="R408" s="31">
        <v>203</v>
      </c>
      <c r="S408" s="30">
        <f>IFERROR(PROPERTIES[[#This Row],[TE_STARTING_KN]]/(PROPERTIES[[#This Row],[WEIGHT]]*9.81),0)</f>
        <v>0.20287421798484939</v>
      </c>
      <c r="T408" s="30">
        <v>0.2</v>
      </c>
      <c r="U408" s="27">
        <f>ROUND(IF(IFERROR(PROPERTIES[[#This Row],[TE_COEFFICIENT_CALC]],0)=0,PROPERTIES[[#This Row],[TE_COEFFICIENT_MANUAL]],PROPERTIES[[#This Row],[TE_COEFFICIENT_CALC]]),3)</f>
        <v>0.20300000000000001</v>
      </c>
      <c r="V408" s="6">
        <v>40</v>
      </c>
      <c r="W408" s="10">
        <v>0</v>
      </c>
      <c r="X408" s="10">
        <v>0</v>
      </c>
      <c r="Y408" s="11"/>
      <c r="Z408" t="s">
        <v>909</v>
      </c>
      <c r="AA408" t="s">
        <v>904</v>
      </c>
      <c r="AB408" s="2" t="s">
        <v>922</v>
      </c>
      <c r="AC408" s="10" t="s">
        <v>996</v>
      </c>
      <c r="AD408" s="10" t="s">
        <v>997</v>
      </c>
      <c r="AE408" s="11" t="str">
        <f>SUBSTITUTE(SUBSTITUTE(PROPERTIES[[#This Row],[PURCHASECOST_VALUE]], "PURCHASECOST_", ""), "_VALUE", "")</f>
        <v>ELECTRICENGINE</v>
      </c>
      <c r="AF408" s="10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434</v>
      </c>
      <c r="B409">
        <v>1982</v>
      </c>
      <c r="C409">
        <v>0</v>
      </c>
      <c r="D409" t="s">
        <v>1953</v>
      </c>
      <c r="E409" t="str">
        <f>_xlfn.XLOOKUP(PROPERTIES[[#This Row],[COUNTRY]],COUNTRIES[COUNTRY_DESCRIPTION],COUNTRIES[COUNTRY_LABEL],"")</f>
        <v>NO</v>
      </c>
      <c r="F409" t="s">
        <v>74</v>
      </c>
      <c r="G409" t="s">
        <v>20</v>
      </c>
      <c r="H409">
        <v>0</v>
      </c>
      <c r="I409">
        <v>7</v>
      </c>
      <c r="J409">
        <v>7</v>
      </c>
      <c r="K409" s="2" t="s">
        <v>24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4">
        <v>64</v>
      </c>
      <c r="P409">
        <v>4000</v>
      </c>
      <c r="Q409">
        <v>150</v>
      </c>
      <c r="R409" s="31">
        <v>240</v>
      </c>
      <c r="S409" s="30">
        <f>IFERROR(PROPERTIES[[#This Row],[TE_STARTING_KN]]/(PROPERTIES[[#This Row],[WEIGHT]]*9.81),0)</f>
        <v>0.38226299694189603</v>
      </c>
      <c r="T409" s="30">
        <v>0.38</v>
      </c>
      <c r="U409" s="27">
        <f>ROUND(IF(IFERROR(PROPERTIES[[#This Row],[TE_COEFFICIENT_CALC]],0)=0,PROPERTIES[[#This Row],[TE_COEFFICIENT_MANUAL]],PROPERTIES[[#This Row],[TE_COEFFICIENT_CALC]]),3)</f>
        <v>0.38200000000000001</v>
      </c>
      <c r="V409" s="6">
        <v>40</v>
      </c>
      <c r="W409" s="10">
        <v>0</v>
      </c>
      <c r="X409" s="10">
        <v>0</v>
      </c>
      <c r="Y409" s="11"/>
      <c r="Z409" t="s">
        <v>909</v>
      </c>
      <c r="AA409" t="s">
        <v>904</v>
      </c>
      <c r="AB409" s="2" t="s">
        <v>922</v>
      </c>
      <c r="AC409" s="10" t="s">
        <v>996</v>
      </c>
      <c r="AD409" s="10" t="s">
        <v>997</v>
      </c>
      <c r="AE409" s="11" t="str">
        <f>SUBSTITUTE(SUBSTITUTE(PROPERTIES[[#This Row],[PURCHASECOST_VALUE]], "PURCHASECOST_", ""), "_VALUE", "")</f>
        <v>ELECTRICENGINE</v>
      </c>
      <c r="AF409" s="10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435</v>
      </c>
      <c r="B410">
        <v>1914</v>
      </c>
      <c r="C410">
        <v>0</v>
      </c>
      <c r="D410" t="s">
        <v>1844</v>
      </c>
      <c r="E410" t="str">
        <f>_xlfn.XLOOKUP(PROPERTIES[[#This Row],[COUNTRY]],COUNTRIES[COUNTRY_DESCRIPTION],COUNTRIES[COUNTRY_LABEL],"")</f>
        <v>DE</v>
      </c>
      <c r="F410" t="s">
        <v>74</v>
      </c>
      <c r="G410" t="s">
        <v>20</v>
      </c>
      <c r="H410">
        <v>0</v>
      </c>
      <c r="I410">
        <v>6</v>
      </c>
      <c r="J410">
        <v>6</v>
      </c>
      <c r="K410" s="2" t="s">
        <v>20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4">
        <v>81</v>
      </c>
      <c r="P410">
        <v>1186</v>
      </c>
      <c r="Q410">
        <v>100</v>
      </c>
      <c r="R410" s="31">
        <v>81</v>
      </c>
      <c r="S410" s="30">
        <f>IFERROR(PROPERTIES[[#This Row],[TE_STARTING_KN]]/(PROPERTIES[[#This Row],[WEIGHT]]*9.81),0)</f>
        <v>0.1019367991845056</v>
      </c>
      <c r="T410" s="30">
        <v>0.1</v>
      </c>
      <c r="U410" s="27">
        <f>ROUND(IF(IFERROR(PROPERTIES[[#This Row],[TE_COEFFICIENT_CALC]],0)=0,PROPERTIES[[#This Row],[TE_COEFFICIENT_MANUAL]],PROPERTIES[[#This Row],[TE_COEFFICIENT_CALC]]),3)</f>
        <v>0.10199999999999999</v>
      </c>
      <c r="V410" s="6">
        <v>40</v>
      </c>
      <c r="W410" s="10">
        <v>0</v>
      </c>
      <c r="X410" s="10">
        <v>0</v>
      </c>
      <c r="Y410" s="11"/>
      <c r="Z410" t="s">
        <v>905</v>
      </c>
      <c r="AA410" t="s">
        <v>904</v>
      </c>
      <c r="AB410" s="2" t="s">
        <v>922</v>
      </c>
      <c r="AC410" s="10" t="s">
        <v>996</v>
      </c>
      <c r="AD410" s="10" t="s">
        <v>997</v>
      </c>
      <c r="AE410" s="11" t="str">
        <f>SUBSTITUTE(SUBSTITUTE(PROPERTIES[[#This Row],[PURCHASECOST_VALUE]], "PURCHASECOST_", ""), "_VALUE", "")</f>
        <v>ELECTRICENGINE</v>
      </c>
      <c r="AF410" s="10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436</v>
      </c>
      <c r="B411">
        <v>1948</v>
      </c>
      <c r="C411">
        <v>0</v>
      </c>
      <c r="D411" t="s">
        <v>2019</v>
      </c>
      <c r="E411" t="str">
        <f>_xlfn.XLOOKUP(PROPERTIES[[#This Row],[COUNTRY]],COUNTRIES[COUNTRY_DESCRIPTION],COUNTRIES[COUNTRY_LABEL],"")</f>
        <v>US</v>
      </c>
      <c r="F411" t="s">
        <v>74</v>
      </c>
      <c r="G411" t="s">
        <v>20</v>
      </c>
      <c r="H411">
        <v>0</v>
      </c>
      <c r="I411">
        <v>8</v>
      </c>
      <c r="J411">
        <v>16</v>
      </c>
      <c r="K411" s="2" t="s">
        <v>20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4">
        <v>450</v>
      </c>
      <c r="P411">
        <v>6800</v>
      </c>
      <c r="Q411">
        <v>80</v>
      </c>
      <c r="R411" s="31">
        <v>1200</v>
      </c>
      <c r="S411" s="30">
        <f>IFERROR(PROPERTIES[[#This Row],[TE_STARTING_KN]]/(PROPERTIES[[#This Row],[WEIGHT]]*9.81),0)</f>
        <v>0.27183146449201495</v>
      </c>
      <c r="T411" s="30">
        <v>0.16</v>
      </c>
      <c r="U411" s="27">
        <f>ROUND(IF(IFERROR(PROPERTIES[[#This Row],[TE_COEFFICIENT_CALC]],0)=0,PROPERTIES[[#This Row],[TE_COEFFICIENT_MANUAL]],PROPERTIES[[#This Row],[TE_COEFFICIENT_CALC]]),3)</f>
        <v>0.27200000000000002</v>
      </c>
      <c r="V411" s="6">
        <v>40</v>
      </c>
      <c r="W411" s="10">
        <v>0</v>
      </c>
      <c r="X411" s="10">
        <v>0</v>
      </c>
      <c r="Y411" s="11"/>
      <c r="Z411" t="s">
        <v>910</v>
      </c>
      <c r="AA411" t="s">
        <v>904</v>
      </c>
      <c r="AB411" s="2" t="s">
        <v>922</v>
      </c>
      <c r="AC411" s="10" t="s">
        <v>996</v>
      </c>
      <c r="AD411" s="10" t="s">
        <v>997</v>
      </c>
      <c r="AE411" s="11" t="str">
        <f>SUBSTITUTE(SUBSTITUTE(PROPERTIES[[#This Row],[PURCHASECOST_VALUE]], "PURCHASECOST_", ""), "_VALUE", "")</f>
        <v>ELECTRICENGINE</v>
      </c>
      <c r="AF411" s="10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437</v>
      </c>
      <c r="B412">
        <v>1947</v>
      </c>
      <c r="C412">
        <v>0</v>
      </c>
      <c r="D412" t="s">
        <v>2019</v>
      </c>
      <c r="E412" t="str">
        <f>_xlfn.XLOOKUP(PROPERTIES[[#This Row],[COUNTRY]],COUNTRIES[COUNTRY_DESCRIPTION],COUNTRIES[COUNTRY_LABEL],"")</f>
        <v>US</v>
      </c>
      <c r="F412" t="s">
        <v>74</v>
      </c>
      <c r="G412" t="s">
        <v>20</v>
      </c>
      <c r="H412">
        <v>0</v>
      </c>
      <c r="I412">
        <v>8</v>
      </c>
      <c r="J412">
        <v>8</v>
      </c>
      <c r="K412" s="2" t="s">
        <v>20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4">
        <v>330</v>
      </c>
      <c r="P412">
        <v>5000</v>
      </c>
      <c r="Q412">
        <v>105</v>
      </c>
      <c r="R412" s="31">
        <v>530</v>
      </c>
      <c r="S412" s="30">
        <f>IFERROR(PROPERTIES[[#This Row],[TE_STARTING_KN]]/(PROPERTIES[[#This Row],[WEIGHT]]*9.81),0)</f>
        <v>0.16371667747814536</v>
      </c>
      <c r="T412" s="30">
        <v>0.16</v>
      </c>
      <c r="U412" s="27">
        <f>ROUND(IF(IFERROR(PROPERTIES[[#This Row],[TE_COEFFICIENT_CALC]],0)=0,PROPERTIES[[#This Row],[TE_COEFFICIENT_MANUAL]],PROPERTIES[[#This Row],[TE_COEFFICIENT_CALC]]),3)</f>
        <v>0.16400000000000001</v>
      </c>
      <c r="V412" s="6">
        <v>40</v>
      </c>
      <c r="W412" s="10">
        <v>0</v>
      </c>
      <c r="X412" s="10">
        <v>4</v>
      </c>
      <c r="Y412" s="11"/>
      <c r="Z412" t="s">
        <v>910</v>
      </c>
      <c r="AA412" t="s">
        <v>904</v>
      </c>
      <c r="AB412" s="2" t="s">
        <v>922</v>
      </c>
      <c r="AC412" s="10" t="s">
        <v>996</v>
      </c>
      <c r="AD412" s="10" t="s">
        <v>997</v>
      </c>
      <c r="AE412" s="11" t="str">
        <f>SUBSTITUTE(SUBSTITUTE(PROPERTIES[[#This Row],[PURCHASECOST_VALUE]], "PURCHASECOST_", ""), "_VALUE", "")</f>
        <v>ELECTRICENGINE</v>
      </c>
      <c r="AF412" s="10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438</v>
      </c>
      <c r="B413">
        <v>1926</v>
      </c>
      <c r="C413">
        <v>0</v>
      </c>
      <c r="D413" t="s">
        <v>2019</v>
      </c>
      <c r="E413" t="str">
        <f>_xlfn.XLOOKUP(PROPERTIES[[#This Row],[COUNTRY]],COUNTRIES[COUNTRY_DESCRIPTION],COUNTRIES[COUNTRY_LABEL],"")</f>
        <v>US</v>
      </c>
      <c r="F413" t="s">
        <v>74</v>
      </c>
      <c r="G413" t="s">
        <v>20</v>
      </c>
      <c r="H413">
        <v>0</v>
      </c>
      <c r="I413">
        <v>4</v>
      </c>
      <c r="J413">
        <v>4</v>
      </c>
      <c r="K413" s="2" t="s">
        <v>24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4">
        <v>71</v>
      </c>
      <c r="P413">
        <v>700</v>
      </c>
      <c r="Q413">
        <v>40</v>
      </c>
      <c r="R413" s="31">
        <v>174.6</v>
      </c>
      <c r="S413" s="30">
        <f>IFERROR(PROPERTIES[[#This Row],[TE_STARTING_KN]]/(PROPERTIES[[#This Row],[WEIGHT]]*9.81),0)</f>
        <v>0.25067838221992506</v>
      </c>
      <c r="T413" s="30">
        <v>0.25</v>
      </c>
      <c r="U413" s="27">
        <f>ROUND(IF(IFERROR(PROPERTIES[[#This Row],[TE_COEFFICIENT_CALC]],0)=0,PROPERTIES[[#This Row],[TE_COEFFICIENT_MANUAL]],PROPERTIES[[#This Row],[TE_COEFFICIENT_CALC]]),3)</f>
        <v>0.251</v>
      </c>
      <c r="V413" s="6">
        <v>40</v>
      </c>
      <c r="W413" s="10">
        <v>0</v>
      </c>
      <c r="X413" s="10">
        <v>0</v>
      </c>
      <c r="Y413" s="11"/>
      <c r="Z413" t="s">
        <v>910</v>
      </c>
      <c r="AA413" t="s">
        <v>904</v>
      </c>
      <c r="AB413" s="2" t="s">
        <v>922</v>
      </c>
      <c r="AC413" s="10" t="s">
        <v>996</v>
      </c>
      <c r="AD413" s="10" t="s">
        <v>997</v>
      </c>
      <c r="AE413" s="11" t="str">
        <f>SUBSTITUTE(SUBSTITUTE(PROPERTIES[[#This Row],[PURCHASECOST_VALUE]], "PURCHASECOST_", ""), "_VALUE", "")</f>
        <v>ELECTRICENGINE</v>
      </c>
      <c r="AF413" s="10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413" s="2" t="b">
        <v>0</v>
      </c>
      <c r="AY413"/>
      <c r="AZ413"/>
      <c r="BA413"/>
    </row>
    <row r="414" spans="1:53">
      <c r="A414" s="2" t="s">
        <v>439</v>
      </c>
      <c r="B414">
        <v>2008</v>
      </c>
      <c r="C414">
        <v>0</v>
      </c>
      <c r="D414" t="s">
        <v>1800</v>
      </c>
      <c r="E414" t="str">
        <f>_xlfn.XLOOKUP(PROPERTIES[[#This Row],[COUNTRY]],COUNTRIES[COUNTRY_DESCRIPTION],COUNTRIES[COUNTRY_LABEL],"")</f>
        <v>AU</v>
      </c>
      <c r="F414" t="s">
        <v>74</v>
      </c>
      <c r="G414" t="s">
        <v>20</v>
      </c>
      <c r="H414">
        <v>0</v>
      </c>
      <c r="I414">
        <v>8</v>
      </c>
      <c r="J414">
        <v>8</v>
      </c>
      <c r="K414" s="2" t="s">
        <v>20</v>
      </c>
      <c r="L414">
        <f>_xlfn.XLOOKUP("LOADINGSPEEDDEF_"&amp;PROPERTIES[[#This Row],[LOADINGSPEED]],LOADINGSPEEDDEF[TYPE],LOADINGSPEEDDEF[SPEED])</f>
        <v>0</v>
      </c>
      <c r="M414" t="s">
        <v>21</v>
      </c>
      <c r="N414">
        <v>1</v>
      </c>
      <c r="O414" s="34">
        <v>109</v>
      </c>
      <c r="P414">
        <v>5360</v>
      </c>
      <c r="Q414">
        <v>80</v>
      </c>
      <c r="R414" s="31">
        <v>450</v>
      </c>
      <c r="S414" s="30">
        <f>IFERROR(PROPERTIES[[#This Row],[TE_STARTING_KN]]/(PROPERTIES[[#This Row],[WEIGHT]]*9.81),0)</f>
        <v>0.42083999663328003</v>
      </c>
      <c r="T414" s="30">
        <v>0.41</v>
      </c>
      <c r="U414" s="27">
        <f>ROUND(IF(IFERROR(PROPERTIES[[#This Row],[TE_COEFFICIENT_CALC]],0)=0,PROPERTIES[[#This Row],[TE_COEFFICIENT_MANUAL]],PROPERTIES[[#This Row],[TE_COEFFICIENT_CALC]]),3)</f>
        <v>0.42099999999999999</v>
      </c>
      <c r="V414" s="6">
        <v>40</v>
      </c>
      <c r="W414" s="10">
        <v>0</v>
      </c>
      <c r="X414" s="10">
        <v>0</v>
      </c>
      <c r="Y414" s="11"/>
      <c r="Z414" t="s">
        <v>907</v>
      </c>
      <c r="AA414" t="s">
        <v>904</v>
      </c>
      <c r="AB414" s="2" t="s">
        <v>922</v>
      </c>
      <c r="AC414" s="10" t="s">
        <v>996</v>
      </c>
      <c r="AD414" s="10" t="s">
        <v>997</v>
      </c>
      <c r="AE414" s="11" t="str">
        <f>SUBSTITUTE(SUBSTITUTE(PROPERTIES[[#This Row],[PURCHASECOST_VALUE]], "PURCHASECOST_", ""), "_VALUE", "")</f>
        <v>ELECTRICENGINE</v>
      </c>
      <c r="AF414" s="10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440</v>
      </c>
      <c r="B415">
        <v>1991</v>
      </c>
      <c r="C415">
        <v>0</v>
      </c>
      <c r="D415" t="s">
        <v>1835</v>
      </c>
      <c r="E415" t="str">
        <f>_xlfn.XLOOKUP(PROPERTIES[[#This Row],[COUNTRY]],COUNTRIES[COUNTRY_DESCRIPTION],COUNTRIES[COUNTRY_LABEL],"")</f>
        <v>CN</v>
      </c>
      <c r="F415" t="s">
        <v>74</v>
      </c>
      <c r="G415" t="s">
        <v>20</v>
      </c>
      <c r="H415">
        <v>0</v>
      </c>
      <c r="I415">
        <v>8</v>
      </c>
      <c r="J415">
        <v>8</v>
      </c>
      <c r="K415" s="2" t="s">
        <v>20</v>
      </c>
      <c r="L415">
        <f>_xlfn.XLOOKUP("LOADINGSPEEDDEF_"&amp;PROPERTIES[[#This Row],[LOADINGSPEED]],LOADINGSPEEDDEF[TYPE],LOADINGSPEEDDEF[SPEED])</f>
        <v>0</v>
      </c>
      <c r="M415" t="s">
        <v>21</v>
      </c>
      <c r="N415">
        <v>1</v>
      </c>
      <c r="O415" s="34">
        <v>138</v>
      </c>
      <c r="P415">
        <v>6400</v>
      </c>
      <c r="Q415">
        <v>100</v>
      </c>
      <c r="R415" s="31">
        <v>485</v>
      </c>
      <c r="S415" s="30">
        <f>IFERROR(PROPERTIES[[#This Row],[TE_STARTING_KN]]/(PROPERTIES[[#This Row],[WEIGHT]]*9.81),0)</f>
        <v>0.35825614206148709</v>
      </c>
      <c r="T415" s="30">
        <v>0.35</v>
      </c>
      <c r="U415" s="27">
        <f>ROUND(IF(IFERROR(PROPERTIES[[#This Row],[TE_COEFFICIENT_CALC]],0)=0,PROPERTIES[[#This Row],[TE_COEFFICIENT_MANUAL]],PROPERTIES[[#This Row],[TE_COEFFICIENT_CALC]]),3)</f>
        <v>0.35799999999999998</v>
      </c>
      <c r="V415" s="6">
        <v>40</v>
      </c>
      <c r="W415" s="10">
        <v>0</v>
      </c>
      <c r="X415" s="10">
        <v>0</v>
      </c>
      <c r="Y415" s="11"/>
      <c r="Z415" t="s">
        <v>913</v>
      </c>
      <c r="AA415" t="s">
        <v>904</v>
      </c>
      <c r="AB415" s="2" t="s">
        <v>922</v>
      </c>
      <c r="AC415" s="10" t="s">
        <v>996</v>
      </c>
      <c r="AD415" s="10" t="s">
        <v>997</v>
      </c>
      <c r="AE415" s="11" t="str">
        <f>SUBSTITUTE(SUBSTITUTE(PROPERTIES[[#This Row],[PURCHASECOST_VALUE]], "PURCHASECOST_", ""), "_VALUE", "")</f>
        <v>ELECTRICENGINE</v>
      </c>
      <c r="AF415" s="10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441</v>
      </c>
      <c r="B416">
        <v>1978</v>
      </c>
      <c r="C416">
        <v>0</v>
      </c>
      <c r="D416" t="s">
        <v>1835</v>
      </c>
      <c r="E416" t="str">
        <f>_xlfn.XLOOKUP(PROPERTIES[[#This Row],[COUNTRY]],COUNTRIES[COUNTRY_DESCRIPTION],COUNTRIES[COUNTRY_LABEL],"")</f>
        <v>CN</v>
      </c>
      <c r="F416" t="s">
        <v>74</v>
      </c>
      <c r="G416" t="s">
        <v>20</v>
      </c>
      <c r="H416">
        <v>0</v>
      </c>
      <c r="I416">
        <v>8</v>
      </c>
      <c r="J416">
        <v>8</v>
      </c>
      <c r="K416" s="2" t="s">
        <v>24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4">
        <v>138</v>
      </c>
      <c r="P416">
        <v>5793</v>
      </c>
      <c r="Q416">
        <v>100</v>
      </c>
      <c r="R416" s="31">
        <v>470</v>
      </c>
      <c r="S416" s="30">
        <f>IFERROR(PROPERTIES[[#This Row],[TE_STARTING_KN]]/(PROPERTIES[[#This Row],[WEIGHT]]*9.81),0)</f>
        <v>0.34717605519360606</v>
      </c>
      <c r="T416" s="30">
        <v>0.34</v>
      </c>
      <c r="U416" s="27">
        <f>ROUND(IF(IFERROR(PROPERTIES[[#This Row],[TE_COEFFICIENT_CALC]],0)=0,PROPERTIES[[#This Row],[TE_COEFFICIENT_MANUAL]],PROPERTIES[[#This Row],[TE_COEFFICIENT_CALC]]),3)</f>
        <v>0.34699999999999998</v>
      </c>
      <c r="V416" s="6">
        <v>40</v>
      </c>
      <c r="W416" s="10">
        <v>0</v>
      </c>
      <c r="X416" s="10">
        <v>0</v>
      </c>
      <c r="Y416" s="11"/>
      <c r="Z416" t="s">
        <v>913</v>
      </c>
      <c r="AA416" t="s">
        <v>904</v>
      </c>
      <c r="AB416" s="2" t="s">
        <v>922</v>
      </c>
      <c r="AC416" s="10" t="s">
        <v>996</v>
      </c>
      <c r="AD416" s="10" t="s">
        <v>997</v>
      </c>
      <c r="AE416" s="11" t="str">
        <f>SUBSTITUTE(SUBSTITUTE(PROPERTIES[[#This Row],[PURCHASECOST_VALUE]], "PURCHASECOST_", ""), "_VALUE", "")</f>
        <v>ELECTRICENGINE</v>
      </c>
      <c r="AF416" s="10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442</v>
      </c>
      <c r="B417">
        <v>2006</v>
      </c>
      <c r="C417">
        <v>0</v>
      </c>
      <c r="D417" t="s">
        <v>1835</v>
      </c>
      <c r="E417" t="str">
        <f>_xlfn.XLOOKUP(PROPERTIES[[#This Row],[COUNTRY]],COUNTRIES[COUNTRY_DESCRIPTION],COUNTRIES[COUNTRY_LABEL],"")</f>
        <v>CN</v>
      </c>
      <c r="F417" t="s">
        <v>74</v>
      </c>
      <c r="G417" t="s">
        <v>20</v>
      </c>
      <c r="H417">
        <v>0</v>
      </c>
      <c r="I417">
        <v>8</v>
      </c>
      <c r="J417">
        <v>8</v>
      </c>
      <c r="K417" s="2" t="s">
        <v>20</v>
      </c>
      <c r="L417">
        <f>_xlfn.XLOOKUP("LOADINGSPEEDDEF_"&amp;PROPERTIES[[#This Row],[LOADINGSPEED]],LOADINGSPEEDDEF[TYPE],LOADINGSPEEDDEF[SPEED])</f>
        <v>0</v>
      </c>
      <c r="M417" t="s">
        <v>21</v>
      </c>
      <c r="N417">
        <v>1</v>
      </c>
      <c r="O417" s="34">
        <v>150</v>
      </c>
      <c r="P417">
        <v>9700</v>
      </c>
      <c r="Q417">
        <v>120</v>
      </c>
      <c r="R417" s="31">
        <v>520</v>
      </c>
      <c r="S417" s="30">
        <f>IFERROR(PROPERTIES[[#This Row],[TE_STARTING_KN]]/(PROPERTIES[[#This Row],[WEIGHT]]*9.81),0)</f>
        <v>0.35338090383961945</v>
      </c>
      <c r="T417" s="30">
        <v>0.27</v>
      </c>
      <c r="U417" s="27">
        <f>ROUND(IF(IFERROR(PROPERTIES[[#This Row],[TE_COEFFICIENT_CALC]],0)=0,PROPERTIES[[#This Row],[TE_COEFFICIENT_MANUAL]],PROPERTIES[[#This Row],[TE_COEFFICIENT_CALC]]),3)</f>
        <v>0.35299999999999998</v>
      </c>
      <c r="V417" s="6">
        <v>40</v>
      </c>
      <c r="W417" s="10">
        <v>0</v>
      </c>
      <c r="X417" s="10">
        <v>0</v>
      </c>
      <c r="Y417" s="11"/>
      <c r="Z417" t="s">
        <v>913</v>
      </c>
      <c r="AA417" t="s">
        <v>904</v>
      </c>
      <c r="AB417" s="2" t="s">
        <v>922</v>
      </c>
      <c r="AC417" s="10" t="s">
        <v>996</v>
      </c>
      <c r="AD417" s="10" t="s">
        <v>997</v>
      </c>
      <c r="AE417" s="11" t="str">
        <f>SUBSTITUTE(SUBSTITUTE(PROPERTIES[[#This Row],[PURCHASECOST_VALUE]], "PURCHASECOST_", ""), "_VALUE", "")</f>
        <v>ELECTRICENGINE</v>
      </c>
      <c r="AF417" s="10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443</v>
      </c>
      <c r="B418">
        <v>2012</v>
      </c>
      <c r="C418">
        <v>0</v>
      </c>
      <c r="D418" t="s">
        <v>1835</v>
      </c>
      <c r="E418" t="str">
        <f>_xlfn.XLOOKUP(PROPERTIES[[#This Row],[COUNTRY]],COUNTRIES[COUNTRY_DESCRIPTION],COUNTRIES[COUNTRY_LABEL],"")</f>
        <v>CN</v>
      </c>
      <c r="F418" t="s">
        <v>74</v>
      </c>
      <c r="G418" t="s">
        <v>20</v>
      </c>
      <c r="H418">
        <v>0</v>
      </c>
      <c r="I418">
        <v>8</v>
      </c>
      <c r="J418">
        <v>8</v>
      </c>
      <c r="K418" s="2" t="s">
        <v>20</v>
      </c>
      <c r="L418">
        <f>_xlfn.XLOOKUP("LOADINGSPEEDDEF_"&amp;PROPERTIES[[#This Row],[LOADINGSPEED]],LOADINGSPEEDDEF[TYPE],LOADINGSPEEDDEF[SPEED])</f>
        <v>0</v>
      </c>
      <c r="M418" t="s">
        <v>21</v>
      </c>
      <c r="N418">
        <v>1</v>
      </c>
      <c r="O418" s="34">
        <v>126</v>
      </c>
      <c r="P418">
        <v>9700</v>
      </c>
      <c r="Q418">
        <v>160</v>
      </c>
      <c r="R418" s="31">
        <v>420</v>
      </c>
      <c r="S418" s="30">
        <f>IFERROR(PROPERTIES[[#This Row],[TE_STARTING_KN]]/(PROPERTIES[[#This Row],[WEIGHT]]*9.81),0)</f>
        <v>0.33978933061501865</v>
      </c>
      <c r="T418" s="30">
        <v>0.33</v>
      </c>
      <c r="U418" s="27">
        <f>ROUND(IF(IFERROR(PROPERTIES[[#This Row],[TE_COEFFICIENT_CALC]],0)=0,PROPERTIES[[#This Row],[TE_COEFFICIENT_MANUAL]],PROPERTIES[[#This Row],[TE_COEFFICIENT_CALC]]),3)</f>
        <v>0.34</v>
      </c>
      <c r="V418" s="6">
        <v>40</v>
      </c>
      <c r="W418" s="10">
        <v>0</v>
      </c>
      <c r="X418" s="10">
        <v>0</v>
      </c>
      <c r="Y418" s="11"/>
      <c r="Z418" t="s">
        <v>913</v>
      </c>
      <c r="AA418" t="s">
        <v>904</v>
      </c>
      <c r="AB418" s="2" t="s">
        <v>922</v>
      </c>
      <c r="AC418" s="10" t="s">
        <v>996</v>
      </c>
      <c r="AD418" s="10" t="s">
        <v>997</v>
      </c>
      <c r="AE418" s="11" t="str">
        <f>SUBSTITUTE(SUBSTITUTE(PROPERTIES[[#This Row],[PURCHASECOST_VALUE]], "PURCHASECOST_", ""), "_VALUE", "")</f>
        <v>ELECTRICENGINE</v>
      </c>
      <c r="AF418" s="10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444</v>
      </c>
      <c r="B419">
        <v>1986</v>
      </c>
      <c r="C419">
        <v>0</v>
      </c>
      <c r="D419" t="s">
        <v>1835</v>
      </c>
      <c r="E419" t="str">
        <f>_xlfn.XLOOKUP(PROPERTIES[[#This Row],[COUNTRY]],COUNTRIES[COUNTRY_DESCRIPTION],COUNTRIES[COUNTRY_LABEL],"")</f>
        <v>CN</v>
      </c>
      <c r="F419" t="s">
        <v>74</v>
      </c>
      <c r="G419" t="s">
        <v>20</v>
      </c>
      <c r="H419">
        <v>0</v>
      </c>
      <c r="I419">
        <v>8</v>
      </c>
      <c r="J419">
        <v>8</v>
      </c>
      <c r="K419" s="2" t="s">
        <v>20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4">
        <v>138</v>
      </c>
      <c r="P419">
        <v>6400</v>
      </c>
      <c r="Q419">
        <v>100</v>
      </c>
      <c r="R419" s="31">
        <v>485</v>
      </c>
      <c r="S419" s="30">
        <f>IFERROR(PROPERTIES[[#This Row],[TE_STARTING_KN]]/(PROPERTIES[[#This Row],[WEIGHT]]*9.81),0)</f>
        <v>0.35825614206148709</v>
      </c>
      <c r="T419" s="30">
        <v>0.35</v>
      </c>
      <c r="U419" s="27">
        <f>ROUND(IF(IFERROR(PROPERTIES[[#This Row],[TE_COEFFICIENT_CALC]],0)=0,PROPERTIES[[#This Row],[TE_COEFFICIENT_MANUAL]],PROPERTIES[[#This Row],[TE_COEFFICIENT_CALC]]),3)</f>
        <v>0.35799999999999998</v>
      </c>
      <c r="V419" s="6">
        <v>40</v>
      </c>
      <c r="W419" s="10">
        <v>0</v>
      </c>
      <c r="X419" s="10">
        <v>0</v>
      </c>
      <c r="Y419" s="11"/>
      <c r="Z419" t="s">
        <v>913</v>
      </c>
      <c r="AA419" t="s">
        <v>904</v>
      </c>
      <c r="AB419" s="2" t="s">
        <v>922</v>
      </c>
      <c r="AC419" s="10" t="s">
        <v>996</v>
      </c>
      <c r="AD419" s="10" t="s">
        <v>997</v>
      </c>
      <c r="AE419" s="11" t="str">
        <f>SUBSTITUTE(SUBSTITUTE(PROPERTIES[[#This Row],[PURCHASECOST_VALUE]], "PURCHASECOST_", ""), "_VALUE", "")</f>
        <v>ELECTRICENGINE</v>
      </c>
      <c r="AF419" s="10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445</v>
      </c>
      <c r="B420">
        <v>1960</v>
      </c>
      <c r="C420">
        <v>0</v>
      </c>
      <c r="D420" t="s">
        <v>2019</v>
      </c>
      <c r="E420" t="str">
        <f>_xlfn.XLOOKUP(PROPERTIES[[#This Row],[COUNTRY]],COUNTRIES[COUNTRY_DESCRIPTION],COUNTRIES[COUNTRY_LABEL],"")</f>
        <v>US</v>
      </c>
      <c r="F420" t="s">
        <v>74</v>
      </c>
      <c r="G420" t="s">
        <v>20</v>
      </c>
      <c r="H420">
        <v>0</v>
      </c>
      <c r="I420">
        <v>8</v>
      </c>
      <c r="J420">
        <v>8</v>
      </c>
      <c r="K420" s="2" t="s">
        <v>20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4">
        <v>175</v>
      </c>
      <c r="P420">
        <v>4400</v>
      </c>
      <c r="Q420">
        <v>113</v>
      </c>
      <c r="R420" s="31">
        <v>427.7</v>
      </c>
      <c r="S420" s="30">
        <f>IFERROR(PROPERTIES[[#This Row],[TE_STARTING_KN]]/(PROPERTIES[[#This Row],[WEIGHT]]*9.81),0)</f>
        <v>0.24913353720693168</v>
      </c>
      <c r="T420" s="30">
        <v>0.24</v>
      </c>
      <c r="U420" s="27">
        <f>ROUND(IF(IFERROR(PROPERTIES[[#This Row],[TE_COEFFICIENT_CALC]],0)=0,PROPERTIES[[#This Row],[TE_COEFFICIENT_MANUAL]],PROPERTIES[[#This Row],[TE_COEFFICIENT_CALC]]),3)</f>
        <v>0.249</v>
      </c>
      <c r="V420" s="6">
        <v>40</v>
      </c>
      <c r="W420" s="10">
        <v>0</v>
      </c>
      <c r="X420" s="10">
        <v>0</v>
      </c>
      <c r="Y420" s="11"/>
      <c r="Z420" t="s">
        <v>910</v>
      </c>
      <c r="AA420" t="s">
        <v>904</v>
      </c>
      <c r="AB420" s="2" t="s">
        <v>922</v>
      </c>
      <c r="AC420" s="10" t="s">
        <v>996</v>
      </c>
      <c r="AD420" s="10" t="s">
        <v>997</v>
      </c>
      <c r="AE420" s="11" t="str">
        <f>SUBSTITUTE(SUBSTITUTE(PROPERTIES[[#This Row],[PURCHASECOST_VALUE]], "PURCHASECOST_", ""), "_VALUE", "")</f>
        <v>ELECTRICENGINE</v>
      </c>
      <c r="AF420" s="10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446</v>
      </c>
      <c r="B421">
        <v>1967</v>
      </c>
      <c r="C421">
        <v>0</v>
      </c>
      <c r="D421" t="s">
        <v>2039</v>
      </c>
      <c r="E421" t="str">
        <f>_xlfn.XLOOKUP(PROPERTIES[[#This Row],[COUNTRY]],COUNTRIES[COUNTRY_DESCRIPTION],COUNTRIES[COUNTRY_LABEL],"")</f>
        <v>YU</v>
      </c>
      <c r="F421" t="s">
        <v>74</v>
      </c>
      <c r="G421" t="s">
        <v>20</v>
      </c>
      <c r="H421">
        <v>0</v>
      </c>
      <c r="I421">
        <v>8</v>
      </c>
      <c r="J421">
        <v>8</v>
      </c>
      <c r="K421" s="2" t="s">
        <v>20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4">
        <v>80</v>
      </c>
      <c r="P421">
        <v>4624</v>
      </c>
      <c r="Q421">
        <v>120</v>
      </c>
      <c r="R421" s="31">
        <v>275</v>
      </c>
      <c r="S421" s="30">
        <f>IFERROR(PROPERTIES[[#This Row],[TE_STARTING_KN]]/(PROPERTIES[[#This Row],[WEIGHT]]*9.81),0)</f>
        <v>0.35040774719673801</v>
      </c>
      <c r="T421" s="30">
        <v>0.25</v>
      </c>
      <c r="U421" s="27">
        <f>ROUND(IF(IFERROR(PROPERTIES[[#This Row],[TE_COEFFICIENT_CALC]],0)=0,PROPERTIES[[#This Row],[TE_COEFFICIENT_MANUAL]],PROPERTIES[[#This Row],[TE_COEFFICIENT_CALC]]),3)</f>
        <v>0.35</v>
      </c>
      <c r="V421" s="6">
        <v>40</v>
      </c>
      <c r="W421" s="10">
        <v>0</v>
      </c>
      <c r="X421" s="10">
        <v>0</v>
      </c>
      <c r="Y421" s="11"/>
      <c r="Z421" t="s">
        <v>911</v>
      </c>
      <c r="AA421" t="s">
        <v>904</v>
      </c>
      <c r="AB421" s="2" t="s">
        <v>922</v>
      </c>
      <c r="AC421" s="10" t="s">
        <v>996</v>
      </c>
      <c r="AD421" s="10" t="s">
        <v>997</v>
      </c>
      <c r="AE421" s="11" t="str">
        <f>SUBSTITUTE(SUBSTITUTE(PROPERTIES[[#This Row],[PURCHASECOST_VALUE]], "PURCHASECOST_", ""), "_VALUE", "")</f>
        <v>ELECTRICENGINE</v>
      </c>
      <c r="AF421" s="10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447</v>
      </c>
      <c r="B422">
        <v>1963</v>
      </c>
      <c r="C422">
        <v>0</v>
      </c>
      <c r="D422" t="s">
        <v>1886</v>
      </c>
      <c r="E422" t="str">
        <f>_xlfn.XLOOKUP(PROPERTIES[[#This Row],[COUNTRY]],COUNTRIES[COUNTRY_DESCRIPTION],COUNTRIES[COUNTRY_LABEL],"")</f>
        <v>HU</v>
      </c>
      <c r="F422" t="s">
        <v>74</v>
      </c>
      <c r="G422" t="s">
        <v>20</v>
      </c>
      <c r="H422">
        <v>0</v>
      </c>
      <c r="I422">
        <v>8</v>
      </c>
      <c r="J422">
        <v>8</v>
      </c>
      <c r="K422" s="2" t="s">
        <v>20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4">
        <v>80</v>
      </c>
      <c r="P422">
        <v>3000</v>
      </c>
      <c r="Q422">
        <v>120</v>
      </c>
      <c r="R422" s="31">
        <v>270</v>
      </c>
      <c r="S422" s="30">
        <f>IFERROR(PROPERTIES[[#This Row],[TE_STARTING_KN]]/(PROPERTIES[[#This Row],[WEIGHT]]*9.81),0)</f>
        <v>0.34403669724770641</v>
      </c>
      <c r="T422" s="30">
        <v>0.34</v>
      </c>
      <c r="U422" s="27">
        <f>ROUND(IF(IFERROR(PROPERTIES[[#This Row],[TE_COEFFICIENT_CALC]],0)=0,PROPERTIES[[#This Row],[TE_COEFFICIENT_MANUAL]],PROPERTIES[[#This Row],[TE_COEFFICIENT_CALC]]),3)</f>
        <v>0.34399999999999997</v>
      </c>
      <c r="V422" s="6">
        <v>40</v>
      </c>
      <c r="W422" s="10">
        <v>0</v>
      </c>
      <c r="X422" s="10">
        <v>0</v>
      </c>
      <c r="Y422" s="11"/>
      <c r="Z422" t="s">
        <v>911</v>
      </c>
      <c r="AA422" t="s">
        <v>904</v>
      </c>
      <c r="AB422" s="2" t="s">
        <v>922</v>
      </c>
      <c r="AC422" s="10" t="s">
        <v>996</v>
      </c>
      <c r="AD422" s="10" t="s">
        <v>997</v>
      </c>
      <c r="AE422" s="11" t="str">
        <f>SUBSTITUTE(SUBSTITUTE(PROPERTIES[[#This Row],[PURCHASECOST_VALUE]], "PURCHASECOST_", ""), "_VALUE", "")</f>
        <v>ELECTRICENGINE</v>
      </c>
      <c r="AF422" s="10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448</v>
      </c>
      <c r="B423">
        <v>1956</v>
      </c>
      <c r="C423">
        <v>0</v>
      </c>
      <c r="D423" t="s">
        <v>1970</v>
      </c>
      <c r="E423" t="str">
        <f>_xlfn.XLOOKUP(PROPERTIES[[#This Row],[COUNTRY]],COUNTRIES[COUNTRY_DESCRIPTION],COUNTRIES[COUNTRY_LABEL],"")</f>
        <v>PT</v>
      </c>
      <c r="F423" t="s">
        <v>74</v>
      </c>
      <c r="G423" t="s">
        <v>20</v>
      </c>
      <c r="H423">
        <v>0</v>
      </c>
      <c r="I423">
        <v>6</v>
      </c>
      <c r="J423">
        <v>6</v>
      </c>
      <c r="K423" s="2" t="s">
        <v>20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4">
        <v>72</v>
      </c>
      <c r="P423">
        <v>2790</v>
      </c>
      <c r="Q423">
        <v>120</v>
      </c>
      <c r="R423" s="31">
        <v>191</v>
      </c>
      <c r="S423" s="30">
        <f>IFERROR(PROPERTIES[[#This Row],[TE_STARTING_KN]]/(PROPERTIES[[#This Row],[WEIGHT]]*9.81),0)</f>
        <v>0.27041567561445234</v>
      </c>
      <c r="T423" s="30">
        <v>0.27</v>
      </c>
      <c r="U423" s="27">
        <f>ROUND(IF(IFERROR(PROPERTIES[[#This Row],[TE_COEFFICIENT_CALC]],0)=0,PROPERTIES[[#This Row],[TE_COEFFICIENT_MANUAL]],PROPERTIES[[#This Row],[TE_COEFFICIENT_CALC]]),3)</f>
        <v>0.27</v>
      </c>
      <c r="V423" s="6">
        <v>40</v>
      </c>
      <c r="W423" s="10">
        <v>0</v>
      </c>
      <c r="X423" s="10">
        <v>0</v>
      </c>
      <c r="Y423" s="11"/>
      <c r="Z423" t="s">
        <v>906</v>
      </c>
      <c r="AA423" t="s">
        <v>904</v>
      </c>
      <c r="AB423" s="2" t="s">
        <v>922</v>
      </c>
      <c r="AC423" s="10" t="s">
        <v>996</v>
      </c>
      <c r="AD423" s="10" t="s">
        <v>997</v>
      </c>
      <c r="AE423" s="11" t="str">
        <f>SUBSTITUTE(SUBSTITUTE(PROPERTIES[[#This Row],[PURCHASECOST_VALUE]], "PURCHASECOST_", ""), "_VALUE", "")</f>
        <v>ELECTRICENGINE</v>
      </c>
      <c r="AF423" s="10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449</v>
      </c>
      <c r="B424">
        <v>1974</v>
      </c>
      <c r="C424">
        <v>0</v>
      </c>
      <c r="D424" t="s">
        <v>1970</v>
      </c>
      <c r="E424" t="str">
        <f>_xlfn.XLOOKUP(PROPERTIES[[#This Row],[COUNTRY]],COUNTRIES[COUNTRY_DESCRIPTION],COUNTRIES[COUNTRY_LABEL],"")</f>
        <v>PT</v>
      </c>
      <c r="F424" t="s">
        <v>74</v>
      </c>
      <c r="G424" t="s">
        <v>20</v>
      </c>
      <c r="H424">
        <v>0</v>
      </c>
      <c r="I424">
        <v>8</v>
      </c>
      <c r="J424">
        <v>8</v>
      </c>
      <c r="K424" s="2" t="s">
        <v>20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4">
        <v>78</v>
      </c>
      <c r="P424">
        <v>4020</v>
      </c>
      <c r="Q424">
        <v>100</v>
      </c>
      <c r="R424" s="31">
        <v>245</v>
      </c>
      <c r="S424" s="30">
        <f>IFERROR(PROPERTIES[[#This Row],[TE_STARTING_KN]]/(PROPERTIES[[#This Row],[WEIGHT]]*9.81),0)</f>
        <v>0.32018610000261372</v>
      </c>
      <c r="T424" s="30">
        <v>0.32</v>
      </c>
      <c r="U424" s="27">
        <f>ROUND(IF(IFERROR(PROPERTIES[[#This Row],[TE_COEFFICIENT_CALC]],0)=0,PROPERTIES[[#This Row],[TE_COEFFICIENT_MANUAL]],PROPERTIES[[#This Row],[TE_COEFFICIENT_CALC]]),3)</f>
        <v>0.32</v>
      </c>
      <c r="V424" s="6">
        <v>40</v>
      </c>
      <c r="W424" s="10">
        <v>0</v>
      </c>
      <c r="X424" s="10">
        <v>0</v>
      </c>
      <c r="Y424" s="11"/>
      <c r="Z424" t="s">
        <v>906</v>
      </c>
      <c r="AA424" t="s">
        <v>904</v>
      </c>
      <c r="AB424" s="2" t="s">
        <v>922</v>
      </c>
      <c r="AC424" s="10" t="s">
        <v>996</v>
      </c>
      <c r="AD424" s="10" t="s">
        <v>997</v>
      </c>
      <c r="AE424" s="11" t="str">
        <f>SUBSTITUTE(SUBSTITUTE(PROPERTIES[[#This Row],[PURCHASECOST_VALUE]], "PURCHASECOST_", ""), "_VALUE", "")</f>
        <v>ELECTRICENGINE</v>
      </c>
      <c r="AF424" s="10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450</v>
      </c>
      <c r="B425">
        <v>2013</v>
      </c>
      <c r="C425">
        <v>0</v>
      </c>
      <c r="D425" t="s">
        <v>2033</v>
      </c>
      <c r="E425" t="str">
        <f>_xlfn.XLOOKUP(PROPERTIES[[#This Row],[COUNTRY]],COUNTRIES[COUNTRY_DESCRIPTION],COUNTRIES[COUNTRY_LABEL],"")</f>
        <v>ZA</v>
      </c>
      <c r="F425" t="s">
        <v>74</v>
      </c>
      <c r="G425" t="s">
        <v>20</v>
      </c>
      <c r="H425">
        <v>0</v>
      </c>
      <c r="I425">
        <v>7</v>
      </c>
      <c r="J425">
        <v>7</v>
      </c>
      <c r="K425" s="2" t="s">
        <v>20</v>
      </c>
      <c r="L425">
        <f>_xlfn.XLOOKUP("LOADINGSPEEDDEF_"&amp;PROPERTIES[[#This Row],[LOADINGSPEED]],LOADINGSPEEDDEF[TYPE],LOADINGSPEEDDEF[SPEED])</f>
        <v>0</v>
      </c>
      <c r="M425" t="s">
        <v>21</v>
      </c>
      <c r="N425">
        <v>1</v>
      </c>
      <c r="O425" s="34">
        <v>86</v>
      </c>
      <c r="P425">
        <v>4000</v>
      </c>
      <c r="Q425">
        <v>100</v>
      </c>
      <c r="R425" s="31">
        <v>320</v>
      </c>
      <c r="S425" s="30">
        <f>IFERROR(PROPERTIES[[#This Row],[TE_STARTING_KN]]/(PROPERTIES[[#This Row],[WEIGHT]]*9.81),0)</f>
        <v>0.37929971789583478</v>
      </c>
      <c r="T425" s="30">
        <v>0.45</v>
      </c>
      <c r="U425" s="27">
        <f>ROUND(IF(IFERROR(PROPERTIES[[#This Row],[TE_COEFFICIENT_CALC]],0)=0,PROPERTIES[[#This Row],[TE_COEFFICIENT_MANUAL]],PROPERTIES[[#This Row],[TE_COEFFICIENT_CALC]]),3)</f>
        <v>0.379</v>
      </c>
      <c r="V425" s="6">
        <v>40</v>
      </c>
      <c r="W425" s="10">
        <v>0</v>
      </c>
      <c r="X425" s="10">
        <v>0</v>
      </c>
      <c r="Y425" s="11"/>
      <c r="Z425" t="s">
        <v>908</v>
      </c>
      <c r="AA425" t="s">
        <v>904</v>
      </c>
      <c r="AB425" s="2" t="s">
        <v>922</v>
      </c>
      <c r="AC425" s="10" t="s">
        <v>996</v>
      </c>
      <c r="AD425" s="10" t="s">
        <v>997</v>
      </c>
      <c r="AE425" s="11" t="str">
        <f>SUBSTITUTE(SUBSTITUTE(PROPERTIES[[#This Row],[PURCHASECOST_VALUE]], "PURCHASECOST_", ""), "_VALUE", "")</f>
        <v>ELECTRICENGINE</v>
      </c>
      <c r="AF425" s="10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451</v>
      </c>
      <c r="B426">
        <v>2003</v>
      </c>
      <c r="C426">
        <v>0</v>
      </c>
      <c r="D426" t="s">
        <v>1908</v>
      </c>
      <c r="E426" t="str">
        <f>_xlfn.XLOOKUP(PROPERTIES[[#This Row],[COUNTRY]],COUNTRIES[COUNTRY_DESCRIPTION],COUNTRIES[COUNTRY_LABEL],"")</f>
        <v>KR</v>
      </c>
      <c r="F426" t="s">
        <v>74</v>
      </c>
      <c r="G426" t="s">
        <v>20</v>
      </c>
      <c r="H426">
        <v>0</v>
      </c>
      <c r="I426">
        <v>8</v>
      </c>
      <c r="J426">
        <v>8</v>
      </c>
      <c r="K426" s="2" t="s">
        <v>20</v>
      </c>
      <c r="L426">
        <f>_xlfn.XLOOKUP("LOADINGSPEEDDEF_"&amp;PROPERTIES[[#This Row],[LOADINGSPEED]],LOADINGSPEEDDEF[TYPE],LOADINGSPEEDDEF[SPEED])</f>
        <v>0</v>
      </c>
      <c r="M426" t="s">
        <v>21</v>
      </c>
      <c r="N426">
        <v>1</v>
      </c>
      <c r="O426" s="34">
        <v>80</v>
      </c>
      <c r="P426">
        <v>7000</v>
      </c>
      <c r="Q426">
        <v>150</v>
      </c>
      <c r="R426" s="31">
        <v>330</v>
      </c>
      <c r="S426" s="30">
        <f>IFERROR(PROPERTIES[[#This Row],[TE_STARTING_KN]]/(PROPERTIES[[#This Row],[WEIGHT]]*9.81),0)</f>
        <v>0.42048929663608559</v>
      </c>
      <c r="T426" s="30">
        <v>0.38</v>
      </c>
      <c r="U426" s="27">
        <f>ROUND(IF(IFERROR(PROPERTIES[[#This Row],[TE_COEFFICIENT_CALC]],0)=0,PROPERTIES[[#This Row],[TE_COEFFICIENT_MANUAL]],PROPERTIES[[#This Row],[TE_COEFFICIENT_CALC]]),3)</f>
        <v>0.42</v>
      </c>
      <c r="V426" s="6">
        <v>40</v>
      </c>
      <c r="W426" s="10">
        <v>0</v>
      </c>
      <c r="X426" s="10">
        <v>0</v>
      </c>
      <c r="Y426" s="11"/>
      <c r="Z426" t="s">
        <v>913</v>
      </c>
      <c r="AA426" t="s">
        <v>904</v>
      </c>
      <c r="AB426" s="2" t="s">
        <v>922</v>
      </c>
      <c r="AC426" s="10" t="s">
        <v>996</v>
      </c>
      <c r="AD426" s="10" t="s">
        <v>997</v>
      </c>
      <c r="AE426" s="11" t="str">
        <f>SUBSTITUTE(SUBSTITUTE(PROPERTIES[[#This Row],[PURCHASECOST_VALUE]], "PURCHASECOST_", ""), "_VALUE", "")</f>
        <v>ELECTRICENGINE</v>
      </c>
      <c r="AF426" s="10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452</v>
      </c>
      <c r="B427">
        <v>2003</v>
      </c>
      <c r="C427">
        <v>0</v>
      </c>
      <c r="D427" t="s">
        <v>2016</v>
      </c>
      <c r="E427" t="str">
        <f>_xlfn.XLOOKUP(PROPERTIES[[#This Row],[COUNTRY]],COUNTRIES[COUNTRY_DESCRIPTION],COUNTRIES[COUNTRY_LABEL],"")</f>
        <v>UA</v>
      </c>
      <c r="F427" t="s">
        <v>74</v>
      </c>
      <c r="G427" t="s">
        <v>20</v>
      </c>
      <c r="H427">
        <v>0</v>
      </c>
      <c r="I427">
        <v>8</v>
      </c>
      <c r="J427">
        <v>8</v>
      </c>
      <c r="K427" s="2" t="s">
        <v>20</v>
      </c>
      <c r="L427">
        <f>_xlfn.XLOOKUP("LOADINGSPEEDDEF_"&amp;PROPERTIES[[#This Row],[LOADINGSPEED]],LOADINGSPEEDDEF[TYPE],LOADINGSPEEDDEF[SPEED])</f>
        <v>0</v>
      </c>
      <c r="M427" t="s">
        <v>21</v>
      </c>
      <c r="N427">
        <v>1</v>
      </c>
      <c r="O427" s="34">
        <v>90</v>
      </c>
      <c r="P427">
        <v>6450</v>
      </c>
      <c r="Q427">
        <v>160</v>
      </c>
      <c r="R427" s="31">
        <v>310</v>
      </c>
      <c r="S427" s="30">
        <f>IFERROR(PROPERTIES[[#This Row],[TE_STARTING_KN]]/(PROPERTIES[[#This Row],[WEIGHT]]*9.81),0)</f>
        <v>0.35111564163551928</v>
      </c>
      <c r="T427" s="30">
        <v>0.32</v>
      </c>
      <c r="U427" s="27">
        <f>ROUND(IF(IFERROR(PROPERTIES[[#This Row],[TE_COEFFICIENT_CALC]],0)=0,PROPERTIES[[#This Row],[TE_COEFFICIENT_MANUAL]],PROPERTIES[[#This Row],[TE_COEFFICIENT_CALC]]),3)</f>
        <v>0.35099999999999998</v>
      </c>
      <c r="V427" s="6">
        <v>40</v>
      </c>
      <c r="W427" s="10">
        <v>0</v>
      </c>
      <c r="X427" s="10">
        <v>0</v>
      </c>
      <c r="Y427" s="11"/>
      <c r="Z427" t="s">
        <v>911</v>
      </c>
      <c r="AA427" t="s">
        <v>904</v>
      </c>
      <c r="AB427" s="2" t="s">
        <v>922</v>
      </c>
      <c r="AC427" s="10" t="s">
        <v>996</v>
      </c>
      <c r="AD427" s="10" t="s">
        <v>997</v>
      </c>
      <c r="AE427" s="11" t="str">
        <f>SUBSTITUTE(SUBSTITUTE(PROPERTIES[[#This Row],[PURCHASECOST_VALUE]], "PURCHASECOST_", ""), "_VALUE", "")</f>
        <v>ELECTRICENGINE</v>
      </c>
      <c r="AF427" s="10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453</v>
      </c>
      <c r="B428">
        <v>1966</v>
      </c>
      <c r="C428">
        <v>0</v>
      </c>
      <c r="D428" t="s">
        <v>1843</v>
      </c>
      <c r="E428" t="str">
        <f>_xlfn.XLOOKUP(PROPERTIES[[#This Row],[COUNTRY]],COUNTRIES[COUNTRY_DESCRIPTION],COUNTRIES[COUNTRY_LABEL],"")</f>
        <v>CZ</v>
      </c>
      <c r="F428" t="s">
        <v>74</v>
      </c>
      <c r="G428" t="s">
        <v>20</v>
      </c>
      <c r="H428">
        <v>0</v>
      </c>
      <c r="I428">
        <v>8</v>
      </c>
      <c r="J428">
        <v>8</v>
      </c>
      <c r="K428" s="2" t="s">
        <v>20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4">
        <v>85</v>
      </c>
      <c r="P428">
        <v>4600</v>
      </c>
      <c r="Q428">
        <v>120</v>
      </c>
      <c r="R428" s="31">
        <v>210</v>
      </c>
      <c r="S428" s="30">
        <f>IFERROR(PROPERTIES[[#This Row],[TE_STARTING_KN]]/(PROPERTIES[[#This Row],[WEIGHT]]*9.81),0)</f>
        <v>0.25184385680877858</v>
      </c>
      <c r="T428" s="30">
        <v>0.28000000000000003</v>
      </c>
      <c r="U428" s="27">
        <f>ROUND(IF(IFERROR(PROPERTIES[[#This Row],[TE_COEFFICIENT_CALC]],0)=0,PROPERTIES[[#This Row],[TE_COEFFICIENT_MANUAL]],PROPERTIES[[#This Row],[TE_COEFFICIENT_CALC]]),3)</f>
        <v>0.252</v>
      </c>
      <c r="V428" s="6">
        <v>40</v>
      </c>
      <c r="W428" s="10">
        <v>0</v>
      </c>
      <c r="X428" s="10">
        <v>0</v>
      </c>
      <c r="Y428" s="11"/>
      <c r="Z428" t="s">
        <v>911</v>
      </c>
      <c r="AA428" t="s">
        <v>904</v>
      </c>
      <c r="AB428" s="2" t="s">
        <v>922</v>
      </c>
      <c r="AC428" s="10" t="s">
        <v>996</v>
      </c>
      <c r="AD428" s="10" t="s">
        <v>997</v>
      </c>
      <c r="AE428" s="11" t="str">
        <f>SUBSTITUTE(SUBSTITUTE(PROPERTIES[[#This Row],[PURCHASECOST_VALUE]], "PURCHASECOST_", ""), "_VALUE", "")</f>
        <v>ELECTRICENGINE</v>
      </c>
      <c r="AF428" s="10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454</v>
      </c>
      <c r="B429">
        <v>1988</v>
      </c>
      <c r="C429">
        <v>0</v>
      </c>
      <c r="D429" t="s">
        <v>1896</v>
      </c>
      <c r="E429" t="str">
        <f>_xlfn.XLOOKUP(PROPERTIES[[#This Row],[COUNTRY]],COUNTRIES[COUNTRY_DESCRIPTION],COUNTRIES[COUNTRY_LABEL],"")</f>
        <v>IT</v>
      </c>
      <c r="F429" t="s">
        <v>74</v>
      </c>
      <c r="G429" t="s">
        <v>20</v>
      </c>
      <c r="H429">
        <v>0</v>
      </c>
      <c r="I429">
        <v>8</v>
      </c>
      <c r="J429">
        <v>8</v>
      </c>
      <c r="K429" s="2" t="s">
        <v>20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4">
        <v>77</v>
      </c>
      <c r="P429">
        <v>4600</v>
      </c>
      <c r="Q429">
        <v>140</v>
      </c>
      <c r="R429" s="31">
        <v>228</v>
      </c>
      <c r="S429" s="30">
        <f>IFERROR(PROPERTIES[[#This Row],[TE_STARTING_KN]]/(PROPERTIES[[#This Row],[WEIGHT]]*9.81),0)</f>
        <v>0.30183883394892569</v>
      </c>
      <c r="T429" s="30">
        <v>0.3</v>
      </c>
      <c r="U429" s="27">
        <f>ROUND(IF(IFERROR(PROPERTIES[[#This Row],[TE_COEFFICIENT_CALC]],0)=0,PROPERTIES[[#This Row],[TE_COEFFICIENT_MANUAL]],PROPERTIES[[#This Row],[TE_COEFFICIENT_CALC]]),3)</f>
        <v>0.30199999999999999</v>
      </c>
      <c r="V429" s="6">
        <v>40</v>
      </c>
      <c r="W429" s="10">
        <v>0</v>
      </c>
      <c r="X429" s="10">
        <v>0</v>
      </c>
      <c r="Y429" s="11"/>
      <c r="Z429" t="s">
        <v>906</v>
      </c>
      <c r="AA429" t="s">
        <v>904</v>
      </c>
      <c r="AB429" s="2" t="s">
        <v>922</v>
      </c>
      <c r="AC429" s="10" t="s">
        <v>996</v>
      </c>
      <c r="AD429" s="10" t="s">
        <v>997</v>
      </c>
      <c r="AE429" s="11" t="str">
        <f>SUBSTITUTE(SUBSTITUTE(PROPERTIES[[#This Row],[PURCHASECOST_VALUE]], "PURCHASECOST_", ""), "_VALUE", "")</f>
        <v>ELECTRICENGINE</v>
      </c>
      <c r="AF429" s="10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455</v>
      </c>
      <c r="B430">
        <v>1978</v>
      </c>
      <c r="C430">
        <v>0</v>
      </c>
      <c r="D430" t="s">
        <v>1930</v>
      </c>
      <c r="E430" t="str">
        <f>_xlfn.XLOOKUP(PROPERTIES[[#This Row],[COUNTRY]],COUNTRIES[COUNTRY_DESCRIPTION],COUNTRIES[COUNTRY_LABEL],"")</f>
        <v>MK</v>
      </c>
      <c r="F430" t="s">
        <v>74</v>
      </c>
      <c r="G430" t="s">
        <v>20</v>
      </c>
      <c r="H430">
        <v>0</v>
      </c>
      <c r="I430">
        <v>8</v>
      </c>
      <c r="J430">
        <v>8</v>
      </c>
      <c r="K430" s="2" t="s">
        <v>20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4">
        <v>120</v>
      </c>
      <c r="P430">
        <v>6834</v>
      </c>
      <c r="Q430">
        <v>120</v>
      </c>
      <c r="R430" s="31">
        <v>392</v>
      </c>
      <c r="S430" s="30">
        <f>IFERROR(PROPERTIES[[#This Row],[TE_STARTING_KN]]/(PROPERTIES[[#This Row],[WEIGHT]]*9.81),0)</f>
        <v>0.3329935440027183</v>
      </c>
      <c r="T430" s="30">
        <v>0.33</v>
      </c>
      <c r="U430" s="27">
        <f>ROUND(IF(IFERROR(PROPERTIES[[#This Row],[TE_COEFFICIENT_CALC]],0)=0,PROPERTIES[[#This Row],[TE_COEFFICIENT_MANUAL]],PROPERTIES[[#This Row],[TE_COEFFICIENT_CALC]]),3)</f>
        <v>0.33300000000000002</v>
      </c>
      <c r="V430" s="6">
        <v>40</v>
      </c>
      <c r="W430" s="10">
        <v>0</v>
      </c>
      <c r="X430" s="10">
        <v>0</v>
      </c>
      <c r="Y430" s="11"/>
      <c r="Z430" t="s">
        <v>906</v>
      </c>
      <c r="AA430" t="s">
        <v>904</v>
      </c>
      <c r="AB430" s="2" t="s">
        <v>922</v>
      </c>
      <c r="AC430" s="10" t="s">
        <v>996</v>
      </c>
      <c r="AD430" s="10" t="s">
        <v>997</v>
      </c>
      <c r="AE430" s="11" t="str">
        <f>SUBSTITUTE(SUBSTITUTE(PROPERTIES[[#This Row],[PURCHASECOST_VALUE]], "PURCHASECOST_", ""), "_VALUE", "")</f>
        <v>ELECTRICENGINE</v>
      </c>
      <c r="AF430" s="10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456</v>
      </c>
      <c r="B431">
        <v>1926</v>
      </c>
      <c r="C431">
        <v>0</v>
      </c>
      <c r="D431" t="s">
        <v>1923</v>
      </c>
      <c r="E431" t="str">
        <f>_xlfn.XLOOKUP(PROPERTIES[[#This Row],[COUNTRY]],COUNTRIES[COUNTRY_DESCRIPTION],COUNTRIES[COUNTRY_LABEL],"")</f>
        <v>MA</v>
      </c>
      <c r="F431" t="s">
        <v>74</v>
      </c>
      <c r="G431" t="s">
        <v>20</v>
      </c>
      <c r="H431">
        <v>0</v>
      </c>
      <c r="I431">
        <v>5</v>
      </c>
      <c r="J431">
        <v>5</v>
      </c>
      <c r="K431" s="2" t="s">
        <v>24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4">
        <v>76</v>
      </c>
      <c r="P431">
        <v>986</v>
      </c>
      <c r="Q431">
        <v>90</v>
      </c>
      <c r="R431" s="31">
        <v>0</v>
      </c>
      <c r="S431" s="30">
        <f>IFERROR(PROPERTIES[[#This Row],[TE_STARTING_KN]]/(PROPERTIES[[#This Row],[WEIGHT]]*9.81),0)</f>
        <v>0</v>
      </c>
      <c r="T431" s="30">
        <v>0.21</v>
      </c>
      <c r="U431" s="27">
        <f>ROUND(IF(IFERROR(PROPERTIES[[#This Row],[TE_COEFFICIENT_CALC]],0)=0,PROPERTIES[[#This Row],[TE_COEFFICIENT_MANUAL]],PROPERTIES[[#This Row],[TE_COEFFICIENT_CALC]]),3)</f>
        <v>0.21</v>
      </c>
      <c r="V431" s="6">
        <v>40</v>
      </c>
      <c r="W431" s="10">
        <v>0</v>
      </c>
      <c r="X431" s="10">
        <v>0</v>
      </c>
      <c r="Y431" s="11"/>
      <c r="Z431" t="s">
        <v>908</v>
      </c>
      <c r="AA431" t="s">
        <v>904</v>
      </c>
      <c r="AB431" s="2" t="s">
        <v>922</v>
      </c>
      <c r="AC431" s="10" t="s">
        <v>996</v>
      </c>
      <c r="AD431" s="10" t="s">
        <v>997</v>
      </c>
      <c r="AE431" s="11" t="str">
        <f>SUBSTITUTE(SUBSTITUTE(PROPERTIES[[#This Row],[PURCHASECOST_VALUE]], "PURCHASECOST_", ""), "_VALUE", "")</f>
        <v>ELECTRICENGINE</v>
      </c>
      <c r="AF431" s="10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457</v>
      </c>
      <c r="B432">
        <v>1961</v>
      </c>
      <c r="C432">
        <v>0</v>
      </c>
      <c r="D432" t="s">
        <v>1863</v>
      </c>
      <c r="E432" t="str">
        <f>_xlfn.XLOOKUP(PROPERTIES[[#This Row],[COUNTRY]],COUNTRIES[COUNTRY_DESCRIPTION],COUNTRIES[COUNTRY_LABEL],"")</f>
        <v>GB</v>
      </c>
      <c r="F432" t="s">
        <v>74</v>
      </c>
      <c r="G432" t="s">
        <v>20</v>
      </c>
      <c r="H432">
        <v>0</v>
      </c>
      <c r="I432">
        <v>7</v>
      </c>
      <c r="J432">
        <v>7</v>
      </c>
      <c r="K432" s="2" t="s">
        <v>24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4">
        <v>81</v>
      </c>
      <c r="P432">
        <v>3200</v>
      </c>
      <c r="Q432">
        <v>160</v>
      </c>
      <c r="R432" s="31">
        <v>220</v>
      </c>
      <c r="S432" s="30">
        <f>IFERROR(PROPERTIES[[#This Row],[TE_STARTING_KN]]/(PROPERTIES[[#This Row],[WEIGHT]]*9.81),0)</f>
        <v>0.27686538050112636</v>
      </c>
      <c r="T432" s="30">
        <v>0.27</v>
      </c>
      <c r="U432" s="27">
        <f>ROUND(IF(IFERROR(PROPERTIES[[#This Row],[TE_COEFFICIENT_CALC]],0)=0,PROPERTIES[[#This Row],[TE_COEFFICIENT_MANUAL]],PROPERTIES[[#This Row],[TE_COEFFICIENT_CALC]]),3)</f>
        <v>0.27700000000000002</v>
      </c>
      <c r="V432" s="6">
        <v>40</v>
      </c>
      <c r="W432" s="10">
        <v>0</v>
      </c>
      <c r="X432" s="10">
        <v>0</v>
      </c>
      <c r="Y432" s="11"/>
      <c r="Z432" t="s">
        <v>909</v>
      </c>
      <c r="AA432" t="s">
        <v>904</v>
      </c>
      <c r="AB432" s="2" t="s">
        <v>922</v>
      </c>
      <c r="AC432" s="10" t="s">
        <v>996</v>
      </c>
      <c r="AD432" s="10" t="s">
        <v>997</v>
      </c>
      <c r="AE432" s="11" t="str">
        <f>SUBSTITUTE(SUBSTITUTE(PROPERTIES[[#This Row],[PURCHASECOST_VALUE]], "PURCHASECOST_", ""), "_VALUE", "")</f>
        <v>ELECTRICENGINE</v>
      </c>
      <c r="AF432" s="10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458</v>
      </c>
      <c r="B433">
        <v>1982</v>
      </c>
      <c r="C433">
        <v>0</v>
      </c>
      <c r="D433" t="s">
        <v>1943</v>
      </c>
      <c r="E433" t="str">
        <f>_xlfn.XLOOKUP(PROPERTIES[[#This Row],[COUNTRY]],COUNTRIES[COUNTRY_DESCRIPTION],COUNTRIES[COUNTRY_LABEL],"")</f>
        <v>MX</v>
      </c>
      <c r="F433" t="s">
        <v>74</v>
      </c>
      <c r="G433" t="s">
        <v>20</v>
      </c>
      <c r="H433">
        <v>0</v>
      </c>
      <c r="I433">
        <v>8</v>
      </c>
      <c r="J433">
        <v>8</v>
      </c>
      <c r="K433" s="2" t="s">
        <v>20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4">
        <v>167.8</v>
      </c>
      <c r="P433">
        <v>6000</v>
      </c>
      <c r="Q433">
        <v>110</v>
      </c>
      <c r="R433" s="31">
        <v>520</v>
      </c>
      <c r="S433" s="30">
        <f>IFERROR(PROPERTIES[[#This Row],[TE_STARTING_KN]]/(PROPERTIES[[#This Row],[WEIGHT]]*9.81),0)</f>
        <v>0.31589472929644163</v>
      </c>
      <c r="T433" s="30">
        <v>0.19</v>
      </c>
      <c r="U433" s="27">
        <f>ROUND(IF(IFERROR(PROPERTIES[[#This Row],[TE_COEFFICIENT_CALC]],0)=0,PROPERTIES[[#This Row],[TE_COEFFICIENT_MANUAL]],PROPERTIES[[#This Row],[TE_COEFFICIENT_CALC]]),3)</f>
        <v>0.316</v>
      </c>
      <c r="V433" s="6">
        <v>40</v>
      </c>
      <c r="W433" s="10">
        <v>0</v>
      </c>
      <c r="X433" s="10">
        <v>0</v>
      </c>
      <c r="Y433" s="11"/>
      <c r="Z433" t="s">
        <v>910</v>
      </c>
      <c r="AA433" t="s">
        <v>904</v>
      </c>
      <c r="AB433" s="2" t="s">
        <v>922</v>
      </c>
      <c r="AC433" s="10" t="s">
        <v>996</v>
      </c>
      <c r="AD433" s="10" t="s">
        <v>997</v>
      </c>
      <c r="AE433" s="11" t="str">
        <f>SUBSTITUTE(SUBSTITUTE(PROPERTIES[[#This Row],[PURCHASECOST_VALUE]], "PURCHASECOST_", ""), "_VALUE", "")</f>
        <v>ELECTRICENGINE</v>
      </c>
      <c r="AF433" s="10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459</v>
      </c>
      <c r="B434">
        <v>2010</v>
      </c>
      <c r="C434">
        <v>0</v>
      </c>
      <c r="D434" t="s">
        <v>1923</v>
      </c>
      <c r="E434" t="str">
        <f>_xlfn.XLOOKUP(PROPERTIES[[#This Row],[COUNTRY]],COUNTRIES[COUNTRY_DESCRIPTION],COUNTRIES[COUNTRY_LABEL],"")</f>
        <v>MA</v>
      </c>
      <c r="F434" t="s">
        <v>74</v>
      </c>
      <c r="G434" t="s">
        <v>20</v>
      </c>
      <c r="H434">
        <v>0</v>
      </c>
      <c r="I434">
        <v>8</v>
      </c>
      <c r="J434">
        <v>8</v>
      </c>
      <c r="K434" s="2" t="s">
        <v>20</v>
      </c>
      <c r="L434">
        <f>_xlfn.XLOOKUP("LOADINGSPEEDDEF_"&amp;PROPERTIES[[#This Row],[LOADINGSPEED]],LOADINGSPEEDDEF[TYPE],LOADINGSPEEDDEF[SPEED])</f>
        <v>0</v>
      </c>
      <c r="M434" t="s">
        <v>21</v>
      </c>
      <c r="N434">
        <v>1</v>
      </c>
      <c r="O434" s="34">
        <v>91</v>
      </c>
      <c r="P434">
        <v>8600</v>
      </c>
      <c r="Q434">
        <v>160</v>
      </c>
      <c r="R434" s="31">
        <v>0</v>
      </c>
      <c r="S434" s="30">
        <f>IFERROR(PROPERTIES[[#This Row],[TE_STARTING_KN]]/(PROPERTIES[[#This Row],[WEIGHT]]*9.81),0)</f>
        <v>0</v>
      </c>
      <c r="T434" s="30">
        <v>0.35</v>
      </c>
      <c r="U434" s="27">
        <f>ROUND(IF(IFERROR(PROPERTIES[[#This Row],[TE_COEFFICIENT_CALC]],0)=0,PROPERTIES[[#This Row],[TE_COEFFICIENT_MANUAL]],PROPERTIES[[#This Row],[TE_COEFFICIENT_CALC]]),3)</f>
        <v>0.35</v>
      </c>
      <c r="V434" s="6">
        <v>40</v>
      </c>
      <c r="W434" s="10">
        <v>0</v>
      </c>
      <c r="X434" s="10">
        <v>0</v>
      </c>
      <c r="Y434" s="11"/>
      <c r="Z434" t="s">
        <v>908</v>
      </c>
      <c r="AA434" t="s">
        <v>904</v>
      </c>
      <c r="AB434" s="2" t="s">
        <v>922</v>
      </c>
      <c r="AC434" s="10" t="s">
        <v>996</v>
      </c>
      <c r="AD434" s="10" t="s">
        <v>997</v>
      </c>
      <c r="AE434" s="11" t="str">
        <f>SUBSTITUTE(SUBSTITUTE(PROPERTIES[[#This Row],[PURCHASECOST_VALUE]], "PURCHASECOST_", ""), "_VALUE", "")</f>
        <v>ELECTRICENGINE</v>
      </c>
      <c r="AF434" s="10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460</v>
      </c>
      <c r="B435">
        <v>1968</v>
      </c>
      <c r="C435">
        <v>0</v>
      </c>
      <c r="D435" t="s">
        <v>1957</v>
      </c>
      <c r="E435" t="str">
        <f>_xlfn.XLOOKUP(PROPERTIES[[#This Row],[COUNTRY]],COUNTRIES[COUNTRY_DESCRIPTION],COUNTRIES[COUNTRY_LABEL],"")</f>
        <v>NZ</v>
      </c>
      <c r="F435" t="s">
        <v>74</v>
      </c>
      <c r="G435" t="s">
        <v>20</v>
      </c>
      <c r="H435">
        <v>0</v>
      </c>
      <c r="I435">
        <v>6</v>
      </c>
      <c r="J435">
        <v>6</v>
      </c>
      <c r="K435" s="2" t="s">
        <v>20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4">
        <v>55</v>
      </c>
      <c r="P435">
        <v>1290</v>
      </c>
      <c r="Q435">
        <v>72</v>
      </c>
      <c r="R435" s="31">
        <v>0</v>
      </c>
      <c r="S435" s="30">
        <f>IFERROR(PROPERTIES[[#This Row],[TE_STARTING_KN]]/(PROPERTIES[[#This Row],[WEIGHT]]*9.81),0)</f>
        <v>0</v>
      </c>
      <c r="T435" s="30">
        <v>0.32</v>
      </c>
      <c r="U435" s="27">
        <f>ROUND(IF(IFERROR(PROPERTIES[[#This Row],[TE_COEFFICIENT_CALC]],0)=0,PROPERTIES[[#This Row],[TE_COEFFICIENT_MANUAL]],PROPERTIES[[#This Row],[TE_COEFFICIENT_CALC]]),3)</f>
        <v>0.32</v>
      </c>
      <c r="V435" s="6">
        <v>40</v>
      </c>
      <c r="W435" s="10">
        <v>0</v>
      </c>
      <c r="X435" s="10">
        <v>0</v>
      </c>
      <c r="Y435" s="11"/>
      <c r="Z435" t="s">
        <v>907</v>
      </c>
      <c r="AA435" t="s">
        <v>904</v>
      </c>
      <c r="AB435" s="2" t="s">
        <v>922</v>
      </c>
      <c r="AC435" s="10" t="s">
        <v>996</v>
      </c>
      <c r="AD435" s="10" t="s">
        <v>997</v>
      </c>
      <c r="AE435" s="11" t="str">
        <f>SUBSTITUTE(SUBSTITUTE(PROPERTIES[[#This Row],[PURCHASECOST_VALUE]], "PURCHASECOST_", ""), "_VALUE", "")</f>
        <v>ELECTRICENGINE</v>
      </c>
      <c r="AF435" s="10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461</v>
      </c>
      <c r="B436">
        <v>1983</v>
      </c>
      <c r="C436">
        <v>0</v>
      </c>
      <c r="D436" t="s">
        <v>1825</v>
      </c>
      <c r="E436" t="str">
        <f>_xlfn.XLOOKUP(PROPERTIES[[#This Row],[COUNTRY]],COUNTRIES[COUNTRY_DESCRIPTION],COUNTRIES[COUNTRY_LABEL],"")</f>
        <v>CA</v>
      </c>
      <c r="F436" t="s">
        <v>74</v>
      </c>
      <c r="G436" t="s">
        <v>20</v>
      </c>
      <c r="H436">
        <v>0</v>
      </c>
      <c r="I436">
        <v>8</v>
      </c>
      <c r="J436">
        <v>8</v>
      </c>
      <c r="K436" s="2" t="s">
        <v>20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4">
        <v>180</v>
      </c>
      <c r="P436">
        <v>6000</v>
      </c>
      <c r="Q436">
        <v>90</v>
      </c>
      <c r="R436" s="31">
        <v>605</v>
      </c>
      <c r="S436" s="30">
        <f>IFERROR(PROPERTIES[[#This Row],[TE_STARTING_KN]]/(PROPERTIES[[#This Row],[WEIGHT]]*9.81),0)</f>
        <v>0.34262090837014381</v>
      </c>
      <c r="T436" s="30">
        <v>0.22</v>
      </c>
      <c r="U436" s="27">
        <f>ROUND(IF(IFERROR(PROPERTIES[[#This Row],[TE_COEFFICIENT_CALC]],0)=0,PROPERTIES[[#This Row],[TE_COEFFICIENT_MANUAL]],PROPERTIES[[#This Row],[TE_COEFFICIENT_CALC]]),3)</f>
        <v>0.34300000000000003</v>
      </c>
      <c r="V436" s="6">
        <v>40</v>
      </c>
      <c r="W436" s="10">
        <v>0</v>
      </c>
      <c r="X436" s="10">
        <v>0</v>
      </c>
      <c r="Y436" s="11"/>
      <c r="Z436" t="s">
        <v>910</v>
      </c>
      <c r="AA436" t="s">
        <v>904</v>
      </c>
      <c r="AB436" s="2" t="s">
        <v>922</v>
      </c>
      <c r="AC436" s="10" t="s">
        <v>996</v>
      </c>
      <c r="AD436" s="10" t="s">
        <v>997</v>
      </c>
      <c r="AE436" s="11" t="str">
        <f>SUBSTITUTE(SUBSTITUTE(PROPERTIES[[#This Row],[PURCHASECOST_VALUE]], "PURCHASECOST_", ""), "_VALUE", "")</f>
        <v>ELECTRICENGINE</v>
      </c>
      <c r="AF436" s="10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462</v>
      </c>
      <c r="B437">
        <v>1976</v>
      </c>
      <c r="C437">
        <v>0</v>
      </c>
      <c r="D437" t="s">
        <v>1862</v>
      </c>
      <c r="E437" t="str">
        <f>_xlfn.XLOOKUP(PROPERTIES[[#This Row],[COUNTRY]],COUNTRIES[COUNTRY_DESCRIPTION],COUNTRIES[COUNTRY_LABEL],"")</f>
        <v>FR</v>
      </c>
      <c r="F437" t="s">
        <v>74</v>
      </c>
      <c r="G437" t="s">
        <v>20</v>
      </c>
      <c r="H437">
        <v>0</v>
      </c>
      <c r="I437">
        <v>8</v>
      </c>
      <c r="J437">
        <v>8</v>
      </c>
      <c r="K437" s="2" t="s">
        <v>20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4">
        <v>90</v>
      </c>
      <c r="P437">
        <v>5850</v>
      </c>
      <c r="Q437">
        <v>160</v>
      </c>
      <c r="R437" s="31">
        <v>294</v>
      </c>
      <c r="S437" s="30">
        <f>IFERROR(PROPERTIES[[#This Row],[TE_STARTING_KN]]/(PROPERTIES[[#This Row],[WEIGHT]]*9.81),0)</f>
        <v>0.3329935440027183</v>
      </c>
      <c r="T437" s="30">
        <v>0.33</v>
      </c>
      <c r="U437" s="27">
        <f>ROUND(IF(IFERROR(PROPERTIES[[#This Row],[TE_COEFFICIENT_CALC]],0)=0,PROPERTIES[[#This Row],[TE_COEFFICIENT_MANUAL]],PROPERTIES[[#This Row],[TE_COEFFICIENT_CALC]]),3)</f>
        <v>0.33300000000000002</v>
      </c>
      <c r="V437" s="6">
        <v>40</v>
      </c>
      <c r="W437" s="10">
        <v>0</v>
      </c>
      <c r="X437" s="10">
        <v>0</v>
      </c>
      <c r="Y437" s="11"/>
      <c r="Z437" t="s">
        <v>905</v>
      </c>
      <c r="AA437" t="s">
        <v>904</v>
      </c>
      <c r="AB437" s="2" t="s">
        <v>922</v>
      </c>
      <c r="AC437" s="10" t="s">
        <v>996</v>
      </c>
      <c r="AD437" s="10" t="s">
        <v>997</v>
      </c>
      <c r="AE437" s="11" t="str">
        <f>SUBSTITUTE(SUBSTITUTE(PROPERTIES[[#This Row],[PURCHASECOST_VALUE]], "PURCHASECOST_", ""), "_VALUE", "")</f>
        <v>ELECTRICENGINE</v>
      </c>
      <c r="AF437" s="10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463</v>
      </c>
      <c r="B438">
        <v>1989</v>
      </c>
      <c r="C438">
        <v>0</v>
      </c>
      <c r="D438" t="s">
        <v>1862</v>
      </c>
      <c r="E438" t="str">
        <f>_xlfn.XLOOKUP(PROPERTIES[[#This Row],[COUNTRY]],COUNTRIES[COUNTRY_DESCRIPTION],COUNTRIES[COUNTRY_LABEL],"")</f>
        <v>FR</v>
      </c>
      <c r="F438" t="s">
        <v>74</v>
      </c>
      <c r="G438" t="s">
        <v>20</v>
      </c>
      <c r="H438">
        <v>0</v>
      </c>
      <c r="I438">
        <v>8</v>
      </c>
      <c r="J438">
        <v>8</v>
      </c>
      <c r="K438" s="2" t="s">
        <v>20</v>
      </c>
      <c r="L438">
        <f>_xlfn.XLOOKUP("LOADINGSPEEDDEF_"&amp;PROPERTIES[[#This Row],[LOADINGSPEED]],LOADINGSPEEDDEF[TYPE],LOADINGSPEEDDEF[SPEED])</f>
        <v>0</v>
      </c>
      <c r="M438" t="s">
        <v>21</v>
      </c>
      <c r="N438">
        <v>1</v>
      </c>
      <c r="O438" s="34">
        <v>90</v>
      </c>
      <c r="P438">
        <v>7504</v>
      </c>
      <c r="Q438">
        <v>200</v>
      </c>
      <c r="R438" s="31">
        <v>320</v>
      </c>
      <c r="S438" s="30">
        <f>IFERROR(PROPERTIES[[#This Row],[TE_STARTING_KN]]/(PROPERTIES[[#This Row],[WEIGHT]]*9.81),0)</f>
        <v>0.36244195265601992</v>
      </c>
      <c r="T438" s="30">
        <v>0.36</v>
      </c>
      <c r="U438" s="27">
        <f>ROUND(IF(IFERROR(PROPERTIES[[#This Row],[TE_COEFFICIENT_CALC]],0)=0,PROPERTIES[[#This Row],[TE_COEFFICIENT_MANUAL]],PROPERTIES[[#This Row],[TE_COEFFICIENT_CALC]]),3)</f>
        <v>0.36199999999999999</v>
      </c>
      <c r="V438" s="6">
        <v>40</v>
      </c>
      <c r="W438" s="10">
        <v>0</v>
      </c>
      <c r="X438" s="10">
        <v>0</v>
      </c>
      <c r="Y438" s="11"/>
      <c r="Z438" t="s">
        <v>905</v>
      </c>
      <c r="AA438" t="s">
        <v>904</v>
      </c>
      <c r="AB438" s="2" t="s">
        <v>922</v>
      </c>
      <c r="AC438" s="10" t="s">
        <v>996</v>
      </c>
      <c r="AD438" s="10" t="s">
        <v>997</v>
      </c>
      <c r="AE438" s="11" t="str">
        <f>SUBSTITUTE(SUBSTITUTE(PROPERTIES[[#This Row],[PURCHASECOST_VALUE]], "PURCHASECOST_", ""), "_VALUE", "")</f>
        <v>ELECTRICENGINE</v>
      </c>
      <c r="AF438" s="10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464</v>
      </c>
      <c r="B439">
        <v>1964</v>
      </c>
      <c r="C439">
        <v>0</v>
      </c>
      <c r="D439" t="s">
        <v>1862</v>
      </c>
      <c r="E439" t="str">
        <f>_xlfn.XLOOKUP(PROPERTIES[[#This Row],[COUNTRY]],COUNTRIES[COUNTRY_DESCRIPTION],COUNTRIES[COUNTRY_LABEL],"")</f>
        <v>FR</v>
      </c>
      <c r="F439" t="s">
        <v>74</v>
      </c>
      <c r="G439" t="s">
        <v>20</v>
      </c>
      <c r="H439">
        <v>0</v>
      </c>
      <c r="I439">
        <v>8</v>
      </c>
      <c r="J439">
        <v>8</v>
      </c>
      <c r="K439" s="2" t="s">
        <v>20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4">
        <v>79</v>
      </c>
      <c r="P439">
        <v>3940</v>
      </c>
      <c r="Q439">
        <v>100</v>
      </c>
      <c r="R439" s="31">
        <v>330</v>
      </c>
      <c r="S439" s="30">
        <f>IFERROR(PROPERTIES[[#This Row],[TE_STARTING_KN]]/(PROPERTIES[[#This Row],[WEIGHT]]*9.81),0)</f>
        <v>0.42581194596059302</v>
      </c>
      <c r="T439" s="30">
        <v>0.42</v>
      </c>
      <c r="U439" s="27">
        <f>ROUND(IF(IFERROR(PROPERTIES[[#This Row],[TE_COEFFICIENT_CALC]],0)=0,PROPERTIES[[#This Row],[TE_COEFFICIENT_MANUAL]],PROPERTIES[[#This Row],[TE_COEFFICIENT_CALC]]),3)</f>
        <v>0.42599999999999999</v>
      </c>
      <c r="V439" s="6">
        <v>40</v>
      </c>
      <c r="W439" s="10">
        <v>0</v>
      </c>
      <c r="X439" s="10">
        <v>0</v>
      </c>
      <c r="Y439" s="11"/>
      <c r="Z439" t="s">
        <v>905</v>
      </c>
      <c r="AA439" t="s">
        <v>904</v>
      </c>
      <c r="AB439" s="2" t="s">
        <v>922</v>
      </c>
      <c r="AC439" s="10" t="s">
        <v>996</v>
      </c>
      <c r="AD439" s="10" t="s">
        <v>997</v>
      </c>
      <c r="AE439" s="11" t="str">
        <f>SUBSTITUTE(SUBSTITUTE(PROPERTIES[[#This Row],[PURCHASECOST_VALUE]], "PURCHASECOST_", ""), "_VALUE", "")</f>
        <v>ELECTRICENGINE</v>
      </c>
      <c r="AF439" s="10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465</v>
      </c>
      <c r="B440">
        <v>2000</v>
      </c>
      <c r="C440">
        <v>0</v>
      </c>
      <c r="D440" t="s">
        <v>1844</v>
      </c>
      <c r="E440" t="str">
        <f>_xlfn.XLOOKUP(PROPERTIES[[#This Row],[COUNTRY]],COUNTRIES[COUNTRY_DESCRIPTION],COUNTRIES[COUNTRY_LABEL],"")</f>
        <v>DE</v>
      </c>
      <c r="F440" t="s">
        <v>74</v>
      </c>
      <c r="G440" t="s">
        <v>20</v>
      </c>
      <c r="H440">
        <v>0</v>
      </c>
      <c r="I440">
        <v>8</v>
      </c>
      <c r="J440">
        <v>8</v>
      </c>
      <c r="K440" s="2" t="s">
        <v>20</v>
      </c>
      <c r="L440">
        <f>_xlfn.XLOOKUP("LOADINGSPEEDDEF_"&amp;PROPERTIES[[#This Row],[LOADINGSPEED]],LOADINGSPEEDDEF[TYPE],LOADINGSPEEDDEF[SPEED])</f>
        <v>0</v>
      </c>
      <c r="M440" t="s">
        <v>21</v>
      </c>
      <c r="N440">
        <v>1</v>
      </c>
      <c r="O440" s="34">
        <v>86</v>
      </c>
      <c r="P440">
        <v>11266</v>
      </c>
      <c r="Q440">
        <v>230</v>
      </c>
      <c r="R440" s="31">
        <v>300</v>
      </c>
      <c r="S440" s="30">
        <f>IFERROR(PROPERTIES[[#This Row],[TE_STARTING_KN]]/(PROPERTIES[[#This Row],[WEIGHT]]*9.81),0)</f>
        <v>0.3555934855273451</v>
      </c>
      <c r="T440" s="30">
        <v>0.35</v>
      </c>
      <c r="U440" s="27">
        <f>ROUND(IF(IFERROR(PROPERTIES[[#This Row],[TE_COEFFICIENT_CALC]],0)=0,PROPERTIES[[#This Row],[TE_COEFFICIENT_MANUAL]],PROPERTIES[[#This Row],[TE_COEFFICIENT_CALC]]),3)</f>
        <v>0.35599999999999998</v>
      </c>
      <c r="V440" s="6">
        <v>40</v>
      </c>
      <c r="W440" s="10">
        <v>0</v>
      </c>
      <c r="X440" s="10">
        <v>0</v>
      </c>
      <c r="Y440" s="11"/>
      <c r="Z440" t="s">
        <v>905</v>
      </c>
      <c r="AA440" t="s">
        <v>904</v>
      </c>
      <c r="AB440" s="2" t="s">
        <v>922</v>
      </c>
      <c r="AC440" s="10" t="s">
        <v>996</v>
      </c>
      <c r="AD440" s="10" t="s">
        <v>997</v>
      </c>
      <c r="AE440" s="11" t="str">
        <f>SUBSTITUTE(SUBSTITUTE(PROPERTIES[[#This Row],[PURCHASECOST_VALUE]], "PURCHASECOST_", ""), "_VALUE", "")</f>
        <v>ELECTRICENGINE</v>
      </c>
      <c r="AF440" s="10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466</v>
      </c>
      <c r="B441">
        <v>1997</v>
      </c>
      <c r="C441">
        <v>0</v>
      </c>
      <c r="D441" t="s">
        <v>1900</v>
      </c>
      <c r="E441" t="str">
        <f>_xlfn.XLOOKUP(PROPERTIES[[#This Row],[COUNTRY]],COUNTRIES[COUNTRY_DESCRIPTION],COUNTRIES[COUNTRY_LABEL],"")</f>
        <v>JP</v>
      </c>
      <c r="F441" t="s">
        <v>74</v>
      </c>
      <c r="G441" t="s">
        <v>20</v>
      </c>
      <c r="H441">
        <v>0</v>
      </c>
      <c r="I441">
        <v>8</v>
      </c>
      <c r="J441">
        <v>16</v>
      </c>
      <c r="K441" s="2" t="s">
        <v>20</v>
      </c>
      <c r="L441">
        <f>_xlfn.XLOOKUP("LOADINGSPEEDDEF_"&amp;PROPERTIES[[#This Row],[LOADINGSPEED]],LOADINGSPEEDDEF[TYPE],LOADINGSPEEDDEF[SPEED])</f>
        <v>0</v>
      </c>
      <c r="M441" t="s">
        <v>21</v>
      </c>
      <c r="N441">
        <v>1</v>
      </c>
      <c r="O441" s="34">
        <v>134.19999999999999</v>
      </c>
      <c r="P441">
        <v>5400</v>
      </c>
      <c r="Q441">
        <v>110</v>
      </c>
      <c r="R441" s="31">
        <v>240.76</v>
      </c>
      <c r="S441" s="30">
        <f>IFERROR(PROPERTIES[[#This Row],[TE_STARTING_KN]]/(PROPERTIES[[#This Row],[WEIGHT]]*9.81),0)</f>
        <v>0.1828785675980743</v>
      </c>
      <c r="T441" s="30">
        <v>0.18</v>
      </c>
      <c r="U441" s="27">
        <f>ROUND(IF(IFERROR(PROPERTIES[[#This Row],[TE_COEFFICIENT_CALC]],0)=0,PROPERTIES[[#This Row],[TE_COEFFICIENT_MANUAL]],PROPERTIES[[#This Row],[TE_COEFFICIENT_CALC]]),3)</f>
        <v>0.183</v>
      </c>
      <c r="V441" s="6">
        <v>40</v>
      </c>
      <c r="W441" s="10">
        <v>0</v>
      </c>
      <c r="X441" s="10">
        <v>8</v>
      </c>
      <c r="Y441" s="11"/>
      <c r="Z441" t="s">
        <v>913</v>
      </c>
      <c r="AA441" t="s">
        <v>904</v>
      </c>
      <c r="AB441" s="2" t="s">
        <v>922</v>
      </c>
      <c r="AC441" s="10" t="s">
        <v>996</v>
      </c>
      <c r="AD441" s="10" t="s">
        <v>997</v>
      </c>
      <c r="AE441" s="11" t="str">
        <f>SUBSTITUTE(SUBSTITUTE(PROPERTIES[[#This Row],[PURCHASECOST_VALUE]], "PURCHASECOST_", ""), "_VALUE", "")</f>
        <v>ELECTRICENGINE</v>
      </c>
      <c r="AF441" s="10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467</v>
      </c>
      <c r="B442">
        <v>1978</v>
      </c>
      <c r="C442">
        <v>0</v>
      </c>
      <c r="D442" t="s">
        <v>2019</v>
      </c>
      <c r="E442" t="str">
        <f>_xlfn.XLOOKUP(PROPERTIES[[#This Row],[COUNTRY]],COUNTRIES[COUNTRY_DESCRIPTION],COUNTRIES[COUNTRY_LABEL],"")</f>
        <v>US</v>
      </c>
      <c r="F442" t="s">
        <v>74</v>
      </c>
      <c r="G442" t="s">
        <v>20</v>
      </c>
      <c r="H442">
        <v>0</v>
      </c>
      <c r="I442">
        <v>7</v>
      </c>
      <c r="J442">
        <v>7</v>
      </c>
      <c r="K442" s="2" t="s">
        <v>20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4">
        <v>92</v>
      </c>
      <c r="P442">
        <v>7000</v>
      </c>
      <c r="Q442">
        <v>201</v>
      </c>
      <c r="R442" s="31">
        <v>230</v>
      </c>
      <c r="S442" s="30">
        <f>IFERROR(PROPERTIES[[#This Row],[TE_STARTING_KN]]/(PROPERTIES[[#This Row],[WEIGHT]]*9.81),0)</f>
        <v>0.254841997961264</v>
      </c>
      <c r="T442" s="30">
        <v>0.26</v>
      </c>
      <c r="U442" s="27">
        <f>ROUND(IF(IFERROR(PROPERTIES[[#This Row],[TE_COEFFICIENT_CALC]],0)=0,PROPERTIES[[#This Row],[TE_COEFFICIENT_MANUAL]],PROPERTIES[[#This Row],[TE_COEFFICIENT_CALC]]),3)</f>
        <v>0.255</v>
      </c>
      <c r="V442" s="6">
        <v>40</v>
      </c>
      <c r="W442" s="10">
        <v>0</v>
      </c>
      <c r="X442" s="10">
        <v>0</v>
      </c>
      <c r="Y442" s="11"/>
      <c r="Z442" t="s">
        <v>910</v>
      </c>
      <c r="AA442" t="s">
        <v>904</v>
      </c>
      <c r="AB442" s="2" t="s">
        <v>922</v>
      </c>
      <c r="AC442" s="10" t="s">
        <v>996</v>
      </c>
      <c r="AD442" s="10" t="s">
        <v>997</v>
      </c>
      <c r="AE442" s="11" t="str">
        <f>SUBSTITUTE(SUBSTITUTE(PROPERTIES[[#This Row],[PURCHASECOST_VALUE]], "PURCHASECOST_", ""), "_VALUE", "")</f>
        <v>ELECTRICENGINE</v>
      </c>
      <c r="AF442" s="10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468</v>
      </c>
      <c r="B443">
        <v>1999</v>
      </c>
      <c r="C443">
        <v>0</v>
      </c>
      <c r="D443" t="s">
        <v>2019</v>
      </c>
      <c r="E443" t="str">
        <f>_xlfn.XLOOKUP(PROPERTIES[[#This Row],[COUNTRY]],COUNTRIES[COUNTRY_DESCRIPTION],COUNTRIES[COUNTRY_LABEL],"")</f>
        <v>US</v>
      </c>
      <c r="F443" t="s">
        <v>74</v>
      </c>
      <c r="G443" t="s">
        <v>20</v>
      </c>
      <c r="H443">
        <v>0</v>
      </c>
      <c r="I443">
        <v>8</v>
      </c>
      <c r="J443">
        <v>8</v>
      </c>
      <c r="K443" s="2" t="s">
        <v>24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4">
        <v>101</v>
      </c>
      <c r="P443">
        <v>8000</v>
      </c>
      <c r="Q443">
        <v>217</v>
      </c>
      <c r="R443" s="31">
        <v>316.89999999999998</v>
      </c>
      <c r="S443" s="30">
        <f>IFERROR(PROPERTIES[[#This Row],[TE_STARTING_KN]]/(PROPERTIES[[#This Row],[WEIGHT]]*9.81),0)</f>
        <v>0.31983932338187943</v>
      </c>
      <c r="T443" s="30">
        <v>0.25</v>
      </c>
      <c r="U443" s="27">
        <f>ROUND(IF(IFERROR(PROPERTIES[[#This Row],[TE_COEFFICIENT_CALC]],0)=0,PROPERTIES[[#This Row],[TE_COEFFICIENT_MANUAL]],PROPERTIES[[#This Row],[TE_COEFFICIENT_CALC]]),3)</f>
        <v>0.32</v>
      </c>
      <c r="V443" s="6">
        <v>40</v>
      </c>
      <c r="W443" s="10">
        <v>0</v>
      </c>
      <c r="X443" s="10">
        <v>0</v>
      </c>
      <c r="Y443" s="11"/>
      <c r="Z443" t="s">
        <v>910</v>
      </c>
      <c r="AA443" t="s">
        <v>904</v>
      </c>
      <c r="AB443" s="2" t="s">
        <v>922</v>
      </c>
      <c r="AC443" s="10" t="s">
        <v>996</v>
      </c>
      <c r="AD443" s="10" t="s">
        <v>997</v>
      </c>
      <c r="AE443" s="11" t="str">
        <f>SUBSTITUTE(SUBSTITUTE(PROPERTIES[[#This Row],[PURCHASECOST_VALUE]], "PURCHASECOST_", ""), "_VALUE", "")</f>
        <v>ELECTRICENGINE</v>
      </c>
      <c r="AF443" s="10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469</v>
      </c>
      <c r="B444">
        <v>2008</v>
      </c>
      <c r="C444">
        <v>0</v>
      </c>
      <c r="D444" t="s">
        <v>1843</v>
      </c>
      <c r="E444" t="str">
        <f>_xlfn.XLOOKUP(PROPERTIES[[#This Row],[COUNTRY]],COUNTRIES[COUNTRY_DESCRIPTION],COUNTRIES[COUNTRY_LABEL],"")</f>
        <v>CZ</v>
      </c>
      <c r="F444" t="s">
        <v>74</v>
      </c>
      <c r="G444" t="s">
        <v>20</v>
      </c>
      <c r="H444">
        <v>0</v>
      </c>
      <c r="I444">
        <v>8</v>
      </c>
      <c r="J444">
        <v>8</v>
      </c>
      <c r="K444" s="2" t="s">
        <v>20</v>
      </c>
      <c r="L444">
        <f>_xlfn.XLOOKUP("LOADINGSPEEDDEF_"&amp;PROPERTIES[[#This Row],[LOADINGSPEED]],LOADINGSPEEDDEF[TYPE],LOADINGSPEEDDEF[SPEED])</f>
        <v>0</v>
      </c>
      <c r="M444" t="s">
        <v>21</v>
      </c>
      <c r="N444">
        <v>1</v>
      </c>
      <c r="O444" s="34">
        <v>88</v>
      </c>
      <c r="P444">
        <v>8583</v>
      </c>
      <c r="Q444">
        <v>200</v>
      </c>
      <c r="R444" s="31">
        <v>300</v>
      </c>
      <c r="S444" s="30">
        <f>IFERROR(PROPERTIES[[#This Row],[TE_STARTING_KN]]/(PROPERTIES[[#This Row],[WEIGHT]]*9.81),0)</f>
        <v>0.3475118154017236</v>
      </c>
      <c r="T444" s="30">
        <v>0.34</v>
      </c>
      <c r="U444" s="27">
        <f>ROUND(IF(IFERROR(PROPERTIES[[#This Row],[TE_COEFFICIENT_CALC]],0)=0,PROPERTIES[[#This Row],[TE_COEFFICIENT_MANUAL]],PROPERTIES[[#This Row],[TE_COEFFICIENT_CALC]]),3)</f>
        <v>0.34799999999999998</v>
      </c>
      <c r="V444" s="6">
        <v>40</v>
      </c>
      <c r="W444" s="10">
        <v>0</v>
      </c>
      <c r="X444" s="10">
        <v>0</v>
      </c>
      <c r="Y444" s="11"/>
      <c r="Z444" t="s">
        <v>911</v>
      </c>
      <c r="AA444" t="s">
        <v>904</v>
      </c>
      <c r="AB444" s="2" t="s">
        <v>922</v>
      </c>
      <c r="AC444" s="10" t="s">
        <v>996</v>
      </c>
      <c r="AD444" s="10" t="s">
        <v>997</v>
      </c>
      <c r="AE444" s="11" t="str">
        <f>SUBSTITUTE(SUBSTITUTE(PROPERTIES[[#This Row],[PURCHASECOST_VALUE]], "PURCHASECOST_", ""), "_VALUE", "")</f>
        <v>ELECTRICENGINE</v>
      </c>
      <c r="AF444" s="10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470</v>
      </c>
      <c r="B445">
        <v>1992</v>
      </c>
      <c r="C445">
        <v>0</v>
      </c>
      <c r="D445" t="s">
        <v>1855</v>
      </c>
      <c r="E445" t="str">
        <f>_xlfn.XLOOKUP(PROPERTIES[[#This Row],[COUNTRY]],COUNTRIES[COUNTRY_DESCRIPTION],COUNTRIES[COUNTRY_LABEL],"")</f>
        <v>ES</v>
      </c>
      <c r="F445" t="s">
        <v>74</v>
      </c>
      <c r="G445" t="s">
        <v>20</v>
      </c>
      <c r="H445">
        <v>0</v>
      </c>
      <c r="I445">
        <v>8</v>
      </c>
      <c r="J445">
        <v>8</v>
      </c>
      <c r="K445" s="2" t="s">
        <v>20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4">
        <v>90</v>
      </c>
      <c r="P445">
        <v>7500</v>
      </c>
      <c r="Q445">
        <v>200</v>
      </c>
      <c r="R445" s="31">
        <v>300</v>
      </c>
      <c r="S445" s="30">
        <f>IFERROR(PROPERTIES[[#This Row],[TE_STARTING_KN]]/(PROPERTIES[[#This Row],[WEIGHT]]*9.81),0)</f>
        <v>0.33978933061501865</v>
      </c>
      <c r="T445" s="30">
        <v>0.33</v>
      </c>
      <c r="U445" s="27">
        <f>ROUND(IF(IFERROR(PROPERTIES[[#This Row],[TE_COEFFICIENT_CALC]],0)=0,PROPERTIES[[#This Row],[TE_COEFFICIENT_MANUAL]],PROPERTIES[[#This Row],[TE_COEFFICIENT_CALC]]),3)</f>
        <v>0.34</v>
      </c>
      <c r="V445" s="6">
        <v>40</v>
      </c>
      <c r="W445" s="10">
        <v>0</v>
      </c>
      <c r="X445" s="10">
        <v>0</v>
      </c>
      <c r="Y445" s="11"/>
      <c r="Z445" t="s">
        <v>906</v>
      </c>
      <c r="AA445" t="s">
        <v>904</v>
      </c>
      <c r="AB445" s="2" t="s">
        <v>922</v>
      </c>
      <c r="AC445" s="10" t="s">
        <v>996</v>
      </c>
      <c r="AD445" s="10" t="s">
        <v>997</v>
      </c>
      <c r="AE445" s="11" t="str">
        <f>SUBSTITUTE(SUBSTITUTE(PROPERTIES[[#This Row],[PURCHASECOST_VALUE]], "PURCHASECOST_", ""), "_VALUE", "")</f>
        <v>ELECTRICENGINE</v>
      </c>
      <c r="AF445" s="10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471</v>
      </c>
      <c r="B446">
        <v>2000</v>
      </c>
      <c r="C446">
        <v>0</v>
      </c>
      <c r="D446" t="s">
        <v>1844</v>
      </c>
      <c r="E446" t="str">
        <f>_xlfn.XLOOKUP(PROPERTIES[[#This Row],[COUNTRY]],COUNTRIES[COUNTRY_DESCRIPTION],COUNTRIES[COUNTRY_LABEL],"")</f>
        <v>DE</v>
      </c>
      <c r="F446" t="s">
        <v>74</v>
      </c>
      <c r="G446" t="s">
        <v>20</v>
      </c>
      <c r="H446">
        <v>0</v>
      </c>
      <c r="I446">
        <v>8</v>
      </c>
      <c r="J446">
        <v>8</v>
      </c>
      <c r="K446" s="2" t="s">
        <v>20</v>
      </c>
      <c r="L446">
        <f>_xlfn.XLOOKUP("LOADINGSPEEDDEF_"&amp;PROPERTIES[[#This Row],[LOADINGSPEED]],LOADINGSPEEDDEF[TYPE],LOADINGSPEEDDEF[SPEED])</f>
        <v>0</v>
      </c>
      <c r="M446" t="s">
        <v>21</v>
      </c>
      <c r="N446">
        <v>1</v>
      </c>
      <c r="O446" s="34">
        <v>84</v>
      </c>
      <c r="P446">
        <v>5600</v>
      </c>
      <c r="Q446">
        <v>140</v>
      </c>
      <c r="R446" s="31">
        <v>0</v>
      </c>
      <c r="S446" s="30">
        <f>IFERROR(PROPERTIES[[#This Row],[TE_STARTING_KN]]/(PROPERTIES[[#This Row],[WEIGHT]]*9.81),0)</f>
        <v>0</v>
      </c>
      <c r="T446" s="30">
        <v>0.35</v>
      </c>
      <c r="U446" s="27">
        <f>ROUND(IF(IFERROR(PROPERTIES[[#This Row],[TE_COEFFICIENT_CALC]],0)=0,PROPERTIES[[#This Row],[TE_COEFFICIENT_MANUAL]],PROPERTIES[[#This Row],[TE_COEFFICIENT_CALC]]),3)</f>
        <v>0.35</v>
      </c>
      <c r="V446" s="6">
        <v>40</v>
      </c>
      <c r="W446" s="10">
        <v>0</v>
      </c>
      <c r="X446" s="10">
        <v>0</v>
      </c>
      <c r="Y446" s="11"/>
      <c r="Z446" t="s">
        <v>905</v>
      </c>
      <c r="AA446" t="s">
        <v>904</v>
      </c>
      <c r="AB446" s="2" t="s">
        <v>922</v>
      </c>
      <c r="AC446" s="10" t="s">
        <v>996</v>
      </c>
      <c r="AD446" s="10" t="s">
        <v>997</v>
      </c>
      <c r="AE446" s="11" t="str">
        <f>SUBSTITUTE(SUBSTITUTE(PROPERTIES[[#This Row],[PURCHASECOST_VALUE]], "PURCHASECOST_", ""), "_VALUE", "")</f>
        <v>ELECTRICENGINE</v>
      </c>
      <c r="AF446" s="10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472</v>
      </c>
      <c r="B447">
        <v>1908</v>
      </c>
      <c r="C447">
        <v>0</v>
      </c>
      <c r="D447" t="s">
        <v>1896</v>
      </c>
      <c r="E447" t="str">
        <f>_xlfn.XLOOKUP(PROPERTIES[[#This Row],[COUNTRY]],COUNTRIES[COUNTRY_DESCRIPTION],COUNTRIES[COUNTRY_LABEL],"")</f>
        <v>IT</v>
      </c>
      <c r="F447" t="s">
        <v>74</v>
      </c>
      <c r="G447" t="s">
        <v>20</v>
      </c>
      <c r="H447">
        <v>0</v>
      </c>
      <c r="I447">
        <v>6</v>
      </c>
      <c r="J447">
        <v>6</v>
      </c>
      <c r="K447" s="2" t="s">
        <v>20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4">
        <v>64</v>
      </c>
      <c r="P447">
        <v>2000</v>
      </c>
      <c r="Q447">
        <v>50</v>
      </c>
      <c r="R447" s="31">
        <v>100</v>
      </c>
      <c r="S447" s="30">
        <f>IFERROR(PROPERTIES[[#This Row],[TE_STARTING_KN]]/(PROPERTIES[[#This Row],[WEIGHT]]*9.81),0)</f>
        <v>0.15927624872578999</v>
      </c>
      <c r="T447" s="30">
        <v>0.16</v>
      </c>
      <c r="U447" s="27">
        <f>ROUND(IF(IFERROR(PROPERTIES[[#This Row],[TE_COEFFICIENT_CALC]],0)=0,PROPERTIES[[#This Row],[TE_COEFFICIENT_MANUAL]],PROPERTIES[[#This Row],[TE_COEFFICIENT_CALC]]),3)</f>
        <v>0.159</v>
      </c>
      <c r="V447" s="6">
        <v>40</v>
      </c>
      <c r="W447" s="10">
        <v>0</v>
      </c>
      <c r="X447" s="10">
        <v>0</v>
      </c>
      <c r="Y447" s="11"/>
      <c r="Z447" t="s">
        <v>906</v>
      </c>
      <c r="AA447" t="s">
        <v>904</v>
      </c>
      <c r="AB447" s="2" t="s">
        <v>922</v>
      </c>
      <c r="AC447" s="10" t="s">
        <v>996</v>
      </c>
      <c r="AD447" s="10" t="s">
        <v>997</v>
      </c>
      <c r="AE447" s="11" t="str">
        <f>SUBSTITUTE(SUBSTITUTE(PROPERTIES[[#This Row],[PURCHASECOST_VALUE]], "PURCHASECOST_", ""), "_VALUE", "")</f>
        <v>ELECTRICENGINE</v>
      </c>
      <c r="AF447" s="10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473</v>
      </c>
      <c r="B448">
        <v>1967</v>
      </c>
      <c r="C448">
        <v>0</v>
      </c>
      <c r="D448" t="s">
        <v>1900</v>
      </c>
      <c r="E448" t="str">
        <f>_xlfn.XLOOKUP(PROPERTIES[[#This Row],[COUNTRY]],COUNTRIES[COUNTRY_DESCRIPTION],COUNTRIES[COUNTRY_LABEL],"")</f>
        <v>JP</v>
      </c>
      <c r="F448" t="s">
        <v>74</v>
      </c>
      <c r="G448" t="s">
        <v>20</v>
      </c>
      <c r="H448">
        <v>0</v>
      </c>
      <c r="I448">
        <v>7</v>
      </c>
      <c r="J448">
        <v>7</v>
      </c>
      <c r="K448" s="2" t="s">
        <v>24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4">
        <v>101</v>
      </c>
      <c r="P448">
        <v>3420</v>
      </c>
      <c r="Q448">
        <v>110</v>
      </c>
      <c r="R448" s="31">
        <v>0</v>
      </c>
      <c r="S448" s="30">
        <f>IFERROR(PROPERTIES[[#This Row],[TE_STARTING_KN]]/(PROPERTIES[[#This Row],[WEIGHT]]*9.81),0)</f>
        <v>0</v>
      </c>
      <c r="T448" s="30">
        <v>0.28999999999999998</v>
      </c>
      <c r="U448" s="27">
        <f>ROUND(IF(IFERROR(PROPERTIES[[#This Row],[TE_COEFFICIENT_CALC]],0)=0,PROPERTIES[[#This Row],[TE_COEFFICIENT_MANUAL]],PROPERTIES[[#This Row],[TE_COEFFICIENT_CALC]]),3)</f>
        <v>0.28999999999999998</v>
      </c>
      <c r="V448" s="6">
        <v>40</v>
      </c>
      <c r="W448" s="10">
        <v>0</v>
      </c>
      <c r="X448" s="10">
        <v>0</v>
      </c>
      <c r="Y448" s="11"/>
      <c r="Z448" t="s">
        <v>913</v>
      </c>
      <c r="AA448" t="s">
        <v>904</v>
      </c>
      <c r="AB448" s="2" t="s">
        <v>922</v>
      </c>
      <c r="AC448" s="10" t="s">
        <v>996</v>
      </c>
      <c r="AD448" s="10" t="s">
        <v>997</v>
      </c>
      <c r="AE448" s="11" t="str">
        <f>SUBSTITUTE(SUBSTITUTE(PROPERTIES[[#This Row],[PURCHASECOST_VALUE]], "PURCHASECOST_", ""), "_VALUE", "")</f>
        <v>ELECTRICENGINE</v>
      </c>
      <c r="AF448" s="10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474</v>
      </c>
      <c r="B449">
        <v>1993</v>
      </c>
      <c r="C449">
        <v>0</v>
      </c>
      <c r="D449" t="s">
        <v>1863</v>
      </c>
      <c r="E449" t="str">
        <f>_xlfn.XLOOKUP(PROPERTIES[[#This Row],[COUNTRY]],COUNTRIES[COUNTRY_DESCRIPTION],COUNTRIES[COUNTRY_LABEL],"")</f>
        <v>GB</v>
      </c>
      <c r="F449" t="s">
        <v>74</v>
      </c>
      <c r="G449" t="s">
        <v>20</v>
      </c>
      <c r="H449">
        <v>0</v>
      </c>
      <c r="I449">
        <v>8</v>
      </c>
      <c r="J449">
        <v>8</v>
      </c>
      <c r="K449" s="2" t="s">
        <v>20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4">
        <v>126</v>
      </c>
      <c r="P449">
        <v>6760</v>
      </c>
      <c r="Q449">
        <v>140</v>
      </c>
      <c r="R449" s="31">
        <v>360</v>
      </c>
      <c r="S449" s="30">
        <f>IFERROR(PROPERTIES[[#This Row],[TE_STARTING_KN]]/(PROPERTIES[[#This Row],[WEIGHT]]*9.81),0)</f>
        <v>0.29124799767001597</v>
      </c>
      <c r="T449" s="30">
        <v>0.28999999999999998</v>
      </c>
      <c r="U449" s="27">
        <f>ROUND(IF(IFERROR(PROPERTIES[[#This Row],[TE_COEFFICIENT_CALC]],0)=0,PROPERTIES[[#This Row],[TE_COEFFICIENT_MANUAL]],PROPERTIES[[#This Row],[TE_COEFFICIENT_CALC]]),3)</f>
        <v>0.29099999999999998</v>
      </c>
      <c r="V449" s="6">
        <v>40</v>
      </c>
      <c r="W449" s="10">
        <v>0</v>
      </c>
      <c r="X449" s="10">
        <v>0</v>
      </c>
      <c r="Y449" s="11"/>
      <c r="Z449" t="s">
        <v>909</v>
      </c>
      <c r="AA449" t="s">
        <v>904</v>
      </c>
      <c r="AB449" s="2" t="s">
        <v>922</v>
      </c>
      <c r="AC449" s="10" t="s">
        <v>996</v>
      </c>
      <c r="AD449" s="10" t="s">
        <v>997</v>
      </c>
      <c r="AE449" s="11" t="str">
        <f>SUBSTITUTE(SUBSTITUTE(PROPERTIES[[#This Row],[PURCHASECOST_VALUE]], "PURCHASECOST_", ""), "_VALUE", "")</f>
        <v>ELECTRICENGINE</v>
      </c>
      <c r="AF449" s="10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475</v>
      </c>
      <c r="B450">
        <v>2012</v>
      </c>
      <c r="C450">
        <v>0</v>
      </c>
      <c r="D450" t="s">
        <v>2019</v>
      </c>
      <c r="E450" t="str">
        <f>_xlfn.XLOOKUP(PROPERTIES[[#This Row],[COUNTRY]],COUNTRIES[COUNTRY_DESCRIPTION],COUNTRIES[COUNTRY_LABEL],"")</f>
        <v>US</v>
      </c>
      <c r="F450" t="s">
        <v>74</v>
      </c>
      <c r="G450" t="s">
        <v>20</v>
      </c>
      <c r="H450">
        <v>0</v>
      </c>
      <c r="I450">
        <v>8</v>
      </c>
      <c r="J450">
        <v>8</v>
      </c>
      <c r="K450" s="2" t="s">
        <v>20</v>
      </c>
      <c r="L450">
        <f>_xlfn.XLOOKUP("LOADINGSPEEDDEF_"&amp;PROPERTIES[[#This Row],[LOADINGSPEED]],LOADINGSPEEDDEF[TYPE],LOADINGSPEEDDEF[SPEED])</f>
        <v>0</v>
      </c>
      <c r="M450" t="s">
        <v>21</v>
      </c>
      <c r="N450">
        <v>1</v>
      </c>
      <c r="O450" s="34">
        <v>98</v>
      </c>
      <c r="P450">
        <v>6700</v>
      </c>
      <c r="Q450">
        <v>201</v>
      </c>
      <c r="R450" s="31">
        <v>320</v>
      </c>
      <c r="S450" s="30">
        <f>IFERROR(PROPERTIES[[#This Row],[TE_STARTING_KN]]/(PROPERTIES[[#This Row],[WEIGHT]]*9.81),0)</f>
        <v>0.33285485448001834</v>
      </c>
      <c r="T450" s="30">
        <v>0.33</v>
      </c>
      <c r="U450" s="27">
        <f>ROUND(IF(IFERROR(PROPERTIES[[#This Row],[TE_COEFFICIENT_CALC]],0)=0,PROPERTIES[[#This Row],[TE_COEFFICIENT_MANUAL]],PROPERTIES[[#This Row],[TE_COEFFICIENT_CALC]]),3)</f>
        <v>0.33300000000000002</v>
      </c>
      <c r="V450" s="6">
        <v>40</v>
      </c>
      <c r="W450" s="10">
        <v>0</v>
      </c>
      <c r="X450" s="10">
        <v>0</v>
      </c>
      <c r="Y450" s="11"/>
      <c r="Z450" t="s">
        <v>910</v>
      </c>
      <c r="AA450" t="s">
        <v>904</v>
      </c>
      <c r="AB450" s="2" t="s">
        <v>922</v>
      </c>
      <c r="AC450" s="10" t="s">
        <v>996</v>
      </c>
      <c r="AD450" s="10" t="s">
        <v>997</v>
      </c>
      <c r="AE450" s="11" t="str">
        <f>SUBSTITUTE(SUBSTITUTE(PROPERTIES[[#This Row],[PURCHASECOST_VALUE]], "PURCHASECOST_", ""), "_VALUE", "")</f>
        <v>ELECTRICENGINE</v>
      </c>
      <c r="AF450" s="10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476</v>
      </c>
      <c r="B451">
        <v>1964</v>
      </c>
      <c r="C451">
        <v>0</v>
      </c>
      <c r="D451" t="s">
        <v>1862</v>
      </c>
      <c r="E451" t="str">
        <f>_xlfn.XLOOKUP(PROPERTIES[[#This Row],[COUNTRY]],COUNTRIES[COUNTRY_DESCRIPTION],COUNTRIES[COUNTRY_LABEL],"")</f>
        <v>FR</v>
      </c>
      <c r="F451" t="s">
        <v>74</v>
      </c>
      <c r="G451" t="s">
        <v>20</v>
      </c>
      <c r="H451">
        <v>0</v>
      </c>
      <c r="I451">
        <v>8</v>
      </c>
      <c r="J451">
        <v>8</v>
      </c>
      <c r="K451" s="2" t="s">
        <v>20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4">
        <v>97</v>
      </c>
      <c r="P451">
        <v>4920</v>
      </c>
      <c r="Q451">
        <v>240</v>
      </c>
      <c r="R451" s="31">
        <v>210</v>
      </c>
      <c r="S451" s="30">
        <f>IFERROR(PROPERTIES[[#This Row],[TE_STARTING_KN]]/(PROPERTIES[[#This Row],[WEIGHT]]*9.81),0)</f>
        <v>0.22068791576026986</v>
      </c>
      <c r="T451" s="30">
        <v>0.21</v>
      </c>
      <c r="U451" s="27">
        <f>ROUND(IF(IFERROR(PROPERTIES[[#This Row],[TE_COEFFICIENT_CALC]],0)=0,PROPERTIES[[#This Row],[TE_COEFFICIENT_MANUAL]],PROPERTIES[[#This Row],[TE_COEFFICIENT_CALC]]),3)</f>
        <v>0.221</v>
      </c>
      <c r="V451" s="6">
        <v>40</v>
      </c>
      <c r="W451" s="10">
        <v>0</v>
      </c>
      <c r="X451" s="10">
        <v>0</v>
      </c>
      <c r="Y451" s="11"/>
      <c r="Z451" t="s">
        <v>905</v>
      </c>
      <c r="AA451" t="s">
        <v>904</v>
      </c>
      <c r="AB451" s="2" t="s">
        <v>922</v>
      </c>
      <c r="AC451" s="10" t="s">
        <v>996</v>
      </c>
      <c r="AD451" s="10" t="s">
        <v>997</v>
      </c>
      <c r="AE451" s="11" t="str">
        <f>SUBSTITUTE(SUBSTITUTE(PROPERTIES[[#This Row],[PURCHASECOST_VALUE]], "PURCHASECOST_", ""), "_VALUE", "")</f>
        <v>ELECTRICENGINE</v>
      </c>
      <c r="AF451" s="10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477</v>
      </c>
      <c r="B452">
        <v>1997</v>
      </c>
      <c r="C452">
        <v>0</v>
      </c>
      <c r="D452" t="s">
        <v>1807</v>
      </c>
      <c r="E452" t="str">
        <f>_xlfn.XLOOKUP(PROPERTIES[[#This Row],[COUNTRY]],COUNTRIES[COUNTRY_DESCRIPTION],COUNTRIES[COUNTRY_LABEL],"")</f>
        <v>BE</v>
      </c>
      <c r="F452" t="s">
        <v>74</v>
      </c>
      <c r="G452" t="s">
        <v>20</v>
      </c>
      <c r="H452">
        <v>0</v>
      </c>
      <c r="I452">
        <v>8</v>
      </c>
      <c r="J452">
        <v>8</v>
      </c>
      <c r="K452" s="2" t="s">
        <v>20</v>
      </c>
      <c r="L452">
        <f>_xlfn.XLOOKUP("LOADINGSPEEDDEF_"&amp;PROPERTIES[[#This Row],[LOADINGSPEED]],LOADINGSPEEDDEF[TYPE],LOADINGSPEEDDEF[SPEED])</f>
        <v>0</v>
      </c>
      <c r="M452" t="s">
        <v>21</v>
      </c>
      <c r="N452">
        <v>1</v>
      </c>
      <c r="O452" s="34">
        <v>90</v>
      </c>
      <c r="P452">
        <v>6968</v>
      </c>
      <c r="Q452">
        <v>200</v>
      </c>
      <c r="R452" s="31">
        <v>288</v>
      </c>
      <c r="S452" s="30">
        <f>IFERROR(PROPERTIES[[#This Row],[TE_STARTING_KN]]/(PROPERTIES[[#This Row],[WEIGHT]]*9.81),0)</f>
        <v>0.3261977573904179</v>
      </c>
      <c r="T452" s="30">
        <v>0.32</v>
      </c>
      <c r="U452" s="27">
        <f>ROUND(IF(IFERROR(PROPERTIES[[#This Row],[TE_COEFFICIENT_CALC]],0)=0,PROPERTIES[[#This Row],[TE_COEFFICIENT_MANUAL]],PROPERTIES[[#This Row],[TE_COEFFICIENT_CALC]]),3)</f>
        <v>0.32600000000000001</v>
      </c>
      <c r="V452" s="6">
        <v>40</v>
      </c>
      <c r="W452" s="10">
        <v>0</v>
      </c>
      <c r="X452" s="10">
        <v>0</v>
      </c>
      <c r="Y452" s="11"/>
      <c r="Z452" t="s">
        <v>905</v>
      </c>
      <c r="AA452" t="s">
        <v>904</v>
      </c>
      <c r="AB452" s="2" t="s">
        <v>922</v>
      </c>
      <c r="AC452" s="10" t="s">
        <v>996</v>
      </c>
      <c r="AD452" s="10" t="s">
        <v>997</v>
      </c>
      <c r="AE452" s="11" t="str">
        <f>SUBSTITUTE(SUBSTITUTE(PROPERTIES[[#This Row],[PURCHASECOST_VALUE]], "PURCHASECOST_", ""), "_VALUE", "")</f>
        <v>ELECTRICENGINE</v>
      </c>
      <c r="AF452" s="10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478</v>
      </c>
      <c r="B453">
        <v>1932</v>
      </c>
      <c r="C453">
        <v>1</v>
      </c>
      <c r="D453" t="s">
        <v>1844</v>
      </c>
      <c r="E453" t="str">
        <f>_xlfn.XLOOKUP(PROPERTIES[[#This Row],[COUNTRY]],COUNTRIES[COUNTRY_DESCRIPTION],COUNTRIES[COUNTRY_LABEL],"")</f>
        <v>DE</v>
      </c>
      <c r="F453" t="s">
        <v>35</v>
      </c>
      <c r="G453" t="s">
        <v>18</v>
      </c>
      <c r="H453">
        <f>110/2</f>
        <v>55</v>
      </c>
      <c r="I453">
        <v>8</v>
      </c>
      <c r="J453">
        <v>8</v>
      </c>
      <c r="K453" s="2" t="s">
        <v>479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4">
        <f>85/2</f>
        <v>42.5</v>
      </c>
      <c r="P453">
        <v>810</v>
      </c>
      <c r="Q453">
        <v>160</v>
      </c>
      <c r="R453" s="31">
        <f>53/2</f>
        <v>26.5</v>
      </c>
      <c r="S453" s="30">
        <f>IFERROR(PROPERTIES[[#This Row],[TE_STARTING_KN]]/(PROPERTIES[[#This Row],[WEIGHT]]*9.81),0)</f>
        <v>6.3560592432691729E-2</v>
      </c>
      <c r="T453" s="30">
        <v>0.19</v>
      </c>
      <c r="U453" s="27">
        <f>ROUND(IF(IFERROR(PROPERTIES[[#This Row],[TE_COEFFICIENT_CALC]],0)=0,PROPERTIES[[#This Row],[TE_COEFFICIENT_MANUAL]],PROPERTIES[[#This Row],[TE_COEFFICIENT_CALC]]),3)</f>
        <v>6.4000000000000001E-2</v>
      </c>
      <c r="V453" s="6">
        <v>25</v>
      </c>
      <c r="W453" s="10">
        <f>INT(139/2)</f>
        <v>69</v>
      </c>
      <c r="X453" s="10">
        <v>8</v>
      </c>
      <c r="Y453" s="11"/>
      <c r="Z453" t="s">
        <v>905</v>
      </c>
      <c r="AA453" t="s">
        <v>904</v>
      </c>
      <c r="AB453" s="2" t="s">
        <v>922</v>
      </c>
      <c r="AC453" s="10" t="s">
        <v>998</v>
      </c>
      <c r="AD453" s="10" t="s">
        <v>999</v>
      </c>
      <c r="AE453" s="11" t="str">
        <f>SUBSTITUTE(SUBSTITUTE(PROPERTIES[[#This Row],[PURCHASECOST_VALUE]], "PURCHASECOST_", ""), "_VALUE", "")</f>
        <v>DMU</v>
      </c>
      <c r="AF453" s="10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480</v>
      </c>
      <c r="B454">
        <v>1937</v>
      </c>
      <c r="C454">
        <v>1</v>
      </c>
      <c r="D454" t="s">
        <v>1800</v>
      </c>
      <c r="E454" t="str">
        <f>_xlfn.XLOOKUP(PROPERTIES[[#This Row],[COUNTRY]],COUNTRIES[COUNTRY_DESCRIPTION],COUNTRIES[COUNTRY_LABEL],"")</f>
        <v>AU</v>
      </c>
      <c r="F454" t="s">
        <v>35</v>
      </c>
      <c r="G454" t="s">
        <v>18</v>
      </c>
      <c r="H454">
        <v>0</v>
      </c>
      <c r="I454">
        <v>7</v>
      </c>
      <c r="J454">
        <v>7</v>
      </c>
      <c r="K454" s="2" t="s">
        <v>479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4">
        <f>64/2</f>
        <v>32</v>
      </c>
      <c r="P454">
        <v>660</v>
      </c>
      <c r="Q454">
        <v>160</v>
      </c>
      <c r="R454" s="31">
        <f>85/2</f>
        <v>42.5</v>
      </c>
      <c r="S454" s="30">
        <f>IFERROR(PROPERTIES[[#This Row],[TE_STARTING_KN]]/(PROPERTIES[[#This Row],[WEIGHT]]*9.81),0)</f>
        <v>0.13538481141692149</v>
      </c>
      <c r="T454" s="30">
        <v>0.2</v>
      </c>
      <c r="U454" s="27">
        <f>ROUND(IF(IFERROR(PROPERTIES[[#This Row],[TE_COEFFICIENT_CALC]],0)=0,PROPERTIES[[#This Row],[TE_COEFFICIENT_MANUAL]],PROPERTIES[[#This Row],[TE_COEFFICIENT_CALC]]),3)</f>
        <v>0.13500000000000001</v>
      </c>
      <c r="V454" s="6">
        <v>25</v>
      </c>
      <c r="W454" s="10">
        <v>60</v>
      </c>
      <c r="X454" s="10">
        <v>7</v>
      </c>
      <c r="Y454" s="11">
        <v>45</v>
      </c>
      <c r="Z454" t="s">
        <v>907</v>
      </c>
      <c r="AA454" t="s">
        <v>904</v>
      </c>
      <c r="AB454" s="2" t="s">
        <v>922</v>
      </c>
      <c r="AC454" s="10" t="s">
        <v>998</v>
      </c>
      <c r="AD454" s="10" t="s">
        <v>999</v>
      </c>
      <c r="AE454" s="11" t="str">
        <f>SUBSTITUTE(SUBSTITUTE(PROPERTIES[[#This Row],[PURCHASECOST_VALUE]], "PURCHASECOST_", ""), "_VALUE", "")</f>
        <v>DMU</v>
      </c>
      <c r="AF454" s="10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481</v>
      </c>
      <c r="B455">
        <v>1948</v>
      </c>
      <c r="C455">
        <v>1</v>
      </c>
      <c r="D455" t="s">
        <v>1843</v>
      </c>
      <c r="E455" t="str">
        <f>_xlfn.XLOOKUP(PROPERTIES[[#This Row],[COUNTRY]],COUNTRIES[COUNTRY_DESCRIPTION],COUNTRIES[COUNTRY_LABEL],"")</f>
        <v>CZ</v>
      </c>
      <c r="F455" t="s">
        <v>35</v>
      </c>
      <c r="G455" t="s">
        <v>18</v>
      </c>
      <c r="H455">
        <v>60</v>
      </c>
      <c r="I455">
        <v>6</v>
      </c>
      <c r="J455">
        <v>6</v>
      </c>
      <c r="K455" s="2" t="s">
        <v>479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4">
        <f>16.6/2</f>
        <v>8.3000000000000007</v>
      </c>
      <c r="P455">
        <v>152</v>
      </c>
      <c r="Q455">
        <v>60</v>
      </c>
      <c r="R455" s="31">
        <f>29/2</f>
        <v>14.5</v>
      </c>
      <c r="S455" s="30">
        <f>IFERROR(PROPERTIES[[#This Row],[TE_STARTING_KN]]/(PROPERTIES[[#This Row],[WEIGHT]]*9.81),0)</f>
        <v>0.17808236002112421</v>
      </c>
      <c r="T455" s="30">
        <v>0.21</v>
      </c>
      <c r="U455" s="27">
        <f>ROUND(IF(IFERROR(PROPERTIES[[#This Row],[TE_COEFFICIENT_CALC]],0)=0,PROPERTIES[[#This Row],[TE_COEFFICIENT_MANUAL]],PROPERTIES[[#This Row],[TE_COEFFICIENT_CALC]]),3)</f>
        <v>0.17799999999999999</v>
      </c>
      <c r="V455" s="6">
        <v>25</v>
      </c>
      <c r="W455" s="10">
        <v>69</v>
      </c>
      <c r="X455" s="10">
        <v>6</v>
      </c>
      <c r="Y455" s="11"/>
      <c r="Z455" t="s">
        <v>911</v>
      </c>
      <c r="AA455" t="s">
        <v>904</v>
      </c>
      <c r="AB455" s="2" t="s">
        <v>922</v>
      </c>
      <c r="AC455" s="10" t="s">
        <v>998</v>
      </c>
      <c r="AD455" s="10" t="s">
        <v>999</v>
      </c>
      <c r="AE455" s="11" t="str">
        <f>SUBSTITUTE(SUBSTITUTE(PROPERTIES[[#This Row],[PURCHASECOST_VALUE]], "PURCHASECOST_", ""), "_VALUE", "")</f>
        <v>DMU</v>
      </c>
      <c r="AF455" s="10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482</v>
      </c>
      <c r="B456">
        <v>1952</v>
      </c>
      <c r="C456">
        <v>1</v>
      </c>
      <c r="D456" t="s">
        <v>2036</v>
      </c>
      <c r="E456" t="str">
        <f>_xlfn.XLOOKUP(PROPERTIES[[#This Row],[COUNTRY]],COUNTRIES[COUNTRY_DESCRIPTION],COUNTRIES[COUNTRY_LABEL],"")</f>
        <v>GDR</v>
      </c>
      <c r="F456" t="s">
        <v>35</v>
      </c>
      <c r="G456" t="s">
        <v>18</v>
      </c>
      <c r="H456">
        <f>108/2</f>
        <v>54</v>
      </c>
      <c r="I456">
        <v>8</v>
      </c>
      <c r="J456">
        <v>8</v>
      </c>
      <c r="K456" s="2" t="s">
        <v>479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4">
        <f>121/3</f>
        <v>40.333333333333336</v>
      </c>
      <c r="P456">
        <v>986</v>
      </c>
      <c r="Q456">
        <v>140</v>
      </c>
      <c r="R456" s="31">
        <f>105/2</f>
        <v>52.5</v>
      </c>
      <c r="S456" s="30">
        <f>IFERROR(PROPERTIES[[#This Row],[TE_STARTING_KN]]/(PROPERTIES[[#This Row],[WEIGHT]]*9.81),0)</f>
        <v>0.13268632951702175</v>
      </c>
      <c r="T456" s="30">
        <v>0.2</v>
      </c>
      <c r="U456" s="27">
        <f>ROUND(IF(IFERROR(PROPERTIES[[#This Row],[TE_COEFFICIENT_CALC]],0)=0,PROPERTIES[[#This Row],[TE_COEFFICIENT_MANUAL]],PROPERTIES[[#This Row],[TE_COEFFICIENT_CALC]]),3)</f>
        <v>0.13300000000000001</v>
      </c>
      <c r="V456" s="6">
        <v>25</v>
      </c>
      <c r="W456" s="10">
        <f>INT(108/3)</f>
        <v>36</v>
      </c>
      <c r="X456" s="10">
        <v>8</v>
      </c>
      <c r="Y456" s="11"/>
      <c r="Z456" t="s">
        <v>905</v>
      </c>
      <c r="AA456" t="s">
        <v>904</v>
      </c>
      <c r="AB456" s="2" t="s">
        <v>922</v>
      </c>
      <c r="AC456" s="10" t="s">
        <v>998</v>
      </c>
      <c r="AD456" s="10" t="s">
        <v>999</v>
      </c>
      <c r="AE456" s="11" t="str">
        <f>SUBSTITUTE(SUBSTITUTE(PROPERTIES[[#This Row],[PURCHASECOST_VALUE]], "PURCHASECOST_", ""), "_VALUE", "")</f>
        <v>DMU</v>
      </c>
      <c r="AF456" s="10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483</v>
      </c>
      <c r="B457">
        <v>1955</v>
      </c>
      <c r="C457">
        <v>1</v>
      </c>
      <c r="D457" t="s">
        <v>1800</v>
      </c>
      <c r="E457" t="str">
        <f>_xlfn.XLOOKUP(PROPERTIES[[#This Row],[COUNTRY]],COUNTRIES[COUNTRY_DESCRIPTION],COUNTRIES[COUNTRY_LABEL],"")</f>
        <v>AU</v>
      </c>
      <c r="F457" t="s">
        <v>35</v>
      </c>
      <c r="G457" t="s">
        <v>18</v>
      </c>
      <c r="H457">
        <v>80</v>
      </c>
      <c r="I457">
        <v>8</v>
      </c>
      <c r="J457">
        <v>8</v>
      </c>
      <c r="K457" s="2" t="s">
        <v>479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4">
        <f>40.7/2</f>
        <v>20.350000000000001</v>
      </c>
      <c r="P457">
        <v>220</v>
      </c>
      <c r="Q457">
        <v>88</v>
      </c>
      <c r="R457" s="31">
        <f>58/2</f>
        <v>29</v>
      </c>
      <c r="S457" s="30">
        <f>IFERROR(PROPERTIES[[#This Row],[TE_STARTING_KN]]/(PROPERTIES[[#This Row],[WEIGHT]]*9.81),0)</f>
        <v>0.14526620031207185</v>
      </c>
      <c r="T457" s="30">
        <v>0.18</v>
      </c>
      <c r="U457" s="27">
        <f>ROUND(IF(IFERROR(PROPERTIES[[#This Row],[TE_COEFFICIENT_CALC]],0)=0,PROPERTIES[[#This Row],[TE_COEFFICIENT_MANUAL]],PROPERTIES[[#This Row],[TE_COEFFICIENT_CALC]]),3)</f>
        <v>0.14499999999999999</v>
      </c>
      <c r="V457" s="6">
        <v>25</v>
      </c>
      <c r="W457" s="10">
        <v>80</v>
      </c>
      <c r="X457" s="10">
        <v>8</v>
      </c>
      <c r="Y457" s="11"/>
      <c r="Z457" t="s">
        <v>907</v>
      </c>
      <c r="AA457" t="s">
        <v>904</v>
      </c>
      <c r="AB457" s="2" t="s">
        <v>922</v>
      </c>
      <c r="AC457" s="10" t="s">
        <v>998</v>
      </c>
      <c r="AD457" s="10" t="s">
        <v>999</v>
      </c>
      <c r="AE457" s="11" t="str">
        <f>SUBSTITUTE(SUBSTITUTE(PROPERTIES[[#This Row],[PURCHASECOST_VALUE]], "PURCHASECOST_", ""), "_VALUE", "")</f>
        <v>DMU</v>
      </c>
      <c r="AF457" s="10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484</v>
      </c>
      <c r="B458">
        <v>1957</v>
      </c>
      <c r="C458">
        <v>1</v>
      </c>
      <c r="D458" t="s">
        <v>2036</v>
      </c>
      <c r="E458" t="str">
        <f>_xlfn.XLOOKUP(PROPERTIES[[#This Row],[COUNTRY]],COUNTRIES[COUNTRY_DESCRIPTION],COUNTRIES[COUNTRY_LABEL],"")</f>
        <v>GDR</v>
      </c>
      <c r="F458" t="s">
        <v>35</v>
      </c>
      <c r="G458" t="s">
        <v>18</v>
      </c>
      <c r="H458">
        <v>24</v>
      </c>
      <c r="I458">
        <v>8</v>
      </c>
      <c r="J458">
        <v>8</v>
      </c>
      <c r="K458" s="2" t="s">
        <v>479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4">
        <f>44.2/2</f>
        <v>22.1</v>
      </c>
      <c r="P458">
        <v>2200</v>
      </c>
      <c r="Q458">
        <v>160</v>
      </c>
      <c r="R458" s="31">
        <f>110/2</f>
        <v>55</v>
      </c>
      <c r="S458" s="30">
        <f>IFERROR(PROPERTIES[[#This Row],[TE_STARTING_KN]]/(PROPERTIES[[#This Row],[WEIGHT]]*9.81),0)</f>
        <v>0.25368886674876961</v>
      </c>
      <c r="T458" s="30">
        <v>0.18</v>
      </c>
      <c r="U458" s="27">
        <f>ROUND(IF(IFERROR(PROPERTIES[[#This Row],[TE_COEFFICIENT_CALC]],0)=0,PROPERTIES[[#This Row],[TE_COEFFICIENT_MANUAL]],PROPERTIES[[#This Row],[TE_COEFFICIENT_CALC]]),3)</f>
        <v>0.254</v>
      </c>
      <c r="V458" s="6">
        <v>25</v>
      </c>
      <c r="W458" s="10">
        <v>34</v>
      </c>
      <c r="X458" s="10">
        <v>8</v>
      </c>
      <c r="Y458" s="11"/>
      <c r="Z458" t="s">
        <v>905</v>
      </c>
      <c r="AA458" t="s">
        <v>904</v>
      </c>
      <c r="AB458" s="2" t="s">
        <v>922</v>
      </c>
      <c r="AC458" s="10" t="s">
        <v>998</v>
      </c>
      <c r="AD458" s="10" t="s">
        <v>999</v>
      </c>
      <c r="AE458" s="11" t="str">
        <f>SUBSTITUTE(SUBSTITUTE(PROPERTIES[[#This Row],[PURCHASECOST_VALUE]], "PURCHASECOST_", ""), "_VALUE", "")</f>
        <v>DMU</v>
      </c>
      <c r="AF458" s="10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485</v>
      </c>
      <c r="B459">
        <v>1960</v>
      </c>
      <c r="C459">
        <v>1</v>
      </c>
      <c r="D459" t="s">
        <v>1952</v>
      </c>
      <c r="E459" t="str">
        <f>_xlfn.XLOOKUP(PROPERTIES[[#This Row],[COUNTRY]],COUNTRIES[COUNTRY_DESCRIPTION],COUNTRIES[COUNTRY_LABEL],"")</f>
        <v>NL</v>
      </c>
      <c r="F459" t="s">
        <v>35</v>
      </c>
      <c r="G459" t="s">
        <v>18</v>
      </c>
      <c r="H459">
        <v>64</v>
      </c>
      <c r="I459">
        <v>8</v>
      </c>
      <c r="J459">
        <v>8</v>
      </c>
      <c r="K459" s="2" t="s">
        <v>24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4">
        <f>136/3</f>
        <v>45.333333333333336</v>
      </c>
      <c r="P459">
        <v>987</v>
      </c>
      <c r="Q459">
        <v>125</v>
      </c>
      <c r="R459" s="31">
        <f>125/2</f>
        <v>62.5</v>
      </c>
      <c r="S459" s="30">
        <f>IFERROR(PROPERTIES[[#This Row],[TE_STARTING_KN]]/(PROPERTIES[[#This Row],[WEIGHT]]*9.81),0)</f>
        <v>0.14053786652275588</v>
      </c>
      <c r="T459" s="30">
        <v>0.21</v>
      </c>
      <c r="U459" s="27">
        <f>ROUND(IF(IFERROR(PROPERTIES[[#This Row],[TE_COEFFICIENT_CALC]],0)=0,PROPERTIES[[#This Row],[TE_COEFFICIENT_MANUAL]],PROPERTIES[[#This Row],[TE_COEFFICIENT_CALC]]),3)</f>
        <v>0.14099999999999999</v>
      </c>
      <c r="V459" s="6">
        <v>25</v>
      </c>
      <c r="W459" s="10">
        <f>INT((168+24)/2)</f>
        <v>96</v>
      </c>
      <c r="X459" s="10">
        <v>8</v>
      </c>
      <c r="Y459" s="11"/>
      <c r="Z459" t="s">
        <v>905</v>
      </c>
      <c r="AA459" t="s">
        <v>904</v>
      </c>
      <c r="AB459" s="2" t="s">
        <v>922</v>
      </c>
      <c r="AC459" s="10" t="s">
        <v>998</v>
      </c>
      <c r="AD459" s="10" t="s">
        <v>999</v>
      </c>
      <c r="AE459" s="11" t="str">
        <f>SUBSTITUTE(SUBSTITUTE(PROPERTIES[[#This Row],[PURCHASECOST_VALUE]], "PURCHASECOST_", ""), "_VALUE", "")</f>
        <v>DMU</v>
      </c>
      <c r="AF459" s="10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486</v>
      </c>
      <c r="B460">
        <v>1967</v>
      </c>
      <c r="C460">
        <v>1</v>
      </c>
      <c r="D460" t="s">
        <v>1825</v>
      </c>
      <c r="E460" t="str">
        <f>_xlfn.XLOOKUP(PROPERTIES[[#This Row],[COUNTRY]],COUNTRIES[COUNTRY_DESCRIPTION],COUNTRIES[COUNTRY_LABEL],"")</f>
        <v>CA</v>
      </c>
      <c r="F460" t="s">
        <v>35</v>
      </c>
      <c r="G460" t="s">
        <v>18</v>
      </c>
      <c r="H460">
        <v>46</v>
      </c>
      <c r="I460">
        <v>8</v>
      </c>
      <c r="J460">
        <v>8</v>
      </c>
      <c r="K460" s="2" t="s">
        <v>479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4">
        <f>INT(165/7)</f>
        <v>23</v>
      </c>
      <c r="P460">
        <v>2000</v>
      </c>
      <c r="Q460">
        <v>193</v>
      </c>
      <c r="R460" s="31">
        <f>80/2</f>
        <v>40</v>
      </c>
      <c r="S460" s="30">
        <f>IFERROR(PROPERTIES[[#This Row],[TE_STARTING_KN]]/(PROPERTIES[[#This Row],[WEIGHT]]*9.81),0)</f>
        <v>0.17728138988609668</v>
      </c>
      <c r="T460" s="30">
        <v>0.45</v>
      </c>
      <c r="U460" s="27">
        <f>ROUND(IF(IFERROR(PROPERTIES[[#This Row],[TE_COEFFICIENT_CALC]],0)=0,PROPERTIES[[#This Row],[TE_COEFFICIENT_MANUAL]],PROPERTIES[[#This Row],[TE_COEFFICIENT_CALC]]),3)</f>
        <v>0.17699999999999999</v>
      </c>
      <c r="V460" s="6">
        <v>25</v>
      </c>
      <c r="W460" s="10">
        <f>INT((322-(PROPERTIES[[#This Row],[HEAD_CAPACITY]]*2))/5)</f>
        <v>46</v>
      </c>
      <c r="X460" s="10">
        <v>8</v>
      </c>
      <c r="Y460" s="11">
        <v>50</v>
      </c>
      <c r="Z460" t="s">
        <v>910</v>
      </c>
      <c r="AA460" t="s">
        <v>904</v>
      </c>
      <c r="AB460" s="2" t="s">
        <v>922</v>
      </c>
      <c r="AC460" s="10" t="s">
        <v>998</v>
      </c>
      <c r="AD460" s="10" t="s">
        <v>999</v>
      </c>
      <c r="AE460" s="11" t="str">
        <f>SUBSTITUTE(SUBSTITUTE(PROPERTIES[[#This Row],[PURCHASECOST_VALUE]], "PURCHASECOST_", ""), "_VALUE", "")</f>
        <v>DMU</v>
      </c>
      <c r="AF460" s="10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487</v>
      </c>
      <c r="B461">
        <v>1974</v>
      </c>
      <c r="C461">
        <v>1</v>
      </c>
      <c r="D461" t="s">
        <v>2039</v>
      </c>
      <c r="E461" t="str">
        <f>_xlfn.XLOOKUP(PROPERTIES[[#This Row],[COUNTRY]],COUNTRIES[COUNTRY_DESCRIPTION],COUNTRIES[COUNTRY_LABEL],"")</f>
        <v>YU</v>
      </c>
      <c r="F461" t="s">
        <v>35</v>
      </c>
      <c r="G461" t="s">
        <v>18</v>
      </c>
      <c r="H461">
        <v>38</v>
      </c>
      <c r="I461">
        <v>8</v>
      </c>
      <c r="J461">
        <v>8</v>
      </c>
      <c r="K461" s="2" t="s">
        <v>24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4">
        <f>42/2</f>
        <v>21</v>
      </c>
      <c r="P461">
        <v>620</v>
      </c>
      <c r="Q461">
        <v>118</v>
      </c>
      <c r="R461" s="31">
        <f>95/2</f>
        <v>47.5</v>
      </c>
      <c r="S461" s="30">
        <f>IFERROR(PROPERTIES[[#This Row],[TE_STARTING_KN]]/(PROPERTIES[[#This Row],[WEIGHT]]*9.81),0)</f>
        <v>0.23057133148876266</v>
      </c>
      <c r="T461" s="30">
        <v>0.2</v>
      </c>
      <c r="U461" s="27">
        <f>ROUND(IF(IFERROR(PROPERTIES[[#This Row],[TE_COEFFICIENT_CALC]],0)=0,PROPERTIES[[#This Row],[TE_COEFFICIENT_MANUAL]],PROPERTIES[[#This Row],[TE_COEFFICIENT_CALC]]),3)</f>
        <v>0.23100000000000001</v>
      </c>
      <c r="V461" s="6">
        <v>20</v>
      </c>
      <c r="W461" s="10">
        <v>38</v>
      </c>
      <c r="X461" s="10">
        <v>8</v>
      </c>
      <c r="Y461" s="11"/>
      <c r="Z461" t="s">
        <v>911</v>
      </c>
      <c r="AA461" t="s">
        <v>904</v>
      </c>
      <c r="AB461" s="2" t="s">
        <v>922</v>
      </c>
      <c r="AC461" s="10" t="s">
        <v>998</v>
      </c>
      <c r="AD461" s="10" t="s">
        <v>999</v>
      </c>
      <c r="AE461" s="11" t="str">
        <f>SUBSTITUTE(SUBSTITUTE(PROPERTIES[[#This Row],[PURCHASECOST_VALUE]], "PURCHASECOST_", ""), "_VALUE", "")</f>
        <v>DMU</v>
      </c>
      <c r="AF461" s="10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488</v>
      </c>
      <c r="B462">
        <v>1976</v>
      </c>
      <c r="C462">
        <v>1</v>
      </c>
      <c r="D462" t="s">
        <v>1863</v>
      </c>
      <c r="E462" t="str">
        <f>_xlfn.XLOOKUP(PROPERTIES[[#This Row],[COUNTRY]],COUNTRIES[COUNTRY_DESCRIPTION],COUNTRIES[COUNTRY_LABEL],"")</f>
        <v>GB</v>
      </c>
      <c r="F462" t="s">
        <v>35</v>
      </c>
      <c r="G462" t="s">
        <v>18</v>
      </c>
      <c r="H462">
        <v>0</v>
      </c>
      <c r="I462">
        <v>8</v>
      </c>
      <c r="J462">
        <v>8</v>
      </c>
      <c r="K462" s="2" t="s">
        <v>479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4">
        <v>35</v>
      </c>
      <c r="P462">
        <f>2250*2</f>
        <v>4500</v>
      </c>
      <c r="Q462">
        <v>201</v>
      </c>
      <c r="R462" s="31">
        <f>178/2</f>
        <v>89</v>
      </c>
      <c r="S462" s="30">
        <f>IFERROR(PROPERTIES[[#This Row],[TE_STARTING_KN]]/(PROPERTIES[[#This Row],[WEIGHT]]*9.81),0)</f>
        <v>0.25921071792631423</v>
      </c>
      <c r="T462" s="30">
        <v>0.57999999999999996</v>
      </c>
      <c r="U462" s="27">
        <f>ROUND(IF(IFERROR(PROPERTIES[[#This Row],[TE_COEFFICIENT_CALC]],0)=0,PROPERTIES[[#This Row],[TE_COEFFICIENT_MANUAL]],PROPERTIES[[#This Row],[TE_COEFFICIENT_CALC]]),3)</f>
        <v>0.25900000000000001</v>
      </c>
      <c r="V462" s="6">
        <v>25</v>
      </c>
      <c r="W462" s="10">
        <v>74</v>
      </c>
      <c r="X462" s="10">
        <v>8</v>
      </c>
      <c r="Y462" s="11"/>
      <c r="Z462" t="s">
        <v>909</v>
      </c>
      <c r="AA462" t="s">
        <v>904</v>
      </c>
      <c r="AB462" s="2" t="s">
        <v>922</v>
      </c>
      <c r="AC462" s="10" t="s">
        <v>998</v>
      </c>
      <c r="AD462" s="10" t="s">
        <v>999</v>
      </c>
      <c r="AE462" s="11" t="str">
        <f>SUBSTITUTE(SUBSTITUTE(PROPERTIES[[#This Row],[PURCHASECOST_VALUE]], "PURCHASECOST_", ""), "_VALUE", "")</f>
        <v>DMU</v>
      </c>
      <c r="AF462" s="10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489</v>
      </c>
      <c r="B463">
        <v>1980</v>
      </c>
      <c r="C463">
        <v>1</v>
      </c>
      <c r="D463" t="s">
        <v>1825</v>
      </c>
      <c r="E463" t="str">
        <f>_xlfn.XLOOKUP(PROPERTIES[[#This Row],[COUNTRY]],COUNTRIES[COUNTRY_DESCRIPTION],COUNTRIES[COUNTRY_LABEL],"")</f>
        <v>CA</v>
      </c>
      <c r="F463" t="s">
        <v>35</v>
      </c>
      <c r="G463" t="s">
        <v>18</v>
      </c>
      <c r="H463">
        <v>0</v>
      </c>
      <c r="I463">
        <v>8</v>
      </c>
      <c r="J463">
        <v>8</v>
      </c>
      <c r="K463" s="2" t="s">
        <v>479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4">
        <f>113/2</f>
        <v>56.5</v>
      </c>
      <c r="P463">
        <f>2700*2</f>
        <v>5400</v>
      </c>
      <c r="Q463">
        <v>153</v>
      </c>
      <c r="R463" s="31">
        <f>245/2</f>
        <v>122.5</v>
      </c>
      <c r="S463" s="30">
        <f>IFERROR(PROPERTIES[[#This Row],[TE_STARTING_KN]]/(PROPERTIES[[#This Row],[WEIGHT]]*9.81),0)</f>
        <v>0.22101341416109624</v>
      </c>
      <c r="T463" s="30">
        <v>0.2</v>
      </c>
      <c r="U463" s="27">
        <f>ROUND(IF(IFERROR(PROPERTIES[[#This Row],[TE_COEFFICIENT_CALC]],0)=0,PROPERTIES[[#This Row],[TE_COEFFICIENT_MANUAL]],PROPERTIES[[#This Row],[TE_COEFFICIENT_CALC]]),3)</f>
        <v>0.221</v>
      </c>
      <c r="V463" s="6">
        <v>25</v>
      </c>
      <c r="W463" s="10">
        <v>68</v>
      </c>
      <c r="X463" s="10">
        <v>8</v>
      </c>
      <c r="Y463" s="11">
        <v>55</v>
      </c>
      <c r="Z463" t="s">
        <v>910</v>
      </c>
      <c r="AA463" t="s">
        <v>904</v>
      </c>
      <c r="AB463" s="2" t="s">
        <v>922</v>
      </c>
      <c r="AC463" s="10" t="s">
        <v>998</v>
      </c>
      <c r="AD463" s="10" t="s">
        <v>999</v>
      </c>
      <c r="AE463" s="11" t="str">
        <f>SUBSTITUTE(SUBSTITUTE(PROPERTIES[[#This Row],[PURCHASECOST_VALUE]], "PURCHASECOST_", ""), "_VALUE", "")</f>
        <v>DMU</v>
      </c>
      <c r="AF463" s="10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490</v>
      </c>
      <c r="B464">
        <v>1990</v>
      </c>
      <c r="C464">
        <v>1</v>
      </c>
      <c r="D464" t="s">
        <v>1983</v>
      </c>
      <c r="E464" t="str">
        <f>_xlfn.XLOOKUP(PROPERTIES[[#This Row],[COUNTRY]],COUNTRIES[COUNTRY_DESCRIPTION],COUNTRIES[COUNTRY_LABEL],"")</f>
        <v>SE</v>
      </c>
      <c r="F464" t="s">
        <v>35</v>
      </c>
      <c r="G464" t="s">
        <v>18</v>
      </c>
      <c r="H464">
        <v>48</v>
      </c>
      <c r="I464">
        <v>8</v>
      </c>
      <c r="J464">
        <v>8</v>
      </c>
      <c r="K464" s="2" t="s">
        <v>479</v>
      </c>
      <c r="L464">
        <f>_xlfn.XLOOKUP("LOADINGSPEEDDEF_"&amp;PROPERTIES[[#This Row],[LOADINGSPEED]],LOADINGSPEEDDEF[TYPE],LOADINGSPEEDDEF[SPEED])</f>
        <v>16</v>
      </c>
      <c r="M464" t="s">
        <v>21</v>
      </c>
      <c r="N464">
        <v>1</v>
      </c>
      <c r="O464" s="34">
        <f>INT(97/2)</f>
        <v>48</v>
      </c>
      <c r="P464">
        <f>1600*2</f>
        <v>3200</v>
      </c>
      <c r="Q464">
        <v>180</v>
      </c>
      <c r="R464" s="31">
        <f>115/2</f>
        <v>57.5</v>
      </c>
      <c r="S464" s="30">
        <f>IFERROR(PROPERTIES[[#This Row],[TE_STARTING_KN]]/(PROPERTIES[[#This Row],[WEIGHT]]*9.81),0)</f>
        <v>0.12211179068977235</v>
      </c>
      <c r="T464" s="30">
        <v>0.25</v>
      </c>
      <c r="U464" s="27">
        <f>ROUND(IF(IFERROR(PROPERTIES[[#This Row],[TE_COEFFICIENT_CALC]],0)=0,PROPERTIES[[#This Row],[TE_COEFFICIENT_MANUAL]],PROPERTIES[[#This Row],[TE_COEFFICIENT_CALC]]),3)</f>
        <v>0.122</v>
      </c>
      <c r="V464" s="6">
        <v>25</v>
      </c>
      <c r="W464" s="10">
        <v>48</v>
      </c>
      <c r="X464" s="10">
        <v>8</v>
      </c>
      <c r="Y464" s="11"/>
      <c r="Z464" t="s">
        <v>909</v>
      </c>
      <c r="AA464" t="s">
        <v>904</v>
      </c>
      <c r="AB464" s="2" t="s">
        <v>922</v>
      </c>
      <c r="AC464" s="10" t="s">
        <v>998</v>
      </c>
      <c r="AD464" s="10" t="s">
        <v>999</v>
      </c>
      <c r="AE464" s="11" t="str">
        <f>SUBSTITUTE(SUBSTITUTE(PROPERTIES[[#This Row],[PURCHASECOST_VALUE]], "PURCHASECOST_", ""), "_VALUE", "")</f>
        <v>DMU</v>
      </c>
      <c r="AF464" s="10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491</v>
      </c>
      <c r="B465">
        <v>1997</v>
      </c>
      <c r="C465">
        <v>1</v>
      </c>
      <c r="D465" t="s">
        <v>1855</v>
      </c>
      <c r="E465" t="str">
        <f>_xlfn.XLOOKUP(PROPERTIES[[#This Row],[COUNTRY]],COUNTRIES[COUNTRY_DESCRIPTION],COUNTRIES[COUNTRY_LABEL],"")</f>
        <v>ES</v>
      </c>
      <c r="F465" t="s">
        <v>35</v>
      </c>
      <c r="G465" t="s">
        <v>18</v>
      </c>
      <c r="H465">
        <v>42</v>
      </c>
      <c r="I465">
        <v>8</v>
      </c>
      <c r="J465">
        <v>8</v>
      </c>
      <c r="K465" s="2" t="s">
        <v>24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4">
        <v>49</v>
      </c>
      <c r="P465">
        <v>3200</v>
      </c>
      <c r="Q465">
        <v>160</v>
      </c>
      <c r="R465" s="31">
        <f>120/2</f>
        <v>60</v>
      </c>
      <c r="S465" s="30">
        <f>IFERROR(PROPERTIES[[#This Row],[TE_STARTING_KN]]/(PROPERTIES[[#This Row],[WEIGHT]]*9.81),0)</f>
        <v>0.12482057043000687</v>
      </c>
      <c r="T465" s="30">
        <v>0.24</v>
      </c>
      <c r="U465" s="27">
        <f>ROUND(IF(IFERROR(PROPERTIES[[#This Row],[TE_COEFFICIENT_CALC]],0)=0,PROPERTIES[[#This Row],[TE_COEFFICIENT_MANUAL]],PROPERTIES[[#This Row],[TE_COEFFICIENT_CALC]]),3)</f>
        <v>0.125</v>
      </c>
      <c r="V465" s="6">
        <v>20</v>
      </c>
      <c r="W465" s="10">
        <f>126/3</f>
        <v>42</v>
      </c>
      <c r="X465" s="10">
        <v>8</v>
      </c>
      <c r="Y465" s="11"/>
      <c r="Z465" t="s">
        <v>906</v>
      </c>
      <c r="AA465" t="s">
        <v>904</v>
      </c>
      <c r="AB465" s="2" t="s">
        <v>922</v>
      </c>
      <c r="AC465" s="10" t="s">
        <v>998</v>
      </c>
      <c r="AD465" s="10" t="s">
        <v>999</v>
      </c>
      <c r="AE465" s="11" t="str">
        <f>SUBSTITUTE(SUBSTITUTE(PROPERTIES[[#This Row],[PURCHASECOST_VALUE]], "PURCHASECOST_", ""), "_VALUE", "")</f>
        <v>DMU</v>
      </c>
      <c r="AF465" s="10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492</v>
      </c>
      <c r="B466">
        <v>1997</v>
      </c>
      <c r="C466">
        <v>1</v>
      </c>
      <c r="D466" t="s">
        <v>1863</v>
      </c>
      <c r="E466" t="str">
        <f>_xlfn.XLOOKUP(PROPERTIES[[#This Row],[COUNTRY]],COUNTRIES[COUNTRY_DESCRIPTION],COUNTRIES[COUNTRY_LABEL],"")</f>
        <v>GB</v>
      </c>
      <c r="F466" t="s">
        <v>35</v>
      </c>
      <c r="G466" t="s">
        <v>18</v>
      </c>
      <c r="H466">
        <f>INT(204/3)</f>
        <v>68</v>
      </c>
      <c r="I466">
        <v>8</v>
      </c>
      <c r="J466">
        <v>8</v>
      </c>
      <c r="K466" s="2" t="s">
        <v>24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4">
        <v>50</v>
      </c>
      <c r="P466">
        <f>422*2</f>
        <v>844</v>
      </c>
      <c r="Q466">
        <v>160</v>
      </c>
      <c r="R466" s="31">
        <f>112/2</f>
        <v>56</v>
      </c>
      <c r="S466" s="30">
        <f>IFERROR(PROPERTIES[[#This Row],[TE_STARTING_KN]]/(PROPERTIES[[#This Row],[WEIGHT]]*9.81),0)</f>
        <v>0.11416921508664628</v>
      </c>
      <c r="T466" s="30">
        <v>0.39</v>
      </c>
      <c r="U466" s="27">
        <f>ROUND(IF(IFERROR(PROPERTIES[[#This Row],[TE_COEFFICIENT_CALC]],0)=0,PROPERTIES[[#This Row],[TE_COEFFICIENT_MANUAL]],PROPERTIES[[#This Row],[TE_COEFFICIENT_CALC]]),3)</f>
        <v>0.114</v>
      </c>
      <c r="V466" s="6">
        <v>20</v>
      </c>
      <c r="W466" s="10">
        <f>INT(204/3)</f>
        <v>68</v>
      </c>
      <c r="X466" s="10">
        <v>8</v>
      </c>
      <c r="Y466" s="11">
        <v>52</v>
      </c>
      <c r="Z466" t="s">
        <v>909</v>
      </c>
      <c r="AA466" t="s">
        <v>904</v>
      </c>
      <c r="AB466" s="2" t="s">
        <v>922</v>
      </c>
      <c r="AC466" s="10" t="s">
        <v>998</v>
      </c>
      <c r="AD466" s="10" t="s">
        <v>999</v>
      </c>
      <c r="AE466" s="11" t="str">
        <f>SUBSTITUTE(SUBSTITUTE(PROPERTIES[[#This Row],[PURCHASECOST_VALUE]], "PURCHASECOST_", ""), "_VALUE", "")</f>
        <v>DMU</v>
      </c>
      <c r="AF466" s="10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493</v>
      </c>
      <c r="B467">
        <v>1998</v>
      </c>
      <c r="C467">
        <v>1</v>
      </c>
      <c r="D467" t="s">
        <v>1844</v>
      </c>
      <c r="E467" t="str">
        <f>_xlfn.XLOOKUP(PROPERTIES[[#This Row],[COUNTRY]],COUNTRIES[COUNTRY_DESCRIPTION],COUNTRIES[COUNTRY_LABEL],"")</f>
        <v>DE</v>
      </c>
      <c r="F467" t="s">
        <v>35</v>
      </c>
      <c r="G467" t="s">
        <v>18</v>
      </c>
      <c r="H467">
        <v>73</v>
      </c>
      <c r="I467">
        <v>8</v>
      </c>
      <c r="J467">
        <v>8</v>
      </c>
      <c r="K467" s="2" t="s">
        <v>24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4">
        <v>58</v>
      </c>
      <c r="P467">
        <v>1520</v>
      </c>
      <c r="Q467">
        <v>160</v>
      </c>
      <c r="R467" s="31">
        <f>145/2</f>
        <v>72.5</v>
      </c>
      <c r="S467" s="30">
        <f>IFERROR(PROPERTIES[[#This Row],[TE_STARTING_KN]]/(PROPERTIES[[#This Row],[WEIGHT]]*9.81),0)</f>
        <v>0.127420998980632</v>
      </c>
      <c r="T467" s="30">
        <v>0.38</v>
      </c>
      <c r="U467" s="27">
        <f>ROUND(IF(IFERROR(PROPERTIES[[#This Row],[TE_COEFFICIENT_CALC]],0)=0,PROPERTIES[[#This Row],[TE_COEFFICIENT_MANUAL]],PROPERTIES[[#This Row],[TE_COEFFICIENT_CALC]]),3)</f>
        <v>0.127</v>
      </c>
      <c r="V467" s="6">
        <v>20</v>
      </c>
      <c r="W467" s="10">
        <v>73</v>
      </c>
      <c r="X467" s="10">
        <v>8</v>
      </c>
      <c r="Y467" s="11"/>
      <c r="Z467" t="s">
        <v>905</v>
      </c>
      <c r="AA467" t="s">
        <v>904</v>
      </c>
      <c r="AB467" s="2" t="s">
        <v>922</v>
      </c>
      <c r="AC467" s="10" t="s">
        <v>998</v>
      </c>
      <c r="AD467" s="10" t="s">
        <v>999</v>
      </c>
      <c r="AE467" s="11" t="str">
        <f>SUBSTITUTE(SUBSTITUTE(PROPERTIES[[#This Row],[PURCHASECOST_VALUE]], "PURCHASECOST_", ""), "_VALUE", "")</f>
        <v>DMU</v>
      </c>
      <c r="AF467" s="10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494</v>
      </c>
      <c r="B468">
        <v>2000</v>
      </c>
      <c r="C468">
        <v>1</v>
      </c>
      <c r="D468" t="s">
        <v>1844</v>
      </c>
      <c r="E468" t="str">
        <f>_xlfn.XLOOKUP(PROPERTIES[[#This Row],[COUNTRY]],COUNTRIES[COUNTRY_DESCRIPTION],COUNTRIES[COUNTRY_LABEL],"")</f>
        <v>DE</v>
      </c>
      <c r="F468" t="s">
        <v>35</v>
      </c>
      <c r="G468" t="s">
        <v>18</v>
      </c>
      <c r="H468">
        <f>(98+110)/2</f>
        <v>104</v>
      </c>
      <c r="I468">
        <v>8</v>
      </c>
      <c r="J468">
        <v>8</v>
      </c>
      <c r="K468" s="2" t="s">
        <v>24</v>
      </c>
      <c r="L468">
        <f>_xlfn.XLOOKUP("LOADINGSPEEDDEF_"&amp;PROPERTIES[[#This Row],[LOADINGSPEED]],LOADINGSPEEDDEF[TYPE],LOADINGSPEEDDEF[SPEED])</f>
        <v>40</v>
      </c>
      <c r="M468" t="s">
        <v>21</v>
      </c>
      <c r="N468">
        <v>1</v>
      </c>
      <c r="O468" s="34">
        <f>88/2</f>
        <v>44</v>
      </c>
      <c r="P468">
        <f>490*2</f>
        <v>980</v>
      </c>
      <c r="Q468">
        <v>120</v>
      </c>
      <c r="R468" s="31">
        <f>85/2</f>
        <v>42.5</v>
      </c>
      <c r="S468" s="30">
        <f>IFERROR(PROPERTIES[[#This Row],[TE_STARTING_KN]]/(PROPERTIES[[#This Row],[WEIGHT]]*9.81),0)</f>
        <v>9.8461681030488357E-2</v>
      </c>
      <c r="T468" s="30">
        <v>0.18</v>
      </c>
      <c r="U468" s="27">
        <f>ROUND(IF(IFERROR(PROPERTIES[[#This Row],[TE_COEFFICIENT_CALC]],0)=0,PROPERTIES[[#This Row],[TE_COEFFICIENT_MANUAL]],PROPERTIES[[#This Row],[TE_COEFFICIENT_CALC]]),3)</f>
        <v>9.8000000000000004E-2</v>
      </c>
      <c r="V468" s="6">
        <v>25</v>
      </c>
      <c r="W468" s="10">
        <f>PROPERTIES[[#This Row],[HEAD_CAPACITY]]</f>
        <v>104</v>
      </c>
      <c r="X468" s="10">
        <v>8</v>
      </c>
      <c r="Y468" s="11"/>
      <c r="Z468" t="s">
        <v>905</v>
      </c>
      <c r="AA468" t="s">
        <v>904</v>
      </c>
      <c r="AB468" s="2" t="s">
        <v>922</v>
      </c>
      <c r="AC468" s="10" t="s">
        <v>998</v>
      </c>
      <c r="AD468" s="10" t="s">
        <v>999</v>
      </c>
      <c r="AE468" s="11" t="str">
        <f>SUBSTITUTE(SUBSTITUTE(PROPERTIES[[#This Row],[PURCHASECOST_VALUE]], "PURCHASECOST_", ""), "_VALUE", "")</f>
        <v>DMU</v>
      </c>
      <c r="AF468" s="10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495</v>
      </c>
      <c r="B469">
        <v>2001</v>
      </c>
      <c r="C469">
        <v>1</v>
      </c>
      <c r="D469" t="s">
        <v>1846</v>
      </c>
      <c r="E469" t="str">
        <f>_xlfn.XLOOKUP(PROPERTIES[[#This Row],[COUNTRY]],COUNTRIES[COUNTRY_DESCRIPTION],COUNTRIES[COUNTRY_LABEL],"")</f>
        <v>DK</v>
      </c>
      <c r="F469" t="s">
        <v>35</v>
      </c>
      <c r="G469" t="s">
        <v>18</v>
      </c>
      <c r="H469">
        <f>52+85</f>
        <v>137</v>
      </c>
      <c r="I469">
        <v>8</v>
      </c>
      <c r="J469">
        <v>8</v>
      </c>
      <c r="K469" s="2" t="s">
        <v>24</v>
      </c>
      <c r="L469">
        <f>_xlfn.XLOOKUP("LOADINGSPEEDDEF_"&amp;PROPERTIES[[#This Row],[LOADINGSPEED]],LOADINGSPEEDDEF[TYPE],LOADINGSPEEDDEF[SPEED])</f>
        <v>40</v>
      </c>
      <c r="M469" t="s">
        <v>21</v>
      </c>
      <c r="N469">
        <v>1</v>
      </c>
      <c r="O469" s="34">
        <v>31</v>
      </c>
      <c r="P469">
        <v>422</v>
      </c>
      <c r="Q469">
        <v>120</v>
      </c>
      <c r="R469" s="31">
        <f>75/2</f>
        <v>37.5</v>
      </c>
      <c r="S469" s="30">
        <f>IFERROR(PROPERTIES[[#This Row],[TE_STARTING_KN]]/(PROPERTIES[[#This Row],[WEIGHT]]*9.81),0)</f>
        <v>0.12331064417480517</v>
      </c>
      <c r="T469" s="30">
        <v>0.39</v>
      </c>
      <c r="U469" s="27">
        <f>ROUND(IF(IFERROR(PROPERTIES[[#This Row],[TE_COEFFICIENT_CALC]],0)=0,PROPERTIES[[#This Row],[TE_COEFFICIENT_MANUAL]],PROPERTIES[[#This Row],[TE_COEFFICIENT_CALC]]),3)</f>
        <v>0.123</v>
      </c>
      <c r="V469" s="6">
        <v>20</v>
      </c>
      <c r="W469" s="10">
        <f>PROPERTIES[[#This Row],[HEAD_CAPACITY]]</f>
        <v>137</v>
      </c>
      <c r="X469" s="10">
        <v>8</v>
      </c>
      <c r="Y469" s="11"/>
      <c r="Z469" t="s">
        <v>909</v>
      </c>
      <c r="AA469" t="s">
        <v>904</v>
      </c>
      <c r="AB469" s="2" t="s">
        <v>922</v>
      </c>
      <c r="AC469" s="10" t="s">
        <v>998</v>
      </c>
      <c r="AD469" s="10" t="s">
        <v>999</v>
      </c>
      <c r="AE469" s="11" t="str">
        <f>SUBSTITUTE(SUBSTITUTE(PROPERTIES[[#This Row],[PURCHASECOST_VALUE]], "PURCHASECOST_", ""), "_VALUE", "")</f>
        <v>DMU</v>
      </c>
      <c r="AF469" s="10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496</v>
      </c>
      <c r="B470">
        <v>2001</v>
      </c>
      <c r="C470">
        <v>1</v>
      </c>
      <c r="D470" t="s">
        <v>1953</v>
      </c>
      <c r="E470" t="str">
        <f>_xlfn.XLOOKUP(PROPERTIES[[#This Row],[COUNTRY]],COUNTRIES[COUNTRY_DESCRIPTION],COUNTRIES[COUNTRY_LABEL],"")</f>
        <v>NO</v>
      </c>
      <c r="F470" t="s">
        <v>35</v>
      </c>
      <c r="G470" t="s">
        <v>18</v>
      </c>
      <c r="H470">
        <f>76/2</f>
        <v>38</v>
      </c>
      <c r="I470">
        <v>8</v>
      </c>
      <c r="J470">
        <v>8</v>
      </c>
      <c r="K470" s="2" t="s">
        <v>24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4">
        <f>77/2</f>
        <v>38.5</v>
      </c>
      <c r="P470">
        <v>810</v>
      </c>
      <c r="Q470">
        <v>140</v>
      </c>
      <c r="R470" s="31">
        <f>100/2</f>
        <v>50</v>
      </c>
      <c r="S470" s="30">
        <f>IFERROR(PROPERTIES[[#This Row],[TE_STARTING_KN]]/(PROPERTIES[[#This Row],[WEIGHT]]*9.81),0)</f>
        <v>0.13238545348637093</v>
      </c>
      <c r="T470" s="30">
        <v>0.21</v>
      </c>
      <c r="U470" s="27">
        <f>ROUND(IF(IFERROR(PROPERTIES[[#This Row],[TE_COEFFICIENT_CALC]],0)=0,PROPERTIES[[#This Row],[TE_COEFFICIENT_MANUAL]],PROPERTIES[[#This Row],[TE_COEFFICIENT_CALC]]),3)</f>
        <v>0.13200000000000001</v>
      </c>
      <c r="V470" s="6">
        <v>20</v>
      </c>
      <c r="W470" s="10">
        <f>76/2</f>
        <v>38</v>
      </c>
      <c r="X470" s="10">
        <v>8</v>
      </c>
      <c r="Y470" s="11"/>
      <c r="Z470" t="s">
        <v>909</v>
      </c>
      <c r="AA470" t="s">
        <v>904</v>
      </c>
      <c r="AB470" s="2" t="s">
        <v>922</v>
      </c>
      <c r="AC470" s="10" t="s">
        <v>998</v>
      </c>
      <c r="AD470" s="10" t="s">
        <v>999</v>
      </c>
      <c r="AE470" s="11" t="str">
        <f>SUBSTITUTE(SUBSTITUTE(PROPERTIES[[#This Row],[PURCHASECOST_VALUE]], "PURCHASECOST_", ""), "_VALUE", "")</f>
        <v>DMU</v>
      </c>
      <c r="AF470" s="10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497</v>
      </c>
      <c r="B471">
        <v>2004</v>
      </c>
      <c r="C471">
        <v>1</v>
      </c>
      <c r="D471" t="s">
        <v>1800</v>
      </c>
      <c r="E471" t="str">
        <f>_xlfn.XLOOKUP(PROPERTIES[[#This Row],[COUNTRY]],COUNTRIES[COUNTRY_DESCRIPTION],COUNTRIES[COUNTRY_LABEL],"")</f>
        <v>AU</v>
      </c>
      <c r="F471" t="s">
        <v>35</v>
      </c>
      <c r="G471" t="s">
        <v>18</v>
      </c>
      <c r="H471">
        <v>68</v>
      </c>
      <c r="I471">
        <v>8</v>
      </c>
      <c r="J471">
        <v>8</v>
      </c>
      <c r="K471" s="2" t="s">
        <v>479</v>
      </c>
      <c r="L471">
        <f>_xlfn.XLOOKUP("LOADINGSPEEDDEF_"&amp;PROPERTIES[[#This Row],[LOADINGSPEED]],LOADINGSPEEDDEF[TYPE],LOADINGSPEEDDEF[SPEED])</f>
        <v>16</v>
      </c>
      <c r="M471" t="s">
        <v>21</v>
      </c>
      <c r="N471">
        <v>1</v>
      </c>
      <c r="O471" s="34">
        <v>33</v>
      </c>
      <c r="P471">
        <f>520*2</f>
        <v>1040</v>
      </c>
      <c r="Q471">
        <v>200</v>
      </c>
      <c r="R471" s="31">
        <f>160/2</f>
        <v>80</v>
      </c>
      <c r="S471" s="30">
        <f>IFERROR(PROPERTIES[[#This Row],[TE_STARTING_KN]]/(PROPERTIES[[#This Row],[WEIGHT]]*9.81),0)</f>
        <v>0.24711951317455902</v>
      </c>
      <c r="T471" s="30">
        <v>0.33</v>
      </c>
      <c r="U471" s="27">
        <f>ROUND(IF(IFERROR(PROPERTIES[[#This Row],[TE_COEFFICIENT_CALC]],0)=0,PROPERTIES[[#This Row],[TE_COEFFICIENT_MANUAL]],PROPERTIES[[#This Row],[TE_COEFFICIENT_CALC]]),3)</f>
        <v>0.247</v>
      </c>
      <c r="V471" s="6">
        <v>25</v>
      </c>
      <c r="W471" s="10">
        <v>68</v>
      </c>
      <c r="X471" s="10">
        <v>8</v>
      </c>
      <c r="Y471" s="11"/>
      <c r="Z471" t="s">
        <v>907</v>
      </c>
      <c r="AA471" t="s">
        <v>904</v>
      </c>
      <c r="AB471" s="2" t="s">
        <v>922</v>
      </c>
      <c r="AC471" s="10" t="s">
        <v>998</v>
      </c>
      <c r="AD471" s="10" t="s">
        <v>999</v>
      </c>
      <c r="AE471" s="11" t="str">
        <f>SUBSTITUTE(SUBSTITUTE(PROPERTIES[[#This Row],[PURCHASECOST_VALUE]], "PURCHASECOST_", ""), "_VALUE", "")</f>
        <v>DMU</v>
      </c>
      <c r="AF471" s="10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498</v>
      </c>
      <c r="B472">
        <v>2006</v>
      </c>
      <c r="C472">
        <v>1</v>
      </c>
      <c r="D472" t="s">
        <v>1800</v>
      </c>
      <c r="E472" t="str">
        <f>_xlfn.XLOOKUP(PROPERTIES[[#This Row],[COUNTRY]],COUNTRIES[COUNTRY_DESCRIPTION],COUNTRIES[COUNTRY_LABEL],"")</f>
        <v>AU</v>
      </c>
      <c r="F472" t="s">
        <v>35</v>
      </c>
      <c r="G472" t="s">
        <v>18</v>
      </c>
      <c r="H472">
        <v>70</v>
      </c>
      <c r="I472">
        <v>8</v>
      </c>
      <c r="J472">
        <v>8</v>
      </c>
      <c r="K472" s="2" t="s">
        <v>24</v>
      </c>
      <c r="L472">
        <f>_xlfn.XLOOKUP("LOADINGSPEEDDEF_"&amp;PROPERTIES[[#This Row],[LOADINGSPEED]],LOADINGSPEEDDEF[TYPE],LOADINGSPEEDDEF[SPEED])</f>
        <v>40</v>
      </c>
      <c r="M472" t="s">
        <v>21</v>
      </c>
      <c r="N472">
        <v>1</v>
      </c>
      <c r="O472" s="34">
        <v>30</v>
      </c>
      <c r="P472">
        <v>750</v>
      </c>
      <c r="Q472">
        <v>160</v>
      </c>
      <c r="R472" s="31">
        <f>140/2</f>
        <v>70</v>
      </c>
      <c r="S472" s="30">
        <f>IFERROR(PROPERTIES[[#This Row],[TE_STARTING_KN]]/(PROPERTIES[[#This Row],[WEIGHT]]*9.81),0)</f>
        <v>0.23785253143051308</v>
      </c>
      <c r="T472" s="30">
        <v>0.33</v>
      </c>
      <c r="U472" s="27">
        <f>ROUND(IF(IFERROR(PROPERTIES[[#This Row],[TE_COEFFICIENT_CALC]],0)=0,PROPERTIES[[#This Row],[TE_COEFFICIENT_MANUAL]],PROPERTIES[[#This Row],[TE_COEFFICIENT_CALC]]),3)</f>
        <v>0.23799999999999999</v>
      </c>
      <c r="V472" s="6">
        <v>25</v>
      </c>
      <c r="W472" s="10">
        <v>70</v>
      </c>
      <c r="X472" s="10">
        <v>8</v>
      </c>
      <c r="Y472" s="11"/>
      <c r="Z472" t="s">
        <v>907</v>
      </c>
      <c r="AA472" t="s">
        <v>904</v>
      </c>
      <c r="AB472" s="2" t="s">
        <v>922</v>
      </c>
      <c r="AC472" s="10" t="s">
        <v>998</v>
      </c>
      <c r="AD472" s="10" t="s">
        <v>999</v>
      </c>
      <c r="AE472" s="11" t="str">
        <f>SUBSTITUTE(SUBSTITUTE(PROPERTIES[[#This Row],[PURCHASECOST_VALUE]], "PURCHASECOST_", ""), "_VALUE", "")</f>
        <v>DMU</v>
      </c>
      <c r="AF472" s="10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499</v>
      </c>
      <c r="B473">
        <v>2006</v>
      </c>
      <c r="C473">
        <v>1</v>
      </c>
      <c r="D473" t="s">
        <v>1977</v>
      </c>
      <c r="E473" t="str">
        <f>_xlfn.XLOOKUP(PROPERTIES[[#This Row],[COUNTRY]],COUNTRIES[COUNTRY_DESCRIPTION],COUNTRIES[COUNTRY_LABEL],"")</f>
        <v>RU</v>
      </c>
      <c r="F473" t="s">
        <v>35</v>
      </c>
      <c r="G473" t="s">
        <v>18</v>
      </c>
      <c r="H473">
        <v>68</v>
      </c>
      <c r="I473">
        <v>8</v>
      </c>
      <c r="J473">
        <v>8</v>
      </c>
      <c r="K473" s="2" t="s">
        <v>24</v>
      </c>
      <c r="L473">
        <f>_xlfn.XLOOKUP("LOADINGSPEEDDEF_"&amp;PROPERTIES[[#This Row],[LOADINGSPEED]],LOADINGSPEEDDEF[TYPE],LOADINGSPEEDDEF[SPEED])</f>
        <v>40</v>
      </c>
      <c r="M473" t="s">
        <v>21</v>
      </c>
      <c r="N473">
        <v>1</v>
      </c>
      <c r="O473" s="34">
        <v>44</v>
      </c>
      <c r="P473">
        <v>840</v>
      </c>
      <c r="Q473">
        <v>100</v>
      </c>
      <c r="R473" s="31">
        <f>105/2</f>
        <v>52.5</v>
      </c>
      <c r="S473" s="30">
        <f>IFERROR(PROPERTIES[[#This Row],[TE_STARTING_KN]]/(PROPERTIES[[#This Row],[WEIGHT]]*9.81),0)</f>
        <v>0.12162913539060327</v>
      </c>
      <c r="T473" s="30">
        <v>0.28000000000000003</v>
      </c>
      <c r="U473" s="27">
        <f>ROUND(IF(IFERROR(PROPERTIES[[#This Row],[TE_COEFFICIENT_CALC]],0)=0,PROPERTIES[[#This Row],[TE_COEFFICIENT_MANUAL]],PROPERTIES[[#This Row],[TE_COEFFICIENT_CALC]]),3)</f>
        <v>0.122</v>
      </c>
      <c r="V473" s="6">
        <v>25</v>
      </c>
      <c r="W473" s="10">
        <v>86</v>
      </c>
      <c r="X473" s="10">
        <v>8</v>
      </c>
      <c r="Y473" s="11"/>
      <c r="Z473" t="s">
        <v>913</v>
      </c>
      <c r="AA473" t="s">
        <v>904</v>
      </c>
      <c r="AB473" s="2" t="s">
        <v>922</v>
      </c>
      <c r="AC473" s="10" t="s">
        <v>998</v>
      </c>
      <c r="AD473" s="10" t="s">
        <v>999</v>
      </c>
      <c r="AE473" s="11" t="str">
        <f>SUBSTITUTE(SUBSTITUTE(PROPERTIES[[#This Row],[PURCHASECOST_VALUE]], "PURCHASECOST_", ""), "_VALUE", "")</f>
        <v>DMU</v>
      </c>
      <c r="AF473" s="10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500</v>
      </c>
      <c r="B474">
        <v>2007</v>
      </c>
      <c r="C474">
        <v>1</v>
      </c>
      <c r="D474" t="s">
        <v>1846</v>
      </c>
      <c r="E474" t="str">
        <f>_xlfn.XLOOKUP(PROPERTIES[[#This Row],[COUNTRY]],COUNTRIES[COUNTRY_DESCRIPTION],COUNTRIES[COUNTRY_LABEL],"")</f>
        <v>DK</v>
      </c>
      <c r="F474" t="s">
        <v>35</v>
      </c>
      <c r="G474" t="s">
        <v>18</v>
      </c>
      <c r="H474">
        <v>52</v>
      </c>
      <c r="I474">
        <v>8</v>
      </c>
      <c r="J474">
        <v>8</v>
      </c>
      <c r="K474" s="2" t="s">
        <v>479</v>
      </c>
      <c r="L474">
        <f>_xlfn.XLOOKUP("LOADINGSPEEDDEF_"&amp;PROPERTIES[[#This Row],[LOADINGSPEED]],LOADINGSPEEDDEF[TYPE],LOADINGSPEEDDEF[SPEED])</f>
        <v>16</v>
      </c>
      <c r="M474" t="s">
        <v>21</v>
      </c>
      <c r="N474">
        <v>1</v>
      </c>
      <c r="O474" s="34">
        <v>36</v>
      </c>
      <c r="P474">
        <v>750</v>
      </c>
      <c r="Q474">
        <v>180</v>
      </c>
      <c r="R474" s="31">
        <f>100/2</f>
        <v>50</v>
      </c>
      <c r="S474" s="30">
        <f>IFERROR(PROPERTIES[[#This Row],[TE_STARTING_KN]]/(PROPERTIES[[#This Row],[WEIGHT]]*9.81),0)</f>
        <v>0.14157888775625777</v>
      </c>
      <c r="T474" s="30">
        <v>0.62</v>
      </c>
      <c r="U474" s="27">
        <f>ROUND(IF(IFERROR(PROPERTIES[[#This Row],[TE_COEFFICIENT_CALC]],0)=0,PROPERTIES[[#This Row],[TE_COEFFICIENT_MANUAL]],PROPERTIES[[#This Row],[TE_COEFFICIENT_CALC]]),3)</f>
        <v>0.14199999999999999</v>
      </c>
      <c r="V474" s="6">
        <v>25</v>
      </c>
      <c r="W474" s="10">
        <v>52</v>
      </c>
      <c r="X474" s="10">
        <v>8</v>
      </c>
      <c r="Y474" s="11"/>
      <c r="Z474" t="s">
        <v>909</v>
      </c>
      <c r="AA474" t="s">
        <v>904</v>
      </c>
      <c r="AB474" s="2" t="s">
        <v>922</v>
      </c>
      <c r="AC474" s="10" t="s">
        <v>998</v>
      </c>
      <c r="AD474" s="10" t="s">
        <v>999</v>
      </c>
      <c r="AE474" s="11" t="str">
        <f>SUBSTITUTE(SUBSTITUTE(PROPERTIES[[#This Row],[PURCHASECOST_VALUE]], "PURCHASECOST_", ""), "_VALUE", "")</f>
        <v>DMU</v>
      </c>
      <c r="AF474" s="10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501</v>
      </c>
      <c r="B475">
        <v>2011</v>
      </c>
      <c r="C475">
        <v>1</v>
      </c>
      <c r="D475" t="s">
        <v>1884</v>
      </c>
      <c r="E475" t="str">
        <f>_xlfn.XLOOKUP(PROPERTIES[[#This Row],[COUNTRY]],COUNTRIES[COUNTRY_DESCRIPTION],COUNTRIES[COUNTRY_LABEL],"")</f>
        <v>HR</v>
      </c>
      <c r="F475" t="s">
        <v>35</v>
      </c>
      <c r="G475" t="s">
        <v>18</v>
      </c>
      <c r="H475">
        <f>INT(410/3)</f>
        <v>136</v>
      </c>
      <c r="I475">
        <v>8</v>
      </c>
      <c r="J475">
        <v>8</v>
      </c>
      <c r="K475" s="2" t="s">
        <v>479</v>
      </c>
      <c r="L475">
        <f>_xlfn.XLOOKUP("LOADINGSPEEDDEF_"&amp;PROPERTIES[[#This Row],[LOADINGSPEED]],LOADINGSPEEDDEF[TYPE],LOADINGSPEEDDEF[SPEED])</f>
        <v>16</v>
      </c>
      <c r="M475" t="s">
        <v>21</v>
      </c>
      <c r="N475">
        <v>1</v>
      </c>
      <c r="O475" s="34">
        <v>45</v>
      </c>
      <c r="P475">
        <v>520</v>
      </c>
      <c r="Q475">
        <v>160</v>
      </c>
      <c r="R475" s="31">
        <f>125/2</f>
        <v>62.5</v>
      </c>
      <c r="S475" s="30">
        <f>IFERROR(PROPERTIES[[#This Row],[TE_STARTING_KN]]/(PROPERTIES[[#This Row],[WEIGHT]]*9.81),0)</f>
        <v>0.14157888775625777</v>
      </c>
      <c r="T475" s="30">
        <v>0.53</v>
      </c>
      <c r="U475" s="27">
        <f>ROUND(IF(IFERROR(PROPERTIES[[#This Row],[TE_COEFFICIENT_CALC]],0)=0,PROPERTIES[[#This Row],[TE_COEFFICIENT_MANUAL]],PROPERTIES[[#This Row],[TE_COEFFICIENT_CALC]]),3)</f>
        <v>0.14199999999999999</v>
      </c>
      <c r="V475" s="6">
        <v>25</v>
      </c>
      <c r="W475" s="10">
        <v>66</v>
      </c>
      <c r="X475" s="10">
        <v>8</v>
      </c>
      <c r="Y475" s="11"/>
      <c r="Z475" t="s">
        <v>911</v>
      </c>
      <c r="AA475" t="s">
        <v>904</v>
      </c>
      <c r="AB475" s="2" t="s">
        <v>922</v>
      </c>
      <c r="AC475" s="10" t="s">
        <v>998</v>
      </c>
      <c r="AD475" s="10" t="s">
        <v>999</v>
      </c>
      <c r="AE475" s="11" t="str">
        <f>SUBSTITUTE(SUBSTITUTE(PROPERTIES[[#This Row],[PURCHASECOST_VALUE]], "PURCHASECOST_", ""), "_VALUE", "")</f>
        <v>DMU</v>
      </c>
      <c r="AF475" s="10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502</v>
      </c>
      <c r="B476">
        <v>1961</v>
      </c>
      <c r="C476">
        <v>1</v>
      </c>
      <c r="D476" t="s">
        <v>2290</v>
      </c>
      <c r="E476" t="str">
        <f>_xlfn.XLOOKUP(PROPERTIES[[#This Row],[COUNTRY]],COUNTRIES[COUNTRY_DESCRIPTION],COUNTRIES[COUNTRY_LABEL],"")</f>
        <v>TR</v>
      </c>
      <c r="F476" t="s">
        <v>35</v>
      </c>
      <c r="G476" t="s">
        <v>18</v>
      </c>
      <c r="H476">
        <f>INT(199/3)</f>
        <v>66</v>
      </c>
      <c r="I476">
        <v>8</v>
      </c>
      <c r="J476">
        <v>8</v>
      </c>
      <c r="K476" s="2" t="s">
        <v>24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4">
        <v>35</v>
      </c>
      <c r="P476">
        <v>800</v>
      </c>
      <c r="Q476">
        <v>90</v>
      </c>
      <c r="R476" s="31">
        <f>115/2</f>
        <v>57.5</v>
      </c>
      <c r="S476" s="30">
        <f>IFERROR(PROPERTIES[[#This Row],[TE_STARTING_KN]]/(PROPERTIES[[#This Row],[WEIGHT]]*9.81),0)</f>
        <v>0.1674675986602592</v>
      </c>
      <c r="T476" s="30">
        <v>0.23</v>
      </c>
      <c r="U476" s="27">
        <f>ROUND(IF(IFERROR(PROPERTIES[[#This Row],[TE_COEFFICIENT_CALC]],0)=0,PROPERTIES[[#This Row],[TE_COEFFICIENT_MANUAL]],PROPERTIES[[#This Row],[TE_COEFFICIENT_CALC]]),3)</f>
        <v>0.16700000000000001</v>
      </c>
      <c r="V476" s="6">
        <v>20</v>
      </c>
      <c r="W476" s="10">
        <v>66</v>
      </c>
      <c r="X476" s="10">
        <v>8</v>
      </c>
      <c r="Y476" s="11"/>
      <c r="Z476" t="s">
        <v>913</v>
      </c>
      <c r="AA476" t="s">
        <v>904</v>
      </c>
      <c r="AB476" s="2" t="s">
        <v>922</v>
      </c>
      <c r="AC476" s="10" t="s">
        <v>998</v>
      </c>
      <c r="AD476" s="10" t="s">
        <v>999</v>
      </c>
      <c r="AE476" s="11" t="str">
        <f>SUBSTITUTE(SUBSTITUTE(PROPERTIES[[#This Row],[PURCHASECOST_VALUE]], "PURCHASECOST_", ""), "_VALUE", "")</f>
        <v>DMU</v>
      </c>
      <c r="AF476" s="10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503</v>
      </c>
      <c r="B477">
        <v>1968</v>
      </c>
      <c r="C477">
        <v>1</v>
      </c>
      <c r="D477" t="s">
        <v>1900</v>
      </c>
      <c r="E477" t="str">
        <f>_xlfn.XLOOKUP(PROPERTIES[[#This Row],[COUNTRY]],COUNTRIES[COUNTRY_DESCRIPTION],COUNTRIES[COUNTRY_LABEL],"")</f>
        <v>JP</v>
      </c>
      <c r="F477" t="s">
        <v>35</v>
      </c>
      <c r="G477" t="s">
        <v>18</v>
      </c>
      <c r="H477">
        <v>52</v>
      </c>
      <c r="I477">
        <v>8</v>
      </c>
      <c r="J477">
        <v>8</v>
      </c>
      <c r="K477" s="2" t="s">
        <v>24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4">
        <v>44</v>
      </c>
      <c r="P477">
        <v>500</v>
      </c>
      <c r="Q477">
        <v>120</v>
      </c>
      <c r="R477" s="31">
        <f>108/2</f>
        <v>54</v>
      </c>
      <c r="S477" s="30">
        <f>IFERROR(PROPERTIES[[#This Row],[TE_STARTING_KN]]/(PROPERTIES[[#This Row],[WEIGHT]]*9.81),0)</f>
        <v>0.12510425354462051</v>
      </c>
      <c r="T477" s="30">
        <v>0.34</v>
      </c>
      <c r="U477" s="27">
        <f>ROUND(IF(IFERROR(PROPERTIES[[#This Row],[TE_COEFFICIENT_CALC]],0)=0,PROPERTIES[[#This Row],[TE_COEFFICIENT_MANUAL]],PROPERTIES[[#This Row],[TE_COEFFICIENT_CALC]]),3)</f>
        <v>0.125</v>
      </c>
      <c r="V477" s="6">
        <v>20</v>
      </c>
      <c r="W477" s="10">
        <v>76</v>
      </c>
      <c r="X477" s="10">
        <v>8</v>
      </c>
      <c r="Y477" s="11"/>
      <c r="Z477" t="s">
        <v>913</v>
      </c>
      <c r="AA477" t="s">
        <v>904</v>
      </c>
      <c r="AB477" s="2" t="s">
        <v>922</v>
      </c>
      <c r="AC477" s="10" t="s">
        <v>998</v>
      </c>
      <c r="AD477" s="10" t="s">
        <v>999</v>
      </c>
      <c r="AE477" s="11" t="str">
        <f>SUBSTITUTE(SUBSTITUTE(PROPERTIES[[#This Row],[PURCHASECOST_VALUE]], "PURCHASECOST_", ""), "_VALUE", "")</f>
        <v>DMU</v>
      </c>
      <c r="AF477" s="10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504</v>
      </c>
      <c r="B478">
        <v>1973</v>
      </c>
      <c r="C478">
        <v>1</v>
      </c>
      <c r="D478" t="s">
        <v>1843</v>
      </c>
      <c r="E478" t="str">
        <f>_xlfn.XLOOKUP(PROPERTIES[[#This Row],[COUNTRY]],COUNTRIES[COUNTRY_DESCRIPTION],COUNTRIES[COUNTRY_LABEL],"")</f>
        <v>CZ</v>
      </c>
      <c r="F478" t="s">
        <v>35</v>
      </c>
      <c r="G478" t="s">
        <v>18</v>
      </c>
      <c r="H478" s="10">
        <f>INT((135+151)/3)</f>
        <v>95</v>
      </c>
      <c r="I478">
        <v>6</v>
      </c>
      <c r="J478">
        <v>6</v>
      </c>
      <c r="K478" s="2" t="s">
        <v>24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4">
        <v>22</v>
      </c>
      <c r="P478">
        <v>325</v>
      </c>
      <c r="Q478">
        <v>80</v>
      </c>
      <c r="R478" s="31">
        <f>54/2</f>
        <v>27</v>
      </c>
      <c r="S478" s="30">
        <f>IFERROR(PROPERTIES[[#This Row],[TE_STARTING_KN]]/(PROPERTIES[[#This Row],[WEIGHT]]*9.81),0)</f>
        <v>0.12510425354462051</v>
      </c>
      <c r="T478" s="30">
        <v>0.25</v>
      </c>
      <c r="U478" s="27">
        <f>ROUND(IF(IFERROR(PROPERTIES[[#This Row],[TE_COEFFICIENT_CALC]],0)=0,PROPERTIES[[#This Row],[TE_COEFFICIENT_MANUAL]],PROPERTIES[[#This Row],[TE_COEFFICIENT_CALC]]),3)</f>
        <v>0.125</v>
      </c>
      <c r="V478" s="6">
        <v>20</v>
      </c>
      <c r="W478" s="10">
        <f>INT((135+151)/3)</f>
        <v>95</v>
      </c>
      <c r="X478" s="10">
        <v>6</v>
      </c>
      <c r="Y478" s="11"/>
      <c r="Z478" t="s">
        <v>911</v>
      </c>
      <c r="AA478" t="s">
        <v>904</v>
      </c>
      <c r="AB478" s="2" t="s">
        <v>922</v>
      </c>
      <c r="AC478" s="10" t="s">
        <v>998</v>
      </c>
      <c r="AD478" s="10" t="s">
        <v>999</v>
      </c>
      <c r="AE478" s="11" t="str">
        <f>SUBSTITUTE(SUBSTITUTE(PROPERTIES[[#This Row],[PURCHASECOST_VALUE]], "PURCHASECOST_", ""), "_VALUE", "")</f>
        <v>DMU</v>
      </c>
      <c r="AF478" s="10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505</v>
      </c>
      <c r="B479">
        <v>1984</v>
      </c>
      <c r="C479">
        <v>1</v>
      </c>
      <c r="D479" t="s">
        <v>1863</v>
      </c>
      <c r="E479" t="str">
        <f>_xlfn.XLOOKUP(PROPERTIES[[#This Row],[COUNTRY]],COUNTRIES[COUNTRY_DESCRIPTION],COUNTRIES[COUNTRY_LABEL],"")</f>
        <v>GB</v>
      </c>
      <c r="F479" t="s">
        <v>35</v>
      </c>
      <c r="G479" t="s">
        <v>18</v>
      </c>
      <c r="H479">
        <v>80</v>
      </c>
      <c r="I479">
        <v>7</v>
      </c>
      <c r="J479">
        <v>7</v>
      </c>
      <c r="K479" s="2" t="s">
        <v>24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4">
        <v>36</v>
      </c>
      <c r="P479">
        <v>389</v>
      </c>
      <c r="Q479">
        <v>121</v>
      </c>
      <c r="R479" s="31">
        <f>65/2</f>
        <v>32.5</v>
      </c>
      <c r="S479" s="30">
        <f>IFERROR(PROPERTIES[[#This Row],[TE_STARTING_KN]]/(PROPERTIES[[#This Row],[WEIGHT]]*9.81),0)</f>
        <v>9.2026277041567559E-2</v>
      </c>
      <c r="T479" s="30">
        <v>0.26</v>
      </c>
      <c r="U479" s="27">
        <f>ROUND(IF(IFERROR(PROPERTIES[[#This Row],[TE_COEFFICIENT_CALC]],0)=0,PROPERTIES[[#This Row],[TE_COEFFICIENT_MANUAL]],PROPERTIES[[#This Row],[TE_COEFFICIENT_CALC]]),3)</f>
        <v>9.1999999999999998E-2</v>
      </c>
      <c r="V479" s="6">
        <v>20</v>
      </c>
      <c r="W479" s="10">
        <v>80</v>
      </c>
      <c r="X479" s="10">
        <v>7</v>
      </c>
      <c r="Y479" s="11"/>
      <c r="Z479" t="s">
        <v>909</v>
      </c>
      <c r="AA479" t="s">
        <v>904</v>
      </c>
      <c r="AB479" s="2" t="s">
        <v>922</v>
      </c>
      <c r="AC479" s="10" t="s">
        <v>998</v>
      </c>
      <c r="AD479" s="10" t="s">
        <v>999</v>
      </c>
      <c r="AE479" s="11" t="str">
        <f>SUBSTITUTE(SUBSTITUTE(PROPERTIES[[#This Row],[PURCHASECOST_VALUE]], "PURCHASECOST_", ""), "_VALUE", "")</f>
        <v>DMU</v>
      </c>
      <c r="AF479" s="10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506</v>
      </c>
      <c r="B480">
        <v>1984</v>
      </c>
      <c r="C480">
        <v>1</v>
      </c>
      <c r="D480" t="s">
        <v>1894</v>
      </c>
      <c r="E480" t="str">
        <f>_xlfn.XLOOKUP(PROPERTIES[[#This Row],[COUNTRY]],COUNTRIES[COUNTRY_DESCRIPTION],COUNTRIES[COUNTRY_LABEL],"")</f>
        <v>IR</v>
      </c>
      <c r="F480" t="s">
        <v>35</v>
      </c>
      <c r="G480" t="s">
        <v>18</v>
      </c>
      <c r="H480">
        <v>47</v>
      </c>
      <c r="I480">
        <v>6</v>
      </c>
      <c r="J480">
        <v>6</v>
      </c>
      <c r="K480" s="2" t="s">
        <v>24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4">
        <v>26</v>
      </c>
      <c r="P480">
        <v>200</v>
      </c>
      <c r="Q480">
        <v>121</v>
      </c>
      <c r="R480" s="31">
        <f>42/2</f>
        <v>21</v>
      </c>
      <c r="S480" s="30">
        <f>IFERROR(PROPERTIES[[#This Row],[TE_STARTING_KN]]/(PROPERTIES[[#This Row],[WEIGHT]]*9.81),0)</f>
        <v>8.2333568572100682E-2</v>
      </c>
      <c r="T480" s="30">
        <v>0.21</v>
      </c>
      <c r="U480" s="27">
        <f>ROUND(IF(IFERROR(PROPERTIES[[#This Row],[TE_COEFFICIENT_CALC]],0)=0,PROPERTIES[[#This Row],[TE_COEFFICIENT_MANUAL]],PROPERTIES[[#This Row],[TE_COEFFICIENT_CALC]]),3)</f>
        <v>8.2000000000000003E-2</v>
      </c>
      <c r="V480" s="6">
        <v>20</v>
      </c>
      <c r="W480" s="10">
        <v>47</v>
      </c>
      <c r="X480" s="10">
        <v>6</v>
      </c>
      <c r="Y480" s="11"/>
      <c r="Z480" t="s">
        <v>913</v>
      </c>
      <c r="AA480" t="s">
        <v>904</v>
      </c>
      <c r="AB480" s="2" t="s">
        <v>922</v>
      </c>
      <c r="AC480" s="10" t="s">
        <v>998</v>
      </c>
      <c r="AD480" s="10" t="s">
        <v>999</v>
      </c>
      <c r="AE480" s="11" t="str">
        <f>SUBSTITUTE(SUBSTITUTE(PROPERTIES[[#This Row],[PURCHASECOST_VALUE]], "PURCHASECOST_", ""), "_VALUE", "")</f>
        <v>DMU</v>
      </c>
      <c r="AF480" s="10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507</v>
      </c>
      <c r="B481">
        <v>1986</v>
      </c>
      <c r="C481">
        <v>1</v>
      </c>
      <c r="D481" t="s">
        <v>1889</v>
      </c>
      <c r="E481" t="str">
        <f>_xlfn.XLOOKUP(PROPERTIES[[#This Row],[COUNTRY]],COUNTRIES[COUNTRY_DESCRIPTION],COUNTRIES[COUNTRY_LABEL],"")</f>
        <v>IL</v>
      </c>
      <c r="F481" t="s">
        <v>35</v>
      </c>
      <c r="G481" t="s">
        <v>18</v>
      </c>
      <c r="H481">
        <v>48</v>
      </c>
      <c r="I481">
        <v>8</v>
      </c>
      <c r="J481">
        <v>8</v>
      </c>
      <c r="K481" s="2" t="s">
        <v>479</v>
      </c>
      <c r="L481">
        <f>_xlfn.XLOOKUP("LOADINGSPEEDDEF_"&amp;PROPERTIES[[#This Row],[LOADINGSPEED]],LOADINGSPEEDDEF[TYPE],LOADINGSPEEDDEF[SPEED])</f>
        <v>16</v>
      </c>
      <c r="M481" t="s">
        <v>21</v>
      </c>
      <c r="N481">
        <v>1</v>
      </c>
      <c r="O481" s="34">
        <f>INT(97/2)</f>
        <v>48</v>
      </c>
      <c r="P481">
        <f>1600*2</f>
        <v>3200</v>
      </c>
      <c r="Q481">
        <v>180</v>
      </c>
      <c r="R481" s="31">
        <f>115/2</f>
        <v>57.5</v>
      </c>
      <c r="S481" s="30">
        <f>IFERROR(PROPERTIES[[#This Row],[TE_STARTING_KN]]/(PROPERTIES[[#This Row],[WEIGHT]]*9.81),0)</f>
        <v>0.12211179068977235</v>
      </c>
      <c r="T481" s="30">
        <v>0.25</v>
      </c>
      <c r="U481" s="27">
        <f>ROUND(IF(IFERROR(PROPERTIES[[#This Row],[TE_COEFFICIENT_CALC]],0)=0,PROPERTIES[[#This Row],[TE_COEFFICIENT_MANUAL]],PROPERTIES[[#This Row],[TE_COEFFICIENT_CALC]]),3)</f>
        <v>0.122</v>
      </c>
      <c r="V481" s="6">
        <v>25</v>
      </c>
      <c r="W481" s="10">
        <v>48</v>
      </c>
      <c r="X481" s="10">
        <v>8</v>
      </c>
      <c r="Y481" s="11"/>
      <c r="Z481" t="s">
        <v>913</v>
      </c>
      <c r="AA481" t="s">
        <v>904</v>
      </c>
      <c r="AB481" s="2" t="s">
        <v>922</v>
      </c>
      <c r="AC481" s="10" t="s">
        <v>998</v>
      </c>
      <c r="AD481" s="10" t="s">
        <v>999</v>
      </c>
      <c r="AE481" s="11" t="str">
        <f>SUBSTITUTE(SUBSTITUTE(PROPERTIES[[#This Row],[PURCHASECOST_VALUE]], "PURCHASECOST_", ""), "_VALUE", "")</f>
        <v>DMU</v>
      </c>
      <c r="AF481" s="10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508</v>
      </c>
      <c r="B482">
        <v>1987</v>
      </c>
      <c r="C482">
        <v>1</v>
      </c>
      <c r="D482" t="s">
        <v>1800</v>
      </c>
      <c r="E482" t="str">
        <f>_xlfn.XLOOKUP(PROPERTIES[[#This Row],[COUNTRY]],COUNTRIES[COUNTRY_DESCRIPTION],COUNTRIES[COUNTRY_LABEL],"")</f>
        <v>AU</v>
      </c>
      <c r="F482" t="s">
        <v>35</v>
      </c>
      <c r="G482" t="s">
        <v>18</v>
      </c>
      <c r="H482">
        <v>46</v>
      </c>
      <c r="I482">
        <v>7</v>
      </c>
      <c r="J482">
        <v>7</v>
      </c>
      <c r="K482" s="2" t="s">
        <v>24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4">
        <v>48</v>
      </c>
      <c r="P482">
        <v>2092</v>
      </c>
      <c r="Q482">
        <v>90</v>
      </c>
      <c r="R482" s="31">
        <f>110/2</f>
        <v>55</v>
      </c>
      <c r="S482" s="30">
        <f>IFERROR(PROPERTIES[[#This Row],[TE_STARTING_KN]]/(PROPERTIES[[#This Row],[WEIGHT]]*9.81),0)</f>
        <v>0.11680258239891267</v>
      </c>
      <c r="T482" s="30">
        <v>0.22</v>
      </c>
      <c r="U482" s="27">
        <f>ROUND(IF(IFERROR(PROPERTIES[[#This Row],[TE_COEFFICIENT_CALC]],0)=0,PROPERTIES[[#This Row],[TE_COEFFICIENT_MANUAL]],PROPERTIES[[#This Row],[TE_COEFFICIENT_CALC]]),3)</f>
        <v>0.11700000000000001</v>
      </c>
      <c r="V482" s="6">
        <v>20</v>
      </c>
      <c r="W482" s="10">
        <v>53</v>
      </c>
      <c r="X482" s="10">
        <v>7</v>
      </c>
      <c r="Y482" s="11"/>
      <c r="Z482" t="s">
        <v>907</v>
      </c>
      <c r="AA482" t="s">
        <v>904</v>
      </c>
      <c r="AB482" s="2" t="s">
        <v>922</v>
      </c>
      <c r="AC482" s="10" t="s">
        <v>998</v>
      </c>
      <c r="AD482" s="10" t="s">
        <v>999</v>
      </c>
      <c r="AE482" s="11" t="str">
        <f>SUBSTITUTE(SUBSTITUTE(PROPERTIES[[#This Row],[PURCHASECOST_VALUE]], "PURCHASECOST_", ""), "_VALUE", "")</f>
        <v>DMU</v>
      </c>
      <c r="AF482" s="10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509</v>
      </c>
      <c r="B483">
        <v>1993</v>
      </c>
      <c r="C483">
        <v>1</v>
      </c>
      <c r="D483" t="s">
        <v>1800</v>
      </c>
      <c r="E483" t="str">
        <f>_xlfn.XLOOKUP(PROPERTIES[[#This Row],[COUNTRY]],COUNTRIES[COUNTRY_DESCRIPTION],COUNTRIES[COUNTRY_LABEL],"")</f>
        <v>AU</v>
      </c>
      <c r="F483" t="s">
        <v>35</v>
      </c>
      <c r="G483" t="s">
        <v>18</v>
      </c>
      <c r="H483">
        <v>38</v>
      </c>
      <c r="I483">
        <v>8</v>
      </c>
      <c r="J483">
        <v>8</v>
      </c>
      <c r="K483" s="2" t="s">
        <v>24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4">
        <v>57</v>
      </c>
      <c r="P483">
        <f>514*2</f>
        <v>1028</v>
      </c>
      <c r="Q483">
        <v>145</v>
      </c>
      <c r="R483" s="31">
        <f>125/2</f>
        <v>62.5</v>
      </c>
      <c r="S483" s="30">
        <f>IFERROR(PROPERTIES[[#This Row],[TE_STARTING_KN]]/(PROPERTIES[[#This Row],[WEIGHT]]*9.81),0)</f>
        <v>0.11177280612336139</v>
      </c>
      <c r="T483" s="30">
        <v>0.13</v>
      </c>
      <c r="U483" s="27">
        <f>ROUND(IF(IFERROR(PROPERTIES[[#This Row],[TE_COEFFICIENT_CALC]],0)=0,PROPERTIES[[#This Row],[TE_COEFFICIENT_MANUAL]],PROPERTIES[[#This Row],[TE_COEFFICIENT_CALC]]),3)</f>
        <v>0.112</v>
      </c>
      <c r="V483" s="6">
        <v>20</v>
      </c>
      <c r="W483" s="10">
        <v>66</v>
      </c>
      <c r="X483" s="10">
        <v>8</v>
      </c>
      <c r="Y483" s="11"/>
      <c r="Z483" t="s">
        <v>907</v>
      </c>
      <c r="AA483" t="s">
        <v>904</v>
      </c>
      <c r="AB483" s="2" t="s">
        <v>922</v>
      </c>
      <c r="AC483" s="10" t="s">
        <v>998</v>
      </c>
      <c r="AD483" s="10" t="s">
        <v>999</v>
      </c>
      <c r="AE483" s="11" t="str">
        <f>SUBSTITUTE(SUBSTITUTE(PROPERTIES[[#This Row],[PURCHASECOST_VALUE]], "PURCHASECOST_", ""), "_VALUE", "")</f>
        <v>DMU</v>
      </c>
      <c r="AF483" s="10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510</v>
      </c>
      <c r="B484">
        <v>2010</v>
      </c>
      <c r="C484">
        <v>1</v>
      </c>
      <c r="D484" t="s">
        <v>1900</v>
      </c>
      <c r="E484" t="str">
        <f>_xlfn.XLOOKUP(PROPERTIES[[#This Row],[COUNTRY]],COUNTRIES[COUNTRY_DESCRIPTION],COUNTRIES[COUNTRY_LABEL],"")</f>
        <v>JP</v>
      </c>
      <c r="F484" t="s">
        <v>35</v>
      </c>
      <c r="G484" t="s">
        <v>18</v>
      </c>
      <c r="H484">
        <v>56</v>
      </c>
      <c r="I484">
        <v>7</v>
      </c>
      <c r="J484">
        <v>7</v>
      </c>
      <c r="K484" s="2" t="s">
        <v>24</v>
      </c>
      <c r="L484">
        <f>_xlfn.XLOOKUP("LOADINGSPEEDDEF_"&amp;PROPERTIES[[#This Row],[LOADINGSPEED]],LOADINGSPEEDDEF[TYPE],LOADINGSPEEDDEF[SPEED])</f>
        <v>40</v>
      </c>
      <c r="M484" t="s">
        <v>21</v>
      </c>
      <c r="N484">
        <v>1</v>
      </c>
      <c r="O484" s="34">
        <v>49</v>
      </c>
      <c r="P484">
        <v>900</v>
      </c>
      <c r="Q484">
        <v>130</v>
      </c>
      <c r="R484" s="31">
        <f>110/2</f>
        <v>55</v>
      </c>
      <c r="S484" s="30">
        <f>IFERROR(PROPERTIES[[#This Row],[TE_STARTING_KN]]/(PROPERTIES[[#This Row],[WEIGHT]]*9.81),0)</f>
        <v>0.11441885622750629</v>
      </c>
      <c r="T484" s="30">
        <v>0.21</v>
      </c>
      <c r="U484" s="27">
        <f>ROUND(IF(IFERROR(PROPERTIES[[#This Row],[TE_COEFFICIENT_CALC]],0)=0,PROPERTIES[[#This Row],[TE_COEFFICIENT_MANUAL]],PROPERTIES[[#This Row],[TE_COEFFICIENT_CALC]]),3)</f>
        <v>0.114</v>
      </c>
      <c r="V484" s="6">
        <v>20</v>
      </c>
      <c r="W484" s="10">
        <v>56</v>
      </c>
      <c r="X484" s="10">
        <v>7</v>
      </c>
      <c r="Y484" s="11"/>
      <c r="Z484" t="s">
        <v>913</v>
      </c>
      <c r="AA484" t="s">
        <v>904</v>
      </c>
      <c r="AB484" s="2" t="s">
        <v>922</v>
      </c>
      <c r="AC484" s="10" t="s">
        <v>998</v>
      </c>
      <c r="AD484" s="10" t="s">
        <v>999</v>
      </c>
      <c r="AE484" s="11" t="str">
        <f>SUBSTITUTE(SUBSTITUTE(PROPERTIES[[#This Row],[PURCHASECOST_VALUE]], "PURCHASECOST_", ""), "_VALUE", "")</f>
        <v>DMU</v>
      </c>
      <c r="AF484" s="10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511</v>
      </c>
      <c r="B485">
        <v>2011</v>
      </c>
      <c r="C485">
        <v>1</v>
      </c>
      <c r="D485" t="s">
        <v>1916</v>
      </c>
      <c r="E485" t="str">
        <f>_xlfn.XLOOKUP(PROPERTIES[[#This Row],[COUNTRY]],COUNTRIES[COUNTRY_DESCRIPTION],COUNTRIES[COUNTRY_LABEL],"")</f>
        <v>LK</v>
      </c>
      <c r="F485" t="s">
        <v>35</v>
      </c>
      <c r="G485" t="s">
        <v>18</v>
      </c>
      <c r="H485">
        <v>20</v>
      </c>
      <c r="I485">
        <v>8</v>
      </c>
      <c r="J485">
        <v>8</v>
      </c>
      <c r="K485" s="2" t="s">
        <v>24</v>
      </c>
      <c r="L485">
        <f>_xlfn.XLOOKUP("LOADINGSPEEDDEF_"&amp;PROPERTIES[[#This Row],[LOADINGSPEED]],LOADINGSPEEDDEF[TYPE],LOADINGSPEEDDEF[SPEED])</f>
        <v>40</v>
      </c>
      <c r="M485" t="s">
        <v>21</v>
      </c>
      <c r="N485">
        <v>1</v>
      </c>
      <c r="O485" s="34">
        <v>20</v>
      </c>
      <c r="P485">
        <v>1360</v>
      </c>
      <c r="Q485">
        <v>110</v>
      </c>
      <c r="R485" s="31">
        <f>140/2</f>
        <v>70</v>
      </c>
      <c r="S485" s="30">
        <f>IFERROR(PROPERTIES[[#This Row],[TE_STARTING_KN]]/(PROPERTIES[[#This Row],[WEIGHT]]*9.81),0)</f>
        <v>0.3567787971457696</v>
      </c>
      <c r="T485" s="30">
        <v>0.57999999999999996</v>
      </c>
      <c r="U485" s="27">
        <f>ROUND(IF(IFERROR(PROPERTIES[[#This Row],[TE_COEFFICIENT_CALC]],0)=0,PROPERTIES[[#This Row],[TE_COEFFICIENT_MANUAL]],PROPERTIES[[#This Row],[TE_COEFFICIENT_CALC]]),3)</f>
        <v>0.35699999999999998</v>
      </c>
      <c r="V485" s="6">
        <v>20</v>
      </c>
      <c r="W485" s="10">
        <f>INT(429/6)</f>
        <v>71</v>
      </c>
      <c r="X485" s="10">
        <v>8</v>
      </c>
      <c r="Y485" s="11"/>
      <c r="Z485" t="s">
        <v>913</v>
      </c>
      <c r="AA485" t="s">
        <v>904</v>
      </c>
      <c r="AB485" s="2" t="s">
        <v>922</v>
      </c>
      <c r="AC485" s="10" t="s">
        <v>998</v>
      </c>
      <c r="AD485" s="10" t="s">
        <v>999</v>
      </c>
      <c r="AE485" s="11" t="str">
        <f>SUBSTITUTE(SUBSTITUTE(PROPERTIES[[#This Row],[PURCHASECOST_VALUE]], "PURCHASECOST_", ""), "_VALUE", "")</f>
        <v>DMU</v>
      </c>
      <c r="AF485" s="10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512</v>
      </c>
      <c r="B486">
        <v>2011</v>
      </c>
      <c r="C486">
        <v>1</v>
      </c>
      <c r="D486" t="s">
        <v>1988</v>
      </c>
      <c r="E486" t="str">
        <f>_xlfn.XLOOKUP(PROPERTIES[[#This Row],[COUNTRY]],COUNTRIES[COUNTRY_DESCRIPTION],COUNTRIES[COUNTRY_LABEL],"")</f>
        <v>SK</v>
      </c>
      <c r="F486" t="s">
        <v>35</v>
      </c>
      <c r="G486" t="s">
        <v>18</v>
      </c>
      <c r="H486" s="10">
        <f>INT(195/2)</f>
        <v>97</v>
      </c>
      <c r="I486">
        <v>8</v>
      </c>
      <c r="J486">
        <v>8</v>
      </c>
      <c r="K486" s="2" t="s">
        <v>24</v>
      </c>
      <c r="L486">
        <f>_xlfn.XLOOKUP("LOADINGSPEEDDEF_"&amp;PROPERTIES[[#This Row],[LOADINGSPEED]],LOADINGSPEEDDEF[TYPE],LOADINGSPEEDDEF[SPEED])</f>
        <v>40</v>
      </c>
      <c r="M486" t="s">
        <v>21</v>
      </c>
      <c r="N486">
        <v>1</v>
      </c>
      <c r="O486" s="34">
        <v>60</v>
      </c>
      <c r="P486">
        <v>1580</v>
      </c>
      <c r="Q486">
        <v>140</v>
      </c>
      <c r="R486" s="31">
        <f>125/2</f>
        <v>62.5</v>
      </c>
      <c r="S486" s="30">
        <f>IFERROR(PROPERTIES[[#This Row],[TE_STARTING_KN]]/(PROPERTIES[[#This Row],[WEIGHT]]*9.81),0)</f>
        <v>0.10618416581719334</v>
      </c>
      <c r="T486" s="30">
        <v>0.34</v>
      </c>
      <c r="U486" s="27">
        <f>ROUND(IF(IFERROR(PROPERTIES[[#This Row],[TE_COEFFICIENT_CALC]],0)=0,PROPERTIES[[#This Row],[TE_COEFFICIENT_MANUAL]],PROPERTIES[[#This Row],[TE_COEFFICIENT_CALC]]),3)</f>
        <v>0.106</v>
      </c>
      <c r="V486" s="6">
        <v>20</v>
      </c>
      <c r="W486" s="10">
        <f>INT(195/2)</f>
        <v>97</v>
      </c>
      <c r="X486" s="10">
        <v>7</v>
      </c>
      <c r="Y486" s="11"/>
      <c r="Z486" t="s">
        <v>911</v>
      </c>
      <c r="AA486" t="s">
        <v>904</v>
      </c>
      <c r="AB486" s="2" t="s">
        <v>922</v>
      </c>
      <c r="AC486" s="10" t="s">
        <v>998</v>
      </c>
      <c r="AD486" s="10" t="s">
        <v>999</v>
      </c>
      <c r="AE486" s="11" t="str">
        <f>SUBSTITUTE(SUBSTITUTE(PROPERTIES[[#This Row],[PURCHASECOST_VALUE]], "PURCHASECOST_", ""), "_VALUE", "")</f>
        <v>DMU</v>
      </c>
      <c r="AF486" s="10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513</v>
      </c>
      <c r="B487">
        <v>1982</v>
      </c>
      <c r="C487">
        <v>1</v>
      </c>
      <c r="D487" t="s">
        <v>1833</v>
      </c>
      <c r="E487" t="str">
        <f>_xlfn.XLOOKUP(PROPERTIES[[#This Row],[COUNTRY]],COUNTRIES[COUNTRY_DESCRIPTION],COUNTRIES[COUNTRY_LABEL],"")</f>
        <v>CL</v>
      </c>
      <c r="F487" t="s">
        <v>35</v>
      </c>
      <c r="G487" t="s">
        <v>18</v>
      </c>
      <c r="H487">
        <f>144/2</f>
        <v>72</v>
      </c>
      <c r="I487">
        <v>8</v>
      </c>
      <c r="J487">
        <v>8</v>
      </c>
      <c r="K487" s="2" t="s">
        <v>24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4">
        <v>68</v>
      </c>
      <c r="P487">
        <f>460*2</f>
        <v>920</v>
      </c>
      <c r="Q487">
        <v>120</v>
      </c>
      <c r="R487" s="31">
        <f>90/2</f>
        <v>45</v>
      </c>
      <c r="S487" s="30">
        <f>IFERROR(PROPERTIES[[#This Row],[TE_STARTING_KN]]/(PROPERTIES[[#This Row],[WEIGHT]]*9.81),0)</f>
        <v>6.745817593092282E-2</v>
      </c>
      <c r="T487" s="30">
        <v>0.13</v>
      </c>
      <c r="U487" s="27">
        <f>ROUND(IF(IFERROR(PROPERTIES[[#This Row],[TE_COEFFICIENT_CALC]],0)=0,PROPERTIES[[#This Row],[TE_COEFFICIENT_MANUAL]],PROPERTIES[[#This Row],[TE_COEFFICIENT_CALC]]),3)</f>
        <v>6.7000000000000004E-2</v>
      </c>
      <c r="V487" s="6">
        <v>40</v>
      </c>
      <c r="W487" s="10">
        <f>144/2</f>
        <v>72</v>
      </c>
      <c r="X487" s="10">
        <v>8</v>
      </c>
      <c r="Y487" s="11"/>
      <c r="Z487" t="s">
        <v>912</v>
      </c>
      <c r="AA487" t="s">
        <v>904</v>
      </c>
      <c r="AB487" s="2" t="s">
        <v>922</v>
      </c>
      <c r="AC487" s="10" t="s">
        <v>998</v>
      </c>
      <c r="AD487" s="10" t="s">
        <v>999</v>
      </c>
      <c r="AE487" s="11" t="str">
        <f>SUBSTITUTE(SUBSTITUTE(PROPERTIES[[#This Row],[PURCHASECOST_VALUE]], "PURCHASECOST_", ""), "_VALUE", "")</f>
        <v>DMU</v>
      </c>
      <c r="AF487" s="10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514</v>
      </c>
      <c r="B488">
        <v>1976</v>
      </c>
      <c r="C488">
        <v>1</v>
      </c>
      <c r="D488" t="s">
        <v>1834</v>
      </c>
      <c r="E488" t="str">
        <f>_xlfn.XLOOKUP(PROPERTIES[[#This Row],[COUNTRY]],COUNTRIES[COUNTRY_DESCRIPTION],COUNTRIES[COUNTRY_LABEL],"")</f>
        <v>CM</v>
      </c>
      <c r="F488" t="s">
        <v>35</v>
      </c>
      <c r="G488" t="s">
        <v>18</v>
      </c>
      <c r="H488">
        <v>62</v>
      </c>
      <c r="I488">
        <v>8</v>
      </c>
      <c r="J488">
        <v>8</v>
      </c>
      <c r="K488" s="2" t="s">
        <v>24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4">
        <v>38</v>
      </c>
      <c r="P488">
        <v>376</v>
      </c>
      <c r="Q488">
        <v>90</v>
      </c>
      <c r="R488" s="31">
        <f>95/2</f>
        <v>47.5</v>
      </c>
      <c r="S488" s="30">
        <f>IFERROR(PROPERTIES[[#This Row],[TE_STARTING_KN]]/(PROPERTIES[[#This Row],[WEIGHT]]*9.81),0)</f>
        <v>0.127420998980632</v>
      </c>
      <c r="T488" s="30">
        <v>0.12</v>
      </c>
      <c r="U488" s="27">
        <f>ROUND(IF(IFERROR(PROPERTIES[[#This Row],[TE_COEFFICIENT_CALC]],0)=0,PROPERTIES[[#This Row],[TE_COEFFICIENT_MANUAL]],PROPERTIES[[#This Row],[TE_COEFFICIENT_CALC]]),3)</f>
        <v>0.127</v>
      </c>
      <c r="V488" s="6">
        <v>40</v>
      </c>
      <c r="W488" s="10">
        <v>62</v>
      </c>
      <c r="X488" s="10">
        <v>8</v>
      </c>
      <c r="Y488" s="11"/>
      <c r="Z488" t="s">
        <v>908</v>
      </c>
      <c r="AA488" t="s">
        <v>904</v>
      </c>
      <c r="AB488" s="2" t="s">
        <v>922</v>
      </c>
      <c r="AC488" s="10" t="s">
        <v>998</v>
      </c>
      <c r="AD488" s="10" t="s">
        <v>999</v>
      </c>
      <c r="AE488" s="11" t="str">
        <f>SUBSTITUTE(SUBSTITUTE(PROPERTIES[[#This Row],[PURCHASECOST_VALUE]], "PURCHASECOST_", ""), "_VALUE", "")</f>
        <v>DMU</v>
      </c>
      <c r="AF488" s="10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515</v>
      </c>
      <c r="B489">
        <v>1960</v>
      </c>
      <c r="C489">
        <v>1</v>
      </c>
      <c r="D489" t="s">
        <v>1863</v>
      </c>
      <c r="E489" t="str">
        <f>_xlfn.XLOOKUP(PROPERTIES[[#This Row],[COUNTRY]],COUNTRIES[COUNTRY_DESCRIPTION],COUNTRIES[COUNTRY_LABEL],"")</f>
        <v>GB</v>
      </c>
      <c r="F489" t="s">
        <v>35</v>
      </c>
      <c r="G489" t="s">
        <v>18</v>
      </c>
      <c r="H489">
        <v>27</v>
      </c>
      <c r="I489">
        <v>7</v>
      </c>
      <c r="J489">
        <v>7</v>
      </c>
      <c r="K489" s="2" t="s">
        <v>24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4">
        <v>67</v>
      </c>
      <c r="P489">
        <v>2000</v>
      </c>
      <c r="Q489">
        <v>145</v>
      </c>
      <c r="R489" s="31">
        <f>125/2</f>
        <v>62.5</v>
      </c>
      <c r="S489" s="30">
        <f>IFERROR(PROPERTIES[[#This Row],[TE_STARTING_KN]]/(PROPERTIES[[#This Row],[WEIGHT]]*9.81),0)</f>
        <v>9.5090297746740313E-2</v>
      </c>
      <c r="T489" s="30">
        <v>0.24</v>
      </c>
      <c r="U489" s="27">
        <f>ROUND(IF(IFERROR(PROPERTIES[[#This Row],[TE_COEFFICIENT_CALC]],0)=0,PROPERTIES[[#This Row],[TE_COEFFICIENT_MANUAL]],PROPERTIES[[#This Row],[TE_COEFFICIENT_CALC]]),3)</f>
        <v>9.5000000000000001E-2</v>
      </c>
      <c r="V489" s="6">
        <v>40</v>
      </c>
      <c r="W489" s="10">
        <v>42</v>
      </c>
      <c r="X489" s="10">
        <v>7</v>
      </c>
      <c r="Y489" s="11"/>
      <c r="Z489" t="s">
        <v>909</v>
      </c>
      <c r="AA489" t="s">
        <v>904</v>
      </c>
      <c r="AB489" s="2" t="s">
        <v>922</v>
      </c>
      <c r="AC489" s="10" t="s">
        <v>998</v>
      </c>
      <c r="AD489" s="10" t="s">
        <v>999</v>
      </c>
      <c r="AE489" s="11" t="str">
        <f>SUBSTITUTE(SUBSTITUTE(PROPERTIES[[#This Row],[PURCHASECOST_VALUE]], "PURCHASECOST_", ""), "_VALUE", "")</f>
        <v>DMU</v>
      </c>
      <c r="AF489" s="10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516</v>
      </c>
      <c r="B490">
        <v>1967</v>
      </c>
      <c r="C490">
        <v>1</v>
      </c>
      <c r="D490" t="s">
        <v>1800</v>
      </c>
      <c r="E490" t="str">
        <f>_xlfn.XLOOKUP(PROPERTIES[[#This Row],[COUNTRY]],COUNTRIES[COUNTRY_DESCRIPTION],COUNTRIES[COUNTRY_LABEL],"")</f>
        <v>AU</v>
      </c>
      <c r="F490" t="s">
        <v>35</v>
      </c>
      <c r="G490" t="s">
        <v>18</v>
      </c>
      <c r="H490">
        <v>74</v>
      </c>
      <c r="I490">
        <v>8</v>
      </c>
      <c r="J490">
        <v>8</v>
      </c>
      <c r="K490" s="2" t="s">
        <v>24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4">
        <v>33</v>
      </c>
      <c r="P490">
        <v>416</v>
      </c>
      <c r="Q490">
        <v>90</v>
      </c>
      <c r="R490" s="31">
        <f>58/2</f>
        <v>29</v>
      </c>
      <c r="S490" s="30">
        <f>IFERROR(PROPERTIES[[#This Row],[TE_STARTING_KN]]/(PROPERTIES[[#This Row],[WEIGHT]]*9.81),0)</f>
        <v>8.9580823525777648E-2</v>
      </c>
      <c r="T490" s="30">
        <v>0.44</v>
      </c>
      <c r="U490" s="27">
        <f>ROUND(IF(IFERROR(PROPERTIES[[#This Row],[TE_COEFFICIENT_CALC]],0)=0,PROPERTIES[[#This Row],[TE_COEFFICIENT_MANUAL]],PROPERTIES[[#This Row],[TE_COEFFICIENT_CALC]]),3)</f>
        <v>0.09</v>
      </c>
      <c r="V490" s="6">
        <v>40</v>
      </c>
      <c r="W490" s="10">
        <v>74</v>
      </c>
      <c r="X490" s="10">
        <v>7</v>
      </c>
      <c r="Y490" s="11"/>
      <c r="Z490" t="s">
        <v>907</v>
      </c>
      <c r="AA490" t="s">
        <v>904</v>
      </c>
      <c r="AB490" s="2" t="s">
        <v>922</v>
      </c>
      <c r="AC490" s="10" t="s">
        <v>998</v>
      </c>
      <c r="AD490" s="10" t="s">
        <v>999</v>
      </c>
      <c r="AE490" s="11" t="str">
        <f>SUBSTITUTE(SUBSTITUTE(PROPERTIES[[#This Row],[PURCHASECOST_VALUE]], "PURCHASECOST_", ""), "_VALUE", "")</f>
        <v>DMU</v>
      </c>
      <c r="AF490" s="10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517</v>
      </c>
      <c r="B491">
        <v>1971</v>
      </c>
      <c r="C491">
        <v>1</v>
      </c>
      <c r="D491" t="s">
        <v>1862</v>
      </c>
      <c r="E491" t="str">
        <f>_xlfn.XLOOKUP(PROPERTIES[[#This Row],[COUNTRY]],COUNTRIES[COUNTRY_DESCRIPTION],COUNTRIES[COUNTRY_LABEL],"")</f>
        <v>FR</v>
      </c>
      <c r="F491" t="s">
        <v>35</v>
      </c>
      <c r="G491" t="s">
        <v>18</v>
      </c>
      <c r="H491">
        <v>133</v>
      </c>
      <c r="I491">
        <v>8</v>
      </c>
      <c r="J491">
        <v>8</v>
      </c>
      <c r="K491" s="2" t="s">
        <v>24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4">
        <v>31</v>
      </c>
      <c r="P491">
        <v>396</v>
      </c>
      <c r="Q491">
        <v>120</v>
      </c>
      <c r="R491" s="31">
        <f>85/2</f>
        <v>42.5</v>
      </c>
      <c r="S491" s="30">
        <f>IFERROR(PROPERTIES[[#This Row],[TE_STARTING_KN]]/(PROPERTIES[[#This Row],[WEIGHT]]*9.81),0)</f>
        <v>0.13975206339811252</v>
      </c>
      <c r="T491" s="30">
        <v>0.2</v>
      </c>
      <c r="U491" s="27">
        <f>ROUND(IF(IFERROR(PROPERTIES[[#This Row],[TE_COEFFICIENT_CALC]],0)=0,PROPERTIES[[#This Row],[TE_COEFFICIENT_MANUAL]],PROPERTIES[[#This Row],[TE_COEFFICIENT_CALC]]),3)</f>
        <v>0.14000000000000001</v>
      </c>
      <c r="V491" s="6">
        <v>40</v>
      </c>
      <c r="W491" s="10">
        <v>133</v>
      </c>
      <c r="X491" s="10">
        <v>8</v>
      </c>
      <c r="Y491" s="11"/>
      <c r="Z491" t="s">
        <v>905</v>
      </c>
      <c r="AA491" t="s">
        <v>904</v>
      </c>
      <c r="AB491" s="2" t="s">
        <v>922</v>
      </c>
      <c r="AC491" s="10" t="s">
        <v>998</v>
      </c>
      <c r="AD491" s="10" t="s">
        <v>999</v>
      </c>
      <c r="AE491" s="11" t="str">
        <f>SUBSTITUTE(SUBSTITUTE(PROPERTIES[[#This Row],[PURCHASECOST_VALUE]], "PURCHASECOST_", ""), "_VALUE", "")</f>
        <v>DMU</v>
      </c>
      <c r="AF491" s="10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518</v>
      </c>
      <c r="B492">
        <v>1972</v>
      </c>
      <c r="C492">
        <v>1</v>
      </c>
      <c r="D492" t="s">
        <v>1862</v>
      </c>
      <c r="E492" t="str">
        <f>_xlfn.XLOOKUP(PROPERTIES[[#This Row],[COUNTRY]],COUNTRIES[COUNTRY_DESCRIPTION],COUNTRIES[COUNTRY_LABEL],"")</f>
        <v>FR</v>
      </c>
      <c r="F492" t="s">
        <v>35</v>
      </c>
      <c r="G492" t="s">
        <v>18</v>
      </c>
      <c r="H492">
        <v>60</v>
      </c>
      <c r="I492">
        <v>8</v>
      </c>
      <c r="J492">
        <v>8</v>
      </c>
      <c r="K492" s="2" t="s">
        <v>24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4">
        <f>225/2</f>
        <v>112.5</v>
      </c>
      <c r="P492">
        <v>1036</v>
      </c>
      <c r="Q492">
        <v>160</v>
      </c>
      <c r="R492" s="31">
        <f>90/2</f>
        <v>45</v>
      </c>
      <c r="S492" s="30">
        <f>IFERROR(PROPERTIES[[#This Row],[TE_STARTING_KN]]/(PROPERTIES[[#This Row],[WEIGHT]]*9.81),0)</f>
        <v>4.0774719673802244E-2</v>
      </c>
      <c r="T492" s="30">
        <v>0.38</v>
      </c>
      <c r="U492" s="27">
        <f>ROUND(IF(IFERROR(PROPERTIES[[#This Row],[TE_COEFFICIENT_CALC]],0)=0,PROPERTIES[[#This Row],[TE_COEFFICIENT_MANUAL]],PROPERTIES[[#This Row],[TE_COEFFICIENT_CALC]]),3)</f>
        <v>4.1000000000000002E-2</v>
      </c>
      <c r="V492" s="6">
        <v>40</v>
      </c>
      <c r="W492" s="10">
        <f>400/5</f>
        <v>80</v>
      </c>
      <c r="X492" s="10">
        <v>8</v>
      </c>
      <c r="Y492" s="11"/>
      <c r="Z492" t="s">
        <v>905</v>
      </c>
      <c r="AA492" t="s">
        <v>904</v>
      </c>
      <c r="AB492" s="2" t="s">
        <v>922</v>
      </c>
      <c r="AC492" s="10" t="s">
        <v>998</v>
      </c>
      <c r="AD492" s="10" t="s">
        <v>999</v>
      </c>
      <c r="AE492" s="11" t="str">
        <f>SUBSTITUTE(SUBSTITUTE(PROPERTIES[[#This Row],[PURCHASECOST_VALUE]], "PURCHASECOST_", ""), "_VALUE", "")</f>
        <v>DMU</v>
      </c>
      <c r="AF492" s="10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519</v>
      </c>
      <c r="B493">
        <v>1981</v>
      </c>
      <c r="C493">
        <v>1</v>
      </c>
      <c r="D493" t="s">
        <v>1952</v>
      </c>
      <c r="E493" t="str">
        <f>_xlfn.XLOOKUP(PROPERTIES[[#This Row],[COUNTRY]],COUNTRIES[COUNTRY_DESCRIPTION],COUNTRIES[COUNTRY_LABEL],"")</f>
        <v>NL</v>
      </c>
      <c r="F493" t="s">
        <v>35</v>
      </c>
      <c r="G493" t="s">
        <v>18</v>
      </c>
      <c r="H493">
        <v>80</v>
      </c>
      <c r="I493">
        <v>8</v>
      </c>
      <c r="J493">
        <v>8</v>
      </c>
      <c r="K493" s="2" t="s">
        <v>24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4">
        <v>34</v>
      </c>
      <c r="P493">
        <v>562</v>
      </c>
      <c r="Q493">
        <v>101</v>
      </c>
      <c r="R493" s="31">
        <f>68/2</f>
        <v>34</v>
      </c>
      <c r="S493" s="30">
        <f>IFERROR(PROPERTIES[[#This Row],[TE_STARTING_KN]]/(PROPERTIES[[#This Row],[WEIGHT]]*9.81),0)</f>
        <v>0.1019367991845056</v>
      </c>
      <c r="T493" s="30">
        <v>0.3</v>
      </c>
      <c r="U493" s="27">
        <f>ROUND(IF(IFERROR(PROPERTIES[[#This Row],[TE_COEFFICIENT_CALC]],0)=0,PROPERTIES[[#This Row],[TE_COEFFICIENT_MANUAL]],PROPERTIES[[#This Row],[TE_COEFFICIENT_CALC]]),3)</f>
        <v>0.10199999999999999</v>
      </c>
      <c r="V493" s="6">
        <v>40</v>
      </c>
      <c r="W493" s="10">
        <v>80</v>
      </c>
      <c r="X493" s="10">
        <v>8</v>
      </c>
      <c r="Y493" s="11"/>
      <c r="Z493" t="s">
        <v>905</v>
      </c>
      <c r="AA493" t="s">
        <v>904</v>
      </c>
      <c r="AB493" s="2" t="s">
        <v>922</v>
      </c>
      <c r="AC493" s="10" t="s">
        <v>998</v>
      </c>
      <c r="AD493" s="10" t="s">
        <v>999</v>
      </c>
      <c r="AE493" s="11" t="str">
        <f>SUBSTITUTE(SUBSTITUTE(PROPERTIES[[#This Row],[PURCHASECOST_VALUE]], "PURCHASECOST_", ""), "_VALUE", "")</f>
        <v>DMU</v>
      </c>
      <c r="AF493" s="10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520</v>
      </c>
      <c r="B494">
        <v>1986</v>
      </c>
      <c r="C494">
        <v>1</v>
      </c>
      <c r="D494" t="s">
        <v>2036</v>
      </c>
      <c r="E494" t="str">
        <f>_xlfn.XLOOKUP(PROPERTIES[[#This Row],[COUNTRY]],COUNTRIES[COUNTRY_DESCRIPTION],COUNTRIES[COUNTRY_LABEL],"")</f>
        <v>GDR</v>
      </c>
      <c r="F494" t="s">
        <v>35</v>
      </c>
      <c r="G494" t="s">
        <v>18</v>
      </c>
      <c r="H494">
        <f>INT(136/2)</f>
        <v>68</v>
      </c>
      <c r="I494">
        <v>8</v>
      </c>
      <c r="J494">
        <v>8</v>
      </c>
      <c r="K494" s="2" t="s">
        <v>24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4">
        <v>42</v>
      </c>
      <c r="P494">
        <v>650</v>
      </c>
      <c r="Q494">
        <v>120</v>
      </c>
      <c r="R494" s="31">
        <f>95/2</f>
        <v>47.5</v>
      </c>
      <c r="S494" s="30">
        <f>IFERROR(PROPERTIES[[#This Row],[TE_STARTING_KN]]/(PROPERTIES[[#This Row],[WEIGHT]]*9.81),0)</f>
        <v>0.11528566574438133</v>
      </c>
      <c r="T494" s="30">
        <v>0.27</v>
      </c>
      <c r="U494" s="27">
        <f>ROUND(IF(IFERROR(PROPERTIES[[#This Row],[TE_COEFFICIENT_CALC]],0)=0,PROPERTIES[[#This Row],[TE_COEFFICIENT_MANUAL]],PROPERTIES[[#This Row],[TE_COEFFICIENT_CALC]]),3)</f>
        <v>0.115</v>
      </c>
      <c r="V494" s="6">
        <v>40</v>
      </c>
      <c r="W494" s="10">
        <f>INT(136/2)</f>
        <v>68</v>
      </c>
      <c r="X494" s="10">
        <v>8</v>
      </c>
      <c r="Y494" s="11"/>
      <c r="Z494" t="s">
        <v>905</v>
      </c>
      <c r="AA494" t="s">
        <v>904</v>
      </c>
      <c r="AB494" s="2" t="s">
        <v>922</v>
      </c>
      <c r="AC494" s="10" t="s">
        <v>998</v>
      </c>
      <c r="AD494" s="10" t="s">
        <v>999</v>
      </c>
      <c r="AE494" s="11" t="str">
        <f>SUBSTITUTE(SUBSTITUTE(PROPERTIES[[#This Row],[PURCHASECOST_VALUE]], "PURCHASECOST_", ""), "_VALUE", "")</f>
        <v>DMU</v>
      </c>
      <c r="AF494" s="10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521</v>
      </c>
      <c r="B495">
        <v>2007</v>
      </c>
      <c r="C495">
        <v>1</v>
      </c>
      <c r="D495" t="s">
        <v>1849</v>
      </c>
      <c r="E495" t="str">
        <f>_xlfn.XLOOKUP(PROPERTIES[[#This Row],[COUNTRY]],COUNTRIES[COUNTRY_DESCRIPTION],COUNTRIES[COUNTRY_LABEL],"")</f>
        <v>DZ</v>
      </c>
      <c r="F495" t="s">
        <v>35</v>
      </c>
      <c r="G495" t="s">
        <v>18</v>
      </c>
      <c r="H495">
        <f>INT(199/2)</f>
        <v>99</v>
      </c>
      <c r="I495">
        <v>8</v>
      </c>
      <c r="J495">
        <v>8</v>
      </c>
      <c r="K495" s="2" t="s">
        <v>24</v>
      </c>
      <c r="L495">
        <f>_xlfn.XLOOKUP("LOADINGSPEEDDEF_"&amp;PROPERTIES[[#This Row],[LOADINGSPEED]],LOADINGSPEEDDEF[TYPE],LOADINGSPEEDDEF[SPEED])</f>
        <v>40</v>
      </c>
      <c r="M495" t="s">
        <v>21</v>
      </c>
      <c r="N495">
        <v>1</v>
      </c>
      <c r="O495" s="34">
        <v>55</v>
      </c>
      <c r="P495">
        <v>1352</v>
      </c>
      <c r="Q495">
        <v>160</v>
      </c>
      <c r="R495" s="31">
        <f>140/2</f>
        <v>70</v>
      </c>
      <c r="S495" s="30">
        <f>IFERROR(PROPERTIES[[#This Row],[TE_STARTING_KN]]/(PROPERTIES[[#This Row],[WEIGHT]]*9.81),0)</f>
        <v>0.12973774441664349</v>
      </c>
      <c r="T495" s="30">
        <v>0.37</v>
      </c>
      <c r="U495" s="27">
        <f>ROUND(IF(IFERROR(PROPERTIES[[#This Row],[TE_COEFFICIENT_CALC]],0)=0,PROPERTIES[[#This Row],[TE_COEFFICIENT_MANUAL]],PROPERTIES[[#This Row],[TE_COEFFICIENT_CALC]]),3)</f>
        <v>0.13</v>
      </c>
      <c r="V495" s="6">
        <v>40</v>
      </c>
      <c r="W495" s="10">
        <f>INT(199/2)</f>
        <v>99</v>
      </c>
      <c r="X495" s="10">
        <v>8</v>
      </c>
      <c r="Y495" s="11"/>
      <c r="Z495" t="s">
        <v>908</v>
      </c>
      <c r="AA495" t="s">
        <v>904</v>
      </c>
      <c r="AB495" s="2" t="s">
        <v>922</v>
      </c>
      <c r="AC495" s="10" t="s">
        <v>998</v>
      </c>
      <c r="AD495" s="10" t="s">
        <v>999</v>
      </c>
      <c r="AE495" s="11" t="str">
        <f>SUBSTITUTE(SUBSTITUTE(PROPERTIES[[#This Row],[PURCHASECOST_VALUE]], "PURCHASECOST_", ""), "_VALUE", "")</f>
        <v>DMU</v>
      </c>
      <c r="AF495" s="10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522</v>
      </c>
      <c r="B496">
        <v>2008</v>
      </c>
      <c r="C496">
        <v>1</v>
      </c>
      <c r="D496" t="s">
        <v>2009</v>
      </c>
      <c r="E496" t="str">
        <f>_xlfn.XLOOKUP(PROPERTIES[[#This Row],[COUNTRY]],COUNTRIES[COUNTRY_DESCRIPTION],COUNTRIES[COUNTRY_LABEL],"")</f>
        <v>TN</v>
      </c>
      <c r="F496" t="s">
        <v>35</v>
      </c>
      <c r="G496" t="s">
        <v>18</v>
      </c>
      <c r="H496">
        <v>55</v>
      </c>
      <c r="I496">
        <v>8</v>
      </c>
      <c r="J496">
        <v>8</v>
      </c>
      <c r="K496" s="2" t="s">
        <v>24</v>
      </c>
      <c r="L496">
        <f>_xlfn.XLOOKUP("LOADINGSPEEDDEF_"&amp;PROPERTIES[[#This Row],[LOADINGSPEED]],LOADINGSPEEDDEF[TYPE],LOADINGSPEEDDEF[SPEED])</f>
        <v>40</v>
      </c>
      <c r="M496" t="s">
        <v>21</v>
      </c>
      <c r="N496">
        <v>1</v>
      </c>
      <c r="O496" s="34">
        <v>35</v>
      </c>
      <c r="P496">
        <v>1232</v>
      </c>
      <c r="Q496">
        <v>100</v>
      </c>
      <c r="R496" s="31">
        <f>135/2</f>
        <v>67.5</v>
      </c>
      <c r="S496" s="30">
        <f>IFERROR(PROPERTIES[[#This Row],[TE_STARTING_KN]]/(PROPERTIES[[#This Row],[WEIGHT]]*9.81),0)</f>
        <v>0.19659239842726081</v>
      </c>
      <c r="T496" s="30">
        <v>0.52</v>
      </c>
      <c r="U496" s="27">
        <f>ROUND(IF(IFERROR(PROPERTIES[[#This Row],[TE_COEFFICIENT_CALC]],0)=0,PROPERTIES[[#This Row],[TE_COEFFICIENT_MANUAL]],PROPERTIES[[#This Row],[TE_COEFFICIENT_CALC]]),3)</f>
        <v>0.19700000000000001</v>
      </c>
      <c r="V496" s="6">
        <v>40</v>
      </c>
      <c r="W496" s="10">
        <v>55</v>
      </c>
      <c r="X496" s="10">
        <v>8</v>
      </c>
      <c r="Y496" s="11"/>
      <c r="Z496" t="s">
        <v>908</v>
      </c>
      <c r="AA496" t="s">
        <v>904</v>
      </c>
      <c r="AB496" s="2" t="s">
        <v>922</v>
      </c>
      <c r="AC496" s="10" t="s">
        <v>998</v>
      </c>
      <c r="AD496" s="10" t="s">
        <v>999</v>
      </c>
      <c r="AE496" s="11" t="str">
        <f>SUBSTITUTE(SUBSTITUTE(PROPERTIES[[#This Row],[PURCHASECOST_VALUE]], "PURCHASECOST_", ""), "_VALUE", "")</f>
        <v>DMU</v>
      </c>
      <c r="AF496" s="10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523</v>
      </c>
      <c r="B497">
        <v>2009</v>
      </c>
      <c r="C497">
        <v>1</v>
      </c>
      <c r="D497" t="s">
        <v>1868</v>
      </c>
      <c r="E497" t="str">
        <f>_xlfn.XLOOKUP(PROPERTIES[[#This Row],[COUNTRY]],COUNTRIES[COUNTRY_DESCRIPTION],COUNTRIES[COUNTRY_LABEL],"")</f>
        <v>GH</v>
      </c>
      <c r="F497" t="s">
        <v>35</v>
      </c>
      <c r="G497" t="s">
        <v>18</v>
      </c>
      <c r="H497">
        <v>102</v>
      </c>
      <c r="I497">
        <v>7</v>
      </c>
      <c r="J497">
        <v>7</v>
      </c>
      <c r="K497" s="2" t="s">
        <v>24</v>
      </c>
      <c r="L497">
        <f>_xlfn.XLOOKUP("LOADINGSPEEDDEF_"&amp;PROPERTIES[[#This Row],[LOADINGSPEED]],LOADINGSPEEDDEF[TYPE],LOADINGSPEEDDEF[SPEED])</f>
        <v>40</v>
      </c>
      <c r="M497" t="s">
        <v>21</v>
      </c>
      <c r="N497">
        <v>1</v>
      </c>
      <c r="O497" s="34">
        <v>48</v>
      </c>
      <c r="P497">
        <v>1656</v>
      </c>
      <c r="Q497">
        <v>90</v>
      </c>
      <c r="R497" s="31">
        <f>145/2</f>
        <v>72.5</v>
      </c>
      <c r="S497" s="30">
        <f>IFERROR(PROPERTIES[[#This Row],[TE_STARTING_KN]]/(PROPERTIES[[#This Row],[WEIGHT]]*9.81),0)</f>
        <v>0.15396704043493034</v>
      </c>
      <c r="T497" s="30">
        <v>0.3</v>
      </c>
      <c r="U497" s="27">
        <f>ROUND(IF(IFERROR(PROPERTIES[[#This Row],[TE_COEFFICIENT_CALC]],0)=0,PROPERTIES[[#This Row],[TE_COEFFICIENT_MANUAL]],PROPERTIES[[#This Row],[TE_COEFFICIENT_CALC]]),3)</f>
        <v>0.154</v>
      </c>
      <c r="V497" s="6">
        <v>40</v>
      </c>
      <c r="W497" s="10">
        <v>102</v>
      </c>
      <c r="X497" s="10">
        <v>7</v>
      </c>
      <c r="Y497" s="11"/>
      <c r="Z497" t="s">
        <v>908</v>
      </c>
      <c r="AA497" t="s">
        <v>904</v>
      </c>
      <c r="AB497" s="2" t="s">
        <v>922</v>
      </c>
      <c r="AC497" s="10" t="s">
        <v>998</v>
      </c>
      <c r="AD497" s="10" t="s">
        <v>999</v>
      </c>
      <c r="AE497" s="11" t="str">
        <f>SUBSTITUTE(SUBSTITUTE(PROPERTIES[[#This Row],[PURCHASECOST_VALUE]], "PURCHASECOST_", ""), "_VALUE", "")</f>
        <v>DMU</v>
      </c>
      <c r="AF497" s="10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524</v>
      </c>
      <c r="B498">
        <v>2003</v>
      </c>
      <c r="C498">
        <v>1</v>
      </c>
      <c r="D498" t="s">
        <v>1800</v>
      </c>
      <c r="E498" t="str">
        <f>_xlfn.XLOOKUP(PROPERTIES[[#This Row],[COUNTRY]],COUNTRIES[COUNTRY_DESCRIPTION],COUNTRIES[COUNTRY_LABEL],"")</f>
        <v>AU</v>
      </c>
      <c r="F498" t="s">
        <v>35</v>
      </c>
      <c r="G498" t="s">
        <v>18</v>
      </c>
      <c r="H498">
        <v>0</v>
      </c>
      <c r="I498">
        <v>8</v>
      </c>
      <c r="J498">
        <v>8</v>
      </c>
      <c r="K498" s="2" t="s">
        <v>24</v>
      </c>
      <c r="L498">
        <f>_xlfn.XLOOKUP("LOADINGSPEEDDEF_"&amp;PROPERTIES[[#This Row],[LOADINGSPEED]],LOADINGSPEEDDEF[TYPE],LOADINGSPEEDDEF[SPEED])</f>
        <v>40</v>
      </c>
      <c r="M498" t="s">
        <v>21</v>
      </c>
      <c r="N498">
        <v>1</v>
      </c>
      <c r="O498" s="34">
        <v>60</v>
      </c>
      <c r="P498">
        <v>7240</v>
      </c>
      <c r="Q498">
        <v>160</v>
      </c>
      <c r="R498" s="31">
        <f>185/2</f>
        <v>92.5</v>
      </c>
      <c r="S498" s="30">
        <f>IFERROR(PROPERTIES[[#This Row],[TE_STARTING_KN]]/(PROPERTIES[[#This Row],[WEIGHT]]*9.81),0)</f>
        <v>0.15715256540944614</v>
      </c>
      <c r="T498" s="30">
        <v>0.21</v>
      </c>
      <c r="U498" s="27">
        <f>ROUND(IF(IFERROR(PROPERTIES[[#This Row],[TE_COEFFICIENT_CALC]],0)=0,PROPERTIES[[#This Row],[TE_COEFFICIENT_MANUAL]],PROPERTIES[[#This Row],[TE_COEFFICIENT_CALC]]),3)</f>
        <v>0.157</v>
      </c>
      <c r="V498" s="6">
        <v>40</v>
      </c>
      <c r="W498" s="10">
        <v>39</v>
      </c>
      <c r="X498" s="10">
        <v>8</v>
      </c>
      <c r="Y498" s="11"/>
      <c r="Z498" t="s">
        <v>907</v>
      </c>
      <c r="AA498" t="s">
        <v>904</v>
      </c>
      <c r="AB498" s="2" t="s">
        <v>922</v>
      </c>
      <c r="AC498" s="10" t="s">
        <v>998</v>
      </c>
      <c r="AD498" s="10" t="s">
        <v>999</v>
      </c>
      <c r="AE498" s="11" t="str">
        <f>SUBSTITUTE(SUBSTITUTE(PROPERTIES[[#This Row],[PURCHASECOST_VALUE]], "PURCHASECOST_", ""), "_VALUE", "")</f>
        <v>DMU</v>
      </c>
      <c r="AF498" s="10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525</v>
      </c>
      <c r="B499">
        <v>2013</v>
      </c>
      <c r="C499">
        <v>1</v>
      </c>
      <c r="D499" t="s">
        <v>1825</v>
      </c>
      <c r="E499" t="str">
        <f>_xlfn.XLOOKUP(PROPERTIES[[#This Row],[COUNTRY]],COUNTRIES[COUNTRY_DESCRIPTION],COUNTRIES[COUNTRY_LABEL],"")</f>
        <v>CA</v>
      </c>
      <c r="F499" t="s">
        <v>35</v>
      </c>
      <c r="G499" t="s">
        <v>18</v>
      </c>
      <c r="H499">
        <v>80</v>
      </c>
      <c r="I499">
        <v>8</v>
      </c>
      <c r="J499">
        <v>8</v>
      </c>
      <c r="K499" s="2" t="s">
        <v>24</v>
      </c>
      <c r="L499">
        <f>_xlfn.XLOOKUP("LOADINGSPEEDDEF_"&amp;PROPERTIES[[#This Row],[LOADINGSPEED]],LOADINGSPEEDDEF[TYPE],LOADINGSPEEDDEF[SPEED])</f>
        <v>40</v>
      </c>
      <c r="M499" t="s">
        <v>21</v>
      </c>
      <c r="N499">
        <v>1</v>
      </c>
      <c r="O499" s="34">
        <v>67.5</v>
      </c>
      <c r="P499">
        <v>1520</v>
      </c>
      <c r="Q499">
        <v>128</v>
      </c>
      <c r="R499" s="31">
        <f>130/2</f>
        <v>65</v>
      </c>
      <c r="S499" s="30">
        <f>IFERROR(PROPERTIES[[#This Row],[TE_STARTING_KN]]/(PROPERTIES[[#This Row],[WEIGHT]]*9.81),0)</f>
        <v>9.816136217767206E-2</v>
      </c>
      <c r="T499" s="30">
        <v>0.28999999999999998</v>
      </c>
      <c r="U499" s="27">
        <f>ROUND(IF(IFERROR(PROPERTIES[[#This Row],[TE_COEFFICIENT_CALC]],0)=0,PROPERTIES[[#This Row],[TE_COEFFICIENT_MANUAL]],PROPERTIES[[#This Row],[TE_COEFFICIENT_CALC]]),3)</f>
        <v>9.8000000000000004E-2</v>
      </c>
      <c r="V499" s="6">
        <v>40</v>
      </c>
      <c r="W499" s="10">
        <v>80</v>
      </c>
      <c r="X499" s="10">
        <v>8</v>
      </c>
      <c r="Y499" s="11"/>
      <c r="Z499" t="s">
        <v>910</v>
      </c>
      <c r="AA499" t="s">
        <v>904</v>
      </c>
      <c r="AB499" s="2" t="s">
        <v>922</v>
      </c>
      <c r="AC499" s="10" t="s">
        <v>998</v>
      </c>
      <c r="AD499" s="10" t="s">
        <v>999</v>
      </c>
      <c r="AE499" s="11" t="str">
        <f>SUBSTITUTE(SUBSTITUTE(PROPERTIES[[#This Row],[PURCHASECOST_VALUE]], "PURCHASECOST_", ""), "_VALUE", "")</f>
        <v>DMU</v>
      </c>
      <c r="AF499" s="10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526</v>
      </c>
      <c r="B500">
        <v>2015</v>
      </c>
      <c r="C500">
        <v>1</v>
      </c>
      <c r="D500" t="s">
        <v>1797</v>
      </c>
      <c r="E500" t="str">
        <f>_xlfn.XLOOKUP(PROPERTIES[[#This Row],[COUNTRY]],COUNTRIES[COUNTRY_DESCRIPTION],COUNTRIES[COUNTRY_LABEL],"")</f>
        <v>AR</v>
      </c>
      <c r="F500" t="s">
        <v>35</v>
      </c>
      <c r="G500" t="s">
        <v>18</v>
      </c>
      <c r="H500">
        <v>70</v>
      </c>
      <c r="I500">
        <v>8</v>
      </c>
      <c r="J500">
        <v>8</v>
      </c>
      <c r="K500" s="2" t="s">
        <v>24</v>
      </c>
      <c r="L500">
        <f>_xlfn.XLOOKUP("LOADINGSPEEDDEF_"&amp;PROPERTIES[[#This Row],[LOADINGSPEED]],LOADINGSPEEDDEF[TYPE],LOADINGSPEEDDEF[SPEED])</f>
        <v>40</v>
      </c>
      <c r="M500" t="s">
        <v>21</v>
      </c>
      <c r="N500">
        <v>1</v>
      </c>
      <c r="O500" s="34">
        <v>48</v>
      </c>
      <c r="P500">
        <v>800</v>
      </c>
      <c r="Q500">
        <v>120</v>
      </c>
      <c r="R500" s="31">
        <f>85/2</f>
        <v>42.5</v>
      </c>
      <c r="S500" s="30">
        <f>IFERROR(PROPERTIES[[#This Row],[TE_STARTING_KN]]/(PROPERTIES[[#This Row],[WEIGHT]]*9.81),0)</f>
        <v>9.0256540944614341E-2</v>
      </c>
      <c r="T500" s="30">
        <v>0.39</v>
      </c>
      <c r="U500" s="27">
        <f>ROUND(IF(IFERROR(PROPERTIES[[#This Row],[TE_COEFFICIENT_CALC]],0)=0,PROPERTIES[[#This Row],[TE_COEFFICIENT_MANUAL]],PROPERTIES[[#This Row],[TE_COEFFICIENT_CALC]]),3)</f>
        <v>0.09</v>
      </c>
      <c r="V500" s="6">
        <v>40</v>
      </c>
      <c r="W500" s="10">
        <v>70</v>
      </c>
      <c r="X500" s="10">
        <v>8</v>
      </c>
      <c r="Y500" s="11"/>
      <c r="Z500" t="s">
        <v>912</v>
      </c>
      <c r="AA500" t="s">
        <v>904</v>
      </c>
      <c r="AB500" s="2" t="s">
        <v>922</v>
      </c>
      <c r="AC500" s="10" t="s">
        <v>998</v>
      </c>
      <c r="AD500" s="10" t="s">
        <v>999</v>
      </c>
      <c r="AE500" s="11" t="str">
        <f>SUBSTITUTE(SUBSTITUTE(PROPERTIES[[#This Row],[PURCHASECOST_VALUE]], "PURCHASECOST_", ""), "_VALUE", "")</f>
        <v>DMU</v>
      </c>
      <c r="AF500" s="10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527</v>
      </c>
      <c r="B501">
        <v>1955</v>
      </c>
      <c r="C501">
        <v>1</v>
      </c>
      <c r="D501" t="s">
        <v>1896</v>
      </c>
      <c r="E501" t="str">
        <f>_xlfn.XLOOKUP(PROPERTIES[[#This Row],[COUNTRY]],COUNTRIES[COUNTRY_DESCRIPTION],COUNTRIES[COUNTRY_LABEL],"")</f>
        <v>IT</v>
      </c>
      <c r="F501" t="s">
        <v>35</v>
      </c>
      <c r="G501" t="s">
        <v>18</v>
      </c>
      <c r="H501">
        <v>60</v>
      </c>
      <c r="I501">
        <v>8</v>
      </c>
      <c r="J501">
        <v>8</v>
      </c>
      <c r="K501" s="2" t="s">
        <v>24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4">
        <v>52</v>
      </c>
      <c r="P501">
        <v>1250</v>
      </c>
      <c r="Q501">
        <v>140</v>
      </c>
      <c r="R501" s="31">
        <f>98/2</f>
        <v>49</v>
      </c>
      <c r="S501" s="30">
        <f>IFERROR(PROPERTIES[[#This Row],[TE_STARTING_KN]]/(PROPERTIES[[#This Row],[WEIGHT]]*9.81),0)</f>
        <v>9.6055830000784131E-2</v>
      </c>
      <c r="T501" s="30">
        <v>0.13</v>
      </c>
      <c r="U501" s="27">
        <f>ROUND(IF(IFERROR(PROPERTIES[[#This Row],[TE_COEFFICIENT_CALC]],0)=0,PROPERTIES[[#This Row],[TE_COEFFICIENT_MANUAL]],PROPERTIES[[#This Row],[TE_COEFFICIENT_CALC]]),3)</f>
        <v>9.6000000000000002E-2</v>
      </c>
      <c r="V501" s="6">
        <v>40</v>
      </c>
      <c r="W501" s="10">
        <v>60</v>
      </c>
      <c r="X501" s="10">
        <v>8</v>
      </c>
      <c r="Y501" s="11"/>
      <c r="Z501" t="s">
        <v>906</v>
      </c>
      <c r="AA501" t="s">
        <v>904</v>
      </c>
      <c r="AB501" s="2" t="s">
        <v>922</v>
      </c>
      <c r="AC501" s="10" t="s">
        <v>998</v>
      </c>
      <c r="AD501" s="10" t="s">
        <v>999</v>
      </c>
      <c r="AE501" s="11" t="str">
        <f>SUBSTITUTE(SUBSTITUTE(PROPERTIES[[#This Row],[PURCHASECOST_VALUE]], "PURCHASECOST_", ""), "_VALUE", "")</f>
        <v>DMU</v>
      </c>
      <c r="AF501" s="10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528</v>
      </c>
      <c r="B502">
        <v>1965</v>
      </c>
      <c r="C502">
        <v>1</v>
      </c>
      <c r="D502" t="s">
        <v>1970</v>
      </c>
      <c r="E502" t="str">
        <f>_xlfn.XLOOKUP(PROPERTIES[[#This Row],[COUNTRY]],COUNTRIES[COUNTRY_DESCRIPTION],COUNTRIES[COUNTRY_LABEL],"")</f>
        <v>PT</v>
      </c>
      <c r="F502" t="s">
        <v>35</v>
      </c>
      <c r="G502" t="s">
        <v>18</v>
      </c>
      <c r="H502">
        <f>INT(185/2)</f>
        <v>92</v>
      </c>
      <c r="I502">
        <v>8</v>
      </c>
      <c r="J502">
        <v>8</v>
      </c>
      <c r="K502" s="2" t="s">
        <v>24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4">
        <v>49</v>
      </c>
      <c r="P502">
        <f>520*2</f>
        <v>1040</v>
      </c>
      <c r="Q502">
        <v>110</v>
      </c>
      <c r="R502" s="31">
        <f>66/2</f>
        <v>33</v>
      </c>
      <c r="S502" s="30">
        <f>IFERROR(PROPERTIES[[#This Row],[TE_STARTING_KN]]/(PROPERTIES[[#This Row],[WEIGHT]]*9.81),0)</f>
        <v>6.865131373650378E-2</v>
      </c>
      <c r="T502" s="30">
        <v>0.13</v>
      </c>
      <c r="U502" s="27">
        <f>ROUND(IF(IFERROR(PROPERTIES[[#This Row],[TE_COEFFICIENT_CALC]],0)=0,PROPERTIES[[#This Row],[TE_COEFFICIENT_MANUAL]],PROPERTIES[[#This Row],[TE_COEFFICIENT_CALC]]),3)</f>
        <v>6.9000000000000006E-2</v>
      </c>
      <c r="V502" s="6">
        <v>40</v>
      </c>
      <c r="W502">
        <f>INT(185/2)</f>
        <v>92</v>
      </c>
      <c r="X502" s="10">
        <v>8</v>
      </c>
      <c r="Y502" s="11"/>
      <c r="Z502" t="s">
        <v>906</v>
      </c>
      <c r="AA502" t="s">
        <v>904</v>
      </c>
      <c r="AB502" s="2" t="s">
        <v>922</v>
      </c>
      <c r="AC502" s="10" t="s">
        <v>998</v>
      </c>
      <c r="AD502" s="10" t="s">
        <v>999</v>
      </c>
      <c r="AE502" s="11" t="str">
        <f>SUBSTITUTE(SUBSTITUTE(PROPERTIES[[#This Row],[PURCHASECOST_VALUE]], "PURCHASECOST_", ""), "_VALUE", "")</f>
        <v>DMU</v>
      </c>
      <c r="AF502" s="10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529</v>
      </c>
      <c r="B503">
        <v>1979</v>
      </c>
      <c r="C503">
        <v>1</v>
      </c>
      <c r="D503" t="s">
        <v>1970</v>
      </c>
      <c r="E503" t="str">
        <f>_xlfn.XLOOKUP(PROPERTIES[[#This Row],[COUNTRY]],COUNTRIES[COUNTRY_DESCRIPTION],COUNTRIES[COUNTRY_LABEL],"")</f>
        <v>PT</v>
      </c>
      <c r="F503" t="s">
        <v>35</v>
      </c>
      <c r="G503" t="s">
        <v>18</v>
      </c>
      <c r="H503">
        <f>INT(194/2)</f>
        <v>97</v>
      </c>
      <c r="I503">
        <v>8</v>
      </c>
      <c r="J503">
        <v>8</v>
      </c>
      <c r="K503" s="2" t="s">
        <v>24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4">
        <v>53</v>
      </c>
      <c r="P503">
        <f>776*2</f>
        <v>1552</v>
      </c>
      <c r="Q503">
        <v>120</v>
      </c>
      <c r="R503" s="31">
        <f>114/2</f>
        <v>57</v>
      </c>
      <c r="S503" s="30">
        <f>IFERROR(PROPERTIES[[#This Row],[TE_STARTING_KN]]/(PROPERTIES[[#This Row],[WEIGHT]]*9.81),0)</f>
        <v>0.10963014251918526</v>
      </c>
      <c r="T503" s="30">
        <v>0.21</v>
      </c>
      <c r="U503" s="27">
        <f>ROUND(IF(IFERROR(PROPERTIES[[#This Row],[TE_COEFFICIENT_CALC]],0)=0,PROPERTIES[[#This Row],[TE_COEFFICIENT_MANUAL]],PROPERTIES[[#This Row],[TE_COEFFICIENT_CALC]]),3)</f>
        <v>0.11</v>
      </c>
      <c r="V503" s="6">
        <v>40</v>
      </c>
      <c r="W503" s="10">
        <f>INT(194/2)</f>
        <v>97</v>
      </c>
      <c r="X503" s="10">
        <v>8</v>
      </c>
      <c r="Y503" s="11"/>
      <c r="Z503" t="s">
        <v>906</v>
      </c>
      <c r="AA503" t="s">
        <v>904</v>
      </c>
      <c r="AB503" s="2" t="s">
        <v>922</v>
      </c>
      <c r="AC503" s="10" t="s">
        <v>998</v>
      </c>
      <c r="AD503" s="10" t="s">
        <v>999</v>
      </c>
      <c r="AE503" s="11" t="str">
        <f>SUBSTITUTE(SUBSTITUTE(PROPERTIES[[#This Row],[PURCHASECOST_VALUE]], "PURCHASECOST_", ""), "_VALUE", "")</f>
        <v>DMU</v>
      </c>
      <c r="AF503" s="10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530</v>
      </c>
      <c r="B504">
        <v>1983</v>
      </c>
      <c r="C504">
        <v>1</v>
      </c>
      <c r="D504" t="s">
        <v>1855</v>
      </c>
      <c r="E504" t="str">
        <f>_xlfn.XLOOKUP(PROPERTIES[[#This Row],[COUNTRY]],COUNTRIES[COUNTRY_DESCRIPTION],COUNTRIES[COUNTRY_LABEL],"")</f>
        <v>ES</v>
      </c>
      <c r="F504" t="s">
        <v>35</v>
      </c>
      <c r="G504" t="s">
        <v>18</v>
      </c>
      <c r="H504">
        <f>INT(350/3)</f>
        <v>116</v>
      </c>
      <c r="I504">
        <v>7</v>
      </c>
      <c r="J504">
        <v>7</v>
      </c>
      <c r="K504" s="2" t="s">
        <v>24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4">
        <v>44</v>
      </c>
      <c r="P504">
        <v>720</v>
      </c>
      <c r="Q504">
        <v>100</v>
      </c>
      <c r="R504" s="31">
        <v>0</v>
      </c>
      <c r="S504" s="30">
        <f>IFERROR(PROPERTIES[[#This Row],[TE_STARTING_KN]]/(PROPERTIES[[#This Row],[WEIGHT]]*9.81),0)</f>
        <v>0</v>
      </c>
      <c r="T504" s="30">
        <v>0.2</v>
      </c>
      <c r="U504" s="27">
        <f>ROUND(IF(IFERROR(PROPERTIES[[#This Row],[TE_COEFFICIENT_CALC]],0)=0,PROPERTIES[[#This Row],[TE_COEFFICIENT_MANUAL]],PROPERTIES[[#This Row],[TE_COEFFICIENT_CALC]]),3)</f>
        <v>0.2</v>
      </c>
      <c r="V504" s="6">
        <v>40</v>
      </c>
      <c r="W504" s="10">
        <f>INT(350/3)</f>
        <v>116</v>
      </c>
      <c r="X504" s="10">
        <v>7</v>
      </c>
      <c r="Y504" s="11"/>
      <c r="Z504" t="s">
        <v>906</v>
      </c>
      <c r="AA504" t="s">
        <v>904</v>
      </c>
      <c r="AB504" s="2" t="s">
        <v>922</v>
      </c>
      <c r="AC504" s="10" t="s">
        <v>998</v>
      </c>
      <c r="AD504" s="10" t="s">
        <v>999</v>
      </c>
      <c r="AE504" s="11" t="str">
        <f>SUBSTITUTE(SUBSTITUTE(PROPERTIES[[#This Row],[PURCHASECOST_VALUE]], "PURCHASECOST_", ""), "_VALUE", "")</f>
        <v>DMU</v>
      </c>
      <c r="AF504" s="10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531</v>
      </c>
      <c r="B505">
        <v>1996</v>
      </c>
      <c r="C505">
        <v>1</v>
      </c>
      <c r="D505" t="s">
        <v>1844</v>
      </c>
      <c r="E505" t="str">
        <f>_xlfn.XLOOKUP(PROPERTIES[[#This Row],[COUNTRY]],COUNTRIES[COUNTRY_DESCRIPTION],COUNTRIES[COUNTRY_LABEL],"")</f>
        <v>DE</v>
      </c>
      <c r="F505" t="s">
        <v>35</v>
      </c>
      <c r="G505" t="s">
        <v>532</v>
      </c>
      <c r="H505">
        <v>40</v>
      </c>
      <c r="I505">
        <v>8</v>
      </c>
      <c r="J505">
        <v>8</v>
      </c>
      <c r="K505" s="2" t="s">
        <v>33</v>
      </c>
      <c r="L505">
        <f>_xlfn.XLOOKUP("LOADINGSPEEDDEF_"&amp;PROPERTIES[[#This Row],[LOADINGSPEED]],LOADINGSPEEDDEF[TYPE],LOADINGSPEEDDEF[SPEED])</f>
        <v>20</v>
      </c>
      <c r="M505" t="s">
        <v>21</v>
      </c>
      <c r="N505">
        <v>0</v>
      </c>
      <c r="O505" s="34">
        <f>111/2</f>
        <v>55.5</v>
      </c>
      <c r="P505">
        <f>355*2</f>
        <v>710</v>
      </c>
      <c r="Q505">
        <v>120</v>
      </c>
      <c r="R505" s="31">
        <v>0</v>
      </c>
      <c r="S505" s="30">
        <f>IFERROR(PROPERTIES[[#This Row],[TE_STARTING_KN]]/(PROPERTIES[[#This Row],[WEIGHT]]*9.81),0)</f>
        <v>0</v>
      </c>
      <c r="T505" s="30">
        <v>0.17</v>
      </c>
      <c r="U505" s="27">
        <f>ROUND(IF(IFERROR(PROPERTIES[[#This Row],[TE_COEFFICIENT_CALC]],0)=0,PROPERTIES[[#This Row],[TE_COEFFICIENT_MANUAL]],PROPERTIES[[#This Row],[TE_COEFFICIENT_CALC]]),3)</f>
        <v>0.17</v>
      </c>
      <c r="V505" s="6">
        <v>25</v>
      </c>
      <c r="W505" s="10">
        <v>40</v>
      </c>
      <c r="X505" s="10">
        <v>7</v>
      </c>
      <c r="Y505" s="11"/>
      <c r="Z505" t="s">
        <v>905</v>
      </c>
      <c r="AA505" t="s">
        <v>904</v>
      </c>
      <c r="AB505" s="2" t="s">
        <v>922</v>
      </c>
      <c r="AC505" s="10" t="s">
        <v>998</v>
      </c>
      <c r="AD505" s="10" t="s">
        <v>999</v>
      </c>
      <c r="AE505" s="11" t="str">
        <f>SUBSTITUTE(SUBSTITUTE(PROPERTIES[[#This Row],[PURCHASECOST_VALUE]], "PURCHASECOST_", ""), "_VALUE", "")</f>
        <v>DMU</v>
      </c>
      <c r="AF505" s="10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533</v>
      </c>
      <c r="B506">
        <v>2011</v>
      </c>
      <c r="C506">
        <v>1</v>
      </c>
      <c r="D506" t="s">
        <v>1800</v>
      </c>
      <c r="E506" t="str">
        <f>_xlfn.XLOOKUP(PROPERTIES[[#This Row],[COUNTRY]],COUNTRIES[COUNTRY_DESCRIPTION],COUNTRIES[COUNTRY_LABEL],"")</f>
        <v>AU</v>
      </c>
      <c r="F506" t="s">
        <v>74</v>
      </c>
      <c r="G506" t="s">
        <v>18</v>
      </c>
      <c r="H506">
        <v>110</v>
      </c>
      <c r="I506">
        <v>8</v>
      </c>
      <c r="J506">
        <v>8</v>
      </c>
      <c r="K506" s="2" t="s">
        <v>24</v>
      </c>
      <c r="L506">
        <f>_xlfn.XLOOKUP("LOADINGSPEEDDEF_"&amp;PROPERTIES[[#This Row],[LOADINGSPEED]],LOADINGSPEEDDEF[TYPE],LOADINGSPEEDDEF[SPEED])</f>
        <v>40</v>
      </c>
      <c r="M506" t="s">
        <v>21</v>
      </c>
      <c r="N506">
        <v>1</v>
      </c>
      <c r="O506" s="34">
        <v>51</v>
      </c>
      <c r="P506">
        <f>INT(16*245)</f>
        <v>3920</v>
      </c>
      <c r="Q506">
        <v>130</v>
      </c>
      <c r="R506" s="31">
        <f>110/2</f>
        <v>55</v>
      </c>
      <c r="S506" s="30">
        <f>IFERROR(PROPERTIES[[#This Row],[TE_STARTING_KN]]/(PROPERTIES[[#This Row],[WEIGHT]]*9.81),0)</f>
        <v>0.10993184225780016</v>
      </c>
      <c r="T506" s="30">
        <v>0.25</v>
      </c>
      <c r="U506" s="27">
        <f>ROUND(IF(IFERROR(PROPERTIES[[#This Row],[TE_COEFFICIENT_CALC]],0)=0,PROPERTIES[[#This Row],[TE_COEFFICIENT_MANUAL]],PROPERTIES[[#This Row],[TE_COEFFICIENT_CALC]]),3)</f>
        <v>0.11</v>
      </c>
      <c r="V506" s="6">
        <v>25</v>
      </c>
      <c r="W506" s="10">
        <v>110</v>
      </c>
      <c r="X506" s="10">
        <v>8</v>
      </c>
      <c r="Y506" s="11"/>
      <c r="Z506" t="s">
        <v>907</v>
      </c>
      <c r="AA506" t="s">
        <v>904</v>
      </c>
      <c r="AB506" s="2" t="s">
        <v>922</v>
      </c>
      <c r="AC506" s="10" t="s">
        <v>1000</v>
      </c>
      <c r="AD506" s="10" t="s">
        <v>1001</v>
      </c>
      <c r="AE506" s="11" t="str">
        <f>SUBSTITUTE(SUBSTITUTE(PROPERTIES[[#This Row],[PURCHASECOST_VALUE]], "PURCHASECOST_", ""), "_VALUE", "")</f>
        <v>EMU</v>
      </c>
      <c r="AF506" s="10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534</v>
      </c>
      <c r="B507">
        <v>1966</v>
      </c>
      <c r="C507">
        <v>1</v>
      </c>
      <c r="D507" t="s">
        <v>1846</v>
      </c>
      <c r="E507" t="str">
        <f>_xlfn.XLOOKUP(PROPERTIES[[#This Row],[COUNTRY]],COUNTRIES[COUNTRY_DESCRIPTION],COUNTRIES[COUNTRY_LABEL],"")</f>
        <v>DK</v>
      </c>
      <c r="F507" t="s">
        <v>74</v>
      </c>
      <c r="G507" t="s">
        <v>18</v>
      </c>
      <c r="H507">
        <v>56</v>
      </c>
      <c r="I507">
        <v>8</v>
      </c>
      <c r="J507">
        <v>8</v>
      </c>
      <c r="K507" s="2" t="s">
        <v>24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4">
        <v>43</v>
      </c>
      <c r="P507">
        <v>400</v>
      </c>
      <c r="Q507">
        <v>100</v>
      </c>
      <c r="R507" s="31">
        <f>60/2</f>
        <v>30</v>
      </c>
      <c r="S507" s="30">
        <f>IFERROR(PROPERTIES[[#This Row],[TE_STARTING_KN]]/(PROPERTIES[[#This Row],[WEIGHT]]*9.81),0)</f>
        <v>7.1118697105469017E-2</v>
      </c>
      <c r="T507" s="30">
        <v>0.14000000000000001</v>
      </c>
      <c r="U507" s="27">
        <f>ROUND(IF(IFERROR(PROPERTIES[[#This Row],[TE_COEFFICIENT_CALC]],0)=0,PROPERTIES[[#This Row],[TE_COEFFICIENT_MANUAL]],PROPERTIES[[#This Row],[TE_COEFFICIENT_CALC]]),3)</f>
        <v>7.0999999999999994E-2</v>
      </c>
      <c r="V507" s="6">
        <v>25</v>
      </c>
      <c r="W507" s="10">
        <v>56</v>
      </c>
      <c r="X507" s="10">
        <v>8</v>
      </c>
      <c r="Y507" s="11"/>
      <c r="Z507" t="s">
        <v>909</v>
      </c>
      <c r="AA507" t="s">
        <v>904</v>
      </c>
      <c r="AB507" s="2" t="s">
        <v>922</v>
      </c>
      <c r="AC507" s="10" t="s">
        <v>1000</v>
      </c>
      <c r="AD507" s="10" t="s">
        <v>1001</v>
      </c>
      <c r="AE507" s="11" t="str">
        <f>SUBSTITUTE(SUBSTITUTE(PROPERTIES[[#This Row],[PURCHASECOST_VALUE]], "PURCHASECOST_", ""), "_VALUE", "")</f>
        <v>EMU</v>
      </c>
      <c r="AF507" s="10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535</v>
      </c>
      <c r="B508">
        <v>1996</v>
      </c>
      <c r="C508">
        <v>1</v>
      </c>
      <c r="D508" t="s">
        <v>1846</v>
      </c>
      <c r="E508" t="str">
        <f>_xlfn.XLOOKUP(PROPERTIES[[#This Row],[COUNTRY]],COUNTRIES[COUNTRY_DESCRIPTION],COUNTRIES[COUNTRY_LABEL],"")</f>
        <v>DK</v>
      </c>
      <c r="F508" t="s">
        <v>74</v>
      </c>
      <c r="G508" t="s">
        <v>18</v>
      </c>
      <c r="H508">
        <v>90</v>
      </c>
      <c r="I508">
        <v>5</v>
      </c>
      <c r="J508">
        <v>5</v>
      </c>
      <c r="K508" s="2" t="s">
        <v>24</v>
      </c>
      <c r="L508">
        <f>_xlfn.XLOOKUP("LOADINGSPEEDDEF_"&amp;PROPERTIES[[#This Row],[LOADINGSPEED]],LOADINGSPEEDDEF[TYPE],LOADINGSPEEDDEF[SPEED])</f>
        <v>40</v>
      </c>
      <c r="M508" t="s">
        <v>21</v>
      </c>
      <c r="N508">
        <v>1</v>
      </c>
      <c r="O508" s="34">
        <f>63/2</f>
        <v>31.5</v>
      </c>
      <c r="P508">
        <v>1150</v>
      </c>
      <c r="Q508">
        <v>120</v>
      </c>
      <c r="R508" s="31">
        <f>75/2</f>
        <v>37.5</v>
      </c>
      <c r="S508" s="30">
        <f>IFERROR(PROPERTIES[[#This Row],[TE_STARTING_KN]]/(PROPERTIES[[#This Row],[WEIGHT]]*9.81),0)</f>
        <v>0.12135333236250666</v>
      </c>
      <c r="T508" s="30">
        <v>0.47</v>
      </c>
      <c r="U508" s="27">
        <f>ROUND(IF(IFERROR(PROPERTIES[[#This Row],[TE_COEFFICIENT_CALC]],0)=0,PROPERTIES[[#This Row],[TE_COEFFICIENT_MANUAL]],PROPERTIES[[#This Row],[TE_COEFFICIENT_CALC]]),3)</f>
        <v>0.121</v>
      </c>
      <c r="V508" s="6">
        <v>25</v>
      </c>
      <c r="W508" s="10">
        <v>90</v>
      </c>
      <c r="X508" s="10">
        <v>5</v>
      </c>
      <c r="Y508" s="11"/>
      <c r="Z508" t="s">
        <v>909</v>
      </c>
      <c r="AA508" t="s">
        <v>904</v>
      </c>
      <c r="AB508" s="2" t="s">
        <v>922</v>
      </c>
      <c r="AC508" s="10" t="s">
        <v>1000</v>
      </c>
      <c r="AD508" s="10" t="s">
        <v>1001</v>
      </c>
      <c r="AE508" s="11" t="str">
        <f>SUBSTITUTE(SUBSTITUTE(PROPERTIES[[#This Row],[PURCHASECOST_VALUE]], "PURCHASECOST_", ""), "_VALUE", "")</f>
        <v>EMU</v>
      </c>
      <c r="AF508" s="10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536</v>
      </c>
      <c r="B509">
        <v>1932</v>
      </c>
      <c r="C509">
        <v>1</v>
      </c>
      <c r="D509" t="s">
        <v>1896</v>
      </c>
      <c r="E509" t="str">
        <f>_xlfn.XLOOKUP(PROPERTIES[[#This Row],[COUNTRY]],COUNTRIES[COUNTRY_DESCRIPTION],COUNTRIES[COUNTRY_LABEL],"")</f>
        <v>IT</v>
      </c>
      <c r="F509" t="s">
        <v>74</v>
      </c>
      <c r="G509" t="s">
        <v>18</v>
      </c>
      <c r="H509">
        <v>34</v>
      </c>
      <c r="I509">
        <v>8</v>
      </c>
      <c r="J509">
        <v>8</v>
      </c>
      <c r="K509" s="2" t="s">
        <v>24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4">
        <f>74/2</f>
        <v>37</v>
      </c>
      <c r="P509">
        <v>650</v>
      </c>
      <c r="Q509">
        <v>72</v>
      </c>
      <c r="R509" s="31">
        <f>60/2</f>
        <v>30</v>
      </c>
      <c r="S509" s="30">
        <f>IFERROR(PROPERTIES[[#This Row],[TE_STARTING_KN]]/(PROPERTIES[[#This Row],[WEIGHT]]*9.81),0)</f>
        <v>8.2651458798247784E-2</v>
      </c>
      <c r="T509" s="30">
        <v>0.34</v>
      </c>
      <c r="U509" s="27">
        <f>ROUND(IF(IFERROR(PROPERTIES[[#This Row],[TE_COEFFICIENT_CALC]],0)=0,PROPERTIES[[#This Row],[TE_COEFFICIENT_MANUAL]],PROPERTIES[[#This Row],[TE_COEFFICIENT_CALC]]),3)</f>
        <v>8.3000000000000004E-2</v>
      </c>
      <c r="V509" s="6">
        <v>25</v>
      </c>
      <c r="W509" s="10">
        <v>50</v>
      </c>
      <c r="X509" s="10">
        <v>8</v>
      </c>
      <c r="Y509" s="11"/>
      <c r="Z509" t="s">
        <v>906</v>
      </c>
      <c r="AA509" t="s">
        <v>904</v>
      </c>
      <c r="AB509" s="2" t="s">
        <v>922</v>
      </c>
      <c r="AC509" s="10" t="s">
        <v>1000</v>
      </c>
      <c r="AD509" s="10" t="s">
        <v>1001</v>
      </c>
      <c r="AE509" s="11" t="str">
        <f>SUBSTITUTE(SUBSTITUTE(PROPERTIES[[#This Row],[PURCHASECOST_VALUE]], "PURCHASECOST_", ""), "_VALUE", "")</f>
        <v>EMU</v>
      </c>
      <c r="AF509" s="10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537</v>
      </c>
      <c r="B510">
        <v>1924</v>
      </c>
      <c r="C510">
        <v>1</v>
      </c>
      <c r="D510" t="s">
        <v>1952</v>
      </c>
      <c r="E510" t="str">
        <f>_xlfn.XLOOKUP(PROPERTIES[[#This Row],[COUNTRY]],COUNTRIES[COUNTRY_DESCRIPTION],COUNTRIES[COUNTRY_LABEL],"")</f>
        <v>NL</v>
      </c>
      <c r="F510" t="s">
        <v>74</v>
      </c>
      <c r="G510" t="s">
        <v>18</v>
      </c>
      <c r="H510">
        <v>44</v>
      </c>
      <c r="I510">
        <v>8</v>
      </c>
      <c r="J510">
        <v>8</v>
      </c>
      <c r="K510" s="2" t="s">
        <v>24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4">
        <v>55</v>
      </c>
      <c r="P510">
        <v>888</v>
      </c>
      <c r="Q510">
        <v>100</v>
      </c>
      <c r="R510" s="31">
        <f>120/2</f>
        <v>60</v>
      </c>
      <c r="S510" s="30">
        <f>IFERROR(PROPERTIES[[#This Row],[TE_STARTING_KN]]/(PROPERTIES[[#This Row],[WEIGHT]]*9.81),0)</f>
        <v>0.11120378092855156</v>
      </c>
      <c r="T510" s="30">
        <v>0.41</v>
      </c>
      <c r="U510" s="27">
        <f>ROUND(IF(IFERROR(PROPERTIES[[#This Row],[TE_COEFFICIENT_CALC]],0)=0,PROPERTIES[[#This Row],[TE_COEFFICIENT_MANUAL]],PROPERTIES[[#This Row],[TE_COEFFICIENT_CALC]]),3)</f>
        <v>0.111</v>
      </c>
      <c r="V510" s="6">
        <v>25</v>
      </c>
      <c r="W510" s="10">
        <v>88</v>
      </c>
      <c r="X510" s="10">
        <v>8</v>
      </c>
      <c r="Y510" s="11"/>
      <c r="Z510" t="s">
        <v>905</v>
      </c>
      <c r="AA510" t="s">
        <v>904</v>
      </c>
      <c r="AB510" s="2" t="s">
        <v>922</v>
      </c>
      <c r="AC510" s="10" t="s">
        <v>1000</v>
      </c>
      <c r="AD510" s="10" t="s">
        <v>1001</v>
      </c>
      <c r="AE510" s="11" t="str">
        <f>SUBSTITUTE(SUBSTITUTE(PROPERTIES[[#This Row],[PURCHASECOST_VALUE]], "PURCHASECOST_", ""), "_VALUE", "")</f>
        <v>EMU</v>
      </c>
      <c r="AF510" s="10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538</v>
      </c>
      <c r="B511">
        <v>1936</v>
      </c>
      <c r="C511">
        <v>1</v>
      </c>
      <c r="D511" t="s">
        <v>1952</v>
      </c>
      <c r="E511" t="str">
        <f>_xlfn.XLOOKUP(PROPERTIES[[#This Row],[COUNTRY]],COUNTRIES[COUNTRY_DESCRIPTION],COUNTRIES[COUNTRY_LABEL],"")</f>
        <v>NL</v>
      </c>
      <c r="F511" t="s">
        <v>74</v>
      </c>
      <c r="G511" t="s">
        <v>18</v>
      </c>
      <c r="H511">
        <f>144/2</f>
        <v>72</v>
      </c>
      <c r="I511">
        <v>8</v>
      </c>
      <c r="J511">
        <v>8</v>
      </c>
      <c r="K511" s="2" t="s">
        <v>24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4">
        <f>85/2</f>
        <v>42.5</v>
      </c>
      <c r="P511">
        <v>1032</v>
      </c>
      <c r="Q511">
        <v>125</v>
      </c>
      <c r="R511" s="31">
        <f>85/2</f>
        <v>42.5</v>
      </c>
      <c r="S511" s="30">
        <f>IFERROR(PROPERTIES[[#This Row],[TE_STARTING_KN]]/(PROPERTIES[[#This Row],[WEIGHT]]*9.81),0)</f>
        <v>0.1019367991845056</v>
      </c>
      <c r="T511" s="30">
        <v>0.38</v>
      </c>
      <c r="U511" s="27">
        <f>ROUND(IF(IFERROR(PROPERTIES[[#This Row],[TE_COEFFICIENT_CALC]],0)=0,PROPERTIES[[#This Row],[TE_COEFFICIENT_MANUAL]],PROPERTIES[[#This Row],[TE_COEFFICIENT_CALC]]),3)</f>
        <v>0.10199999999999999</v>
      </c>
      <c r="V511" s="6">
        <v>25</v>
      </c>
      <c r="W511" s="10">
        <v>72</v>
      </c>
      <c r="X511" s="10">
        <v>8</v>
      </c>
      <c r="Y511" s="11"/>
      <c r="Z511" t="s">
        <v>905</v>
      </c>
      <c r="AA511" t="s">
        <v>904</v>
      </c>
      <c r="AB511" s="2" t="s">
        <v>922</v>
      </c>
      <c r="AC511" s="10" t="s">
        <v>1000</v>
      </c>
      <c r="AD511" s="10" t="s">
        <v>1001</v>
      </c>
      <c r="AE511" s="11" t="str">
        <f>SUBSTITUTE(SUBSTITUTE(PROPERTIES[[#This Row],[PURCHASECOST_VALUE]], "PURCHASECOST_", ""), "_VALUE", "")</f>
        <v>EMU</v>
      </c>
      <c r="AF511" s="10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539</v>
      </c>
      <c r="B512">
        <v>1954</v>
      </c>
      <c r="C512">
        <v>1</v>
      </c>
      <c r="D512" t="s">
        <v>1952</v>
      </c>
      <c r="E512" t="str">
        <f>_xlfn.XLOOKUP(PROPERTIES[[#This Row],[COUNTRY]],COUNTRIES[COUNTRY_DESCRIPTION],COUNTRIES[COUNTRY_LABEL],"")</f>
        <v>NL</v>
      </c>
      <c r="F512" t="s">
        <v>74</v>
      </c>
      <c r="G512" t="s">
        <v>18</v>
      </c>
      <c r="H512">
        <f>INT(113/2)</f>
        <v>56</v>
      </c>
      <c r="I512">
        <v>8</v>
      </c>
      <c r="J512">
        <v>8</v>
      </c>
      <c r="K512" s="2" t="s">
        <v>24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4">
        <f>109/2</f>
        <v>54.5</v>
      </c>
      <c r="P512">
        <v>910</v>
      </c>
      <c r="Q512">
        <v>140</v>
      </c>
      <c r="R512" s="31">
        <f>110/2</f>
        <v>55</v>
      </c>
      <c r="S512" s="30">
        <f>IFERROR(PROPERTIES[[#This Row],[TE_STARTING_KN]]/(PROPERTIES[[#This Row],[WEIGHT]]*9.81),0)</f>
        <v>0.10287199917702401</v>
      </c>
      <c r="T512" s="30">
        <v>0.28000000000000003</v>
      </c>
      <c r="U512" s="27">
        <f>ROUND(IF(IFERROR(PROPERTIES[[#This Row],[TE_COEFFICIENT_CALC]],0)=0,PROPERTIES[[#This Row],[TE_COEFFICIENT_MANUAL]],PROPERTIES[[#This Row],[TE_COEFFICIENT_CALC]]),3)</f>
        <v>0.10299999999999999</v>
      </c>
      <c r="V512" s="6">
        <v>25</v>
      </c>
      <c r="W512" s="10">
        <v>56</v>
      </c>
      <c r="X512" s="10">
        <v>8</v>
      </c>
      <c r="Y512" s="11"/>
      <c r="Z512" t="s">
        <v>905</v>
      </c>
      <c r="AA512" t="s">
        <v>904</v>
      </c>
      <c r="AB512" s="2" t="s">
        <v>922</v>
      </c>
      <c r="AC512" s="10" t="s">
        <v>1000</v>
      </c>
      <c r="AD512" s="10" t="s">
        <v>1001</v>
      </c>
      <c r="AE512" s="11" t="str">
        <f>SUBSTITUTE(SUBSTITUTE(PROPERTIES[[#This Row],[PURCHASECOST_VALUE]], "PURCHASECOST_", ""), "_VALUE", "")</f>
        <v>EMU</v>
      </c>
      <c r="AF512" s="10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540</v>
      </c>
      <c r="B513">
        <v>1975</v>
      </c>
      <c r="C513">
        <v>1</v>
      </c>
      <c r="D513" t="s">
        <v>1952</v>
      </c>
      <c r="E513" t="str">
        <f>_xlfn.XLOOKUP(PROPERTIES[[#This Row],[COUNTRY]],COUNTRIES[COUNTRY_DESCRIPTION],COUNTRIES[COUNTRY_LABEL],"")</f>
        <v>NL</v>
      </c>
      <c r="F513" t="s">
        <v>74</v>
      </c>
      <c r="G513" t="s">
        <v>18</v>
      </c>
      <c r="H513">
        <v>77</v>
      </c>
      <c r="I513">
        <v>8</v>
      </c>
      <c r="J513">
        <v>8</v>
      </c>
      <c r="K513" s="2" t="s">
        <v>24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4">
        <v>53</v>
      </c>
      <c r="P513">
        <v>1720</v>
      </c>
      <c r="Q513">
        <v>125</v>
      </c>
      <c r="R513" s="31">
        <f>160/2</f>
        <v>80</v>
      </c>
      <c r="S513" s="30">
        <f>IFERROR(PROPERTIES[[#This Row],[TE_STARTING_KN]]/(PROPERTIES[[#This Row],[WEIGHT]]*9.81),0)</f>
        <v>0.15386686669359334</v>
      </c>
      <c r="T513" s="30">
        <v>0.19</v>
      </c>
      <c r="U513" s="27">
        <f>ROUND(IF(IFERROR(PROPERTIES[[#This Row],[TE_COEFFICIENT_CALC]],0)=0,PROPERTIES[[#This Row],[TE_COEFFICIENT_MANUAL]],PROPERTIES[[#This Row],[TE_COEFFICIENT_CALC]]),3)</f>
        <v>0.154</v>
      </c>
      <c r="V513" s="6">
        <v>25</v>
      </c>
      <c r="W513" s="10">
        <v>77</v>
      </c>
      <c r="X513" s="10">
        <v>8</v>
      </c>
      <c r="Y513" s="11"/>
      <c r="Z513" t="s">
        <v>905</v>
      </c>
      <c r="AA513" t="s">
        <v>904</v>
      </c>
      <c r="AB513" s="2" t="s">
        <v>922</v>
      </c>
      <c r="AC513" s="10" t="s">
        <v>1000</v>
      </c>
      <c r="AD513" s="10" t="s">
        <v>1001</v>
      </c>
      <c r="AE513" s="11" t="str">
        <f>SUBSTITUTE(SUBSTITUTE(PROPERTIES[[#This Row],[PURCHASECOST_VALUE]], "PURCHASECOST_", ""), "_VALUE", "")</f>
        <v>EMU</v>
      </c>
      <c r="AF513" s="10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541</v>
      </c>
      <c r="B514">
        <v>1979</v>
      </c>
      <c r="C514">
        <v>1</v>
      </c>
      <c r="D514" t="s">
        <v>1952</v>
      </c>
      <c r="E514" t="str">
        <f>_xlfn.XLOOKUP(PROPERTIES[[#This Row],[COUNTRY]],COUNTRIES[COUNTRY_DESCRIPTION],COUNTRIES[COUNTRY_LABEL],"")</f>
        <v>NL</v>
      </c>
      <c r="F514" t="s">
        <v>74</v>
      </c>
      <c r="G514" t="s">
        <v>18</v>
      </c>
      <c r="H514">
        <f>INT(205/2)</f>
        <v>102</v>
      </c>
      <c r="I514">
        <v>8</v>
      </c>
      <c r="J514">
        <v>8</v>
      </c>
      <c r="K514" s="2" t="s">
        <v>24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4">
        <f>144/2</f>
        <v>72</v>
      </c>
      <c r="P514">
        <v>1720</v>
      </c>
      <c r="Q514">
        <v>140</v>
      </c>
      <c r="R514" s="31">
        <f>100/2</f>
        <v>50</v>
      </c>
      <c r="S514" s="30">
        <f>IFERROR(PROPERTIES[[#This Row],[TE_STARTING_KN]]/(PROPERTIES[[#This Row],[WEIGHT]]*9.81),0)</f>
        <v>7.0789443878128883E-2</v>
      </c>
      <c r="T514" s="30">
        <v>0.48</v>
      </c>
      <c r="U514" s="27">
        <f>ROUND(IF(IFERROR(PROPERTIES[[#This Row],[TE_COEFFICIENT_CALC]],0)=0,PROPERTIES[[#This Row],[TE_COEFFICIENT_MANUAL]],PROPERTIES[[#This Row],[TE_COEFFICIENT_CALC]]),3)</f>
        <v>7.0999999999999994E-2</v>
      </c>
      <c r="V514" s="6">
        <v>25</v>
      </c>
      <c r="W514" s="10">
        <f>INT(205/2)</f>
        <v>102</v>
      </c>
      <c r="X514" s="10">
        <v>8</v>
      </c>
      <c r="Y514" s="11"/>
      <c r="Z514" t="s">
        <v>905</v>
      </c>
      <c r="AA514" t="s">
        <v>904</v>
      </c>
      <c r="AB514" s="2" t="s">
        <v>922</v>
      </c>
      <c r="AC514" s="10" t="s">
        <v>1000</v>
      </c>
      <c r="AD514" s="10" t="s">
        <v>1001</v>
      </c>
      <c r="AE514" s="11" t="str">
        <f>SUBSTITUTE(SUBSTITUTE(PROPERTIES[[#This Row],[PURCHASECOST_VALUE]], "PURCHASECOST_", ""), "_VALUE", "")</f>
        <v>EMU</v>
      </c>
      <c r="AF514" s="10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542</v>
      </c>
      <c r="B515">
        <v>1994</v>
      </c>
      <c r="C515">
        <v>1</v>
      </c>
      <c r="D515" t="s">
        <v>1952</v>
      </c>
      <c r="E515" t="str">
        <f>_xlfn.XLOOKUP(PROPERTIES[[#This Row],[COUNTRY]],COUNTRIES[COUNTRY_DESCRIPTION],COUNTRIES[COUNTRY_LABEL],"")</f>
        <v>NL</v>
      </c>
      <c r="F515" t="s">
        <v>74</v>
      </c>
      <c r="G515" t="s">
        <v>18</v>
      </c>
      <c r="H515">
        <f>INT((129+442)/6)</f>
        <v>95</v>
      </c>
      <c r="I515">
        <v>8</v>
      </c>
      <c r="J515">
        <v>8</v>
      </c>
      <c r="K515" s="2" t="s">
        <v>24</v>
      </c>
      <c r="L515">
        <f>_xlfn.XLOOKUP("LOADINGSPEEDDEF_"&amp;PROPERTIES[[#This Row],[LOADINGSPEED]],LOADINGSPEEDDEF[TYPE],LOADINGSPEEDDEF[SPEED])</f>
        <v>40</v>
      </c>
      <c r="M515" t="s">
        <v>21</v>
      </c>
      <c r="N515">
        <v>1</v>
      </c>
      <c r="O515" s="34">
        <f>104/2</f>
        <v>52</v>
      </c>
      <c r="P515">
        <v>1720</v>
      </c>
      <c r="Q515">
        <v>140</v>
      </c>
      <c r="R515" s="31">
        <f>105/2</f>
        <v>52.5</v>
      </c>
      <c r="S515" s="30">
        <f>IFERROR(PROPERTIES[[#This Row],[TE_STARTING_KN]]/(PROPERTIES[[#This Row],[WEIGHT]]*9.81),0)</f>
        <v>0.10291696071512585</v>
      </c>
      <c r="T515" s="30">
        <v>0.26</v>
      </c>
      <c r="U515" s="27">
        <f>ROUND(IF(IFERROR(PROPERTIES[[#This Row],[TE_COEFFICIENT_CALC]],0)=0,PROPERTIES[[#This Row],[TE_COEFFICIENT_MANUAL]],PROPERTIES[[#This Row],[TE_COEFFICIENT_CALC]]),3)</f>
        <v>0.10299999999999999</v>
      </c>
      <c r="V515" s="6">
        <v>25</v>
      </c>
      <c r="W515">
        <f>INT((129+442)/6)</f>
        <v>95</v>
      </c>
      <c r="X515" s="10">
        <v>8</v>
      </c>
      <c r="Y515" s="11"/>
      <c r="Z515" t="s">
        <v>905</v>
      </c>
      <c r="AA515" t="s">
        <v>904</v>
      </c>
      <c r="AB515" s="2" t="s">
        <v>922</v>
      </c>
      <c r="AC515" s="10" t="s">
        <v>1000</v>
      </c>
      <c r="AD515" s="10" t="s">
        <v>1001</v>
      </c>
      <c r="AE515" s="11" t="str">
        <f>SUBSTITUTE(SUBSTITUTE(PROPERTIES[[#This Row],[PURCHASECOST_VALUE]], "PURCHASECOST_", ""), "_VALUE", "")</f>
        <v>EMU</v>
      </c>
      <c r="AF515" s="10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543</v>
      </c>
      <c r="B516">
        <v>1997</v>
      </c>
      <c r="C516">
        <v>1</v>
      </c>
      <c r="D516" t="s">
        <v>1952</v>
      </c>
      <c r="E516" t="str">
        <f>_xlfn.XLOOKUP(PROPERTIES[[#This Row],[COUNTRY]],COUNTRIES[COUNTRY_DESCRIPTION],COUNTRIES[COUNTRY_LABEL],"")</f>
        <v>NL</v>
      </c>
      <c r="F516" t="s">
        <v>74</v>
      </c>
      <c r="G516" t="s">
        <v>18</v>
      </c>
      <c r="H516">
        <v>64</v>
      </c>
      <c r="I516">
        <v>8</v>
      </c>
      <c r="J516">
        <v>8</v>
      </c>
      <c r="K516" s="2" t="s">
        <v>24</v>
      </c>
      <c r="L516">
        <f>_xlfn.XLOOKUP("LOADINGSPEEDDEF_"&amp;PROPERTIES[[#This Row],[LOADINGSPEED]],LOADINGSPEEDDEF[TYPE],LOADINGSPEEDDEF[SPEED])</f>
        <v>40</v>
      </c>
      <c r="M516" t="s">
        <v>21</v>
      </c>
      <c r="N516">
        <v>1</v>
      </c>
      <c r="O516" s="34">
        <f>84/2</f>
        <v>42</v>
      </c>
      <c r="P516">
        <v>3219</v>
      </c>
      <c r="Q516">
        <v>160</v>
      </c>
      <c r="R516" s="31">
        <f>200/2</f>
        <v>100</v>
      </c>
      <c r="S516" s="30">
        <f>IFERROR(PROPERTIES[[#This Row],[TE_STARTING_KN]]/(PROPERTIES[[#This Row],[WEIGHT]]*9.81),0)</f>
        <v>0.24270666472501332</v>
      </c>
      <c r="T516" s="30">
        <v>0.31</v>
      </c>
      <c r="U516" s="27">
        <f>ROUND(IF(IFERROR(PROPERTIES[[#This Row],[TE_COEFFICIENT_CALC]],0)=0,PROPERTIES[[#This Row],[TE_COEFFICIENT_MANUAL]],PROPERTIES[[#This Row],[TE_COEFFICIENT_CALC]]),3)</f>
        <v>0.24299999999999999</v>
      </c>
      <c r="V516" s="6">
        <v>25</v>
      </c>
      <c r="W516" s="10">
        <v>140</v>
      </c>
      <c r="X516" s="10">
        <v>8</v>
      </c>
      <c r="Y516" s="11"/>
      <c r="Z516" t="s">
        <v>905</v>
      </c>
      <c r="AA516" t="s">
        <v>904</v>
      </c>
      <c r="AB516" s="2" t="s">
        <v>922</v>
      </c>
      <c r="AC516" s="10" t="s">
        <v>1000</v>
      </c>
      <c r="AD516" s="10" t="s">
        <v>1001</v>
      </c>
      <c r="AE516" s="11" t="str">
        <f>SUBSTITUTE(SUBSTITUTE(PROPERTIES[[#This Row],[PURCHASECOST_VALUE]], "PURCHASECOST_", ""), "_VALUE", "")</f>
        <v>EMU</v>
      </c>
      <c r="AF516" s="10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544</v>
      </c>
      <c r="B517">
        <v>1924</v>
      </c>
      <c r="C517">
        <v>1</v>
      </c>
      <c r="D517" t="s">
        <v>1965</v>
      </c>
      <c r="E517" t="str">
        <f>_xlfn.XLOOKUP(PROPERTIES[[#This Row],[COUNTRY]],COUNTRIES[COUNTRY_DESCRIPTION],COUNTRIES[COUNTRY_LABEL],"")</f>
        <v>PL</v>
      </c>
      <c r="F517" t="s">
        <v>74</v>
      </c>
      <c r="G517" t="s">
        <v>18</v>
      </c>
      <c r="H517">
        <f>INT(119/2)</f>
        <v>59</v>
      </c>
      <c r="I517">
        <v>8</v>
      </c>
      <c r="J517">
        <v>8</v>
      </c>
      <c r="K517" s="2" t="s">
        <v>24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4">
        <v>38</v>
      </c>
      <c r="P517">
        <v>413</v>
      </c>
      <c r="Q517">
        <v>80</v>
      </c>
      <c r="R517" s="31">
        <f>80/2</f>
        <v>40</v>
      </c>
      <c r="S517" s="30">
        <f>IFERROR(PROPERTIES[[#This Row],[TE_STARTING_KN]]/(PROPERTIES[[#This Row],[WEIGHT]]*9.81),0)</f>
        <v>0.10730189387842695</v>
      </c>
      <c r="T517" s="30">
        <v>0.11</v>
      </c>
      <c r="U517" s="27">
        <f>ROUND(IF(IFERROR(PROPERTIES[[#This Row],[TE_COEFFICIENT_CALC]],0)=0,PROPERTIES[[#This Row],[TE_COEFFICIENT_MANUAL]],PROPERTIES[[#This Row],[TE_COEFFICIENT_CALC]]),3)</f>
        <v>0.107</v>
      </c>
      <c r="V517" s="6">
        <v>25</v>
      </c>
      <c r="W517" s="10">
        <f>INT(119/2)</f>
        <v>59</v>
      </c>
      <c r="X517" s="10">
        <v>8</v>
      </c>
      <c r="Y517" s="11"/>
      <c r="Z517" t="s">
        <v>911</v>
      </c>
      <c r="AA517" t="s">
        <v>904</v>
      </c>
      <c r="AB517" s="2" t="s">
        <v>922</v>
      </c>
      <c r="AC517" s="10" t="s">
        <v>1000</v>
      </c>
      <c r="AD517" s="10" t="s">
        <v>1001</v>
      </c>
      <c r="AE517" s="11" t="str">
        <f>SUBSTITUTE(SUBSTITUTE(PROPERTIES[[#This Row],[PURCHASECOST_VALUE]], "PURCHASECOST_", ""), "_VALUE", "")</f>
        <v>EMU</v>
      </c>
      <c r="AF517" s="10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545</v>
      </c>
      <c r="B518">
        <v>1937</v>
      </c>
      <c r="C518">
        <v>1</v>
      </c>
      <c r="D518" t="s">
        <v>1896</v>
      </c>
      <c r="E518" t="str">
        <f>_xlfn.XLOOKUP(PROPERTIES[[#This Row],[COUNTRY]],COUNTRIES[COUNTRY_DESCRIPTION],COUNTRIES[COUNTRY_LABEL],"")</f>
        <v>IT</v>
      </c>
      <c r="F518" t="s">
        <v>74</v>
      </c>
      <c r="G518" t="s">
        <v>18</v>
      </c>
      <c r="H518">
        <f>INT(104/2)</f>
        <v>52</v>
      </c>
      <c r="I518">
        <v>8</v>
      </c>
      <c r="J518">
        <v>8</v>
      </c>
      <c r="K518" s="2" t="s">
        <v>479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4">
        <f>116.8/3</f>
        <v>38.93333333333333</v>
      </c>
      <c r="P518">
        <f>INT(1408*2/3)</f>
        <v>938</v>
      </c>
      <c r="Q518">
        <v>160</v>
      </c>
      <c r="R518" s="31">
        <f>50/2</f>
        <v>25</v>
      </c>
      <c r="S518" s="30">
        <f>IFERROR(PROPERTIES[[#This Row],[TE_STARTING_KN]]/(PROPERTIES[[#This Row],[WEIGHT]]*9.81),0)</f>
        <v>6.5455992627036996E-2</v>
      </c>
      <c r="T518" s="30">
        <v>0.18</v>
      </c>
      <c r="U518" s="27">
        <f>ROUND(IF(IFERROR(PROPERTIES[[#This Row],[TE_COEFFICIENT_CALC]],0)=0,PROPERTIES[[#This Row],[TE_COEFFICIENT_MANUAL]],PROPERTIES[[#This Row],[TE_COEFFICIENT_CALC]]),3)</f>
        <v>6.5000000000000002E-2</v>
      </c>
      <c r="V518" s="6">
        <v>25</v>
      </c>
      <c r="W518" s="10">
        <f>INT(104/2)</f>
        <v>52</v>
      </c>
      <c r="X518" s="10">
        <v>8</v>
      </c>
      <c r="Y518" s="11"/>
      <c r="Z518" t="s">
        <v>906</v>
      </c>
      <c r="AA518" t="s">
        <v>904</v>
      </c>
      <c r="AB518" s="2" t="s">
        <v>922</v>
      </c>
      <c r="AC518" s="10" t="s">
        <v>1000</v>
      </c>
      <c r="AD518" s="10" t="s">
        <v>1001</v>
      </c>
      <c r="AE518" s="11" t="str">
        <f>SUBSTITUTE(SUBSTITUTE(PROPERTIES[[#This Row],[PURCHASECOST_VALUE]], "PURCHASECOST_", ""), "_VALUE", "")</f>
        <v>EMU</v>
      </c>
      <c r="AF518" s="10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546</v>
      </c>
      <c r="B519">
        <v>1952</v>
      </c>
      <c r="C519">
        <v>1</v>
      </c>
      <c r="D519" t="s">
        <v>1896</v>
      </c>
      <c r="E519" t="str">
        <f>_xlfn.XLOOKUP(PROPERTIES[[#This Row],[COUNTRY]],COUNTRIES[COUNTRY_DESCRIPTION],COUNTRIES[COUNTRY_LABEL],"")</f>
        <v>IT</v>
      </c>
      <c r="F519" t="s">
        <v>74</v>
      </c>
      <c r="G519" t="s">
        <v>18</v>
      </c>
      <c r="H519">
        <f>INT(190/7)</f>
        <v>27</v>
      </c>
      <c r="I519">
        <v>8</v>
      </c>
      <c r="J519">
        <v>8</v>
      </c>
      <c r="K519" s="2" t="s">
        <v>479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4">
        <f>311/7</f>
        <v>44.428571428571431</v>
      </c>
      <c r="P519">
        <v>1020</v>
      </c>
      <c r="Q519">
        <v>200</v>
      </c>
      <c r="R519" s="31">
        <f>70/2</f>
        <v>35</v>
      </c>
      <c r="S519" s="30">
        <f>IFERROR(PROPERTIES[[#This Row],[TE_STARTING_KN]]/(PROPERTIES[[#This Row],[WEIGHT]]*9.81),0)</f>
        <v>8.0303909325414369E-2</v>
      </c>
      <c r="T519" s="30">
        <v>0.36</v>
      </c>
      <c r="U519" s="27">
        <f>ROUND(IF(IFERROR(PROPERTIES[[#This Row],[TE_COEFFICIENT_CALC]],0)=0,PROPERTIES[[#This Row],[TE_COEFFICIENT_MANUAL]],PROPERTIES[[#This Row],[TE_COEFFICIENT_CALC]]),3)</f>
        <v>0.08</v>
      </c>
      <c r="V519" s="6">
        <v>25</v>
      </c>
      <c r="W519" s="10">
        <f>INT(190/7)</f>
        <v>27</v>
      </c>
      <c r="X519" s="10">
        <v>8</v>
      </c>
      <c r="Y519" s="11"/>
      <c r="Z519" t="s">
        <v>906</v>
      </c>
      <c r="AA519" t="s">
        <v>904</v>
      </c>
      <c r="AB519" s="2" t="s">
        <v>922</v>
      </c>
      <c r="AC519" s="10" t="s">
        <v>1000</v>
      </c>
      <c r="AD519" s="10" t="s">
        <v>1001</v>
      </c>
      <c r="AE519" s="11" t="str">
        <f>SUBSTITUTE(SUBSTITUTE(PROPERTIES[[#This Row],[PURCHASECOST_VALUE]], "PURCHASECOST_", ""), "_VALUE", "")</f>
        <v>EMU</v>
      </c>
      <c r="AF519" s="10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547</v>
      </c>
      <c r="B520">
        <v>1993</v>
      </c>
      <c r="C520">
        <v>1</v>
      </c>
      <c r="D520" t="s">
        <v>1896</v>
      </c>
      <c r="E520" t="str">
        <f>_xlfn.XLOOKUP(PROPERTIES[[#This Row],[COUNTRY]],COUNTRIES[COUNTRY_DESCRIPTION],COUNTRIES[COUNTRY_LABEL],"")</f>
        <v>IT</v>
      </c>
      <c r="F520" t="s">
        <v>74</v>
      </c>
      <c r="G520" t="s">
        <v>18</v>
      </c>
      <c r="H520">
        <v>0</v>
      </c>
      <c r="I520">
        <v>8</v>
      </c>
      <c r="J520">
        <v>8</v>
      </c>
      <c r="K520" s="2" t="s">
        <v>479</v>
      </c>
      <c r="L520">
        <f>_xlfn.XLOOKUP("LOADINGSPEEDDEF_"&amp;PROPERTIES[[#This Row],[LOADINGSPEED]],LOADINGSPEEDDEF[TYPE],LOADINGSPEEDDEF[SPEED])</f>
        <v>16</v>
      </c>
      <c r="M520" t="s">
        <v>21</v>
      </c>
      <c r="N520">
        <v>1</v>
      </c>
      <c r="O520" s="34">
        <v>54</v>
      </c>
      <c r="P520">
        <v>11800</v>
      </c>
      <c r="Q520">
        <v>250</v>
      </c>
      <c r="R520" s="31">
        <f>400/2</f>
        <v>200</v>
      </c>
      <c r="S520" s="30">
        <f>IFERROR(PROPERTIES[[#This Row],[TE_STARTING_KN]]/(PROPERTIES[[#This Row],[WEIGHT]]*9.81),0)</f>
        <v>0.37754370068335408</v>
      </c>
      <c r="T520" s="30">
        <v>0.46</v>
      </c>
      <c r="U520" s="27">
        <f>ROUND(IF(IFERROR(PROPERTIES[[#This Row],[TE_COEFFICIENT_CALC]],0)=0,PROPERTIES[[#This Row],[TE_COEFFICIENT_MANUAL]],PROPERTIES[[#This Row],[TE_COEFFICIENT_CALC]]),3)</f>
        <v>0.378</v>
      </c>
      <c r="V520" s="6">
        <v>25</v>
      </c>
      <c r="W520" s="10">
        <v>68</v>
      </c>
      <c r="X520" s="10">
        <v>8</v>
      </c>
      <c r="Y520" s="11"/>
      <c r="Z520" t="s">
        <v>906</v>
      </c>
      <c r="AA520" t="s">
        <v>904</v>
      </c>
      <c r="AB520" s="2" t="s">
        <v>922</v>
      </c>
      <c r="AC520" s="10" t="s">
        <v>1000</v>
      </c>
      <c r="AD520" s="10" t="s">
        <v>1001</v>
      </c>
      <c r="AE520" s="11" t="str">
        <f>SUBSTITUTE(SUBSTITUTE(PROPERTIES[[#This Row],[PURCHASECOST_VALUE]], "PURCHASECOST_", ""), "_VALUE", "")</f>
        <v>EMU</v>
      </c>
      <c r="AF520" s="10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548</v>
      </c>
      <c r="B521">
        <v>1996</v>
      </c>
      <c r="C521">
        <v>1</v>
      </c>
      <c r="D521" t="s">
        <v>1896</v>
      </c>
      <c r="E521" t="str">
        <f>_xlfn.XLOOKUP(PROPERTIES[[#This Row],[COUNTRY]],COUNTRIES[COUNTRY_DESCRIPTION],COUNTRIES[COUNTRY_LABEL],"")</f>
        <v>IT</v>
      </c>
      <c r="F521" t="s">
        <v>74</v>
      </c>
      <c r="G521" t="s">
        <v>18</v>
      </c>
      <c r="H521">
        <v>102</v>
      </c>
      <c r="I521">
        <v>8</v>
      </c>
      <c r="J521">
        <v>8</v>
      </c>
      <c r="K521" s="2" t="s">
        <v>24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4">
        <v>68</v>
      </c>
      <c r="P521">
        <v>2508</v>
      </c>
      <c r="Q521">
        <v>140</v>
      </c>
      <c r="R521" s="31">
        <f>214/2</f>
        <v>107</v>
      </c>
      <c r="S521" s="30">
        <f>IFERROR(PROPERTIES[[#This Row],[TE_STARTING_KN]]/(PROPERTIES[[#This Row],[WEIGHT]]*9.81),0)</f>
        <v>0.16040055165797204</v>
      </c>
      <c r="T521" s="30">
        <v>0.31</v>
      </c>
      <c r="U521" s="27">
        <f>ROUND(IF(IFERROR(PROPERTIES[[#This Row],[TE_COEFFICIENT_CALC]],0)=0,PROPERTIES[[#This Row],[TE_COEFFICIENT_MANUAL]],PROPERTIES[[#This Row],[TE_COEFFICIENT_CALC]]),3)</f>
        <v>0.16</v>
      </c>
      <c r="V521" s="6">
        <v>25</v>
      </c>
      <c r="W521" s="10">
        <v>130</v>
      </c>
      <c r="X521" s="10">
        <v>8</v>
      </c>
      <c r="Y521" s="11"/>
      <c r="Z521" t="s">
        <v>906</v>
      </c>
      <c r="AA521" t="s">
        <v>904</v>
      </c>
      <c r="AB521" s="2" t="s">
        <v>922</v>
      </c>
      <c r="AC521" s="10" t="s">
        <v>1000</v>
      </c>
      <c r="AD521" s="10" t="s">
        <v>1001</v>
      </c>
      <c r="AE521" s="11" t="str">
        <f>SUBSTITUTE(SUBSTITUTE(PROPERTIES[[#This Row],[PURCHASECOST_VALUE]], "PURCHASECOST_", ""), "_VALUE", "")</f>
        <v>EMU</v>
      </c>
      <c r="AF521" s="10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549</v>
      </c>
      <c r="B522">
        <v>1984</v>
      </c>
      <c r="C522">
        <v>1</v>
      </c>
      <c r="D522" t="s">
        <v>1923</v>
      </c>
      <c r="E522" t="str">
        <f>_xlfn.XLOOKUP(PROPERTIES[[#This Row],[COUNTRY]],COUNTRIES[COUNTRY_DESCRIPTION],COUNTRIES[COUNTRY_LABEL],"")</f>
        <v>MA</v>
      </c>
      <c r="F522" t="s">
        <v>74</v>
      </c>
      <c r="G522" t="s">
        <v>18</v>
      </c>
      <c r="H522">
        <v>90</v>
      </c>
      <c r="I522">
        <v>8</v>
      </c>
      <c r="J522">
        <v>8</v>
      </c>
      <c r="K522" s="2" t="s">
        <v>24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4">
        <v>48</v>
      </c>
      <c r="P522">
        <v>1900</v>
      </c>
      <c r="Q522">
        <v>160</v>
      </c>
      <c r="R522" s="31">
        <f>102/2</f>
        <v>51</v>
      </c>
      <c r="S522" s="30">
        <f>IFERROR(PROPERTIES[[#This Row],[TE_STARTING_KN]]/(PROPERTIES[[#This Row],[WEIGHT]]*9.81),0)</f>
        <v>0.10830784913353721</v>
      </c>
      <c r="T522" s="30">
        <v>0.21</v>
      </c>
      <c r="U522" s="27">
        <f>ROUND(IF(IFERROR(PROPERTIES[[#This Row],[TE_COEFFICIENT_CALC]],0)=0,PROPERTIES[[#This Row],[TE_COEFFICIENT_MANUAL]],PROPERTIES[[#This Row],[TE_COEFFICIENT_CALC]]),3)</f>
        <v>0.108</v>
      </c>
      <c r="V522" s="6">
        <v>40</v>
      </c>
      <c r="W522" s="10">
        <v>90</v>
      </c>
      <c r="X522" s="10">
        <v>8</v>
      </c>
      <c r="Y522" s="11"/>
      <c r="Z522" t="s">
        <v>908</v>
      </c>
      <c r="AA522" t="s">
        <v>904</v>
      </c>
      <c r="AB522" s="2" t="s">
        <v>922</v>
      </c>
      <c r="AC522" s="10" t="s">
        <v>1000</v>
      </c>
      <c r="AD522" s="10" t="s">
        <v>1001</v>
      </c>
      <c r="AE522" s="11" t="str">
        <f>SUBSTITUTE(SUBSTITUTE(PROPERTIES[[#This Row],[PURCHASECOST_VALUE]], "PURCHASECOST_", ""), "_VALUE", "")</f>
        <v>EMU</v>
      </c>
      <c r="AF522" s="10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550</v>
      </c>
      <c r="B523">
        <v>1950</v>
      </c>
      <c r="C523">
        <v>1</v>
      </c>
      <c r="D523" t="s">
        <v>1965</v>
      </c>
      <c r="E523" t="str">
        <f>_xlfn.XLOOKUP(PROPERTIES[[#This Row],[COUNTRY]],COUNTRIES[COUNTRY_DESCRIPTION],COUNTRIES[COUNTRY_LABEL],"")</f>
        <v>PL</v>
      </c>
      <c r="F523" t="s">
        <v>74</v>
      </c>
      <c r="G523" t="s">
        <v>18</v>
      </c>
      <c r="H523">
        <f>INT(530/3)</f>
        <v>176</v>
      </c>
      <c r="I523">
        <v>8</v>
      </c>
      <c r="J523">
        <v>8</v>
      </c>
      <c r="K523" s="2" t="s">
        <v>24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4">
        <v>40</v>
      </c>
      <c r="P523">
        <v>642</v>
      </c>
      <c r="Q523">
        <v>100</v>
      </c>
      <c r="R523" s="31">
        <f>92/2</f>
        <v>46</v>
      </c>
      <c r="S523" s="30">
        <f>IFERROR(PROPERTIES[[#This Row],[TE_STARTING_KN]]/(PROPERTIES[[#This Row],[WEIGHT]]*9.81),0)</f>
        <v>0.11722731906218144</v>
      </c>
      <c r="T523" s="30">
        <v>0.25</v>
      </c>
      <c r="U523" s="27">
        <f>ROUND(IF(IFERROR(PROPERTIES[[#This Row],[TE_COEFFICIENT_CALC]],0)=0,PROPERTIES[[#This Row],[TE_COEFFICIENT_MANUAL]],PROPERTIES[[#This Row],[TE_COEFFICIENT_CALC]]),3)</f>
        <v>0.11700000000000001</v>
      </c>
      <c r="V523" s="6">
        <v>40</v>
      </c>
      <c r="W523" s="10">
        <f>INT(530/3)</f>
        <v>176</v>
      </c>
      <c r="X523" s="10">
        <v>8</v>
      </c>
      <c r="Y523" s="11"/>
      <c r="Z523" t="s">
        <v>911</v>
      </c>
      <c r="AA523" t="s">
        <v>904</v>
      </c>
      <c r="AB523" s="2" t="s">
        <v>922</v>
      </c>
      <c r="AC523" s="10" t="s">
        <v>1000</v>
      </c>
      <c r="AD523" s="10" t="s">
        <v>1001</v>
      </c>
      <c r="AE523" s="11" t="str">
        <f>SUBSTITUTE(SUBSTITUTE(PROPERTIES[[#This Row],[PURCHASECOST_VALUE]], "PURCHASECOST_", ""), "_VALUE", "")</f>
        <v>EMU</v>
      </c>
      <c r="AF523" s="10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551</v>
      </c>
      <c r="B524">
        <v>1975</v>
      </c>
      <c r="C524">
        <v>1</v>
      </c>
      <c r="D524" t="s">
        <v>1896</v>
      </c>
      <c r="E524" t="str">
        <f>_xlfn.XLOOKUP(PROPERTIES[[#This Row],[COUNTRY]],COUNTRIES[COUNTRY_DESCRIPTION],COUNTRIES[COUNTRY_LABEL],"")</f>
        <v>IT</v>
      </c>
      <c r="F524" t="s">
        <v>74</v>
      </c>
      <c r="G524" t="s">
        <v>18</v>
      </c>
      <c r="H524">
        <v>80</v>
      </c>
      <c r="I524">
        <v>7</v>
      </c>
      <c r="J524">
        <v>7</v>
      </c>
      <c r="K524" s="2" t="s">
        <v>24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4">
        <v>70</v>
      </c>
      <c r="P524">
        <v>702</v>
      </c>
      <c r="Q524">
        <v>150</v>
      </c>
      <c r="R524" s="31">
        <f>110/2</f>
        <v>55</v>
      </c>
      <c r="S524" s="30">
        <f>IFERROR(PROPERTIES[[#This Row],[TE_STARTING_KN]]/(PROPERTIES[[#This Row],[WEIGHT]]*9.81),0)</f>
        <v>8.0093199359254394E-2</v>
      </c>
      <c r="T524" s="30">
        <v>0.15</v>
      </c>
      <c r="U524" s="27">
        <f>ROUND(IF(IFERROR(PROPERTIES[[#This Row],[TE_COEFFICIENT_CALC]],0)=0,PROPERTIES[[#This Row],[TE_COEFFICIENT_MANUAL]],PROPERTIES[[#This Row],[TE_COEFFICIENT_CALC]]),3)</f>
        <v>0.08</v>
      </c>
      <c r="V524" s="6">
        <v>25</v>
      </c>
      <c r="W524" s="10">
        <v>108</v>
      </c>
      <c r="X524" s="10">
        <v>7</v>
      </c>
      <c r="Y524" s="11"/>
      <c r="Z524" t="s">
        <v>906</v>
      </c>
      <c r="AA524" t="s">
        <v>904</v>
      </c>
      <c r="AB524" s="2" t="s">
        <v>922</v>
      </c>
      <c r="AC524" s="10" t="s">
        <v>1000</v>
      </c>
      <c r="AD524" s="10" t="s">
        <v>1001</v>
      </c>
      <c r="AE524" s="11" t="str">
        <f>SUBSTITUTE(SUBSTITUTE(PROPERTIES[[#This Row],[PURCHASECOST_VALUE]], "PURCHASECOST_", ""), "_VALUE", "")</f>
        <v>EMU</v>
      </c>
      <c r="AF524" s="10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552</v>
      </c>
      <c r="B525">
        <v>1956</v>
      </c>
      <c r="C525">
        <v>1</v>
      </c>
      <c r="D525" t="s">
        <v>1799</v>
      </c>
      <c r="E525" t="str">
        <f>_xlfn.XLOOKUP(PROPERTIES[[#This Row],[COUNTRY]],COUNTRIES[COUNTRY_DESCRIPTION],COUNTRIES[COUNTRY_LABEL],"")</f>
        <v>AT</v>
      </c>
      <c r="F525" t="s">
        <v>74</v>
      </c>
      <c r="G525" t="s">
        <v>18</v>
      </c>
      <c r="H525">
        <v>72</v>
      </c>
      <c r="I525">
        <v>7</v>
      </c>
      <c r="J525">
        <v>7</v>
      </c>
      <c r="K525" s="2" t="s">
        <v>24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4">
        <f>(56+32)/2</f>
        <v>44</v>
      </c>
      <c r="P525">
        <v>1341</v>
      </c>
      <c r="Q525">
        <v>100</v>
      </c>
      <c r="R525" s="31">
        <f>99/2</f>
        <v>49.5</v>
      </c>
      <c r="S525" s="30">
        <f>IFERROR(PROPERTIES[[#This Row],[TE_STARTING_KN]]/(PROPERTIES[[#This Row],[WEIGHT]]*9.81),0)</f>
        <v>0.1146788990825688</v>
      </c>
      <c r="T525" s="30">
        <v>0.27</v>
      </c>
      <c r="U525" s="27">
        <f>ROUND(IF(IFERROR(PROPERTIES[[#This Row],[TE_COEFFICIENT_CALC]],0)=0,PROPERTIES[[#This Row],[TE_COEFFICIENT_MANUAL]],PROPERTIES[[#This Row],[TE_COEFFICIENT_CALC]]),3)</f>
        <v>0.115</v>
      </c>
      <c r="V525" s="6">
        <v>25</v>
      </c>
      <c r="W525" s="10">
        <v>72</v>
      </c>
      <c r="X525" s="10">
        <v>7</v>
      </c>
      <c r="Y525" s="11"/>
      <c r="Z525" t="s">
        <v>905</v>
      </c>
      <c r="AA525" t="s">
        <v>904</v>
      </c>
      <c r="AB525" s="2" t="s">
        <v>922</v>
      </c>
      <c r="AC525" s="10" t="s">
        <v>1000</v>
      </c>
      <c r="AD525" s="10" t="s">
        <v>1001</v>
      </c>
      <c r="AE525" s="11" t="str">
        <f>SUBSTITUTE(SUBSTITUTE(PROPERTIES[[#This Row],[PURCHASECOST_VALUE]], "PURCHASECOST_", ""), "_VALUE", "")</f>
        <v>EMU</v>
      </c>
      <c r="AF525" s="10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553</v>
      </c>
      <c r="B526">
        <v>1929</v>
      </c>
      <c r="C526">
        <v>1</v>
      </c>
      <c r="D526" t="s">
        <v>1799</v>
      </c>
      <c r="E526" t="str">
        <f>_xlfn.XLOOKUP(PROPERTIES[[#This Row],[COUNTRY]],COUNTRIES[COUNTRY_DESCRIPTION],COUNTRIES[COUNTRY_LABEL],"")</f>
        <v>AT</v>
      </c>
      <c r="F526" t="s">
        <v>74</v>
      </c>
      <c r="G526" t="s">
        <v>18</v>
      </c>
      <c r="H526">
        <v>62</v>
      </c>
      <c r="I526">
        <v>8</v>
      </c>
      <c r="J526">
        <v>8</v>
      </c>
      <c r="K526" s="2" t="s">
        <v>24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4">
        <v>72.7</v>
      </c>
      <c r="P526">
        <f>555*2</f>
        <v>1110</v>
      </c>
      <c r="Q526">
        <v>62</v>
      </c>
      <c r="R526" s="31">
        <f>200/2</f>
        <v>100</v>
      </c>
      <c r="S526" s="30">
        <f>IFERROR(PROPERTIES[[#This Row],[TE_STARTING_KN]]/(PROPERTIES[[#This Row],[WEIGHT]]*9.81),0)</f>
        <v>0.14021567975860469</v>
      </c>
      <c r="T526" s="30">
        <v>0.08</v>
      </c>
      <c r="U526" s="27">
        <f>ROUND(IF(IFERROR(PROPERTIES[[#This Row],[TE_COEFFICIENT_CALC]],0)=0,PROPERTIES[[#This Row],[TE_COEFFICIENT_MANUAL]],PROPERTIES[[#This Row],[TE_COEFFICIENT_CALC]]),3)</f>
        <v>0.14000000000000001</v>
      </c>
      <c r="V526" s="6">
        <v>25</v>
      </c>
      <c r="W526" s="10">
        <v>62</v>
      </c>
      <c r="X526" s="10">
        <v>8</v>
      </c>
      <c r="Y526" s="11"/>
      <c r="Z526" t="s">
        <v>905</v>
      </c>
      <c r="AA526" t="s">
        <v>904</v>
      </c>
      <c r="AB526" s="2" t="s">
        <v>922</v>
      </c>
      <c r="AC526" s="10" t="s">
        <v>1000</v>
      </c>
      <c r="AD526" s="10" t="s">
        <v>1001</v>
      </c>
      <c r="AE526" s="11" t="str">
        <f>SUBSTITUTE(SUBSTITUTE(PROPERTIES[[#This Row],[PURCHASECOST_VALUE]], "PURCHASECOST_", ""), "_VALUE", "")</f>
        <v>EMU</v>
      </c>
      <c r="AF526" s="10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554</v>
      </c>
      <c r="B527">
        <v>2011</v>
      </c>
      <c r="C527">
        <v>1</v>
      </c>
      <c r="D527" t="s">
        <v>1799</v>
      </c>
      <c r="E527" t="str">
        <f>_xlfn.XLOOKUP(PROPERTIES[[#This Row],[COUNTRY]],COUNTRIES[COUNTRY_DESCRIPTION],COUNTRIES[COUNTRY_LABEL],"")</f>
        <v>AT</v>
      </c>
      <c r="F527" t="s">
        <v>74</v>
      </c>
      <c r="G527" t="s">
        <v>18</v>
      </c>
      <c r="H527">
        <v>60</v>
      </c>
      <c r="I527">
        <v>8</v>
      </c>
      <c r="J527">
        <v>8</v>
      </c>
      <c r="K527" s="2" t="s">
        <v>24</v>
      </c>
      <c r="L527">
        <f>_xlfn.XLOOKUP("LOADINGSPEEDDEF_"&amp;PROPERTIES[[#This Row],[LOADINGSPEED]],LOADINGSPEEDDEF[TYPE],LOADINGSPEEDDEF[SPEED])</f>
        <v>40</v>
      </c>
      <c r="M527" t="s">
        <v>21</v>
      </c>
      <c r="N527">
        <v>1</v>
      </c>
      <c r="O527" s="34">
        <v>78</v>
      </c>
      <c r="P527">
        <v>5340</v>
      </c>
      <c r="Q527">
        <v>200</v>
      </c>
      <c r="R527" s="31">
        <f>200/2</f>
        <v>100</v>
      </c>
      <c r="S527" s="30">
        <f>IFERROR(PROPERTIES[[#This Row],[TE_STARTING_KN]]/(PROPERTIES[[#This Row],[WEIGHT]]*9.81),0)</f>
        <v>0.13068820408269949</v>
      </c>
      <c r="T527" s="30">
        <v>0.62</v>
      </c>
      <c r="U527" s="27">
        <f>ROUND(IF(IFERROR(PROPERTIES[[#This Row],[TE_COEFFICIENT_CALC]],0)=0,PROPERTIES[[#This Row],[TE_COEFFICIENT_MANUAL]],PROPERTIES[[#This Row],[TE_COEFFICIENT_CALC]]),3)</f>
        <v>0.13100000000000001</v>
      </c>
      <c r="V527" s="6">
        <v>40</v>
      </c>
      <c r="W527" s="10">
        <v>140</v>
      </c>
      <c r="X527" s="10">
        <v>8</v>
      </c>
      <c r="Y527" s="11"/>
      <c r="Z527" t="s">
        <v>905</v>
      </c>
      <c r="AA527" t="s">
        <v>904</v>
      </c>
      <c r="AB527" s="2" t="s">
        <v>922</v>
      </c>
      <c r="AC527" s="10" t="s">
        <v>1000</v>
      </c>
      <c r="AD527" s="10" t="s">
        <v>1001</v>
      </c>
      <c r="AE527" s="11" t="str">
        <f>SUBSTITUTE(SUBSTITUTE(PROPERTIES[[#This Row],[PURCHASECOST_VALUE]], "PURCHASECOST_", ""), "_VALUE", "")</f>
        <v>EMU</v>
      </c>
      <c r="AF527" s="10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555</v>
      </c>
      <c r="B528">
        <v>1969</v>
      </c>
      <c r="C528">
        <v>1</v>
      </c>
      <c r="D528" t="s">
        <v>2036</v>
      </c>
      <c r="E528" t="str">
        <f>_xlfn.XLOOKUP(PROPERTIES[[#This Row],[COUNTRY]],COUNTRIES[COUNTRY_DESCRIPTION],COUNTRIES[COUNTRY_LABEL],"")</f>
        <v>GDR</v>
      </c>
      <c r="F528" t="s">
        <v>74</v>
      </c>
      <c r="G528" t="s">
        <v>18</v>
      </c>
      <c r="H528">
        <f>INT((192+266)/3)</f>
        <v>152</v>
      </c>
      <c r="I528">
        <v>8</v>
      </c>
      <c r="J528">
        <v>8</v>
      </c>
      <c r="K528" s="2" t="s">
        <v>24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4">
        <v>46</v>
      </c>
      <c r="P528">
        <f>1072*2</f>
        <v>2144</v>
      </c>
      <c r="Q528">
        <v>125</v>
      </c>
      <c r="R528" s="31">
        <v>63</v>
      </c>
      <c r="S528" s="30">
        <f>IFERROR(PROPERTIES[[#This Row],[TE_STARTING_KN]]/(PROPERTIES[[#This Row],[WEIGHT]]*9.81),0)</f>
        <v>0.13960909453530115</v>
      </c>
      <c r="T528" s="30">
        <v>0.31</v>
      </c>
      <c r="U528" s="27">
        <f>ROUND(IF(IFERROR(PROPERTIES[[#This Row],[TE_COEFFICIENT_CALC]],0)=0,PROPERTIES[[#This Row],[TE_COEFFICIENT_MANUAL]],PROPERTIES[[#This Row],[TE_COEFFICIENT_CALC]]),3)</f>
        <v>0.14000000000000001</v>
      </c>
      <c r="V528" s="6">
        <v>25</v>
      </c>
      <c r="W528">
        <f>INT((192+266)/3)</f>
        <v>152</v>
      </c>
      <c r="X528" s="10">
        <v>8</v>
      </c>
      <c r="Y528" s="11"/>
      <c r="Z528" t="s">
        <v>905</v>
      </c>
      <c r="AA528" t="s">
        <v>904</v>
      </c>
      <c r="AB528" s="2" t="s">
        <v>922</v>
      </c>
      <c r="AC528" s="10" t="s">
        <v>1000</v>
      </c>
      <c r="AD528" s="10" t="s">
        <v>1001</v>
      </c>
      <c r="AE528" s="11" t="str">
        <f>SUBSTITUTE(SUBSTITUTE(PROPERTIES[[#This Row],[PURCHASECOST_VALUE]], "PURCHASECOST_", ""), "_VALUE", "")</f>
        <v>EMU</v>
      </c>
      <c r="AF528" s="10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556</v>
      </c>
      <c r="B529">
        <v>1998</v>
      </c>
      <c r="C529">
        <v>1</v>
      </c>
      <c r="D529" t="s">
        <v>1953</v>
      </c>
      <c r="E529" t="str">
        <f>_xlfn.XLOOKUP(PROPERTIES[[#This Row],[COUNTRY]],COUNTRIES[COUNTRY_DESCRIPTION],COUNTRIES[COUNTRY_LABEL],"")</f>
        <v>NO</v>
      </c>
      <c r="F529" t="s">
        <v>74</v>
      </c>
      <c r="G529" t="s">
        <v>18</v>
      </c>
      <c r="H529">
        <v>54</v>
      </c>
      <c r="I529">
        <v>8</v>
      </c>
      <c r="J529">
        <v>8</v>
      </c>
      <c r="K529" s="2" t="s">
        <v>479</v>
      </c>
      <c r="L529">
        <f>_xlfn.XLOOKUP("LOADINGSPEEDDEF_"&amp;PROPERTIES[[#This Row],[LOADINGSPEED]],LOADINGSPEEDDEF[TYPE],LOADINGSPEEDDEF[SPEED])</f>
        <v>16</v>
      </c>
      <c r="M529" t="s">
        <v>21</v>
      </c>
      <c r="N529">
        <v>1</v>
      </c>
      <c r="O529" s="34">
        <v>54</v>
      </c>
      <c r="P529">
        <f>1166*2</f>
        <v>2332</v>
      </c>
      <c r="Q529">
        <v>210</v>
      </c>
      <c r="R529" s="31">
        <f>117/2</f>
        <v>58.5</v>
      </c>
      <c r="S529" s="30">
        <f>IFERROR(PROPERTIES[[#This Row],[TE_STARTING_KN]]/(PROPERTIES[[#This Row],[WEIGHT]]*9.81),0)</f>
        <v>0.11043153244988108</v>
      </c>
      <c r="T529" s="30">
        <v>0.69</v>
      </c>
      <c r="U529" s="27">
        <f>ROUND(IF(IFERROR(PROPERTIES[[#This Row],[TE_COEFFICIENT_CALC]],0)=0,PROPERTIES[[#This Row],[TE_COEFFICIENT_MANUAL]],PROPERTIES[[#This Row],[TE_COEFFICIENT_CALC]]),3)</f>
        <v>0.11</v>
      </c>
      <c r="V529" s="6">
        <v>25</v>
      </c>
      <c r="W529" s="10">
        <v>54</v>
      </c>
      <c r="X529" s="10">
        <v>8</v>
      </c>
      <c r="Y529" s="11"/>
      <c r="Z529" t="s">
        <v>909</v>
      </c>
      <c r="AA529" t="s">
        <v>904</v>
      </c>
      <c r="AB529" s="2" t="s">
        <v>922</v>
      </c>
      <c r="AC529" s="10" t="s">
        <v>1000</v>
      </c>
      <c r="AD529" s="10" t="s">
        <v>1001</v>
      </c>
      <c r="AE529" s="11" t="str">
        <f>SUBSTITUTE(SUBSTITUTE(PROPERTIES[[#This Row],[PURCHASECOST_VALUE]], "PURCHASECOST_", ""), "_VALUE", "")</f>
        <v>EMU</v>
      </c>
      <c r="AF529" s="10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557</v>
      </c>
      <c r="B530">
        <v>1942</v>
      </c>
      <c r="C530">
        <v>1</v>
      </c>
      <c r="D530" t="s">
        <v>1953</v>
      </c>
      <c r="E530" t="str">
        <f>_xlfn.XLOOKUP(PROPERTIES[[#This Row],[COUNTRY]],COUNTRIES[COUNTRY_DESCRIPTION],COUNTRIES[COUNTRY_LABEL],"")</f>
        <v>NO</v>
      </c>
      <c r="F530" t="s">
        <v>74</v>
      </c>
      <c r="G530" t="s">
        <v>18</v>
      </c>
      <c r="H530">
        <v>50</v>
      </c>
      <c r="I530">
        <v>8</v>
      </c>
      <c r="J530">
        <v>8</v>
      </c>
      <c r="K530" s="2" t="s">
        <v>24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4">
        <f>(47+30)/2</f>
        <v>38.5</v>
      </c>
      <c r="P530">
        <v>622</v>
      </c>
      <c r="Q530">
        <v>70</v>
      </c>
      <c r="R530" s="31">
        <f>85/2</f>
        <v>42.5</v>
      </c>
      <c r="S530" s="30">
        <f>IFERROR(PROPERTIES[[#This Row],[TE_STARTING_KN]]/(PROPERTIES[[#This Row],[WEIGHT]]*9.81),0)</f>
        <v>0.11252763546341528</v>
      </c>
      <c r="T530" s="30">
        <v>0.23</v>
      </c>
      <c r="U530" s="27">
        <f>ROUND(IF(IFERROR(PROPERTIES[[#This Row],[TE_COEFFICIENT_CALC]],0)=0,PROPERTIES[[#This Row],[TE_COEFFICIENT_MANUAL]],PROPERTIES[[#This Row],[TE_COEFFICIENT_CALC]]),3)</f>
        <v>0.113</v>
      </c>
      <c r="V530" s="6">
        <v>25</v>
      </c>
      <c r="W530" s="10">
        <v>50</v>
      </c>
      <c r="X530" s="10">
        <v>7</v>
      </c>
      <c r="Y530" s="11"/>
      <c r="Z530" t="s">
        <v>909</v>
      </c>
      <c r="AA530" t="s">
        <v>904</v>
      </c>
      <c r="AB530" s="2" t="s">
        <v>922</v>
      </c>
      <c r="AC530" s="10" t="s">
        <v>1000</v>
      </c>
      <c r="AD530" s="10" t="s">
        <v>1001</v>
      </c>
      <c r="AE530" s="11" t="str">
        <f>SUBSTITUTE(SUBSTITUTE(PROPERTIES[[#This Row],[PURCHASECOST_VALUE]], "PURCHASECOST_", ""), "_VALUE", "")</f>
        <v>EMU</v>
      </c>
      <c r="AF530" s="10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558</v>
      </c>
      <c r="B531">
        <v>1990</v>
      </c>
      <c r="C531">
        <v>1</v>
      </c>
      <c r="D531" t="s">
        <v>1983</v>
      </c>
      <c r="E531" t="str">
        <f>_xlfn.XLOOKUP(PROPERTIES[[#This Row],[COUNTRY]],COUNTRIES[COUNTRY_DESCRIPTION],COUNTRIES[COUNTRY_LABEL],"")</f>
        <v>SE</v>
      </c>
      <c r="F531" t="s">
        <v>74</v>
      </c>
      <c r="G531" t="s">
        <v>18</v>
      </c>
      <c r="H531">
        <v>0</v>
      </c>
      <c r="I531">
        <v>8</v>
      </c>
      <c r="J531">
        <v>8</v>
      </c>
      <c r="K531" s="2" t="s">
        <v>479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4">
        <v>73</v>
      </c>
      <c r="P531">
        <v>4400</v>
      </c>
      <c r="Q531">
        <v>200</v>
      </c>
      <c r="R531" s="31">
        <f>160/2</f>
        <v>80</v>
      </c>
      <c r="S531" s="30">
        <f>IFERROR(PROPERTIES[[#This Row],[TE_STARTING_KN]]/(PROPERTIES[[#This Row],[WEIGHT]]*9.81),0)</f>
        <v>0.11171156075014313</v>
      </c>
      <c r="T531" s="30">
        <v>0.49</v>
      </c>
      <c r="U531" s="27">
        <f>ROUND(IF(IFERROR(PROPERTIES[[#This Row],[TE_COEFFICIENT_CALC]],0)=0,PROPERTIES[[#This Row],[TE_COEFFICIENT_MANUAL]],PROPERTIES[[#This Row],[TE_COEFFICIENT_CALC]]),3)</f>
        <v>0.112</v>
      </c>
      <c r="V531" s="6">
        <v>25</v>
      </c>
      <c r="W531" s="10">
        <v>72</v>
      </c>
      <c r="X531" s="10">
        <v>8</v>
      </c>
      <c r="Y531" s="11"/>
      <c r="Z531" t="s">
        <v>909</v>
      </c>
      <c r="AA531" t="s">
        <v>904</v>
      </c>
      <c r="AB531" s="2" t="s">
        <v>922</v>
      </c>
      <c r="AC531" s="10" t="s">
        <v>1000</v>
      </c>
      <c r="AD531" s="10" t="s">
        <v>1001</v>
      </c>
      <c r="AE531" s="11" t="str">
        <f>SUBSTITUTE(SUBSTITUTE(PROPERTIES[[#This Row],[PURCHASECOST_VALUE]], "PURCHASECOST_", ""), "_VALUE", "")</f>
        <v>EMU</v>
      </c>
      <c r="AF531" s="10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559</v>
      </c>
      <c r="B532">
        <v>1965</v>
      </c>
      <c r="C532">
        <v>1</v>
      </c>
      <c r="D532" t="s">
        <v>1830</v>
      </c>
      <c r="E532" t="str">
        <f>_xlfn.XLOOKUP(PROPERTIES[[#This Row],[COUNTRY]],COUNTRIES[COUNTRY_DESCRIPTION],COUNTRIES[COUNTRY_LABEL],"")</f>
        <v>CH</v>
      </c>
      <c r="F532" t="s">
        <v>74</v>
      </c>
      <c r="G532" t="s">
        <v>18</v>
      </c>
      <c r="H532">
        <v>56</v>
      </c>
      <c r="I532">
        <v>8</v>
      </c>
      <c r="J532">
        <v>8</v>
      </c>
      <c r="K532" s="2" t="s">
        <v>24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4">
        <f>INT(200/3)</f>
        <v>66</v>
      </c>
      <c r="P532">
        <f>INT(3277*2/3)</f>
        <v>2184</v>
      </c>
      <c r="Q532">
        <v>125</v>
      </c>
      <c r="R532" s="31">
        <f>239/2</f>
        <v>119.5</v>
      </c>
      <c r="S532" s="30">
        <f>IFERROR(PROPERTIES[[#This Row],[TE_STARTING_KN]]/(PROPERTIES[[#This Row],[WEIGHT]]*9.81),0)</f>
        <v>0.18456738640224879</v>
      </c>
      <c r="T532" s="30">
        <v>0.43</v>
      </c>
      <c r="U532" s="27">
        <f>ROUND(IF(IFERROR(PROPERTIES[[#This Row],[TE_COEFFICIENT_CALC]],0)=0,PROPERTIES[[#This Row],[TE_COEFFICIENT_MANUAL]],PROPERTIES[[#This Row],[TE_COEFFICIENT_CALC]]),3)</f>
        <v>0.185</v>
      </c>
      <c r="V532" s="6">
        <v>25</v>
      </c>
      <c r="W532" s="10">
        <f>INT(200/3)</f>
        <v>66</v>
      </c>
      <c r="X532" s="10">
        <v>8</v>
      </c>
      <c r="Y532" s="11"/>
      <c r="Z532" t="s">
        <v>905</v>
      </c>
      <c r="AA532" t="s">
        <v>904</v>
      </c>
      <c r="AB532" s="2" t="s">
        <v>922</v>
      </c>
      <c r="AC532" s="10" t="s">
        <v>1000</v>
      </c>
      <c r="AD532" s="10" t="s">
        <v>1001</v>
      </c>
      <c r="AE532" s="11" t="str">
        <f>SUBSTITUTE(SUBSTITUTE(PROPERTIES[[#This Row],[PURCHASECOST_VALUE]], "PURCHASECOST_", ""), "_VALUE", "")</f>
        <v>EMU</v>
      </c>
      <c r="AF532" s="10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560</v>
      </c>
      <c r="B533">
        <v>1984</v>
      </c>
      <c r="C533">
        <v>1</v>
      </c>
      <c r="D533" t="s">
        <v>1830</v>
      </c>
      <c r="E533" t="str">
        <f>_xlfn.XLOOKUP(PROPERTIES[[#This Row],[COUNTRY]],COUNTRIES[COUNTRY_DESCRIPTION],COUNTRIES[COUNTRY_LABEL],"")</f>
        <v>CH</v>
      </c>
      <c r="F533" t="s">
        <v>74</v>
      </c>
      <c r="G533" t="s">
        <v>18</v>
      </c>
      <c r="H533">
        <v>56</v>
      </c>
      <c r="I533">
        <v>8</v>
      </c>
      <c r="J533">
        <v>8</v>
      </c>
      <c r="K533" s="2" t="s">
        <v>24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4">
        <v>35</v>
      </c>
      <c r="P533">
        <v>2210</v>
      </c>
      <c r="Q533">
        <v>140</v>
      </c>
      <c r="R533" s="31">
        <f>182/2</f>
        <v>91</v>
      </c>
      <c r="S533" s="30">
        <f>IFERROR(PROPERTIES[[#This Row],[TE_STARTING_KN]]/(PROPERTIES[[#This Row],[WEIGHT]]*9.81),0)</f>
        <v>0.26503567787971455</v>
      </c>
      <c r="T533" s="30">
        <v>0.52</v>
      </c>
      <c r="U533" s="27">
        <f>ROUND(IF(IFERROR(PROPERTIES[[#This Row],[TE_COEFFICIENT_CALC]],0)=0,PROPERTIES[[#This Row],[TE_COEFFICIENT_MANUAL]],PROPERTIES[[#This Row],[TE_COEFFICIENT_CALC]]),3)</f>
        <v>0.26500000000000001</v>
      </c>
      <c r="V533" s="6">
        <v>25</v>
      </c>
      <c r="W533" s="10">
        <v>56</v>
      </c>
      <c r="X533" s="10">
        <v>8</v>
      </c>
      <c r="Y533" s="11"/>
      <c r="Z533" t="s">
        <v>905</v>
      </c>
      <c r="AA533" t="s">
        <v>904</v>
      </c>
      <c r="AB533" s="2" t="s">
        <v>922</v>
      </c>
      <c r="AC533" s="10" t="s">
        <v>1000</v>
      </c>
      <c r="AD533" s="10" t="s">
        <v>1001</v>
      </c>
      <c r="AE533" s="11" t="str">
        <f>SUBSTITUTE(SUBSTITUTE(PROPERTIES[[#This Row],[PURCHASECOST_VALUE]], "PURCHASECOST_", ""), "_VALUE", "")</f>
        <v>EMU</v>
      </c>
      <c r="AF533" s="10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561</v>
      </c>
      <c r="B534">
        <v>2004</v>
      </c>
      <c r="C534">
        <v>1</v>
      </c>
      <c r="D534" t="s">
        <v>1830</v>
      </c>
      <c r="E534" t="str">
        <f>_xlfn.XLOOKUP(PROPERTIES[[#This Row],[COUNTRY]],COUNTRIES[COUNTRY_DESCRIPTION],COUNTRIES[COUNTRY_LABEL],"")</f>
        <v>CH</v>
      </c>
      <c r="F534" t="s">
        <v>74</v>
      </c>
      <c r="G534" t="s">
        <v>18</v>
      </c>
      <c r="H534">
        <v>50</v>
      </c>
      <c r="I534">
        <v>8</v>
      </c>
      <c r="J534">
        <v>8</v>
      </c>
      <c r="K534" s="2" t="s">
        <v>24</v>
      </c>
      <c r="L534">
        <f>_xlfn.XLOOKUP("LOADINGSPEEDDEF_"&amp;PROPERTIES[[#This Row],[LOADINGSPEED]],LOADINGSPEEDDEF[TYPE],LOADINGSPEEDDEF[SPEED])</f>
        <v>40</v>
      </c>
      <c r="M534" t="s">
        <v>21</v>
      </c>
      <c r="N534">
        <v>1</v>
      </c>
      <c r="O534" s="34">
        <v>31</v>
      </c>
      <c r="P534">
        <v>2682</v>
      </c>
      <c r="Q534">
        <v>160</v>
      </c>
      <c r="R534" s="31">
        <f>200/2</f>
        <v>100</v>
      </c>
      <c r="S534" s="30">
        <f>IFERROR(PROPERTIES[[#This Row],[TE_STARTING_KN]]/(PROPERTIES[[#This Row],[WEIGHT]]*9.81),0)</f>
        <v>0.32882838446614709</v>
      </c>
      <c r="T534" s="30">
        <v>0.65</v>
      </c>
      <c r="U534" s="27">
        <f>ROUND(IF(IFERROR(PROPERTIES[[#This Row],[TE_COEFFICIENT_CALC]],0)=0,PROPERTIES[[#This Row],[TE_COEFFICIENT_MANUAL]],PROPERTIES[[#This Row],[TE_COEFFICIENT_CALC]]),3)</f>
        <v>0.32900000000000001</v>
      </c>
      <c r="V534" s="6">
        <v>25</v>
      </c>
      <c r="W534" s="10">
        <v>50</v>
      </c>
      <c r="X534" s="10">
        <v>7</v>
      </c>
      <c r="Y534" s="11"/>
      <c r="Z534" t="s">
        <v>905</v>
      </c>
      <c r="AA534" t="s">
        <v>904</v>
      </c>
      <c r="AB534" s="2" t="s">
        <v>922</v>
      </c>
      <c r="AC534" s="10" t="s">
        <v>1000</v>
      </c>
      <c r="AD534" s="10" t="s">
        <v>1001</v>
      </c>
      <c r="AE534" s="11" t="str">
        <f>SUBSTITUTE(SUBSTITUTE(PROPERTIES[[#This Row],[PURCHASECOST_VALUE]], "PURCHASECOST_", ""), "_VALUE", "")</f>
        <v>EMU</v>
      </c>
      <c r="AF534" s="10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562</v>
      </c>
      <c r="B535">
        <v>1969</v>
      </c>
      <c r="C535">
        <v>1</v>
      </c>
      <c r="D535" t="s">
        <v>2019</v>
      </c>
      <c r="E535" t="str">
        <f>_xlfn.XLOOKUP(PROPERTIES[[#This Row],[COUNTRY]],COUNTRIES[COUNTRY_DESCRIPTION],COUNTRIES[COUNTRY_LABEL],"")</f>
        <v>US</v>
      </c>
      <c r="F535" t="s">
        <v>74</v>
      </c>
      <c r="G535" t="s">
        <v>18</v>
      </c>
      <c r="H535">
        <v>76</v>
      </c>
      <c r="I535">
        <v>8</v>
      </c>
      <c r="J535">
        <v>8</v>
      </c>
      <c r="K535" s="2" t="s">
        <v>24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4">
        <v>75</v>
      </c>
      <c r="P535">
        <v>2400</v>
      </c>
      <c r="Q535">
        <v>190</v>
      </c>
      <c r="R535" s="31">
        <f>200/2</f>
        <v>100</v>
      </c>
      <c r="S535" s="30">
        <f>IFERROR(PROPERTIES[[#This Row],[TE_STARTING_KN]]/(PROPERTIES[[#This Row],[WEIGHT]]*9.81),0)</f>
        <v>0.13591573224600748</v>
      </c>
      <c r="T535" s="30">
        <v>0.15</v>
      </c>
      <c r="U535" s="27">
        <f>ROUND(IF(IFERROR(PROPERTIES[[#This Row],[TE_COEFFICIENT_CALC]],0)=0,PROPERTIES[[#This Row],[TE_COEFFICIENT_MANUAL]],PROPERTIES[[#This Row],[TE_COEFFICIENT_CALC]]),3)</f>
        <v>0.13600000000000001</v>
      </c>
      <c r="V535" s="6">
        <v>40</v>
      </c>
      <c r="W535">
        <v>76</v>
      </c>
      <c r="X535" s="10">
        <v>8</v>
      </c>
      <c r="Y535" s="11"/>
      <c r="Z535" t="s">
        <v>910</v>
      </c>
      <c r="AA535" t="s">
        <v>904</v>
      </c>
      <c r="AB535" s="2" t="s">
        <v>922</v>
      </c>
      <c r="AC535" s="10" t="s">
        <v>1000</v>
      </c>
      <c r="AD535" s="10" t="s">
        <v>1001</v>
      </c>
      <c r="AE535" s="11" t="str">
        <f>SUBSTITUTE(SUBSTITUTE(PROPERTIES[[#This Row],[PURCHASECOST_VALUE]], "PURCHASECOST_", ""), "_VALUE", "")</f>
        <v>EMU</v>
      </c>
      <c r="AF535" s="10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563</v>
      </c>
      <c r="B536">
        <v>2000</v>
      </c>
      <c r="C536">
        <v>1</v>
      </c>
      <c r="D536" t="s">
        <v>1844</v>
      </c>
      <c r="E536" t="str">
        <f>_xlfn.XLOOKUP(PROPERTIES[[#This Row],[COUNTRY]],COUNTRIES[COUNTRY_DESCRIPTION],COUNTRIES[COUNTRY_LABEL],"")</f>
        <v>DE</v>
      </c>
      <c r="F536" t="s">
        <v>74</v>
      </c>
      <c r="G536" t="s">
        <v>18</v>
      </c>
      <c r="H536">
        <f>INT(441/8)</f>
        <v>55</v>
      </c>
      <c r="I536">
        <v>7</v>
      </c>
      <c r="J536">
        <v>7</v>
      </c>
      <c r="K536" s="2" t="s">
        <v>479</v>
      </c>
      <c r="L536">
        <f>_xlfn.XLOOKUP("LOADINGSPEEDDEF_"&amp;PROPERTIES[[#This Row],[LOADINGSPEED]],LOADINGSPEEDDEF[TYPE],LOADINGSPEEDDEF[SPEED])</f>
        <v>16</v>
      </c>
      <c r="M536" t="s">
        <v>21</v>
      </c>
      <c r="N536">
        <v>1</v>
      </c>
      <c r="O536" s="34">
        <f>409/8</f>
        <v>51.125</v>
      </c>
      <c r="P536">
        <v>10728</v>
      </c>
      <c r="Q536">
        <v>328</v>
      </c>
      <c r="R536" s="31">
        <f>300/2</f>
        <v>150</v>
      </c>
      <c r="S536" s="30">
        <f>IFERROR(PROPERTIES[[#This Row],[TE_STARTING_KN]]/(PROPERTIES[[#This Row],[WEIGHT]]*9.81),0)</f>
        <v>0.29908107340197243</v>
      </c>
      <c r="T536" s="30">
        <v>0.98</v>
      </c>
      <c r="U536" s="27">
        <f>ROUND(IF(IFERROR(PROPERTIES[[#This Row],[TE_COEFFICIENT_CALC]],0)=0,PROPERTIES[[#This Row],[TE_COEFFICIENT_MANUAL]],PROPERTIES[[#This Row],[TE_COEFFICIENT_CALC]]),3)</f>
        <v>0.29899999999999999</v>
      </c>
      <c r="V536" s="6">
        <v>25</v>
      </c>
      <c r="W536" s="10">
        <f>INT(441/8)</f>
        <v>55</v>
      </c>
      <c r="X536" s="10">
        <v>8</v>
      </c>
      <c r="Y536" s="11"/>
      <c r="Z536" t="s">
        <v>905</v>
      </c>
      <c r="AA536" t="s">
        <v>904</v>
      </c>
      <c r="AB536" s="2" t="s">
        <v>922</v>
      </c>
      <c r="AC536" s="10" t="s">
        <v>1000</v>
      </c>
      <c r="AD536" s="10" t="s">
        <v>1001</v>
      </c>
      <c r="AE536" s="11" t="str">
        <f>SUBSTITUTE(SUBSTITUTE(PROPERTIES[[#This Row],[PURCHASECOST_VALUE]], "PURCHASECOST_", ""), "_VALUE", "")</f>
        <v>EMU</v>
      </c>
      <c r="AF536" s="10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564</v>
      </c>
      <c r="B537">
        <v>2005</v>
      </c>
      <c r="C537">
        <v>1</v>
      </c>
      <c r="D537" t="s">
        <v>1809</v>
      </c>
      <c r="E537" t="str">
        <f>_xlfn.XLOOKUP(PROPERTIES[[#This Row],[COUNTRY]],COUNTRIES[COUNTRY_DESCRIPTION],COUNTRIES[COUNTRY_LABEL],"")</f>
        <v>BG</v>
      </c>
      <c r="F537" t="s">
        <v>74</v>
      </c>
      <c r="G537" t="s">
        <v>18</v>
      </c>
      <c r="H537" s="10">
        <f>INT(190/2)</f>
        <v>95</v>
      </c>
      <c r="I537">
        <v>8</v>
      </c>
      <c r="J537">
        <v>8</v>
      </c>
      <c r="K537" s="2" t="s">
        <v>24</v>
      </c>
      <c r="L537">
        <f>_xlfn.XLOOKUP("LOADINGSPEEDDEF_"&amp;PROPERTIES[[#This Row],[LOADINGSPEED]],LOADINGSPEEDDEF[TYPE],LOADINGSPEEDDEF[SPEED])</f>
        <v>40</v>
      </c>
      <c r="M537" t="s">
        <v>21</v>
      </c>
      <c r="N537">
        <v>1</v>
      </c>
      <c r="O537" s="34">
        <f>88/2</f>
        <v>44</v>
      </c>
      <c r="P537">
        <v>1740</v>
      </c>
      <c r="Q537">
        <v>120</v>
      </c>
      <c r="R537" s="31">
        <v>0</v>
      </c>
      <c r="S537" s="30">
        <f>IFERROR(PROPERTIES[[#This Row],[TE_STARTING_KN]]/(PROPERTIES[[#This Row],[WEIGHT]]*9.81),0)</f>
        <v>0</v>
      </c>
      <c r="T537" s="30">
        <v>0.21</v>
      </c>
      <c r="U537" s="27">
        <f>ROUND(IF(IFERROR(PROPERTIES[[#This Row],[TE_COEFFICIENT_CALC]],0)=0,PROPERTIES[[#This Row],[TE_COEFFICIENT_MANUAL]],PROPERTIES[[#This Row],[TE_COEFFICIENT_CALC]]),3)</f>
        <v>0.21</v>
      </c>
      <c r="V537" s="6">
        <v>25</v>
      </c>
      <c r="W537" s="10">
        <f>INT(190/2)</f>
        <v>95</v>
      </c>
      <c r="X537" s="10">
        <v>8</v>
      </c>
      <c r="Y537" s="11"/>
      <c r="Z537" t="s">
        <v>911</v>
      </c>
      <c r="AA537" t="s">
        <v>904</v>
      </c>
      <c r="AB537" s="2" t="s">
        <v>922</v>
      </c>
      <c r="AC537" s="10" t="s">
        <v>1000</v>
      </c>
      <c r="AD537" s="10" t="s">
        <v>1001</v>
      </c>
      <c r="AE537" s="11" t="str">
        <f>SUBSTITUTE(SUBSTITUTE(PROPERTIES[[#This Row],[PURCHASECOST_VALUE]], "PURCHASECOST_", ""), "_VALUE", "")</f>
        <v>EMU</v>
      </c>
      <c r="AF537" s="10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565</v>
      </c>
      <c r="B538">
        <v>1975</v>
      </c>
      <c r="C538">
        <v>1</v>
      </c>
      <c r="D538" t="s">
        <v>1857</v>
      </c>
      <c r="E538" t="str">
        <f>_xlfn.XLOOKUP(PROPERTIES[[#This Row],[COUNTRY]],COUNTRIES[COUNTRY_DESCRIPTION],COUNTRIES[COUNTRY_LABEL],"")</f>
        <v>FI</v>
      </c>
      <c r="F538" t="s">
        <v>74</v>
      </c>
      <c r="G538" t="s">
        <v>18</v>
      </c>
      <c r="H538">
        <v>100</v>
      </c>
      <c r="I538">
        <v>8</v>
      </c>
      <c r="J538">
        <v>8</v>
      </c>
      <c r="K538" s="2" t="s">
        <v>24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4">
        <f>(46.5+76)/2</f>
        <v>61.25</v>
      </c>
      <c r="P538">
        <v>818</v>
      </c>
      <c r="Q538">
        <v>120</v>
      </c>
      <c r="R538" s="31">
        <f>85/2</f>
        <v>42.5</v>
      </c>
      <c r="S538" s="30">
        <f>IFERROR(PROPERTIES[[#This Row],[TE_STARTING_KN]]/(PROPERTIES[[#This Row],[WEIGHT]]*9.81),0)</f>
        <v>7.0731656577003879E-2</v>
      </c>
      <c r="T538" s="30">
        <v>0.22</v>
      </c>
      <c r="U538" s="27">
        <f>ROUND(IF(IFERROR(PROPERTIES[[#This Row],[TE_COEFFICIENT_CALC]],0)=0,PROPERTIES[[#This Row],[TE_COEFFICIENT_MANUAL]],PROPERTIES[[#This Row],[TE_COEFFICIENT_CALC]]),3)</f>
        <v>7.0999999999999994E-2</v>
      </c>
      <c r="V538" s="6">
        <v>25</v>
      </c>
      <c r="W538" s="10">
        <v>100</v>
      </c>
      <c r="X538" s="10">
        <v>8</v>
      </c>
      <c r="Y538" s="11"/>
      <c r="Z538" t="s">
        <v>909</v>
      </c>
      <c r="AA538" t="s">
        <v>904</v>
      </c>
      <c r="AB538" s="2" t="s">
        <v>922</v>
      </c>
      <c r="AC538" s="10" t="s">
        <v>1000</v>
      </c>
      <c r="AD538" s="10" t="s">
        <v>1001</v>
      </c>
      <c r="AE538" s="11" t="str">
        <f>SUBSTITUTE(SUBSTITUTE(PROPERTIES[[#This Row],[PURCHASECOST_VALUE]], "PURCHASECOST_", ""), "_VALUE", "")</f>
        <v>EMU</v>
      </c>
      <c r="AF538" s="10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566</v>
      </c>
      <c r="B539">
        <v>1999</v>
      </c>
      <c r="C539">
        <v>1</v>
      </c>
      <c r="D539" t="s">
        <v>1857</v>
      </c>
      <c r="E539" t="str">
        <f>_xlfn.XLOOKUP(PROPERTIES[[#This Row],[COUNTRY]],COUNTRIES[COUNTRY_DESCRIPTION],COUNTRIES[COUNTRY_LABEL],"")</f>
        <v>FI</v>
      </c>
      <c r="F539" t="s">
        <v>74</v>
      </c>
      <c r="G539" t="s">
        <v>18</v>
      </c>
      <c r="H539">
        <f>184/2</f>
        <v>92</v>
      </c>
      <c r="I539">
        <v>8</v>
      </c>
      <c r="J539">
        <v>8</v>
      </c>
      <c r="K539" s="2" t="s">
        <v>24</v>
      </c>
      <c r="L539">
        <f>_xlfn.XLOOKUP("LOADINGSPEEDDEF_"&amp;PROPERTIES[[#This Row],[LOADINGSPEED]],LOADINGSPEEDDEF[TYPE],LOADINGSPEEDDEF[SPEED])</f>
        <v>40</v>
      </c>
      <c r="M539" t="s">
        <v>21</v>
      </c>
      <c r="N539">
        <v>1</v>
      </c>
      <c r="O539" s="34">
        <v>57</v>
      </c>
      <c r="P539">
        <v>1636</v>
      </c>
      <c r="Q539">
        <v>160</v>
      </c>
      <c r="R539" s="31">
        <v>0</v>
      </c>
      <c r="S539" s="30">
        <f>IFERROR(PROPERTIES[[#This Row],[TE_STARTING_KN]]/(PROPERTIES[[#This Row],[WEIGHT]]*9.81),0)</f>
        <v>0</v>
      </c>
      <c r="T539" s="30">
        <v>0.18</v>
      </c>
      <c r="U539" s="27">
        <f>ROUND(IF(IFERROR(PROPERTIES[[#This Row],[TE_COEFFICIENT_CALC]],0)=0,PROPERTIES[[#This Row],[TE_COEFFICIENT_MANUAL]],PROPERTIES[[#This Row],[TE_COEFFICIENT_CALC]]),3)</f>
        <v>0.18</v>
      </c>
      <c r="V539" s="6">
        <v>25</v>
      </c>
      <c r="W539" s="10">
        <f>184/2</f>
        <v>92</v>
      </c>
      <c r="X539" s="10">
        <v>8</v>
      </c>
      <c r="Y539" s="11"/>
      <c r="Z539" t="s">
        <v>909</v>
      </c>
      <c r="AA539" t="s">
        <v>904</v>
      </c>
      <c r="AB539" s="2" t="s">
        <v>922</v>
      </c>
      <c r="AC539" s="10" t="s">
        <v>1000</v>
      </c>
      <c r="AD539" s="10" t="s">
        <v>1001</v>
      </c>
      <c r="AE539" s="11" t="str">
        <f>SUBSTITUTE(SUBSTITUTE(PROPERTIES[[#This Row],[PURCHASECOST_VALUE]], "PURCHASECOST_", ""), "_VALUE", "")</f>
        <v>EMU</v>
      </c>
      <c r="AF539" s="10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567</v>
      </c>
      <c r="B540">
        <v>1988</v>
      </c>
      <c r="C540">
        <v>1</v>
      </c>
      <c r="D540" t="s">
        <v>1886</v>
      </c>
      <c r="E540" t="str">
        <f>_xlfn.XLOOKUP(PROPERTIES[[#This Row],[COUNTRY]],COUNTRIES[COUNTRY_DESCRIPTION],COUNTRIES[COUNTRY_LABEL],"")</f>
        <v>HU</v>
      </c>
      <c r="F540" t="s">
        <v>74</v>
      </c>
      <c r="G540" t="s">
        <v>18</v>
      </c>
      <c r="H540">
        <f>INT(344/4)</f>
        <v>86</v>
      </c>
      <c r="I540">
        <v>8</v>
      </c>
      <c r="J540">
        <v>8</v>
      </c>
      <c r="K540" s="2" t="s">
        <v>24</v>
      </c>
      <c r="L540">
        <f>_xlfn.XLOOKUP("LOADINGSPEEDDEF_"&amp;PROPERTIES[[#This Row],[LOADINGSPEED]],LOADINGSPEEDDEF[TYPE],LOADINGSPEEDDEF[SPEED])</f>
        <v>40</v>
      </c>
      <c r="M540" t="s">
        <v>21</v>
      </c>
      <c r="N540">
        <v>1</v>
      </c>
      <c r="O540" s="34">
        <v>66</v>
      </c>
      <c r="P540">
        <v>2040</v>
      </c>
      <c r="Q540">
        <v>120</v>
      </c>
      <c r="R540" s="31">
        <v>0</v>
      </c>
      <c r="S540" s="30">
        <f>IFERROR(PROPERTIES[[#This Row],[TE_STARTING_KN]]/(PROPERTIES[[#This Row],[WEIGHT]]*9.81),0)</f>
        <v>0</v>
      </c>
      <c r="T540" s="30">
        <v>0.11</v>
      </c>
      <c r="U540" s="27">
        <f>ROUND(IF(IFERROR(PROPERTIES[[#This Row],[TE_COEFFICIENT_CALC]],0)=0,PROPERTIES[[#This Row],[TE_COEFFICIENT_MANUAL]],PROPERTIES[[#This Row],[TE_COEFFICIENT_CALC]]),3)</f>
        <v>0.11</v>
      </c>
      <c r="V540" s="6">
        <v>25</v>
      </c>
      <c r="W540" s="10">
        <f>INT(344/4)</f>
        <v>86</v>
      </c>
      <c r="X540" s="10">
        <v>8</v>
      </c>
      <c r="Y540" s="11"/>
      <c r="Z540" t="s">
        <v>911</v>
      </c>
      <c r="AA540" t="s">
        <v>904</v>
      </c>
      <c r="AB540" s="2" t="s">
        <v>922</v>
      </c>
      <c r="AC540" s="10" t="s">
        <v>1000</v>
      </c>
      <c r="AD540" s="10" t="s">
        <v>1001</v>
      </c>
      <c r="AE540" s="11" t="str">
        <f>SUBSTITUTE(SUBSTITUTE(PROPERTIES[[#This Row],[PURCHASECOST_VALUE]], "PURCHASECOST_", ""), "_VALUE", "")</f>
        <v>EMU</v>
      </c>
      <c r="AF540" s="10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568</v>
      </c>
      <c r="B541">
        <v>2030</v>
      </c>
      <c r="C541">
        <v>1</v>
      </c>
      <c r="D541" t="s">
        <v>2037</v>
      </c>
      <c r="E541" t="str">
        <f>_xlfn.XLOOKUP(PROPERTIES[[#This Row],[COUNTRY]],COUNTRIES[COUNTRY_DESCRIPTION],COUNTRIES[COUNTRY_LABEL],"")</f>
        <v>EU</v>
      </c>
      <c r="F541" t="s">
        <v>74</v>
      </c>
      <c r="G541" t="s">
        <v>18</v>
      </c>
      <c r="H541">
        <v>85</v>
      </c>
      <c r="I541">
        <v>8</v>
      </c>
      <c r="J541">
        <v>8</v>
      </c>
      <c r="K541" s="2" t="s">
        <v>479</v>
      </c>
      <c r="L541">
        <f>_xlfn.XLOOKUP("LOADINGSPEEDDEF_"&amp;PROPERTIES[[#This Row],[LOADINGSPEED]],LOADINGSPEEDDEF[TYPE],LOADINGSPEEDDEF[SPEED])</f>
        <v>16</v>
      </c>
      <c r="M541" t="s">
        <v>21</v>
      </c>
      <c r="N541">
        <v>1</v>
      </c>
      <c r="O541" s="34">
        <v>50</v>
      </c>
      <c r="P541">
        <v>16000</v>
      </c>
      <c r="Q541">
        <v>300</v>
      </c>
      <c r="R541" s="31">
        <v>0</v>
      </c>
      <c r="S541" s="30">
        <f>IFERROR(PROPERTIES[[#This Row],[TE_STARTING_KN]]/(PROPERTIES[[#This Row],[WEIGHT]]*9.81),0)</f>
        <v>0</v>
      </c>
      <c r="T541" s="30">
        <v>0.22</v>
      </c>
      <c r="U541" s="27">
        <f>ROUND(IF(IFERROR(PROPERTIES[[#This Row],[TE_COEFFICIENT_CALC]],0)=0,PROPERTIES[[#This Row],[TE_COEFFICIENT_MANUAL]],PROPERTIES[[#This Row],[TE_COEFFICIENT_CALC]]),3)</f>
        <v>0.22</v>
      </c>
      <c r="V541" s="6">
        <v>25</v>
      </c>
      <c r="W541" s="10">
        <v>85</v>
      </c>
      <c r="X541" s="10">
        <v>8</v>
      </c>
      <c r="Y541" s="11"/>
      <c r="Z541" t="s">
        <v>914</v>
      </c>
      <c r="AA541" t="s">
        <v>904</v>
      </c>
      <c r="AB541" s="2" t="s">
        <v>923</v>
      </c>
      <c r="AC541" s="10" t="s">
        <v>1000</v>
      </c>
      <c r="AD541" s="10" t="s">
        <v>1001</v>
      </c>
      <c r="AE541" s="11" t="str">
        <f>SUBSTITUTE(SUBSTITUTE(PROPERTIES[[#This Row],[PURCHASECOST_VALUE]], "PURCHASECOST_", ""), "_VALUE", "")</f>
        <v>EMU</v>
      </c>
      <c r="AF541" s="10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569</v>
      </c>
      <c r="B542">
        <v>1964</v>
      </c>
      <c r="C542">
        <v>1</v>
      </c>
      <c r="D542" t="s">
        <v>1900</v>
      </c>
      <c r="E542" t="str">
        <f>_xlfn.XLOOKUP(PROPERTIES[[#This Row],[COUNTRY]],COUNTRIES[COUNTRY_DESCRIPTION],COUNTRIES[COUNTRY_LABEL],"")</f>
        <v>JP</v>
      </c>
      <c r="F542" t="s">
        <v>74</v>
      </c>
      <c r="G542" t="s">
        <v>18</v>
      </c>
      <c r="H542">
        <v>75</v>
      </c>
      <c r="I542">
        <v>8</v>
      </c>
      <c r="J542">
        <v>8</v>
      </c>
      <c r="K542" s="2" t="s">
        <v>479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4">
        <v>59</v>
      </c>
      <c r="P542">
        <f>992*2</f>
        <v>1984</v>
      </c>
      <c r="Q542">
        <v>210</v>
      </c>
      <c r="R542" s="31">
        <v>65</v>
      </c>
      <c r="S542" s="30">
        <f>IFERROR(PROPERTIES[[#This Row],[TE_STARTING_KN]]/(PROPERTIES[[#This Row],[WEIGHT]]*9.81),0)</f>
        <v>0.1123032533388621</v>
      </c>
      <c r="T542" s="30">
        <v>0.3</v>
      </c>
      <c r="U542" s="27">
        <f>ROUND(IF(IFERROR(PROPERTIES[[#This Row],[TE_COEFFICIENT_CALC]],0)=0,PROPERTIES[[#This Row],[TE_COEFFICIENT_MANUAL]],PROPERTIES[[#This Row],[TE_COEFFICIENT_CALC]]),3)</f>
        <v>0.112</v>
      </c>
      <c r="V542" s="6">
        <v>44</v>
      </c>
      <c r="W542" s="10">
        <v>100</v>
      </c>
      <c r="X542" s="10">
        <v>8</v>
      </c>
      <c r="Y542" s="11"/>
      <c r="Z542" t="s">
        <v>913</v>
      </c>
      <c r="AA542" t="s">
        <v>904</v>
      </c>
      <c r="AB542" s="2" t="s">
        <v>922</v>
      </c>
      <c r="AC542" s="10" t="s">
        <v>1000</v>
      </c>
      <c r="AD542" s="10" t="s">
        <v>1001</v>
      </c>
      <c r="AE542" s="11" t="str">
        <f>SUBSTITUTE(SUBSTITUTE(PROPERTIES[[#This Row],[PURCHASECOST_VALUE]], "PURCHASECOST_", ""), "_VALUE", "")</f>
        <v>EMU</v>
      </c>
      <c r="AF542" s="10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570</v>
      </c>
      <c r="B543">
        <v>1997</v>
      </c>
      <c r="C543">
        <v>1</v>
      </c>
      <c r="D543" t="s">
        <v>1900</v>
      </c>
      <c r="E543" t="str">
        <f>_xlfn.XLOOKUP(PROPERTIES[[#This Row],[COUNTRY]],COUNTRIES[COUNTRY_DESCRIPTION],COUNTRIES[COUNTRY_LABEL],"")</f>
        <v>JP</v>
      </c>
      <c r="F543" t="s">
        <v>74</v>
      </c>
      <c r="G543" t="s">
        <v>18</v>
      </c>
      <c r="H543">
        <v>65</v>
      </c>
      <c r="I543">
        <v>8</v>
      </c>
      <c r="J543">
        <v>8</v>
      </c>
      <c r="K543" s="2" t="s">
        <v>479</v>
      </c>
      <c r="L543">
        <f>_xlfn.XLOOKUP("LOADINGSPEEDDEF_"&amp;PROPERTIES[[#This Row],[LOADINGSPEED]],LOADINGSPEEDDEF[TYPE],LOADINGSPEEDDEF[SPEED])</f>
        <v>16</v>
      </c>
      <c r="M543" t="s">
        <v>21</v>
      </c>
      <c r="N543">
        <v>1</v>
      </c>
      <c r="O543" s="34">
        <v>45</v>
      </c>
      <c r="P543">
        <f>905*2</f>
        <v>1810</v>
      </c>
      <c r="Q543">
        <v>270</v>
      </c>
      <c r="R543" s="31">
        <v>60</v>
      </c>
      <c r="S543" s="30">
        <f>IFERROR(PROPERTIES[[#This Row],[TE_STARTING_KN]]/(PROPERTIES[[#This Row],[WEIGHT]]*9.81),0)</f>
        <v>0.13591573224600745</v>
      </c>
      <c r="T543" s="30">
        <v>0.56000000000000005</v>
      </c>
      <c r="U543" s="27">
        <f>ROUND(IF(IFERROR(PROPERTIES[[#This Row],[TE_COEFFICIENT_CALC]],0)=0,PROPERTIES[[#This Row],[TE_COEFFICIENT_MANUAL]],PROPERTIES[[#This Row],[TE_COEFFICIENT_CALC]]),3)</f>
        <v>0.13600000000000001</v>
      </c>
      <c r="V543" s="6">
        <v>25</v>
      </c>
      <c r="W543" s="10">
        <v>100</v>
      </c>
      <c r="X543" s="10">
        <v>8</v>
      </c>
      <c r="Y543" s="11"/>
      <c r="Z543" t="s">
        <v>913</v>
      </c>
      <c r="AA543" t="s">
        <v>904</v>
      </c>
      <c r="AB543" s="2" t="s">
        <v>922</v>
      </c>
      <c r="AC543" s="10" t="s">
        <v>1000</v>
      </c>
      <c r="AD543" s="10" t="s">
        <v>1001</v>
      </c>
      <c r="AE543" s="11" t="str">
        <f>SUBSTITUTE(SUBSTITUTE(PROPERTIES[[#This Row],[PURCHASECOST_VALUE]], "PURCHASECOST_", ""), "_VALUE", "")</f>
        <v>EMU</v>
      </c>
      <c r="AF543" s="10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571</v>
      </c>
      <c r="B544">
        <v>1994</v>
      </c>
      <c r="C544">
        <v>1</v>
      </c>
      <c r="D544" t="s">
        <v>1900</v>
      </c>
      <c r="E544" t="str">
        <f>_xlfn.XLOOKUP(PROPERTIES[[#This Row],[COUNTRY]],COUNTRIES[COUNTRY_DESCRIPTION],COUNTRIES[COUNTRY_LABEL],"")</f>
        <v>JP</v>
      </c>
      <c r="F544" t="s">
        <v>74</v>
      </c>
      <c r="G544" t="s">
        <v>18</v>
      </c>
      <c r="H544">
        <v>80</v>
      </c>
      <c r="I544">
        <v>8</v>
      </c>
      <c r="J544">
        <v>8</v>
      </c>
      <c r="K544" s="2" t="s">
        <v>24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4">
        <v>59.2</v>
      </c>
      <c r="P544">
        <f>1395*2</f>
        <v>2790</v>
      </c>
      <c r="Q544">
        <v>240</v>
      </c>
      <c r="R544" s="31">
        <v>80</v>
      </c>
      <c r="S544" s="30">
        <f>IFERROR(PROPERTIES[[#This Row],[TE_STARTING_KN]]/(PROPERTIES[[#This Row],[WEIGHT]]*9.81),0)</f>
        <v>0.13775243133041296</v>
      </c>
      <c r="T544" s="30">
        <v>0.3</v>
      </c>
      <c r="U544" s="27">
        <f>ROUND(IF(IFERROR(PROPERTIES[[#This Row],[TE_COEFFICIENT_CALC]],0)=0,PROPERTIES[[#This Row],[TE_COEFFICIENT_MANUAL]],PROPERTIES[[#This Row],[TE_COEFFICIENT_CALC]]),3)</f>
        <v>0.13800000000000001</v>
      </c>
      <c r="V544" s="6">
        <v>40</v>
      </c>
      <c r="W544" s="10">
        <v>103</v>
      </c>
      <c r="X544" s="10">
        <v>8</v>
      </c>
      <c r="Y544" s="11"/>
      <c r="Z544" t="s">
        <v>913</v>
      </c>
      <c r="AA544" t="s">
        <v>904</v>
      </c>
      <c r="AB544" s="2" t="s">
        <v>922</v>
      </c>
      <c r="AC544" s="10" t="s">
        <v>1000</v>
      </c>
      <c r="AD544" s="10" t="s">
        <v>1001</v>
      </c>
      <c r="AE544" s="11" t="str">
        <f>SUBSTITUTE(SUBSTITUTE(PROPERTIES[[#This Row],[PURCHASECOST_VALUE]], "PURCHASECOST_", ""), "_VALUE", "")</f>
        <v>EMU</v>
      </c>
      <c r="AF544" s="10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572</v>
      </c>
      <c r="B545">
        <v>1999</v>
      </c>
      <c r="C545">
        <v>1</v>
      </c>
      <c r="D545" t="s">
        <v>1920</v>
      </c>
      <c r="E545" t="str">
        <f>_xlfn.XLOOKUP(PROPERTIES[[#This Row],[COUNTRY]],COUNTRIES[COUNTRY_DESCRIPTION],COUNTRIES[COUNTRY_LABEL],"")</f>
        <v>LU</v>
      </c>
      <c r="F545" t="s">
        <v>74</v>
      </c>
      <c r="G545" t="s">
        <v>18</v>
      </c>
      <c r="H545">
        <v>111</v>
      </c>
      <c r="I545">
        <v>8</v>
      </c>
      <c r="J545">
        <v>8</v>
      </c>
      <c r="K545" s="2" t="s">
        <v>24</v>
      </c>
      <c r="L545">
        <f>_xlfn.XLOOKUP("LOADINGSPEEDDEF_"&amp;PROPERTIES[[#This Row],[LOADINGSPEED]],LOADINGSPEEDDEF[TYPE],LOADINGSPEEDDEF[SPEED])</f>
        <v>40</v>
      </c>
      <c r="M545" t="s">
        <v>21</v>
      </c>
      <c r="N545">
        <v>1</v>
      </c>
      <c r="O545" s="34">
        <v>64</v>
      </c>
      <c r="P545">
        <v>3410</v>
      </c>
      <c r="Q545">
        <v>160</v>
      </c>
      <c r="R545" s="31">
        <f>240/2</f>
        <v>120</v>
      </c>
      <c r="S545" s="30">
        <f>IFERROR(PROPERTIES[[#This Row],[TE_STARTING_KN]]/(PROPERTIES[[#This Row],[WEIGHT]]*9.81),0)</f>
        <v>0.19113149847094801</v>
      </c>
      <c r="T545" s="30">
        <v>0.26</v>
      </c>
      <c r="U545" s="27">
        <f>ROUND(IF(IFERROR(PROPERTIES[[#This Row],[TE_COEFFICIENT_CALC]],0)=0,PROPERTIES[[#This Row],[TE_COEFFICIENT_MANUAL]],PROPERTIES[[#This Row],[TE_COEFFICIENT_CALC]]),3)</f>
        <v>0.191</v>
      </c>
      <c r="V545" s="6">
        <v>25</v>
      </c>
      <c r="W545" s="10">
        <v>111</v>
      </c>
      <c r="X545" s="10">
        <v>8</v>
      </c>
      <c r="Y545" s="11"/>
      <c r="Z545" t="s">
        <v>905</v>
      </c>
      <c r="AA545" t="s">
        <v>904</v>
      </c>
      <c r="AB545" s="2" t="s">
        <v>922</v>
      </c>
      <c r="AC545" s="10" t="s">
        <v>1000</v>
      </c>
      <c r="AD545" s="10" t="s">
        <v>1001</v>
      </c>
      <c r="AE545" s="11" t="str">
        <f>SUBSTITUTE(SUBSTITUTE(PROPERTIES[[#This Row],[PURCHASECOST_VALUE]], "PURCHASECOST_", ""), "_VALUE", "")</f>
        <v>EMU</v>
      </c>
      <c r="AF545" s="10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573</v>
      </c>
      <c r="B546">
        <v>1980</v>
      </c>
      <c r="C546">
        <v>1</v>
      </c>
      <c r="D546" t="s">
        <v>1930</v>
      </c>
      <c r="E546" t="str">
        <f>_xlfn.XLOOKUP(PROPERTIES[[#This Row],[COUNTRY]],COUNTRIES[COUNTRY_DESCRIPTION],COUNTRIES[COUNTRY_LABEL],"")</f>
        <v>MK</v>
      </c>
      <c r="F546" t="s">
        <v>74</v>
      </c>
      <c r="G546" t="s">
        <v>18</v>
      </c>
      <c r="H546">
        <v>68</v>
      </c>
      <c r="I546">
        <v>8</v>
      </c>
      <c r="J546">
        <v>8</v>
      </c>
      <c r="K546" s="2" t="s">
        <v>24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4">
        <v>55</v>
      </c>
      <c r="P546">
        <v>340</v>
      </c>
      <c r="Q546">
        <v>120</v>
      </c>
      <c r="R546" s="31">
        <v>0</v>
      </c>
      <c r="S546" s="30">
        <f>IFERROR(PROPERTIES[[#This Row],[TE_STARTING_KN]]/(PROPERTIES[[#This Row],[WEIGHT]]*9.81),0)</f>
        <v>0</v>
      </c>
      <c r="T546" s="30">
        <v>0.15</v>
      </c>
      <c r="U546" s="27">
        <f>ROUND(IF(IFERROR(PROPERTIES[[#This Row],[TE_COEFFICIENT_CALC]],0)=0,PROPERTIES[[#This Row],[TE_COEFFICIENT_MANUAL]],PROPERTIES[[#This Row],[TE_COEFFICIENT_CALC]]),3)</f>
        <v>0.15</v>
      </c>
      <c r="V546" s="6">
        <v>25</v>
      </c>
      <c r="W546" s="10">
        <v>68</v>
      </c>
      <c r="X546" s="10">
        <v>8</v>
      </c>
      <c r="Y546" s="11"/>
      <c r="Z546" t="s">
        <v>906</v>
      </c>
      <c r="AA546" t="s">
        <v>904</v>
      </c>
      <c r="AB546" s="2" t="s">
        <v>922</v>
      </c>
      <c r="AC546" s="10" t="s">
        <v>1000</v>
      </c>
      <c r="AD546" s="10" t="s">
        <v>1001</v>
      </c>
      <c r="AE546" s="11" t="str">
        <f>SUBSTITUTE(SUBSTITUTE(PROPERTIES[[#This Row],[PURCHASECOST_VALUE]], "PURCHASECOST_", ""), "_VALUE", "")</f>
        <v>EMU</v>
      </c>
      <c r="AF546" s="10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574</v>
      </c>
      <c r="B547">
        <v>1965</v>
      </c>
      <c r="C547">
        <v>1</v>
      </c>
      <c r="D547" t="s">
        <v>1975</v>
      </c>
      <c r="E547" t="str">
        <f>_xlfn.XLOOKUP(PROPERTIES[[#This Row],[COUNTRY]],COUNTRIES[COUNTRY_DESCRIPTION],COUNTRIES[COUNTRY_LABEL],"")</f>
        <v>RO</v>
      </c>
      <c r="F547" t="s">
        <v>74</v>
      </c>
      <c r="G547" t="s">
        <v>18</v>
      </c>
      <c r="H547">
        <f>INT(273/4)</f>
        <v>68</v>
      </c>
      <c r="I547">
        <v>8</v>
      </c>
      <c r="J547">
        <v>8</v>
      </c>
      <c r="K547" s="2" t="s">
        <v>24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4">
        <v>35</v>
      </c>
      <c r="P547">
        <v>824</v>
      </c>
      <c r="Q547">
        <v>120</v>
      </c>
      <c r="R547" s="31">
        <v>73.5</v>
      </c>
      <c r="S547" s="30">
        <f>IFERROR(PROPERTIES[[#This Row],[TE_STARTING_KN]]/(PROPERTIES[[#This Row],[WEIGHT]]*9.81),0)</f>
        <v>0.21406727828746175</v>
      </c>
      <c r="T547" s="30">
        <v>0.42</v>
      </c>
      <c r="U547" s="27">
        <f>ROUND(IF(IFERROR(PROPERTIES[[#This Row],[TE_COEFFICIENT_CALC]],0)=0,PROPERTIES[[#This Row],[TE_COEFFICIENT_MANUAL]],PROPERTIES[[#This Row],[TE_COEFFICIENT_CALC]]),3)</f>
        <v>0.214</v>
      </c>
      <c r="V547" s="6">
        <v>40</v>
      </c>
      <c r="W547" s="10">
        <f>INT(273/4)</f>
        <v>68</v>
      </c>
      <c r="X547" s="10">
        <v>8</v>
      </c>
      <c r="Y547" s="11"/>
      <c r="Z547" t="s">
        <v>911</v>
      </c>
      <c r="AA547" t="s">
        <v>904</v>
      </c>
      <c r="AB547" s="2" t="s">
        <v>922</v>
      </c>
      <c r="AC547" s="10" t="s">
        <v>1000</v>
      </c>
      <c r="AD547" s="10" t="s">
        <v>1001</v>
      </c>
      <c r="AE547" s="11" t="str">
        <f>SUBSTITUTE(SUBSTITUTE(PROPERTIES[[#This Row],[PURCHASECOST_VALUE]], "PURCHASECOST_", ""), "_VALUE", "")</f>
        <v>EMU</v>
      </c>
      <c r="AF547" s="10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575</v>
      </c>
      <c r="B548">
        <v>2010</v>
      </c>
      <c r="C548">
        <v>1</v>
      </c>
      <c r="D548" t="s">
        <v>2033</v>
      </c>
      <c r="E548" t="str">
        <f>_xlfn.XLOOKUP(PROPERTIES[[#This Row],[COUNTRY]],COUNTRIES[COUNTRY_DESCRIPTION],COUNTRIES[COUNTRY_LABEL],"")</f>
        <v>ZA</v>
      </c>
      <c r="F548" t="s">
        <v>74</v>
      </c>
      <c r="G548" t="s">
        <v>18</v>
      </c>
      <c r="H548">
        <v>64</v>
      </c>
      <c r="I548">
        <v>8</v>
      </c>
      <c r="J548">
        <v>8</v>
      </c>
      <c r="K548" s="2" t="s">
        <v>479</v>
      </c>
      <c r="L548">
        <f>_xlfn.XLOOKUP("LOADINGSPEEDDEF_"&amp;PROPERTIES[[#This Row],[LOADINGSPEED]],LOADINGSPEEDDEF[TYPE],LOADINGSPEEDDEF[SPEED])</f>
        <v>16</v>
      </c>
      <c r="M548" t="s">
        <v>21</v>
      </c>
      <c r="N548">
        <v>1</v>
      </c>
      <c r="O548" s="34">
        <v>42</v>
      </c>
      <c r="P548">
        <v>2253</v>
      </c>
      <c r="Q548">
        <v>160</v>
      </c>
      <c r="R548" s="31">
        <f>150/2</f>
        <v>75</v>
      </c>
      <c r="S548" s="30">
        <f>IFERROR(PROPERTIES[[#This Row],[TE_STARTING_KN]]/(PROPERTIES[[#This Row],[WEIGHT]]*9.81),0)</f>
        <v>0.18202999854376001</v>
      </c>
      <c r="T548" s="30">
        <v>0.3</v>
      </c>
      <c r="U548" s="27">
        <f>ROUND(IF(IFERROR(PROPERTIES[[#This Row],[TE_COEFFICIENT_CALC]],0)=0,PROPERTIES[[#This Row],[TE_COEFFICIENT_MANUAL]],PROPERTIES[[#This Row],[TE_COEFFICIENT_CALC]]),3)</f>
        <v>0.182</v>
      </c>
      <c r="V548" s="6">
        <v>25</v>
      </c>
      <c r="W548" s="10">
        <v>64</v>
      </c>
      <c r="X548" s="10">
        <v>8</v>
      </c>
      <c r="Y548" s="11"/>
      <c r="Z548" t="s">
        <v>908</v>
      </c>
      <c r="AA548" t="s">
        <v>904</v>
      </c>
      <c r="AB548" s="2" t="s">
        <v>922</v>
      </c>
      <c r="AC548" s="10" t="s">
        <v>1000</v>
      </c>
      <c r="AD548" s="10" t="s">
        <v>1001</v>
      </c>
      <c r="AE548" s="11" t="str">
        <f>SUBSTITUTE(SUBSTITUTE(PROPERTIES[[#This Row],[PURCHASECOST_VALUE]], "PURCHASECOST_", ""), "_VALUE", "")</f>
        <v>EMU</v>
      </c>
      <c r="AF548" s="10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576</v>
      </c>
      <c r="B549">
        <v>1955</v>
      </c>
      <c r="C549">
        <v>1</v>
      </c>
      <c r="D549" t="s">
        <v>2290</v>
      </c>
      <c r="E549" t="str">
        <f>_xlfn.XLOOKUP(PROPERTIES[[#This Row],[COUNTRY]],COUNTRIES[COUNTRY_DESCRIPTION],COUNTRIES[COUNTRY_LABEL],"")</f>
        <v>TR</v>
      </c>
      <c r="F549" t="s">
        <v>74</v>
      </c>
      <c r="G549" t="s">
        <v>18</v>
      </c>
      <c r="H549">
        <v>81</v>
      </c>
      <c r="I549">
        <v>8</v>
      </c>
      <c r="J549">
        <v>8</v>
      </c>
      <c r="K549" s="2" t="s">
        <v>24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4">
        <v>40</v>
      </c>
      <c r="P549">
        <v>1100</v>
      </c>
      <c r="Q549">
        <v>90</v>
      </c>
      <c r="R549" s="31">
        <f>140/2</f>
        <v>70</v>
      </c>
      <c r="S549" s="30">
        <f>IFERROR(PROPERTIES[[#This Row],[TE_STARTING_KN]]/(PROPERTIES[[#This Row],[WEIGHT]]*9.81),0)</f>
        <v>0.1783893985728848</v>
      </c>
      <c r="T549" s="30">
        <v>0.2</v>
      </c>
      <c r="U549" s="27">
        <f>ROUND(IF(IFERROR(PROPERTIES[[#This Row],[TE_COEFFICIENT_CALC]],0)=0,PROPERTIES[[#This Row],[TE_COEFFICIENT_MANUAL]],PROPERTIES[[#This Row],[TE_COEFFICIENT_CALC]]),3)</f>
        <v>0.17799999999999999</v>
      </c>
      <c r="V549" s="6">
        <v>25</v>
      </c>
      <c r="W549" s="10">
        <v>81</v>
      </c>
      <c r="X549" s="10">
        <v>8</v>
      </c>
      <c r="Y549" s="11"/>
      <c r="Z549" t="s">
        <v>913</v>
      </c>
      <c r="AA549" t="s">
        <v>904</v>
      </c>
      <c r="AB549" s="2" t="s">
        <v>922</v>
      </c>
      <c r="AC549" s="10" t="s">
        <v>1000</v>
      </c>
      <c r="AD549" s="10" t="s">
        <v>1001</v>
      </c>
      <c r="AE549" s="11" t="str">
        <f>SUBSTITUTE(SUBSTITUTE(PROPERTIES[[#This Row],[PURCHASECOST_VALUE]], "PURCHASECOST_", ""), "_VALUE", "")</f>
        <v>EMU</v>
      </c>
      <c r="AF549" s="10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577</v>
      </c>
      <c r="B550">
        <v>2010</v>
      </c>
      <c r="C550">
        <v>1</v>
      </c>
      <c r="D550" t="s">
        <v>1835</v>
      </c>
      <c r="E550" t="str">
        <f>_xlfn.XLOOKUP(PROPERTIES[[#This Row],[COUNTRY]],COUNTRIES[COUNTRY_DESCRIPTION],COUNTRIES[COUNTRY_LABEL],"")</f>
        <v>CN</v>
      </c>
      <c r="F550" t="s">
        <v>74</v>
      </c>
      <c r="G550" t="s">
        <v>18</v>
      </c>
      <c r="H550">
        <v>70</v>
      </c>
      <c r="I550">
        <v>8</v>
      </c>
      <c r="J550">
        <v>8</v>
      </c>
      <c r="K550" s="2" t="s">
        <v>24</v>
      </c>
      <c r="L550">
        <f>_xlfn.XLOOKUP("LOADINGSPEEDDEF_"&amp;PROPERTIES[[#This Row],[LOADINGSPEED]],LOADINGSPEEDDEF[TYPE],LOADINGSPEEDDEF[SPEED])</f>
        <v>40</v>
      </c>
      <c r="M550" t="s">
        <v>21</v>
      </c>
      <c r="N550">
        <v>1</v>
      </c>
      <c r="O550" s="34">
        <v>48</v>
      </c>
      <c r="P550">
        <f>12840/8*2</f>
        <v>3210</v>
      </c>
      <c r="Q550">
        <v>350</v>
      </c>
      <c r="R550" s="31">
        <v>60</v>
      </c>
      <c r="S550" s="30">
        <f>IFERROR(PROPERTIES[[#This Row],[TE_STARTING_KN]]/(PROPERTIES[[#This Row],[WEIGHT]]*9.81),0)</f>
        <v>0.127420998980632</v>
      </c>
      <c r="T550" s="30">
        <v>0.14000000000000001</v>
      </c>
      <c r="U550" s="27">
        <f>ROUND(IF(IFERROR(PROPERTIES[[#This Row],[TE_COEFFICIENT_CALC]],0)=0,PROPERTIES[[#This Row],[TE_COEFFICIENT_MANUAL]],PROPERTIES[[#This Row],[TE_COEFFICIENT_CALC]]),3)</f>
        <v>0.127</v>
      </c>
      <c r="V550" s="6">
        <v>25</v>
      </c>
      <c r="W550" s="10">
        <v>70</v>
      </c>
      <c r="X550" s="10">
        <v>8</v>
      </c>
      <c r="Y550" s="11"/>
      <c r="Z550" t="s">
        <v>913</v>
      </c>
      <c r="AA550" t="s">
        <v>904</v>
      </c>
      <c r="AB550" s="2" t="s">
        <v>922</v>
      </c>
      <c r="AC550" s="10" t="s">
        <v>1000</v>
      </c>
      <c r="AD550" s="10" t="s">
        <v>1001</v>
      </c>
      <c r="AE550" s="11" t="str">
        <f>SUBSTITUTE(SUBSTITUTE(PROPERTIES[[#This Row],[PURCHASECOST_VALUE]], "PURCHASECOST_", ""), "_VALUE", "")</f>
        <v>EMU</v>
      </c>
      <c r="AF550" s="10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578</v>
      </c>
      <c r="B551">
        <v>1908</v>
      </c>
      <c r="C551">
        <v>1</v>
      </c>
      <c r="D551" t="s">
        <v>2019</v>
      </c>
      <c r="E551" t="str">
        <f>_xlfn.XLOOKUP(PROPERTIES[[#This Row],[COUNTRY]],COUNTRIES[COUNTRY_DESCRIPTION],COUNTRIES[COUNTRY_LABEL],"")</f>
        <v>US</v>
      </c>
      <c r="F551" t="s">
        <v>74</v>
      </c>
      <c r="G551" t="s">
        <v>18</v>
      </c>
      <c r="H551">
        <v>72</v>
      </c>
      <c r="I551">
        <v>8</v>
      </c>
      <c r="J551">
        <v>8</v>
      </c>
      <c r="K551" s="2" t="s">
        <v>24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4">
        <v>54</v>
      </c>
      <c r="P551">
        <v>450</v>
      </c>
      <c r="Q551">
        <v>105</v>
      </c>
      <c r="R551" s="31">
        <v>80</v>
      </c>
      <c r="S551" s="30">
        <f>IFERROR(PROPERTIES[[#This Row],[TE_STARTING_KN]]/(PROPERTIES[[#This Row],[WEIGHT]]*9.81),0)</f>
        <v>0.15101748027334164</v>
      </c>
      <c r="T551" s="30">
        <v>0.22</v>
      </c>
      <c r="U551" s="27">
        <f>ROUND(IF(IFERROR(PROPERTIES[[#This Row],[TE_COEFFICIENT_CALC]],0)=0,PROPERTIES[[#This Row],[TE_COEFFICIENT_MANUAL]],PROPERTIES[[#This Row],[TE_COEFFICIENT_CALC]]),3)</f>
        <v>0.151</v>
      </c>
      <c r="V551" s="6">
        <v>25</v>
      </c>
      <c r="W551" s="10">
        <v>72</v>
      </c>
      <c r="X551" s="10">
        <v>8</v>
      </c>
      <c r="Y551" s="11"/>
      <c r="Z551" t="s">
        <v>910</v>
      </c>
      <c r="AA551" t="s">
        <v>904</v>
      </c>
      <c r="AB551" s="2" t="s">
        <v>922</v>
      </c>
      <c r="AC551" s="10" t="s">
        <v>988</v>
      </c>
      <c r="AD551" s="10" t="s">
        <v>989</v>
      </c>
      <c r="AE551" s="11" t="str">
        <f>SUBSTITUTE(SUBSTITUTE(PROPERTIES[[#This Row],[PURCHASECOST_VALUE]], "PURCHASECOST_", ""), "_VALUE", "")</f>
        <v>ELECTRICRAILBUS</v>
      </c>
      <c r="AF551" s="10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579</v>
      </c>
      <c r="B552">
        <v>2011</v>
      </c>
      <c r="C552">
        <v>1</v>
      </c>
      <c r="D552" t="s">
        <v>1896</v>
      </c>
      <c r="E552" t="str">
        <f>_xlfn.XLOOKUP(PROPERTIES[[#This Row],[COUNTRY]],COUNTRIES[COUNTRY_DESCRIPTION],COUNTRIES[COUNTRY_LABEL],"")</f>
        <v>IT</v>
      </c>
      <c r="F552" t="s">
        <v>74</v>
      </c>
      <c r="G552" t="s">
        <v>18</v>
      </c>
      <c r="H552">
        <v>42</v>
      </c>
      <c r="I552">
        <v>8</v>
      </c>
      <c r="J552">
        <v>8</v>
      </c>
      <c r="K552" s="2" t="s">
        <v>479</v>
      </c>
      <c r="L552">
        <f>_xlfn.XLOOKUP("LOADINGSPEEDDEF_"&amp;PROPERTIES[[#This Row],[LOADINGSPEED]],LOADINGSPEEDDEF[TYPE],LOADINGSPEEDDEF[SPEED])</f>
        <v>16</v>
      </c>
      <c r="M552" t="s">
        <v>21</v>
      </c>
      <c r="N552">
        <v>1</v>
      </c>
      <c r="O552" s="34">
        <f>272/7</f>
        <v>38.857142857142854</v>
      </c>
      <c r="P552">
        <f>1020*2</f>
        <v>2040</v>
      </c>
      <c r="Q552">
        <v>360</v>
      </c>
      <c r="R552" s="31">
        <v>30</v>
      </c>
      <c r="S552" s="30">
        <f>IFERROR(PROPERTIES[[#This Row],[TE_STARTING_KN]]/(PROPERTIES[[#This Row],[WEIGHT]]*9.81),0)</f>
        <v>7.8701205252743295E-2</v>
      </c>
      <c r="T552" s="30">
        <v>0.9</v>
      </c>
      <c r="U552" s="27">
        <f>ROUND(IF(IFERROR(PROPERTIES[[#This Row],[TE_COEFFICIENT_CALC]],0)=0,PROPERTIES[[#This Row],[TE_COEFFICIENT_MANUAL]],PROPERTIES[[#This Row],[TE_COEFFICIENT_CALC]]),3)</f>
        <v>7.9000000000000001E-2</v>
      </c>
      <c r="V552" s="6">
        <v>25</v>
      </c>
      <c r="W552" s="10">
        <v>42</v>
      </c>
      <c r="X552" s="10">
        <v>7</v>
      </c>
      <c r="Y552" s="11"/>
      <c r="Z552" t="s">
        <v>906</v>
      </c>
      <c r="AA552" t="s">
        <v>904</v>
      </c>
      <c r="AB552" s="2" t="s">
        <v>922</v>
      </c>
      <c r="AC552" s="10" t="s">
        <v>1000</v>
      </c>
      <c r="AD552" s="10" t="s">
        <v>1001</v>
      </c>
      <c r="AE552" s="11" t="str">
        <f>SUBSTITUTE(SUBSTITUTE(PROPERTIES[[#This Row],[PURCHASECOST_VALUE]], "PURCHASECOST_", ""), "_VALUE", "")</f>
        <v>EMU</v>
      </c>
      <c r="AF552" s="10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580</v>
      </c>
      <c r="B553">
        <v>2015</v>
      </c>
      <c r="C553">
        <v>1</v>
      </c>
      <c r="D553" t="s">
        <v>1896</v>
      </c>
      <c r="E553" t="str">
        <f>_xlfn.XLOOKUP(PROPERTIES[[#This Row],[COUNTRY]],COUNTRIES[COUNTRY_DESCRIPTION],COUNTRIES[COUNTRY_LABEL],"")</f>
        <v>IT</v>
      </c>
      <c r="F553" t="s">
        <v>74</v>
      </c>
      <c r="G553" t="s">
        <v>18</v>
      </c>
      <c r="H553">
        <v>80</v>
      </c>
      <c r="I553">
        <v>8</v>
      </c>
      <c r="J553">
        <v>8</v>
      </c>
      <c r="K553" s="2" t="s">
        <v>479</v>
      </c>
      <c r="L553">
        <f>_xlfn.XLOOKUP("LOADINGSPEEDDEF_"&amp;PROPERTIES[[#This Row],[LOADINGSPEED]],LOADINGSPEEDDEF[TYPE],LOADINGSPEEDDEF[SPEED])</f>
        <v>16</v>
      </c>
      <c r="M553" t="s">
        <v>21</v>
      </c>
      <c r="N553">
        <v>1</v>
      </c>
      <c r="O553" s="34">
        <v>44</v>
      </c>
      <c r="P553">
        <f>INT(9000*1.38/8)*2</f>
        <v>3104</v>
      </c>
      <c r="Q553">
        <v>360</v>
      </c>
      <c r="R553" s="31">
        <v>200</v>
      </c>
      <c r="S553" s="30">
        <f>IFERROR(PROPERTIES[[#This Row],[TE_STARTING_KN]]/(PROPERTIES[[#This Row],[WEIGHT]]*9.81),0)</f>
        <v>0.46334908720229817</v>
      </c>
      <c r="T553" s="30">
        <v>0.83</v>
      </c>
      <c r="U553" s="27">
        <f>ROUND(IF(IFERROR(PROPERTIES[[#This Row],[TE_COEFFICIENT_CALC]],0)=0,PROPERTIES[[#This Row],[TE_COEFFICIENT_MANUAL]],PROPERTIES[[#This Row],[TE_COEFFICIENT_CALC]]),3)</f>
        <v>0.46300000000000002</v>
      </c>
      <c r="V553" s="6">
        <v>25</v>
      </c>
      <c r="W553" s="10">
        <v>100</v>
      </c>
      <c r="X553" s="10">
        <v>7</v>
      </c>
      <c r="Y553" s="11"/>
      <c r="Z553" t="s">
        <v>906</v>
      </c>
      <c r="AA553" t="s">
        <v>904</v>
      </c>
      <c r="AB553" s="2" t="s">
        <v>922</v>
      </c>
      <c r="AC553" s="10" t="s">
        <v>1000</v>
      </c>
      <c r="AD553" s="10" t="s">
        <v>1001</v>
      </c>
      <c r="AE553" s="11" t="str">
        <f>SUBSTITUTE(SUBSTITUTE(PROPERTIES[[#This Row],[PURCHASECOST_VALUE]], "PURCHASECOST_", ""), "_VALUE", "")</f>
        <v>EMU</v>
      </c>
      <c r="AF553" s="10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581</v>
      </c>
      <c r="B554">
        <v>2012</v>
      </c>
      <c r="C554">
        <v>1</v>
      </c>
      <c r="D554" t="s">
        <v>1952</v>
      </c>
      <c r="E554" t="str">
        <f>_xlfn.XLOOKUP(PROPERTIES[[#This Row],[COUNTRY]],COUNTRIES[COUNTRY_DESCRIPTION],COUNTRIES[COUNTRY_LABEL],"")</f>
        <v>NL</v>
      </c>
      <c r="F554" t="s">
        <v>74</v>
      </c>
      <c r="G554" t="s">
        <v>18</v>
      </c>
      <c r="H554">
        <v>71</v>
      </c>
      <c r="I554">
        <v>8</v>
      </c>
      <c r="J554">
        <v>8</v>
      </c>
      <c r="K554" s="2" t="s">
        <v>24</v>
      </c>
      <c r="L554">
        <f>_xlfn.XLOOKUP("LOADINGSPEEDDEF_"&amp;PROPERTIES[[#This Row],[LOADINGSPEED]],LOADINGSPEEDDEF[TYPE],LOADINGSPEEDDEF[SPEED])</f>
        <v>40</v>
      </c>
      <c r="M554" t="s">
        <v>21</v>
      </c>
      <c r="N554">
        <v>1</v>
      </c>
      <c r="O554" s="34">
        <v>61</v>
      </c>
      <c r="P554">
        <f>1810*2</f>
        <v>3620</v>
      </c>
      <c r="Q554">
        <v>251</v>
      </c>
      <c r="R554" s="31">
        <f>300/2</f>
        <v>150</v>
      </c>
      <c r="S554" s="30">
        <f>IFERROR(PROPERTIES[[#This Row],[TE_STARTING_KN]]/(PROPERTIES[[#This Row],[WEIGHT]]*9.81),0)</f>
        <v>0.25066426028976785</v>
      </c>
      <c r="T554" s="30">
        <v>0.52</v>
      </c>
      <c r="U554" s="27">
        <f>ROUND(IF(IFERROR(PROPERTIES[[#This Row],[TE_COEFFICIENT_CALC]],0)=0,PROPERTIES[[#This Row],[TE_COEFFICIENT_MANUAL]],PROPERTIES[[#This Row],[TE_COEFFICIENT_CALC]]),3)</f>
        <v>0.251</v>
      </c>
      <c r="V554" s="6">
        <v>25</v>
      </c>
      <c r="W554" s="10">
        <v>71</v>
      </c>
      <c r="X554" s="10">
        <v>8</v>
      </c>
      <c r="Y554" s="11"/>
      <c r="Z554" t="s">
        <v>905</v>
      </c>
      <c r="AA554" t="s">
        <v>904</v>
      </c>
      <c r="AB554" s="2" t="s">
        <v>922</v>
      </c>
      <c r="AC554" s="10" t="s">
        <v>1000</v>
      </c>
      <c r="AD554" s="10" t="s">
        <v>1001</v>
      </c>
      <c r="AE554" s="11" t="str">
        <f>SUBSTITUTE(SUBSTITUTE(PROPERTIES[[#This Row],[PURCHASECOST_VALUE]], "PURCHASECOST_", ""), "_VALUE", "")</f>
        <v>EMU</v>
      </c>
      <c r="AF554" s="10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582</v>
      </c>
      <c r="B555">
        <v>2012</v>
      </c>
      <c r="C555">
        <v>1</v>
      </c>
      <c r="D555" t="s">
        <v>1952</v>
      </c>
      <c r="E555" t="str">
        <f>_xlfn.XLOOKUP(PROPERTIES[[#This Row],[COUNTRY]],COUNTRIES[COUNTRY_DESCRIPTION],COUNTRIES[COUNTRY_LABEL],"")</f>
        <v>NL</v>
      </c>
      <c r="F555" t="s">
        <v>74</v>
      </c>
      <c r="G555" t="s">
        <v>18</v>
      </c>
      <c r="H555">
        <v>42</v>
      </c>
      <c r="I555">
        <v>8</v>
      </c>
      <c r="J555">
        <v>8</v>
      </c>
      <c r="K555" s="2" t="s">
        <v>479</v>
      </c>
      <c r="L555">
        <f>_xlfn.XLOOKUP("LOADINGSPEEDDEF_"&amp;PROPERTIES[[#This Row],[LOADINGSPEED]],LOADINGSPEEDDEF[TYPE],LOADINGSPEEDDEF[SPEED])</f>
        <v>16</v>
      </c>
      <c r="M555" t="s">
        <v>21</v>
      </c>
      <c r="N555">
        <v>1</v>
      </c>
      <c r="O555" s="34">
        <v>52</v>
      </c>
      <c r="P555">
        <f>2213*2</f>
        <v>4426</v>
      </c>
      <c r="Q555">
        <v>300</v>
      </c>
      <c r="R555" s="31">
        <v>150</v>
      </c>
      <c r="S555" s="30">
        <f>IFERROR(PROPERTIES[[#This Row],[TE_STARTING_KN]]/(PROPERTIES[[#This Row],[WEIGHT]]*9.81),0)</f>
        <v>0.29404845918607386</v>
      </c>
      <c r="T555" s="30">
        <v>0.8</v>
      </c>
      <c r="U555" s="27">
        <f>ROUND(IF(IFERROR(PROPERTIES[[#This Row],[TE_COEFFICIENT_CALC]],0)=0,PROPERTIES[[#This Row],[TE_COEFFICIENT_MANUAL]],PROPERTIES[[#This Row],[TE_COEFFICIENT_CALC]]),3)</f>
        <v>0.29399999999999998</v>
      </c>
      <c r="V555" s="6">
        <v>25</v>
      </c>
      <c r="W555" s="10">
        <v>42</v>
      </c>
      <c r="X555" s="10">
        <v>8</v>
      </c>
      <c r="Y555" s="11"/>
      <c r="Z555" t="s">
        <v>905</v>
      </c>
      <c r="AA555" t="s">
        <v>904</v>
      </c>
      <c r="AB555" s="2" t="s">
        <v>923</v>
      </c>
      <c r="AC555" s="10" t="s">
        <v>1000</v>
      </c>
      <c r="AD555" s="10" t="s">
        <v>1001</v>
      </c>
      <c r="AE555" s="11" t="str">
        <f>SUBSTITUTE(SUBSTITUTE(PROPERTIES[[#This Row],[PURCHASECOST_VALUE]], "PURCHASECOST_", ""), "_VALUE", "")</f>
        <v>EMU</v>
      </c>
      <c r="AF555" s="10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583</v>
      </c>
      <c r="B556">
        <v>1961</v>
      </c>
      <c r="C556">
        <v>1</v>
      </c>
      <c r="D556" t="s">
        <v>1830</v>
      </c>
      <c r="E556" t="str">
        <f>_xlfn.XLOOKUP(PROPERTIES[[#This Row],[COUNTRY]],COUNTRIES[COUNTRY_DESCRIPTION],COUNTRIES[COUNTRY_LABEL],"")</f>
        <v>CH</v>
      </c>
      <c r="F556" t="s">
        <v>74</v>
      </c>
      <c r="G556" t="s">
        <v>18</v>
      </c>
      <c r="H556">
        <f>INT(168+126+54)/6</f>
        <v>58</v>
      </c>
      <c r="I556">
        <v>8</v>
      </c>
      <c r="J556">
        <v>8</v>
      </c>
      <c r="K556" s="2" t="s">
        <v>479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4">
        <f>296/6</f>
        <v>49.333333333333336</v>
      </c>
      <c r="P556">
        <v>3100</v>
      </c>
      <c r="Q556">
        <v>160</v>
      </c>
      <c r="R556" s="31">
        <f>188/2</f>
        <v>94</v>
      </c>
      <c r="S556" s="30">
        <f>IFERROR(PROPERTIES[[#This Row],[TE_STARTING_KN]]/(PROPERTIES[[#This Row],[WEIGHT]]*9.81),0)</f>
        <v>0.19423092817588228</v>
      </c>
      <c r="T556" s="30">
        <v>0.26</v>
      </c>
      <c r="U556" s="27">
        <f>ROUND(IF(IFERROR(PROPERTIES[[#This Row],[TE_COEFFICIENT_CALC]],0)=0,PROPERTIES[[#This Row],[TE_COEFFICIENT_MANUAL]],PROPERTIES[[#This Row],[TE_COEFFICIENT_CALC]]),3)</f>
        <v>0.19400000000000001</v>
      </c>
      <c r="V556" s="6">
        <v>25</v>
      </c>
      <c r="W556" s="10">
        <f>INT(168+126+54)/6</f>
        <v>58</v>
      </c>
      <c r="X556" s="10">
        <v>8</v>
      </c>
      <c r="Y556" s="11"/>
      <c r="Z556" t="s">
        <v>905</v>
      </c>
      <c r="AA556" t="s">
        <v>904</v>
      </c>
      <c r="AB556" s="2" t="s">
        <v>922</v>
      </c>
      <c r="AC556" s="10" t="s">
        <v>1000</v>
      </c>
      <c r="AD556" s="10" t="s">
        <v>1001</v>
      </c>
      <c r="AE556" s="11" t="str">
        <f>SUBSTITUTE(SUBSTITUTE(PROPERTIES[[#This Row],[PURCHASECOST_VALUE]], "PURCHASECOST_", ""), "_VALUE", "")</f>
        <v>EMU</v>
      </c>
      <c r="AF556" s="10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584</v>
      </c>
      <c r="B557">
        <v>1930</v>
      </c>
      <c r="C557">
        <v>1</v>
      </c>
      <c r="D557" t="s">
        <v>2019</v>
      </c>
      <c r="E557" t="str">
        <f>_xlfn.XLOOKUP(PROPERTIES[[#This Row],[COUNTRY]],COUNTRIES[COUNTRY_DESCRIPTION],COUNTRIES[COUNTRY_LABEL],"")</f>
        <v>US</v>
      </c>
      <c r="F557" t="s">
        <v>74</v>
      </c>
      <c r="G557" t="s">
        <v>18</v>
      </c>
      <c r="H557">
        <v>82</v>
      </c>
      <c r="I557">
        <v>8</v>
      </c>
      <c r="J557">
        <v>8</v>
      </c>
      <c r="K557" s="2" t="s">
        <v>24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4">
        <v>61</v>
      </c>
      <c r="P557">
        <v>1020</v>
      </c>
      <c r="Q557">
        <v>101</v>
      </c>
      <c r="R557" s="31">
        <v>135</v>
      </c>
      <c r="S557" s="30">
        <f>IFERROR(PROPERTIES[[#This Row],[TE_STARTING_KN]]/(PROPERTIES[[#This Row],[WEIGHT]]*9.81),0)</f>
        <v>0.22559783426079105</v>
      </c>
      <c r="T557" s="30">
        <v>0.25</v>
      </c>
      <c r="U557" s="27">
        <f>ROUND(IF(IFERROR(PROPERTIES[[#This Row],[TE_COEFFICIENT_CALC]],0)=0,PROPERTIES[[#This Row],[TE_COEFFICIENT_MANUAL]],PROPERTIES[[#This Row],[TE_COEFFICIENT_CALC]]),3)</f>
        <v>0.22600000000000001</v>
      </c>
      <c r="V557" s="6">
        <v>25</v>
      </c>
      <c r="W557" s="10">
        <v>84</v>
      </c>
      <c r="X557" s="10">
        <v>8</v>
      </c>
      <c r="Y557" s="11"/>
      <c r="Z557" t="s">
        <v>910</v>
      </c>
      <c r="AA557" t="s">
        <v>904</v>
      </c>
      <c r="AB557" s="2" t="s">
        <v>922</v>
      </c>
      <c r="AC557" s="10" t="s">
        <v>1000</v>
      </c>
      <c r="AD557" s="10" t="s">
        <v>1001</v>
      </c>
      <c r="AE557" s="11" t="str">
        <f>SUBSTITUTE(SUBSTITUTE(PROPERTIES[[#This Row],[PURCHASECOST_VALUE]], "PURCHASECOST_", ""), "_VALUE", "")</f>
        <v>EMU</v>
      </c>
      <c r="AF557" s="10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585</v>
      </c>
      <c r="B558">
        <v>1981</v>
      </c>
      <c r="C558">
        <v>1</v>
      </c>
      <c r="D558" t="s">
        <v>1862</v>
      </c>
      <c r="E558" t="str">
        <f>_xlfn.XLOOKUP(PROPERTIES[[#This Row],[COUNTRY]],COUNTRIES[COUNTRY_DESCRIPTION],COUNTRIES[COUNTRY_LABEL],"")</f>
        <v>FR</v>
      </c>
      <c r="F558" t="s">
        <v>74</v>
      </c>
      <c r="G558" t="s">
        <v>18</v>
      </c>
      <c r="H558">
        <v>0</v>
      </c>
      <c r="I558">
        <v>8</v>
      </c>
      <c r="J558">
        <v>8</v>
      </c>
      <c r="K558" s="2" t="s">
        <v>479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4">
        <v>68</v>
      </c>
      <c r="P558">
        <v>9119</v>
      </c>
      <c r="Q558">
        <v>240</v>
      </c>
      <c r="R558" s="31">
        <f>210/2</f>
        <v>105</v>
      </c>
      <c r="S558" s="30">
        <f>IFERROR(PROPERTIES[[#This Row],[TE_STARTING_KN]]/(PROPERTIES[[#This Row],[WEIGHT]]*9.81),0)</f>
        <v>0.15740241050548659</v>
      </c>
      <c r="T558" s="30">
        <v>0.92</v>
      </c>
      <c r="U558" s="27">
        <f>ROUND(IF(IFERROR(PROPERTIES[[#This Row],[TE_COEFFICIENT_CALC]],0)=0,PROPERTIES[[#This Row],[TE_COEFFICIENT_MANUAL]],PROPERTIES[[#This Row],[TE_COEFFICIENT_CALC]]),3)</f>
        <v>0.157</v>
      </c>
      <c r="V558" s="6">
        <v>25</v>
      </c>
      <c r="W558" s="10">
        <v>43</v>
      </c>
      <c r="X558" s="10">
        <v>6</v>
      </c>
      <c r="Y558" s="11"/>
      <c r="Z558" t="s">
        <v>905</v>
      </c>
      <c r="AA558" t="s">
        <v>904</v>
      </c>
      <c r="AB558" s="2" t="s">
        <v>922</v>
      </c>
      <c r="AC558" s="10" t="s">
        <v>1000</v>
      </c>
      <c r="AD558" s="10" t="s">
        <v>1001</v>
      </c>
      <c r="AE558" s="11" t="str">
        <f>SUBSTITUTE(SUBSTITUTE(PROPERTIES[[#This Row],[PURCHASECOST_VALUE]], "PURCHASECOST_", ""), "_VALUE", "")</f>
        <v>EMU</v>
      </c>
      <c r="AF558" s="10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586</v>
      </c>
      <c r="B559">
        <v>1995</v>
      </c>
      <c r="C559">
        <v>1</v>
      </c>
      <c r="D559" t="s">
        <v>1862</v>
      </c>
      <c r="E559" t="str">
        <f>_xlfn.XLOOKUP(PROPERTIES[[#This Row],[COUNTRY]],COUNTRIES[COUNTRY_DESCRIPTION],COUNTRIES[COUNTRY_LABEL],"")</f>
        <v>FR</v>
      </c>
      <c r="F559" t="s">
        <v>74</v>
      </c>
      <c r="G559" t="s">
        <v>18</v>
      </c>
      <c r="H559">
        <v>0</v>
      </c>
      <c r="I559">
        <v>8</v>
      </c>
      <c r="J559">
        <v>8</v>
      </c>
      <c r="K559" s="2" t="s">
        <v>479</v>
      </c>
      <c r="L559">
        <f>_xlfn.XLOOKUP("LOADINGSPEEDDEF_"&amp;PROPERTIES[[#This Row],[LOADINGSPEED]],LOADINGSPEEDDEF[TYPE],LOADINGSPEEDDEF[SPEED])</f>
        <v>16</v>
      </c>
      <c r="M559" t="s">
        <v>21</v>
      </c>
      <c r="N559">
        <v>1</v>
      </c>
      <c r="O559" s="34">
        <v>68</v>
      </c>
      <c r="P559">
        <v>11800</v>
      </c>
      <c r="Q559">
        <v>320</v>
      </c>
      <c r="R559" s="31">
        <f t="shared" ref="R559" si="0">220/2</f>
        <v>110</v>
      </c>
      <c r="S559" s="30">
        <f>IFERROR(PROPERTIES[[#This Row],[TE_STARTING_KN]]/(PROPERTIES[[#This Row],[WEIGHT]]*9.81),0)</f>
        <v>0.16489776338670023</v>
      </c>
      <c r="T559" s="30">
        <v>0.81</v>
      </c>
      <c r="U559" s="27">
        <f>ROUND(IF(IFERROR(PROPERTIES[[#This Row],[TE_COEFFICIENT_CALC]],0)=0,PROPERTIES[[#This Row],[TE_COEFFICIENT_MANUAL]],PROPERTIES[[#This Row],[TE_COEFFICIENT_CALC]]),3)</f>
        <v>0.16500000000000001</v>
      </c>
      <c r="V559" s="6">
        <v>25</v>
      </c>
      <c r="W559" s="10">
        <v>72</v>
      </c>
      <c r="X559" s="10">
        <v>6</v>
      </c>
      <c r="Y559" s="11"/>
      <c r="Z559" t="s">
        <v>905</v>
      </c>
      <c r="AA559" t="s">
        <v>904</v>
      </c>
      <c r="AB559" s="2" t="s">
        <v>922</v>
      </c>
      <c r="AC559" s="10" t="s">
        <v>1000</v>
      </c>
      <c r="AD559" s="10" t="s">
        <v>1001</v>
      </c>
      <c r="AE559" s="11" t="str">
        <f>SUBSTITUTE(SUBSTITUTE(PROPERTIES[[#This Row],[PURCHASECOST_VALUE]], "PURCHASECOST_", ""), "_VALUE", "")</f>
        <v>EMU</v>
      </c>
      <c r="AF559" s="10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587</v>
      </c>
      <c r="B560">
        <v>1995</v>
      </c>
      <c r="C560">
        <v>1</v>
      </c>
      <c r="D560" t="s">
        <v>1862</v>
      </c>
      <c r="E560" t="str">
        <f>_xlfn.XLOOKUP(PROPERTIES[[#This Row],[COUNTRY]],COUNTRIES[COUNTRY_DESCRIPTION],COUNTRIES[COUNTRY_LABEL],"")</f>
        <v>FR</v>
      </c>
      <c r="F560" t="s">
        <v>74</v>
      </c>
      <c r="G560" t="s">
        <v>18</v>
      </c>
      <c r="H560">
        <v>0</v>
      </c>
      <c r="I560">
        <v>8</v>
      </c>
      <c r="J560">
        <v>8</v>
      </c>
      <c r="K560" s="2" t="s">
        <v>479</v>
      </c>
      <c r="L560">
        <f>_xlfn.XLOOKUP("LOADINGSPEEDDEF_"&amp;PROPERTIES[[#This Row],[LOADINGSPEED]],LOADINGSPEEDDEF[TYPE],LOADINGSPEEDDEF[SPEED])</f>
        <v>16</v>
      </c>
      <c r="M560" t="s">
        <v>21</v>
      </c>
      <c r="N560">
        <v>1</v>
      </c>
      <c r="O560" s="34">
        <v>68</v>
      </c>
      <c r="P560">
        <v>11800</v>
      </c>
      <c r="Q560">
        <v>300</v>
      </c>
      <c r="R560" s="31">
        <f>210/2</f>
        <v>105</v>
      </c>
      <c r="S560" s="30">
        <f>IFERROR(PROPERTIES[[#This Row],[TE_STARTING_KN]]/(PROPERTIES[[#This Row],[WEIGHT]]*9.81),0)</f>
        <v>0.15740241050548659</v>
      </c>
      <c r="T560" s="30">
        <v>0.85</v>
      </c>
      <c r="U560" s="27">
        <f>ROUND(IF(IFERROR(PROPERTIES[[#This Row],[TE_COEFFICIENT_CALC]],0)=0,PROPERTIES[[#This Row],[TE_COEFFICIENT_MANUAL]],PROPERTIES[[#This Row],[TE_COEFFICIENT_CALC]]),3)</f>
        <v>0.157</v>
      </c>
      <c r="V560" s="6">
        <v>25</v>
      </c>
      <c r="W560" s="10">
        <v>47</v>
      </c>
      <c r="X560" s="10">
        <v>6</v>
      </c>
      <c r="Y560" s="11"/>
      <c r="Z560" t="s">
        <v>905</v>
      </c>
      <c r="AA560" t="s">
        <v>904</v>
      </c>
      <c r="AB560" s="2" t="s">
        <v>922</v>
      </c>
      <c r="AC560" s="10" t="s">
        <v>1000</v>
      </c>
      <c r="AD560" s="10" t="s">
        <v>1001</v>
      </c>
      <c r="AE560" s="11" t="str">
        <f>SUBSTITUTE(SUBSTITUTE(PROPERTIES[[#This Row],[PURCHASECOST_VALUE]], "PURCHASECOST_", ""), "_VALUE", "")</f>
        <v>EMU</v>
      </c>
      <c r="AF560" s="10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588</v>
      </c>
      <c r="B561">
        <v>1999</v>
      </c>
      <c r="C561">
        <v>1</v>
      </c>
      <c r="D561" t="s">
        <v>1843</v>
      </c>
      <c r="E561" t="str">
        <f>_xlfn.XLOOKUP(PROPERTIES[[#This Row],[COUNTRY]],COUNTRIES[COUNTRY_DESCRIPTION],COUNTRIES[COUNTRY_LABEL],"")</f>
        <v>CZ</v>
      </c>
      <c r="F561" t="s">
        <v>74</v>
      </c>
      <c r="G561" t="s">
        <v>18</v>
      </c>
      <c r="H561">
        <v>47</v>
      </c>
      <c r="I561">
        <v>8</v>
      </c>
      <c r="J561">
        <v>8</v>
      </c>
      <c r="K561" s="2" t="s">
        <v>479</v>
      </c>
      <c r="L561">
        <f>_xlfn.XLOOKUP("LOADINGSPEEDDEF_"&amp;PROPERTIES[[#This Row],[LOADINGSPEED]],LOADINGSPEEDDEF[TYPE],LOADINGSPEEDDEF[SPEED])</f>
        <v>16</v>
      </c>
      <c r="M561" t="s">
        <v>21</v>
      </c>
      <c r="N561">
        <v>1</v>
      </c>
      <c r="O561" s="34">
        <v>55</v>
      </c>
      <c r="P561">
        <v>1318</v>
      </c>
      <c r="Q561">
        <v>200</v>
      </c>
      <c r="R561" s="31">
        <v>50</v>
      </c>
      <c r="S561" s="30">
        <f>IFERROR(PROPERTIES[[#This Row],[TE_STARTING_KN]]/(PROPERTIES[[#This Row],[WEIGHT]]*9.81),0)</f>
        <v>9.2669817440459629E-2</v>
      </c>
      <c r="T561" s="30">
        <v>0.67</v>
      </c>
      <c r="U561" s="27">
        <f>ROUND(IF(IFERROR(PROPERTIES[[#This Row],[TE_COEFFICIENT_CALC]],0)=0,PROPERTIES[[#This Row],[TE_COEFFICIENT_MANUAL]],PROPERTIES[[#This Row],[TE_COEFFICIENT_CALC]]),3)</f>
        <v>9.2999999999999999E-2</v>
      </c>
      <c r="V561" s="6">
        <v>25</v>
      </c>
      <c r="W561" s="10">
        <v>47</v>
      </c>
      <c r="X561" s="10">
        <v>8</v>
      </c>
      <c r="Y561" s="11"/>
      <c r="Z561" t="s">
        <v>911</v>
      </c>
      <c r="AA561" t="s">
        <v>904</v>
      </c>
      <c r="AB561" s="2" t="s">
        <v>922</v>
      </c>
      <c r="AC561" s="10" t="s">
        <v>1000</v>
      </c>
      <c r="AD561" s="10" t="s">
        <v>1001</v>
      </c>
      <c r="AE561" s="11" t="str">
        <f>SUBSTITUTE(SUBSTITUTE(PROPERTIES[[#This Row],[PURCHASECOST_VALUE]], "PURCHASECOST_", ""), "_VALUE", "")</f>
        <v>EMU</v>
      </c>
      <c r="AF561" s="10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589</v>
      </c>
      <c r="B562">
        <v>2001</v>
      </c>
      <c r="C562">
        <v>1</v>
      </c>
      <c r="D562" t="s">
        <v>1855</v>
      </c>
      <c r="E562" t="str">
        <f>_xlfn.XLOOKUP(PROPERTIES[[#This Row],[COUNTRY]],COUNTRIES[COUNTRY_DESCRIPTION],COUNTRIES[COUNTRY_LABEL],"")</f>
        <v>ES</v>
      </c>
      <c r="F562" t="s">
        <v>74</v>
      </c>
      <c r="G562" t="s">
        <v>18</v>
      </c>
      <c r="H562">
        <v>60</v>
      </c>
      <c r="I562">
        <v>8</v>
      </c>
      <c r="J562">
        <v>8</v>
      </c>
      <c r="K562" s="2" t="s">
        <v>24</v>
      </c>
      <c r="L562">
        <f>_xlfn.XLOOKUP("LOADINGSPEEDDEF_"&amp;PROPERTIES[[#This Row],[LOADINGSPEED]],LOADINGSPEEDDEF[TYPE],LOADINGSPEEDDEF[SPEED])</f>
        <v>40</v>
      </c>
      <c r="M562" t="s">
        <v>21</v>
      </c>
      <c r="N562">
        <v>1</v>
      </c>
      <c r="O562" s="34">
        <v>61</v>
      </c>
      <c r="P562">
        <f>1340*2</f>
        <v>2680</v>
      </c>
      <c r="Q562">
        <v>250</v>
      </c>
      <c r="R562" s="31">
        <v>48</v>
      </c>
      <c r="S562" s="30">
        <f>IFERROR(PROPERTIES[[#This Row],[TE_STARTING_KN]]/(PROPERTIES[[#This Row],[WEIGHT]]*9.81),0)</f>
        <v>8.0212563292725705E-2</v>
      </c>
      <c r="T562" s="30">
        <v>0.36</v>
      </c>
      <c r="U562" s="27">
        <f>ROUND(IF(IFERROR(PROPERTIES[[#This Row],[TE_COEFFICIENT_CALC]],0)=0,PROPERTIES[[#This Row],[TE_COEFFICIENT_MANUAL]],PROPERTIES[[#This Row],[TE_COEFFICIENT_CALC]]),3)</f>
        <v>0.08</v>
      </c>
      <c r="V562" s="6">
        <v>25</v>
      </c>
      <c r="W562" s="10">
        <v>60</v>
      </c>
      <c r="X562" s="10">
        <v>8</v>
      </c>
      <c r="Y562" s="11"/>
      <c r="Z562" t="s">
        <v>906</v>
      </c>
      <c r="AA562" t="s">
        <v>904</v>
      </c>
      <c r="AB562" s="2" t="s">
        <v>922</v>
      </c>
      <c r="AC562" s="10" t="s">
        <v>1000</v>
      </c>
      <c r="AD562" s="10" t="s">
        <v>1001</v>
      </c>
      <c r="AE562" s="11" t="str">
        <f>SUBSTITUTE(SUBSTITUTE(PROPERTIES[[#This Row],[PURCHASECOST_VALUE]], "PURCHASECOST_", ""), "_VALUE", "")</f>
        <v>EMU</v>
      </c>
      <c r="AF562" s="10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590</v>
      </c>
      <c r="B563">
        <v>1999</v>
      </c>
      <c r="C563">
        <v>1</v>
      </c>
      <c r="D563" t="s">
        <v>2019</v>
      </c>
      <c r="E563" t="str">
        <f>_xlfn.XLOOKUP(PROPERTIES[[#This Row],[COUNTRY]],COUNTRIES[COUNTRY_DESCRIPTION],COUNTRIES[COUNTRY_LABEL],"")</f>
        <v>US</v>
      </c>
      <c r="F563" t="s">
        <v>74</v>
      </c>
      <c r="G563" t="s">
        <v>18</v>
      </c>
      <c r="H563">
        <v>0</v>
      </c>
      <c r="I563">
        <v>8</v>
      </c>
      <c r="J563">
        <v>8</v>
      </c>
      <c r="K563" s="2" t="s">
        <v>24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4">
        <v>93</v>
      </c>
      <c r="P563">
        <v>6200</v>
      </c>
      <c r="Q563">
        <v>240</v>
      </c>
      <c r="R563" s="31">
        <v>220.2</v>
      </c>
      <c r="S563" s="30">
        <f>IFERROR(PROPERTIES[[#This Row],[TE_STARTING_KN]]/(PROPERTIES[[#This Row],[WEIGHT]]*9.81),0)</f>
        <v>0.24136003419815197</v>
      </c>
      <c r="T563" s="30">
        <v>0.24</v>
      </c>
      <c r="U563" s="27">
        <f>ROUND(IF(IFERROR(PROPERTIES[[#This Row],[TE_COEFFICIENT_CALC]],0)=0,PROPERTIES[[#This Row],[TE_COEFFICIENT_MANUAL]],PROPERTIES[[#This Row],[TE_COEFFICIENT_CALC]]),3)</f>
        <v>0.24099999999999999</v>
      </c>
      <c r="V563" s="6">
        <v>40</v>
      </c>
      <c r="W563" s="10">
        <v>50</v>
      </c>
      <c r="X563" s="10">
        <v>8</v>
      </c>
      <c r="Y563" s="11"/>
      <c r="Z563" t="s">
        <v>910</v>
      </c>
      <c r="AA563" t="s">
        <v>904</v>
      </c>
      <c r="AB563" s="2" t="s">
        <v>922</v>
      </c>
      <c r="AC563" s="10" t="s">
        <v>1000</v>
      </c>
      <c r="AD563" s="10" t="s">
        <v>1001</v>
      </c>
      <c r="AE563" s="11" t="str">
        <f>SUBSTITUTE(SUBSTITUTE(PROPERTIES[[#This Row],[PURCHASECOST_VALUE]], "PURCHASECOST_", ""), "_VALUE", "")</f>
        <v>EMU</v>
      </c>
      <c r="AF563" s="10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591</v>
      </c>
      <c r="B564">
        <v>1880</v>
      </c>
      <c r="C564">
        <v>0</v>
      </c>
      <c r="D564" t="s">
        <v>2019</v>
      </c>
      <c r="E564" t="str">
        <f>_xlfn.XLOOKUP(PROPERTIES[[#This Row],[COUNTRY]],COUNTRIES[COUNTRY_DESCRIPTION],COUNTRIES[COUNTRY_LABEL],"")</f>
        <v>US</v>
      </c>
      <c r="F564" t="s">
        <v>19</v>
      </c>
      <c r="G564" t="s">
        <v>325</v>
      </c>
      <c r="H564">
        <v>48</v>
      </c>
      <c r="I564">
        <v>7</v>
      </c>
      <c r="J564">
        <v>7</v>
      </c>
      <c r="K564" s="2" t="s">
        <v>326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4">
        <v>28</v>
      </c>
      <c r="P564">
        <v>200</v>
      </c>
      <c r="Q564">
        <v>60</v>
      </c>
      <c r="R564" s="31">
        <v>25</v>
      </c>
      <c r="S564" s="30">
        <f>IFERROR(PROPERTIES[[#This Row],[TE_STARTING_KN]]/(PROPERTIES[[#This Row],[WEIGHT]]*9.81),0)</f>
        <v>9.1014999271880004E-2</v>
      </c>
      <c r="T564" s="30">
        <v>0.5</v>
      </c>
      <c r="U564" s="27">
        <f>ROUND(IF(IFERROR(PROPERTIES[[#This Row],[TE_COEFFICIENT_CALC]],0)=0,PROPERTIES[[#This Row],[TE_COEFFICIENT_MANUAL]],PROPERTIES[[#This Row],[TE_COEFFICIENT_CALC]]),3)</f>
        <v>9.0999999999999998E-2</v>
      </c>
      <c r="V564" s="6">
        <v>60</v>
      </c>
      <c r="W564" s="10">
        <v>0</v>
      </c>
      <c r="X564" s="10">
        <v>0</v>
      </c>
      <c r="Y564" s="11"/>
      <c r="Z564" t="s">
        <v>910</v>
      </c>
      <c r="AA564" t="s">
        <v>904</v>
      </c>
      <c r="AB564" s="2" t="s">
        <v>922</v>
      </c>
      <c r="AC564" s="10" t="s">
        <v>1002</v>
      </c>
      <c r="AD564" s="10" t="s">
        <v>1003</v>
      </c>
      <c r="AE564" s="11" t="str">
        <f>SUBSTITUTE(SUBSTITUTE(PROPERTIES[[#This Row],[PURCHASECOST_VALUE]], "PURCHASECOST_", ""), "_VALUE", "")</f>
        <v>METRORAILBUS</v>
      </c>
      <c r="AF564" s="10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592</v>
      </c>
      <c r="B565">
        <v>1894</v>
      </c>
      <c r="C565">
        <v>0</v>
      </c>
      <c r="D565" t="s">
        <v>1886</v>
      </c>
      <c r="E565" t="str">
        <f>_xlfn.XLOOKUP(PROPERTIES[[#This Row],[COUNTRY]],COUNTRIES[COUNTRY_DESCRIPTION],COUNTRIES[COUNTRY_LABEL],"")</f>
        <v>HU</v>
      </c>
      <c r="F565" t="s">
        <v>19</v>
      </c>
      <c r="G565" t="s">
        <v>325</v>
      </c>
      <c r="H565">
        <v>46</v>
      </c>
      <c r="I565">
        <v>8</v>
      </c>
      <c r="J565">
        <v>8</v>
      </c>
      <c r="K565" s="2" t="s">
        <v>326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4">
        <v>16.5</v>
      </c>
      <c r="P565">
        <v>200</v>
      </c>
      <c r="Q565">
        <v>60</v>
      </c>
      <c r="R565" s="31">
        <v>18</v>
      </c>
      <c r="S565" s="30">
        <f>IFERROR(PROPERTIES[[#This Row],[TE_STARTING_KN]]/(PROPERTIES[[#This Row],[WEIGHT]]*9.81),0)</f>
        <v>0.11120378092855157</v>
      </c>
      <c r="T565" s="30">
        <v>0.32</v>
      </c>
      <c r="U565" s="27">
        <f>ROUND(IF(IFERROR(PROPERTIES[[#This Row],[TE_COEFFICIENT_CALC]],0)=0,PROPERTIES[[#This Row],[TE_COEFFICIENT_MANUAL]],PROPERTIES[[#This Row],[TE_COEFFICIENT_CALC]]),3)</f>
        <v>0.111</v>
      </c>
      <c r="V565" s="6">
        <v>60</v>
      </c>
      <c r="W565" s="10">
        <v>0</v>
      </c>
      <c r="X565" s="10">
        <v>0</v>
      </c>
      <c r="Y565" s="11"/>
      <c r="Z565" t="s">
        <v>911</v>
      </c>
      <c r="AA565" t="s">
        <v>904</v>
      </c>
      <c r="AB565" s="2" t="s">
        <v>922</v>
      </c>
      <c r="AC565" s="10" t="s">
        <v>1002</v>
      </c>
      <c r="AD565" s="10" t="s">
        <v>1003</v>
      </c>
      <c r="AE565" s="11" t="str">
        <f>SUBSTITUTE(SUBSTITUTE(PROPERTIES[[#This Row],[PURCHASECOST_VALUE]], "PURCHASECOST_", ""), "_VALUE", "")</f>
        <v>METRORAILBUS</v>
      </c>
      <c r="AF565" s="10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593</v>
      </c>
      <c r="B566">
        <v>1907</v>
      </c>
      <c r="C566">
        <v>0</v>
      </c>
      <c r="D566" t="s">
        <v>2019</v>
      </c>
      <c r="E566" t="str">
        <f>_xlfn.XLOOKUP(PROPERTIES[[#This Row],[COUNTRY]],COUNTRIES[COUNTRY_DESCRIPTION],COUNTRIES[COUNTRY_LABEL],"")</f>
        <v>US</v>
      </c>
      <c r="F566" t="s">
        <v>19</v>
      </c>
      <c r="G566" t="s">
        <v>325</v>
      </c>
      <c r="H566">
        <v>130</v>
      </c>
      <c r="I566">
        <v>8</v>
      </c>
      <c r="J566">
        <v>8</v>
      </c>
      <c r="K566" s="2" t="s">
        <v>326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4">
        <v>31.5</v>
      </c>
      <c r="P566">
        <v>250</v>
      </c>
      <c r="Q566">
        <v>70</v>
      </c>
      <c r="R566" s="31">
        <v>38</v>
      </c>
      <c r="S566" s="30">
        <f>IFERROR(PROPERTIES[[#This Row],[TE_STARTING_KN]]/(PROPERTIES[[#This Row],[WEIGHT]]*9.81),0)</f>
        <v>0.12297137679400674</v>
      </c>
      <c r="T566" s="30">
        <v>0.1</v>
      </c>
      <c r="U566" s="27">
        <f>ROUND(IF(IFERROR(PROPERTIES[[#This Row],[TE_COEFFICIENT_CALC]],0)=0,PROPERTIES[[#This Row],[TE_COEFFICIENT_MANUAL]],PROPERTIES[[#This Row],[TE_COEFFICIENT_CALC]]),3)</f>
        <v>0.123</v>
      </c>
      <c r="V566" s="6">
        <v>60</v>
      </c>
      <c r="W566" s="10">
        <v>0</v>
      </c>
      <c r="X566" s="10">
        <v>0</v>
      </c>
      <c r="Y566" s="11"/>
      <c r="Z566" t="s">
        <v>910</v>
      </c>
      <c r="AA566" t="s">
        <v>904</v>
      </c>
      <c r="AB566" s="2" t="s">
        <v>922</v>
      </c>
      <c r="AC566" s="10" t="s">
        <v>1002</v>
      </c>
      <c r="AD566" s="10" t="s">
        <v>1003</v>
      </c>
      <c r="AE566" s="11" t="str">
        <f>SUBSTITUTE(SUBSTITUTE(PROPERTIES[[#This Row],[PURCHASECOST_VALUE]], "PURCHASECOST_", ""), "_VALUE", "")</f>
        <v>METRORAILBUS</v>
      </c>
      <c r="AF566" s="10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594</v>
      </c>
      <c r="B567">
        <v>1929</v>
      </c>
      <c r="C567">
        <v>0</v>
      </c>
      <c r="D567" t="s">
        <v>1844</v>
      </c>
      <c r="E567" t="str">
        <f>_xlfn.XLOOKUP(PROPERTIES[[#This Row],[COUNTRY]],COUNTRIES[COUNTRY_DESCRIPTION],COUNTRIES[COUNTRY_LABEL],"")</f>
        <v>DE</v>
      </c>
      <c r="F567" t="s">
        <v>19</v>
      </c>
      <c r="G567" t="s">
        <v>325</v>
      </c>
      <c r="H567">
        <v>157</v>
      </c>
      <c r="I567">
        <v>8</v>
      </c>
      <c r="J567">
        <v>8</v>
      </c>
      <c r="K567" s="2" t="s">
        <v>326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4">
        <v>45.2</v>
      </c>
      <c r="P567">
        <v>375</v>
      </c>
      <c r="Q567">
        <v>60</v>
      </c>
      <c r="R567" s="31">
        <v>42</v>
      </c>
      <c r="S567" s="30">
        <f>IFERROR(PROPERTIES[[#This Row],[TE_STARTING_KN]]/(PROPERTIES[[#This Row],[WEIGHT]]*9.81),0)</f>
        <v>9.4720034640469811E-2</v>
      </c>
      <c r="T567" s="30">
        <v>7.0000000000000007E-2</v>
      </c>
      <c r="U567" s="27">
        <f>ROUND(IF(IFERROR(PROPERTIES[[#This Row],[TE_COEFFICIENT_CALC]],0)=0,PROPERTIES[[#This Row],[TE_COEFFICIENT_MANUAL]],PROPERTIES[[#This Row],[TE_COEFFICIENT_CALC]]),3)</f>
        <v>9.5000000000000001E-2</v>
      </c>
      <c r="V567" s="6">
        <v>60</v>
      </c>
      <c r="W567" s="10">
        <v>0</v>
      </c>
      <c r="X567" s="10">
        <v>0</v>
      </c>
      <c r="Y567" s="11"/>
      <c r="Z567" t="s">
        <v>905</v>
      </c>
      <c r="AA567" t="s">
        <v>904</v>
      </c>
      <c r="AB567" s="2" t="s">
        <v>922</v>
      </c>
      <c r="AC567" s="10" t="s">
        <v>1002</v>
      </c>
      <c r="AD567" s="10" t="s">
        <v>1003</v>
      </c>
      <c r="AE567" s="11" t="str">
        <f>SUBSTITUTE(SUBSTITUTE(PROPERTIES[[#This Row],[PURCHASECOST_VALUE]], "PURCHASECOST_", ""), "_VALUE", "")</f>
        <v>METRORAILBUS</v>
      </c>
      <c r="AF567" s="10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595</v>
      </c>
      <c r="B568">
        <v>2040</v>
      </c>
      <c r="C568">
        <v>0</v>
      </c>
      <c r="D568" t="s">
        <v>2291</v>
      </c>
      <c r="E568" t="str">
        <f>_xlfn.XLOOKUP(PROPERTIES[[#This Row],[COUNTRY]],COUNTRIES[COUNTRY_DESCRIPTION],COUNTRIES[COUNTRY_LABEL],"")</f>
        <v>WRLD</v>
      </c>
      <c r="F568" t="s">
        <v>19</v>
      </c>
      <c r="G568" t="s">
        <v>18</v>
      </c>
      <c r="H568">
        <v>45</v>
      </c>
      <c r="I568">
        <v>8</v>
      </c>
      <c r="J568">
        <v>4</v>
      </c>
      <c r="K568" s="2" t="s">
        <v>24</v>
      </c>
      <c r="L568">
        <f>_xlfn.XLOOKUP("LOADINGSPEEDDEF_"&amp;PROPERTIES[[#This Row],[LOADINGSPEED]],LOADINGSPEEDDEF[TYPE],LOADINGSPEEDDEF[SPEED])</f>
        <v>40</v>
      </c>
      <c r="M568" t="s">
        <v>21</v>
      </c>
      <c r="N568">
        <v>1</v>
      </c>
      <c r="O568" s="34">
        <v>30</v>
      </c>
      <c r="P568">
        <v>5070</v>
      </c>
      <c r="Q568">
        <v>753</v>
      </c>
      <c r="R568" s="31">
        <v>0</v>
      </c>
      <c r="S568" s="30">
        <f>IFERROR(PROPERTIES[[#This Row],[TE_STARTING_KN]]/(PROPERTIES[[#This Row],[WEIGHT]]*9.81),0)</f>
        <v>0</v>
      </c>
      <c r="T568" s="30">
        <v>0.28999999999999998</v>
      </c>
      <c r="U568" s="27">
        <f>ROUND(IF(IFERROR(PROPERTIES[[#This Row],[TE_COEFFICIENT_CALC]],0)=0,PROPERTIES[[#This Row],[TE_COEFFICIENT_MANUAL]],PROPERTIES[[#This Row],[TE_COEFFICIENT_CALC]]),3)</f>
        <v>0.28999999999999998</v>
      </c>
      <c r="V568" s="6">
        <v>15</v>
      </c>
      <c r="W568" s="10">
        <v>0</v>
      </c>
      <c r="X568" s="10">
        <v>2</v>
      </c>
      <c r="Y568" s="11"/>
      <c r="Z568" t="s">
        <v>918</v>
      </c>
      <c r="AA568" t="s">
        <v>904</v>
      </c>
      <c r="AB568" s="2" t="s">
        <v>923</v>
      </c>
      <c r="AC568" s="10" t="s">
        <v>1004</v>
      </c>
      <c r="AD568" s="10" t="s">
        <v>1005</v>
      </c>
      <c r="AE568" s="11" t="str">
        <f>SUBSTITUTE(SUBSTITUTE(PROPERTIES[[#This Row],[PURCHASECOST_VALUE]], "PURCHASECOST_", ""), "_VALUE", "")</f>
        <v>MAGLEVRAILBUS</v>
      </c>
      <c r="AF568" s="10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596</v>
      </c>
      <c r="B569">
        <v>2005</v>
      </c>
      <c r="C569">
        <v>0</v>
      </c>
      <c r="D569" t="s">
        <v>1844</v>
      </c>
      <c r="E569" t="str">
        <f>_xlfn.XLOOKUP(PROPERTIES[[#This Row],[COUNTRY]],COUNTRIES[COUNTRY_DESCRIPTION],COUNTRIES[COUNTRY_LABEL],"")</f>
        <v>DE</v>
      </c>
      <c r="F569" t="s">
        <v>19</v>
      </c>
      <c r="G569" t="s">
        <v>20</v>
      </c>
      <c r="H569">
        <v>0</v>
      </c>
      <c r="I569">
        <v>8</v>
      </c>
      <c r="J569">
        <v>8</v>
      </c>
      <c r="K569" s="2" t="s">
        <v>20</v>
      </c>
      <c r="L569">
        <f>_xlfn.XLOOKUP("LOADINGSPEEDDEF_"&amp;PROPERTIES[[#This Row],[LOADINGSPEED]],LOADINGSPEEDDEF[TYPE],LOADINGSPEEDDEF[SPEED])</f>
        <v>0</v>
      </c>
      <c r="M569" t="s">
        <v>21</v>
      </c>
      <c r="N569">
        <v>1</v>
      </c>
      <c r="O569" s="34">
        <v>90</v>
      </c>
      <c r="P569">
        <v>18875</v>
      </c>
      <c r="Q569">
        <v>250</v>
      </c>
      <c r="R569" s="31">
        <v>600</v>
      </c>
      <c r="S569" s="30">
        <f>IFERROR(PROPERTIES[[#This Row],[TE_STARTING_KN]]/(PROPERTIES[[#This Row],[WEIGHT]]*9.81),0)</f>
        <v>0.6795786612300373</v>
      </c>
      <c r="T569" s="30">
        <v>0.35</v>
      </c>
      <c r="U569" s="27">
        <f>ROUND(IF(IFERROR(PROPERTIES[[#This Row],[TE_COEFFICIENT_CALC]],0)=0,PROPERTIES[[#This Row],[TE_COEFFICIENT_MANUAL]],PROPERTIES[[#This Row],[TE_COEFFICIENT_CALC]]),3)</f>
        <v>0.68</v>
      </c>
      <c r="V569" s="6">
        <v>40</v>
      </c>
      <c r="W569" s="10">
        <v>0</v>
      </c>
      <c r="X569" s="10">
        <v>0</v>
      </c>
      <c r="Y569" s="11"/>
      <c r="Z569" t="s">
        <v>905</v>
      </c>
      <c r="AA569" t="s">
        <v>904</v>
      </c>
      <c r="AB569" s="2" t="s">
        <v>923</v>
      </c>
      <c r="AC569" s="10" t="s">
        <v>1006</v>
      </c>
      <c r="AD569" s="10" t="s">
        <v>1007</v>
      </c>
      <c r="AE569" s="11" t="str">
        <f>SUBSTITUTE(SUBSTITUTE(PROPERTIES[[#This Row],[PURCHASECOST_VALUE]], "PURCHASECOST_", ""), "_VALUE", "")</f>
        <v>MAGLEVSU</v>
      </c>
      <c r="AF569" s="10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597</v>
      </c>
      <c r="B570">
        <v>2004</v>
      </c>
      <c r="C570">
        <v>1</v>
      </c>
      <c r="D570" t="s">
        <v>1835</v>
      </c>
      <c r="E570" t="str">
        <f>_xlfn.XLOOKUP(PROPERTIES[[#This Row],[COUNTRY]],COUNTRIES[COUNTRY_DESCRIPTION],COUNTRIES[COUNTRY_LABEL],"")</f>
        <v>CN</v>
      </c>
      <c r="F570" t="s">
        <v>19</v>
      </c>
      <c r="G570" t="s">
        <v>18</v>
      </c>
      <c r="H570">
        <v>50</v>
      </c>
      <c r="I570">
        <v>8</v>
      </c>
      <c r="J570">
        <v>8</v>
      </c>
      <c r="K570" s="2" t="s">
        <v>479</v>
      </c>
      <c r="L570">
        <f>_xlfn.XLOOKUP("LOADINGSPEEDDEF_"&amp;PROPERTIES[[#This Row],[LOADINGSPEED]],LOADINGSPEEDDEF[TYPE],LOADINGSPEEDDEF[SPEED])</f>
        <v>16</v>
      </c>
      <c r="M570" t="s">
        <v>21</v>
      </c>
      <c r="N570">
        <v>1</v>
      </c>
      <c r="O570" s="34">
        <v>53</v>
      </c>
      <c r="P570">
        <v>13450</v>
      </c>
      <c r="Q570">
        <v>433</v>
      </c>
      <c r="R570" s="31">
        <v>450</v>
      </c>
      <c r="S570" s="30">
        <f>IFERROR(PROPERTIES[[#This Row],[TE_STARTING_KN]]/(PROPERTIES[[#This Row],[WEIGHT]]*9.81),0)</f>
        <v>0.8655011251514626</v>
      </c>
      <c r="T570" s="30">
        <v>0.3</v>
      </c>
      <c r="U570" s="27">
        <f>ROUND(IF(IFERROR(PROPERTIES[[#This Row],[TE_COEFFICIENT_CALC]],0)=0,PROPERTIES[[#This Row],[TE_COEFFICIENT_MANUAL]],PROPERTIES[[#This Row],[TE_COEFFICIENT_CALC]]),3)</f>
        <v>0.86599999999999999</v>
      </c>
      <c r="V570" s="6">
        <v>25</v>
      </c>
      <c r="W570" s="10">
        <v>55</v>
      </c>
      <c r="X570" s="10">
        <v>8</v>
      </c>
      <c r="Y570" s="11"/>
      <c r="Z570" t="s">
        <v>913</v>
      </c>
      <c r="AA570" t="s">
        <v>904</v>
      </c>
      <c r="AB570" s="2" t="s">
        <v>922</v>
      </c>
      <c r="AC570" s="10" t="s">
        <v>982</v>
      </c>
      <c r="AD570" s="10" t="s">
        <v>983</v>
      </c>
      <c r="AE570" s="11" t="str">
        <f>SUBSTITUTE(SUBSTITUTE(PROPERTIES[[#This Row],[PURCHASECOST_VALUE]], "PURCHASECOST_", ""), "_VALUE", "")</f>
        <v>MAGLEVMU</v>
      </c>
      <c r="AF570" s="10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598</v>
      </c>
      <c r="B571">
        <v>2025</v>
      </c>
      <c r="C571">
        <v>1</v>
      </c>
      <c r="D571" t="s">
        <v>1900</v>
      </c>
      <c r="E571" t="str">
        <f>_xlfn.XLOOKUP(PROPERTIES[[#This Row],[COUNTRY]],COUNTRIES[COUNTRY_DESCRIPTION],COUNTRIES[COUNTRY_LABEL],"")</f>
        <v>JP</v>
      </c>
      <c r="F571" t="s">
        <v>19</v>
      </c>
      <c r="G571" t="s">
        <v>18</v>
      </c>
      <c r="H571">
        <f>38/2</f>
        <v>19</v>
      </c>
      <c r="I571">
        <v>8</v>
      </c>
      <c r="J571">
        <v>8</v>
      </c>
      <c r="K571" s="2" t="s">
        <v>479</v>
      </c>
      <c r="L571">
        <f>_xlfn.XLOOKUP("LOADINGSPEEDDEF_"&amp;PROPERTIES[[#This Row],[LOADINGSPEED]],LOADINGSPEEDDEF[TYPE],LOADINGSPEEDDEF[SPEED])</f>
        <v>16</v>
      </c>
      <c r="M571" t="s">
        <v>21</v>
      </c>
      <c r="N571">
        <v>1</v>
      </c>
      <c r="O571" s="34">
        <v>72</v>
      </c>
      <c r="P571">
        <v>20115</v>
      </c>
      <c r="Q571">
        <v>500</v>
      </c>
      <c r="R571" s="31">
        <v>500</v>
      </c>
      <c r="S571" s="30">
        <f>IFERROR(PROPERTIES[[#This Row],[TE_STARTING_KN]]/(PROPERTIES[[#This Row],[WEIGHT]]*9.81),0)</f>
        <v>0.70789443878128888</v>
      </c>
      <c r="T571" s="30">
        <v>0.3</v>
      </c>
      <c r="U571" s="27">
        <f>ROUND(IF(IFERROR(PROPERTIES[[#This Row],[TE_COEFFICIENT_CALC]],0)=0,PROPERTIES[[#This Row],[TE_COEFFICIENT_MANUAL]],PROPERTIES[[#This Row],[TE_COEFFICIENT_CALC]]),3)</f>
        <v>0.70799999999999996</v>
      </c>
      <c r="V571" s="6">
        <v>25</v>
      </c>
      <c r="W571" s="10">
        <v>60</v>
      </c>
      <c r="X571" s="10">
        <v>8</v>
      </c>
      <c r="Y571" s="11"/>
      <c r="Z571" t="s">
        <v>913</v>
      </c>
      <c r="AA571" t="s">
        <v>904</v>
      </c>
      <c r="AB571" s="2" t="s">
        <v>923</v>
      </c>
      <c r="AC571" s="10" t="s">
        <v>982</v>
      </c>
      <c r="AD571" s="10" t="s">
        <v>983</v>
      </c>
      <c r="AE571" s="11" t="str">
        <f>SUBSTITUTE(SUBSTITUTE(PROPERTIES[[#This Row],[PURCHASECOST_VALUE]], "PURCHASECOST_", ""), "_VALUE", "")</f>
        <v>MAGLEVMU</v>
      </c>
      <c r="AF571" s="10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902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19</v>
      </c>
      <c r="G572" t="s">
        <v>599</v>
      </c>
      <c r="H572">
        <v>74</v>
      </c>
      <c r="I572">
        <v>8</v>
      </c>
      <c r="J572">
        <v>8</v>
      </c>
      <c r="K572" s="2" t="s">
        <v>33</v>
      </c>
      <c r="L572">
        <f>_xlfn.XLOOKUP("LOADINGSPEEDDEF_"&amp;PROPERTIES[[#This Row],[LOADINGSPEED]],LOADINGSPEEDDEF[TYPE],LOADINGSPEEDDEF[SPEED])</f>
        <v>20</v>
      </c>
      <c r="M572" t="s">
        <v>21</v>
      </c>
      <c r="N572">
        <v>0</v>
      </c>
      <c r="O572" s="34">
        <v>27</v>
      </c>
      <c r="P572">
        <v>0</v>
      </c>
      <c r="Q572">
        <v>160</v>
      </c>
      <c r="R572" s="31">
        <v>0</v>
      </c>
      <c r="S572" s="30">
        <f>IFERROR(PROPERTIES[[#This Row],[TE_STARTING_KN]]/(PROPERTIES[[#This Row],[WEIGHT]]*9.81),0)</f>
        <v>0</v>
      </c>
      <c r="T572" s="30">
        <v>0.3</v>
      </c>
      <c r="U572" s="27">
        <f>ROUND(IF(IFERROR(PROPERTIES[[#This Row],[TE_COEFFICIENT_CALC]],0)=0,PROPERTIES[[#This Row],[TE_COEFFICIENT_MANUAL]],PROPERTIES[[#This Row],[TE_COEFFICIENT_CALC]]),3)</f>
        <v>0.3</v>
      </c>
      <c r="V572" s="6">
        <v>25</v>
      </c>
      <c r="W572" s="10">
        <v>0</v>
      </c>
      <c r="X572" s="10">
        <v>0</v>
      </c>
      <c r="Y572" s="11"/>
      <c r="Z572" t="s">
        <v>915</v>
      </c>
      <c r="AA572" t="s">
        <v>904</v>
      </c>
      <c r="AB572" s="2" t="s">
        <v>923</v>
      </c>
      <c r="AC572" s="10" t="s">
        <v>1008</v>
      </c>
      <c r="AD572" s="10" t="s">
        <v>1009</v>
      </c>
      <c r="AE572" s="11" t="str">
        <f>SUBSTITUTE(SUBSTITUTE(PROPERTIES[[#This Row],[PURCHASECOST_VALUE]], "PURCHASECOST_", ""), "_VALUE", "")</f>
        <v>WAGON</v>
      </c>
      <c r="AF572" s="10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72" s="2" t="b">
        <v>0</v>
      </c>
      <c r="AY572"/>
      <c r="AZ572"/>
      <c r="BA572"/>
    </row>
    <row r="573" spans="1:53">
      <c r="A573" s="2" t="s">
        <v>885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19</v>
      </c>
      <c r="G573" t="s">
        <v>599</v>
      </c>
      <c r="H573">
        <v>74</v>
      </c>
      <c r="I573">
        <v>8</v>
      </c>
      <c r="J573">
        <v>8</v>
      </c>
      <c r="K573" s="2" t="s">
        <v>33</v>
      </c>
      <c r="L573">
        <f>_xlfn.XLOOKUP("LOADINGSPEEDDEF_"&amp;PROPERTIES[[#This Row],[LOADINGSPEED]],LOADINGSPEEDDEF[TYPE],LOADINGSPEEDDEF[SPEED])</f>
        <v>20</v>
      </c>
      <c r="M573" t="s">
        <v>21</v>
      </c>
      <c r="N573">
        <v>0</v>
      </c>
      <c r="O573" s="34">
        <v>27</v>
      </c>
      <c r="P573">
        <v>0</v>
      </c>
      <c r="Q573">
        <v>160</v>
      </c>
      <c r="R573" s="31">
        <v>0</v>
      </c>
      <c r="S573" s="30">
        <f>IFERROR(PROPERTIES[[#This Row],[TE_STARTING_KN]]/(PROPERTIES[[#This Row],[WEIGHT]]*9.81),0)</f>
        <v>0</v>
      </c>
      <c r="T573" s="30">
        <v>0.3</v>
      </c>
      <c r="U573" s="27">
        <f>ROUND(IF(IFERROR(PROPERTIES[[#This Row],[TE_COEFFICIENT_CALC]],0)=0,PROPERTIES[[#This Row],[TE_COEFFICIENT_MANUAL]],PROPERTIES[[#This Row],[TE_COEFFICIENT_CALC]]),3)</f>
        <v>0.3</v>
      </c>
      <c r="V573" s="6">
        <v>25</v>
      </c>
      <c r="W573" s="10">
        <v>0</v>
      </c>
      <c r="X573" s="10">
        <v>0</v>
      </c>
      <c r="Y573" s="11"/>
      <c r="Z573" t="s">
        <v>916</v>
      </c>
      <c r="AA573" t="s">
        <v>904</v>
      </c>
      <c r="AB573" s="2" t="s">
        <v>923</v>
      </c>
      <c r="AC573" s="10" t="s">
        <v>1008</v>
      </c>
      <c r="AD573" s="10" t="s">
        <v>1009</v>
      </c>
      <c r="AE573" s="11" t="str">
        <f>SUBSTITUTE(SUBSTITUTE(PROPERTIES[[#This Row],[PURCHASECOST_VALUE]], "PURCHASECOST_", ""), "_VALUE", "")</f>
        <v>WAGON</v>
      </c>
      <c r="AF573" s="10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73" s="2" t="b">
        <v>0</v>
      </c>
      <c r="AY573"/>
      <c r="AZ573"/>
      <c r="BA573"/>
    </row>
    <row r="574" spans="1:53">
      <c r="A574" s="2" t="s">
        <v>886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19</v>
      </c>
      <c r="G574" t="s">
        <v>600</v>
      </c>
      <c r="H574">
        <v>20</v>
      </c>
      <c r="I574">
        <v>8</v>
      </c>
      <c r="J574">
        <v>8</v>
      </c>
      <c r="K574" s="2" t="s">
        <v>33</v>
      </c>
      <c r="L574">
        <f>_xlfn.XLOOKUP("LOADINGSPEEDDEF_"&amp;PROPERTIES[[#This Row],[LOADINGSPEED]],LOADINGSPEEDDEF[TYPE],LOADINGSPEEDDEF[SPEED])</f>
        <v>20</v>
      </c>
      <c r="M574" t="s">
        <v>21</v>
      </c>
      <c r="N574">
        <v>0</v>
      </c>
      <c r="O574" s="34">
        <v>28</v>
      </c>
      <c r="P574">
        <v>0</v>
      </c>
      <c r="Q574">
        <v>160</v>
      </c>
      <c r="R574" s="31">
        <v>0</v>
      </c>
      <c r="S574" s="30">
        <f>IFERROR(PROPERTIES[[#This Row],[TE_STARTING_KN]]/(PROPERTIES[[#This Row],[WEIGHT]]*9.81),0)</f>
        <v>0</v>
      </c>
      <c r="T574" s="30">
        <v>0.3</v>
      </c>
      <c r="U574" s="27">
        <f>ROUND(IF(IFERROR(PROPERTIES[[#This Row],[TE_COEFFICIENT_CALC]],0)=0,PROPERTIES[[#This Row],[TE_COEFFICIENT_MANUAL]],PROPERTIES[[#This Row],[TE_COEFFICIENT_CALC]]),3)</f>
        <v>0.3</v>
      </c>
      <c r="V574" s="6">
        <v>25</v>
      </c>
      <c r="W574" s="10">
        <v>0</v>
      </c>
      <c r="X574" s="10">
        <v>0</v>
      </c>
      <c r="Y574" s="11"/>
      <c r="Z574" t="s">
        <v>918</v>
      </c>
      <c r="AA574" t="s">
        <v>904</v>
      </c>
      <c r="AB574" s="2" t="s">
        <v>923</v>
      </c>
      <c r="AC574" s="10" t="s">
        <v>1008</v>
      </c>
      <c r="AD574" s="10" t="s">
        <v>1009</v>
      </c>
      <c r="AE574" s="11" t="str">
        <f>SUBSTITUTE(SUBSTITUTE(PROPERTIES[[#This Row],[PURCHASECOST_VALUE]], "PURCHASECOST_", ""), "_VALUE", "")</f>
        <v>WAGON</v>
      </c>
      <c r="AF574" s="10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74" s="2" t="b">
        <v>0</v>
      </c>
      <c r="AY574"/>
      <c r="AZ574"/>
      <c r="BA574"/>
    </row>
    <row r="575" spans="1:53">
      <c r="A575" s="2" t="s">
        <v>887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19</v>
      </c>
      <c r="G575" t="s">
        <v>601</v>
      </c>
      <c r="H575">
        <v>65</v>
      </c>
      <c r="I575">
        <v>8</v>
      </c>
      <c r="J575">
        <v>8</v>
      </c>
      <c r="K575" s="2" t="s">
        <v>33</v>
      </c>
      <c r="L575">
        <f>_xlfn.XLOOKUP("LOADINGSPEEDDEF_"&amp;PROPERTIES[[#This Row],[LOADINGSPEED]],LOADINGSPEEDDEF[TYPE],LOADINGSPEEDDEF[SPEED])</f>
        <v>20</v>
      </c>
      <c r="M575" t="s">
        <v>21</v>
      </c>
      <c r="N575">
        <v>0</v>
      </c>
      <c r="O575" s="34">
        <v>40</v>
      </c>
      <c r="P575">
        <v>0</v>
      </c>
      <c r="Q575">
        <v>160</v>
      </c>
      <c r="R575" s="31">
        <v>0</v>
      </c>
      <c r="S575" s="30">
        <f>IFERROR(PROPERTIES[[#This Row],[TE_STARTING_KN]]/(PROPERTIES[[#This Row],[WEIGHT]]*9.81),0)</f>
        <v>0</v>
      </c>
      <c r="T575" s="30">
        <v>0.3</v>
      </c>
      <c r="U575" s="27">
        <f>ROUND(IF(IFERROR(PROPERTIES[[#This Row],[TE_COEFFICIENT_CALC]],0)=0,PROPERTIES[[#This Row],[TE_COEFFICIENT_MANUAL]],PROPERTIES[[#This Row],[TE_COEFFICIENT_CALC]]),3)</f>
        <v>0.3</v>
      </c>
      <c r="V575" s="6">
        <v>25</v>
      </c>
      <c r="W575" s="10">
        <v>0</v>
      </c>
      <c r="X575" s="10">
        <v>0</v>
      </c>
      <c r="Y575" s="11"/>
      <c r="Z575" t="s">
        <v>918</v>
      </c>
      <c r="AA575" t="s">
        <v>904</v>
      </c>
      <c r="AB575" s="2" t="s">
        <v>923</v>
      </c>
      <c r="AC575" s="10" t="s">
        <v>1008</v>
      </c>
      <c r="AD575" s="10" t="s">
        <v>1009</v>
      </c>
      <c r="AE575" s="11" t="str">
        <f>SUBSTITUTE(SUBSTITUTE(PROPERTIES[[#This Row],[PURCHASECOST_VALUE]], "PURCHASECOST_", ""), "_VALUE", "")</f>
        <v>WAGON</v>
      </c>
      <c r="AF575" s="10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75" s="2" t="b">
        <v>0</v>
      </c>
      <c r="AY575"/>
      <c r="AZ575"/>
      <c r="BA575"/>
    </row>
    <row r="576" spans="1:53">
      <c r="A576" s="2" t="s">
        <v>888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19</v>
      </c>
      <c r="G576" t="s">
        <v>532</v>
      </c>
      <c r="H576">
        <v>60</v>
      </c>
      <c r="I576">
        <v>8</v>
      </c>
      <c r="J576">
        <v>8</v>
      </c>
      <c r="K576" s="2" t="s">
        <v>33</v>
      </c>
      <c r="L576">
        <f>_xlfn.XLOOKUP("LOADINGSPEEDDEF_"&amp;PROPERTIES[[#This Row],[LOADINGSPEED]],LOADINGSPEEDDEF[TYPE],LOADINGSPEEDDEF[SPEED])</f>
        <v>20</v>
      </c>
      <c r="M576" t="s">
        <v>21</v>
      </c>
      <c r="N576">
        <v>0</v>
      </c>
      <c r="O576" s="34">
        <v>22</v>
      </c>
      <c r="P576">
        <v>0</v>
      </c>
      <c r="Q576">
        <v>160</v>
      </c>
      <c r="R576" s="31">
        <v>0</v>
      </c>
      <c r="S576" s="30">
        <f>IFERROR(PROPERTIES[[#This Row],[TE_STARTING_KN]]/(PROPERTIES[[#This Row],[WEIGHT]]*9.81),0)</f>
        <v>0</v>
      </c>
      <c r="T576" s="30">
        <v>0.3</v>
      </c>
      <c r="U576" s="27">
        <f>ROUND(IF(IFERROR(PROPERTIES[[#This Row],[TE_COEFFICIENT_CALC]],0)=0,PROPERTIES[[#This Row],[TE_COEFFICIENT_MANUAL]],PROPERTIES[[#This Row],[TE_COEFFICIENT_CALC]]),3)</f>
        <v>0.3</v>
      </c>
      <c r="V576" s="6">
        <v>25</v>
      </c>
      <c r="W576" s="10">
        <v>0</v>
      </c>
      <c r="X576" s="10">
        <v>0</v>
      </c>
      <c r="Y576" s="11"/>
      <c r="Z576" t="s">
        <v>918</v>
      </c>
      <c r="AA576" t="s">
        <v>904</v>
      </c>
      <c r="AB576" s="2" t="s">
        <v>923</v>
      </c>
      <c r="AC576" s="10" t="s">
        <v>1008</v>
      </c>
      <c r="AD576" s="10" t="s">
        <v>1009</v>
      </c>
      <c r="AE576" s="11" t="str">
        <f>SUBSTITUTE(SUBSTITUTE(PROPERTIES[[#This Row],[PURCHASECOST_VALUE]], "PURCHASECOST_", ""), "_VALUE", "")</f>
        <v>WAGON</v>
      </c>
      <c r="AF576" s="10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76" s="2" t="b">
        <v>0</v>
      </c>
      <c r="AY576"/>
      <c r="AZ576"/>
      <c r="BA576"/>
    </row>
    <row r="577" spans="1:53">
      <c r="A577" s="2" t="s">
        <v>889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19</v>
      </c>
      <c r="G577" t="s">
        <v>602</v>
      </c>
      <c r="H577">
        <v>75</v>
      </c>
      <c r="I577">
        <v>8</v>
      </c>
      <c r="J577">
        <v>8</v>
      </c>
      <c r="K577" s="2" t="s">
        <v>33</v>
      </c>
      <c r="L577">
        <f>_xlfn.XLOOKUP("LOADINGSPEEDDEF_"&amp;PROPERTIES[[#This Row],[LOADINGSPEED]],LOADINGSPEEDDEF[TYPE],LOADINGSPEEDDEF[SPEED])</f>
        <v>20</v>
      </c>
      <c r="M577" t="s">
        <v>21</v>
      </c>
      <c r="N577">
        <v>0</v>
      </c>
      <c r="O577" s="34">
        <v>25</v>
      </c>
      <c r="P577">
        <v>0</v>
      </c>
      <c r="Q577">
        <v>160</v>
      </c>
      <c r="R577" s="31">
        <v>0</v>
      </c>
      <c r="S577" s="30">
        <f>IFERROR(PROPERTIES[[#This Row],[TE_STARTING_KN]]/(PROPERTIES[[#This Row],[WEIGHT]]*9.81),0)</f>
        <v>0</v>
      </c>
      <c r="T577" s="30">
        <v>0.3</v>
      </c>
      <c r="U577" s="27">
        <f>ROUND(IF(IFERROR(PROPERTIES[[#This Row],[TE_COEFFICIENT_CALC]],0)=0,PROPERTIES[[#This Row],[TE_COEFFICIENT_MANUAL]],PROPERTIES[[#This Row],[TE_COEFFICIENT_CALC]]),3)</f>
        <v>0.3</v>
      </c>
      <c r="V577" s="6">
        <v>25</v>
      </c>
      <c r="W577" s="10">
        <v>0</v>
      </c>
      <c r="X577" s="10">
        <v>0</v>
      </c>
      <c r="Y577" s="11"/>
      <c r="Z577" t="s">
        <v>918</v>
      </c>
      <c r="AA577" t="s">
        <v>904</v>
      </c>
      <c r="AB577" s="2" t="s">
        <v>923</v>
      </c>
      <c r="AC577" s="10" t="s">
        <v>1008</v>
      </c>
      <c r="AD577" s="10" t="s">
        <v>1009</v>
      </c>
      <c r="AE577" s="11" t="str">
        <f>SUBSTITUTE(SUBSTITUTE(PROPERTIES[[#This Row],[PURCHASECOST_VALUE]], "PURCHASECOST_", ""), "_VALUE", "")</f>
        <v>WAGON</v>
      </c>
      <c r="AF577" s="10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77" s="2" t="b">
        <v>0</v>
      </c>
      <c r="AY577"/>
      <c r="AZ577"/>
      <c r="BA577"/>
    </row>
    <row r="578" spans="1:53">
      <c r="A578" s="2" t="s">
        <v>890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19</v>
      </c>
      <c r="G578" t="s">
        <v>603</v>
      </c>
      <c r="H578">
        <v>72</v>
      </c>
      <c r="I578">
        <v>8</v>
      </c>
      <c r="J578">
        <v>8</v>
      </c>
      <c r="K578" s="2" t="s">
        <v>33</v>
      </c>
      <c r="L578">
        <f>_xlfn.XLOOKUP("LOADINGSPEEDDEF_"&amp;PROPERTIES[[#This Row],[LOADINGSPEED]],LOADINGSPEEDDEF[TYPE],LOADINGSPEEDDEF[SPEED])</f>
        <v>20</v>
      </c>
      <c r="M578" t="s">
        <v>21</v>
      </c>
      <c r="N578">
        <v>0</v>
      </c>
      <c r="O578" s="34">
        <v>23</v>
      </c>
      <c r="P578">
        <v>0</v>
      </c>
      <c r="Q578">
        <v>160</v>
      </c>
      <c r="R578" s="31">
        <v>0</v>
      </c>
      <c r="S578" s="30">
        <f>IFERROR(PROPERTIES[[#This Row],[TE_STARTING_KN]]/(PROPERTIES[[#This Row],[WEIGHT]]*9.81),0)</f>
        <v>0</v>
      </c>
      <c r="T578" s="30">
        <v>0.3</v>
      </c>
      <c r="U578" s="27">
        <f>ROUND(IF(IFERROR(PROPERTIES[[#This Row],[TE_COEFFICIENT_CALC]],0)=0,PROPERTIES[[#This Row],[TE_COEFFICIENT_MANUAL]],PROPERTIES[[#This Row],[TE_COEFFICIENT_CALC]]),3)</f>
        <v>0.3</v>
      </c>
      <c r="V578" s="6">
        <v>25</v>
      </c>
      <c r="W578" s="10">
        <v>0</v>
      </c>
      <c r="X578" s="10">
        <v>0</v>
      </c>
      <c r="Y578" s="11"/>
      <c r="Z578" t="s">
        <v>918</v>
      </c>
      <c r="AA578" t="s">
        <v>904</v>
      </c>
      <c r="AB578" s="2" t="s">
        <v>923</v>
      </c>
      <c r="AC578" s="10" t="s">
        <v>1008</v>
      </c>
      <c r="AD578" s="10" t="s">
        <v>1009</v>
      </c>
      <c r="AE578" s="11" t="str">
        <f>SUBSTITUTE(SUBSTITUTE(PROPERTIES[[#This Row],[PURCHASECOST_VALUE]], "PURCHASECOST_", ""), "_VALUE", "")</f>
        <v>WAGON</v>
      </c>
      <c r="AF578" s="10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78" s="2" t="b">
        <v>0</v>
      </c>
      <c r="AY578"/>
      <c r="AZ578"/>
      <c r="BA578"/>
    </row>
    <row r="579" spans="1:53">
      <c r="A579" s="2" t="s">
        <v>891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19</v>
      </c>
      <c r="G579" t="s">
        <v>604</v>
      </c>
      <c r="H579">
        <v>75</v>
      </c>
      <c r="I579">
        <v>8</v>
      </c>
      <c r="J579">
        <v>8</v>
      </c>
      <c r="K579" s="2" t="s">
        <v>33</v>
      </c>
      <c r="L579">
        <f>_xlfn.XLOOKUP("LOADINGSPEEDDEF_"&amp;PROPERTIES[[#This Row],[LOADINGSPEED]],LOADINGSPEEDDEF[TYPE],LOADINGSPEEDDEF[SPEED])</f>
        <v>20</v>
      </c>
      <c r="M579" t="s">
        <v>21</v>
      </c>
      <c r="N579">
        <v>0</v>
      </c>
      <c r="O579" s="34">
        <v>22</v>
      </c>
      <c r="P579">
        <v>0</v>
      </c>
      <c r="Q579">
        <v>160</v>
      </c>
      <c r="R579" s="31">
        <v>0</v>
      </c>
      <c r="S579" s="30">
        <f>IFERROR(PROPERTIES[[#This Row],[TE_STARTING_KN]]/(PROPERTIES[[#This Row],[WEIGHT]]*9.81),0)</f>
        <v>0</v>
      </c>
      <c r="T579" s="30">
        <v>0.3</v>
      </c>
      <c r="U579" s="27">
        <f>ROUND(IF(IFERROR(PROPERTIES[[#This Row],[TE_COEFFICIENT_CALC]],0)=0,PROPERTIES[[#This Row],[TE_COEFFICIENT_MANUAL]],PROPERTIES[[#This Row],[TE_COEFFICIENT_CALC]]),3)</f>
        <v>0.3</v>
      </c>
      <c r="V579" s="6">
        <v>25</v>
      </c>
      <c r="W579" s="10">
        <v>0</v>
      </c>
      <c r="X579" s="10">
        <v>0</v>
      </c>
      <c r="Y579" s="11"/>
      <c r="Z579" t="s">
        <v>918</v>
      </c>
      <c r="AA579" t="s">
        <v>904</v>
      </c>
      <c r="AB579" s="2" t="s">
        <v>923</v>
      </c>
      <c r="AC579" s="10" t="s">
        <v>1008</v>
      </c>
      <c r="AD579" s="10" t="s">
        <v>1009</v>
      </c>
      <c r="AE579" s="11" t="str">
        <f>SUBSTITUTE(SUBSTITUTE(PROPERTIES[[#This Row],[PURCHASECOST_VALUE]], "PURCHASECOST_", ""), "_VALUE", "")</f>
        <v>WAGON</v>
      </c>
      <c r="AF579" s="10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79" s="2" t="b">
        <v>0</v>
      </c>
      <c r="AY579"/>
      <c r="AZ579"/>
      <c r="BA579"/>
    </row>
    <row r="580" spans="1:53">
      <c r="A580" s="2" t="s">
        <v>892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19</v>
      </c>
      <c r="G580" t="s">
        <v>605</v>
      </c>
      <c r="H580">
        <v>96</v>
      </c>
      <c r="I580">
        <v>8</v>
      </c>
      <c r="J580">
        <v>8</v>
      </c>
      <c r="K580" s="2" t="s">
        <v>33</v>
      </c>
      <c r="L580">
        <f>_xlfn.XLOOKUP("LOADINGSPEEDDEF_"&amp;PROPERTIES[[#This Row],[LOADINGSPEED]],LOADINGSPEEDDEF[TYPE],LOADINGSPEEDDEF[SPEED])</f>
        <v>20</v>
      </c>
      <c r="M580" t="s">
        <v>21</v>
      </c>
      <c r="N580">
        <v>0</v>
      </c>
      <c r="O580" s="34">
        <v>42</v>
      </c>
      <c r="P580">
        <v>0</v>
      </c>
      <c r="Q580">
        <v>140</v>
      </c>
      <c r="R580" s="31">
        <v>0</v>
      </c>
      <c r="S580" s="30">
        <f>IFERROR(PROPERTIES[[#This Row],[TE_STARTING_KN]]/(PROPERTIES[[#This Row],[WEIGHT]]*9.81),0)</f>
        <v>0</v>
      </c>
      <c r="T580" s="30">
        <v>0.3</v>
      </c>
      <c r="U580" s="27">
        <f>ROUND(IF(IFERROR(PROPERTIES[[#This Row],[TE_COEFFICIENT_CALC]],0)=0,PROPERTIES[[#This Row],[TE_COEFFICIENT_MANUAL]],PROPERTIES[[#This Row],[TE_COEFFICIENT_CALC]]),3)</f>
        <v>0.3</v>
      </c>
      <c r="V580" s="6">
        <v>25</v>
      </c>
      <c r="W580" s="10">
        <v>0</v>
      </c>
      <c r="X580" s="10">
        <v>0</v>
      </c>
      <c r="Y580" s="11"/>
      <c r="Z580" t="s">
        <v>918</v>
      </c>
      <c r="AA580" t="s">
        <v>904</v>
      </c>
      <c r="AB580" s="2" t="s">
        <v>923</v>
      </c>
      <c r="AC580" s="10" t="s">
        <v>1008</v>
      </c>
      <c r="AD580" s="10" t="s">
        <v>1009</v>
      </c>
      <c r="AE580" s="11" t="str">
        <f>SUBSTITUTE(SUBSTITUTE(PROPERTIES[[#This Row],[PURCHASECOST_VALUE]], "PURCHASECOST_", ""), "_VALUE", "")</f>
        <v>WAGON</v>
      </c>
      <c r="AF580" s="10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80" s="2" t="b">
        <v>0</v>
      </c>
      <c r="AY580"/>
      <c r="AZ580"/>
      <c r="BA580"/>
    </row>
    <row r="581" spans="1:53">
      <c r="A581" s="2" t="s">
        <v>893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19</v>
      </c>
      <c r="G581" t="s">
        <v>606</v>
      </c>
      <c r="H581">
        <v>75</v>
      </c>
      <c r="I581">
        <v>8</v>
      </c>
      <c r="J581">
        <v>8</v>
      </c>
      <c r="K581" s="2" t="s">
        <v>33</v>
      </c>
      <c r="L581">
        <f>_xlfn.XLOOKUP("LOADINGSPEEDDEF_"&amp;PROPERTIES[[#This Row],[LOADINGSPEED]],LOADINGSPEEDDEF[TYPE],LOADINGSPEEDDEF[SPEED])</f>
        <v>20</v>
      </c>
      <c r="M581" t="s">
        <v>21</v>
      </c>
      <c r="N581">
        <v>0</v>
      </c>
      <c r="O581" s="34">
        <v>26</v>
      </c>
      <c r="P581">
        <v>0</v>
      </c>
      <c r="Q581">
        <v>160</v>
      </c>
      <c r="R581" s="31">
        <v>0</v>
      </c>
      <c r="S581" s="30">
        <f>IFERROR(PROPERTIES[[#This Row],[TE_STARTING_KN]]/(PROPERTIES[[#This Row],[WEIGHT]]*9.81),0)</f>
        <v>0</v>
      </c>
      <c r="T581" s="30">
        <v>0.3</v>
      </c>
      <c r="U581" s="27">
        <f>ROUND(IF(IFERROR(PROPERTIES[[#This Row],[TE_COEFFICIENT_CALC]],0)=0,PROPERTIES[[#This Row],[TE_COEFFICIENT_MANUAL]],PROPERTIES[[#This Row],[TE_COEFFICIENT_CALC]]),3)</f>
        <v>0.3</v>
      </c>
      <c r="V581" s="6">
        <v>25</v>
      </c>
      <c r="W581" s="10">
        <v>0</v>
      </c>
      <c r="X581" s="10">
        <v>0</v>
      </c>
      <c r="Y581" s="11"/>
      <c r="Z581" t="s">
        <v>915</v>
      </c>
      <c r="AA581" t="s">
        <v>904</v>
      </c>
      <c r="AB581" s="2" t="s">
        <v>923</v>
      </c>
      <c r="AC581" s="10" t="s">
        <v>1008</v>
      </c>
      <c r="AD581" s="10" t="s">
        <v>1009</v>
      </c>
      <c r="AE581" s="11" t="str">
        <f>SUBSTITUTE(SUBSTITUTE(PROPERTIES[[#This Row],[PURCHASECOST_VALUE]], "PURCHASECOST_", ""), "_VALUE", "")</f>
        <v>WAGON</v>
      </c>
      <c r="AF581" s="10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81" s="2" t="b">
        <v>0</v>
      </c>
      <c r="AY581"/>
      <c r="AZ581"/>
      <c r="BA581"/>
    </row>
    <row r="582" spans="1:53">
      <c r="A582" s="2" t="s">
        <v>894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19</v>
      </c>
      <c r="G582" t="s">
        <v>606</v>
      </c>
      <c r="H582">
        <v>75</v>
      </c>
      <c r="I582">
        <v>8</v>
      </c>
      <c r="J582">
        <v>8</v>
      </c>
      <c r="K582" s="2" t="s">
        <v>33</v>
      </c>
      <c r="L582">
        <f>_xlfn.XLOOKUP("LOADINGSPEEDDEF_"&amp;PROPERTIES[[#This Row],[LOADINGSPEED]],LOADINGSPEEDDEF[TYPE],LOADINGSPEEDDEF[SPEED])</f>
        <v>20</v>
      </c>
      <c r="M582" t="s">
        <v>21</v>
      </c>
      <c r="N582">
        <v>0</v>
      </c>
      <c r="O582" s="34">
        <v>26</v>
      </c>
      <c r="P582">
        <v>0</v>
      </c>
      <c r="Q582">
        <v>160</v>
      </c>
      <c r="R582" s="31">
        <v>0</v>
      </c>
      <c r="S582" s="30">
        <f>IFERROR(PROPERTIES[[#This Row],[TE_STARTING_KN]]/(PROPERTIES[[#This Row],[WEIGHT]]*9.81),0)</f>
        <v>0</v>
      </c>
      <c r="T582" s="30">
        <v>0.3</v>
      </c>
      <c r="U582" s="27">
        <f>ROUND(IF(IFERROR(PROPERTIES[[#This Row],[TE_COEFFICIENT_CALC]],0)=0,PROPERTIES[[#This Row],[TE_COEFFICIENT_MANUAL]],PROPERTIES[[#This Row],[TE_COEFFICIENT_CALC]]),3)</f>
        <v>0.3</v>
      </c>
      <c r="V582" s="6">
        <v>25</v>
      </c>
      <c r="W582" s="10">
        <v>0</v>
      </c>
      <c r="X582" s="10">
        <v>0</v>
      </c>
      <c r="Y582" s="11"/>
      <c r="Z582" t="s">
        <v>918</v>
      </c>
      <c r="AA582" t="s">
        <v>904</v>
      </c>
      <c r="AB582" s="2" t="s">
        <v>923</v>
      </c>
      <c r="AC582" s="10" t="s">
        <v>1008</v>
      </c>
      <c r="AD582" s="10" t="s">
        <v>1009</v>
      </c>
      <c r="AE582" s="11" t="str">
        <f>SUBSTITUTE(SUBSTITUTE(PROPERTIES[[#This Row],[PURCHASECOST_VALUE]], "PURCHASECOST_", ""), "_VALUE", "")</f>
        <v>WAGON</v>
      </c>
      <c r="AF582" s="10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82" s="2" t="b">
        <v>0</v>
      </c>
      <c r="AY582"/>
      <c r="AZ582"/>
      <c r="BA582"/>
    </row>
    <row r="583" spans="1:53">
      <c r="A583" s="2" t="s">
        <v>895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19</v>
      </c>
      <c r="G583" t="s">
        <v>607</v>
      </c>
      <c r="H583">
        <v>75</v>
      </c>
      <c r="I583">
        <v>8</v>
      </c>
      <c r="J583">
        <v>8</v>
      </c>
      <c r="K583" s="2" t="s">
        <v>33</v>
      </c>
      <c r="L583">
        <f>_xlfn.XLOOKUP("LOADINGSPEEDDEF_"&amp;PROPERTIES[[#This Row],[LOADINGSPEED]],LOADINGSPEEDDEF[TYPE],LOADINGSPEEDDEF[SPEED])</f>
        <v>20</v>
      </c>
      <c r="M583" t="s">
        <v>21</v>
      </c>
      <c r="N583">
        <v>0</v>
      </c>
      <c r="O583" s="34">
        <v>27</v>
      </c>
      <c r="P583">
        <v>0</v>
      </c>
      <c r="Q583">
        <v>160</v>
      </c>
      <c r="R583" s="31">
        <v>0</v>
      </c>
      <c r="S583" s="30">
        <f>IFERROR(PROPERTIES[[#This Row],[TE_STARTING_KN]]/(PROPERTIES[[#This Row],[WEIGHT]]*9.81),0)</f>
        <v>0</v>
      </c>
      <c r="T583" s="30">
        <v>0.3</v>
      </c>
      <c r="U583" s="27">
        <f>ROUND(IF(IFERROR(PROPERTIES[[#This Row],[TE_COEFFICIENT_CALC]],0)=0,PROPERTIES[[#This Row],[TE_COEFFICIENT_MANUAL]],PROPERTIES[[#This Row],[TE_COEFFICIENT_CALC]]),3)</f>
        <v>0.3</v>
      </c>
      <c r="V583" s="6">
        <v>25</v>
      </c>
      <c r="W583" s="10">
        <v>0</v>
      </c>
      <c r="X583" s="10">
        <v>0</v>
      </c>
      <c r="Y583" s="11"/>
      <c r="Z583" t="s">
        <v>915</v>
      </c>
      <c r="AA583" t="s">
        <v>904</v>
      </c>
      <c r="AB583" s="2" t="s">
        <v>923</v>
      </c>
      <c r="AC583" s="10" t="s">
        <v>1008</v>
      </c>
      <c r="AD583" s="10" t="s">
        <v>1009</v>
      </c>
      <c r="AE583" s="11" t="str">
        <f>SUBSTITUTE(SUBSTITUTE(PROPERTIES[[#This Row],[PURCHASECOST_VALUE]], "PURCHASECOST_", ""), "_VALUE", "")</f>
        <v>WAGON</v>
      </c>
      <c r="AF583" s="10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83" s="2" t="b">
        <v>0</v>
      </c>
      <c r="AY583"/>
      <c r="AZ583"/>
      <c r="BA583"/>
    </row>
    <row r="584" spans="1:53">
      <c r="A584" s="2" t="s">
        <v>896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19</v>
      </c>
      <c r="G584" t="s">
        <v>607</v>
      </c>
      <c r="H584">
        <v>75</v>
      </c>
      <c r="I584">
        <v>8</v>
      </c>
      <c r="J584">
        <v>8</v>
      </c>
      <c r="K584" s="2" t="s">
        <v>33</v>
      </c>
      <c r="L584">
        <f>_xlfn.XLOOKUP("LOADINGSPEEDDEF_"&amp;PROPERTIES[[#This Row],[LOADINGSPEED]],LOADINGSPEEDDEF[TYPE],LOADINGSPEEDDEF[SPEED])</f>
        <v>20</v>
      </c>
      <c r="M584" t="s">
        <v>21</v>
      </c>
      <c r="N584">
        <v>0</v>
      </c>
      <c r="O584" s="34">
        <v>27</v>
      </c>
      <c r="P584">
        <v>0</v>
      </c>
      <c r="Q584">
        <v>160</v>
      </c>
      <c r="R584" s="31">
        <v>0</v>
      </c>
      <c r="S584" s="30">
        <f>IFERROR(PROPERTIES[[#This Row],[TE_STARTING_KN]]/(PROPERTIES[[#This Row],[WEIGHT]]*9.81),0)</f>
        <v>0</v>
      </c>
      <c r="T584" s="30">
        <v>0.3</v>
      </c>
      <c r="U584" s="27">
        <f>ROUND(IF(IFERROR(PROPERTIES[[#This Row],[TE_COEFFICIENT_CALC]],0)=0,PROPERTIES[[#This Row],[TE_COEFFICIENT_MANUAL]],PROPERTIES[[#This Row],[TE_COEFFICIENT_CALC]]),3)</f>
        <v>0.3</v>
      </c>
      <c r="V584" s="6">
        <v>25</v>
      </c>
      <c r="W584" s="10">
        <v>0</v>
      </c>
      <c r="X584" s="10">
        <v>0</v>
      </c>
      <c r="Y584" s="11"/>
      <c r="Z584" t="s">
        <v>916</v>
      </c>
      <c r="AA584" t="s">
        <v>904</v>
      </c>
      <c r="AB584" s="2" t="s">
        <v>923</v>
      </c>
      <c r="AC584" s="10" t="s">
        <v>1008</v>
      </c>
      <c r="AD584" s="10" t="s">
        <v>1009</v>
      </c>
      <c r="AE584" s="11" t="str">
        <f>SUBSTITUTE(SUBSTITUTE(PROPERTIES[[#This Row],[PURCHASECOST_VALUE]], "PURCHASECOST_", ""), "_VALUE", "")</f>
        <v>WAGON</v>
      </c>
      <c r="AF584" s="10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84" s="2" t="b">
        <v>0</v>
      </c>
      <c r="AY584"/>
      <c r="AZ584"/>
      <c r="BA584"/>
    </row>
    <row r="585" spans="1:53">
      <c r="A585" s="2" t="s">
        <v>897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19</v>
      </c>
      <c r="G585" t="s">
        <v>608</v>
      </c>
      <c r="H585">
        <v>65</v>
      </c>
      <c r="I585">
        <v>4</v>
      </c>
      <c r="J585">
        <v>12</v>
      </c>
      <c r="K585" s="2" t="s">
        <v>33</v>
      </c>
      <c r="L585">
        <f>_xlfn.XLOOKUP("LOADINGSPEEDDEF_"&amp;PROPERTIES[[#This Row],[LOADINGSPEED]],LOADINGSPEEDDEF[TYPE],LOADINGSPEEDDEF[SPEED])</f>
        <v>20</v>
      </c>
      <c r="M585" t="s">
        <v>21</v>
      </c>
      <c r="N585">
        <v>0</v>
      </c>
      <c r="O585" s="34">
        <v>50</v>
      </c>
      <c r="P585">
        <v>0</v>
      </c>
      <c r="Q585">
        <v>140</v>
      </c>
      <c r="R585" s="31">
        <v>0</v>
      </c>
      <c r="S585" s="30">
        <f>IFERROR(PROPERTIES[[#This Row],[TE_STARTING_KN]]/(PROPERTIES[[#This Row],[WEIGHT]]*9.81),0)</f>
        <v>0</v>
      </c>
      <c r="T585" s="30">
        <v>0.3</v>
      </c>
      <c r="U585" s="27">
        <f>ROUND(IF(IFERROR(PROPERTIES[[#This Row],[TE_COEFFICIENT_CALC]],0)=0,PROPERTIES[[#This Row],[TE_COEFFICIENT_MANUAL]],PROPERTIES[[#This Row],[TE_COEFFICIENT_CALC]]),3)</f>
        <v>0.3</v>
      </c>
      <c r="V585" s="6">
        <v>25</v>
      </c>
      <c r="W585" s="10">
        <v>0</v>
      </c>
      <c r="X585" s="10">
        <v>0</v>
      </c>
      <c r="Y585" s="11"/>
      <c r="Z585" t="s">
        <v>918</v>
      </c>
      <c r="AA585" t="s">
        <v>904</v>
      </c>
      <c r="AB585" s="2" t="s">
        <v>923</v>
      </c>
      <c r="AC585" s="10" t="s">
        <v>1008</v>
      </c>
      <c r="AD585" s="10" t="s">
        <v>1009</v>
      </c>
      <c r="AE585" s="11" t="str">
        <f>SUBSTITUTE(SUBSTITUTE(PROPERTIES[[#This Row],[PURCHASECOST_VALUE]], "PURCHASECOST_", ""), "_VALUE", "")</f>
        <v>WAGON</v>
      </c>
      <c r="AF585" s="10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85" s="2" t="b">
        <v>0</v>
      </c>
      <c r="AY585"/>
      <c r="AZ585"/>
      <c r="BA585"/>
    </row>
    <row r="586" spans="1:53">
      <c r="A586" s="2" t="s">
        <v>898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19</v>
      </c>
      <c r="G586" t="s">
        <v>609</v>
      </c>
      <c r="H586">
        <v>105</v>
      </c>
      <c r="I586">
        <v>8</v>
      </c>
      <c r="J586">
        <v>8</v>
      </c>
      <c r="K586" s="2" t="s">
        <v>33</v>
      </c>
      <c r="L586">
        <f>_xlfn.XLOOKUP("LOADINGSPEEDDEF_"&amp;PROPERTIES[[#This Row],[LOADINGSPEED]],LOADINGSPEEDDEF[TYPE],LOADINGSPEEDDEF[SPEED])</f>
        <v>20</v>
      </c>
      <c r="M586" t="s">
        <v>21</v>
      </c>
      <c r="N586">
        <v>0</v>
      </c>
      <c r="O586" s="34">
        <v>24</v>
      </c>
      <c r="P586">
        <v>0</v>
      </c>
      <c r="Q586">
        <v>160</v>
      </c>
      <c r="R586" s="31">
        <v>0</v>
      </c>
      <c r="S586" s="30">
        <f>IFERROR(PROPERTIES[[#This Row],[TE_STARTING_KN]]/(PROPERTIES[[#This Row],[WEIGHT]]*9.81),0)</f>
        <v>0</v>
      </c>
      <c r="T586" s="30">
        <v>0.3</v>
      </c>
      <c r="U586" s="27">
        <f>ROUND(IF(IFERROR(PROPERTIES[[#This Row],[TE_COEFFICIENT_CALC]],0)=0,PROPERTIES[[#This Row],[TE_COEFFICIENT_MANUAL]],PROPERTIES[[#This Row],[TE_COEFFICIENT_CALC]]),3)</f>
        <v>0.3</v>
      </c>
      <c r="V586" s="6">
        <v>25</v>
      </c>
      <c r="W586" s="10">
        <v>0</v>
      </c>
      <c r="X586" s="10">
        <v>0</v>
      </c>
      <c r="Y586" s="11"/>
      <c r="Z586" t="s">
        <v>918</v>
      </c>
      <c r="AA586" t="s">
        <v>904</v>
      </c>
      <c r="AB586" s="2" t="s">
        <v>923</v>
      </c>
      <c r="AC586" s="10" t="s">
        <v>1008</v>
      </c>
      <c r="AD586" s="10" t="s">
        <v>1009</v>
      </c>
      <c r="AE586" s="11" t="str">
        <f>SUBSTITUTE(SUBSTITUTE(PROPERTIES[[#This Row],[PURCHASECOST_VALUE]], "PURCHASECOST_", ""), "_VALUE", "")</f>
        <v>WAGON</v>
      </c>
      <c r="AF586" s="10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586" s="2" t="b">
        <v>0</v>
      </c>
      <c r="AY586"/>
      <c r="AZ586"/>
      <c r="BA586"/>
    </row>
    <row r="587" spans="1:53">
      <c r="A587" s="2" t="s">
        <v>610</v>
      </c>
      <c r="B587">
        <v>1990</v>
      </c>
      <c r="C587">
        <v>0</v>
      </c>
      <c r="D587" t="s">
        <v>1900</v>
      </c>
      <c r="E587" t="str">
        <f>_xlfn.XLOOKUP(PROPERTIES[[#This Row],[COUNTRY]],COUNTRIES[COUNTRY_DESCRIPTION],COUNTRIES[COUNTRY_LABEL],"")</f>
        <v>JP</v>
      </c>
      <c r="F587" t="s">
        <v>35</v>
      </c>
      <c r="G587" t="s">
        <v>18</v>
      </c>
      <c r="H587">
        <v>151</v>
      </c>
      <c r="I587">
        <v>7</v>
      </c>
      <c r="J587">
        <v>7</v>
      </c>
      <c r="K587" s="2" t="s">
        <v>24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4">
        <v>32</v>
      </c>
      <c r="P587">
        <v>400</v>
      </c>
      <c r="Q587">
        <v>110</v>
      </c>
      <c r="R587" s="31">
        <v>65</v>
      </c>
      <c r="S587" s="30">
        <f>IFERROR(PROPERTIES[[#This Row],[TE_STARTING_KN]]/(PROPERTIES[[#This Row],[WEIGHT]]*9.81),0)</f>
        <v>0.207059123343527</v>
      </c>
      <c r="T587" s="30">
        <v>0.34</v>
      </c>
      <c r="U587" s="27">
        <f>ROUND(IF(IFERROR(PROPERTIES[[#This Row],[TE_COEFFICIENT_CALC]],0)=0,PROPERTIES[[#This Row],[TE_COEFFICIENT_MANUAL]],PROPERTIES[[#This Row],[TE_COEFFICIENT_CALC]]),3)</f>
        <v>0.20699999999999999</v>
      </c>
      <c r="V587" s="6">
        <v>15</v>
      </c>
      <c r="W587" s="10">
        <v>0</v>
      </c>
      <c r="X587" s="10">
        <v>0</v>
      </c>
      <c r="Y587" s="11"/>
      <c r="Z587" t="s">
        <v>913</v>
      </c>
      <c r="AA587" t="s">
        <v>904</v>
      </c>
      <c r="AB587" s="2" t="s">
        <v>922</v>
      </c>
      <c r="AC587" s="10" t="s">
        <v>986</v>
      </c>
      <c r="AD587" s="10" t="s">
        <v>987</v>
      </c>
      <c r="AE587" s="11" t="str">
        <f>SUBSTITUTE(SUBSTITUTE(PROPERTIES[[#This Row],[PURCHASECOST_VALUE]], "PURCHASECOST_", ""), "_VALUE", "")</f>
        <v>DIESELRAILBUS</v>
      </c>
      <c r="AF587" s="10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611</v>
      </c>
      <c r="B588">
        <v>2008</v>
      </c>
      <c r="C588">
        <v>0</v>
      </c>
      <c r="D588" t="s">
        <v>1900</v>
      </c>
      <c r="E588" t="str">
        <f>_xlfn.XLOOKUP(PROPERTIES[[#This Row],[COUNTRY]],COUNTRIES[COUNTRY_DESCRIPTION],COUNTRIES[COUNTRY_LABEL],"")</f>
        <v>JP</v>
      </c>
      <c r="F588" t="s">
        <v>35</v>
      </c>
      <c r="G588" t="s">
        <v>18</v>
      </c>
      <c r="H588">
        <v>114</v>
      </c>
      <c r="I588">
        <v>8</v>
      </c>
      <c r="J588">
        <v>8</v>
      </c>
      <c r="K588" s="2" t="s">
        <v>24</v>
      </c>
      <c r="L588">
        <f>_xlfn.XLOOKUP("LOADINGSPEEDDEF_"&amp;PROPERTIES[[#This Row],[LOADINGSPEED]],LOADINGSPEEDDEF[TYPE],LOADINGSPEEDDEF[SPEED])</f>
        <v>40</v>
      </c>
      <c r="M588" t="s">
        <v>21</v>
      </c>
      <c r="N588">
        <v>1</v>
      </c>
      <c r="O588" s="34">
        <v>39</v>
      </c>
      <c r="P588">
        <v>444</v>
      </c>
      <c r="Q588">
        <v>100</v>
      </c>
      <c r="R588" s="31">
        <v>60</v>
      </c>
      <c r="S588" s="30">
        <f>IFERROR(PROPERTIES[[#This Row],[TE_STARTING_KN]]/(PROPERTIES[[#This Row],[WEIGHT]]*9.81),0)</f>
        <v>0.15682584489923937</v>
      </c>
      <c r="T588" s="30">
        <v>0.26</v>
      </c>
      <c r="U588" s="27">
        <f>ROUND(IF(IFERROR(PROPERTIES[[#This Row],[TE_COEFFICIENT_CALC]],0)=0,PROPERTIES[[#This Row],[TE_COEFFICIENT_MANUAL]],PROPERTIES[[#This Row],[TE_COEFFICIENT_CALC]]),3)</f>
        <v>0.157</v>
      </c>
      <c r="V588" s="6">
        <v>15</v>
      </c>
      <c r="W588" s="10">
        <v>0</v>
      </c>
      <c r="X588" s="10">
        <v>0</v>
      </c>
      <c r="Y588" s="11"/>
      <c r="Z588" t="s">
        <v>913</v>
      </c>
      <c r="AA588" t="s">
        <v>904</v>
      </c>
      <c r="AB588" s="2" t="s">
        <v>922</v>
      </c>
      <c r="AC588" s="10" t="s">
        <v>986</v>
      </c>
      <c r="AD588" s="10" t="s">
        <v>987</v>
      </c>
      <c r="AE588" s="11" t="str">
        <f>SUBSTITUTE(SUBSTITUTE(PROPERTIES[[#This Row],[PURCHASECOST_VALUE]], "PURCHASECOST_", ""), "_VALUE", "")</f>
        <v>DIESELRAILBUS</v>
      </c>
      <c r="AF588" s="10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612</v>
      </c>
      <c r="B589">
        <v>1961</v>
      </c>
      <c r="C589">
        <v>0</v>
      </c>
      <c r="D589" t="s">
        <v>1833</v>
      </c>
      <c r="E589" t="str">
        <f>_xlfn.XLOOKUP(PROPERTIES[[#This Row],[COUNTRY]],COUNTRIES[COUNTRY_DESCRIPTION],COUNTRIES[COUNTRY_LABEL],"")</f>
        <v>CL</v>
      </c>
      <c r="F589" t="s">
        <v>35</v>
      </c>
      <c r="G589" t="s">
        <v>18</v>
      </c>
      <c r="H589">
        <v>40</v>
      </c>
      <c r="I589">
        <v>8</v>
      </c>
      <c r="J589">
        <v>8</v>
      </c>
      <c r="K589" s="2" t="s">
        <v>24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4">
        <v>20</v>
      </c>
      <c r="P589">
        <v>180</v>
      </c>
      <c r="Q589">
        <v>60</v>
      </c>
      <c r="R589" s="31">
        <v>22</v>
      </c>
      <c r="S589" s="30">
        <f>IFERROR(PROPERTIES[[#This Row],[TE_STARTING_KN]]/(PROPERTIES[[#This Row],[WEIGHT]]*9.81),0)</f>
        <v>0.11213047910295616</v>
      </c>
      <c r="T589" s="30">
        <v>0.22</v>
      </c>
      <c r="U589" s="27">
        <f>ROUND(IF(IFERROR(PROPERTIES[[#This Row],[TE_COEFFICIENT_CALC]],0)=0,PROPERTIES[[#This Row],[TE_COEFFICIENT_MANUAL]],PROPERTIES[[#This Row],[TE_COEFFICIENT_CALC]]),3)</f>
        <v>0.112</v>
      </c>
      <c r="V589" s="6">
        <v>15</v>
      </c>
      <c r="W589" s="10">
        <v>0</v>
      </c>
      <c r="X589" s="10">
        <v>0</v>
      </c>
      <c r="Y589" s="11"/>
      <c r="Z589" t="s">
        <v>912</v>
      </c>
      <c r="AA589" t="s">
        <v>904</v>
      </c>
      <c r="AB589" s="2" t="s">
        <v>922</v>
      </c>
      <c r="AC589" s="10" t="s">
        <v>986</v>
      </c>
      <c r="AD589" s="10" t="s">
        <v>987</v>
      </c>
      <c r="AE589" s="11" t="str">
        <f>SUBSTITUTE(SUBSTITUTE(PROPERTIES[[#This Row],[PURCHASECOST_VALUE]], "PURCHASECOST_", ""), "_VALUE", "")</f>
        <v>DIESELRAILBUS</v>
      </c>
      <c r="AF589" s="10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613</v>
      </c>
      <c r="B590">
        <v>1935</v>
      </c>
      <c r="C590">
        <v>0</v>
      </c>
      <c r="D590" t="s">
        <v>1797</v>
      </c>
      <c r="E590" t="str">
        <f>_xlfn.XLOOKUP(PROPERTIES[[#This Row],[COUNTRY]],COUNTRIES[COUNTRY_DESCRIPTION],COUNTRIES[COUNTRY_LABEL],"")</f>
        <v>AR</v>
      </c>
      <c r="F590" t="s">
        <v>35</v>
      </c>
      <c r="G590" t="s">
        <v>18</v>
      </c>
      <c r="H590">
        <v>40</v>
      </c>
      <c r="I590">
        <v>7</v>
      </c>
      <c r="J590">
        <v>7</v>
      </c>
      <c r="K590" s="2" t="s">
        <v>24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4">
        <v>37</v>
      </c>
      <c r="P590">
        <v>270</v>
      </c>
      <c r="Q590">
        <v>80</v>
      </c>
      <c r="R590" s="31">
        <v>42</v>
      </c>
      <c r="S590" s="30">
        <f>IFERROR(PROPERTIES[[#This Row],[TE_STARTING_KN]]/(PROPERTIES[[#This Row],[WEIGHT]]*9.81),0)</f>
        <v>0.11571204231754689</v>
      </c>
      <c r="T590" s="30">
        <v>0.14000000000000001</v>
      </c>
      <c r="U590" s="27">
        <f>ROUND(IF(IFERROR(PROPERTIES[[#This Row],[TE_COEFFICIENT_CALC]],0)=0,PROPERTIES[[#This Row],[TE_COEFFICIENT_MANUAL]],PROPERTIES[[#This Row],[TE_COEFFICIENT_CALC]]),3)</f>
        <v>0.11600000000000001</v>
      </c>
      <c r="V590" s="6">
        <v>15</v>
      </c>
      <c r="W590" s="10">
        <v>0</v>
      </c>
      <c r="X590" s="10">
        <v>0</v>
      </c>
      <c r="Y590" s="11"/>
      <c r="Z590" t="s">
        <v>912</v>
      </c>
      <c r="AA590" t="s">
        <v>904</v>
      </c>
      <c r="AB590" s="2" t="s">
        <v>922</v>
      </c>
      <c r="AC590" s="10" t="s">
        <v>986</v>
      </c>
      <c r="AD590" s="10" t="s">
        <v>987</v>
      </c>
      <c r="AE590" s="11" t="str">
        <f>SUBSTITUTE(SUBSTITUTE(PROPERTIES[[#This Row],[PURCHASECOST_VALUE]], "PURCHASECOST_", ""), "_VALUE", "")</f>
        <v>DIESELRAILBUS</v>
      </c>
      <c r="AF590" s="10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614</v>
      </c>
      <c r="B591">
        <v>1937</v>
      </c>
      <c r="C591">
        <v>0</v>
      </c>
      <c r="D591" t="s">
        <v>1854</v>
      </c>
      <c r="E591" t="str">
        <f>_xlfn.XLOOKUP(PROPERTIES[[#This Row],[COUNTRY]],COUNTRIES[COUNTRY_DESCRIPTION],COUNTRIES[COUNTRY_LABEL],"")</f>
        <v>ER</v>
      </c>
      <c r="F591" t="s">
        <v>35</v>
      </c>
      <c r="G591" t="s">
        <v>18</v>
      </c>
      <c r="H591">
        <v>62</v>
      </c>
      <c r="I591">
        <v>7</v>
      </c>
      <c r="J591">
        <v>7</v>
      </c>
      <c r="K591" s="2" t="s">
        <v>24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4">
        <v>24</v>
      </c>
      <c r="P591">
        <v>290</v>
      </c>
      <c r="Q591">
        <v>80</v>
      </c>
      <c r="R591" s="31">
        <v>32</v>
      </c>
      <c r="S591" s="30">
        <f>IFERROR(PROPERTIES[[#This Row],[TE_STARTING_KN]]/(PROPERTIES[[#This Row],[WEIGHT]]*9.81),0)</f>
        <v>0.13591573224600748</v>
      </c>
      <c r="T591" s="30">
        <v>0.26</v>
      </c>
      <c r="U591" s="27">
        <f>ROUND(IF(IFERROR(PROPERTIES[[#This Row],[TE_COEFFICIENT_CALC]],0)=0,PROPERTIES[[#This Row],[TE_COEFFICIENT_MANUAL]],PROPERTIES[[#This Row],[TE_COEFFICIENT_CALC]]),3)</f>
        <v>0.13600000000000001</v>
      </c>
      <c r="V591" s="6">
        <v>15</v>
      </c>
      <c r="W591" s="10">
        <v>0</v>
      </c>
      <c r="X591" s="10">
        <v>0</v>
      </c>
      <c r="Y591" s="11"/>
      <c r="Z591" t="s">
        <v>908</v>
      </c>
      <c r="AA591" t="s">
        <v>904</v>
      </c>
      <c r="AB591" s="2" t="s">
        <v>922</v>
      </c>
      <c r="AC591" s="10" t="s">
        <v>986</v>
      </c>
      <c r="AD591" s="10" t="s">
        <v>987</v>
      </c>
      <c r="AE591" s="11" t="str">
        <f>SUBSTITUTE(SUBSTITUTE(PROPERTIES[[#This Row],[PURCHASECOST_VALUE]], "PURCHASECOST_", ""), "_VALUE", "")</f>
        <v>DIESELRAILBUS</v>
      </c>
      <c r="AF591" s="10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615</v>
      </c>
      <c r="B592">
        <v>1911</v>
      </c>
      <c r="C592">
        <v>0</v>
      </c>
      <c r="D592" t="s">
        <v>1830</v>
      </c>
      <c r="E592" t="str">
        <f>_xlfn.XLOOKUP(PROPERTIES[[#This Row],[COUNTRY]],COUNTRIES[COUNTRY_DESCRIPTION],COUNTRIES[COUNTRY_LABEL],"")</f>
        <v>CH</v>
      </c>
      <c r="F592" t="s">
        <v>74</v>
      </c>
      <c r="G592" t="s">
        <v>18</v>
      </c>
      <c r="H592">
        <v>32</v>
      </c>
      <c r="I592">
        <v>6</v>
      </c>
      <c r="J592">
        <v>6</v>
      </c>
      <c r="K592" s="2" t="s">
        <v>24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4">
        <v>34</v>
      </c>
      <c r="P592">
        <v>340</v>
      </c>
      <c r="Q592">
        <v>35</v>
      </c>
      <c r="R592" s="31">
        <v>78</v>
      </c>
      <c r="S592" s="30">
        <f>IFERROR(PROPERTIES[[#This Row],[TE_STARTING_KN]]/(PROPERTIES[[#This Row],[WEIGHT]]*9.81),0)</f>
        <v>0.23385500989386579</v>
      </c>
      <c r="T592" s="30">
        <v>0.15</v>
      </c>
      <c r="U592" s="27">
        <f>ROUND(IF(IFERROR(PROPERTIES[[#This Row],[TE_COEFFICIENT_CALC]],0)=0,PROPERTIES[[#This Row],[TE_COEFFICIENT_MANUAL]],PROPERTIES[[#This Row],[TE_COEFFICIENT_CALC]]),3)</f>
        <v>0.23400000000000001</v>
      </c>
      <c r="V592" s="6">
        <v>15</v>
      </c>
      <c r="W592" s="10">
        <v>0</v>
      </c>
      <c r="X592" s="10">
        <v>0</v>
      </c>
      <c r="Y592" s="11"/>
      <c r="Z592" t="s">
        <v>905</v>
      </c>
      <c r="AA592" t="s">
        <v>904</v>
      </c>
      <c r="AB592" s="2" t="s">
        <v>922</v>
      </c>
      <c r="AC592" s="10" t="s">
        <v>988</v>
      </c>
      <c r="AD592" s="10" t="s">
        <v>989</v>
      </c>
      <c r="AE592" s="11" t="str">
        <f>SUBSTITUTE(SUBSTITUTE(PROPERTIES[[#This Row],[PURCHASECOST_VALUE]], "PURCHASECOST_", ""), "_VALUE", "")</f>
        <v>ELECTRICRAILBUS</v>
      </c>
      <c r="AF592" s="10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616</v>
      </c>
      <c r="B593">
        <v>1907</v>
      </c>
      <c r="C593">
        <v>0</v>
      </c>
      <c r="D593" t="s">
        <v>1830</v>
      </c>
      <c r="E593" t="str">
        <f>_xlfn.XLOOKUP(PROPERTIES[[#This Row],[COUNTRY]],COUNTRIES[COUNTRY_DESCRIPTION],COUNTRIES[COUNTRY_LABEL],"")</f>
        <v>CH</v>
      </c>
      <c r="F593" t="s">
        <v>74</v>
      </c>
      <c r="G593" t="s">
        <v>18</v>
      </c>
      <c r="H593">
        <v>20</v>
      </c>
      <c r="I593">
        <v>4</v>
      </c>
      <c r="J593">
        <v>4</v>
      </c>
      <c r="K593" s="2" t="s">
        <v>24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4">
        <v>15</v>
      </c>
      <c r="P593">
        <v>320</v>
      </c>
      <c r="Q593">
        <v>25</v>
      </c>
      <c r="R593" s="31">
        <v>45</v>
      </c>
      <c r="S593" s="30">
        <f>IFERROR(PROPERTIES[[#This Row],[TE_STARTING_KN]]/(PROPERTIES[[#This Row],[WEIGHT]]*9.81),0)</f>
        <v>0.3058103975535168</v>
      </c>
      <c r="T593" s="30">
        <v>0.33</v>
      </c>
      <c r="U593" s="27">
        <f>ROUND(IF(IFERROR(PROPERTIES[[#This Row],[TE_COEFFICIENT_CALC]],0)=0,PROPERTIES[[#This Row],[TE_COEFFICIENT_MANUAL]],PROPERTIES[[#This Row],[TE_COEFFICIENT_CALC]]),3)</f>
        <v>0.30599999999999999</v>
      </c>
      <c r="V593" s="6">
        <v>15</v>
      </c>
      <c r="W593" s="10">
        <v>0</v>
      </c>
      <c r="X593" s="10">
        <v>0</v>
      </c>
      <c r="Y593" s="11"/>
      <c r="Z593" t="s">
        <v>905</v>
      </c>
      <c r="AA593" t="s">
        <v>904</v>
      </c>
      <c r="AB593" s="2" t="s">
        <v>922</v>
      </c>
      <c r="AC593" s="10" t="s">
        <v>988</v>
      </c>
      <c r="AD593" s="10" t="s">
        <v>989</v>
      </c>
      <c r="AE593" s="11" t="str">
        <f>SUBSTITUTE(SUBSTITUTE(PROPERTIES[[#This Row],[PURCHASECOST_VALUE]], "PURCHASECOST_", ""), "_VALUE", "")</f>
        <v>ELECTRICRAILBUS</v>
      </c>
      <c r="AF593" s="10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617</v>
      </c>
      <c r="B594">
        <v>1998</v>
      </c>
      <c r="C594">
        <v>0</v>
      </c>
      <c r="D594" t="s">
        <v>1830</v>
      </c>
      <c r="E594" t="str">
        <f>_xlfn.XLOOKUP(PROPERTIES[[#This Row],[COUNTRY]],COUNTRIES[COUNTRY_DESCRIPTION],COUNTRIES[COUNTRY_LABEL],"")</f>
        <v>CH</v>
      </c>
      <c r="F594" t="s">
        <v>74</v>
      </c>
      <c r="G594" t="s">
        <v>18</v>
      </c>
      <c r="H594">
        <v>52</v>
      </c>
      <c r="I594">
        <v>8</v>
      </c>
      <c r="J594">
        <v>8</v>
      </c>
      <c r="K594" s="2" t="s">
        <v>24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4">
        <v>32</v>
      </c>
      <c r="P594">
        <v>574</v>
      </c>
      <c r="Q594">
        <v>50</v>
      </c>
      <c r="R594" s="31">
        <v>110</v>
      </c>
      <c r="S594" s="30">
        <f>IFERROR(PROPERTIES[[#This Row],[TE_STARTING_KN]]/(PROPERTIES[[#This Row],[WEIGHT]]*9.81),0)</f>
        <v>0.35040774719673801</v>
      </c>
      <c r="T594" s="30">
        <v>0.27</v>
      </c>
      <c r="U594" s="27">
        <f>ROUND(IF(IFERROR(PROPERTIES[[#This Row],[TE_COEFFICIENT_CALC]],0)=0,PROPERTIES[[#This Row],[TE_COEFFICIENT_MANUAL]],PROPERTIES[[#This Row],[TE_COEFFICIENT_CALC]]),3)</f>
        <v>0.35</v>
      </c>
      <c r="V594" s="6">
        <v>15</v>
      </c>
      <c r="W594" s="10">
        <v>0</v>
      </c>
      <c r="X594" s="10">
        <v>0</v>
      </c>
      <c r="Y594" s="11"/>
      <c r="Z594" t="s">
        <v>905</v>
      </c>
      <c r="AA594" t="s">
        <v>904</v>
      </c>
      <c r="AB594" s="2" t="s">
        <v>922</v>
      </c>
      <c r="AC594" s="10" t="s">
        <v>988</v>
      </c>
      <c r="AD594" s="10" t="s">
        <v>989</v>
      </c>
      <c r="AE594" s="11" t="str">
        <f>SUBSTITUTE(SUBSTITUTE(PROPERTIES[[#This Row],[PURCHASECOST_VALUE]], "PURCHASECOST_", ""), "_VALUE", "")</f>
        <v>ELECTRICRAILBUS</v>
      </c>
      <c r="AF594" s="10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618</v>
      </c>
      <c r="B595">
        <v>1929</v>
      </c>
      <c r="C595">
        <v>0</v>
      </c>
      <c r="D595" t="s">
        <v>1855</v>
      </c>
      <c r="E595" t="str">
        <f>_xlfn.XLOOKUP(PROPERTIES[[#This Row],[COUNTRY]],COUNTRIES[COUNTRY_DESCRIPTION],COUNTRIES[COUNTRY_LABEL],"")</f>
        <v>ES</v>
      </c>
      <c r="F595" t="s">
        <v>74</v>
      </c>
      <c r="G595" t="s">
        <v>18</v>
      </c>
      <c r="H595">
        <v>36</v>
      </c>
      <c r="I595">
        <v>6</v>
      </c>
      <c r="J595">
        <v>6</v>
      </c>
      <c r="K595" s="2" t="s">
        <v>24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4">
        <v>33</v>
      </c>
      <c r="P595">
        <v>350</v>
      </c>
      <c r="Q595">
        <v>45</v>
      </c>
      <c r="R595" s="31">
        <v>52</v>
      </c>
      <c r="S595" s="30">
        <f>IFERROR(PROPERTIES[[#This Row],[TE_STARTING_KN]]/(PROPERTIES[[#This Row],[WEIGHT]]*9.81),0)</f>
        <v>0.16062768356346338</v>
      </c>
      <c r="T595" s="30">
        <v>0.05</v>
      </c>
      <c r="U595" s="27">
        <f>ROUND(IF(IFERROR(PROPERTIES[[#This Row],[TE_COEFFICIENT_CALC]],0)=0,PROPERTIES[[#This Row],[TE_COEFFICIENT_MANUAL]],PROPERTIES[[#This Row],[TE_COEFFICIENT_CALC]]),3)</f>
        <v>0.161</v>
      </c>
      <c r="V595" s="6">
        <v>15</v>
      </c>
      <c r="W595" s="10">
        <v>0</v>
      </c>
      <c r="X595" s="10">
        <v>0</v>
      </c>
      <c r="Y595" s="11"/>
      <c r="Z595" t="s">
        <v>906</v>
      </c>
      <c r="AA595" t="s">
        <v>904</v>
      </c>
      <c r="AB595" s="2" t="s">
        <v>922</v>
      </c>
      <c r="AC595" s="10" t="s">
        <v>988</v>
      </c>
      <c r="AD595" s="10" t="s">
        <v>989</v>
      </c>
      <c r="AE595" s="11" t="str">
        <f>SUBSTITUTE(SUBSTITUTE(PROPERTIES[[#This Row],[PURCHASECOST_VALUE]], "PURCHASECOST_", ""), "_VALUE", "")</f>
        <v>ELECTRICRAILBUS</v>
      </c>
      <c r="AF595" s="10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619</v>
      </c>
      <c r="B596">
        <v>1960</v>
      </c>
      <c r="C596">
        <v>0</v>
      </c>
      <c r="D596" t="s">
        <v>1900</v>
      </c>
      <c r="E596" t="str">
        <f>_xlfn.XLOOKUP(PROPERTIES[[#This Row],[COUNTRY]],COUNTRIES[COUNTRY_DESCRIPTION],COUNTRIES[COUNTRY_LABEL],"")</f>
        <v>JP</v>
      </c>
      <c r="F596" t="s">
        <v>74</v>
      </c>
      <c r="G596" t="s">
        <v>18</v>
      </c>
      <c r="H596">
        <v>34</v>
      </c>
      <c r="I596">
        <v>7</v>
      </c>
      <c r="J596">
        <v>7</v>
      </c>
      <c r="K596" s="2" t="s">
        <v>24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4">
        <v>31</v>
      </c>
      <c r="P596">
        <v>402</v>
      </c>
      <c r="Q596">
        <v>40</v>
      </c>
      <c r="R596" s="31">
        <v>54</v>
      </c>
      <c r="S596" s="30">
        <f>IFERROR(PROPERTIES[[#This Row],[TE_STARTING_KN]]/(PROPERTIES[[#This Row],[WEIGHT]]*9.81),0)</f>
        <v>0.17756732761171942</v>
      </c>
      <c r="T596" s="30">
        <v>0.18</v>
      </c>
      <c r="U596" s="27">
        <f>ROUND(IF(IFERROR(PROPERTIES[[#This Row],[TE_COEFFICIENT_CALC]],0)=0,PROPERTIES[[#This Row],[TE_COEFFICIENT_MANUAL]],PROPERTIES[[#This Row],[TE_COEFFICIENT_CALC]]),3)</f>
        <v>0.17799999999999999</v>
      </c>
      <c r="V596" s="6">
        <v>15</v>
      </c>
      <c r="W596" s="10">
        <v>0</v>
      </c>
      <c r="X596" s="10">
        <v>0</v>
      </c>
      <c r="Y596" s="11"/>
      <c r="Z596" t="s">
        <v>913</v>
      </c>
      <c r="AA596" t="s">
        <v>904</v>
      </c>
      <c r="AB596" s="2" t="s">
        <v>922</v>
      </c>
      <c r="AC596" s="10" t="s">
        <v>988</v>
      </c>
      <c r="AD596" s="10" t="s">
        <v>989</v>
      </c>
      <c r="AE596" s="11" t="str">
        <f>SUBSTITUTE(SUBSTITUTE(PROPERTIES[[#This Row],[PURCHASECOST_VALUE]], "PURCHASECOST_", ""), "_VALUE", "")</f>
        <v>ELECTRICRAILBUS</v>
      </c>
      <c r="AF596" s="10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620</v>
      </c>
      <c r="B597">
        <v>1889</v>
      </c>
      <c r="C597">
        <v>0</v>
      </c>
      <c r="D597" t="s">
        <v>1830</v>
      </c>
      <c r="E597" t="str">
        <f>_xlfn.XLOOKUP(PROPERTIES[[#This Row],[COUNTRY]],COUNTRIES[COUNTRY_DESCRIPTION],COUNTRIES[COUNTRY_LABEL],"")</f>
        <v>CH</v>
      </c>
      <c r="F597" t="s">
        <v>23</v>
      </c>
      <c r="G597" t="s">
        <v>18</v>
      </c>
      <c r="H597">
        <v>0</v>
      </c>
      <c r="I597">
        <v>6</v>
      </c>
      <c r="J597">
        <v>6</v>
      </c>
      <c r="K597" s="2" t="s">
        <v>20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4">
        <v>30</v>
      </c>
      <c r="P597">
        <v>247</v>
      </c>
      <c r="Q597">
        <v>45</v>
      </c>
      <c r="R597" s="31">
        <v>38</v>
      </c>
      <c r="S597" s="30">
        <f>IFERROR(PROPERTIES[[#This Row],[TE_STARTING_KN]]/(PROPERTIES[[#This Row],[WEIGHT]]*9.81),0)</f>
        <v>0.1291199456337071</v>
      </c>
      <c r="T597" s="30">
        <v>0.19</v>
      </c>
      <c r="U597" s="27">
        <f>ROUND(IF(IFERROR(PROPERTIES[[#This Row],[TE_COEFFICIENT_CALC]],0)=0,PROPERTIES[[#This Row],[TE_COEFFICIENT_MANUAL]],PROPERTIES[[#This Row],[TE_COEFFICIENT_CALC]]),3)</f>
        <v>0.129</v>
      </c>
      <c r="V597" s="6">
        <v>40</v>
      </c>
      <c r="W597" s="10">
        <v>0</v>
      </c>
      <c r="X597" s="10">
        <v>0</v>
      </c>
      <c r="Y597" s="11"/>
      <c r="Z597" t="s">
        <v>905</v>
      </c>
      <c r="AA597" t="s">
        <v>904</v>
      </c>
      <c r="AB597" s="2" t="s">
        <v>922</v>
      </c>
      <c r="AC597" s="10" t="s">
        <v>990</v>
      </c>
      <c r="AD597" s="10" t="s">
        <v>991</v>
      </c>
      <c r="AE597" s="11" t="str">
        <f>SUBSTITUTE(SUBSTITUTE(PROPERTIES[[#This Row],[PURCHASECOST_VALUE]], "PURCHASECOST_", ""), "_VALUE", "")</f>
        <v>STEAMENGINE</v>
      </c>
      <c r="AF597" s="10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597" s="2" t="b">
        <v>0</v>
      </c>
      <c r="AY597"/>
      <c r="AZ597"/>
      <c r="BA597"/>
    </row>
    <row r="598" spans="1:53">
      <c r="A598" s="2" t="s">
        <v>621</v>
      </c>
      <c r="B598">
        <v>1948</v>
      </c>
      <c r="C598">
        <v>0</v>
      </c>
      <c r="D598" t="s">
        <v>1900</v>
      </c>
      <c r="E598" t="str">
        <f>_xlfn.XLOOKUP(PROPERTIES[[#This Row],[COUNTRY]],COUNTRIES[COUNTRY_DESCRIPTION],COUNTRIES[COUNTRY_LABEL],"")</f>
        <v>JP</v>
      </c>
      <c r="F598" t="s">
        <v>23</v>
      </c>
      <c r="G598" t="s">
        <v>18</v>
      </c>
      <c r="H598">
        <v>0</v>
      </c>
      <c r="I598">
        <v>7</v>
      </c>
      <c r="J598">
        <v>7</v>
      </c>
      <c r="K598" s="2" t="s">
        <v>20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4">
        <v>102</v>
      </c>
      <c r="P598">
        <v>1340</v>
      </c>
      <c r="Q598">
        <v>65</v>
      </c>
      <c r="R598" s="31">
        <v>213</v>
      </c>
      <c r="S598" s="30">
        <f>IFERROR(PROPERTIES[[#This Row],[TE_STARTING_KN]]/(PROPERTIES[[#This Row],[WEIGHT]]*9.81),0)</f>
        <v>0.21286802182646758</v>
      </c>
      <c r="T598" s="30">
        <v>0.21</v>
      </c>
      <c r="U598" s="27">
        <f>ROUND(IF(IFERROR(PROPERTIES[[#This Row],[TE_COEFFICIENT_CALC]],0)=0,PROPERTIES[[#This Row],[TE_COEFFICIENT_MANUAL]],PROPERTIES[[#This Row],[TE_COEFFICIENT_CALC]]),3)</f>
        <v>0.21299999999999999</v>
      </c>
      <c r="V598" s="6">
        <v>40</v>
      </c>
      <c r="W598" s="10">
        <v>0</v>
      </c>
      <c r="X598" s="10">
        <v>0</v>
      </c>
      <c r="Y598" s="11"/>
      <c r="Z598" t="s">
        <v>913</v>
      </c>
      <c r="AA598" t="s">
        <v>904</v>
      </c>
      <c r="AB598" s="2" t="s">
        <v>922</v>
      </c>
      <c r="AC598" s="10" t="s">
        <v>990</v>
      </c>
      <c r="AD598" s="10" t="s">
        <v>991</v>
      </c>
      <c r="AE598" s="11" t="str">
        <f>SUBSTITUTE(SUBSTITUTE(PROPERTIES[[#This Row],[PURCHASECOST_VALUE]], "PURCHASECOST_", ""), "_VALUE", "")</f>
        <v>STEAMENGINE</v>
      </c>
      <c r="AF598" s="10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622</v>
      </c>
      <c r="B599">
        <v>1880</v>
      </c>
      <c r="C599">
        <v>0</v>
      </c>
      <c r="D599" t="s">
        <v>1900</v>
      </c>
      <c r="E599" t="str">
        <f>_xlfn.XLOOKUP(PROPERTIES[[#This Row],[COUNTRY]],COUNTRIES[COUNTRY_DESCRIPTION],COUNTRIES[COUNTRY_LABEL],"")</f>
        <v>JP</v>
      </c>
      <c r="F599" t="s">
        <v>23</v>
      </c>
      <c r="G599" t="s">
        <v>20</v>
      </c>
      <c r="H599">
        <v>0</v>
      </c>
      <c r="I599">
        <v>5</v>
      </c>
      <c r="J599">
        <v>6</v>
      </c>
      <c r="K599" s="2" t="s">
        <v>24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4">
        <v>31</v>
      </c>
      <c r="P599">
        <v>200</v>
      </c>
      <c r="Q599">
        <v>36</v>
      </c>
      <c r="R599" s="31">
        <v>22</v>
      </c>
      <c r="S599" s="30">
        <f>IFERROR(PROPERTIES[[#This Row],[TE_STARTING_KN]]/(PROPERTIES[[#This Row],[WEIGHT]]*9.81),0)</f>
        <v>7.2342244582552367E-2</v>
      </c>
      <c r="T599" s="30">
        <v>7.0000000000000007E-2</v>
      </c>
      <c r="U599" s="27">
        <f>ROUND(IF(IFERROR(PROPERTIES[[#This Row],[TE_COEFFICIENT_CALC]],0)=0,PROPERTIES[[#This Row],[TE_COEFFICIENT_MANUAL]],PROPERTIES[[#This Row],[TE_COEFFICIENT_CALC]]),3)</f>
        <v>7.1999999999999995E-2</v>
      </c>
      <c r="V599" s="6">
        <v>40</v>
      </c>
      <c r="W599" s="10">
        <v>0</v>
      </c>
      <c r="X599" s="10">
        <v>3</v>
      </c>
      <c r="Y599" s="11"/>
      <c r="Z599" t="s">
        <v>913</v>
      </c>
      <c r="AA599" t="s">
        <v>904</v>
      </c>
      <c r="AB599" s="2" t="s">
        <v>922</v>
      </c>
      <c r="AC599" s="10" t="s">
        <v>990</v>
      </c>
      <c r="AD599" s="10" t="s">
        <v>991</v>
      </c>
      <c r="AE599" s="11" t="str">
        <f>SUBSTITUTE(SUBSTITUTE(PROPERTIES[[#This Row],[PURCHASECOST_VALUE]], "PURCHASECOST_", ""), "_VALUE", "")</f>
        <v>STEAMENGINE</v>
      </c>
      <c r="AF599" s="10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599" s="2" t="b">
        <v>0</v>
      </c>
      <c r="AY599"/>
      <c r="AZ599"/>
      <c r="BA599"/>
    </row>
    <row r="600" spans="1:53">
      <c r="A600" s="2" t="s">
        <v>623</v>
      </c>
      <c r="B600">
        <v>1893</v>
      </c>
      <c r="C600">
        <v>0</v>
      </c>
      <c r="D600" t="s">
        <v>1900</v>
      </c>
      <c r="E600" t="str">
        <f>_xlfn.XLOOKUP(PROPERTIES[[#This Row],[COUNTRY]],COUNTRIES[COUNTRY_DESCRIPTION],COUNTRIES[COUNTRY_LABEL],"")</f>
        <v>JP</v>
      </c>
      <c r="F600" t="s">
        <v>23</v>
      </c>
      <c r="G600" t="s">
        <v>20</v>
      </c>
      <c r="H600">
        <v>0</v>
      </c>
      <c r="I600">
        <v>5</v>
      </c>
      <c r="J600">
        <v>5</v>
      </c>
      <c r="K600" s="2" t="s">
        <v>24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4">
        <v>32</v>
      </c>
      <c r="P600">
        <v>186</v>
      </c>
      <c r="Q600">
        <v>48</v>
      </c>
      <c r="R600" s="31">
        <v>48</v>
      </c>
      <c r="S600" s="30">
        <f>IFERROR(PROPERTIES[[#This Row],[TE_STARTING_KN]]/(PROPERTIES[[#This Row],[WEIGHT]]*9.81),0)</f>
        <v>0.1529051987767584</v>
      </c>
      <c r="T600" s="30">
        <v>0.15</v>
      </c>
      <c r="U600" s="27">
        <f>ROUND(IF(IFERROR(PROPERTIES[[#This Row],[TE_COEFFICIENT_CALC]],0)=0,PROPERTIES[[#This Row],[TE_COEFFICIENT_MANUAL]],PROPERTIES[[#This Row],[TE_COEFFICIENT_CALC]]),3)</f>
        <v>0.153</v>
      </c>
      <c r="V600" s="6">
        <v>40</v>
      </c>
      <c r="W600" s="10">
        <v>0</v>
      </c>
      <c r="X600" s="10">
        <v>0</v>
      </c>
      <c r="Y600" s="11"/>
      <c r="Z600" t="s">
        <v>913</v>
      </c>
      <c r="AA600" t="s">
        <v>904</v>
      </c>
      <c r="AB600" s="2" t="s">
        <v>922</v>
      </c>
      <c r="AC600" s="10" t="s">
        <v>990</v>
      </c>
      <c r="AD600" s="10" t="s">
        <v>991</v>
      </c>
      <c r="AE600" s="11" t="str">
        <f>SUBSTITUTE(SUBSTITUTE(PROPERTIES[[#This Row],[PURCHASECOST_VALUE]], "PURCHASECOST_", ""), "_VALUE", "")</f>
        <v>STEAMENGINE</v>
      </c>
      <c r="AF600" s="10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600" s="2" t="b">
        <v>0</v>
      </c>
      <c r="AY600"/>
      <c r="AZ600"/>
      <c r="BA600"/>
    </row>
    <row r="601" spans="1:53">
      <c r="A601" s="2" t="s">
        <v>624</v>
      </c>
      <c r="B601">
        <v>1913</v>
      </c>
      <c r="C601">
        <v>0</v>
      </c>
      <c r="D601" t="s">
        <v>1900</v>
      </c>
      <c r="E601" t="str">
        <f>_xlfn.XLOOKUP(PROPERTIES[[#This Row],[COUNTRY]],COUNTRIES[COUNTRY_DESCRIPTION],COUNTRIES[COUNTRY_LABEL],"")</f>
        <v>JP</v>
      </c>
      <c r="F601" t="s">
        <v>23</v>
      </c>
      <c r="G601" t="s">
        <v>20</v>
      </c>
      <c r="H601">
        <v>0</v>
      </c>
      <c r="I601">
        <v>7</v>
      </c>
      <c r="J601">
        <v>8</v>
      </c>
      <c r="K601" s="2" t="s">
        <v>24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4">
        <v>95</v>
      </c>
      <c r="P601">
        <v>870</v>
      </c>
      <c r="Q601">
        <v>65</v>
      </c>
      <c r="R601" s="31">
        <v>139</v>
      </c>
      <c r="S601" s="30">
        <f>IFERROR(PROPERTIES[[#This Row],[TE_STARTING_KN]]/(PROPERTIES[[#This Row],[WEIGHT]]*9.81),0)</f>
        <v>0.14914963249101346</v>
      </c>
      <c r="T601" s="30">
        <v>0.15</v>
      </c>
      <c r="U601" s="27">
        <f>ROUND(IF(IFERROR(PROPERTIES[[#This Row],[TE_COEFFICIENT_CALC]],0)=0,PROPERTIES[[#This Row],[TE_COEFFICIENT_MANUAL]],PROPERTIES[[#This Row],[TE_COEFFICIENT_CALC]]),3)</f>
        <v>0.14899999999999999</v>
      </c>
      <c r="V601" s="6">
        <v>40</v>
      </c>
      <c r="W601" s="10">
        <v>0</v>
      </c>
      <c r="X601" s="10">
        <v>4</v>
      </c>
      <c r="Y601" s="11"/>
      <c r="Z601" t="s">
        <v>913</v>
      </c>
      <c r="AA601" t="s">
        <v>904</v>
      </c>
      <c r="AB601" s="2" t="s">
        <v>922</v>
      </c>
      <c r="AC601" s="10" t="s">
        <v>990</v>
      </c>
      <c r="AD601" s="10" t="s">
        <v>991</v>
      </c>
      <c r="AE601" s="11" t="str">
        <f>SUBSTITUTE(SUBSTITUTE(PROPERTIES[[#This Row],[PURCHASECOST_VALUE]], "PURCHASECOST_", ""), "_VALUE", "")</f>
        <v>STEAMENGINE</v>
      </c>
      <c r="AF601" s="10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625</v>
      </c>
      <c r="B602">
        <v>1923</v>
      </c>
      <c r="C602">
        <v>0</v>
      </c>
      <c r="D602" t="s">
        <v>1900</v>
      </c>
      <c r="E602" t="str">
        <f>_xlfn.XLOOKUP(PROPERTIES[[#This Row],[COUNTRY]],COUNTRIES[COUNTRY_DESCRIPTION],COUNTRIES[COUNTRY_LABEL],"")</f>
        <v>JP</v>
      </c>
      <c r="F602" t="s">
        <v>23</v>
      </c>
      <c r="G602" t="s">
        <v>20</v>
      </c>
      <c r="H602">
        <v>0</v>
      </c>
      <c r="I602">
        <v>6</v>
      </c>
      <c r="J602">
        <v>8</v>
      </c>
      <c r="K602" s="2" t="s">
        <v>20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4">
        <v>122</v>
      </c>
      <c r="P602">
        <v>1280</v>
      </c>
      <c r="Q602">
        <v>70</v>
      </c>
      <c r="R602" s="31">
        <v>166</v>
      </c>
      <c r="S602" s="30">
        <f>IFERROR(PROPERTIES[[#This Row],[TE_STARTING_KN]]/(PROPERTIES[[#This Row],[WEIGHT]]*9.81),0)</f>
        <v>0.13870089069367153</v>
      </c>
      <c r="T602" s="30">
        <v>0.16</v>
      </c>
      <c r="U602" s="27">
        <f>ROUND(IF(IFERROR(PROPERTIES[[#This Row],[TE_COEFFICIENT_CALC]],0)=0,PROPERTIES[[#This Row],[TE_COEFFICIENT_MANUAL]],PROPERTIES[[#This Row],[TE_COEFFICIENT_CALC]]),3)</f>
        <v>0.13900000000000001</v>
      </c>
      <c r="V602" s="6">
        <v>40</v>
      </c>
      <c r="W602" s="10">
        <v>0</v>
      </c>
      <c r="X602" s="10">
        <v>4</v>
      </c>
      <c r="Y602" s="11"/>
      <c r="Z602" t="s">
        <v>913</v>
      </c>
      <c r="AA602" t="s">
        <v>904</v>
      </c>
      <c r="AB602" s="2" t="s">
        <v>922</v>
      </c>
      <c r="AC602" s="10" t="s">
        <v>990</v>
      </c>
      <c r="AD602" s="10" t="s">
        <v>991</v>
      </c>
      <c r="AE602" s="11" t="str">
        <f>SUBSTITUTE(SUBSTITUTE(PROPERTIES[[#This Row],[PURCHASECOST_VALUE]], "PURCHASECOST_", ""), "_VALUE", "")</f>
        <v>STEAMENGINE</v>
      </c>
      <c r="AF602" s="10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626</v>
      </c>
      <c r="B603">
        <v>1957</v>
      </c>
      <c r="C603">
        <v>0</v>
      </c>
      <c r="D603" t="s">
        <v>1900</v>
      </c>
      <c r="E603" t="str">
        <f>_xlfn.XLOOKUP(PROPERTIES[[#This Row],[COUNTRY]],COUNTRIES[COUNTRY_DESCRIPTION],COUNTRIES[COUNTRY_LABEL],"")</f>
        <v>JP</v>
      </c>
      <c r="F603" t="s">
        <v>35</v>
      </c>
      <c r="G603" t="s">
        <v>20</v>
      </c>
      <c r="H603">
        <v>0</v>
      </c>
      <c r="I603">
        <v>7</v>
      </c>
      <c r="J603">
        <v>7</v>
      </c>
      <c r="K603" s="2" t="s">
        <v>20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4">
        <v>85</v>
      </c>
      <c r="P603">
        <v>1060</v>
      </c>
      <c r="Q603">
        <v>90</v>
      </c>
      <c r="R603" s="31">
        <v>123</v>
      </c>
      <c r="S603" s="30">
        <f>IFERROR(PROPERTIES[[#This Row],[TE_STARTING_KN]]/(PROPERTIES[[#This Row],[WEIGHT]]*9.81),0)</f>
        <v>0.14750854470228458</v>
      </c>
      <c r="T603" s="30">
        <v>0.28999999999999998</v>
      </c>
      <c r="U603" s="27">
        <f>ROUND(IF(IFERROR(PROPERTIES[[#This Row],[TE_COEFFICIENT_CALC]],0)=0,PROPERTIES[[#This Row],[TE_COEFFICIENT_MANUAL]],PROPERTIES[[#This Row],[TE_COEFFICIENT_CALC]]),3)</f>
        <v>0.14799999999999999</v>
      </c>
      <c r="V603" s="6">
        <v>40</v>
      </c>
      <c r="W603" s="10">
        <v>0</v>
      </c>
      <c r="X603" s="10">
        <v>0</v>
      </c>
      <c r="Y603" s="11"/>
      <c r="Z603" t="s">
        <v>913</v>
      </c>
      <c r="AA603" t="s">
        <v>904</v>
      </c>
      <c r="AB603" s="2" t="s">
        <v>922</v>
      </c>
      <c r="AC603" s="10" t="s">
        <v>992</v>
      </c>
      <c r="AD603" s="10" t="s">
        <v>993</v>
      </c>
      <c r="AE603" s="11" t="str">
        <f>SUBSTITUTE(SUBSTITUTE(PROPERTIES[[#This Row],[PURCHASECOST_VALUE]], "PURCHASECOST_", ""), "_VALUE", "")</f>
        <v>DIESELENGINE</v>
      </c>
      <c r="AF603" s="10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627</v>
      </c>
      <c r="B604">
        <v>1909</v>
      </c>
      <c r="C604">
        <v>0</v>
      </c>
      <c r="D604" t="s">
        <v>1830</v>
      </c>
      <c r="E604" t="str">
        <f>_xlfn.XLOOKUP(PROPERTIES[[#This Row],[COUNTRY]],COUNTRIES[COUNTRY_DESCRIPTION],COUNTRIES[COUNTRY_LABEL],"")</f>
        <v>CH</v>
      </c>
      <c r="F604" t="s">
        <v>74</v>
      </c>
      <c r="G604" t="s">
        <v>20</v>
      </c>
      <c r="H604">
        <v>0</v>
      </c>
      <c r="I604">
        <v>5</v>
      </c>
      <c r="J604">
        <v>5</v>
      </c>
      <c r="K604" s="2" t="s">
        <v>20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4">
        <v>16</v>
      </c>
      <c r="P604">
        <v>200</v>
      </c>
      <c r="Q604">
        <v>45</v>
      </c>
      <c r="R604" s="31">
        <v>24.5</v>
      </c>
      <c r="S604" s="30">
        <f>IFERROR(PROPERTIES[[#This Row],[TE_STARTING_KN]]/(PROPERTIES[[#This Row],[WEIGHT]]*9.81),0)</f>
        <v>0.1560907237512742</v>
      </c>
      <c r="T604" s="30">
        <v>0.3</v>
      </c>
      <c r="U604" s="27">
        <f>ROUND(IF(IFERROR(PROPERTIES[[#This Row],[TE_COEFFICIENT_CALC]],0)=0,PROPERTIES[[#This Row],[TE_COEFFICIENT_MANUAL]],PROPERTIES[[#This Row],[TE_COEFFICIENT_CALC]]),3)</f>
        <v>0.156</v>
      </c>
      <c r="V604" s="6">
        <v>40</v>
      </c>
      <c r="W604" s="10">
        <v>0</v>
      </c>
      <c r="X604" s="10">
        <v>0</v>
      </c>
      <c r="Y604" s="11"/>
      <c r="Z604" t="s">
        <v>905</v>
      </c>
      <c r="AA604" t="s">
        <v>904</v>
      </c>
      <c r="AB604" s="2" t="s">
        <v>922</v>
      </c>
      <c r="AC604" s="10" t="s">
        <v>996</v>
      </c>
      <c r="AD604" s="10" t="s">
        <v>997</v>
      </c>
      <c r="AE604" s="11" t="str">
        <f>SUBSTITUTE(SUBSTITUTE(PROPERTIES[[#This Row],[PURCHASECOST_VALUE]], "PURCHASECOST_", ""), "_VALUE", "")</f>
        <v>ELECTRICENGINE</v>
      </c>
      <c r="AF604" s="10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604" s="2" t="b">
        <v>0</v>
      </c>
      <c r="AY604"/>
      <c r="AZ604"/>
      <c r="BA604"/>
    </row>
    <row r="605" spans="1:53">
      <c r="A605" s="2" t="s">
        <v>628</v>
      </c>
      <c r="B605">
        <v>1954</v>
      </c>
      <c r="C605">
        <v>0</v>
      </c>
      <c r="D605" t="s">
        <v>1900</v>
      </c>
      <c r="E605" t="str">
        <f>_xlfn.XLOOKUP(PROPERTIES[[#This Row],[COUNTRY]],COUNTRIES[COUNTRY_DESCRIPTION],COUNTRIES[COUNTRY_LABEL],"")</f>
        <v>JP</v>
      </c>
      <c r="F605" t="s">
        <v>74</v>
      </c>
      <c r="G605" t="s">
        <v>20</v>
      </c>
      <c r="H605">
        <v>0</v>
      </c>
      <c r="I605">
        <v>7</v>
      </c>
      <c r="J605">
        <v>14</v>
      </c>
      <c r="K605" s="2" t="s">
        <v>20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4">
        <v>116</v>
      </c>
      <c r="P605">
        <v>3390</v>
      </c>
      <c r="Q605">
        <v>110</v>
      </c>
      <c r="R605" s="31">
        <v>238</v>
      </c>
      <c r="S605" s="30">
        <f>IFERROR(PROPERTIES[[#This Row],[TE_STARTING_KN]]/(PROPERTIES[[#This Row],[WEIGHT]]*9.81),0)</f>
        <v>0.20914619143027874</v>
      </c>
      <c r="T605" s="30">
        <v>0.16</v>
      </c>
      <c r="U605" s="27">
        <f>ROUND(IF(IFERROR(PROPERTIES[[#This Row],[TE_COEFFICIENT_CALC]],0)=0,PROPERTIES[[#This Row],[TE_COEFFICIENT_MANUAL]],PROPERTIES[[#This Row],[TE_COEFFICIENT_CALC]]),3)</f>
        <v>0.20899999999999999</v>
      </c>
      <c r="V605" s="6">
        <v>40</v>
      </c>
      <c r="W605" s="10">
        <v>0</v>
      </c>
      <c r="X605" s="10">
        <v>7</v>
      </c>
      <c r="Y605" s="11"/>
      <c r="Z605" t="s">
        <v>913</v>
      </c>
      <c r="AA605" t="s">
        <v>904</v>
      </c>
      <c r="AB605" s="2" t="s">
        <v>922</v>
      </c>
      <c r="AC605" s="10" t="s">
        <v>996</v>
      </c>
      <c r="AD605" s="10" t="s">
        <v>997</v>
      </c>
      <c r="AE605" s="11" t="str">
        <f>SUBSTITUTE(SUBSTITUTE(PROPERTIES[[#This Row],[PURCHASECOST_VALUE]], "PURCHASECOST_", ""), "_VALUE", "")</f>
        <v>ELECTRICENGINE</v>
      </c>
      <c r="AF605" s="10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629</v>
      </c>
      <c r="B606">
        <v>1964</v>
      </c>
      <c r="C606">
        <v>0</v>
      </c>
      <c r="D606" t="s">
        <v>1900</v>
      </c>
      <c r="E606" t="str">
        <f>_xlfn.XLOOKUP(PROPERTIES[[#This Row],[COUNTRY]],COUNTRIES[COUNTRY_DESCRIPTION],COUNTRIES[COUNTRY_LABEL],"")</f>
        <v>JP</v>
      </c>
      <c r="F606" t="s">
        <v>74</v>
      </c>
      <c r="G606" t="s">
        <v>20</v>
      </c>
      <c r="H606">
        <v>0</v>
      </c>
      <c r="I606">
        <v>8</v>
      </c>
      <c r="J606">
        <v>8</v>
      </c>
      <c r="K606" s="2" t="s">
        <v>20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4">
        <v>96</v>
      </c>
      <c r="P606">
        <v>3420</v>
      </c>
      <c r="Q606">
        <v>100</v>
      </c>
      <c r="R606" s="31">
        <v>196</v>
      </c>
      <c r="S606" s="30">
        <f>IFERROR(PROPERTIES[[#This Row],[TE_STARTING_KN]]/(PROPERTIES[[#This Row],[WEIGHT]]*9.81),0)</f>
        <v>0.20812096500169894</v>
      </c>
      <c r="T606" s="30">
        <v>0.3</v>
      </c>
      <c r="U606" s="27">
        <f>ROUND(IF(IFERROR(PROPERTIES[[#This Row],[TE_COEFFICIENT_CALC]],0)=0,PROPERTIES[[#This Row],[TE_COEFFICIENT_MANUAL]],PROPERTIES[[#This Row],[TE_COEFFICIENT_CALC]]),3)</f>
        <v>0.20799999999999999</v>
      </c>
      <c r="V606" s="6">
        <v>40</v>
      </c>
      <c r="W606" s="10">
        <v>0</v>
      </c>
      <c r="X606" s="10">
        <v>0</v>
      </c>
      <c r="Y606" s="11"/>
      <c r="Z606" t="s">
        <v>913</v>
      </c>
      <c r="AA606" t="s">
        <v>904</v>
      </c>
      <c r="AB606" s="2" t="s">
        <v>922</v>
      </c>
      <c r="AC606" s="10" t="s">
        <v>996</v>
      </c>
      <c r="AD606" s="10" t="s">
        <v>997</v>
      </c>
      <c r="AE606" s="11" t="str">
        <f>SUBSTITUTE(SUBSTITUTE(PROPERTIES[[#This Row],[PURCHASECOST_VALUE]], "PURCHASECOST_", ""), "_VALUE", "")</f>
        <v>ELECTRICENGINE</v>
      </c>
      <c r="AF606" s="10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630</v>
      </c>
      <c r="B607">
        <v>1923</v>
      </c>
      <c r="C607">
        <v>0</v>
      </c>
      <c r="D607" t="s">
        <v>1957</v>
      </c>
      <c r="E607" t="str">
        <f>_xlfn.XLOOKUP(PROPERTIES[[#This Row],[COUNTRY]],COUNTRIES[COUNTRY_DESCRIPTION],COUNTRIES[COUNTRY_LABEL],"")</f>
        <v>NZ</v>
      </c>
      <c r="F607" t="s">
        <v>74</v>
      </c>
      <c r="G607" t="s">
        <v>20</v>
      </c>
      <c r="H607">
        <v>0</v>
      </c>
      <c r="I607">
        <v>7</v>
      </c>
      <c r="J607">
        <v>7</v>
      </c>
      <c r="K607" s="2" t="s">
        <v>20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4">
        <v>50</v>
      </c>
      <c r="P607">
        <v>680</v>
      </c>
      <c r="Q607">
        <v>64</v>
      </c>
      <c r="R607" s="31">
        <v>63</v>
      </c>
      <c r="S607" s="30">
        <f>IFERROR(PROPERTIES[[#This Row],[TE_STARTING_KN]]/(PROPERTIES[[#This Row],[WEIGHT]]*9.81),0)</f>
        <v>0.12844036697247707</v>
      </c>
      <c r="T607" s="30">
        <v>0.13</v>
      </c>
      <c r="U607" s="27">
        <f>ROUND(IF(IFERROR(PROPERTIES[[#This Row],[TE_COEFFICIENT_CALC]],0)=0,PROPERTIES[[#This Row],[TE_COEFFICIENT_MANUAL]],PROPERTIES[[#This Row],[TE_COEFFICIENT_CALC]]),3)</f>
        <v>0.128</v>
      </c>
      <c r="V607" s="6">
        <v>40</v>
      </c>
      <c r="W607" s="10">
        <v>0</v>
      </c>
      <c r="X607" s="10">
        <v>0</v>
      </c>
      <c r="Y607" s="11"/>
      <c r="Z607" t="s">
        <v>907</v>
      </c>
      <c r="AA607" t="s">
        <v>904</v>
      </c>
      <c r="AB607" s="2" t="s">
        <v>922</v>
      </c>
      <c r="AC607" s="10" t="s">
        <v>996</v>
      </c>
      <c r="AD607" s="10" t="s">
        <v>997</v>
      </c>
      <c r="AE607" s="11" t="str">
        <f>SUBSTITUTE(SUBSTITUTE(PROPERTIES[[#This Row],[PURCHASECOST_VALUE]], "PURCHASECOST_", ""), "_VALUE", "")</f>
        <v>ELECTRICENGINE</v>
      </c>
      <c r="AF607" s="10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631</v>
      </c>
      <c r="B608">
        <v>1952</v>
      </c>
      <c r="C608">
        <v>0</v>
      </c>
      <c r="D608" t="s">
        <v>1800</v>
      </c>
      <c r="E608" t="str">
        <f>_xlfn.XLOOKUP(PROPERTIES[[#This Row],[COUNTRY]],COUNTRIES[COUNTRY_DESCRIPTION],COUNTRIES[COUNTRY_LABEL],"")</f>
        <v>AU</v>
      </c>
      <c r="F608" t="s">
        <v>74</v>
      </c>
      <c r="G608" t="s">
        <v>20</v>
      </c>
      <c r="H608">
        <v>0</v>
      </c>
      <c r="I608">
        <v>7</v>
      </c>
      <c r="J608">
        <v>7</v>
      </c>
      <c r="K608" s="2" t="s">
        <v>20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4">
        <v>110</v>
      </c>
      <c r="P608">
        <v>2700</v>
      </c>
      <c r="Q608">
        <v>113</v>
      </c>
      <c r="R608" s="31">
        <v>267</v>
      </c>
      <c r="S608" s="30">
        <f>IFERROR(PROPERTIES[[#This Row],[TE_STARTING_KN]]/(PROPERTIES[[#This Row],[WEIGHT]]*9.81),0)</f>
        <v>0.24742841256602721</v>
      </c>
      <c r="T608" s="30">
        <v>0.11</v>
      </c>
      <c r="U608" s="27">
        <f>ROUND(IF(IFERROR(PROPERTIES[[#This Row],[TE_COEFFICIENT_CALC]],0)=0,PROPERTIES[[#This Row],[TE_COEFFICIENT_MANUAL]],PROPERTIES[[#This Row],[TE_COEFFICIENT_CALC]]),3)</f>
        <v>0.247</v>
      </c>
      <c r="V608" s="6">
        <v>40</v>
      </c>
      <c r="W608" s="10">
        <v>0</v>
      </c>
      <c r="X608" s="10">
        <v>0</v>
      </c>
      <c r="Y608" s="11"/>
      <c r="Z608" t="s">
        <v>907</v>
      </c>
      <c r="AA608" t="s">
        <v>904</v>
      </c>
      <c r="AB608" s="2" t="s">
        <v>922</v>
      </c>
      <c r="AC608" s="10" t="s">
        <v>996</v>
      </c>
      <c r="AD608" s="10" t="s">
        <v>997</v>
      </c>
      <c r="AE608" s="11" t="str">
        <f>SUBSTITUTE(SUBSTITUTE(PROPERTIES[[#This Row],[PURCHASECOST_VALUE]], "PURCHASECOST_", ""), "_VALUE", "")</f>
        <v>ELECTRICENGINE</v>
      </c>
      <c r="AF608" s="10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632</v>
      </c>
      <c r="B609">
        <v>1952</v>
      </c>
      <c r="C609">
        <v>0</v>
      </c>
      <c r="D609" t="s">
        <v>2033</v>
      </c>
      <c r="E609" t="str">
        <f>_xlfn.XLOOKUP(PROPERTIES[[#This Row],[COUNTRY]],COUNTRIES[COUNTRY_DESCRIPTION],COUNTRIES[COUNTRY_LABEL],"")</f>
        <v>ZA</v>
      </c>
      <c r="F609" t="s">
        <v>74</v>
      </c>
      <c r="G609" t="s">
        <v>20</v>
      </c>
      <c r="H609">
        <v>0</v>
      </c>
      <c r="I609">
        <v>8</v>
      </c>
      <c r="J609">
        <v>8</v>
      </c>
      <c r="K609" s="2" t="s">
        <v>20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4">
        <v>155</v>
      </c>
      <c r="P609">
        <v>2520</v>
      </c>
      <c r="Q609">
        <v>97</v>
      </c>
      <c r="R609" s="31">
        <v>322</v>
      </c>
      <c r="S609" s="30">
        <f>IFERROR(PROPERTIES[[#This Row],[TE_STARTING_KN]]/(PROPERTIES[[#This Row],[WEIGHT]]*9.81),0)</f>
        <v>0.21176547959619871</v>
      </c>
      <c r="T609" s="30">
        <v>0.09</v>
      </c>
      <c r="U609" s="27">
        <f>ROUND(IF(IFERROR(PROPERTIES[[#This Row],[TE_COEFFICIENT_CALC]],0)=0,PROPERTIES[[#This Row],[TE_COEFFICIENT_MANUAL]],PROPERTIES[[#This Row],[TE_COEFFICIENT_CALC]]),3)</f>
        <v>0.21199999999999999</v>
      </c>
      <c r="V609" s="6">
        <v>40</v>
      </c>
      <c r="W609" s="10">
        <v>0</v>
      </c>
      <c r="X609" s="10">
        <v>0</v>
      </c>
      <c r="Y609" s="11"/>
      <c r="Z609" t="s">
        <v>908</v>
      </c>
      <c r="AA609" t="s">
        <v>904</v>
      </c>
      <c r="AB609" s="2" t="s">
        <v>922</v>
      </c>
      <c r="AC609" s="10" t="s">
        <v>996</v>
      </c>
      <c r="AD609" s="10" t="s">
        <v>997</v>
      </c>
      <c r="AE609" s="11" t="str">
        <f>SUBSTITUTE(SUBSTITUTE(PROPERTIES[[#This Row],[PURCHASECOST_VALUE]], "PURCHASECOST_", ""), "_VALUE", "")</f>
        <v>ELECTRICENGINE</v>
      </c>
      <c r="AF609" s="10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633</v>
      </c>
      <c r="B610">
        <v>1965</v>
      </c>
      <c r="C610">
        <v>0</v>
      </c>
      <c r="D610" t="s">
        <v>2033</v>
      </c>
      <c r="E610" t="str">
        <f>_xlfn.XLOOKUP(PROPERTIES[[#This Row],[COUNTRY]],COUNTRIES[COUNTRY_DESCRIPTION],COUNTRIES[COUNTRY_LABEL],"")</f>
        <v>ZA</v>
      </c>
      <c r="F610" t="s">
        <v>74</v>
      </c>
      <c r="G610" t="s">
        <v>20</v>
      </c>
      <c r="H610">
        <v>0</v>
      </c>
      <c r="I610">
        <v>7</v>
      </c>
      <c r="J610">
        <v>7</v>
      </c>
      <c r="K610" s="2" t="s">
        <v>20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4">
        <v>86</v>
      </c>
      <c r="P610">
        <v>1953</v>
      </c>
      <c r="Q610">
        <v>97</v>
      </c>
      <c r="R610" s="31">
        <v>250</v>
      </c>
      <c r="S610" s="30">
        <f>IFERROR(PROPERTIES[[#This Row],[TE_STARTING_KN]]/(PROPERTIES[[#This Row],[WEIGHT]]*9.81),0)</f>
        <v>0.29632790460612091</v>
      </c>
      <c r="T610" s="30">
        <v>0.15</v>
      </c>
      <c r="U610" s="27">
        <f>ROUND(IF(IFERROR(PROPERTIES[[#This Row],[TE_COEFFICIENT_CALC]],0)=0,PROPERTIES[[#This Row],[TE_COEFFICIENT_MANUAL]],PROPERTIES[[#This Row],[TE_COEFFICIENT_CALC]]),3)</f>
        <v>0.29599999999999999</v>
      </c>
      <c r="V610" s="6">
        <v>40</v>
      </c>
      <c r="W610" s="10">
        <v>0</v>
      </c>
      <c r="X610" s="10">
        <v>0</v>
      </c>
      <c r="Y610" s="11"/>
      <c r="Z610" t="s">
        <v>908</v>
      </c>
      <c r="AA610" t="s">
        <v>904</v>
      </c>
      <c r="AB610" s="2" t="s">
        <v>922</v>
      </c>
      <c r="AC610" s="10" t="s">
        <v>996</v>
      </c>
      <c r="AD610" s="10" t="s">
        <v>997</v>
      </c>
      <c r="AE610" s="11" t="str">
        <f>SUBSTITUTE(SUBSTITUTE(PROPERTIES[[#This Row],[PURCHASECOST_VALUE]], "PURCHASECOST_", ""), "_VALUE", "")</f>
        <v>ELECTRICENGINE</v>
      </c>
      <c r="AF610" s="10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634</v>
      </c>
      <c r="B611">
        <v>1970</v>
      </c>
      <c r="C611">
        <v>0</v>
      </c>
      <c r="D611" t="s">
        <v>2033</v>
      </c>
      <c r="E611" t="str">
        <f>_xlfn.XLOOKUP(PROPERTIES[[#This Row],[COUNTRY]],COUNTRIES[COUNTRY_DESCRIPTION],COUNTRIES[COUNTRY_LABEL],"")</f>
        <v>ZA</v>
      </c>
      <c r="F611" t="s">
        <v>74</v>
      </c>
      <c r="G611" t="s">
        <v>20</v>
      </c>
      <c r="H611">
        <v>0</v>
      </c>
      <c r="I611">
        <v>8</v>
      </c>
      <c r="J611">
        <v>8</v>
      </c>
      <c r="K611" s="2" t="s">
        <v>20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4">
        <v>89</v>
      </c>
      <c r="P611">
        <v>3020</v>
      </c>
      <c r="Q611">
        <v>113</v>
      </c>
      <c r="R611" s="31">
        <v>311</v>
      </c>
      <c r="S611" s="30">
        <f>IFERROR(PROPERTIES[[#This Row],[TE_STARTING_KN]]/(PROPERTIES[[#This Row],[WEIGHT]]*9.81),0)</f>
        <v>0.35620611849866562</v>
      </c>
      <c r="T611" s="30">
        <v>0.22</v>
      </c>
      <c r="U611" s="27">
        <f>ROUND(IF(IFERROR(PROPERTIES[[#This Row],[TE_COEFFICIENT_CALC]],0)=0,PROPERTIES[[#This Row],[TE_COEFFICIENT_MANUAL]],PROPERTIES[[#This Row],[TE_COEFFICIENT_CALC]]),3)</f>
        <v>0.35599999999999998</v>
      </c>
      <c r="V611" s="6">
        <v>40</v>
      </c>
      <c r="W611" s="10">
        <v>0</v>
      </c>
      <c r="X611" s="10">
        <v>0</v>
      </c>
      <c r="Y611" s="11"/>
      <c r="Z611" t="s">
        <v>908</v>
      </c>
      <c r="AA611" t="s">
        <v>904</v>
      </c>
      <c r="AB611" s="2" t="s">
        <v>922</v>
      </c>
      <c r="AC611" s="10" t="s">
        <v>996</v>
      </c>
      <c r="AD611" s="10" t="s">
        <v>997</v>
      </c>
      <c r="AE611" s="11" t="str">
        <f>SUBSTITUTE(SUBSTITUTE(PROPERTIES[[#This Row],[PURCHASECOST_VALUE]], "PURCHASECOST_", ""), "_VALUE", "")</f>
        <v>ELECTRICENGINE</v>
      </c>
      <c r="AF611" s="10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635</v>
      </c>
      <c r="B612">
        <v>1947</v>
      </c>
      <c r="C612">
        <v>0</v>
      </c>
      <c r="D612" t="s">
        <v>1830</v>
      </c>
      <c r="E612" t="str">
        <f>_xlfn.XLOOKUP(PROPERTIES[[#This Row],[COUNTRY]],COUNTRIES[COUNTRY_DESCRIPTION],COUNTRIES[COUNTRY_LABEL],"")</f>
        <v>CH</v>
      </c>
      <c r="F612" t="s">
        <v>74</v>
      </c>
      <c r="G612" t="s">
        <v>20</v>
      </c>
      <c r="H612">
        <v>0</v>
      </c>
      <c r="I612">
        <v>8</v>
      </c>
      <c r="J612">
        <v>8</v>
      </c>
      <c r="K612" s="2" t="s">
        <v>20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4">
        <v>47</v>
      </c>
      <c r="P612">
        <v>1590</v>
      </c>
      <c r="Q612">
        <v>80</v>
      </c>
      <c r="R612" s="31">
        <v>135</v>
      </c>
      <c r="S612" s="30">
        <f>IFERROR(PROPERTIES[[#This Row],[TE_STARTING_KN]]/(PROPERTIES[[#This Row],[WEIGHT]]*9.81),0)</f>
        <v>0.29279718914698416</v>
      </c>
      <c r="T612" s="30">
        <v>0.3</v>
      </c>
      <c r="U612" s="27">
        <f>ROUND(IF(IFERROR(PROPERTIES[[#This Row],[TE_COEFFICIENT_CALC]],0)=0,PROPERTIES[[#This Row],[TE_COEFFICIENT_MANUAL]],PROPERTIES[[#This Row],[TE_COEFFICIENT_CALC]]),3)</f>
        <v>0.29299999999999998</v>
      </c>
      <c r="V612" s="6">
        <v>40</v>
      </c>
      <c r="W612" s="10">
        <v>0</v>
      </c>
      <c r="X612" s="10">
        <v>0</v>
      </c>
      <c r="Y612" s="11"/>
      <c r="Z612" t="s">
        <v>905</v>
      </c>
      <c r="AA612" t="s">
        <v>904</v>
      </c>
      <c r="AB612" s="2" t="s">
        <v>922</v>
      </c>
      <c r="AC612" s="10" t="s">
        <v>996</v>
      </c>
      <c r="AD612" s="10" t="s">
        <v>997</v>
      </c>
      <c r="AE612" s="11" t="str">
        <f>SUBSTITUTE(SUBSTITUTE(PROPERTIES[[#This Row],[PURCHASECOST_VALUE]], "PURCHASECOST_", ""), "_VALUE", "")</f>
        <v>ELECTRICENGINE</v>
      </c>
      <c r="AF612" s="10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636</v>
      </c>
      <c r="B613">
        <v>1921</v>
      </c>
      <c r="C613">
        <v>0</v>
      </c>
      <c r="D613" t="s">
        <v>1830</v>
      </c>
      <c r="E613" t="str">
        <f>_xlfn.XLOOKUP(PROPERTIES[[#This Row],[COUNTRY]],COUNTRIES[COUNTRY_DESCRIPTION],COUNTRIES[COUNTRY_LABEL],"")</f>
        <v>CH</v>
      </c>
      <c r="F613" t="s">
        <v>74</v>
      </c>
      <c r="G613" t="s">
        <v>20</v>
      </c>
      <c r="H613">
        <v>0</v>
      </c>
      <c r="I613">
        <v>8</v>
      </c>
      <c r="J613">
        <v>8</v>
      </c>
      <c r="K613" s="2" t="s">
        <v>20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4">
        <v>66</v>
      </c>
      <c r="P613">
        <v>1260</v>
      </c>
      <c r="Q613">
        <v>55</v>
      </c>
      <c r="R613" s="31">
        <v>131</v>
      </c>
      <c r="S613" s="30">
        <f>IFERROR(PROPERTIES[[#This Row],[TE_STARTING_KN]]/(PROPERTIES[[#This Row],[WEIGHT]]*9.81),0)</f>
        <v>0.20232910141167021</v>
      </c>
      <c r="T613" s="30">
        <v>0.26</v>
      </c>
      <c r="U613" s="27">
        <f>ROUND(IF(IFERROR(PROPERTIES[[#This Row],[TE_COEFFICIENT_CALC]],0)=0,PROPERTIES[[#This Row],[TE_COEFFICIENT_MANUAL]],PROPERTIES[[#This Row],[TE_COEFFICIENT_CALC]]),3)</f>
        <v>0.20200000000000001</v>
      </c>
      <c r="V613" s="6">
        <v>40</v>
      </c>
      <c r="W613" s="10">
        <v>0</v>
      </c>
      <c r="X613" s="10">
        <v>0</v>
      </c>
      <c r="Y613" s="11"/>
      <c r="Z613" t="s">
        <v>905</v>
      </c>
      <c r="AA613" t="s">
        <v>904</v>
      </c>
      <c r="AB613" s="2" t="s">
        <v>922</v>
      </c>
      <c r="AC613" s="10" t="s">
        <v>996</v>
      </c>
      <c r="AD613" s="10" t="s">
        <v>997</v>
      </c>
      <c r="AE613" s="11" t="str">
        <f>SUBSTITUTE(SUBSTITUTE(PROPERTIES[[#This Row],[PURCHASECOST_VALUE]], "PURCHASECOST_", ""), "_VALUE", "")</f>
        <v>ELECTRICENGINE</v>
      </c>
      <c r="AF613" s="10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637</v>
      </c>
      <c r="B614">
        <v>2012</v>
      </c>
      <c r="C614">
        <v>0</v>
      </c>
      <c r="D614" t="s">
        <v>1818</v>
      </c>
      <c r="E614" t="str">
        <f>_xlfn.XLOOKUP(PROPERTIES[[#This Row],[COUNTRY]],COUNTRIES[COUNTRY_DESCRIPTION],COUNTRIES[COUNTRY_LABEL],"")</f>
        <v>BR</v>
      </c>
      <c r="F614" t="s">
        <v>74</v>
      </c>
      <c r="G614" t="s">
        <v>20</v>
      </c>
      <c r="H614">
        <v>0</v>
      </c>
      <c r="I614">
        <v>7</v>
      </c>
      <c r="J614">
        <v>7</v>
      </c>
      <c r="K614" s="2" t="s">
        <v>24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4">
        <v>121</v>
      </c>
      <c r="P614">
        <v>6710</v>
      </c>
      <c r="Q614">
        <v>60</v>
      </c>
      <c r="R614" s="31">
        <v>760</v>
      </c>
      <c r="S614" s="30">
        <f>IFERROR(PROPERTIES[[#This Row],[TE_STARTING_KN]]/(PROPERTIES[[#This Row],[WEIGHT]]*9.81),0)</f>
        <v>0.64026419322499395</v>
      </c>
      <c r="T614" s="30">
        <v>0.63</v>
      </c>
      <c r="U614" s="27">
        <f>ROUND(IF(IFERROR(PROPERTIES[[#This Row],[TE_COEFFICIENT_CALC]],0)=0,PROPERTIES[[#This Row],[TE_COEFFICIENT_MANUAL]],PROPERTIES[[#This Row],[TE_COEFFICIENT_CALC]]),3)</f>
        <v>0.64</v>
      </c>
      <c r="V614" s="6">
        <v>40</v>
      </c>
      <c r="W614" s="10">
        <v>0</v>
      </c>
      <c r="X614" s="10">
        <v>0</v>
      </c>
      <c r="Y614" s="11"/>
      <c r="Z614" t="s">
        <v>912</v>
      </c>
      <c r="AA614" t="s">
        <v>904</v>
      </c>
      <c r="AB614" s="2" t="s">
        <v>922</v>
      </c>
      <c r="AC614" s="10" t="s">
        <v>996</v>
      </c>
      <c r="AD614" s="10" t="s">
        <v>997</v>
      </c>
      <c r="AE614" s="11" t="str">
        <f>SUBSTITUTE(SUBSTITUTE(PROPERTIES[[#This Row],[PURCHASECOST_VALUE]], "PURCHASECOST_", ""), "_VALUE", "")</f>
        <v>ELECTRICENGINE</v>
      </c>
      <c r="AF614" s="10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638</v>
      </c>
      <c r="B615">
        <v>1978</v>
      </c>
      <c r="C615">
        <v>0</v>
      </c>
      <c r="D615" t="s">
        <v>2033</v>
      </c>
      <c r="E615" t="str">
        <f>_xlfn.XLOOKUP(PROPERTIES[[#This Row],[COUNTRY]],COUNTRIES[COUNTRY_DESCRIPTION],COUNTRIES[COUNTRY_LABEL],"")</f>
        <v>ZA</v>
      </c>
      <c r="F615" t="s">
        <v>74</v>
      </c>
      <c r="G615" t="s">
        <v>20</v>
      </c>
      <c r="H615">
        <v>0</v>
      </c>
      <c r="I615">
        <v>7</v>
      </c>
      <c r="J615">
        <v>7</v>
      </c>
      <c r="K615" s="2" t="s">
        <v>24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4">
        <v>124</v>
      </c>
      <c r="P615">
        <v>4000</v>
      </c>
      <c r="Q615">
        <v>100</v>
      </c>
      <c r="R615" s="31">
        <v>450</v>
      </c>
      <c r="S615" s="30">
        <f>IFERROR(PROPERTIES[[#This Row],[TE_STARTING_KN]]/(PROPERTIES[[#This Row],[WEIGHT]]*9.81),0)</f>
        <v>0.36993193252441547</v>
      </c>
      <c r="T615" s="30">
        <v>0.25</v>
      </c>
      <c r="U615" s="27">
        <f>ROUND(IF(IFERROR(PROPERTIES[[#This Row],[TE_COEFFICIENT_CALC]],0)=0,PROPERTIES[[#This Row],[TE_COEFFICIENT_MANUAL]],PROPERTIES[[#This Row],[TE_COEFFICIENT_CALC]]),3)</f>
        <v>0.37</v>
      </c>
      <c r="V615" s="6">
        <v>40</v>
      </c>
      <c r="W615" s="10">
        <v>0</v>
      </c>
      <c r="X615" s="10">
        <v>0</v>
      </c>
      <c r="Y615" s="11"/>
      <c r="Z615" t="s">
        <v>908</v>
      </c>
      <c r="AA615" t="s">
        <v>904</v>
      </c>
      <c r="AB615" s="2" t="s">
        <v>922</v>
      </c>
      <c r="AC615" s="10" t="s">
        <v>996</v>
      </c>
      <c r="AD615" s="10" t="s">
        <v>997</v>
      </c>
      <c r="AE615" s="11" t="str">
        <f>SUBSTITUTE(SUBSTITUTE(PROPERTIES[[#This Row],[PURCHASECOST_VALUE]], "PURCHASECOST_", ""), "_VALUE", "")</f>
        <v>ELECTRICENGINE</v>
      </c>
      <c r="AF615" s="10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639</v>
      </c>
      <c r="B616">
        <v>1985</v>
      </c>
      <c r="C616">
        <v>0</v>
      </c>
      <c r="D616" t="s">
        <v>2033</v>
      </c>
      <c r="E616" t="str">
        <f>_xlfn.XLOOKUP(PROPERTIES[[#This Row],[COUNTRY]],COUNTRIES[COUNTRY_DESCRIPTION],COUNTRIES[COUNTRY_LABEL],"")</f>
        <v>ZA</v>
      </c>
      <c r="F616" t="s">
        <v>74</v>
      </c>
      <c r="G616" t="s">
        <v>20</v>
      </c>
      <c r="H616">
        <v>0</v>
      </c>
      <c r="I616">
        <v>8</v>
      </c>
      <c r="J616">
        <v>8</v>
      </c>
      <c r="K616" s="2" t="s">
        <v>24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4">
        <v>172</v>
      </c>
      <c r="P616">
        <v>5200</v>
      </c>
      <c r="Q616">
        <v>90</v>
      </c>
      <c r="R616" s="31">
        <v>580</v>
      </c>
      <c r="S616" s="30">
        <f>IFERROR(PROPERTIES[[#This Row],[TE_STARTING_KN]]/(PROPERTIES[[#This Row],[WEIGHT]]*9.81),0)</f>
        <v>0.34374036934310026</v>
      </c>
      <c r="T616" s="30">
        <v>0.23</v>
      </c>
      <c r="U616" s="27">
        <f>ROUND(IF(IFERROR(PROPERTIES[[#This Row],[TE_COEFFICIENT_CALC]],0)=0,PROPERTIES[[#This Row],[TE_COEFFICIENT_MANUAL]],PROPERTIES[[#This Row],[TE_COEFFICIENT_CALC]]),3)</f>
        <v>0.34399999999999997</v>
      </c>
      <c r="V616" s="6">
        <v>40</v>
      </c>
      <c r="W616" s="10">
        <v>0</v>
      </c>
      <c r="X616" s="10">
        <v>0</v>
      </c>
      <c r="Y616" s="11"/>
      <c r="Z616" t="s">
        <v>908</v>
      </c>
      <c r="AA616" t="s">
        <v>904</v>
      </c>
      <c r="AB616" s="2" t="s">
        <v>922</v>
      </c>
      <c r="AC616" s="10" t="s">
        <v>996</v>
      </c>
      <c r="AD616" s="10" t="s">
        <v>997</v>
      </c>
      <c r="AE616" s="11" t="str">
        <f>SUBSTITUTE(SUBSTITUTE(PROPERTIES[[#This Row],[PURCHASECOST_VALUE]], "PURCHASECOST_", ""), "_VALUE", "")</f>
        <v>ELECTRICENGINE</v>
      </c>
      <c r="AF616" s="10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640</v>
      </c>
      <c r="B617">
        <v>1986</v>
      </c>
      <c r="C617">
        <v>0</v>
      </c>
      <c r="D617" t="s">
        <v>1957</v>
      </c>
      <c r="E617" t="str">
        <f>_xlfn.XLOOKUP(PROPERTIES[[#This Row],[COUNTRY]],COUNTRIES[COUNTRY_DESCRIPTION],COUNTRIES[COUNTRY_LABEL],"")</f>
        <v>NZ</v>
      </c>
      <c r="F617" t="s">
        <v>74</v>
      </c>
      <c r="G617" t="s">
        <v>20</v>
      </c>
      <c r="H617">
        <v>0</v>
      </c>
      <c r="I617">
        <v>8</v>
      </c>
      <c r="J617">
        <v>8</v>
      </c>
      <c r="K617" s="2" t="s">
        <v>20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4">
        <v>107</v>
      </c>
      <c r="P617">
        <v>4000</v>
      </c>
      <c r="Q617">
        <v>105</v>
      </c>
      <c r="R617" s="31">
        <v>360</v>
      </c>
      <c r="S617" s="30">
        <f>IFERROR(PROPERTIES[[#This Row],[TE_STARTING_KN]]/(PROPERTIES[[#This Row],[WEIGHT]]*9.81),0)</f>
        <v>0.3429649318357198</v>
      </c>
      <c r="T617" s="30">
        <v>0.21</v>
      </c>
      <c r="U617" s="27">
        <f>ROUND(IF(IFERROR(PROPERTIES[[#This Row],[TE_COEFFICIENT_CALC]],0)=0,PROPERTIES[[#This Row],[TE_COEFFICIENT_MANUAL]],PROPERTIES[[#This Row],[TE_COEFFICIENT_CALC]]),3)</f>
        <v>0.34300000000000003</v>
      </c>
      <c r="V617" s="6">
        <v>40</v>
      </c>
      <c r="W617" s="10">
        <v>0</v>
      </c>
      <c r="X617" s="10">
        <v>0</v>
      </c>
      <c r="Y617" s="11"/>
      <c r="Z617" t="s">
        <v>907</v>
      </c>
      <c r="AA617" t="s">
        <v>904</v>
      </c>
      <c r="AB617" s="2" t="s">
        <v>922</v>
      </c>
      <c r="AC617" s="10" t="s">
        <v>996</v>
      </c>
      <c r="AD617" s="10" t="s">
        <v>997</v>
      </c>
      <c r="AE617" s="11" t="str">
        <f>SUBSTITUTE(SUBSTITUTE(PROPERTIES[[#This Row],[PURCHASECOST_VALUE]], "PURCHASECOST_", ""), "_VALUE", "")</f>
        <v>ELECTRICENGINE</v>
      </c>
      <c r="AF617" s="10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641</v>
      </c>
      <c r="B618">
        <v>1962</v>
      </c>
      <c r="C618">
        <v>1</v>
      </c>
      <c r="D618" t="s">
        <v>1900</v>
      </c>
      <c r="E618" t="str">
        <f>_xlfn.XLOOKUP(PROPERTIES[[#This Row],[COUNTRY]],COUNTRIES[COUNTRY_DESCRIPTION],COUNTRIES[COUNTRY_LABEL],"")</f>
        <v>JP</v>
      </c>
      <c r="F618" t="s">
        <v>74</v>
      </c>
      <c r="G618" t="s">
        <v>18</v>
      </c>
      <c r="H618">
        <v>48</v>
      </c>
      <c r="I618">
        <v>8</v>
      </c>
      <c r="J618">
        <v>8</v>
      </c>
      <c r="K618" s="2" t="s">
        <v>24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4">
        <v>28.4</v>
      </c>
      <c r="P618">
        <f>536*2</f>
        <v>1072</v>
      </c>
      <c r="Q618">
        <v>110</v>
      </c>
      <c r="R618" s="31">
        <v>35</v>
      </c>
      <c r="S618" s="30">
        <f>IFERROR(PROPERTIES[[#This Row],[TE_STARTING_KN]]/(PROPERTIES[[#This Row],[WEIGHT]]*9.81),0)</f>
        <v>0.12562633702315831</v>
      </c>
      <c r="T618" s="30">
        <v>0.27</v>
      </c>
      <c r="U618" s="27">
        <f>ROUND(IF(IFERROR(PROPERTIES[[#This Row],[TE_COEFFICIENT_CALC]],0)=0,PROPERTIES[[#This Row],[TE_COEFFICIENT_MANUAL]],PROPERTIES[[#This Row],[TE_COEFFICIENT_CALC]]),3)</f>
        <v>0.126</v>
      </c>
      <c r="V618" s="6">
        <v>25</v>
      </c>
      <c r="W618" s="10">
        <v>42</v>
      </c>
      <c r="X618" s="10">
        <v>8</v>
      </c>
      <c r="Y618" s="11"/>
      <c r="Z618" t="s">
        <v>913</v>
      </c>
      <c r="AA618" t="s">
        <v>904</v>
      </c>
      <c r="AB618" s="2" t="s">
        <v>922</v>
      </c>
      <c r="AC618" s="10" t="s">
        <v>1000</v>
      </c>
      <c r="AD618" s="10" t="s">
        <v>1001</v>
      </c>
      <c r="AE618" s="11" t="str">
        <f>SUBSTITUTE(SUBSTITUTE(PROPERTIES[[#This Row],[PURCHASECOST_VALUE]], "PURCHASECOST_", ""), "_VALUE", "")</f>
        <v>EMU</v>
      </c>
      <c r="AF618" s="10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642</v>
      </c>
      <c r="B619">
        <v>1986</v>
      </c>
      <c r="C619">
        <v>1</v>
      </c>
      <c r="D619" t="s">
        <v>1900</v>
      </c>
      <c r="E619" t="str">
        <f>_xlfn.XLOOKUP(PROPERTIES[[#This Row],[COUNTRY]],COUNTRIES[COUNTRY_DESCRIPTION],COUNTRIES[COUNTRY_LABEL],"")</f>
        <v>JP</v>
      </c>
      <c r="F619" t="s">
        <v>74</v>
      </c>
      <c r="G619" t="s">
        <v>18</v>
      </c>
      <c r="H619">
        <v>46</v>
      </c>
      <c r="I619">
        <v>8</v>
      </c>
      <c r="J619">
        <v>8</v>
      </c>
      <c r="K619" s="2" t="s">
        <v>24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4">
        <v>32.700000000000003</v>
      </c>
      <c r="P619">
        <v>1550</v>
      </c>
      <c r="Q619">
        <v>110</v>
      </c>
      <c r="R619" s="31">
        <v>42</v>
      </c>
      <c r="S619" s="30">
        <f>IFERROR(PROPERTIES[[#This Row],[TE_STARTING_KN]]/(PROPERTIES[[#This Row],[WEIGHT]]*9.81),0)</f>
        <v>0.13092799895257601</v>
      </c>
      <c r="T619" s="30">
        <v>0.22</v>
      </c>
      <c r="U619" s="27">
        <f>ROUND(IF(IFERROR(PROPERTIES[[#This Row],[TE_COEFFICIENT_CALC]],0)=0,PROPERTIES[[#This Row],[TE_COEFFICIENT_MANUAL]],PROPERTIES[[#This Row],[TE_COEFFICIENT_CALC]]),3)</f>
        <v>0.13100000000000001</v>
      </c>
      <c r="V619" s="6">
        <v>25</v>
      </c>
      <c r="W619" s="10">
        <v>44</v>
      </c>
      <c r="X619" s="10">
        <v>8</v>
      </c>
      <c r="Y619" s="11"/>
      <c r="Z619" t="s">
        <v>913</v>
      </c>
      <c r="AA619" t="s">
        <v>904</v>
      </c>
      <c r="AB619" s="2" t="s">
        <v>922</v>
      </c>
      <c r="AC619" s="10" t="s">
        <v>1000</v>
      </c>
      <c r="AD619" s="10" t="s">
        <v>1001</v>
      </c>
      <c r="AE619" s="11" t="str">
        <f>SUBSTITUTE(SUBSTITUTE(PROPERTIES[[#This Row],[PURCHASECOST_VALUE]], "PURCHASECOST_", ""), "_VALUE", "")</f>
        <v>EMU</v>
      </c>
      <c r="AF619" s="10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643</v>
      </c>
      <c r="B620">
        <v>1972</v>
      </c>
      <c r="C620">
        <v>1</v>
      </c>
      <c r="D620" t="s">
        <v>1800</v>
      </c>
      <c r="E620" t="str">
        <f>_xlfn.XLOOKUP(PROPERTIES[[#This Row],[COUNTRY]],COUNTRIES[COUNTRY_DESCRIPTION],COUNTRIES[COUNTRY_LABEL],"")</f>
        <v>AU</v>
      </c>
      <c r="F620" t="s">
        <v>74</v>
      </c>
      <c r="G620" t="s">
        <v>18</v>
      </c>
      <c r="H620">
        <v>112</v>
      </c>
      <c r="I620">
        <v>8</v>
      </c>
      <c r="J620">
        <v>8</v>
      </c>
      <c r="K620" s="2" t="s">
        <v>24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4">
        <v>47</v>
      </c>
      <c r="P620">
        <v>1600</v>
      </c>
      <c r="Q620">
        <v>115</v>
      </c>
      <c r="R620" s="31">
        <v>110</v>
      </c>
      <c r="S620" s="30">
        <f>IFERROR(PROPERTIES[[#This Row],[TE_STARTING_KN]]/(PROPERTIES[[#This Row],[WEIGHT]]*9.81),0)</f>
        <v>0.2385754874530982</v>
      </c>
      <c r="T620" s="30">
        <v>0.31</v>
      </c>
      <c r="U620" s="27">
        <f>ROUND(IF(IFERROR(PROPERTIES[[#This Row],[TE_COEFFICIENT_CALC]],0)=0,PROPERTIES[[#This Row],[TE_COEFFICIENT_MANUAL]],PROPERTIES[[#This Row],[TE_COEFFICIENT_CALC]]),3)</f>
        <v>0.23899999999999999</v>
      </c>
      <c r="V620" s="6">
        <v>25</v>
      </c>
      <c r="W620" s="10">
        <v>130</v>
      </c>
      <c r="X620" s="10">
        <v>8</v>
      </c>
      <c r="Y620" s="11"/>
      <c r="Z620" t="s">
        <v>907</v>
      </c>
      <c r="AA620" t="s">
        <v>904</v>
      </c>
      <c r="AB620" s="2" t="s">
        <v>922</v>
      </c>
      <c r="AC620" s="10" t="s">
        <v>1000</v>
      </c>
      <c r="AD620" s="10" t="s">
        <v>1001</v>
      </c>
      <c r="AE620" s="11" t="str">
        <f>SUBSTITUTE(SUBSTITUTE(PROPERTIES[[#This Row],[PURCHASECOST_VALUE]], "PURCHASECOST_", ""), "_VALUE", "")</f>
        <v>EMU</v>
      </c>
      <c r="AF620" s="10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644</v>
      </c>
      <c r="B621">
        <v>2007</v>
      </c>
      <c r="C621">
        <v>1</v>
      </c>
      <c r="D621" t="s">
        <v>1800</v>
      </c>
      <c r="E621" t="str">
        <f>_xlfn.XLOOKUP(PROPERTIES[[#This Row],[COUNTRY]],COUNTRIES[COUNTRY_DESCRIPTION],COUNTRIES[COUNTRY_LABEL],"")</f>
        <v>AU</v>
      </c>
      <c r="F621" t="s">
        <v>74</v>
      </c>
      <c r="G621" t="s">
        <v>18</v>
      </c>
      <c r="H621">
        <v>120</v>
      </c>
      <c r="I621">
        <v>8</v>
      </c>
      <c r="J621">
        <v>8</v>
      </c>
      <c r="K621" s="2" t="s">
        <v>24</v>
      </c>
      <c r="L621">
        <f>_xlfn.XLOOKUP("LOADINGSPEEDDEF_"&amp;PROPERTIES[[#This Row],[LOADINGSPEED]],LOADINGSPEEDDEF[TYPE],LOADINGSPEEDDEF[SPEED])</f>
        <v>40</v>
      </c>
      <c r="M621" t="s">
        <v>21</v>
      </c>
      <c r="N621">
        <v>1</v>
      </c>
      <c r="O621" s="34">
        <v>57</v>
      </c>
      <c r="P621">
        <f>1072*2</f>
        <v>2144</v>
      </c>
      <c r="Q621">
        <v>130</v>
      </c>
      <c r="R621" s="31">
        <v>110</v>
      </c>
      <c r="S621" s="30">
        <f>IFERROR(PROPERTIES[[#This Row],[TE_STARTING_KN]]/(PROPERTIES[[#This Row],[WEIGHT]]*9.81),0)</f>
        <v>0.19672013877711605</v>
      </c>
      <c r="T621" s="30">
        <v>0.41</v>
      </c>
      <c r="U621" s="27">
        <f>ROUND(IF(IFERROR(PROPERTIES[[#This Row],[TE_COEFFICIENT_CALC]],0)=0,PROPERTIES[[#This Row],[TE_COEFFICIENT_MANUAL]],PROPERTIES[[#This Row],[TE_COEFFICIENT_CALC]]),3)</f>
        <v>0.19700000000000001</v>
      </c>
      <c r="V621" s="6">
        <v>25</v>
      </c>
      <c r="W621" s="10">
        <v>120</v>
      </c>
      <c r="X621" s="10">
        <v>8</v>
      </c>
      <c r="Y621" s="11"/>
      <c r="Z621" t="s">
        <v>907</v>
      </c>
      <c r="AA621" t="s">
        <v>904</v>
      </c>
      <c r="AB621" s="2" t="s">
        <v>922</v>
      </c>
      <c r="AC621" s="10" t="s">
        <v>1000</v>
      </c>
      <c r="AD621" s="10" t="s">
        <v>1001</v>
      </c>
      <c r="AE621" s="11" t="str">
        <f>SUBSTITUTE(SUBSTITUTE(PROPERTIES[[#This Row],[PURCHASECOST_VALUE]], "PURCHASECOST_", ""), "_VALUE", "")</f>
        <v>EMU</v>
      </c>
      <c r="AF621" s="10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645</v>
      </c>
      <c r="B622">
        <v>1917</v>
      </c>
      <c r="C622">
        <v>1</v>
      </c>
      <c r="D622" t="s">
        <v>1800</v>
      </c>
      <c r="E622" t="str">
        <f>_xlfn.XLOOKUP(PROPERTIES[[#This Row],[COUNTRY]],COUNTRIES[COUNTRY_DESCRIPTION],COUNTRIES[COUNTRY_LABEL],"")</f>
        <v>AU</v>
      </c>
      <c r="F622" t="s">
        <v>74</v>
      </c>
      <c r="G622" t="s">
        <v>18</v>
      </c>
      <c r="H622">
        <v>48</v>
      </c>
      <c r="I622">
        <v>8</v>
      </c>
      <c r="J622">
        <v>8</v>
      </c>
      <c r="K622" s="2" t="s">
        <v>24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4">
        <v>47</v>
      </c>
      <c r="P622">
        <v>563</v>
      </c>
      <c r="Q622">
        <v>83</v>
      </c>
      <c r="R622" s="31">
        <f>110/2</f>
        <v>55</v>
      </c>
      <c r="S622" s="30">
        <f>IFERROR(PROPERTIES[[#This Row],[TE_STARTING_KN]]/(PROPERTIES[[#This Row],[WEIGHT]]*9.81),0)</f>
        <v>0.1192877437265491</v>
      </c>
      <c r="T622" s="30">
        <v>0.16</v>
      </c>
      <c r="U622" s="27">
        <f>ROUND(IF(IFERROR(PROPERTIES[[#This Row],[TE_COEFFICIENT_CALC]],0)=0,PROPERTIES[[#This Row],[TE_COEFFICIENT_MANUAL]],PROPERTIES[[#This Row],[TE_COEFFICIENT_CALC]]),3)</f>
        <v>0.11899999999999999</v>
      </c>
      <c r="V622" s="6">
        <v>25</v>
      </c>
      <c r="W622" s="10">
        <v>75</v>
      </c>
      <c r="X622" s="10">
        <v>8</v>
      </c>
      <c r="Y622" s="11"/>
      <c r="Z622" t="s">
        <v>907</v>
      </c>
      <c r="AA622" t="s">
        <v>904</v>
      </c>
      <c r="AB622" s="2" t="s">
        <v>922</v>
      </c>
      <c r="AC622" s="10" t="s">
        <v>1000</v>
      </c>
      <c r="AD622" s="10" t="s">
        <v>1001</v>
      </c>
      <c r="AE622" s="11" t="str">
        <f>SUBSTITUTE(SUBSTITUTE(PROPERTIES[[#This Row],[PURCHASECOST_VALUE]], "PURCHASECOST_", ""), "_VALUE", "")</f>
        <v>EMU</v>
      </c>
      <c r="AF622" s="10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646</v>
      </c>
      <c r="B623">
        <v>1979</v>
      </c>
      <c r="C623">
        <v>1</v>
      </c>
      <c r="D623" t="s">
        <v>1957</v>
      </c>
      <c r="E623" t="str">
        <f>_xlfn.XLOOKUP(PROPERTIES[[#This Row],[COUNTRY]],COUNTRIES[COUNTRY_DESCRIPTION],COUNTRIES[COUNTRY_LABEL],"")</f>
        <v>NZ</v>
      </c>
      <c r="F623" t="s">
        <v>74</v>
      </c>
      <c r="G623" t="s">
        <v>18</v>
      </c>
      <c r="H623">
        <v>74</v>
      </c>
      <c r="I623">
        <v>8</v>
      </c>
      <c r="J623">
        <v>8</v>
      </c>
      <c r="K623" s="2" t="s">
        <v>24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4">
        <v>37.6</v>
      </c>
      <c r="P623">
        <v>540</v>
      </c>
      <c r="Q623">
        <v>95</v>
      </c>
      <c r="R623" s="31">
        <v>50</v>
      </c>
      <c r="S623" s="30">
        <f>IFERROR(PROPERTIES[[#This Row],[TE_STARTING_KN]]/(PROPERTIES[[#This Row],[WEIGHT]]*9.81),0)</f>
        <v>0.13555425423471487</v>
      </c>
      <c r="T623" s="30">
        <v>0.26</v>
      </c>
      <c r="U623" s="27">
        <f>ROUND(IF(IFERROR(PROPERTIES[[#This Row],[TE_COEFFICIENT_CALC]],0)=0,PROPERTIES[[#This Row],[TE_COEFFICIENT_MANUAL]],PROPERTIES[[#This Row],[TE_COEFFICIENT_CALC]]),3)</f>
        <v>0.13600000000000001</v>
      </c>
      <c r="V623" s="6">
        <v>25</v>
      </c>
      <c r="W623" s="10">
        <v>74</v>
      </c>
      <c r="X623" s="10">
        <v>8</v>
      </c>
      <c r="Y623" s="11"/>
      <c r="Z623" t="s">
        <v>907</v>
      </c>
      <c r="AA623" t="s">
        <v>904</v>
      </c>
      <c r="AB623" s="2" t="s">
        <v>922</v>
      </c>
      <c r="AC623" s="10" t="s">
        <v>1000</v>
      </c>
      <c r="AD623" s="10" t="s">
        <v>1001</v>
      </c>
      <c r="AE623" s="11" t="str">
        <f>SUBSTITUTE(SUBSTITUTE(PROPERTIES[[#This Row],[PURCHASECOST_VALUE]], "PURCHASECOST_", ""), "_VALUE", "")</f>
        <v>EMU</v>
      </c>
      <c r="AF623" s="10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647</v>
      </c>
      <c r="B624">
        <v>1958</v>
      </c>
      <c r="C624">
        <v>1</v>
      </c>
      <c r="D624" t="s">
        <v>2033</v>
      </c>
      <c r="E624" t="str">
        <f>_xlfn.XLOOKUP(PROPERTIES[[#This Row],[COUNTRY]],COUNTRIES[COUNTRY_DESCRIPTION],COUNTRIES[COUNTRY_LABEL],"")</f>
        <v>ZA</v>
      </c>
      <c r="F624" t="s">
        <v>74</v>
      </c>
      <c r="G624" t="s">
        <v>18</v>
      </c>
      <c r="H624">
        <f>INT(176/2)</f>
        <v>88</v>
      </c>
      <c r="I624">
        <v>7</v>
      </c>
      <c r="J624">
        <v>7</v>
      </c>
      <c r="K624" s="2" t="s">
        <v>24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4">
        <v>60</v>
      </c>
      <c r="P624">
        <v>2480</v>
      </c>
      <c r="Q624">
        <v>100</v>
      </c>
      <c r="R624" s="31">
        <v>160</v>
      </c>
      <c r="S624" s="30">
        <f>IFERROR(PROPERTIES[[#This Row],[TE_STARTING_KN]]/(PROPERTIES[[#This Row],[WEIGHT]]*9.81),0)</f>
        <v>0.27183146449201495</v>
      </c>
      <c r="T624" s="30">
        <v>0.27</v>
      </c>
      <c r="U624" s="27">
        <f>ROUND(IF(IFERROR(PROPERTIES[[#This Row],[TE_COEFFICIENT_CALC]],0)=0,PROPERTIES[[#This Row],[TE_COEFFICIENT_MANUAL]],PROPERTIES[[#This Row],[TE_COEFFICIENT_CALC]]),3)</f>
        <v>0.27200000000000002</v>
      </c>
      <c r="V624" s="6">
        <v>25</v>
      </c>
      <c r="W624" s="10">
        <f>149+52</f>
        <v>201</v>
      </c>
      <c r="X624" s="10">
        <v>7</v>
      </c>
      <c r="Y624" s="11"/>
      <c r="Z624" t="s">
        <v>908</v>
      </c>
      <c r="AA624" t="s">
        <v>904</v>
      </c>
      <c r="AB624" s="2" t="s">
        <v>922</v>
      </c>
      <c r="AC624" s="10" t="s">
        <v>1000</v>
      </c>
      <c r="AD624" s="10" t="s">
        <v>1001</v>
      </c>
      <c r="AE624" s="11" t="str">
        <f>SUBSTITUTE(SUBSTITUTE(PROPERTIES[[#This Row],[PURCHASECOST_VALUE]], "PURCHASECOST_", ""), "_VALUE", "")</f>
        <v>EMU</v>
      </c>
      <c r="AF624" s="10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648</v>
      </c>
      <c r="B625">
        <v>2005</v>
      </c>
      <c r="C625">
        <v>1</v>
      </c>
      <c r="D625" t="s">
        <v>1833</v>
      </c>
      <c r="E625" t="str">
        <f>_xlfn.XLOOKUP(PROPERTIES[[#This Row],[COUNTRY]],COUNTRIES[COUNTRY_DESCRIPTION],COUNTRIES[COUNTRY_LABEL],"")</f>
        <v>CL</v>
      </c>
      <c r="F625" t="s">
        <v>74</v>
      </c>
      <c r="G625" t="s">
        <v>18</v>
      </c>
      <c r="H625">
        <v>72</v>
      </c>
      <c r="I625">
        <v>8</v>
      </c>
      <c r="J625">
        <v>8</v>
      </c>
      <c r="K625" s="2" t="s">
        <v>24</v>
      </c>
      <c r="L625">
        <f>_xlfn.XLOOKUP("LOADINGSPEEDDEF_"&amp;PROPERTIES[[#This Row],[LOADINGSPEED]],LOADINGSPEEDDEF[TYPE],LOADINGSPEEDDEF[SPEED])</f>
        <v>40</v>
      </c>
      <c r="M625" t="s">
        <v>21</v>
      </c>
      <c r="N625">
        <v>1</v>
      </c>
      <c r="O625" s="34">
        <v>43</v>
      </c>
      <c r="P625">
        <v>1930</v>
      </c>
      <c r="Q625">
        <v>130</v>
      </c>
      <c r="R625" s="31">
        <v>95</v>
      </c>
      <c r="S625" s="30">
        <f>IFERROR(PROPERTIES[[#This Row],[TE_STARTING_KN]]/(PROPERTIES[[#This Row],[WEIGHT]]*9.81),0)</f>
        <v>0.2252092075006519</v>
      </c>
      <c r="T625" s="30">
        <v>0.28999999999999998</v>
      </c>
      <c r="U625" s="27">
        <f>ROUND(IF(IFERROR(PROPERTIES[[#This Row],[TE_COEFFICIENT_CALC]],0)=0,PROPERTIES[[#This Row],[TE_COEFFICIENT_MANUAL]],PROPERTIES[[#This Row],[TE_COEFFICIENT_CALC]]),3)</f>
        <v>0.22500000000000001</v>
      </c>
      <c r="V625" s="6">
        <v>40</v>
      </c>
      <c r="W625" s="10">
        <v>96</v>
      </c>
      <c r="X625" s="10">
        <v>8</v>
      </c>
      <c r="Y625" s="11"/>
      <c r="Z625" t="s">
        <v>912</v>
      </c>
      <c r="AA625" t="s">
        <v>904</v>
      </c>
      <c r="AB625" s="2" t="s">
        <v>922</v>
      </c>
      <c r="AC625" s="10" t="s">
        <v>1000</v>
      </c>
      <c r="AD625" s="10" t="s">
        <v>1001</v>
      </c>
      <c r="AE625" s="11" t="str">
        <f>SUBSTITUTE(SUBSTITUTE(PROPERTIES[[#This Row],[PURCHASECOST_VALUE]], "PURCHASECOST_", ""), "_VALUE", "")</f>
        <v>EMU</v>
      </c>
      <c r="AF625" s="10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649</v>
      </c>
      <c r="B626">
        <v>1976</v>
      </c>
      <c r="C626">
        <v>1</v>
      </c>
      <c r="D626" t="s">
        <v>1833</v>
      </c>
      <c r="E626" t="str">
        <f>_xlfn.XLOOKUP(PROPERTIES[[#This Row],[COUNTRY]],COUNTRIES[COUNTRY_DESCRIPTION],COUNTRIES[COUNTRY_LABEL],"")</f>
        <v>CL</v>
      </c>
      <c r="F626" t="s">
        <v>74</v>
      </c>
      <c r="G626" t="s">
        <v>18</v>
      </c>
      <c r="H626">
        <v>88</v>
      </c>
      <c r="I626">
        <v>7</v>
      </c>
      <c r="J626">
        <v>7</v>
      </c>
      <c r="K626" s="2" t="s">
        <v>24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4">
        <v>52</v>
      </c>
      <c r="P626">
        <f>805*2</f>
        <v>1610</v>
      </c>
      <c r="Q626">
        <v>130</v>
      </c>
      <c r="R626" s="31">
        <v>85</v>
      </c>
      <c r="S626" s="30">
        <f>IFERROR(PROPERTIES[[#This Row],[TE_STARTING_KN]]/(PROPERTIES[[#This Row],[WEIGHT]]*9.81),0)</f>
        <v>0.16662746020544186</v>
      </c>
      <c r="T626" s="30">
        <v>0.21</v>
      </c>
      <c r="U626" s="27">
        <f>ROUND(IF(IFERROR(PROPERTIES[[#This Row],[TE_COEFFICIENT_CALC]],0)=0,PROPERTIES[[#This Row],[TE_COEFFICIENT_MANUAL]],PROPERTIES[[#This Row],[TE_COEFFICIENT_CALC]]),3)</f>
        <v>0.16700000000000001</v>
      </c>
      <c r="V626" s="6">
        <v>40</v>
      </c>
      <c r="W626" s="10">
        <v>92</v>
      </c>
      <c r="X626" s="10">
        <v>7</v>
      </c>
      <c r="Y626" s="11"/>
      <c r="Z626" t="s">
        <v>912</v>
      </c>
      <c r="AA626" t="s">
        <v>904</v>
      </c>
      <c r="AB626" s="2" t="s">
        <v>922</v>
      </c>
      <c r="AC626" s="10" t="s">
        <v>1000</v>
      </c>
      <c r="AD626" s="10" t="s">
        <v>1001</v>
      </c>
      <c r="AE626" s="11" t="str">
        <f>SUBSTITUTE(SUBSTITUTE(PROPERTIES[[#This Row],[PURCHASECOST_VALUE]], "PURCHASECOST_", ""), "_VALUE", "")</f>
        <v>EMU</v>
      </c>
      <c r="AF626" s="10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650</v>
      </c>
      <c r="B627">
        <v>1984</v>
      </c>
      <c r="C627">
        <v>1</v>
      </c>
      <c r="D627" t="s">
        <v>2009</v>
      </c>
      <c r="E627" t="str">
        <f>_xlfn.XLOOKUP(PROPERTIES[[#This Row],[COUNTRY]],COUNTRIES[COUNTRY_DESCRIPTION],COUNTRIES[COUNTRY_LABEL],"")</f>
        <v>TN</v>
      </c>
      <c r="F627" t="s">
        <v>74</v>
      </c>
      <c r="G627" t="s">
        <v>18</v>
      </c>
      <c r="H627">
        <v>150</v>
      </c>
      <c r="I627">
        <v>8</v>
      </c>
      <c r="J627">
        <v>8</v>
      </c>
      <c r="K627" s="2" t="s">
        <v>24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4">
        <v>50</v>
      </c>
      <c r="P627">
        <v>2010</v>
      </c>
      <c r="Q627">
        <v>120</v>
      </c>
      <c r="R627" s="31">
        <v>125</v>
      </c>
      <c r="S627" s="30">
        <f>IFERROR(PROPERTIES[[#This Row],[TE_STARTING_KN]]/(PROPERTIES[[#This Row],[WEIGHT]]*9.81),0)</f>
        <v>0.254841997961264</v>
      </c>
      <c r="T627" s="30">
        <v>0.2</v>
      </c>
      <c r="U627" s="27">
        <f>ROUND(IF(IFERROR(PROPERTIES[[#This Row],[TE_COEFFICIENT_CALC]],0)=0,PROPERTIES[[#This Row],[TE_COEFFICIENT_MANUAL]],PROPERTIES[[#This Row],[TE_COEFFICIENT_CALC]]),3)</f>
        <v>0.255</v>
      </c>
      <c r="V627" s="6">
        <v>40</v>
      </c>
      <c r="W627" s="10">
        <v>150</v>
      </c>
      <c r="X627" s="10">
        <v>8</v>
      </c>
      <c r="Y627" s="11"/>
      <c r="Z627" t="s">
        <v>908</v>
      </c>
      <c r="AA627" t="s">
        <v>904</v>
      </c>
      <c r="AB627" s="2" t="s">
        <v>922</v>
      </c>
      <c r="AC627" s="10" t="s">
        <v>1000</v>
      </c>
      <c r="AD627" s="10" t="s">
        <v>1001</v>
      </c>
      <c r="AE627" s="11" t="str">
        <f>SUBSTITUTE(SUBSTITUTE(PROPERTIES[[#This Row],[PURCHASECOST_VALUE]], "PURCHASECOST_", ""), "_VALUE", "")</f>
        <v>EMU</v>
      </c>
      <c r="AF627" s="10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651</v>
      </c>
      <c r="B628">
        <v>1997</v>
      </c>
      <c r="C628">
        <v>1</v>
      </c>
      <c r="D628" t="s">
        <v>1800</v>
      </c>
      <c r="E628" t="str">
        <f>_xlfn.XLOOKUP(PROPERTIES[[#This Row],[COUNTRY]],COUNTRIES[COUNTRY_DESCRIPTION],COUNTRIES[COUNTRY_LABEL],"")</f>
        <v>AU</v>
      </c>
      <c r="F628" t="s">
        <v>74</v>
      </c>
      <c r="G628" t="s">
        <v>18</v>
      </c>
      <c r="H628">
        <v>47</v>
      </c>
      <c r="I628">
        <v>8</v>
      </c>
      <c r="J628">
        <v>8</v>
      </c>
      <c r="K628" s="2" t="s">
        <v>24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4">
        <v>45</v>
      </c>
      <c r="P628">
        <f>910*2</f>
        <v>1820</v>
      </c>
      <c r="Q628">
        <v>160</v>
      </c>
      <c r="R628" s="31">
        <v>105</v>
      </c>
      <c r="S628" s="30">
        <f>IFERROR(PROPERTIES[[#This Row],[TE_STARTING_KN]]/(PROPERTIES[[#This Row],[WEIGHT]]*9.81),0)</f>
        <v>0.23785253143051305</v>
      </c>
      <c r="T628" s="30">
        <v>0.33</v>
      </c>
      <c r="U628" s="27">
        <f>ROUND(IF(IFERROR(PROPERTIES[[#This Row],[TE_COEFFICIENT_CALC]],0)=0,PROPERTIES[[#This Row],[TE_COEFFICIENT_MANUAL]],PROPERTIES[[#This Row],[TE_COEFFICIENT_CALC]]),3)</f>
        <v>0.23799999999999999</v>
      </c>
      <c r="V628" s="6">
        <v>40</v>
      </c>
      <c r="W628" s="10">
        <v>56</v>
      </c>
      <c r="X628" s="10">
        <v>8</v>
      </c>
      <c r="Y628" s="11"/>
      <c r="Z628" t="s">
        <v>907</v>
      </c>
      <c r="AA628" t="s">
        <v>904</v>
      </c>
      <c r="AB628" s="2" t="s">
        <v>922</v>
      </c>
      <c r="AC628" s="10" t="s">
        <v>1000</v>
      </c>
      <c r="AD628" s="10" t="s">
        <v>1001</v>
      </c>
      <c r="AE628" s="11" t="str">
        <f>SUBSTITUTE(SUBSTITUTE(PROPERTIES[[#This Row],[PURCHASECOST_VALUE]], "PURCHASECOST_", ""), "_VALUE", "")</f>
        <v>EMU</v>
      </c>
      <c r="AF628" s="10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652</v>
      </c>
      <c r="B629">
        <v>1984</v>
      </c>
      <c r="C629">
        <v>0</v>
      </c>
      <c r="D629" t="s">
        <v>2038</v>
      </c>
      <c r="E629" t="str">
        <f>_xlfn.XLOOKUP(PROPERTIES[[#This Row],[COUNTRY]],COUNTRIES[COUNTRY_DESCRIPTION],COUNTRIES[COUNTRY_LABEL],"")</f>
        <v>SU</v>
      </c>
      <c r="F629" t="s">
        <v>74</v>
      </c>
      <c r="G629" t="s">
        <v>20</v>
      </c>
      <c r="H629">
        <v>0</v>
      </c>
      <c r="I629">
        <v>8</v>
      </c>
      <c r="J629">
        <v>16</v>
      </c>
      <c r="K629" s="2" t="s">
        <v>20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4">
        <v>300</v>
      </c>
      <c r="P629">
        <v>12070</v>
      </c>
      <c r="Q629">
        <v>100</v>
      </c>
      <c r="R629" s="31">
        <f>2*530</f>
        <v>1060</v>
      </c>
      <c r="S629" s="30">
        <f>IFERROR(PROPERTIES[[#This Row],[TE_STARTING_KN]]/(PROPERTIES[[#This Row],[WEIGHT]]*9.81),0)</f>
        <v>0.3601766904519198</v>
      </c>
      <c r="T629" s="30">
        <v>0.23</v>
      </c>
      <c r="U629" s="27">
        <f>ROUND(IF(IFERROR(PROPERTIES[[#This Row],[TE_COEFFICIENT_CALC]],0)=0,PROPERTIES[[#This Row],[TE_COEFFICIENT_MANUAL]],PROPERTIES[[#This Row],[TE_COEFFICIENT_CALC]]),3)</f>
        <v>0.36</v>
      </c>
      <c r="V629" s="6">
        <v>40</v>
      </c>
      <c r="W629" s="10">
        <v>0</v>
      </c>
      <c r="X629" s="10">
        <v>8</v>
      </c>
      <c r="Y629" s="11"/>
      <c r="Z629" t="s">
        <v>913</v>
      </c>
      <c r="AA629" t="s">
        <v>904</v>
      </c>
      <c r="AB629" s="2" t="s">
        <v>922</v>
      </c>
      <c r="AC629" s="10" t="s">
        <v>996</v>
      </c>
      <c r="AD629" s="10" t="s">
        <v>997</v>
      </c>
      <c r="AE629" s="11" t="str">
        <f>SUBSTITUTE(SUBSTITUTE(PROPERTIES[[#This Row],[PURCHASECOST_VALUE]], "PURCHASECOST_", ""), "_VALUE", "")</f>
        <v>ELECTRICENGINE</v>
      </c>
      <c r="AF629" s="10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653</v>
      </c>
      <c r="B630">
        <v>1974</v>
      </c>
      <c r="C630">
        <v>0</v>
      </c>
      <c r="D630" t="s">
        <v>2038</v>
      </c>
      <c r="E630" t="str">
        <f>_xlfn.XLOOKUP(PROPERTIES[[#This Row],[COUNTRY]],COUNTRIES[COUNTRY_DESCRIPTION],COUNTRIES[COUNTRY_LABEL],"")</f>
        <v>SU</v>
      </c>
      <c r="F630" t="s">
        <v>74</v>
      </c>
      <c r="G630" t="s">
        <v>20</v>
      </c>
      <c r="H630">
        <v>0</v>
      </c>
      <c r="I630">
        <v>8</v>
      </c>
      <c r="J630">
        <v>16</v>
      </c>
      <c r="K630" s="2" t="s">
        <v>20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4">
        <v>184</v>
      </c>
      <c r="P630">
        <v>7190</v>
      </c>
      <c r="Q630">
        <v>100</v>
      </c>
      <c r="R630" s="31">
        <f>245*2</f>
        <v>490</v>
      </c>
      <c r="S630" s="30">
        <f>IFERROR(PROPERTIES[[#This Row],[TE_STARTING_KN]]/(PROPERTIES[[#This Row],[WEIGHT]]*9.81),0)</f>
        <v>0.27146212826308558</v>
      </c>
      <c r="T630" s="30">
        <v>0.33</v>
      </c>
      <c r="U630" s="27">
        <f>ROUND(IF(IFERROR(PROPERTIES[[#This Row],[TE_COEFFICIENT_CALC]],0)=0,PROPERTIES[[#This Row],[TE_COEFFICIENT_MANUAL]],PROPERTIES[[#This Row],[TE_COEFFICIENT_CALC]]),3)</f>
        <v>0.27100000000000002</v>
      </c>
      <c r="V630" s="6">
        <v>40</v>
      </c>
      <c r="W630" s="10">
        <v>0</v>
      </c>
      <c r="X630" s="10">
        <v>8</v>
      </c>
      <c r="Y630" s="11"/>
      <c r="Z630" t="s">
        <v>913</v>
      </c>
      <c r="AA630" t="s">
        <v>904</v>
      </c>
      <c r="AB630" s="2" t="s">
        <v>922</v>
      </c>
      <c r="AC630" s="10" t="s">
        <v>996</v>
      </c>
      <c r="AD630" s="10" t="s">
        <v>997</v>
      </c>
      <c r="AE630" s="11" t="str">
        <f>SUBSTITUTE(SUBSTITUTE(PROPERTIES[[#This Row],[PURCHASECOST_VALUE]], "PURCHASECOST_", ""), "_VALUE", "")</f>
        <v>ELECTRICENGINE</v>
      </c>
      <c r="AF630" s="10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654</v>
      </c>
      <c r="B631">
        <v>1945</v>
      </c>
      <c r="C631">
        <v>0</v>
      </c>
      <c r="D631" t="s">
        <v>2038</v>
      </c>
      <c r="E631" t="str">
        <f>_xlfn.XLOOKUP(PROPERTIES[[#This Row],[COUNTRY]],COUNTRIES[COUNTRY_DESCRIPTION],COUNTRIES[COUNTRY_LABEL],"")</f>
        <v>SU</v>
      </c>
      <c r="F631" t="s">
        <v>74</v>
      </c>
      <c r="G631" t="s">
        <v>20</v>
      </c>
      <c r="H631">
        <v>0</v>
      </c>
      <c r="I631">
        <v>8</v>
      </c>
      <c r="J631">
        <v>8</v>
      </c>
      <c r="K631" s="2" t="s">
        <v>20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4">
        <v>132</v>
      </c>
      <c r="P631">
        <v>3220</v>
      </c>
      <c r="Q631">
        <v>80</v>
      </c>
      <c r="R631" s="31">
        <v>0</v>
      </c>
      <c r="S631" s="30">
        <f>IFERROR(PROPERTIES[[#This Row],[TE_STARTING_KN]]/(PROPERTIES[[#This Row],[WEIGHT]]*9.81),0)</f>
        <v>0</v>
      </c>
      <c r="T631" s="30">
        <v>0.39</v>
      </c>
      <c r="U631" s="27">
        <f>ROUND(IF(IFERROR(PROPERTIES[[#This Row],[TE_COEFFICIENT_CALC]],0)=0,PROPERTIES[[#This Row],[TE_COEFFICIENT_MANUAL]],PROPERTIES[[#This Row],[TE_COEFFICIENT_CALC]]),3)</f>
        <v>0.39</v>
      </c>
      <c r="V631" s="6">
        <v>40</v>
      </c>
      <c r="W631" s="10">
        <v>0</v>
      </c>
      <c r="X631" s="10">
        <v>0</v>
      </c>
      <c r="Y631" s="11"/>
      <c r="Z631" t="s">
        <v>913</v>
      </c>
      <c r="AA631" t="s">
        <v>904</v>
      </c>
      <c r="AB631" s="2" t="s">
        <v>922</v>
      </c>
      <c r="AC631" s="10" t="s">
        <v>996</v>
      </c>
      <c r="AD631" s="10" t="s">
        <v>997</v>
      </c>
      <c r="AE631" s="11" t="str">
        <f>SUBSTITUTE(SUBSTITUTE(PROPERTIES[[#This Row],[PURCHASECOST_VALUE]], "PURCHASECOST_", ""), "_VALUE", "")</f>
        <v>ELECTRICENGINE</v>
      </c>
      <c r="AF631" s="10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655</v>
      </c>
      <c r="B632">
        <v>1995</v>
      </c>
      <c r="C632">
        <v>0</v>
      </c>
      <c r="D632" t="s">
        <v>2016</v>
      </c>
      <c r="E632" t="str">
        <f>_xlfn.XLOOKUP(PROPERTIES[[#This Row],[COUNTRY]],COUNTRIES[COUNTRY_DESCRIPTION],COUNTRIES[COUNTRY_LABEL],"")</f>
        <v>UA</v>
      </c>
      <c r="F632" t="s">
        <v>74</v>
      </c>
      <c r="G632" t="s">
        <v>20</v>
      </c>
      <c r="H632">
        <v>0</v>
      </c>
      <c r="I632">
        <v>8</v>
      </c>
      <c r="J632">
        <v>16</v>
      </c>
      <c r="K632" s="2" t="s">
        <v>20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4">
        <v>184</v>
      </c>
      <c r="P632">
        <v>8750</v>
      </c>
      <c r="Q632">
        <v>100</v>
      </c>
      <c r="R632" s="31">
        <v>706</v>
      </c>
      <c r="S632" s="30">
        <f>IFERROR(PROPERTIES[[#This Row],[TE_STARTING_KN]]/(PROPERTIES[[#This Row],[WEIGHT]]*9.81),0)</f>
        <v>0.39112706643620082</v>
      </c>
      <c r="T632" s="30">
        <v>0.23</v>
      </c>
      <c r="U632" s="27">
        <f>ROUND(IF(IFERROR(PROPERTIES[[#This Row],[TE_COEFFICIENT_CALC]],0)=0,PROPERTIES[[#This Row],[TE_COEFFICIENT_MANUAL]],PROPERTIES[[#This Row],[TE_COEFFICIENT_CALC]]),3)</f>
        <v>0.39100000000000001</v>
      </c>
      <c r="V632" s="6">
        <v>40</v>
      </c>
      <c r="W632" s="10">
        <v>0</v>
      </c>
      <c r="X632" s="10">
        <v>0</v>
      </c>
      <c r="Y632" s="11"/>
      <c r="Z632" t="s">
        <v>911</v>
      </c>
      <c r="AA632" t="s">
        <v>904</v>
      </c>
      <c r="AB632" s="2" t="s">
        <v>922</v>
      </c>
      <c r="AC632" s="10" t="s">
        <v>996</v>
      </c>
      <c r="AD632" s="10" t="s">
        <v>997</v>
      </c>
      <c r="AE632" s="11" t="str">
        <f>SUBSTITUTE(SUBSTITUTE(PROPERTIES[[#This Row],[PURCHASECOST_VALUE]], "PURCHASECOST_", ""), "_VALUE", "")</f>
        <v>ELECTRICENGINE</v>
      </c>
      <c r="AF632" s="10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656</v>
      </c>
      <c r="B633">
        <v>1961</v>
      </c>
      <c r="C633">
        <v>0</v>
      </c>
      <c r="D633" t="s">
        <v>2038</v>
      </c>
      <c r="E633" t="str">
        <f>_xlfn.XLOOKUP(PROPERTIES[[#This Row],[COUNTRY]],COUNTRIES[COUNTRY_DESCRIPTION],COUNTRIES[COUNTRY_LABEL],"")</f>
        <v>SU</v>
      </c>
      <c r="F633" t="s">
        <v>74</v>
      </c>
      <c r="G633" t="s">
        <v>20</v>
      </c>
      <c r="H633">
        <v>0</v>
      </c>
      <c r="I633">
        <v>7</v>
      </c>
      <c r="J633">
        <v>7</v>
      </c>
      <c r="K633" s="2" t="s">
        <v>20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4">
        <v>85</v>
      </c>
      <c r="P633">
        <v>3755</v>
      </c>
      <c r="Q633">
        <v>120</v>
      </c>
      <c r="R633" s="31">
        <v>260</v>
      </c>
      <c r="S633" s="30">
        <f>IFERROR(PROPERTIES[[#This Row],[TE_STARTING_KN]]/(PROPERTIES[[#This Row],[WEIGHT]]*9.81),0)</f>
        <v>0.31180667985848776</v>
      </c>
      <c r="T633" s="30">
        <v>0.27</v>
      </c>
      <c r="U633" s="27">
        <f>ROUND(IF(IFERROR(PROPERTIES[[#This Row],[TE_COEFFICIENT_CALC]],0)=0,PROPERTIES[[#This Row],[TE_COEFFICIENT_MANUAL]],PROPERTIES[[#This Row],[TE_COEFFICIENT_CALC]]),3)</f>
        <v>0.312</v>
      </c>
      <c r="V633" s="6">
        <v>40</v>
      </c>
      <c r="W633" s="10">
        <v>0</v>
      </c>
      <c r="X633" s="10">
        <v>0</v>
      </c>
      <c r="Y633" s="11"/>
      <c r="Z633" t="s">
        <v>913</v>
      </c>
      <c r="AA633" t="s">
        <v>904</v>
      </c>
      <c r="AB633" s="2" t="s">
        <v>922</v>
      </c>
      <c r="AC633" s="10" t="s">
        <v>996</v>
      </c>
      <c r="AD633" s="10" t="s">
        <v>997</v>
      </c>
      <c r="AE633" s="11" t="str">
        <f>SUBSTITUTE(SUBSTITUTE(PROPERTIES[[#This Row],[PURCHASECOST_VALUE]], "PURCHASECOST_", ""), "_VALUE", "")</f>
        <v>ELECTRICENGINE</v>
      </c>
      <c r="AF633" s="10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657</v>
      </c>
      <c r="B634">
        <v>1983</v>
      </c>
      <c r="C634">
        <v>0</v>
      </c>
      <c r="D634" t="s">
        <v>2016</v>
      </c>
      <c r="E634" t="str">
        <f>_xlfn.XLOOKUP(PROPERTIES[[#This Row],[COUNTRY]],COUNTRIES[COUNTRY_DESCRIPTION],COUNTRIES[COUNTRY_LABEL],"")</f>
        <v>UA</v>
      </c>
      <c r="F634" t="s">
        <v>74</v>
      </c>
      <c r="G634" t="s">
        <v>20</v>
      </c>
      <c r="H634">
        <v>0</v>
      </c>
      <c r="I634">
        <v>7</v>
      </c>
      <c r="J634">
        <v>14</v>
      </c>
      <c r="K634" s="2" t="s">
        <v>20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4">
        <v>172</v>
      </c>
      <c r="P634">
        <v>8624</v>
      </c>
      <c r="Q634">
        <v>160</v>
      </c>
      <c r="R634" s="31">
        <v>320</v>
      </c>
      <c r="S634" s="30">
        <f>IFERROR(PROPERTIES[[#This Row],[TE_STARTING_KN]]/(PROPERTIES[[#This Row],[WEIGHT]]*9.81),0)</f>
        <v>0.18964985894791739</v>
      </c>
      <c r="T634" s="30">
        <v>0.22</v>
      </c>
      <c r="U634" s="27">
        <f>ROUND(IF(IFERROR(PROPERTIES[[#This Row],[TE_COEFFICIENT_CALC]],0)=0,PROPERTIES[[#This Row],[TE_COEFFICIENT_MANUAL]],PROPERTIES[[#This Row],[TE_COEFFICIENT_CALC]]),3)</f>
        <v>0.19</v>
      </c>
      <c r="V634" s="6">
        <v>40</v>
      </c>
      <c r="W634" s="10">
        <v>0</v>
      </c>
      <c r="X634" s="10">
        <v>0</v>
      </c>
      <c r="Y634" s="11"/>
      <c r="Z634" t="s">
        <v>911</v>
      </c>
      <c r="AA634" t="s">
        <v>904</v>
      </c>
      <c r="AB634" s="2" t="s">
        <v>922</v>
      </c>
      <c r="AC634" s="10" t="s">
        <v>996</v>
      </c>
      <c r="AD634" s="10" t="s">
        <v>997</v>
      </c>
      <c r="AE634" s="11" t="str">
        <f>SUBSTITUTE(SUBSTITUTE(PROPERTIES[[#This Row],[PURCHASECOST_VALUE]], "PURCHASECOST_", ""), "_VALUE", "")</f>
        <v>ELECTRICENGINE</v>
      </c>
      <c r="AF634" s="10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658</v>
      </c>
      <c r="B635">
        <v>1962</v>
      </c>
      <c r="C635">
        <v>0</v>
      </c>
      <c r="D635" t="s">
        <v>1818</v>
      </c>
      <c r="E635" t="str">
        <f>_xlfn.XLOOKUP(PROPERTIES[[#This Row],[COUNTRY]],COUNTRIES[COUNTRY_DESCRIPTION],COUNTRIES[COUNTRY_LABEL],"")</f>
        <v>BR</v>
      </c>
      <c r="F635" t="s">
        <v>74</v>
      </c>
      <c r="G635" t="s">
        <v>20</v>
      </c>
      <c r="H635">
        <v>0</v>
      </c>
      <c r="I635">
        <v>7</v>
      </c>
      <c r="J635">
        <v>7</v>
      </c>
      <c r="K635" s="2" t="s">
        <v>24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4">
        <v>123</v>
      </c>
      <c r="P635">
        <v>4400</v>
      </c>
      <c r="Q635">
        <v>117</v>
      </c>
      <c r="R635" s="31">
        <v>385</v>
      </c>
      <c r="S635" s="30">
        <f>IFERROR(PROPERTIES[[#This Row],[TE_STARTING_KN]]/(PROPERTIES[[#This Row],[WEIGHT]]*9.81),0)</f>
        <v>0.31907046899215169</v>
      </c>
      <c r="T635" s="30">
        <v>0.21</v>
      </c>
      <c r="U635" s="27">
        <f>ROUND(IF(IFERROR(PROPERTIES[[#This Row],[TE_COEFFICIENT_CALC]],0)=0,PROPERTIES[[#This Row],[TE_COEFFICIENT_MANUAL]],PROPERTIES[[#This Row],[TE_COEFFICIENT_CALC]]),3)</f>
        <v>0.31900000000000001</v>
      </c>
      <c r="V635" s="6">
        <v>40</v>
      </c>
      <c r="W635" s="10">
        <v>0</v>
      </c>
      <c r="X635" s="10">
        <v>0</v>
      </c>
      <c r="Y635" s="11"/>
      <c r="Z635" t="s">
        <v>912</v>
      </c>
      <c r="AA635" t="s">
        <v>904</v>
      </c>
      <c r="AB635" s="2" t="s">
        <v>922</v>
      </c>
      <c r="AC635" s="10" t="s">
        <v>996</v>
      </c>
      <c r="AD635" s="10" t="s">
        <v>997</v>
      </c>
      <c r="AE635" s="11" t="str">
        <f>SUBSTITUTE(SUBSTITUTE(PROPERTIES[[#This Row],[PURCHASECOST_VALUE]], "PURCHASECOST_", ""), "_VALUE", "")</f>
        <v>ELECTRICENGINE</v>
      </c>
      <c r="AF635" s="10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659</v>
      </c>
      <c r="B636">
        <v>1983</v>
      </c>
      <c r="C636">
        <v>0</v>
      </c>
      <c r="D636" t="s">
        <v>2038</v>
      </c>
      <c r="E636" t="str">
        <f>_xlfn.XLOOKUP(PROPERTIES[[#This Row],[COUNTRY]],COUNTRIES[COUNTRY_DESCRIPTION],COUNTRIES[COUNTRY_LABEL],"")</f>
        <v>SU</v>
      </c>
      <c r="F636" t="s">
        <v>74</v>
      </c>
      <c r="G636" t="s">
        <v>20</v>
      </c>
      <c r="H636">
        <v>0</v>
      </c>
      <c r="I636">
        <v>8</v>
      </c>
      <c r="J636">
        <v>16</v>
      </c>
      <c r="K636" s="2" t="s">
        <v>20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4">
        <v>288</v>
      </c>
      <c r="P636">
        <v>13438</v>
      </c>
      <c r="Q636">
        <v>110</v>
      </c>
      <c r="R636" s="31">
        <v>932</v>
      </c>
      <c r="S636" s="30">
        <f>IFERROR(PROPERTIES[[#This Row],[TE_STARTING_KN]]/(PROPERTIES[[#This Row],[WEIGHT]]*9.81),0)</f>
        <v>0.32987880847208062</v>
      </c>
      <c r="T636" s="30">
        <v>0.25</v>
      </c>
      <c r="U636" s="27">
        <f>ROUND(IF(IFERROR(PROPERTIES[[#This Row],[TE_COEFFICIENT_CALC]],0)=0,PROPERTIES[[#This Row],[TE_COEFFICIENT_MANUAL]],PROPERTIES[[#This Row],[TE_COEFFICIENT_CALC]]),3)</f>
        <v>0.33</v>
      </c>
      <c r="V636" s="6">
        <v>40</v>
      </c>
      <c r="W636" s="10">
        <v>0</v>
      </c>
      <c r="X636" s="10">
        <v>8</v>
      </c>
      <c r="Y636" s="11"/>
      <c r="Z636" t="s">
        <v>913</v>
      </c>
      <c r="AA636" t="s">
        <v>904</v>
      </c>
      <c r="AB636" s="2" t="s">
        <v>922</v>
      </c>
      <c r="AC636" s="10" t="s">
        <v>996</v>
      </c>
      <c r="AD636" s="10" t="s">
        <v>997</v>
      </c>
      <c r="AE636" s="11" t="str">
        <f>SUBSTITUTE(SUBSTITUTE(PROPERTIES[[#This Row],[PURCHASECOST_VALUE]], "PURCHASECOST_", ""), "_VALUE", "")</f>
        <v>ELECTRICENGINE</v>
      </c>
      <c r="AF636" s="10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660</v>
      </c>
      <c r="B637">
        <v>1963</v>
      </c>
      <c r="C637">
        <v>0</v>
      </c>
      <c r="D637" t="s">
        <v>2038</v>
      </c>
      <c r="E637" t="str">
        <f>_xlfn.XLOOKUP(PROPERTIES[[#This Row],[COUNTRY]],COUNTRIES[COUNTRY_DESCRIPTION],COUNTRIES[COUNTRY_LABEL],"")</f>
        <v>SU</v>
      </c>
      <c r="F637" t="s">
        <v>74</v>
      </c>
      <c r="G637" t="s">
        <v>20</v>
      </c>
      <c r="H637">
        <v>0</v>
      </c>
      <c r="I637">
        <v>8</v>
      </c>
      <c r="J637">
        <v>8</v>
      </c>
      <c r="K637" s="2" t="s">
        <v>20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4">
        <v>92</v>
      </c>
      <c r="P637">
        <v>2280</v>
      </c>
      <c r="Q637">
        <v>70</v>
      </c>
      <c r="R637" s="31">
        <v>275</v>
      </c>
      <c r="S637" s="30">
        <f>IFERROR(PROPERTIES[[#This Row],[TE_STARTING_KN]]/(PROPERTIES[[#This Row],[WEIGHT]]*9.81),0)</f>
        <v>0.30470238886672868</v>
      </c>
      <c r="T637" s="30">
        <v>0.19</v>
      </c>
      <c r="U637" s="27">
        <f>ROUND(IF(IFERROR(PROPERTIES[[#This Row],[TE_COEFFICIENT_CALC]],0)=0,PROPERTIES[[#This Row],[TE_COEFFICIENT_MANUAL]],PROPERTIES[[#This Row],[TE_COEFFICIENT_CALC]]),3)</f>
        <v>0.30499999999999999</v>
      </c>
      <c r="V637" s="6">
        <v>40</v>
      </c>
      <c r="W637" s="10">
        <v>0</v>
      </c>
      <c r="X637" s="10">
        <v>0</v>
      </c>
      <c r="Y637" s="11"/>
      <c r="Z637" t="s">
        <v>913</v>
      </c>
      <c r="AA637" t="s">
        <v>904</v>
      </c>
      <c r="AB637" s="2" t="s">
        <v>922</v>
      </c>
      <c r="AC637" s="10" t="s">
        <v>996</v>
      </c>
      <c r="AD637" s="10" t="s">
        <v>997</v>
      </c>
      <c r="AE637" s="11" t="str">
        <f>SUBSTITUTE(SUBSTITUTE(PROPERTIES[[#This Row],[PURCHASECOST_VALUE]], "PURCHASECOST_", ""), "_VALUE", "")</f>
        <v>ELECTRICENGINE</v>
      </c>
      <c r="AF637" s="10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661</v>
      </c>
      <c r="B638">
        <v>1994</v>
      </c>
      <c r="C638">
        <v>0</v>
      </c>
      <c r="D638" t="s">
        <v>1891</v>
      </c>
      <c r="E638" t="str">
        <f>_xlfn.XLOOKUP(PROPERTIES[[#This Row],[COUNTRY]],COUNTRIES[COUNTRY_DESCRIPTION],COUNTRIES[COUNTRY_LABEL],"")</f>
        <v>IN</v>
      </c>
      <c r="F638" t="s">
        <v>74</v>
      </c>
      <c r="G638" t="s">
        <v>20</v>
      </c>
      <c r="H638">
        <v>0</v>
      </c>
      <c r="I638">
        <v>8</v>
      </c>
      <c r="J638">
        <v>8</v>
      </c>
      <c r="K638" s="2" t="s">
        <v>20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4">
        <v>113</v>
      </c>
      <c r="P638">
        <v>5350</v>
      </c>
      <c r="Q638">
        <v>140</v>
      </c>
      <c r="R638" s="31">
        <v>302</v>
      </c>
      <c r="S638" s="30">
        <f>IFERROR(PROPERTIES[[#This Row],[TE_STARTING_KN]]/(PROPERTIES[[#This Row],[WEIGHT]]*9.81),0)</f>
        <v>0.2724328615373513</v>
      </c>
      <c r="T638" s="30">
        <v>0.28000000000000003</v>
      </c>
      <c r="U638" s="27">
        <f>ROUND(IF(IFERROR(PROPERTIES[[#This Row],[TE_COEFFICIENT_CALC]],0)=0,PROPERTIES[[#This Row],[TE_COEFFICIENT_MANUAL]],PROPERTIES[[#This Row],[TE_COEFFICIENT_CALC]]),3)</f>
        <v>0.27200000000000002</v>
      </c>
      <c r="V638" s="6">
        <v>40</v>
      </c>
      <c r="W638" s="10">
        <v>0</v>
      </c>
      <c r="X638" s="10">
        <v>0</v>
      </c>
      <c r="Y638" s="11"/>
      <c r="Z638" t="s">
        <v>913</v>
      </c>
      <c r="AA638" t="s">
        <v>904</v>
      </c>
      <c r="AB638" s="2" t="s">
        <v>922</v>
      </c>
      <c r="AC638" s="10" t="s">
        <v>996</v>
      </c>
      <c r="AD638" s="10" t="s">
        <v>997</v>
      </c>
      <c r="AE638" s="11" t="str">
        <f>SUBSTITUTE(SUBSTITUTE(PROPERTIES[[#This Row],[PURCHASECOST_VALUE]], "PURCHASECOST_", ""), "_VALUE", "")</f>
        <v>ELECTRICENGINE</v>
      </c>
      <c r="AF638" s="10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662</v>
      </c>
      <c r="B639">
        <v>1973</v>
      </c>
      <c r="C639">
        <v>0</v>
      </c>
      <c r="D639" t="s">
        <v>1857</v>
      </c>
      <c r="E639" t="str">
        <f>_xlfn.XLOOKUP(PROPERTIES[[#This Row],[COUNTRY]],COUNTRIES[COUNTRY_DESCRIPTION],COUNTRIES[COUNTRY_LABEL],"")</f>
        <v>FI</v>
      </c>
      <c r="F639" t="s">
        <v>74</v>
      </c>
      <c r="G639" t="s">
        <v>20</v>
      </c>
      <c r="H639">
        <v>0</v>
      </c>
      <c r="I639">
        <v>8</v>
      </c>
      <c r="J639">
        <v>8</v>
      </c>
      <c r="K639" s="2" t="s">
        <v>20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4">
        <v>84</v>
      </c>
      <c r="P639">
        <v>4428</v>
      </c>
      <c r="Q639">
        <v>140</v>
      </c>
      <c r="R639" s="31">
        <v>280</v>
      </c>
      <c r="S639" s="30">
        <f>IFERROR(PROPERTIES[[#This Row],[TE_STARTING_KN]]/(PROPERTIES[[#This Row],[WEIGHT]]*9.81),0)</f>
        <v>0.33978933061501865</v>
      </c>
      <c r="T639" s="30">
        <v>0.33</v>
      </c>
      <c r="U639" s="27">
        <f>ROUND(IF(IFERROR(PROPERTIES[[#This Row],[TE_COEFFICIENT_CALC]],0)=0,PROPERTIES[[#This Row],[TE_COEFFICIENT_MANUAL]],PROPERTIES[[#This Row],[TE_COEFFICIENT_CALC]]),3)</f>
        <v>0.34</v>
      </c>
      <c r="V639" s="6">
        <v>40</v>
      </c>
      <c r="W639" s="10">
        <v>0</v>
      </c>
      <c r="X639" s="10">
        <v>0</v>
      </c>
      <c r="Y639" s="11"/>
      <c r="Z639" t="s">
        <v>909</v>
      </c>
      <c r="AA639" t="s">
        <v>904</v>
      </c>
      <c r="AB639" s="2" t="s">
        <v>922</v>
      </c>
      <c r="AC639" s="10" t="s">
        <v>996</v>
      </c>
      <c r="AD639" s="10" t="s">
        <v>997</v>
      </c>
      <c r="AE639" s="11" t="str">
        <f>SUBSTITUTE(SUBSTITUTE(PROPERTIES[[#This Row],[PURCHASECOST_VALUE]], "PURCHASECOST_", ""), "_VALUE", "")</f>
        <v>ELECTRICENGINE</v>
      </c>
      <c r="AF639" s="10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663</v>
      </c>
      <c r="B640">
        <v>2004</v>
      </c>
      <c r="C640">
        <v>0</v>
      </c>
      <c r="D640" t="s">
        <v>1911</v>
      </c>
      <c r="E640" t="str">
        <f>_xlfn.XLOOKUP(PROPERTIES[[#This Row],[COUNTRY]],COUNTRIES[COUNTRY_DESCRIPTION],COUNTRIES[COUNTRY_LABEL],"")</f>
        <v>KZ</v>
      </c>
      <c r="F640" t="s">
        <v>74</v>
      </c>
      <c r="G640" t="s">
        <v>20</v>
      </c>
      <c r="H640">
        <v>0</v>
      </c>
      <c r="I640">
        <v>8</v>
      </c>
      <c r="J640">
        <v>8</v>
      </c>
      <c r="K640" s="2" t="s">
        <v>20</v>
      </c>
      <c r="L640">
        <f>_xlfn.XLOOKUP("LOADINGSPEEDDEF_"&amp;PROPERTIES[[#This Row],[LOADINGSPEED]],LOADINGSPEEDDEF[TYPE],LOADINGSPEEDDEF[SPEED])</f>
        <v>0</v>
      </c>
      <c r="M640" t="s">
        <v>21</v>
      </c>
      <c r="N640">
        <v>1</v>
      </c>
      <c r="O640" s="34">
        <v>82</v>
      </c>
      <c r="P640">
        <v>6500</v>
      </c>
      <c r="Q640">
        <v>210</v>
      </c>
      <c r="R640" s="31">
        <v>264</v>
      </c>
      <c r="S640" s="30">
        <f>IFERROR(PROPERTIES[[#This Row],[TE_STARTING_KN]]/(PROPERTIES[[#This Row],[WEIGHT]]*9.81),0)</f>
        <v>0.32818676810621317</v>
      </c>
      <c r="T640" s="30">
        <v>0.32</v>
      </c>
      <c r="U640" s="27">
        <f>ROUND(IF(IFERROR(PROPERTIES[[#This Row],[TE_COEFFICIENT_CALC]],0)=0,PROPERTIES[[#This Row],[TE_COEFFICIENT_MANUAL]],PROPERTIES[[#This Row],[TE_COEFFICIENT_CALC]]),3)</f>
        <v>0.32800000000000001</v>
      </c>
      <c r="V640" s="6">
        <v>40</v>
      </c>
      <c r="W640" s="10">
        <v>0</v>
      </c>
      <c r="X640" s="10">
        <v>0</v>
      </c>
      <c r="Y640" s="11"/>
      <c r="Z640" t="s">
        <v>913</v>
      </c>
      <c r="AA640" t="s">
        <v>904</v>
      </c>
      <c r="AB640" s="2" t="s">
        <v>922</v>
      </c>
      <c r="AC640" s="10" t="s">
        <v>996</v>
      </c>
      <c r="AD640" s="10" t="s">
        <v>997</v>
      </c>
      <c r="AE640" s="11" t="str">
        <f>SUBSTITUTE(SUBSTITUTE(PROPERTIES[[#This Row],[PURCHASECOST_VALUE]], "PURCHASECOST_", ""), "_VALUE", "")</f>
        <v>ELECTRICENGINE</v>
      </c>
      <c r="AF640" s="10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664</v>
      </c>
      <c r="B641">
        <v>2014</v>
      </c>
      <c r="C641">
        <v>0</v>
      </c>
      <c r="D641" t="s">
        <v>1911</v>
      </c>
      <c r="E641" t="str">
        <f>_xlfn.XLOOKUP(PROPERTIES[[#This Row],[COUNTRY]],COUNTRIES[COUNTRY_DESCRIPTION],COUNTRIES[COUNTRY_LABEL],"")</f>
        <v>KZ</v>
      </c>
      <c r="F641" t="s">
        <v>74</v>
      </c>
      <c r="G641" t="s">
        <v>20</v>
      </c>
      <c r="H641">
        <v>0</v>
      </c>
      <c r="I641">
        <v>8</v>
      </c>
      <c r="J641">
        <v>16</v>
      </c>
      <c r="K641" s="2" t="s">
        <v>20</v>
      </c>
      <c r="L641">
        <f>_xlfn.XLOOKUP("LOADINGSPEEDDEF_"&amp;PROPERTIES[[#This Row],[LOADINGSPEED]],LOADINGSPEEDDEF[TYPE],LOADINGSPEEDDEF[SPEED])</f>
        <v>0</v>
      </c>
      <c r="M641" t="s">
        <v>21</v>
      </c>
      <c r="N641">
        <v>1</v>
      </c>
      <c r="O641" s="34">
        <v>200</v>
      </c>
      <c r="P641">
        <v>11800</v>
      </c>
      <c r="Q641">
        <v>120</v>
      </c>
      <c r="R641" s="31">
        <v>833</v>
      </c>
      <c r="S641" s="30">
        <f>IFERROR(PROPERTIES[[#This Row],[TE_STARTING_KN]]/(PROPERTIES[[#This Row],[WEIGHT]]*9.81),0)</f>
        <v>0.42456676860346587</v>
      </c>
      <c r="T641" s="30">
        <v>0.42</v>
      </c>
      <c r="U641" s="27">
        <f>ROUND(IF(IFERROR(PROPERTIES[[#This Row],[TE_COEFFICIENT_CALC]],0)=0,PROPERTIES[[#This Row],[TE_COEFFICIENT_MANUAL]],PROPERTIES[[#This Row],[TE_COEFFICIENT_CALC]]),3)</f>
        <v>0.42499999999999999</v>
      </c>
      <c r="V641" s="6">
        <v>40</v>
      </c>
      <c r="W641" s="10">
        <v>0</v>
      </c>
      <c r="X641" s="10">
        <v>8</v>
      </c>
      <c r="Y641" s="11"/>
      <c r="Z641" t="s">
        <v>913</v>
      </c>
      <c r="AA641" t="s">
        <v>904</v>
      </c>
      <c r="AB641" s="2" t="s">
        <v>922</v>
      </c>
      <c r="AC641" s="10" t="s">
        <v>996</v>
      </c>
      <c r="AD641" s="10" t="s">
        <v>997</v>
      </c>
      <c r="AE641" s="11" t="str">
        <f>SUBSTITUTE(SUBSTITUTE(PROPERTIES[[#This Row],[PURCHASECOST_VALUE]], "PURCHASECOST_", ""), "_VALUE", "")</f>
        <v>ELECTRICENGINE</v>
      </c>
      <c r="AF641" s="10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665</v>
      </c>
      <c r="B642">
        <v>2011</v>
      </c>
      <c r="C642">
        <v>0</v>
      </c>
      <c r="D642" t="s">
        <v>1977</v>
      </c>
      <c r="E642" t="str">
        <f>_xlfn.XLOOKUP(PROPERTIES[[#This Row],[COUNTRY]],COUNTRIES[COUNTRY_DESCRIPTION],COUNTRIES[COUNTRY_LABEL],"")</f>
        <v>RU</v>
      </c>
      <c r="F642" t="s">
        <v>74</v>
      </c>
      <c r="G642" t="s">
        <v>20</v>
      </c>
      <c r="H642">
        <v>0</v>
      </c>
      <c r="I642">
        <v>8</v>
      </c>
      <c r="J642">
        <v>8</v>
      </c>
      <c r="K642" s="2" t="s">
        <v>20</v>
      </c>
      <c r="L642">
        <f>_xlfn.XLOOKUP("LOADINGSPEEDDEF_"&amp;PROPERTIES[[#This Row],[LOADINGSPEED]],LOADINGSPEEDDEF[TYPE],LOADINGSPEEDDEF[SPEED])</f>
        <v>0</v>
      </c>
      <c r="M642" t="s">
        <v>21</v>
      </c>
      <c r="N642">
        <v>1</v>
      </c>
      <c r="O642" s="34">
        <v>135</v>
      </c>
      <c r="P642">
        <v>9655</v>
      </c>
      <c r="Q642">
        <v>200</v>
      </c>
      <c r="R642" s="31">
        <v>450</v>
      </c>
      <c r="S642" s="30">
        <f>IFERROR(PROPERTIES[[#This Row],[TE_STARTING_KN]]/(PROPERTIES[[#This Row],[WEIGHT]]*9.81),0)</f>
        <v>0.33978933061501865</v>
      </c>
      <c r="T642" s="30">
        <v>0.26</v>
      </c>
      <c r="U642" s="27">
        <f>ROUND(IF(IFERROR(PROPERTIES[[#This Row],[TE_COEFFICIENT_CALC]],0)=0,PROPERTIES[[#This Row],[TE_COEFFICIENT_MANUAL]],PROPERTIES[[#This Row],[TE_COEFFICIENT_CALC]]),3)</f>
        <v>0.34</v>
      </c>
      <c r="V642" s="6">
        <v>40</v>
      </c>
      <c r="W642" s="10">
        <v>0</v>
      </c>
      <c r="X642" s="10">
        <v>0</v>
      </c>
      <c r="Y642" s="11"/>
      <c r="Z642" t="s">
        <v>913</v>
      </c>
      <c r="AA642" t="s">
        <v>904</v>
      </c>
      <c r="AB642" s="2" t="s">
        <v>922</v>
      </c>
      <c r="AC642" s="10" t="s">
        <v>996</v>
      </c>
      <c r="AD642" s="10" t="s">
        <v>997</v>
      </c>
      <c r="AE642" s="11" t="str">
        <f>SUBSTITUTE(SUBSTITUTE(PROPERTIES[[#This Row],[PURCHASECOST_VALUE]], "PURCHASECOST_", ""), "_VALUE", "")</f>
        <v>ELECTRICENGINE</v>
      </c>
      <c r="AF642" s="10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666</v>
      </c>
      <c r="B643">
        <v>1955</v>
      </c>
      <c r="C643">
        <v>0</v>
      </c>
      <c r="D643" t="s">
        <v>1857</v>
      </c>
      <c r="E643" t="str">
        <f>_xlfn.XLOOKUP(PROPERTIES[[#This Row],[COUNTRY]],COUNTRIES[COUNTRY_DESCRIPTION],COUNTRIES[COUNTRY_LABEL],"")</f>
        <v>FI</v>
      </c>
      <c r="F643" t="s">
        <v>35</v>
      </c>
      <c r="G643" t="s">
        <v>18</v>
      </c>
      <c r="H643">
        <v>64</v>
      </c>
      <c r="I643">
        <v>7</v>
      </c>
      <c r="J643">
        <v>7</v>
      </c>
      <c r="K643" s="2" t="s">
        <v>24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4">
        <v>18</v>
      </c>
      <c r="P643">
        <v>180</v>
      </c>
      <c r="Q643">
        <v>95</v>
      </c>
      <c r="R643" s="31">
        <v>29</v>
      </c>
      <c r="S643" s="30">
        <f>IFERROR(PROPERTIES[[#This Row],[TE_STARTING_KN]]/(PROPERTIES[[#This Row],[WEIGHT]]*9.81),0)</f>
        <v>0.16423150979725903</v>
      </c>
      <c r="T643" s="30">
        <v>0.33</v>
      </c>
      <c r="U643" s="27">
        <f>ROUND(IF(IFERROR(PROPERTIES[[#This Row],[TE_COEFFICIENT_CALC]],0)=0,PROPERTIES[[#This Row],[TE_COEFFICIENT_MANUAL]],PROPERTIES[[#This Row],[TE_COEFFICIENT_CALC]]),3)</f>
        <v>0.16400000000000001</v>
      </c>
      <c r="V643" s="6">
        <v>15</v>
      </c>
      <c r="W643" s="10">
        <v>0</v>
      </c>
      <c r="X643" s="10">
        <v>0</v>
      </c>
      <c r="Y643" s="11"/>
      <c r="Z643" t="s">
        <v>909</v>
      </c>
      <c r="AA643" t="s">
        <v>904</v>
      </c>
      <c r="AB643" s="2" t="s">
        <v>922</v>
      </c>
      <c r="AC643" s="10" t="s">
        <v>986</v>
      </c>
      <c r="AD643" s="10" t="s">
        <v>987</v>
      </c>
      <c r="AE643" s="11" t="str">
        <f>SUBSTITUTE(SUBSTITUTE(PROPERTIES[[#This Row],[PURCHASECOST_VALUE]], "PURCHASECOST_", ""), "_VALUE", "")</f>
        <v>DIESELRAILBUS</v>
      </c>
      <c r="AF643" s="10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667</v>
      </c>
      <c r="B644">
        <v>1984</v>
      </c>
      <c r="C644">
        <v>0</v>
      </c>
      <c r="D644" t="s">
        <v>2038</v>
      </c>
      <c r="E644" t="str">
        <f>_xlfn.XLOOKUP(PROPERTIES[[#This Row],[COUNTRY]],COUNTRIES[COUNTRY_DESCRIPTION],COUNTRIES[COUNTRY_LABEL],"")</f>
        <v>SU</v>
      </c>
      <c r="F644" t="s">
        <v>35</v>
      </c>
      <c r="G644" t="s">
        <v>18</v>
      </c>
      <c r="H644">
        <v>67</v>
      </c>
      <c r="I644">
        <v>8</v>
      </c>
      <c r="J644">
        <v>8</v>
      </c>
      <c r="K644" s="2" t="s">
        <v>24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4">
        <v>59</v>
      </c>
      <c r="P644">
        <v>990</v>
      </c>
      <c r="Q644">
        <v>120</v>
      </c>
      <c r="R644" s="31">
        <v>157</v>
      </c>
      <c r="S644" s="30">
        <f>IFERROR(PROPERTIES[[#This Row],[TE_STARTING_KN]]/(PROPERTIES[[#This Row],[WEIGHT]]*9.81),0)</f>
        <v>0.27125555037232846</v>
      </c>
      <c r="T644" s="30">
        <v>0.24</v>
      </c>
      <c r="U644" s="27">
        <f>ROUND(IF(IFERROR(PROPERTIES[[#This Row],[TE_COEFFICIENT_CALC]],0)=0,PROPERTIES[[#This Row],[TE_COEFFICIENT_MANUAL]],PROPERTIES[[#This Row],[TE_COEFFICIENT_CALC]]),3)</f>
        <v>0.27100000000000002</v>
      </c>
      <c r="V644" s="6">
        <v>15</v>
      </c>
      <c r="W644" s="10">
        <v>0</v>
      </c>
      <c r="X644" s="10">
        <v>0</v>
      </c>
      <c r="Y644" s="11"/>
      <c r="Z644" t="s">
        <v>913</v>
      </c>
      <c r="AA644" t="s">
        <v>904</v>
      </c>
      <c r="AB644" s="2" t="s">
        <v>922</v>
      </c>
      <c r="AC644" s="10" t="s">
        <v>986</v>
      </c>
      <c r="AD644" s="10" t="s">
        <v>987</v>
      </c>
      <c r="AE644" s="11" t="str">
        <f>SUBSTITUTE(SUBSTITUTE(PROPERTIES[[#This Row],[PURCHASECOST_VALUE]], "PURCHASECOST_", ""), "_VALUE", "")</f>
        <v>DIESELRAILBUS</v>
      </c>
      <c r="AF644" s="10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668</v>
      </c>
      <c r="B645">
        <v>1973</v>
      </c>
      <c r="C645">
        <v>1</v>
      </c>
      <c r="D645" t="s">
        <v>2038</v>
      </c>
      <c r="E645" t="str">
        <f>_xlfn.XLOOKUP(PROPERTIES[[#This Row],[COUNTRY]],COUNTRIES[COUNTRY_DESCRIPTION],COUNTRIES[COUNTRY_LABEL],"")</f>
        <v>SU</v>
      </c>
      <c r="F645" t="s">
        <v>74</v>
      </c>
      <c r="G645" t="s">
        <v>18</v>
      </c>
      <c r="H645">
        <v>64</v>
      </c>
      <c r="I645">
        <v>8</v>
      </c>
      <c r="J645">
        <v>8</v>
      </c>
      <c r="K645" s="2" t="s">
        <v>24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4">
        <v>49</v>
      </c>
      <c r="P645">
        <v>1280</v>
      </c>
      <c r="Q645">
        <v>200</v>
      </c>
      <c r="R645" s="31">
        <v>35.6</v>
      </c>
      <c r="S645" s="30">
        <f>IFERROR(PROPERTIES[[#This Row],[TE_STARTING_KN]]/(PROPERTIES[[#This Row],[WEIGHT]]*9.81),0)</f>
        <v>7.4060205121804071E-2</v>
      </c>
      <c r="T645" s="30">
        <v>0.13</v>
      </c>
      <c r="U645" s="27">
        <f>ROUND(IF(IFERROR(PROPERTIES[[#This Row],[TE_COEFFICIENT_CALC]],0)=0,PROPERTIES[[#This Row],[TE_COEFFICIENT_MANUAL]],PROPERTIES[[#This Row],[TE_COEFFICIENT_CALC]]),3)</f>
        <v>7.3999999999999996E-2</v>
      </c>
      <c r="V645" s="6">
        <v>40</v>
      </c>
      <c r="W645" s="10">
        <v>64</v>
      </c>
      <c r="X645" s="10">
        <v>8</v>
      </c>
      <c r="Y645" s="11"/>
      <c r="Z645" t="s">
        <v>913</v>
      </c>
      <c r="AA645" t="s">
        <v>904</v>
      </c>
      <c r="AB645" s="2" t="s">
        <v>922</v>
      </c>
      <c r="AC645" s="10" t="s">
        <v>1000</v>
      </c>
      <c r="AD645" s="10" t="s">
        <v>1001</v>
      </c>
      <c r="AE645" s="11" t="str">
        <f>SUBSTITUTE(SUBSTITUTE(PROPERTIES[[#This Row],[PURCHASECOST_VALUE]], "PURCHASECOST_", ""), "_VALUE", "")</f>
        <v>EMU</v>
      </c>
      <c r="AF645" s="10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669</v>
      </c>
      <c r="B646">
        <v>1929</v>
      </c>
      <c r="C646">
        <v>1</v>
      </c>
      <c r="D646" t="s">
        <v>2038</v>
      </c>
      <c r="E646" t="str">
        <f>_xlfn.XLOOKUP(PROPERTIES[[#This Row],[COUNTRY]],COUNTRIES[COUNTRY_DESCRIPTION],COUNTRIES[COUNTRY_LABEL],"")</f>
        <v>SU</v>
      </c>
      <c r="F646" t="s">
        <v>74</v>
      </c>
      <c r="G646" t="s">
        <v>18</v>
      </c>
      <c r="H646">
        <v>110</v>
      </c>
      <c r="I646">
        <v>7</v>
      </c>
      <c r="J646">
        <v>7</v>
      </c>
      <c r="K646" s="2" t="s">
        <v>24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4">
        <v>58.9</v>
      </c>
      <c r="P646">
        <f>805*2</f>
        <v>1610</v>
      </c>
      <c r="Q646">
        <v>85</v>
      </c>
      <c r="R646" s="31">
        <v>145</v>
      </c>
      <c r="S646" s="30">
        <f>IFERROR(PROPERTIES[[#This Row],[TE_STARTING_KN]]/(PROPERTIES[[#This Row],[WEIGHT]]*9.81),0)</f>
        <v>0.25094797761890175</v>
      </c>
      <c r="T646" s="30">
        <v>0.08</v>
      </c>
      <c r="U646" s="27">
        <f>ROUND(IF(IFERROR(PROPERTIES[[#This Row],[TE_COEFFICIENT_CALC]],0)=0,PROPERTIES[[#This Row],[TE_COEFFICIENT_MANUAL]],PROPERTIES[[#This Row],[TE_COEFFICIENT_CALC]]),3)</f>
        <v>0.251</v>
      </c>
      <c r="V646" s="6">
        <v>40</v>
      </c>
      <c r="W646" s="10">
        <v>110</v>
      </c>
      <c r="X646" s="10">
        <v>7</v>
      </c>
      <c r="Y646" s="11"/>
      <c r="Z646" t="s">
        <v>913</v>
      </c>
      <c r="AA646" t="s">
        <v>904</v>
      </c>
      <c r="AB646" s="2" t="s">
        <v>922</v>
      </c>
      <c r="AC646" s="10" t="s">
        <v>1000</v>
      </c>
      <c r="AD646" s="10" t="s">
        <v>1001</v>
      </c>
      <c r="AE646" s="11" t="str">
        <f>SUBSTITUTE(SUBSTITUTE(PROPERTIES[[#This Row],[PURCHASECOST_VALUE]], "PURCHASECOST_", ""), "_VALUE", "")</f>
        <v>EMU</v>
      </c>
      <c r="AF646" s="10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670</v>
      </c>
      <c r="B647">
        <v>2015</v>
      </c>
      <c r="C647">
        <v>1</v>
      </c>
      <c r="D647" t="s">
        <v>1884</v>
      </c>
      <c r="E647" t="str">
        <f>_xlfn.XLOOKUP(PROPERTIES[[#This Row],[COUNTRY]],COUNTRIES[COUNTRY_DESCRIPTION],COUNTRIES[COUNTRY_LABEL],"")</f>
        <v>HR</v>
      </c>
      <c r="F647" t="s">
        <v>74</v>
      </c>
      <c r="G647" t="s">
        <v>18</v>
      </c>
      <c r="H647">
        <v>60</v>
      </c>
      <c r="I647">
        <v>8</v>
      </c>
      <c r="J647">
        <v>8</v>
      </c>
      <c r="K647" s="2" t="s">
        <v>24</v>
      </c>
      <c r="L647">
        <f>_xlfn.XLOOKUP("LOADINGSPEEDDEF_"&amp;PROPERTIES[[#This Row],[LOADINGSPEED]],LOADINGSPEEDDEF[TYPE],LOADINGSPEEDDEF[SPEED])</f>
        <v>40</v>
      </c>
      <c r="M647" t="s">
        <v>21</v>
      </c>
      <c r="N647">
        <v>1</v>
      </c>
      <c r="O647" s="34">
        <v>43</v>
      </c>
      <c r="P647">
        <v>2700</v>
      </c>
      <c r="Q647">
        <v>160</v>
      </c>
      <c r="R647" s="31">
        <v>100</v>
      </c>
      <c r="S647" s="30">
        <f>IFERROR(PROPERTIES[[#This Row],[TE_STARTING_KN]]/(PROPERTIES[[#This Row],[WEIGHT]]*9.81),0)</f>
        <v>0.23706232368489674</v>
      </c>
      <c r="T647" s="30">
        <v>0.47</v>
      </c>
      <c r="U647" s="27">
        <f>ROUND(IF(IFERROR(PROPERTIES[[#This Row],[TE_COEFFICIENT_CALC]],0)=0,PROPERTIES[[#This Row],[TE_COEFFICIENT_MANUAL]],PROPERTIES[[#This Row],[TE_COEFFICIENT_CALC]]),3)</f>
        <v>0.23699999999999999</v>
      </c>
      <c r="V647" s="6">
        <v>40</v>
      </c>
      <c r="W647" s="10">
        <v>60</v>
      </c>
      <c r="X647" s="10">
        <v>8</v>
      </c>
      <c r="Y647" s="11"/>
      <c r="Z647" t="s">
        <v>911</v>
      </c>
      <c r="AA647" t="s">
        <v>904</v>
      </c>
      <c r="AB647" s="2" t="s">
        <v>922</v>
      </c>
      <c r="AC647" s="10" t="s">
        <v>1000</v>
      </c>
      <c r="AD647" s="10" t="s">
        <v>1001</v>
      </c>
      <c r="AE647" s="11" t="str">
        <f>SUBSTITUTE(SUBSTITUTE(PROPERTIES[[#This Row],[PURCHASECOST_VALUE]], "PURCHASECOST_", ""), "_VALUE", "")</f>
        <v>EMU</v>
      </c>
      <c r="AF647" s="10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671</v>
      </c>
      <c r="B648">
        <v>2011</v>
      </c>
      <c r="C648">
        <v>1</v>
      </c>
      <c r="D648" t="s">
        <v>1977</v>
      </c>
      <c r="E648" t="str">
        <f>_xlfn.XLOOKUP(PROPERTIES[[#This Row],[COUNTRY]],COUNTRIES[COUNTRY_DESCRIPTION],COUNTRIES[COUNTRY_LABEL],"")</f>
        <v>RU</v>
      </c>
      <c r="F648" t="s">
        <v>74</v>
      </c>
      <c r="G648" t="s">
        <v>18</v>
      </c>
      <c r="H648">
        <v>67</v>
      </c>
      <c r="I648">
        <v>8</v>
      </c>
      <c r="J648">
        <v>8</v>
      </c>
      <c r="K648" s="2" t="s">
        <v>24</v>
      </c>
      <c r="L648">
        <f>_xlfn.XLOOKUP("LOADINGSPEEDDEF_"&amp;PROPERTIES[[#This Row],[LOADINGSPEED]],LOADINGSPEEDDEF[TYPE],LOADINGSPEEDDEF[SPEED])</f>
        <v>40</v>
      </c>
      <c r="M648" t="s">
        <v>21</v>
      </c>
      <c r="N648">
        <v>1</v>
      </c>
      <c r="O648" s="34">
        <v>56</v>
      </c>
      <c r="P648">
        <v>2700</v>
      </c>
      <c r="Q648">
        <v>160</v>
      </c>
      <c r="R648" s="31">
        <v>90</v>
      </c>
      <c r="S648" s="30">
        <f>IFERROR(PROPERTIES[[#This Row],[TE_STARTING_KN]]/(PROPERTIES[[#This Row],[WEIGHT]]*9.81),0)</f>
        <v>0.163826998689384</v>
      </c>
      <c r="T648" s="30">
        <v>0.54</v>
      </c>
      <c r="U648" s="27">
        <f>ROUND(IF(IFERROR(PROPERTIES[[#This Row],[TE_COEFFICIENT_CALC]],0)=0,PROPERTIES[[#This Row],[TE_COEFFICIENT_MANUAL]],PROPERTIES[[#This Row],[TE_COEFFICIENT_CALC]]),3)</f>
        <v>0.16400000000000001</v>
      </c>
      <c r="V648" s="6">
        <v>40</v>
      </c>
      <c r="W648" s="10">
        <v>88</v>
      </c>
      <c r="X648" s="10">
        <v>8</v>
      </c>
      <c r="Y648" s="11"/>
      <c r="Z648" t="s">
        <v>913</v>
      </c>
      <c r="AA648" t="s">
        <v>904</v>
      </c>
      <c r="AB648" s="2" t="s">
        <v>922</v>
      </c>
      <c r="AC648" s="10" t="s">
        <v>1000</v>
      </c>
      <c r="AD648" s="10" t="s">
        <v>1001</v>
      </c>
      <c r="AE648" s="11" t="str">
        <f>SUBSTITUTE(SUBSTITUTE(PROPERTIES[[#This Row],[PURCHASECOST_VALUE]], "PURCHASECOST_", ""), "_VALUE", "")</f>
        <v>EMU</v>
      </c>
      <c r="AF648" s="10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746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19</v>
      </c>
      <c r="G649" t="s">
        <v>325</v>
      </c>
      <c r="H649">
        <v>1</v>
      </c>
      <c r="I649">
        <v>8</v>
      </c>
      <c r="J649">
        <v>8</v>
      </c>
      <c r="K649" s="2" t="s">
        <v>20</v>
      </c>
      <c r="L649">
        <f>_xlfn.XLOOKUP("LOADINGSPEEDDEF_"&amp;PROPERTIES[[#This Row],[LOADINGSPEED]],LOADINGSPEEDDEF[TYPE],LOADINGSPEEDDEF[SPEED])</f>
        <v>0</v>
      </c>
      <c r="M649" t="s">
        <v>21</v>
      </c>
      <c r="N649">
        <v>1</v>
      </c>
      <c r="O649" s="34">
        <v>0</v>
      </c>
      <c r="P649">
        <v>0</v>
      </c>
      <c r="Q649">
        <v>0</v>
      </c>
      <c r="R649" s="31">
        <v>0</v>
      </c>
      <c r="S649" s="30">
        <f>IFERROR(PROPERTIES[[#This Row],[TE_STARTING_KN]]/(PROPERTIES[[#This Row],[WEIGHT]]*9.81),0)</f>
        <v>0</v>
      </c>
      <c r="T649" s="30">
        <v>0.3</v>
      </c>
      <c r="U649" s="27">
        <f>ROUND(IF(IFERROR(PROPERTIES[[#This Row],[TE_COEFFICIENT_CALC]],0)=0,PROPERTIES[[#This Row],[TE_COEFFICIENT_MANUAL]],PROPERTIES[[#This Row],[TE_COEFFICIENT_CALC]]),3)</f>
        <v>0.3</v>
      </c>
      <c r="V649" s="6">
        <v>60</v>
      </c>
      <c r="W649" s="10">
        <v>0</v>
      </c>
      <c r="X649" s="10">
        <v>0</v>
      </c>
      <c r="Y649" s="11"/>
      <c r="Z649" t="s">
        <v>918</v>
      </c>
      <c r="AA649" t="s">
        <v>904</v>
      </c>
      <c r="AB649" s="2" t="s">
        <v>922</v>
      </c>
      <c r="AC649" s="10" t="s">
        <v>994</v>
      </c>
      <c r="AD649" s="10" t="s">
        <v>995</v>
      </c>
      <c r="AE649" s="11" t="str">
        <f>SUBSTITUTE(SUBSTITUTE(PROPERTIES[[#This Row],[PURCHASECOST_VALUE]], "PURCHASECOST_", ""), "_VALUE", "")</f>
        <v>METRO</v>
      </c>
      <c r="AF649" s="10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745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19</v>
      </c>
      <c r="G650" t="s">
        <v>325</v>
      </c>
      <c r="H650">
        <v>1</v>
      </c>
      <c r="I650">
        <v>8</v>
      </c>
      <c r="J650">
        <v>8</v>
      </c>
      <c r="K650" s="2" t="s">
        <v>20</v>
      </c>
      <c r="L650">
        <f>_xlfn.XLOOKUP("LOADINGSPEEDDEF_"&amp;PROPERTIES[[#This Row],[LOADINGSPEED]],LOADINGSPEEDDEF[TYPE],LOADINGSPEEDDEF[SPEED])</f>
        <v>0</v>
      </c>
      <c r="M650" t="s">
        <v>21</v>
      </c>
      <c r="N650">
        <v>1</v>
      </c>
      <c r="O650" s="34">
        <v>0</v>
      </c>
      <c r="P650">
        <v>0</v>
      </c>
      <c r="Q650">
        <v>0</v>
      </c>
      <c r="R650" s="31">
        <v>0</v>
      </c>
      <c r="S650" s="30">
        <f>IFERROR(PROPERTIES[[#This Row],[TE_STARTING_KN]]/(PROPERTIES[[#This Row],[WEIGHT]]*9.81),0)</f>
        <v>0</v>
      </c>
      <c r="T650" s="30">
        <v>0.3</v>
      </c>
      <c r="U650" s="27">
        <f>ROUND(IF(IFERROR(PROPERTIES[[#This Row],[TE_COEFFICIENT_CALC]],0)=0,PROPERTIES[[#This Row],[TE_COEFFICIENT_MANUAL]],PROPERTIES[[#This Row],[TE_COEFFICIENT_CALC]]),3)</f>
        <v>0.3</v>
      </c>
      <c r="V650" s="6">
        <v>60</v>
      </c>
      <c r="W650" s="10">
        <v>0</v>
      </c>
      <c r="X650" s="10">
        <v>0</v>
      </c>
      <c r="Y650" s="11"/>
      <c r="Z650" t="s">
        <v>918</v>
      </c>
      <c r="AA650" t="s">
        <v>904</v>
      </c>
      <c r="AB650" s="2" t="s">
        <v>922</v>
      </c>
      <c r="AC650" s="10" t="s">
        <v>994</v>
      </c>
      <c r="AD650" s="10" t="s">
        <v>995</v>
      </c>
      <c r="AE650" s="11" t="str">
        <f>SUBSTITUTE(SUBSTITUTE(PROPERTIES[[#This Row],[PURCHASECOST_VALUE]], "PURCHASECOST_", ""), "_VALUE", "")</f>
        <v>METRO</v>
      </c>
      <c r="AF650" s="10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747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74</v>
      </c>
      <c r="G651" t="s">
        <v>532</v>
      </c>
      <c r="H651">
        <v>1</v>
      </c>
      <c r="I651">
        <v>8</v>
      </c>
      <c r="J651">
        <v>8</v>
      </c>
      <c r="K651" s="2" t="s">
        <v>20</v>
      </c>
      <c r="L651">
        <f>_xlfn.XLOOKUP("LOADINGSPEEDDEF_"&amp;PROPERTIES[[#This Row],[LOADINGSPEED]],LOADINGSPEEDDEF[TYPE],LOADINGSPEEDDEF[SPEED])</f>
        <v>0</v>
      </c>
      <c r="M651" t="s">
        <v>21</v>
      </c>
      <c r="N651">
        <v>0</v>
      </c>
      <c r="O651" s="34">
        <v>0</v>
      </c>
      <c r="P651">
        <v>0</v>
      </c>
      <c r="Q651">
        <v>0</v>
      </c>
      <c r="R651" s="31">
        <v>0</v>
      </c>
      <c r="S651" s="30">
        <f>IFERROR(PROPERTIES[[#This Row],[TE_STARTING_KN]]/(PROPERTIES[[#This Row],[WEIGHT]]*9.81),0)</f>
        <v>0</v>
      </c>
      <c r="T651" s="30">
        <v>0.3</v>
      </c>
      <c r="U651" s="27">
        <f>ROUND(IF(IFERROR(PROPERTIES[[#This Row],[TE_COEFFICIENT_CALC]],0)=0,PROPERTIES[[#This Row],[TE_COEFFICIENT_MANUAL]],PROPERTIES[[#This Row],[TE_COEFFICIENT_CALC]]),3)</f>
        <v>0.3</v>
      </c>
      <c r="V651" s="6">
        <v>60</v>
      </c>
      <c r="W651" s="10">
        <v>0</v>
      </c>
      <c r="X651" s="10">
        <v>0</v>
      </c>
      <c r="Y651" s="11"/>
      <c r="Z651" t="s">
        <v>918</v>
      </c>
      <c r="AA651" t="s">
        <v>904</v>
      </c>
      <c r="AB651" s="2" t="s">
        <v>922</v>
      </c>
      <c r="AC651" s="10" t="s">
        <v>998</v>
      </c>
      <c r="AD651" s="10" t="s">
        <v>999</v>
      </c>
      <c r="AE651" s="11" t="str">
        <f>SUBSTITUTE(SUBSTITUTE(PROPERTIES[[#This Row],[PURCHASECOST_VALUE]], "PURCHASECOST_", ""), "_VALUE", "")</f>
        <v>DMU</v>
      </c>
      <c r="AF651" s="10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748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35</v>
      </c>
      <c r="G652" t="s">
        <v>532</v>
      </c>
      <c r="H652">
        <v>1</v>
      </c>
      <c r="I652">
        <v>8</v>
      </c>
      <c r="J652">
        <v>8</v>
      </c>
      <c r="K652" s="2" t="s">
        <v>20</v>
      </c>
      <c r="L652">
        <f>_xlfn.XLOOKUP("LOADINGSPEEDDEF_"&amp;PROPERTIES[[#This Row],[LOADINGSPEED]],LOADINGSPEEDDEF[TYPE],LOADINGSPEEDDEF[SPEED])</f>
        <v>0</v>
      </c>
      <c r="M652" t="s">
        <v>21</v>
      </c>
      <c r="N652">
        <v>0</v>
      </c>
      <c r="O652" s="34">
        <v>0</v>
      </c>
      <c r="P652">
        <v>0</v>
      </c>
      <c r="Q652">
        <v>0</v>
      </c>
      <c r="R652" s="31">
        <v>0</v>
      </c>
      <c r="S652" s="30">
        <f>IFERROR(PROPERTIES[[#This Row],[TE_STARTING_KN]]/(PROPERTIES[[#This Row],[WEIGHT]]*9.81),0)</f>
        <v>0</v>
      </c>
      <c r="T652" s="30">
        <v>0.3</v>
      </c>
      <c r="U652" s="27">
        <f>ROUND(IF(IFERROR(PROPERTIES[[#This Row],[TE_COEFFICIENT_CALC]],0)=0,PROPERTIES[[#This Row],[TE_COEFFICIENT_MANUAL]],PROPERTIES[[#This Row],[TE_COEFFICIENT_CALC]]),3)</f>
        <v>0.3</v>
      </c>
      <c r="V652" s="6">
        <v>60</v>
      </c>
      <c r="W652" s="10">
        <v>0</v>
      </c>
      <c r="X652" s="10">
        <v>0</v>
      </c>
      <c r="Y652" s="11"/>
      <c r="Z652" t="s">
        <v>918</v>
      </c>
      <c r="AA652" t="s">
        <v>904</v>
      </c>
      <c r="AB652" s="2" t="s">
        <v>922</v>
      </c>
      <c r="AC652" s="10" t="s">
        <v>998</v>
      </c>
      <c r="AD652" s="10" t="s">
        <v>999</v>
      </c>
      <c r="AE652" s="11" t="str">
        <f>SUBSTITUTE(SUBSTITUTE(PROPERTIES[[#This Row],[PURCHASECOST_VALUE]], "PURCHASECOST_", ""), "_VALUE", "")</f>
        <v>DMU</v>
      </c>
      <c r="AF652" s="10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749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74</v>
      </c>
      <c r="G653" t="s">
        <v>18</v>
      </c>
      <c r="H653">
        <v>1</v>
      </c>
      <c r="I653">
        <v>8</v>
      </c>
      <c r="J653">
        <v>8</v>
      </c>
      <c r="K653" s="2" t="s">
        <v>20</v>
      </c>
      <c r="L653">
        <f>_xlfn.XLOOKUP("LOADINGSPEEDDEF_"&amp;PROPERTIES[[#This Row],[LOADINGSPEED]],LOADINGSPEEDDEF[TYPE],LOADINGSPEEDDEF[SPEED])</f>
        <v>0</v>
      </c>
      <c r="M653" t="s">
        <v>21</v>
      </c>
      <c r="N653">
        <v>1</v>
      </c>
      <c r="O653" s="34">
        <v>0</v>
      </c>
      <c r="P653">
        <v>0</v>
      </c>
      <c r="Q653">
        <v>0</v>
      </c>
      <c r="R653" s="31">
        <v>0</v>
      </c>
      <c r="S653" s="30">
        <f>IFERROR(PROPERTIES[[#This Row],[TE_STARTING_KN]]/(PROPERTIES[[#This Row],[WEIGHT]]*9.81),0)</f>
        <v>0</v>
      </c>
      <c r="T653" s="30">
        <v>0.3</v>
      </c>
      <c r="U653" s="27">
        <f>ROUND(IF(IFERROR(PROPERTIES[[#This Row],[TE_COEFFICIENT_CALC]],0)=0,PROPERTIES[[#This Row],[TE_COEFFICIENT_MANUAL]],PROPERTIES[[#This Row],[TE_COEFFICIENT_CALC]]),3)</f>
        <v>0.3</v>
      </c>
      <c r="V653" s="6">
        <v>60</v>
      </c>
      <c r="W653" s="10">
        <v>0</v>
      </c>
      <c r="X653" s="10">
        <v>0</v>
      </c>
      <c r="Y653" s="11"/>
      <c r="Z653" t="s">
        <v>918</v>
      </c>
      <c r="AA653" t="s">
        <v>904</v>
      </c>
      <c r="AB653" s="2" t="s">
        <v>922</v>
      </c>
      <c r="AC653" s="10" t="s">
        <v>998</v>
      </c>
      <c r="AD653" s="10" t="s">
        <v>999</v>
      </c>
      <c r="AE653" s="11" t="str">
        <f>SUBSTITUTE(SUBSTITUTE(PROPERTIES[[#This Row],[PURCHASECOST_VALUE]], "PURCHASECOST_", ""), "_VALUE", "")</f>
        <v>DMU</v>
      </c>
      <c r="AF653" s="10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750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35</v>
      </c>
      <c r="G654" t="s">
        <v>18</v>
      </c>
      <c r="H654">
        <v>1</v>
      </c>
      <c r="I654">
        <v>8</v>
      </c>
      <c r="J654">
        <v>8</v>
      </c>
      <c r="K654" s="2" t="s">
        <v>20</v>
      </c>
      <c r="L654">
        <f>_xlfn.XLOOKUP("LOADINGSPEEDDEF_"&amp;PROPERTIES[[#This Row],[LOADINGSPEED]],LOADINGSPEEDDEF[TYPE],LOADINGSPEEDDEF[SPEED])</f>
        <v>0</v>
      </c>
      <c r="M654" t="s">
        <v>21</v>
      </c>
      <c r="N654">
        <v>1</v>
      </c>
      <c r="O654" s="34">
        <v>0</v>
      </c>
      <c r="P654">
        <v>0</v>
      </c>
      <c r="Q654">
        <v>0</v>
      </c>
      <c r="R654" s="31">
        <v>0</v>
      </c>
      <c r="S654" s="30">
        <f>IFERROR(PROPERTIES[[#This Row],[TE_STARTING_KN]]/(PROPERTIES[[#This Row],[WEIGHT]]*9.81),0)</f>
        <v>0</v>
      </c>
      <c r="T654" s="30">
        <v>0.3</v>
      </c>
      <c r="U654" s="27">
        <f>ROUND(IF(IFERROR(PROPERTIES[[#This Row],[TE_COEFFICIENT_CALC]],0)=0,PROPERTIES[[#This Row],[TE_COEFFICIENT_MANUAL]],PROPERTIES[[#This Row],[TE_COEFFICIENT_CALC]]),3)</f>
        <v>0.3</v>
      </c>
      <c r="V654" s="6">
        <v>60</v>
      </c>
      <c r="W654" s="10">
        <v>0</v>
      </c>
      <c r="X654" s="10">
        <v>0</v>
      </c>
      <c r="Y654" s="11"/>
      <c r="Z654" t="s">
        <v>918</v>
      </c>
      <c r="AA654" t="s">
        <v>904</v>
      </c>
      <c r="AB654" s="2" t="s">
        <v>922</v>
      </c>
      <c r="AC654" s="10" t="s">
        <v>998</v>
      </c>
      <c r="AD654" s="10" t="s">
        <v>999</v>
      </c>
      <c r="AE654" s="11" t="str">
        <f>SUBSTITUTE(SUBSTITUTE(PROPERTIES[[#This Row],[PURCHASECOST_VALUE]], "PURCHASECOST_", ""), "_VALUE", "")</f>
        <v>DMU</v>
      </c>
      <c r="AF654" s="10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752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35</v>
      </c>
      <c r="G655" t="s">
        <v>603</v>
      </c>
      <c r="H655">
        <v>20</v>
      </c>
      <c r="I655">
        <v>4</v>
      </c>
      <c r="J655">
        <v>4</v>
      </c>
      <c r="K655" s="2" t="s">
        <v>33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4">
        <v>5</v>
      </c>
      <c r="P655">
        <v>0</v>
      </c>
      <c r="Q655">
        <v>55</v>
      </c>
      <c r="R655" s="31">
        <v>0</v>
      </c>
      <c r="S655" s="30">
        <f>IFERROR(PROPERTIES[[#This Row],[TE_STARTING_KN]]/(PROPERTIES[[#This Row],[WEIGHT]]*9.81),0)</f>
        <v>0</v>
      </c>
      <c r="T655" s="30">
        <v>0.3</v>
      </c>
      <c r="U655" s="27">
        <f>ROUND(IF(IFERROR(PROPERTIES[[#This Row],[TE_COEFFICIENT_CALC]],0)=0,PROPERTIES[[#This Row],[TE_COEFFICIENT_MANUAL]],PROPERTIES[[#This Row],[TE_COEFFICIENT_CALC]]),3)</f>
        <v>0.3</v>
      </c>
      <c r="V655" s="6">
        <v>25</v>
      </c>
      <c r="W655" s="10">
        <v>0</v>
      </c>
      <c r="X655" s="10">
        <v>0</v>
      </c>
      <c r="Y655" s="11"/>
      <c r="Z655" t="s">
        <v>918</v>
      </c>
      <c r="AA655" t="s">
        <v>904</v>
      </c>
      <c r="AB655" s="2" t="s">
        <v>922</v>
      </c>
      <c r="AC655" s="10" t="s">
        <v>1008</v>
      </c>
      <c r="AD655" s="10" t="s">
        <v>1009</v>
      </c>
      <c r="AE655" s="11" t="str">
        <f>SUBSTITUTE(SUBSTITUTE(PROPERTIES[[#This Row],[PURCHASECOST_VALUE]], "PURCHASECOST_", ""), "_VALUE", "")</f>
        <v>WAGON</v>
      </c>
      <c r="AF655" s="10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55" s="2" t="b">
        <v>0</v>
      </c>
      <c r="AY655"/>
      <c r="AZ655"/>
      <c r="BA655"/>
    </row>
    <row r="656" spans="1:53">
      <c r="A656" s="2" t="s">
        <v>753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35</v>
      </c>
      <c r="G656" t="s">
        <v>599</v>
      </c>
      <c r="H656">
        <v>20</v>
      </c>
      <c r="I656">
        <v>4</v>
      </c>
      <c r="J656">
        <v>4</v>
      </c>
      <c r="K656" s="2" t="s">
        <v>33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4">
        <v>6</v>
      </c>
      <c r="P656">
        <v>0</v>
      </c>
      <c r="Q656">
        <v>55</v>
      </c>
      <c r="R656" s="31">
        <v>0</v>
      </c>
      <c r="S656" s="30">
        <f>IFERROR(PROPERTIES[[#This Row],[TE_STARTING_KN]]/(PROPERTIES[[#This Row],[WEIGHT]]*9.81),0)</f>
        <v>0</v>
      </c>
      <c r="T656" s="30">
        <v>0.3</v>
      </c>
      <c r="U656" s="27">
        <f>ROUND(IF(IFERROR(PROPERTIES[[#This Row],[TE_COEFFICIENT_CALC]],0)=0,PROPERTIES[[#This Row],[TE_COEFFICIENT_MANUAL]],PROPERTIES[[#This Row],[TE_COEFFICIENT_CALC]]),3)</f>
        <v>0.3</v>
      </c>
      <c r="V656" s="6">
        <v>25</v>
      </c>
      <c r="W656" s="10">
        <v>0</v>
      </c>
      <c r="X656" s="10">
        <v>0</v>
      </c>
      <c r="Y656" s="11"/>
      <c r="Z656" t="s">
        <v>918</v>
      </c>
      <c r="AA656" t="s">
        <v>904</v>
      </c>
      <c r="AB656" s="2" t="s">
        <v>922</v>
      </c>
      <c r="AC656" s="10" t="s">
        <v>1008</v>
      </c>
      <c r="AD656" s="10" t="s">
        <v>1009</v>
      </c>
      <c r="AE656" s="11" t="str">
        <f>SUBSTITUTE(SUBSTITUTE(PROPERTIES[[#This Row],[PURCHASECOST_VALUE]], "PURCHASECOST_", ""), "_VALUE", "")</f>
        <v>WAGON</v>
      </c>
      <c r="AF656" s="10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56" s="2" t="b">
        <v>0</v>
      </c>
      <c r="AY656"/>
      <c r="AZ656"/>
      <c r="BA656"/>
    </row>
    <row r="657" spans="1:53">
      <c r="A657" s="2" t="s">
        <v>754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35</v>
      </c>
      <c r="G657" t="s">
        <v>609</v>
      </c>
      <c r="H657">
        <v>10</v>
      </c>
      <c r="I657">
        <v>4</v>
      </c>
      <c r="J657">
        <v>4</v>
      </c>
      <c r="K657" s="2" t="s">
        <v>33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4">
        <v>7</v>
      </c>
      <c r="P657">
        <v>0</v>
      </c>
      <c r="Q657">
        <v>55</v>
      </c>
      <c r="R657" s="31">
        <v>0</v>
      </c>
      <c r="S657" s="30">
        <f>IFERROR(PROPERTIES[[#This Row],[TE_STARTING_KN]]/(PROPERTIES[[#This Row],[WEIGHT]]*9.81),0)</f>
        <v>0</v>
      </c>
      <c r="T657" s="30">
        <v>0.3</v>
      </c>
      <c r="U657" s="27">
        <f>ROUND(IF(IFERROR(PROPERTIES[[#This Row],[TE_COEFFICIENT_CALC]],0)=0,PROPERTIES[[#This Row],[TE_COEFFICIENT_MANUAL]],PROPERTIES[[#This Row],[TE_COEFFICIENT_CALC]]),3)</f>
        <v>0.3</v>
      </c>
      <c r="V657" s="6">
        <v>25</v>
      </c>
      <c r="W657" s="10">
        <v>0</v>
      </c>
      <c r="X657" s="10">
        <v>0</v>
      </c>
      <c r="Y657" s="11"/>
      <c r="Z657" t="s">
        <v>918</v>
      </c>
      <c r="AA657" t="s">
        <v>904</v>
      </c>
      <c r="AB657" s="2" t="s">
        <v>922</v>
      </c>
      <c r="AC657" s="10" t="s">
        <v>1008</v>
      </c>
      <c r="AD657" s="10" t="s">
        <v>1009</v>
      </c>
      <c r="AE657" s="11" t="str">
        <f>SUBSTITUTE(SUBSTITUTE(PROPERTIES[[#This Row],[PURCHASECOST_VALUE]], "PURCHASECOST_", ""), "_VALUE", "")</f>
        <v>WAGON</v>
      </c>
      <c r="AF657" s="10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57" s="2" t="b">
        <v>0</v>
      </c>
      <c r="AY657"/>
      <c r="AZ657"/>
      <c r="BA657"/>
    </row>
    <row r="658" spans="1:53">
      <c r="A658" s="2" t="s">
        <v>755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35</v>
      </c>
      <c r="G658" t="s">
        <v>672</v>
      </c>
      <c r="H658">
        <v>18</v>
      </c>
      <c r="I658">
        <v>4</v>
      </c>
      <c r="J658">
        <v>4</v>
      </c>
      <c r="K658" s="2" t="s">
        <v>33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4">
        <v>6</v>
      </c>
      <c r="P658">
        <v>0</v>
      </c>
      <c r="Q658">
        <v>55</v>
      </c>
      <c r="R658" s="31">
        <v>0</v>
      </c>
      <c r="S658" s="30">
        <f>IFERROR(PROPERTIES[[#This Row],[TE_STARTING_KN]]/(PROPERTIES[[#This Row],[WEIGHT]]*9.81),0)</f>
        <v>0</v>
      </c>
      <c r="T658" s="30">
        <v>0.3</v>
      </c>
      <c r="U658" s="27">
        <f>ROUND(IF(IFERROR(PROPERTIES[[#This Row],[TE_COEFFICIENT_CALC]],0)=0,PROPERTIES[[#This Row],[TE_COEFFICIENT_MANUAL]],PROPERTIES[[#This Row],[TE_COEFFICIENT_CALC]]),3)</f>
        <v>0.3</v>
      </c>
      <c r="V658" s="6">
        <v>25</v>
      </c>
      <c r="W658" s="10">
        <v>0</v>
      </c>
      <c r="X658" s="10">
        <v>0</v>
      </c>
      <c r="Y658" s="11"/>
      <c r="Z658" t="s">
        <v>918</v>
      </c>
      <c r="AA658" t="s">
        <v>904</v>
      </c>
      <c r="AB658" s="2" t="s">
        <v>922</v>
      </c>
      <c r="AC658" s="10" t="s">
        <v>1008</v>
      </c>
      <c r="AD658" s="10" t="s">
        <v>1009</v>
      </c>
      <c r="AE658" s="11" t="str">
        <f>SUBSTITUTE(SUBSTITUTE(PROPERTIES[[#This Row],[PURCHASECOST_VALUE]], "PURCHASECOST_", ""), "_VALUE", "")</f>
        <v>WAGON</v>
      </c>
      <c r="AF658" s="10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58" s="2" t="b">
        <v>0</v>
      </c>
      <c r="AY658"/>
      <c r="AZ658"/>
      <c r="BA658"/>
    </row>
    <row r="659" spans="1:53">
      <c r="A659" s="2" t="s">
        <v>827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35</v>
      </c>
      <c r="G659" t="s">
        <v>603</v>
      </c>
      <c r="H659">
        <v>30</v>
      </c>
      <c r="I659">
        <v>5</v>
      </c>
      <c r="J659">
        <v>5</v>
      </c>
      <c r="K659" s="2" t="s">
        <v>33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4">
        <v>11</v>
      </c>
      <c r="P659">
        <v>0</v>
      </c>
      <c r="Q659">
        <v>70</v>
      </c>
      <c r="R659" s="31">
        <v>0</v>
      </c>
      <c r="S659" s="30">
        <f>IFERROR(PROPERTIES[[#This Row],[TE_STARTING_KN]]/(PROPERTIES[[#This Row],[WEIGHT]]*9.81),0)</f>
        <v>0</v>
      </c>
      <c r="T659" s="30">
        <v>0.3</v>
      </c>
      <c r="U659" s="27">
        <f>ROUND(IF(IFERROR(PROPERTIES[[#This Row],[TE_COEFFICIENT_CALC]],0)=0,PROPERTIES[[#This Row],[TE_COEFFICIENT_MANUAL]],PROPERTIES[[#This Row],[TE_COEFFICIENT_CALC]]),3)</f>
        <v>0.3</v>
      </c>
      <c r="V659" s="6">
        <v>25</v>
      </c>
      <c r="W659" s="10">
        <v>0</v>
      </c>
      <c r="X659" s="10">
        <v>0</v>
      </c>
      <c r="Y659" s="11"/>
      <c r="Z659" t="s">
        <v>918</v>
      </c>
      <c r="AA659" t="s">
        <v>904</v>
      </c>
      <c r="AB659" s="2" t="s">
        <v>922</v>
      </c>
      <c r="AC659" s="10" t="s">
        <v>1008</v>
      </c>
      <c r="AD659" s="10" t="s">
        <v>1009</v>
      </c>
      <c r="AE659" s="11" t="str">
        <f>SUBSTITUTE(SUBSTITUTE(PROPERTIES[[#This Row],[PURCHASECOST_VALUE]], "PURCHASECOST_", ""), "_VALUE", "")</f>
        <v>WAGON</v>
      </c>
      <c r="AF659" s="10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59" s="2" t="b">
        <v>0</v>
      </c>
      <c r="AY659"/>
      <c r="AZ659"/>
      <c r="BA659"/>
    </row>
    <row r="660" spans="1:53">
      <c r="A660" s="2" t="s">
        <v>828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35</v>
      </c>
      <c r="G660" t="s">
        <v>599</v>
      </c>
      <c r="H660">
        <v>25</v>
      </c>
      <c r="I660">
        <v>5</v>
      </c>
      <c r="J660">
        <v>5</v>
      </c>
      <c r="K660" s="2" t="s">
        <v>33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4">
        <v>12</v>
      </c>
      <c r="P660">
        <v>0</v>
      </c>
      <c r="Q660">
        <v>90</v>
      </c>
      <c r="R660" s="31">
        <v>0</v>
      </c>
      <c r="S660" s="30">
        <f>IFERROR(PROPERTIES[[#This Row],[TE_STARTING_KN]]/(PROPERTIES[[#This Row],[WEIGHT]]*9.81),0)</f>
        <v>0</v>
      </c>
      <c r="T660" s="30">
        <v>0.3</v>
      </c>
      <c r="U660" s="27">
        <f>ROUND(IF(IFERROR(PROPERTIES[[#This Row],[TE_COEFFICIENT_CALC]],0)=0,PROPERTIES[[#This Row],[TE_COEFFICIENT_MANUAL]],PROPERTIES[[#This Row],[TE_COEFFICIENT_CALC]]),3)</f>
        <v>0.3</v>
      </c>
      <c r="V660" s="6">
        <v>25</v>
      </c>
      <c r="W660" s="10">
        <v>0</v>
      </c>
      <c r="X660" s="10">
        <v>0</v>
      </c>
      <c r="Y660" s="11"/>
      <c r="Z660" t="s">
        <v>915</v>
      </c>
      <c r="AA660" t="s">
        <v>904</v>
      </c>
      <c r="AB660" s="2" t="s">
        <v>922</v>
      </c>
      <c r="AC660" s="10" t="s">
        <v>1008</v>
      </c>
      <c r="AD660" s="10" t="s">
        <v>1009</v>
      </c>
      <c r="AE660" s="11" t="str">
        <f>SUBSTITUTE(SUBSTITUTE(PROPERTIES[[#This Row],[PURCHASECOST_VALUE]], "PURCHASECOST_", ""), "_VALUE", "")</f>
        <v>WAGON</v>
      </c>
      <c r="AF660" s="10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0" s="2" t="b">
        <v>0</v>
      </c>
      <c r="AY660"/>
      <c r="AZ660"/>
      <c r="BA660"/>
    </row>
    <row r="661" spans="1:53">
      <c r="A661" s="2" t="s">
        <v>829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35</v>
      </c>
      <c r="G661" t="s">
        <v>599</v>
      </c>
      <c r="H661">
        <v>25</v>
      </c>
      <c r="I661">
        <v>5</v>
      </c>
      <c r="J661">
        <v>5</v>
      </c>
      <c r="K661" s="2" t="s">
        <v>33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4">
        <v>12</v>
      </c>
      <c r="P661">
        <v>0</v>
      </c>
      <c r="Q661">
        <v>90</v>
      </c>
      <c r="R661" s="31">
        <v>0</v>
      </c>
      <c r="S661" s="30">
        <f>IFERROR(PROPERTIES[[#This Row],[TE_STARTING_KN]]/(PROPERTIES[[#This Row],[WEIGHT]]*9.81),0)</f>
        <v>0</v>
      </c>
      <c r="T661" s="30">
        <v>0.3</v>
      </c>
      <c r="U661" s="27">
        <f>ROUND(IF(IFERROR(PROPERTIES[[#This Row],[TE_COEFFICIENT_CALC]],0)=0,PROPERTIES[[#This Row],[TE_COEFFICIENT_MANUAL]],PROPERTIES[[#This Row],[TE_COEFFICIENT_CALC]]),3)</f>
        <v>0.3</v>
      </c>
      <c r="V661" s="6">
        <v>25</v>
      </c>
      <c r="W661" s="10">
        <v>0</v>
      </c>
      <c r="X661" s="10">
        <v>0</v>
      </c>
      <c r="Y661" s="11"/>
      <c r="Z661" t="s">
        <v>916</v>
      </c>
      <c r="AA661" t="s">
        <v>904</v>
      </c>
      <c r="AB661" s="2" t="s">
        <v>922</v>
      </c>
      <c r="AC661" s="10" t="s">
        <v>1008</v>
      </c>
      <c r="AD661" s="10" t="s">
        <v>1009</v>
      </c>
      <c r="AE661" s="11" t="str">
        <f>SUBSTITUTE(SUBSTITUTE(PROPERTIES[[#This Row],[PURCHASECOST_VALUE]], "PURCHASECOST_", ""), "_VALUE", "")</f>
        <v>WAGON</v>
      </c>
      <c r="AF661" s="10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1" s="2" t="b">
        <v>0</v>
      </c>
      <c r="AY661"/>
      <c r="AZ661"/>
      <c r="BA661"/>
    </row>
    <row r="662" spans="1:53">
      <c r="A662" s="2" t="s">
        <v>830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35</v>
      </c>
      <c r="G662" t="s">
        <v>609</v>
      </c>
      <c r="H662">
        <v>20</v>
      </c>
      <c r="I662">
        <v>5</v>
      </c>
      <c r="J662">
        <v>5</v>
      </c>
      <c r="K662" s="2" t="s">
        <v>33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4">
        <v>14</v>
      </c>
      <c r="P662">
        <v>0</v>
      </c>
      <c r="Q662">
        <v>70</v>
      </c>
      <c r="R662" s="31">
        <v>0</v>
      </c>
      <c r="S662" s="30">
        <f>IFERROR(PROPERTIES[[#This Row],[TE_STARTING_KN]]/(PROPERTIES[[#This Row],[WEIGHT]]*9.81),0)</f>
        <v>0</v>
      </c>
      <c r="T662" s="30">
        <v>0.3</v>
      </c>
      <c r="U662" s="27">
        <f>ROUND(IF(IFERROR(PROPERTIES[[#This Row],[TE_COEFFICIENT_CALC]],0)=0,PROPERTIES[[#This Row],[TE_COEFFICIENT_MANUAL]],PROPERTIES[[#This Row],[TE_COEFFICIENT_CALC]]),3)</f>
        <v>0.3</v>
      </c>
      <c r="V662" s="6">
        <v>25</v>
      </c>
      <c r="W662" s="10">
        <v>0</v>
      </c>
      <c r="X662" s="10">
        <v>0</v>
      </c>
      <c r="Y662" s="11"/>
      <c r="Z662" t="s">
        <v>918</v>
      </c>
      <c r="AA662" t="s">
        <v>904</v>
      </c>
      <c r="AB662" s="2" t="s">
        <v>922</v>
      </c>
      <c r="AC662" s="10" t="s">
        <v>1008</v>
      </c>
      <c r="AD662" s="10" t="s">
        <v>1009</v>
      </c>
      <c r="AE662" s="11" t="str">
        <f>SUBSTITUTE(SUBSTITUTE(PROPERTIES[[#This Row],[PURCHASECOST_VALUE]], "PURCHASECOST_", ""), "_VALUE", "")</f>
        <v>WAGON</v>
      </c>
      <c r="AF662" s="10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2" s="2" t="b">
        <v>0</v>
      </c>
      <c r="AY662"/>
      <c r="AZ662"/>
      <c r="BA662"/>
    </row>
    <row r="663" spans="1:53">
      <c r="A663" s="2" t="s">
        <v>831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35</v>
      </c>
      <c r="G663" t="s">
        <v>672</v>
      </c>
      <c r="H663">
        <v>26</v>
      </c>
      <c r="I663">
        <v>5</v>
      </c>
      <c r="J663">
        <v>5</v>
      </c>
      <c r="K663" s="2" t="s">
        <v>33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4">
        <v>11</v>
      </c>
      <c r="P663">
        <v>0</v>
      </c>
      <c r="Q663">
        <v>70</v>
      </c>
      <c r="R663" s="31">
        <v>0</v>
      </c>
      <c r="S663" s="30">
        <f>IFERROR(PROPERTIES[[#This Row],[TE_STARTING_KN]]/(PROPERTIES[[#This Row],[WEIGHT]]*9.81),0)</f>
        <v>0</v>
      </c>
      <c r="T663" s="30">
        <v>0.3</v>
      </c>
      <c r="U663" s="27">
        <f>ROUND(IF(IFERROR(PROPERTIES[[#This Row],[TE_COEFFICIENT_CALC]],0)=0,PROPERTIES[[#This Row],[TE_COEFFICIENT_MANUAL]],PROPERTIES[[#This Row],[TE_COEFFICIENT_CALC]]),3)</f>
        <v>0.3</v>
      </c>
      <c r="V663" s="6">
        <v>25</v>
      </c>
      <c r="W663" s="10">
        <v>0</v>
      </c>
      <c r="X663" s="10">
        <v>0</v>
      </c>
      <c r="Y663" s="11"/>
      <c r="Z663" t="s">
        <v>918</v>
      </c>
      <c r="AA663" t="s">
        <v>904</v>
      </c>
      <c r="AB663" s="2" t="s">
        <v>922</v>
      </c>
      <c r="AC663" s="10" t="s">
        <v>1008</v>
      </c>
      <c r="AD663" s="10" t="s">
        <v>1009</v>
      </c>
      <c r="AE663" s="11" t="str">
        <f>SUBSTITUTE(SUBSTITUTE(PROPERTIES[[#This Row],[PURCHASECOST_VALUE]], "PURCHASECOST_", ""), "_VALUE", "")</f>
        <v>WAGON</v>
      </c>
      <c r="AF663" s="10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3" s="2" t="b">
        <v>0</v>
      </c>
      <c r="AY663"/>
      <c r="AZ663"/>
      <c r="BA663"/>
    </row>
    <row r="664" spans="1:53">
      <c r="A664" s="2" t="s">
        <v>832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35</v>
      </c>
      <c r="G664" t="s">
        <v>607</v>
      </c>
      <c r="H664">
        <v>25</v>
      </c>
      <c r="I664">
        <v>5</v>
      </c>
      <c r="J664">
        <v>5</v>
      </c>
      <c r="K664" s="2" t="s">
        <v>33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4">
        <v>14</v>
      </c>
      <c r="P664">
        <v>0</v>
      </c>
      <c r="Q664">
        <v>70</v>
      </c>
      <c r="R664" s="31">
        <v>0</v>
      </c>
      <c r="S664" s="30">
        <f>IFERROR(PROPERTIES[[#This Row],[TE_STARTING_KN]]/(PROPERTIES[[#This Row],[WEIGHT]]*9.81),0)</f>
        <v>0</v>
      </c>
      <c r="T664" s="30">
        <v>0.3</v>
      </c>
      <c r="U664" s="27">
        <f>ROUND(IF(IFERROR(PROPERTIES[[#This Row],[TE_COEFFICIENT_CALC]],0)=0,PROPERTIES[[#This Row],[TE_COEFFICIENT_MANUAL]],PROPERTIES[[#This Row],[TE_COEFFICIENT_CALC]]),3)</f>
        <v>0.3</v>
      </c>
      <c r="V664" s="6">
        <v>25</v>
      </c>
      <c r="W664" s="10">
        <v>0</v>
      </c>
      <c r="X664" s="10">
        <v>0</v>
      </c>
      <c r="Y664" s="11"/>
      <c r="Z664" t="s">
        <v>918</v>
      </c>
      <c r="AA664" t="s">
        <v>904</v>
      </c>
      <c r="AB664" s="2" t="s">
        <v>922</v>
      </c>
      <c r="AC664" s="10" t="s">
        <v>1008</v>
      </c>
      <c r="AD664" s="10" t="s">
        <v>1009</v>
      </c>
      <c r="AE664" s="11" t="str">
        <f>SUBSTITUTE(SUBSTITUTE(PROPERTIES[[#This Row],[PURCHASECOST_VALUE]], "PURCHASECOST_", ""), "_VALUE", "")</f>
        <v>WAGON</v>
      </c>
      <c r="AF664" s="10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4" s="2" t="b">
        <v>0</v>
      </c>
      <c r="AY664"/>
      <c r="AZ664"/>
      <c r="BA664"/>
    </row>
    <row r="665" spans="1:53">
      <c r="A665" s="2" t="s">
        <v>833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35</v>
      </c>
      <c r="G665" t="s">
        <v>606</v>
      </c>
      <c r="H665">
        <v>30</v>
      </c>
      <c r="I665">
        <v>5</v>
      </c>
      <c r="J665">
        <v>5</v>
      </c>
      <c r="K665" s="2" t="s">
        <v>33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4">
        <v>12</v>
      </c>
      <c r="P665">
        <v>0</v>
      </c>
      <c r="Q665">
        <v>70</v>
      </c>
      <c r="R665" s="31">
        <v>0</v>
      </c>
      <c r="S665" s="30">
        <f>IFERROR(PROPERTIES[[#This Row],[TE_STARTING_KN]]/(PROPERTIES[[#This Row],[WEIGHT]]*9.81),0)</f>
        <v>0</v>
      </c>
      <c r="T665" s="30">
        <v>0.3</v>
      </c>
      <c r="U665" s="27">
        <f>ROUND(IF(IFERROR(PROPERTIES[[#This Row],[TE_COEFFICIENT_CALC]],0)=0,PROPERTIES[[#This Row],[TE_COEFFICIENT_MANUAL]],PROPERTIES[[#This Row],[TE_COEFFICIENT_CALC]]),3)</f>
        <v>0.3</v>
      </c>
      <c r="V665" s="6">
        <v>25</v>
      </c>
      <c r="W665" s="10">
        <v>0</v>
      </c>
      <c r="X665" s="10">
        <v>0</v>
      </c>
      <c r="Y665" s="11"/>
      <c r="Z665" t="s">
        <v>918</v>
      </c>
      <c r="AA665" t="s">
        <v>904</v>
      </c>
      <c r="AB665" s="2" t="s">
        <v>922</v>
      </c>
      <c r="AC665" s="10" t="s">
        <v>1008</v>
      </c>
      <c r="AD665" s="10" t="s">
        <v>1009</v>
      </c>
      <c r="AE665" s="11" t="str">
        <f>SUBSTITUTE(SUBSTITUTE(PROPERTIES[[#This Row],[PURCHASECOST_VALUE]], "PURCHASECOST_", ""), "_VALUE", "")</f>
        <v>WAGON</v>
      </c>
      <c r="AF665" s="10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5" s="2" t="b">
        <v>0</v>
      </c>
      <c r="AY665"/>
      <c r="AZ665"/>
      <c r="BA665"/>
    </row>
    <row r="666" spans="1:53">
      <c r="A666" s="2" t="s">
        <v>834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35</v>
      </c>
      <c r="G666" t="s">
        <v>603</v>
      </c>
      <c r="H666">
        <v>40</v>
      </c>
      <c r="I666">
        <v>6</v>
      </c>
      <c r="J666">
        <v>6</v>
      </c>
      <c r="K666" s="2" t="s">
        <v>33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4">
        <v>21</v>
      </c>
      <c r="P666">
        <v>0</v>
      </c>
      <c r="Q666">
        <v>80</v>
      </c>
      <c r="R666" s="31">
        <v>0</v>
      </c>
      <c r="S666" s="30">
        <f>IFERROR(PROPERTIES[[#This Row],[TE_STARTING_KN]]/(PROPERTIES[[#This Row],[WEIGHT]]*9.81),0)</f>
        <v>0</v>
      </c>
      <c r="T666" s="30">
        <v>0.3</v>
      </c>
      <c r="U666" s="27">
        <f>ROUND(IF(IFERROR(PROPERTIES[[#This Row],[TE_COEFFICIENT_CALC]],0)=0,PROPERTIES[[#This Row],[TE_COEFFICIENT_MANUAL]],PROPERTIES[[#This Row],[TE_COEFFICIENT_CALC]]),3)</f>
        <v>0.3</v>
      </c>
      <c r="V666" s="6">
        <v>25</v>
      </c>
      <c r="W666" s="10">
        <v>0</v>
      </c>
      <c r="X666" s="10">
        <v>0</v>
      </c>
      <c r="Y666" s="11"/>
      <c r="Z666" t="s">
        <v>918</v>
      </c>
      <c r="AA666" t="s">
        <v>904</v>
      </c>
      <c r="AB666" s="2" t="s">
        <v>922</v>
      </c>
      <c r="AC666" s="10" t="s">
        <v>1008</v>
      </c>
      <c r="AD666" s="10" t="s">
        <v>1009</v>
      </c>
      <c r="AE666" s="11" t="str">
        <f>SUBSTITUTE(SUBSTITUTE(PROPERTIES[[#This Row],[PURCHASECOST_VALUE]], "PURCHASECOST_", ""), "_VALUE", "")</f>
        <v>WAGON</v>
      </c>
      <c r="AF666" s="10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6" s="2" t="b">
        <v>0</v>
      </c>
      <c r="AY666"/>
      <c r="AZ666"/>
      <c r="BA666"/>
    </row>
    <row r="667" spans="1:53">
      <c r="A667" s="2" t="s">
        <v>835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35</v>
      </c>
      <c r="G667" t="s">
        <v>599</v>
      </c>
      <c r="H667">
        <v>40</v>
      </c>
      <c r="I667">
        <v>6</v>
      </c>
      <c r="J667">
        <v>6</v>
      </c>
      <c r="K667" s="2" t="s">
        <v>33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4">
        <v>23</v>
      </c>
      <c r="P667">
        <v>0</v>
      </c>
      <c r="Q667">
        <v>100</v>
      </c>
      <c r="R667" s="31">
        <v>0</v>
      </c>
      <c r="S667" s="30">
        <f>IFERROR(PROPERTIES[[#This Row],[TE_STARTING_KN]]/(PROPERTIES[[#This Row],[WEIGHT]]*9.81),0)</f>
        <v>0</v>
      </c>
      <c r="T667" s="30">
        <v>0.3</v>
      </c>
      <c r="U667" s="27">
        <f>ROUND(IF(IFERROR(PROPERTIES[[#This Row],[TE_COEFFICIENT_CALC]],0)=0,PROPERTIES[[#This Row],[TE_COEFFICIENT_MANUAL]],PROPERTIES[[#This Row],[TE_COEFFICIENT_CALC]]),3)</f>
        <v>0.3</v>
      </c>
      <c r="V667" s="6">
        <v>25</v>
      </c>
      <c r="W667" s="10">
        <v>0</v>
      </c>
      <c r="X667" s="10">
        <v>0</v>
      </c>
      <c r="Y667" s="11"/>
      <c r="Z667" t="s">
        <v>915</v>
      </c>
      <c r="AA667" t="s">
        <v>904</v>
      </c>
      <c r="AB667" s="2" t="s">
        <v>922</v>
      </c>
      <c r="AC667" s="10" t="s">
        <v>1008</v>
      </c>
      <c r="AD667" s="10" t="s">
        <v>1009</v>
      </c>
      <c r="AE667" s="11" t="str">
        <f>SUBSTITUTE(SUBSTITUTE(PROPERTIES[[#This Row],[PURCHASECOST_VALUE]], "PURCHASECOST_", ""), "_VALUE", "")</f>
        <v>WAGON</v>
      </c>
      <c r="AF667" s="10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7" s="2" t="b">
        <v>0</v>
      </c>
      <c r="AY667"/>
      <c r="AZ667"/>
      <c r="BA667"/>
    </row>
    <row r="668" spans="1:53">
      <c r="A668" s="2" t="s">
        <v>836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35</v>
      </c>
      <c r="G668" t="s">
        <v>599</v>
      </c>
      <c r="H668">
        <v>40</v>
      </c>
      <c r="I668">
        <v>6</v>
      </c>
      <c r="J668">
        <v>6</v>
      </c>
      <c r="K668" s="2" t="s">
        <v>33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4">
        <v>23</v>
      </c>
      <c r="P668">
        <v>0</v>
      </c>
      <c r="Q668">
        <v>100</v>
      </c>
      <c r="R668" s="31">
        <v>0</v>
      </c>
      <c r="S668" s="30">
        <f>IFERROR(PROPERTIES[[#This Row],[TE_STARTING_KN]]/(PROPERTIES[[#This Row],[WEIGHT]]*9.81),0)</f>
        <v>0</v>
      </c>
      <c r="T668" s="30">
        <v>0.3</v>
      </c>
      <c r="U668" s="27">
        <f>ROUND(IF(IFERROR(PROPERTIES[[#This Row],[TE_COEFFICIENT_CALC]],0)=0,PROPERTIES[[#This Row],[TE_COEFFICIENT_MANUAL]],PROPERTIES[[#This Row],[TE_COEFFICIENT_CALC]]),3)</f>
        <v>0.3</v>
      </c>
      <c r="V668" s="6">
        <v>25</v>
      </c>
      <c r="W668" s="10">
        <v>0</v>
      </c>
      <c r="X668" s="10">
        <v>0</v>
      </c>
      <c r="Y668" s="11"/>
      <c r="Z668" t="s">
        <v>916</v>
      </c>
      <c r="AA668" t="s">
        <v>904</v>
      </c>
      <c r="AB668" s="2" t="s">
        <v>922</v>
      </c>
      <c r="AC668" s="10" t="s">
        <v>1008</v>
      </c>
      <c r="AD668" s="10" t="s">
        <v>1009</v>
      </c>
      <c r="AE668" s="11" t="str">
        <f>SUBSTITUTE(SUBSTITUTE(PROPERTIES[[#This Row],[PURCHASECOST_VALUE]], "PURCHASECOST_", ""), "_VALUE", "")</f>
        <v>WAGON</v>
      </c>
      <c r="AF668" s="10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8" s="2" t="b">
        <v>0</v>
      </c>
      <c r="AY668"/>
      <c r="AZ668"/>
      <c r="BA668"/>
    </row>
    <row r="669" spans="1:53">
      <c r="A669" s="2" t="s">
        <v>837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35</v>
      </c>
      <c r="G669" t="s">
        <v>609</v>
      </c>
      <c r="H669">
        <v>35</v>
      </c>
      <c r="I669">
        <v>6</v>
      </c>
      <c r="J669">
        <v>6</v>
      </c>
      <c r="K669" s="2" t="s">
        <v>33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4">
        <v>20</v>
      </c>
      <c r="P669">
        <v>0</v>
      </c>
      <c r="Q669">
        <v>80</v>
      </c>
      <c r="R669" s="31">
        <v>0</v>
      </c>
      <c r="S669" s="30">
        <f>IFERROR(PROPERTIES[[#This Row],[TE_STARTING_KN]]/(PROPERTIES[[#This Row],[WEIGHT]]*9.81),0)</f>
        <v>0</v>
      </c>
      <c r="T669" s="30">
        <v>0.3</v>
      </c>
      <c r="U669" s="27">
        <f>ROUND(IF(IFERROR(PROPERTIES[[#This Row],[TE_COEFFICIENT_CALC]],0)=0,PROPERTIES[[#This Row],[TE_COEFFICIENT_MANUAL]],PROPERTIES[[#This Row],[TE_COEFFICIENT_CALC]]),3)</f>
        <v>0.3</v>
      </c>
      <c r="V669" s="6">
        <v>25</v>
      </c>
      <c r="W669" s="10">
        <v>0</v>
      </c>
      <c r="X669" s="10">
        <v>0</v>
      </c>
      <c r="Y669" s="11"/>
      <c r="Z669" t="s">
        <v>918</v>
      </c>
      <c r="AA669" t="s">
        <v>904</v>
      </c>
      <c r="AB669" s="2" t="s">
        <v>922</v>
      </c>
      <c r="AC669" s="10" t="s">
        <v>1008</v>
      </c>
      <c r="AD669" s="10" t="s">
        <v>1009</v>
      </c>
      <c r="AE669" s="11" t="str">
        <f>SUBSTITUTE(SUBSTITUTE(PROPERTIES[[#This Row],[PURCHASECOST_VALUE]], "PURCHASECOST_", ""), "_VALUE", "")</f>
        <v>WAGON</v>
      </c>
      <c r="AF669" s="10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69" s="2" t="b">
        <v>0</v>
      </c>
      <c r="AY669"/>
      <c r="AZ669"/>
      <c r="BA669"/>
    </row>
    <row r="670" spans="1:53">
      <c r="A670" s="2" t="s">
        <v>838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35</v>
      </c>
      <c r="G670" t="s">
        <v>672</v>
      </c>
      <c r="H670">
        <v>35</v>
      </c>
      <c r="I670">
        <v>6</v>
      </c>
      <c r="J670">
        <v>6</v>
      </c>
      <c r="K670" s="2" t="s">
        <v>33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4">
        <v>22</v>
      </c>
      <c r="P670">
        <v>0</v>
      </c>
      <c r="Q670">
        <v>80</v>
      </c>
      <c r="R670" s="31">
        <v>0</v>
      </c>
      <c r="S670" s="30">
        <f>IFERROR(PROPERTIES[[#This Row],[TE_STARTING_KN]]/(PROPERTIES[[#This Row],[WEIGHT]]*9.81),0)</f>
        <v>0</v>
      </c>
      <c r="T670" s="30">
        <v>0.3</v>
      </c>
      <c r="U670" s="27">
        <f>ROUND(IF(IFERROR(PROPERTIES[[#This Row],[TE_COEFFICIENT_CALC]],0)=0,PROPERTIES[[#This Row],[TE_COEFFICIENT_MANUAL]],PROPERTIES[[#This Row],[TE_COEFFICIENT_CALC]]),3)</f>
        <v>0.3</v>
      </c>
      <c r="V670" s="6">
        <v>25</v>
      </c>
      <c r="W670" s="10">
        <v>0</v>
      </c>
      <c r="X670" s="10">
        <v>0</v>
      </c>
      <c r="Y670" s="11"/>
      <c r="Z670" t="s">
        <v>918</v>
      </c>
      <c r="AA670" t="s">
        <v>904</v>
      </c>
      <c r="AB670" s="2" t="s">
        <v>922</v>
      </c>
      <c r="AC670" s="10" t="s">
        <v>1008</v>
      </c>
      <c r="AD670" s="10" t="s">
        <v>1009</v>
      </c>
      <c r="AE670" s="11" t="str">
        <f>SUBSTITUTE(SUBSTITUTE(PROPERTIES[[#This Row],[PURCHASECOST_VALUE]], "PURCHASECOST_", ""), "_VALUE", "")</f>
        <v>WAGON</v>
      </c>
      <c r="AF670" s="10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70" s="2" t="b">
        <v>0</v>
      </c>
      <c r="AY670"/>
      <c r="AZ670"/>
      <c r="BA670"/>
    </row>
    <row r="671" spans="1:53">
      <c r="A671" s="2" t="s">
        <v>839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35</v>
      </c>
      <c r="G671" t="s">
        <v>607</v>
      </c>
      <c r="H671">
        <v>40</v>
      </c>
      <c r="I671">
        <v>6</v>
      </c>
      <c r="J671">
        <v>6</v>
      </c>
      <c r="K671" s="2" t="s">
        <v>33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4">
        <v>23</v>
      </c>
      <c r="P671">
        <v>0</v>
      </c>
      <c r="Q671">
        <v>80</v>
      </c>
      <c r="R671" s="31">
        <v>0</v>
      </c>
      <c r="S671" s="30">
        <f>IFERROR(PROPERTIES[[#This Row],[TE_STARTING_KN]]/(PROPERTIES[[#This Row],[WEIGHT]]*9.81),0)</f>
        <v>0</v>
      </c>
      <c r="T671" s="30">
        <v>0.3</v>
      </c>
      <c r="U671" s="27">
        <f>ROUND(IF(IFERROR(PROPERTIES[[#This Row],[TE_COEFFICIENT_CALC]],0)=0,PROPERTIES[[#This Row],[TE_COEFFICIENT_MANUAL]],PROPERTIES[[#This Row],[TE_COEFFICIENT_CALC]]),3)</f>
        <v>0.3</v>
      </c>
      <c r="V671" s="6">
        <v>25</v>
      </c>
      <c r="W671" s="10">
        <v>0</v>
      </c>
      <c r="X671" s="10">
        <v>0</v>
      </c>
      <c r="Y671" s="11"/>
      <c r="Z671" t="s">
        <v>915</v>
      </c>
      <c r="AA671" t="s">
        <v>904</v>
      </c>
      <c r="AB671" s="2" t="s">
        <v>922</v>
      </c>
      <c r="AC671" s="10" t="s">
        <v>1008</v>
      </c>
      <c r="AD671" s="10" t="s">
        <v>1009</v>
      </c>
      <c r="AE671" s="11" t="str">
        <f>SUBSTITUTE(SUBSTITUTE(PROPERTIES[[#This Row],[PURCHASECOST_VALUE]], "PURCHASECOST_", ""), "_VALUE", "")</f>
        <v>WAGON</v>
      </c>
      <c r="AF671" s="10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71" s="2" t="b">
        <v>0</v>
      </c>
      <c r="AY671"/>
      <c r="AZ671"/>
      <c r="BA671"/>
    </row>
    <row r="672" spans="1:53">
      <c r="A672" s="2" t="s">
        <v>840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35</v>
      </c>
      <c r="G672" t="s">
        <v>607</v>
      </c>
      <c r="H672">
        <v>40</v>
      </c>
      <c r="I672">
        <v>6</v>
      </c>
      <c r="J672">
        <v>6</v>
      </c>
      <c r="K672" s="2" t="s">
        <v>33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4">
        <v>23</v>
      </c>
      <c r="P672">
        <v>0</v>
      </c>
      <c r="Q672">
        <v>80</v>
      </c>
      <c r="R672" s="31">
        <v>0</v>
      </c>
      <c r="S672" s="30">
        <f>IFERROR(PROPERTIES[[#This Row],[TE_STARTING_KN]]/(PROPERTIES[[#This Row],[WEIGHT]]*9.81),0)</f>
        <v>0</v>
      </c>
      <c r="T672" s="30">
        <v>0.3</v>
      </c>
      <c r="U672" s="27">
        <f>ROUND(IF(IFERROR(PROPERTIES[[#This Row],[TE_COEFFICIENT_CALC]],0)=0,PROPERTIES[[#This Row],[TE_COEFFICIENT_MANUAL]],PROPERTIES[[#This Row],[TE_COEFFICIENT_CALC]]),3)</f>
        <v>0.3</v>
      </c>
      <c r="V672" s="6">
        <v>25</v>
      </c>
      <c r="W672" s="10">
        <v>0</v>
      </c>
      <c r="X672" s="10">
        <v>0</v>
      </c>
      <c r="Y672" s="11"/>
      <c r="Z672" t="s">
        <v>916</v>
      </c>
      <c r="AA672" t="s">
        <v>904</v>
      </c>
      <c r="AB672" s="2" t="s">
        <v>922</v>
      </c>
      <c r="AC672" s="10" t="s">
        <v>1008</v>
      </c>
      <c r="AD672" s="10" t="s">
        <v>1009</v>
      </c>
      <c r="AE672" s="11" t="str">
        <f>SUBSTITUTE(SUBSTITUTE(PROPERTIES[[#This Row],[PURCHASECOST_VALUE]], "PURCHASECOST_", ""), "_VALUE", "")</f>
        <v>WAGON</v>
      </c>
      <c r="AF672" s="10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72" s="2" t="b">
        <v>0</v>
      </c>
      <c r="AY672"/>
      <c r="AZ672"/>
      <c r="BA672"/>
    </row>
    <row r="673" spans="1:53">
      <c r="A673" s="2" t="s">
        <v>841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35</v>
      </c>
      <c r="G673" t="s">
        <v>606</v>
      </c>
      <c r="H673">
        <v>40</v>
      </c>
      <c r="I673">
        <v>6</v>
      </c>
      <c r="J673">
        <v>6</v>
      </c>
      <c r="K673" s="2" t="s">
        <v>33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4">
        <v>26</v>
      </c>
      <c r="P673">
        <v>0</v>
      </c>
      <c r="Q673">
        <v>80</v>
      </c>
      <c r="R673" s="31">
        <v>0</v>
      </c>
      <c r="S673" s="30">
        <f>IFERROR(PROPERTIES[[#This Row],[TE_STARTING_KN]]/(PROPERTIES[[#This Row],[WEIGHT]]*9.81),0)</f>
        <v>0</v>
      </c>
      <c r="T673" s="30">
        <v>0.3</v>
      </c>
      <c r="U673" s="27">
        <f>ROUND(IF(IFERROR(PROPERTIES[[#This Row],[TE_COEFFICIENT_CALC]],0)=0,PROPERTIES[[#This Row],[TE_COEFFICIENT_MANUAL]],PROPERTIES[[#This Row],[TE_COEFFICIENT_CALC]]),3)</f>
        <v>0.3</v>
      </c>
      <c r="V673" s="6">
        <v>25</v>
      </c>
      <c r="W673" s="10">
        <v>0</v>
      </c>
      <c r="X673" s="10">
        <v>0</v>
      </c>
      <c r="Y673" s="11"/>
      <c r="Z673" t="s">
        <v>918</v>
      </c>
      <c r="AA673" t="s">
        <v>904</v>
      </c>
      <c r="AB673" s="2" t="s">
        <v>922</v>
      </c>
      <c r="AC673" s="10" t="s">
        <v>1008</v>
      </c>
      <c r="AD673" s="10" t="s">
        <v>1009</v>
      </c>
      <c r="AE673" s="11" t="str">
        <f>SUBSTITUTE(SUBSTITUTE(PROPERTIES[[#This Row],[PURCHASECOST_VALUE]], "PURCHASECOST_", ""), "_VALUE", "")</f>
        <v>WAGON</v>
      </c>
      <c r="AF673" s="10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73" s="2" t="b">
        <v>0</v>
      </c>
      <c r="AY673"/>
      <c r="AZ673"/>
      <c r="BA673"/>
    </row>
    <row r="674" spans="1:53">
      <c r="A674" s="2" t="s">
        <v>842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35</v>
      </c>
      <c r="G674" t="s">
        <v>603</v>
      </c>
      <c r="H674">
        <v>50</v>
      </c>
      <c r="I674">
        <v>7</v>
      </c>
      <c r="J674">
        <v>7</v>
      </c>
      <c r="K674" s="2" t="s">
        <v>33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4">
        <v>25</v>
      </c>
      <c r="P674">
        <v>0</v>
      </c>
      <c r="Q674">
        <v>100</v>
      </c>
      <c r="R674" s="31">
        <v>0</v>
      </c>
      <c r="S674" s="30">
        <f>IFERROR(PROPERTIES[[#This Row],[TE_STARTING_KN]]/(PROPERTIES[[#This Row],[WEIGHT]]*9.81),0)</f>
        <v>0</v>
      </c>
      <c r="T674" s="30">
        <v>0.3</v>
      </c>
      <c r="U674" s="27">
        <f>ROUND(IF(IFERROR(PROPERTIES[[#This Row],[TE_COEFFICIENT_CALC]],0)=0,PROPERTIES[[#This Row],[TE_COEFFICIENT_MANUAL]],PROPERTIES[[#This Row],[TE_COEFFICIENT_CALC]]),3)</f>
        <v>0.3</v>
      </c>
      <c r="V674" s="6">
        <v>25</v>
      </c>
      <c r="W674" s="10">
        <v>0</v>
      </c>
      <c r="X674" s="10">
        <v>0</v>
      </c>
      <c r="Y674" s="11"/>
      <c r="Z674" t="s">
        <v>918</v>
      </c>
      <c r="AA674" t="s">
        <v>904</v>
      </c>
      <c r="AB674" s="2" t="s">
        <v>922</v>
      </c>
      <c r="AC674" s="10" t="s">
        <v>1008</v>
      </c>
      <c r="AD674" s="10" t="s">
        <v>1009</v>
      </c>
      <c r="AE674" s="11" t="str">
        <f>SUBSTITUTE(SUBSTITUTE(PROPERTIES[[#This Row],[PURCHASECOST_VALUE]], "PURCHASECOST_", ""), "_VALUE", "")</f>
        <v>WAGON</v>
      </c>
      <c r="AF674" s="10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74" s="2" t="b">
        <v>0</v>
      </c>
      <c r="AY674"/>
      <c r="AZ674"/>
      <c r="BA674"/>
    </row>
    <row r="675" spans="1:53">
      <c r="A675" s="2" t="s">
        <v>843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35</v>
      </c>
      <c r="G675" t="s">
        <v>605</v>
      </c>
      <c r="H675">
        <v>70</v>
      </c>
      <c r="I675">
        <v>7</v>
      </c>
      <c r="J675">
        <v>7</v>
      </c>
      <c r="K675" s="2" t="s">
        <v>33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4">
        <v>30</v>
      </c>
      <c r="P675">
        <v>0</v>
      </c>
      <c r="Q675">
        <v>100</v>
      </c>
      <c r="R675" s="31">
        <v>0</v>
      </c>
      <c r="S675" s="30">
        <f>IFERROR(PROPERTIES[[#This Row],[TE_STARTING_KN]]/(PROPERTIES[[#This Row],[WEIGHT]]*9.81),0)</f>
        <v>0</v>
      </c>
      <c r="T675" s="30">
        <v>0.3</v>
      </c>
      <c r="U675" s="27">
        <f>ROUND(IF(IFERROR(PROPERTIES[[#This Row],[TE_COEFFICIENT_CALC]],0)=0,PROPERTIES[[#This Row],[TE_COEFFICIENT_MANUAL]],PROPERTIES[[#This Row],[TE_COEFFICIENT_CALC]]),3)</f>
        <v>0.3</v>
      </c>
      <c r="V675" s="6">
        <v>25</v>
      </c>
      <c r="W675" s="10">
        <v>0</v>
      </c>
      <c r="X675" s="10">
        <v>0</v>
      </c>
      <c r="Y675" s="11"/>
      <c r="Z675" t="s">
        <v>918</v>
      </c>
      <c r="AA675" t="s">
        <v>904</v>
      </c>
      <c r="AB675" s="2" t="s">
        <v>922</v>
      </c>
      <c r="AC675" s="10" t="s">
        <v>1008</v>
      </c>
      <c r="AD675" s="10" t="s">
        <v>1009</v>
      </c>
      <c r="AE675" s="11" t="str">
        <f>SUBSTITUTE(SUBSTITUTE(PROPERTIES[[#This Row],[PURCHASECOST_VALUE]], "PURCHASECOST_", ""), "_VALUE", "")</f>
        <v>WAGON</v>
      </c>
      <c r="AF675" s="10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75" s="2" t="b">
        <v>0</v>
      </c>
      <c r="AY675"/>
      <c r="AZ675"/>
      <c r="BA675"/>
    </row>
    <row r="676" spans="1:53">
      <c r="A676" s="2" t="s">
        <v>844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35</v>
      </c>
      <c r="G676" t="s">
        <v>599</v>
      </c>
      <c r="H676">
        <v>42</v>
      </c>
      <c r="I676">
        <v>7</v>
      </c>
      <c r="J676">
        <v>7</v>
      </c>
      <c r="K676" s="2" t="s">
        <v>33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4">
        <v>30</v>
      </c>
      <c r="P676">
        <v>0</v>
      </c>
      <c r="Q676">
        <v>120</v>
      </c>
      <c r="R676" s="31">
        <v>0</v>
      </c>
      <c r="S676" s="30">
        <f>IFERROR(PROPERTIES[[#This Row],[TE_STARTING_KN]]/(PROPERTIES[[#This Row],[WEIGHT]]*9.81),0)</f>
        <v>0</v>
      </c>
      <c r="T676" s="30">
        <v>0.3</v>
      </c>
      <c r="U676" s="27">
        <f>ROUND(IF(IFERROR(PROPERTIES[[#This Row],[TE_COEFFICIENT_CALC]],0)=0,PROPERTIES[[#This Row],[TE_COEFFICIENT_MANUAL]],PROPERTIES[[#This Row],[TE_COEFFICIENT_CALC]]),3)</f>
        <v>0.3</v>
      </c>
      <c r="V676" s="6">
        <v>25</v>
      </c>
      <c r="W676" s="10">
        <v>0</v>
      </c>
      <c r="X676" s="10">
        <v>0</v>
      </c>
      <c r="Y676" s="11"/>
      <c r="Z676" t="s">
        <v>915</v>
      </c>
      <c r="AA676" t="s">
        <v>904</v>
      </c>
      <c r="AB676" s="2" t="s">
        <v>922</v>
      </c>
      <c r="AC676" s="10" t="s">
        <v>1008</v>
      </c>
      <c r="AD676" s="10" t="s">
        <v>1009</v>
      </c>
      <c r="AE676" s="11" t="str">
        <f>SUBSTITUTE(SUBSTITUTE(PROPERTIES[[#This Row],[PURCHASECOST_VALUE]], "PURCHASECOST_", ""), "_VALUE", "")</f>
        <v>WAGON</v>
      </c>
      <c r="AF676" s="10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76" s="2" t="b">
        <v>0</v>
      </c>
      <c r="AY676"/>
      <c r="AZ676"/>
      <c r="BA676"/>
    </row>
    <row r="677" spans="1:53">
      <c r="A677" s="2" t="s">
        <v>845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35</v>
      </c>
      <c r="G677" t="s">
        <v>599</v>
      </c>
      <c r="H677">
        <v>42</v>
      </c>
      <c r="I677">
        <v>7</v>
      </c>
      <c r="J677">
        <v>7</v>
      </c>
      <c r="K677" s="2" t="s">
        <v>33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4">
        <v>30</v>
      </c>
      <c r="P677">
        <v>0</v>
      </c>
      <c r="Q677">
        <v>120</v>
      </c>
      <c r="R677" s="31">
        <v>0</v>
      </c>
      <c r="S677" s="30">
        <f>IFERROR(PROPERTIES[[#This Row],[TE_STARTING_KN]]/(PROPERTIES[[#This Row],[WEIGHT]]*9.81),0)</f>
        <v>0</v>
      </c>
      <c r="T677" s="30">
        <v>0.3</v>
      </c>
      <c r="U677" s="27">
        <f>ROUND(IF(IFERROR(PROPERTIES[[#This Row],[TE_COEFFICIENT_CALC]],0)=0,PROPERTIES[[#This Row],[TE_COEFFICIENT_MANUAL]],PROPERTIES[[#This Row],[TE_COEFFICIENT_CALC]]),3)</f>
        <v>0.3</v>
      </c>
      <c r="V677" s="6">
        <v>25</v>
      </c>
      <c r="W677" s="10">
        <v>0</v>
      </c>
      <c r="X677" s="10">
        <v>0</v>
      </c>
      <c r="Y677" s="11"/>
      <c r="Z677" t="s">
        <v>916</v>
      </c>
      <c r="AA677" t="s">
        <v>904</v>
      </c>
      <c r="AB677" s="2" t="s">
        <v>922</v>
      </c>
      <c r="AC677" s="10" t="s">
        <v>1008</v>
      </c>
      <c r="AD677" s="10" t="s">
        <v>1009</v>
      </c>
      <c r="AE677" s="11" t="str">
        <f>SUBSTITUTE(SUBSTITUTE(PROPERTIES[[#This Row],[PURCHASECOST_VALUE]], "PURCHASECOST_", ""), "_VALUE", "")</f>
        <v>WAGON</v>
      </c>
      <c r="AF677" s="10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77" s="2" t="b">
        <v>0</v>
      </c>
      <c r="AY677"/>
      <c r="AZ677"/>
      <c r="BA677"/>
    </row>
    <row r="678" spans="1:53">
      <c r="A678" s="2" t="s">
        <v>846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35</v>
      </c>
      <c r="G678" t="s">
        <v>609</v>
      </c>
      <c r="H678">
        <v>80</v>
      </c>
      <c r="I678">
        <v>7</v>
      </c>
      <c r="J678">
        <v>7</v>
      </c>
      <c r="K678" s="2" t="s">
        <v>33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4">
        <v>22</v>
      </c>
      <c r="P678">
        <v>0</v>
      </c>
      <c r="Q678">
        <v>100</v>
      </c>
      <c r="R678" s="31">
        <v>0</v>
      </c>
      <c r="S678" s="30">
        <f>IFERROR(PROPERTIES[[#This Row],[TE_STARTING_KN]]/(PROPERTIES[[#This Row],[WEIGHT]]*9.81),0)</f>
        <v>0</v>
      </c>
      <c r="T678" s="30">
        <v>0.3</v>
      </c>
      <c r="U678" s="27">
        <f>ROUND(IF(IFERROR(PROPERTIES[[#This Row],[TE_COEFFICIENT_CALC]],0)=0,PROPERTIES[[#This Row],[TE_COEFFICIENT_MANUAL]],PROPERTIES[[#This Row],[TE_COEFFICIENT_CALC]]),3)</f>
        <v>0.3</v>
      </c>
      <c r="V678" s="6">
        <v>25</v>
      </c>
      <c r="W678" s="10">
        <v>0</v>
      </c>
      <c r="X678" s="10">
        <v>0</v>
      </c>
      <c r="Y678" s="11"/>
      <c r="Z678" t="s">
        <v>918</v>
      </c>
      <c r="AA678" t="s">
        <v>904</v>
      </c>
      <c r="AB678" s="2" t="s">
        <v>922</v>
      </c>
      <c r="AC678" s="10" t="s">
        <v>1008</v>
      </c>
      <c r="AD678" s="10" t="s">
        <v>1009</v>
      </c>
      <c r="AE678" s="11" t="str">
        <f>SUBSTITUTE(SUBSTITUTE(PROPERTIES[[#This Row],[PURCHASECOST_VALUE]], "PURCHASECOST_", ""), "_VALUE", "")</f>
        <v>WAGON</v>
      </c>
      <c r="AF678" s="10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78" s="2" t="b">
        <v>0</v>
      </c>
      <c r="AY678"/>
      <c r="AZ678"/>
      <c r="BA678"/>
    </row>
    <row r="679" spans="1:53">
      <c r="A679" s="2" t="s">
        <v>847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35</v>
      </c>
      <c r="G679" t="s">
        <v>604</v>
      </c>
      <c r="H679">
        <v>55</v>
      </c>
      <c r="I679">
        <v>7</v>
      </c>
      <c r="J679">
        <v>7</v>
      </c>
      <c r="K679" s="2" t="s">
        <v>33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4">
        <v>22</v>
      </c>
      <c r="P679">
        <v>0</v>
      </c>
      <c r="Q679">
        <v>100</v>
      </c>
      <c r="R679" s="31">
        <v>0</v>
      </c>
      <c r="S679" s="30">
        <f>IFERROR(PROPERTIES[[#This Row],[TE_STARTING_KN]]/(PROPERTIES[[#This Row],[WEIGHT]]*9.81),0)</f>
        <v>0</v>
      </c>
      <c r="T679" s="30">
        <v>0.3</v>
      </c>
      <c r="U679" s="27">
        <f>ROUND(IF(IFERROR(PROPERTIES[[#This Row],[TE_COEFFICIENT_CALC]],0)=0,PROPERTIES[[#This Row],[TE_COEFFICIENT_MANUAL]],PROPERTIES[[#This Row],[TE_COEFFICIENT_CALC]]),3)</f>
        <v>0.3</v>
      </c>
      <c r="V679" s="6">
        <v>25</v>
      </c>
      <c r="W679" s="10">
        <v>0</v>
      </c>
      <c r="X679" s="10">
        <v>0</v>
      </c>
      <c r="Y679" s="11"/>
      <c r="Z679" t="s">
        <v>918</v>
      </c>
      <c r="AA679" t="s">
        <v>904</v>
      </c>
      <c r="AB679" s="2" t="s">
        <v>922</v>
      </c>
      <c r="AC679" s="10" t="s">
        <v>1008</v>
      </c>
      <c r="AD679" s="10" t="s">
        <v>1009</v>
      </c>
      <c r="AE679" s="11" t="str">
        <f>SUBSTITUTE(SUBSTITUTE(PROPERTIES[[#This Row],[PURCHASECOST_VALUE]], "PURCHASECOST_", ""), "_VALUE", "")</f>
        <v>WAGON</v>
      </c>
      <c r="AF679" s="10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79" s="2" t="b">
        <v>0</v>
      </c>
      <c r="AY679"/>
      <c r="AZ679"/>
      <c r="BA679"/>
    </row>
    <row r="680" spans="1:53">
      <c r="A680" s="2" t="s">
        <v>848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35</v>
      </c>
      <c r="G680" t="s">
        <v>607</v>
      </c>
      <c r="H680">
        <v>55</v>
      </c>
      <c r="I680">
        <v>7</v>
      </c>
      <c r="J680">
        <v>7</v>
      </c>
      <c r="K680" s="2" t="s">
        <v>33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4">
        <v>25</v>
      </c>
      <c r="P680">
        <v>0</v>
      </c>
      <c r="Q680">
        <v>100</v>
      </c>
      <c r="R680" s="31">
        <v>0</v>
      </c>
      <c r="S680" s="30">
        <f>IFERROR(PROPERTIES[[#This Row],[TE_STARTING_KN]]/(PROPERTIES[[#This Row],[WEIGHT]]*9.81),0)</f>
        <v>0</v>
      </c>
      <c r="T680" s="30">
        <v>0.3</v>
      </c>
      <c r="U680" s="27">
        <f>ROUND(IF(IFERROR(PROPERTIES[[#This Row],[TE_COEFFICIENT_CALC]],0)=0,PROPERTIES[[#This Row],[TE_COEFFICIENT_MANUAL]],PROPERTIES[[#This Row],[TE_COEFFICIENT_CALC]]),3)</f>
        <v>0.3</v>
      </c>
      <c r="V680" s="6">
        <v>25</v>
      </c>
      <c r="W680" s="10">
        <v>0</v>
      </c>
      <c r="X680" s="10">
        <v>0</v>
      </c>
      <c r="Y680" s="11"/>
      <c r="Z680" t="s">
        <v>915</v>
      </c>
      <c r="AA680" t="s">
        <v>904</v>
      </c>
      <c r="AB680" s="2" t="s">
        <v>922</v>
      </c>
      <c r="AC680" s="10" t="s">
        <v>1008</v>
      </c>
      <c r="AD680" s="10" t="s">
        <v>1009</v>
      </c>
      <c r="AE680" s="11" t="str">
        <f>SUBSTITUTE(SUBSTITUTE(PROPERTIES[[#This Row],[PURCHASECOST_VALUE]], "PURCHASECOST_", ""), "_VALUE", "")</f>
        <v>WAGON</v>
      </c>
      <c r="AF680" s="10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80" s="2" t="b">
        <v>0</v>
      </c>
      <c r="AY680"/>
      <c r="AZ680"/>
      <c r="BA680"/>
    </row>
    <row r="681" spans="1:53">
      <c r="A681" s="2" t="s">
        <v>849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35</v>
      </c>
      <c r="G681" t="s">
        <v>607</v>
      </c>
      <c r="H681">
        <v>55</v>
      </c>
      <c r="I681">
        <v>7</v>
      </c>
      <c r="J681">
        <v>7</v>
      </c>
      <c r="K681" s="2" t="s">
        <v>33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4">
        <v>25</v>
      </c>
      <c r="P681">
        <v>0</v>
      </c>
      <c r="Q681">
        <v>100</v>
      </c>
      <c r="R681" s="31">
        <v>0</v>
      </c>
      <c r="S681" s="30">
        <f>IFERROR(PROPERTIES[[#This Row],[TE_STARTING_KN]]/(PROPERTIES[[#This Row],[WEIGHT]]*9.81),0)</f>
        <v>0</v>
      </c>
      <c r="T681" s="30">
        <v>0.3</v>
      </c>
      <c r="U681" s="27">
        <f>ROUND(IF(IFERROR(PROPERTIES[[#This Row],[TE_COEFFICIENT_CALC]],0)=0,PROPERTIES[[#This Row],[TE_COEFFICIENT_MANUAL]],PROPERTIES[[#This Row],[TE_COEFFICIENT_CALC]]),3)</f>
        <v>0.3</v>
      </c>
      <c r="V681" s="6">
        <v>25</v>
      </c>
      <c r="W681" s="10">
        <v>0</v>
      </c>
      <c r="X681" s="10">
        <v>0</v>
      </c>
      <c r="Y681" s="11"/>
      <c r="Z681" t="s">
        <v>916</v>
      </c>
      <c r="AA681" t="s">
        <v>904</v>
      </c>
      <c r="AB681" s="2" t="s">
        <v>922</v>
      </c>
      <c r="AC681" s="10" t="s">
        <v>1008</v>
      </c>
      <c r="AD681" s="10" t="s">
        <v>1009</v>
      </c>
      <c r="AE681" s="11" t="str">
        <f>SUBSTITUTE(SUBSTITUTE(PROPERTIES[[#This Row],[PURCHASECOST_VALUE]], "PURCHASECOST_", ""), "_VALUE", "")</f>
        <v>WAGON</v>
      </c>
      <c r="AF681" s="10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81" s="2" t="b">
        <v>0</v>
      </c>
      <c r="AY681"/>
      <c r="AZ681"/>
      <c r="BA681"/>
    </row>
    <row r="682" spans="1:53">
      <c r="A682" s="2" t="s">
        <v>850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35</v>
      </c>
      <c r="G682" t="s">
        <v>606</v>
      </c>
      <c r="H682">
        <v>55</v>
      </c>
      <c r="I682">
        <v>7</v>
      </c>
      <c r="J682">
        <v>7</v>
      </c>
      <c r="K682" s="2" t="s">
        <v>33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4">
        <v>25</v>
      </c>
      <c r="P682">
        <v>0</v>
      </c>
      <c r="Q682">
        <v>100</v>
      </c>
      <c r="R682" s="31">
        <v>0</v>
      </c>
      <c r="S682" s="30">
        <f>IFERROR(PROPERTIES[[#This Row],[TE_STARTING_KN]]/(PROPERTIES[[#This Row],[WEIGHT]]*9.81),0)</f>
        <v>0</v>
      </c>
      <c r="T682" s="30">
        <v>0.3</v>
      </c>
      <c r="U682" s="27">
        <f>ROUND(IF(IFERROR(PROPERTIES[[#This Row],[TE_COEFFICIENT_CALC]],0)=0,PROPERTIES[[#This Row],[TE_COEFFICIENT_MANUAL]],PROPERTIES[[#This Row],[TE_COEFFICIENT_CALC]]),3)</f>
        <v>0.3</v>
      </c>
      <c r="V682" s="6">
        <v>25</v>
      </c>
      <c r="W682" s="10">
        <v>0</v>
      </c>
      <c r="X682" s="10">
        <v>0</v>
      </c>
      <c r="Y682" s="11"/>
      <c r="Z682" t="s">
        <v>915</v>
      </c>
      <c r="AA682" t="s">
        <v>904</v>
      </c>
      <c r="AB682" s="2" t="s">
        <v>922</v>
      </c>
      <c r="AC682" s="10" t="s">
        <v>1008</v>
      </c>
      <c r="AD682" s="10" t="s">
        <v>1009</v>
      </c>
      <c r="AE682" s="11" t="str">
        <f>SUBSTITUTE(SUBSTITUTE(PROPERTIES[[#This Row],[PURCHASECOST_VALUE]], "PURCHASECOST_", ""), "_VALUE", "")</f>
        <v>WAGON</v>
      </c>
      <c r="AF682" s="10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82" s="2" t="b">
        <v>0</v>
      </c>
      <c r="AY682"/>
      <c r="AZ682"/>
      <c r="BA682"/>
    </row>
    <row r="683" spans="1:53">
      <c r="A683" s="2" t="s">
        <v>851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35</v>
      </c>
      <c r="G683" t="s">
        <v>606</v>
      </c>
      <c r="H683">
        <v>55</v>
      </c>
      <c r="I683">
        <v>7</v>
      </c>
      <c r="J683">
        <v>7</v>
      </c>
      <c r="K683" s="2" t="s">
        <v>33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4">
        <v>25</v>
      </c>
      <c r="P683">
        <v>0</v>
      </c>
      <c r="Q683">
        <v>100</v>
      </c>
      <c r="R683" s="31">
        <v>0</v>
      </c>
      <c r="S683" s="30">
        <f>IFERROR(PROPERTIES[[#This Row],[TE_STARTING_KN]]/(PROPERTIES[[#This Row],[WEIGHT]]*9.81),0)</f>
        <v>0</v>
      </c>
      <c r="T683" s="30">
        <v>0.3</v>
      </c>
      <c r="U683" s="27">
        <f>ROUND(IF(IFERROR(PROPERTIES[[#This Row],[TE_COEFFICIENT_CALC]],0)=0,PROPERTIES[[#This Row],[TE_COEFFICIENT_MANUAL]],PROPERTIES[[#This Row],[TE_COEFFICIENT_CALC]]),3)</f>
        <v>0.3</v>
      </c>
      <c r="V683" s="6">
        <v>25</v>
      </c>
      <c r="W683" s="10">
        <v>0</v>
      </c>
      <c r="X683" s="10">
        <v>0</v>
      </c>
      <c r="Y683" s="11"/>
      <c r="Z683" t="s">
        <v>916</v>
      </c>
      <c r="AA683" t="s">
        <v>904</v>
      </c>
      <c r="AB683" s="2" t="s">
        <v>922</v>
      </c>
      <c r="AC683" s="10" t="s">
        <v>1008</v>
      </c>
      <c r="AD683" s="10" t="s">
        <v>1009</v>
      </c>
      <c r="AE683" s="11" t="str">
        <f>SUBSTITUTE(SUBSTITUTE(PROPERTIES[[#This Row],[PURCHASECOST_VALUE]], "PURCHASECOST_", ""), "_VALUE", "")</f>
        <v>WAGON</v>
      </c>
      <c r="AF683" s="10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83" s="2" t="b">
        <v>0</v>
      </c>
      <c r="AY683"/>
      <c r="AZ683"/>
      <c r="BA683"/>
    </row>
    <row r="684" spans="1:53">
      <c r="A684" s="2" t="s">
        <v>852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35</v>
      </c>
      <c r="G684" t="s">
        <v>600</v>
      </c>
      <c r="H684">
        <v>16</v>
      </c>
      <c r="I684">
        <v>7</v>
      </c>
      <c r="J684">
        <v>7</v>
      </c>
      <c r="K684" s="2" t="s">
        <v>33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4">
        <v>26</v>
      </c>
      <c r="P684">
        <v>0</v>
      </c>
      <c r="Q684">
        <v>100</v>
      </c>
      <c r="R684" s="31">
        <v>0</v>
      </c>
      <c r="S684" s="30">
        <f>IFERROR(PROPERTIES[[#This Row],[TE_STARTING_KN]]/(PROPERTIES[[#This Row],[WEIGHT]]*9.81),0)</f>
        <v>0</v>
      </c>
      <c r="T684" s="30">
        <v>0.3</v>
      </c>
      <c r="U684" s="27">
        <f>ROUND(IF(IFERROR(PROPERTIES[[#This Row],[TE_COEFFICIENT_CALC]],0)=0,PROPERTIES[[#This Row],[TE_COEFFICIENT_MANUAL]],PROPERTIES[[#This Row],[TE_COEFFICIENT_CALC]]),3)</f>
        <v>0.3</v>
      </c>
      <c r="V684" s="6">
        <v>25</v>
      </c>
      <c r="W684" s="10">
        <v>0</v>
      </c>
      <c r="X684" s="10">
        <v>0</v>
      </c>
      <c r="Y684" s="11"/>
      <c r="Z684" t="s">
        <v>918</v>
      </c>
      <c r="AA684" t="s">
        <v>904</v>
      </c>
      <c r="AB684" s="2" t="s">
        <v>922</v>
      </c>
      <c r="AC684" s="10" t="s">
        <v>1008</v>
      </c>
      <c r="AD684" s="10" t="s">
        <v>1009</v>
      </c>
      <c r="AE684" s="11" t="str">
        <f>SUBSTITUTE(SUBSTITUTE(PROPERTIES[[#This Row],[PURCHASECOST_VALUE]], "PURCHASECOST_", ""), "_VALUE", "")</f>
        <v>WAGON</v>
      </c>
      <c r="AF684" s="10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84" s="2" t="b">
        <v>0</v>
      </c>
      <c r="AY684"/>
      <c r="AZ684"/>
      <c r="BA684"/>
    </row>
    <row r="685" spans="1:53">
      <c r="A685" s="2" t="s">
        <v>853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35</v>
      </c>
      <c r="G685" t="s">
        <v>532</v>
      </c>
      <c r="H685">
        <v>37</v>
      </c>
      <c r="I685">
        <v>7</v>
      </c>
      <c r="J685">
        <v>7</v>
      </c>
      <c r="K685" s="2" t="s">
        <v>33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4">
        <v>19</v>
      </c>
      <c r="P685">
        <v>0</v>
      </c>
      <c r="Q685">
        <v>120</v>
      </c>
      <c r="R685" s="31">
        <v>0</v>
      </c>
      <c r="S685" s="30">
        <f>IFERROR(PROPERTIES[[#This Row],[TE_STARTING_KN]]/(PROPERTIES[[#This Row],[WEIGHT]]*9.81),0)</f>
        <v>0</v>
      </c>
      <c r="T685" s="30">
        <v>0.3</v>
      </c>
      <c r="U685" s="27">
        <f>ROUND(IF(IFERROR(PROPERTIES[[#This Row],[TE_COEFFICIENT_CALC]],0)=0,PROPERTIES[[#This Row],[TE_COEFFICIENT_MANUAL]],PROPERTIES[[#This Row],[TE_COEFFICIENT_CALC]]),3)</f>
        <v>0.3</v>
      </c>
      <c r="V685" s="6">
        <v>25</v>
      </c>
      <c r="W685" s="10">
        <v>0</v>
      </c>
      <c r="X685" s="10">
        <v>0</v>
      </c>
      <c r="Y685" s="11"/>
      <c r="Z685" t="s">
        <v>918</v>
      </c>
      <c r="AA685" t="s">
        <v>904</v>
      </c>
      <c r="AB685" s="2" t="s">
        <v>922</v>
      </c>
      <c r="AC685" s="10" t="s">
        <v>1008</v>
      </c>
      <c r="AD685" s="10" t="s">
        <v>1009</v>
      </c>
      <c r="AE685" s="11" t="str">
        <f>SUBSTITUTE(SUBSTITUTE(PROPERTIES[[#This Row],[PURCHASECOST_VALUE]], "PURCHASECOST_", ""), "_VALUE", "")</f>
        <v>WAGON</v>
      </c>
      <c r="AF685" s="10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85" s="2" t="b">
        <v>0</v>
      </c>
      <c r="AY685"/>
      <c r="AZ685"/>
      <c r="BA685"/>
    </row>
    <row r="686" spans="1:53">
      <c r="A686" s="2" t="s">
        <v>854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35</v>
      </c>
      <c r="G686" t="s">
        <v>601</v>
      </c>
      <c r="H686">
        <v>45</v>
      </c>
      <c r="I686">
        <v>7</v>
      </c>
      <c r="J686">
        <v>7</v>
      </c>
      <c r="K686" s="2" t="s">
        <v>33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4">
        <v>42</v>
      </c>
      <c r="P686">
        <v>0</v>
      </c>
      <c r="Q686">
        <v>100</v>
      </c>
      <c r="R686" s="31">
        <v>0</v>
      </c>
      <c r="S686" s="30">
        <f>IFERROR(PROPERTIES[[#This Row],[TE_STARTING_KN]]/(PROPERTIES[[#This Row],[WEIGHT]]*9.81),0)</f>
        <v>0</v>
      </c>
      <c r="T686" s="30">
        <v>0.3</v>
      </c>
      <c r="U686" s="27">
        <f>ROUND(IF(IFERROR(PROPERTIES[[#This Row],[TE_COEFFICIENT_CALC]],0)=0,PROPERTIES[[#This Row],[TE_COEFFICIENT_MANUAL]],PROPERTIES[[#This Row],[TE_COEFFICIENT_CALC]]),3)</f>
        <v>0.3</v>
      </c>
      <c r="V686" s="6">
        <v>25</v>
      </c>
      <c r="W686" s="10">
        <v>0</v>
      </c>
      <c r="X686" s="10">
        <v>0</v>
      </c>
      <c r="Y686" s="11"/>
      <c r="Z686" t="s">
        <v>918</v>
      </c>
      <c r="AA686" t="s">
        <v>904</v>
      </c>
      <c r="AB686" s="2" t="s">
        <v>922</v>
      </c>
      <c r="AC686" s="10" t="s">
        <v>1008</v>
      </c>
      <c r="AD686" s="10" t="s">
        <v>1009</v>
      </c>
      <c r="AE686" s="11" t="str">
        <f>SUBSTITUTE(SUBSTITUTE(PROPERTIES[[#This Row],[PURCHASECOST_VALUE]], "PURCHASECOST_", ""), "_VALUE", "")</f>
        <v>WAGON</v>
      </c>
      <c r="AF686" s="10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86" s="2" t="b">
        <v>0</v>
      </c>
      <c r="AY686"/>
      <c r="AZ686"/>
      <c r="BA686"/>
    </row>
    <row r="687" spans="1:53">
      <c r="A687" s="2" t="s">
        <v>855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35</v>
      </c>
      <c r="G687" t="s">
        <v>603</v>
      </c>
      <c r="H687">
        <v>60</v>
      </c>
      <c r="I687">
        <v>8</v>
      </c>
      <c r="J687">
        <v>8</v>
      </c>
      <c r="K687" s="2" t="s">
        <v>33</v>
      </c>
      <c r="L687">
        <f>_xlfn.XLOOKUP("LOADINGSPEEDDEF_"&amp;PROPERTIES[[#This Row],[LOADINGSPEED]],LOADINGSPEEDDEF[TYPE],LOADINGSPEEDDEF[SPEED])</f>
        <v>20</v>
      </c>
      <c r="M687" t="s">
        <v>21</v>
      </c>
      <c r="N687">
        <v>0</v>
      </c>
      <c r="O687" s="34">
        <v>23</v>
      </c>
      <c r="P687">
        <v>0</v>
      </c>
      <c r="Q687">
        <v>120</v>
      </c>
      <c r="R687" s="31">
        <v>0</v>
      </c>
      <c r="S687" s="30">
        <f>IFERROR(PROPERTIES[[#This Row],[TE_STARTING_KN]]/(PROPERTIES[[#This Row],[WEIGHT]]*9.81),0)</f>
        <v>0</v>
      </c>
      <c r="T687" s="30">
        <v>0.3</v>
      </c>
      <c r="U687" s="27">
        <f>ROUND(IF(IFERROR(PROPERTIES[[#This Row],[TE_COEFFICIENT_CALC]],0)=0,PROPERTIES[[#This Row],[TE_COEFFICIENT_MANUAL]],PROPERTIES[[#This Row],[TE_COEFFICIENT_CALC]]),3)</f>
        <v>0.3</v>
      </c>
      <c r="V687" s="6">
        <v>25</v>
      </c>
      <c r="W687" s="10">
        <v>0</v>
      </c>
      <c r="X687" s="10">
        <v>0</v>
      </c>
      <c r="Y687" s="11"/>
      <c r="Z687" t="s">
        <v>918</v>
      </c>
      <c r="AA687" t="s">
        <v>904</v>
      </c>
      <c r="AB687" s="2" t="s">
        <v>922</v>
      </c>
      <c r="AC687" s="10" t="s">
        <v>1008</v>
      </c>
      <c r="AD687" s="10" t="s">
        <v>1009</v>
      </c>
      <c r="AE687" s="11" t="str">
        <f>SUBSTITUTE(SUBSTITUTE(PROPERTIES[[#This Row],[PURCHASECOST_VALUE]], "PURCHASECOST_", ""), "_VALUE", "")</f>
        <v>WAGON</v>
      </c>
      <c r="AF687" s="10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87" s="2" t="b">
        <v>0</v>
      </c>
      <c r="AY687"/>
      <c r="AZ687"/>
      <c r="BA687"/>
    </row>
    <row r="688" spans="1:53">
      <c r="A688" s="2" t="s">
        <v>856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35</v>
      </c>
      <c r="G688" t="s">
        <v>605</v>
      </c>
      <c r="H688">
        <v>84</v>
      </c>
      <c r="I688">
        <v>8</v>
      </c>
      <c r="J688">
        <v>8</v>
      </c>
      <c r="K688" s="2" t="s">
        <v>33</v>
      </c>
      <c r="L688">
        <f>_xlfn.XLOOKUP("LOADINGSPEEDDEF_"&amp;PROPERTIES[[#This Row],[LOADINGSPEED]],LOADINGSPEEDDEF[TYPE],LOADINGSPEEDDEF[SPEED])</f>
        <v>20</v>
      </c>
      <c r="M688" t="s">
        <v>21</v>
      </c>
      <c r="N688">
        <v>0</v>
      </c>
      <c r="O688" s="34">
        <v>42</v>
      </c>
      <c r="P688">
        <v>0</v>
      </c>
      <c r="Q688">
        <v>100</v>
      </c>
      <c r="R688" s="31">
        <v>0</v>
      </c>
      <c r="S688" s="30">
        <f>IFERROR(PROPERTIES[[#This Row],[TE_STARTING_KN]]/(PROPERTIES[[#This Row],[WEIGHT]]*9.81),0)</f>
        <v>0</v>
      </c>
      <c r="T688" s="30">
        <v>0.3</v>
      </c>
      <c r="U688" s="27">
        <f>ROUND(IF(IFERROR(PROPERTIES[[#This Row],[TE_COEFFICIENT_CALC]],0)=0,PROPERTIES[[#This Row],[TE_COEFFICIENT_MANUAL]],PROPERTIES[[#This Row],[TE_COEFFICIENT_CALC]]),3)</f>
        <v>0.3</v>
      </c>
      <c r="V688" s="6">
        <v>25</v>
      </c>
      <c r="W688" s="10">
        <v>0</v>
      </c>
      <c r="X688" s="10">
        <v>0</v>
      </c>
      <c r="Y688" s="11"/>
      <c r="Z688" t="s">
        <v>918</v>
      </c>
      <c r="AA688" t="s">
        <v>904</v>
      </c>
      <c r="AB688" s="2" t="s">
        <v>922</v>
      </c>
      <c r="AC688" s="10" t="s">
        <v>1008</v>
      </c>
      <c r="AD688" s="10" t="s">
        <v>1009</v>
      </c>
      <c r="AE688" s="11" t="str">
        <f>SUBSTITUTE(SUBSTITUTE(PROPERTIES[[#This Row],[PURCHASECOST_VALUE]], "PURCHASECOST_", ""), "_VALUE", "")</f>
        <v>WAGON</v>
      </c>
      <c r="AF688" s="10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88" s="2" t="b">
        <v>0</v>
      </c>
      <c r="AY688"/>
      <c r="AZ688"/>
      <c r="BA688"/>
    </row>
    <row r="689" spans="1:53">
      <c r="A689" s="2" t="s">
        <v>857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35</v>
      </c>
      <c r="G689" t="s">
        <v>599</v>
      </c>
      <c r="H689">
        <v>63</v>
      </c>
      <c r="I689">
        <v>8</v>
      </c>
      <c r="J689">
        <v>8</v>
      </c>
      <c r="K689" s="2" t="s">
        <v>33</v>
      </c>
      <c r="L689">
        <f>_xlfn.XLOOKUP("LOADINGSPEEDDEF_"&amp;PROPERTIES[[#This Row],[LOADINGSPEED]],LOADINGSPEEDDEF[TYPE],LOADINGSPEEDDEF[SPEED])</f>
        <v>20</v>
      </c>
      <c r="M689" t="s">
        <v>21</v>
      </c>
      <c r="N689">
        <v>0</v>
      </c>
      <c r="O689" s="34">
        <v>27</v>
      </c>
      <c r="P689">
        <v>0</v>
      </c>
      <c r="Q689">
        <v>120</v>
      </c>
      <c r="R689" s="31">
        <v>0</v>
      </c>
      <c r="S689" s="30">
        <f>IFERROR(PROPERTIES[[#This Row],[TE_STARTING_KN]]/(PROPERTIES[[#This Row],[WEIGHT]]*9.81),0)</f>
        <v>0</v>
      </c>
      <c r="T689" s="30">
        <v>0.3</v>
      </c>
      <c r="U689" s="27">
        <f>ROUND(IF(IFERROR(PROPERTIES[[#This Row],[TE_COEFFICIENT_CALC]],0)=0,PROPERTIES[[#This Row],[TE_COEFFICIENT_MANUAL]],PROPERTIES[[#This Row],[TE_COEFFICIENT_CALC]]),3)</f>
        <v>0.3</v>
      </c>
      <c r="V689" s="6">
        <v>25</v>
      </c>
      <c r="W689" s="10">
        <v>0</v>
      </c>
      <c r="X689" s="10">
        <v>0</v>
      </c>
      <c r="Y689" s="11"/>
      <c r="Z689" t="s">
        <v>915</v>
      </c>
      <c r="AA689" t="s">
        <v>904</v>
      </c>
      <c r="AB689" s="2" t="s">
        <v>922</v>
      </c>
      <c r="AC689" s="10" t="s">
        <v>1008</v>
      </c>
      <c r="AD689" s="10" t="s">
        <v>1009</v>
      </c>
      <c r="AE689" s="11" t="str">
        <f>SUBSTITUTE(SUBSTITUTE(PROPERTIES[[#This Row],[PURCHASECOST_VALUE]], "PURCHASECOST_", ""), "_VALUE", "")</f>
        <v>WAGON</v>
      </c>
      <c r="AF689" s="10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89" s="2" t="b">
        <v>0</v>
      </c>
      <c r="AY689"/>
      <c r="AZ689"/>
      <c r="BA689"/>
    </row>
    <row r="690" spans="1:53">
      <c r="A690" s="2" t="s">
        <v>858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35</v>
      </c>
      <c r="G690" t="s">
        <v>599</v>
      </c>
      <c r="H690">
        <v>63</v>
      </c>
      <c r="I690">
        <v>8</v>
      </c>
      <c r="J690">
        <v>8</v>
      </c>
      <c r="K690" s="2" t="s">
        <v>33</v>
      </c>
      <c r="L690">
        <f>_xlfn.XLOOKUP("LOADINGSPEEDDEF_"&amp;PROPERTIES[[#This Row],[LOADINGSPEED]],LOADINGSPEEDDEF[TYPE],LOADINGSPEEDDEF[SPEED])</f>
        <v>20</v>
      </c>
      <c r="M690" t="s">
        <v>21</v>
      </c>
      <c r="N690">
        <v>0</v>
      </c>
      <c r="O690" s="34">
        <v>27</v>
      </c>
      <c r="P690">
        <v>0</v>
      </c>
      <c r="Q690">
        <v>120</v>
      </c>
      <c r="R690" s="31">
        <v>0</v>
      </c>
      <c r="S690" s="30">
        <f>IFERROR(PROPERTIES[[#This Row],[TE_STARTING_KN]]/(PROPERTIES[[#This Row],[WEIGHT]]*9.81),0)</f>
        <v>0</v>
      </c>
      <c r="T690" s="30">
        <v>0.3</v>
      </c>
      <c r="U690" s="27">
        <f>ROUND(IF(IFERROR(PROPERTIES[[#This Row],[TE_COEFFICIENT_CALC]],0)=0,PROPERTIES[[#This Row],[TE_COEFFICIENT_MANUAL]],PROPERTIES[[#This Row],[TE_COEFFICIENT_CALC]]),3)</f>
        <v>0.3</v>
      </c>
      <c r="V690" s="6">
        <v>25</v>
      </c>
      <c r="W690" s="10">
        <v>0</v>
      </c>
      <c r="X690" s="10">
        <v>0</v>
      </c>
      <c r="Y690" s="11"/>
      <c r="Z690" t="s">
        <v>916</v>
      </c>
      <c r="AA690" t="s">
        <v>904</v>
      </c>
      <c r="AB690" s="2" t="s">
        <v>922</v>
      </c>
      <c r="AC690" s="10" t="s">
        <v>1008</v>
      </c>
      <c r="AD690" s="10" t="s">
        <v>1009</v>
      </c>
      <c r="AE690" s="11" t="str">
        <f>SUBSTITUTE(SUBSTITUTE(PROPERTIES[[#This Row],[PURCHASECOST_VALUE]], "PURCHASECOST_", ""), "_VALUE", "")</f>
        <v>WAGON</v>
      </c>
      <c r="AF690" s="10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90" s="2" t="b">
        <v>0</v>
      </c>
      <c r="AY690"/>
      <c r="AZ690"/>
      <c r="BA690"/>
    </row>
    <row r="691" spans="1:53">
      <c r="A691" s="2" t="s">
        <v>859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35</v>
      </c>
      <c r="G691" t="s">
        <v>609</v>
      </c>
      <c r="H691">
        <v>95</v>
      </c>
      <c r="I691">
        <v>8</v>
      </c>
      <c r="J691">
        <v>8</v>
      </c>
      <c r="K691" s="2" t="s">
        <v>33</v>
      </c>
      <c r="L691">
        <f>_xlfn.XLOOKUP("LOADINGSPEEDDEF_"&amp;PROPERTIES[[#This Row],[LOADINGSPEED]],LOADINGSPEEDDEF[TYPE],LOADINGSPEEDDEF[SPEED])</f>
        <v>20</v>
      </c>
      <c r="M691" t="s">
        <v>21</v>
      </c>
      <c r="N691">
        <v>0</v>
      </c>
      <c r="O691" s="34">
        <v>24</v>
      </c>
      <c r="P691">
        <v>0</v>
      </c>
      <c r="Q691">
        <v>120</v>
      </c>
      <c r="R691" s="31">
        <v>0</v>
      </c>
      <c r="S691" s="30">
        <f>IFERROR(PROPERTIES[[#This Row],[TE_STARTING_KN]]/(PROPERTIES[[#This Row],[WEIGHT]]*9.81),0)</f>
        <v>0</v>
      </c>
      <c r="T691" s="30">
        <v>0.3</v>
      </c>
      <c r="U691" s="27">
        <f>ROUND(IF(IFERROR(PROPERTIES[[#This Row],[TE_COEFFICIENT_CALC]],0)=0,PROPERTIES[[#This Row],[TE_COEFFICIENT_MANUAL]],PROPERTIES[[#This Row],[TE_COEFFICIENT_CALC]]),3)</f>
        <v>0.3</v>
      </c>
      <c r="V691" s="6">
        <v>25</v>
      </c>
      <c r="W691" s="10">
        <v>0</v>
      </c>
      <c r="X691" s="10">
        <v>0</v>
      </c>
      <c r="Y691" s="11"/>
      <c r="Z691" t="s">
        <v>918</v>
      </c>
      <c r="AA691" t="s">
        <v>904</v>
      </c>
      <c r="AB691" s="2" t="s">
        <v>922</v>
      </c>
      <c r="AC691" s="10" t="s">
        <v>1008</v>
      </c>
      <c r="AD691" s="10" t="s">
        <v>1009</v>
      </c>
      <c r="AE691" s="11" t="str">
        <f>SUBSTITUTE(SUBSTITUTE(PROPERTIES[[#This Row],[PURCHASECOST_VALUE]], "PURCHASECOST_", ""), "_VALUE", "")</f>
        <v>WAGON</v>
      </c>
      <c r="AF691" s="10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91" s="2" t="b">
        <v>0</v>
      </c>
      <c r="AY691"/>
      <c r="AZ691"/>
      <c r="BA691"/>
    </row>
    <row r="692" spans="1:53">
      <c r="A692" s="2" t="s">
        <v>860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35</v>
      </c>
      <c r="G692" t="s">
        <v>604</v>
      </c>
      <c r="H692">
        <v>65</v>
      </c>
      <c r="I692">
        <v>8</v>
      </c>
      <c r="J692">
        <v>8</v>
      </c>
      <c r="K692" s="2" t="s">
        <v>33</v>
      </c>
      <c r="L692">
        <f>_xlfn.XLOOKUP("LOADINGSPEEDDEF_"&amp;PROPERTIES[[#This Row],[LOADINGSPEED]],LOADINGSPEEDDEF[TYPE],LOADINGSPEEDDEF[SPEED])</f>
        <v>20</v>
      </c>
      <c r="M692" t="s">
        <v>21</v>
      </c>
      <c r="N692">
        <v>0</v>
      </c>
      <c r="O692" s="34">
        <v>22</v>
      </c>
      <c r="P692">
        <v>0</v>
      </c>
      <c r="Q692">
        <v>120</v>
      </c>
      <c r="R692" s="31">
        <v>0</v>
      </c>
      <c r="S692" s="30">
        <f>IFERROR(PROPERTIES[[#This Row],[TE_STARTING_KN]]/(PROPERTIES[[#This Row],[WEIGHT]]*9.81),0)</f>
        <v>0</v>
      </c>
      <c r="T692" s="30">
        <v>0.3</v>
      </c>
      <c r="U692" s="27">
        <f>ROUND(IF(IFERROR(PROPERTIES[[#This Row],[TE_COEFFICIENT_CALC]],0)=0,PROPERTIES[[#This Row],[TE_COEFFICIENT_MANUAL]],PROPERTIES[[#This Row],[TE_COEFFICIENT_CALC]]),3)</f>
        <v>0.3</v>
      </c>
      <c r="V692" s="6">
        <v>25</v>
      </c>
      <c r="W692" s="10">
        <v>0</v>
      </c>
      <c r="X692" s="10">
        <v>0</v>
      </c>
      <c r="Y692" s="11"/>
      <c r="Z692" t="s">
        <v>918</v>
      </c>
      <c r="AA692" t="s">
        <v>904</v>
      </c>
      <c r="AB692" s="2" t="s">
        <v>922</v>
      </c>
      <c r="AC692" s="10" t="s">
        <v>1008</v>
      </c>
      <c r="AD692" s="10" t="s">
        <v>1009</v>
      </c>
      <c r="AE692" s="11" t="str">
        <f>SUBSTITUTE(SUBSTITUTE(PROPERTIES[[#This Row],[PURCHASECOST_VALUE]], "PURCHASECOST_", ""), "_VALUE", "")</f>
        <v>WAGON</v>
      </c>
      <c r="AF692" s="10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92" s="2" t="b">
        <v>0</v>
      </c>
      <c r="AY692"/>
      <c r="AZ692"/>
      <c r="BA692"/>
    </row>
    <row r="693" spans="1:53">
      <c r="A693" s="2" t="s">
        <v>861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35</v>
      </c>
      <c r="G693" t="s">
        <v>607</v>
      </c>
      <c r="H693">
        <v>65</v>
      </c>
      <c r="I693">
        <v>8</v>
      </c>
      <c r="J693">
        <v>8</v>
      </c>
      <c r="K693" s="2" t="s">
        <v>33</v>
      </c>
      <c r="L693">
        <f>_xlfn.XLOOKUP("LOADINGSPEEDDEF_"&amp;PROPERTIES[[#This Row],[LOADINGSPEED]],LOADINGSPEEDDEF[TYPE],LOADINGSPEEDDEF[SPEED])</f>
        <v>20</v>
      </c>
      <c r="M693" t="s">
        <v>21</v>
      </c>
      <c r="N693">
        <v>0</v>
      </c>
      <c r="O693" s="34">
        <v>27</v>
      </c>
      <c r="P693">
        <v>0</v>
      </c>
      <c r="Q693">
        <v>120</v>
      </c>
      <c r="R693" s="31">
        <v>0</v>
      </c>
      <c r="S693" s="30">
        <f>IFERROR(PROPERTIES[[#This Row],[TE_STARTING_KN]]/(PROPERTIES[[#This Row],[WEIGHT]]*9.81),0)</f>
        <v>0</v>
      </c>
      <c r="T693" s="30">
        <v>0.3</v>
      </c>
      <c r="U693" s="27">
        <f>ROUND(IF(IFERROR(PROPERTIES[[#This Row],[TE_COEFFICIENT_CALC]],0)=0,PROPERTIES[[#This Row],[TE_COEFFICIENT_MANUAL]],PROPERTIES[[#This Row],[TE_COEFFICIENT_CALC]]),3)</f>
        <v>0.3</v>
      </c>
      <c r="V693" s="6">
        <v>25</v>
      </c>
      <c r="W693" s="10">
        <v>0</v>
      </c>
      <c r="X693" s="10">
        <v>0</v>
      </c>
      <c r="Y693" s="11"/>
      <c r="Z693" t="s">
        <v>915</v>
      </c>
      <c r="AA693" t="s">
        <v>904</v>
      </c>
      <c r="AB693" s="2" t="s">
        <v>922</v>
      </c>
      <c r="AC693" s="10" t="s">
        <v>1008</v>
      </c>
      <c r="AD693" s="10" t="s">
        <v>1009</v>
      </c>
      <c r="AE693" s="11" t="str">
        <f>SUBSTITUTE(SUBSTITUTE(PROPERTIES[[#This Row],[PURCHASECOST_VALUE]], "PURCHASECOST_", ""), "_VALUE", "")</f>
        <v>WAGON</v>
      </c>
      <c r="AF693" s="10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93" s="2" t="b">
        <v>0</v>
      </c>
      <c r="AY693"/>
      <c r="AZ693"/>
      <c r="BA693"/>
    </row>
    <row r="694" spans="1:53">
      <c r="A694" s="2" t="s">
        <v>862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35</v>
      </c>
      <c r="G694" t="s">
        <v>607</v>
      </c>
      <c r="H694">
        <v>65</v>
      </c>
      <c r="I694">
        <v>8</v>
      </c>
      <c r="J694">
        <v>8</v>
      </c>
      <c r="K694" s="2" t="s">
        <v>33</v>
      </c>
      <c r="L694">
        <f>_xlfn.XLOOKUP("LOADINGSPEEDDEF_"&amp;PROPERTIES[[#This Row],[LOADINGSPEED]],LOADINGSPEEDDEF[TYPE],LOADINGSPEEDDEF[SPEED])</f>
        <v>20</v>
      </c>
      <c r="M694" t="s">
        <v>21</v>
      </c>
      <c r="N694">
        <v>0</v>
      </c>
      <c r="O694" s="34">
        <v>27</v>
      </c>
      <c r="P694">
        <v>0</v>
      </c>
      <c r="Q694">
        <v>120</v>
      </c>
      <c r="R694" s="31">
        <v>0</v>
      </c>
      <c r="S694" s="30">
        <f>IFERROR(PROPERTIES[[#This Row],[TE_STARTING_KN]]/(PROPERTIES[[#This Row],[WEIGHT]]*9.81),0)</f>
        <v>0</v>
      </c>
      <c r="T694" s="30">
        <v>0.3</v>
      </c>
      <c r="U694" s="27">
        <f>ROUND(IF(IFERROR(PROPERTIES[[#This Row],[TE_COEFFICIENT_CALC]],0)=0,PROPERTIES[[#This Row],[TE_COEFFICIENT_MANUAL]],PROPERTIES[[#This Row],[TE_COEFFICIENT_CALC]]),3)</f>
        <v>0.3</v>
      </c>
      <c r="V694" s="6">
        <v>25</v>
      </c>
      <c r="W694" s="10">
        <v>0</v>
      </c>
      <c r="X694" s="10">
        <v>0</v>
      </c>
      <c r="Y694" s="11"/>
      <c r="Z694" t="s">
        <v>916</v>
      </c>
      <c r="AA694" t="s">
        <v>904</v>
      </c>
      <c r="AB694" s="2" t="s">
        <v>922</v>
      </c>
      <c r="AC694" s="10" t="s">
        <v>1008</v>
      </c>
      <c r="AD694" s="10" t="s">
        <v>1009</v>
      </c>
      <c r="AE694" s="11" t="str">
        <f>SUBSTITUTE(SUBSTITUTE(PROPERTIES[[#This Row],[PURCHASECOST_VALUE]], "PURCHASECOST_", ""), "_VALUE", "")</f>
        <v>WAGON</v>
      </c>
      <c r="AF694" s="10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94" s="2" t="b">
        <v>0</v>
      </c>
      <c r="AY694"/>
      <c r="AZ694"/>
      <c r="BA694"/>
    </row>
    <row r="695" spans="1:53">
      <c r="A695" s="2" t="s">
        <v>863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35</v>
      </c>
      <c r="G695" t="s">
        <v>606</v>
      </c>
      <c r="H695">
        <v>65</v>
      </c>
      <c r="I695">
        <v>8</v>
      </c>
      <c r="J695">
        <v>8</v>
      </c>
      <c r="K695" s="2" t="s">
        <v>33</v>
      </c>
      <c r="L695">
        <f>_xlfn.XLOOKUP("LOADINGSPEEDDEF_"&amp;PROPERTIES[[#This Row],[LOADINGSPEED]],LOADINGSPEEDDEF[TYPE],LOADINGSPEEDDEF[SPEED])</f>
        <v>20</v>
      </c>
      <c r="M695" t="s">
        <v>21</v>
      </c>
      <c r="N695">
        <v>0</v>
      </c>
      <c r="O695" s="34">
        <v>26</v>
      </c>
      <c r="P695">
        <v>0</v>
      </c>
      <c r="Q695">
        <v>120</v>
      </c>
      <c r="R695" s="31">
        <v>0</v>
      </c>
      <c r="S695" s="30">
        <f>IFERROR(PROPERTIES[[#This Row],[TE_STARTING_KN]]/(PROPERTIES[[#This Row],[WEIGHT]]*9.81),0)</f>
        <v>0</v>
      </c>
      <c r="T695" s="30">
        <v>0.3</v>
      </c>
      <c r="U695" s="27">
        <f>ROUND(IF(IFERROR(PROPERTIES[[#This Row],[TE_COEFFICIENT_CALC]],0)=0,PROPERTIES[[#This Row],[TE_COEFFICIENT_MANUAL]],PROPERTIES[[#This Row],[TE_COEFFICIENT_CALC]]),3)</f>
        <v>0.3</v>
      </c>
      <c r="V695" s="6">
        <v>25</v>
      </c>
      <c r="W695" s="10">
        <v>0</v>
      </c>
      <c r="X695" s="10">
        <v>0</v>
      </c>
      <c r="Y695" s="11"/>
      <c r="Z695" t="s">
        <v>915</v>
      </c>
      <c r="AA695" t="s">
        <v>904</v>
      </c>
      <c r="AB695" s="2" t="s">
        <v>922</v>
      </c>
      <c r="AC695" s="10" t="s">
        <v>1008</v>
      </c>
      <c r="AD695" s="10" t="s">
        <v>1009</v>
      </c>
      <c r="AE695" s="11" t="str">
        <f>SUBSTITUTE(SUBSTITUTE(PROPERTIES[[#This Row],[PURCHASECOST_VALUE]], "PURCHASECOST_", ""), "_VALUE", "")</f>
        <v>WAGON</v>
      </c>
      <c r="AF695" s="10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95" s="2" t="b">
        <v>0</v>
      </c>
      <c r="AY695"/>
      <c r="AZ695"/>
      <c r="BA695"/>
    </row>
    <row r="696" spans="1:53">
      <c r="A696" s="2" t="s">
        <v>864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35</v>
      </c>
      <c r="G696" t="s">
        <v>606</v>
      </c>
      <c r="H696">
        <v>65</v>
      </c>
      <c r="I696">
        <v>8</v>
      </c>
      <c r="J696">
        <v>8</v>
      </c>
      <c r="K696" s="2" t="s">
        <v>33</v>
      </c>
      <c r="L696">
        <f>_xlfn.XLOOKUP("LOADINGSPEEDDEF_"&amp;PROPERTIES[[#This Row],[LOADINGSPEED]],LOADINGSPEEDDEF[TYPE],LOADINGSPEEDDEF[SPEED])</f>
        <v>20</v>
      </c>
      <c r="M696" t="s">
        <v>21</v>
      </c>
      <c r="N696">
        <v>0</v>
      </c>
      <c r="O696" s="34">
        <v>26</v>
      </c>
      <c r="P696">
        <v>0</v>
      </c>
      <c r="Q696">
        <v>120</v>
      </c>
      <c r="R696" s="31">
        <v>0</v>
      </c>
      <c r="S696" s="30">
        <f>IFERROR(PROPERTIES[[#This Row],[TE_STARTING_KN]]/(PROPERTIES[[#This Row],[WEIGHT]]*9.81),0)</f>
        <v>0</v>
      </c>
      <c r="T696" s="30">
        <v>0.3</v>
      </c>
      <c r="U696" s="27">
        <f>ROUND(IF(IFERROR(PROPERTIES[[#This Row],[TE_COEFFICIENT_CALC]],0)=0,PROPERTIES[[#This Row],[TE_COEFFICIENT_MANUAL]],PROPERTIES[[#This Row],[TE_COEFFICIENT_CALC]]),3)</f>
        <v>0.3</v>
      </c>
      <c r="V696" s="6">
        <v>25</v>
      </c>
      <c r="W696" s="10">
        <v>0</v>
      </c>
      <c r="X696" s="10">
        <v>0</v>
      </c>
      <c r="Y696" s="11"/>
      <c r="Z696" t="s">
        <v>918</v>
      </c>
      <c r="AA696" t="s">
        <v>904</v>
      </c>
      <c r="AB696" s="2" t="s">
        <v>922</v>
      </c>
      <c r="AC696" s="10" t="s">
        <v>1008</v>
      </c>
      <c r="AD696" s="10" t="s">
        <v>1009</v>
      </c>
      <c r="AE696" s="11" t="str">
        <f>SUBSTITUTE(SUBSTITUTE(PROPERTIES[[#This Row],[PURCHASECOST_VALUE]], "PURCHASECOST_", ""), "_VALUE", "")</f>
        <v>WAGON</v>
      </c>
      <c r="AF696" s="10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96" s="2" t="b">
        <v>0</v>
      </c>
      <c r="AY696"/>
      <c r="AZ696"/>
      <c r="BA696"/>
    </row>
    <row r="697" spans="1:53">
      <c r="A697" s="2" t="s">
        <v>865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35</v>
      </c>
      <c r="G697" t="s">
        <v>600</v>
      </c>
      <c r="H697">
        <v>16</v>
      </c>
      <c r="I697">
        <v>8</v>
      </c>
      <c r="J697">
        <v>8</v>
      </c>
      <c r="K697" s="2" t="s">
        <v>33</v>
      </c>
      <c r="L697">
        <f>_xlfn.XLOOKUP("LOADINGSPEEDDEF_"&amp;PROPERTIES[[#This Row],[LOADINGSPEED]],LOADINGSPEEDDEF[TYPE],LOADINGSPEEDDEF[SPEED])</f>
        <v>20</v>
      </c>
      <c r="M697" t="s">
        <v>21</v>
      </c>
      <c r="N697">
        <v>0</v>
      </c>
      <c r="O697" s="34">
        <v>28</v>
      </c>
      <c r="P697">
        <v>0</v>
      </c>
      <c r="Q697">
        <v>160</v>
      </c>
      <c r="R697" s="31">
        <v>0</v>
      </c>
      <c r="S697" s="30">
        <f>IFERROR(PROPERTIES[[#This Row],[TE_STARTING_KN]]/(PROPERTIES[[#This Row],[WEIGHT]]*9.81),0)</f>
        <v>0</v>
      </c>
      <c r="T697" s="30">
        <v>0.3</v>
      </c>
      <c r="U697" s="27">
        <f>ROUND(IF(IFERROR(PROPERTIES[[#This Row],[TE_COEFFICIENT_CALC]],0)=0,PROPERTIES[[#This Row],[TE_COEFFICIENT_MANUAL]],PROPERTIES[[#This Row],[TE_COEFFICIENT_CALC]]),3)</f>
        <v>0.3</v>
      </c>
      <c r="V697" s="6">
        <v>25</v>
      </c>
      <c r="W697" s="10">
        <v>0</v>
      </c>
      <c r="X697" s="10">
        <v>0</v>
      </c>
      <c r="Y697" s="11"/>
      <c r="Z697" t="s">
        <v>918</v>
      </c>
      <c r="AA697" t="s">
        <v>904</v>
      </c>
      <c r="AB697" s="2" t="s">
        <v>922</v>
      </c>
      <c r="AC697" s="10" t="s">
        <v>1008</v>
      </c>
      <c r="AD697" s="10" t="s">
        <v>1009</v>
      </c>
      <c r="AE697" s="11" t="str">
        <f>SUBSTITUTE(SUBSTITUTE(PROPERTIES[[#This Row],[PURCHASECOST_VALUE]], "PURCHASECOST_", ""), "_VALUE", "")</f>
        <v>WAGON</v>
      </c>
      <c r="AF697" s="10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697" s="2" t="b">
        <v>0</v>
      </c>
      <c r="AY697"/>
      <c r="AZ697"/>
      <c r="BA697"/>
    </row>
    <row r="698" spans="1:53">
      <c r="A698" s="2" t="s">
        <v>866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35</v>
      </c>
      <c r="G698" t="s">
        <v>532</v>
      </c>
      <c r="H698">
        <v>50</v>
      </c>
      <c r="I698">
        <v>8</v>
      </c>
      <c r="J698">
        <v>8</v>
      </c>
      <c r="K698" s="2" t="s">
        <v>33</v>
      </c>
      <c r="L698">
        <f>_xlfn.XLOOKUP("LOADINGSPEEDDEF_"&amp;PROPERTIES[[#This Row],[LOADINGSPEED]],LOADINGSPEEDDEF[TYPE],LOADINGSPEEDDEF[SPEED])</f>
        <v>20</v>
      </c>
      <c r="M698" t="s">
        <v>21</v>
      </c>
      <c r="N698">
        <v>0</v>
      </c>
      <c r="O698" s="34">
        <v>22</v>
      </c>
      <c r="P698">
        <v>0</v>
      </c>
      <c r="Q698">
        <v>160</v>
      </c>
      <c r="R698" s="31">
        <v>0</v>
      </c>
      <c r="S698" s="30">
        <f>IFERROR(PROPERTIES[[#This Row],[TE_STARTING_KN]]/(PROPERTIES[[#This Row],[WEIGHT]]*9.81),0)</f>
        <v>0</v>
      </c>
      <c r="T698" s="30">
        <v>0.3</v>
      </c>
      <c r="U698" s="27">
        <f>ROUND(IF(IFERROR(PROPERTIES[[#This Row],[TE_COEFFICIENT_CALC]],0)=0,PROPERTIES[[#This Row],[TE_COEFFICIENT_MANUAL]],PROPERTIES[[#This Row],[TE_COEFFICIENT_CALC]]),3)</f>
        <v>0.3</v>
      </c>
      <c r="V698" s="6">
        <v>25</v>
      </c>
      <c r="W698" s="10">
        <v>0</v>
      </c>
      <c r="X698" s="10">
        <v>0</v>
      </c>
      <c r="Y698" s="11"/>
      <c r="Z698" t="s">
        <v>918</v>
      </c>
      <c r="AA698" t="s">
        <v>904</v>
      </c>
      <c r="AB698" s="2" t="s">
        <v>922</v>
      </c>
      <c r="AC698" s="10" t="s">
        <v>1008</v>
      </c>
      <c r="AD698" s="10" t="s">
        <v>1009</v>
      </c>
      <c r="AE698" s="11" t="str">
        <f>SUBSTITUTE(SUBSTITUTE(PROPERTIES[[#This Row],[PURCHASECOST_VALUE]], "PURCHASECOST_", ""), "_VALUE", "")</f>
        <v>WAGON</v>
      </c>
      <c r="AF698" s="10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698" s="2" t="b">
        <v>0</v>
      </c>
      <c r="AY698"/>
      <c r="AZ698"/>
      <c r="BA698"/>
    </row>
    <row r="699" spans="1:53">
      <c r="A699" s="2" t="s">
        <v>867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35</v>
      </c>
      <c r="G699" t="s">
        <v>601</v>
      </c>
      <c r="H699">
        <v>55</v>
      </c>
      <c r="I699">
        <v>8</v>
      </c>
      <c r="J699">
        <v>8</v>
      </c>
      <c r="K699" s="2" t="s">
        <v>33</v>
      </c>
      <c r="L699">
        <f>_xlfn.XLOOKUP("LOADINGSPEEDDEF_"&amp;PROPERTIES[[#This Row],[LOADINGSPEED]],LOADINGSPEEDDEF[TYPE],LOADINGSPEEDDEF[SPEED])</f>
        <v>20</v>
      </c>
      <c r="M699" t="s">
        <v>21</v>
      </c>
      <c r="N699">
        <v>0</v>
      </c>
      <c r="O699" s="34">
        <v>40</v>
      </c>
      <c r="P699">
        <v>0</v>
      </c>
      <c r="Q699">
        <v>120</v>
      </c>
      <c r="R699" s="31">
        <v>0</v>
      </c>
      <c r="S699" s="30">
        <f>IFERROR(PROPERTIES[[#This Row],[TE_STARTING_KN]]/(PROPERTIES[[#This Row],[WEIGHT]]*9.81),0)</f>
        <v>0</v>
      </c>
      <c r="T699" s="30">
        <v>0.3</v>
      </c>
      <c r="U699" s="27">
        <f>ROUND(IF(IFERROR(PROPERTIES[[#This Row],[TE_COEFFICIENT_CALC]],0)=0,PROPERTIES[[#This Row],[TE_COEFFICIENT_MANUAL]],PROPERTIES[[#This Row],[TE_COEFFICIENT_CALC]]),3)</f>
        <v>0.3</v>
      </c>
      <c r="V699" s="6">
        <v>25</v>
      </c>
      <c r="W699" s="10">
        <v>0</v>
      </c>
      <c r="X699" s="10">
        <v>0</v>
      </c>
      <c r="Y699" s="11"/>
      <c r="Z699" t="s">
        <v>918</v>
      </c>
      <c r="AA699" t="s">
        <v>904</v>
      </c>
      <c r="AB699" s="2" t="s">
        <v>922</v>
      </c>
      <c r="AC699" s="10" t="s">
        <v>1008</v>
      </c>
      <c r="AD699" s="10" t="s">
        <v>1009</v>
      </c>
      <c r="AE699" s="11" t="str">
        <f>SUBSTITUTE(SUBSTITUTE(PROPERTIES[[#This Row],[PURCHASECOST_VALUE]], "PURCHASECOST_", ""), "_VALUE", "")</f>
        <v>WAGON</v>
      </c>
      <c r="AF699" s="10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699" s="2" t="b">
        <v>0</v>
      </c>
      <c r="AY699"/>
      <c r="AZ699"/>
      <c r="BA699"/>
    </row>
    <row r="700" spans="1:53">
      <c r="A700" s="2" t="s">
        <v>868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35</v>
      </c>
      <c r="G700" t="s">
        <v>602</v>
      </c>
      <c r="H700">
        <v>65</v>
      </c>
      <c r="I700">
        <v>8</v>
      </c>
      <c r="J700">
        <v>8</v>
      </c>
      <c r="K700" s="2" t="s">
        <v>33</v>
      </c>
      <c r="L700">
        <f>_xlfn.XLOOKUP("LOADINGSPEEDDEF_"&amp;PROPERTIES[[#This Row],[LOADINGSPEED]],LOADINGSPEEDDEF[TYPE],LOADINGSPEEDDEF[SPEED])</f>
        <v>20</v>
      </c>
      <c r="M700" t="s">
        <v>21</v>
      </c>
      <c r="N700">
        <v>0</v>
      </c>
      <c r="O700" s="34">
        <v>25</v>
      </c>
      <c r="P700">
        <v>0</v>
      </c>
      <c r="Q700">
        <v>120</v>
      </c>
      <c r="R700" s="31">
        <v>0</v>
      </c>
      <c r="S700" s="30">
        <f>IFERROR(PROPERTIES[[#This Row],[TE_STARTING_KN]]/(PROPERTIES[[#This Row],[WEIGHT]]*9.81),0)</f>
        <v>0</v>
      </c>
      <c r="T700" s="30">
        <v>0.3</v>
      </c>
      <c r="U700" s="27">
        <f>ROUND(IF(IFERROR(PROPERTIES[[#This Row],[TE_COEFFICIENT_CALC]],0)=0,PROPERTIES[[#This Row],[TE_COEFFICIENT_MANUAL]],PROPERTIES[[#This Row],[TE_COEFFICIENT_CALC]]),3)</f>
        <v>0.3</v>
      </c>
      <c r="V700" s="6">
        <v>25</v>
      </c>
      <c r="W700" s="10">
        <v>0</v>
      </c>
      <c r="X700" s="10">
        <v>0</v>
      </c>
      <c r="Y700" s="11"/>
      <c r="Z700" t="s">
        <v>918</v>
      </c>
      <c r="AA700" t="s">
        <v>904</v>
      </c>
      <c r="AB700" s="2" t="s">
        <v>922</v>
      </c>
      <c r="AC700" s="10" t="s">
        <v>1008</v>
      </c>
      <c r="AD700" s="10" t="s">
        <v>1009</v>
      </c>
      <c r="AE700" s="11" t="str">
        <f>SUBSTITUTE(SUBSTITUTE(PROPERTIES[[#This Row],[PURCHASECOST_VALUE]], "PURCHASECOST_", ""), "_VALUE", "")</f>
        <v>WAGON</v>
      </c>
      <c r="AF700" s="10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00" s="2" t="b">
        <v>0</v>
      </c>
      <c r="AY700"/>
      <c r="AZ700"/>
      <c r="BA700"/>
    </row>
    <row r="701" spans="1:53">
      <c r="A701" s="2" t="s">
        <v>869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35</v>
      </c>
      <c r="G701" t="s">
        <v>608</v>
      </c>
      <c r="H701">
        <v>50</v>
      </c>
      <c r="I701">
        <v>4</v>
      </c>
      <c r="J701">
        <v>12</v>
      </c>
      <c r="K701" s="2" t="s">
        <v>33</v>
      </c>
      <c r="L701">
        <f>_xlfn.XLOOKUP("LOADINGSPEEDDEF_"&amp;PROPERTIES[[#This Row],[LOADINGSPEED]],LOADINGSPEEDDEF[TYPE],LOADINGSPEEDDEF[SPEED])</f>
        <v>20</v>
      </c>
      <c r="M701" t="s">
        <v>21</v>
      </c>
      <c r="N701">
        <v>0</v>
      </c>
      <c r="O701" s="34">
        <v>50</v>
      </c>
      <c r="P701">
        <v>0</v>
      </c>
      <c r="Q701">
        <v>100</v>
      </c>
      <c r="R701" s="31">
        <v>0</v>
      </c>
      <c r="S701" s="30">
        <f>IFERROR(PROPERTIES[[#This Row],[TE_STARTING_KN]]/(PROPERTIES[[#This Row],[WEIGHT]]*9.81),0)</f>
        <v>0</v>
      </c>
      <c r="T701" s="30">
        <v>0.3</v>
      </c>
      <c r="U701" s="27">
        <f>ROUND(IF(IFERROR(PROPERTIES[[#This Row],[TE_COEFFICIENT_CALC]],0)=0,PROPERTIES[[#This Row],[TE_COEFFICIENT_MANUAL]],PROPERTIES[[#This Row],[TE_COEFFICIENT_CALC]]),3)</f>
        <v>0.3</v>
      </c>
      <c r="V701" s="6">
        <v>25</v>
      </c>
      <c r="W701" s="10">
        <v>0</v>
      </c>
      <c r="X701" s="10">
        <v>0</v>
      </c>
      <c r="Y701" s="11"/>
      <c r="Z701" t="s">
        <v>918</v>
      </c>
      <c r="AA701" t="s">
        <v>904</v>
      </c>
      <c r="AB701" s="2" t="s">
        <v>922</v>
      </c>
      <c r="AC701" s="10" t="s">
        <v>1008</v>
      </c>
      <c r="AD701" s="10" t="s">
        <v>1009</v>
      </c>
      <c r="AE701" s="11" t="str">
        <f>SUBSTITUTE(SUBSTITUTE(PROPERTIES[[#This Row],[PURCHASECOST_VALUE]], "PURCHASECOST_", ""), "_VALUE", "")</f>
        <v>WAGON</v>
      </c>
      <c r="AF701" s="10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701" s="2" t="b">
        <v>0</v>
      </c>
      <c r="AY701"/>
      <c r="AZ701"/>
      <c r="BA701"/>
    </row>
    <row r="702" spans="1:53">
      <c r="A702" s="2" t="s">
        <v>870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35</v>
      </c>
      <c r="G702" t="s">
        <v>603</v>
      </c>
      <c r="H702">
        <v>72</v>
      </c>
      <c r="I702">
        <v>8</v>
      </c>
      <c r="J702">
        <v>8</v>
      </c>
      <c r="K702" s="2" t="s">
        <v>33</v>
      </c>
      <c r="L702">
        <f>_xlfn.XLOOKUP("LOADINGSPEEDDEF_"&amp;PROPERTIES[[#This Row],[LOADINGSPEED]],LOADINGSPEEDDEF[TYPE],LOADINGSPEEDDEF[SPEED])</f>
        <v>20</v>
      </c>
      <c r="M702" t="s">
        <v>21</v>
      </c>
      <c r="N702">
        <v>0</v>
      </c>
      <c r="O702" s="34">
        <v>23</v>
      </c>
      <c r="P702">
        <v>0</v>
      </c>
      <c r="Q702">
        <v>160</v>
      </c>
      <c r="R702" s="31">
        <v>0</v>
      </c>
      <c r="S702" s="30">
        <f>IFERROR(PROPERTIES[[#This Row],[TE_STARTING_KN]]/(PROPERTIES[[#This Row],[WEIGHT]]*9.81),0)</f>
        <v>0</v>
      </c>
      <c r="T702" s="30">
        <v>0.3</v>
      </c>
      <c r="U702" s="27">
        <f>ROUND(IF(IFERROR(PROPERTIES[[#This Row],[TE_COEFFICIENT_CALC]],0)=0,PROPERTIES[[#This Row],[TE_COEFFICIENT_MANUAL]],PROPERTIES[[#This Row],[TE_COEFFICIENT_CALC]]),3)</f>
        <v>0.3</v>
      </c>
      <c r="V702" s="6">
        <v>25</v>
      </c>
      <c r="W702" s="10">
        <v>0</v>
      </c>
      <c r="X702" s="10">
        <v>0</v>
      </c>
      <c r="Y702" s="11"/>
      <c r="Z702" t="s">
        <v>918</v>
      </c>
      <c r="AA702" t="s">
        <v>904</v>
      </c>
      <c r="AB702" s="2" t="s">
        <v>922</v>
      </c>
      <c r="AC702" s="10" t="s">
        <v>1008</v>
      </c>
      <c r="AD702" s="10" t="s">
        <v>1009</v>
      </c>
      <c r="AE702" s="11" t="str">
        <f>SUBSTITUTE(SUBSTITUTE(PROPERTIES[[#This Row],[PURCHASECOST_VALUE]], "PURCHASECOST_", ""), "_VALUE", "")</f>
        <v>WAGON</v>
      </c>
      <c r="AF702" s="10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02" s="2" t="b">
        <v>0</v>
      </c>
      <c r="AY702"/>
      <c r="AZ702"/>
      <c r="BA702"/>
    </row>
    <row r="703" spans="1:53">
      <c r="A703" s="2" t="s">
        <v>871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35</v>
      </c>
      <c r="G703" t="s">
        <v>605</v>
      </c>
      <c r="H703">
        <v>96</v>
      </c>
      <c r="I703">
        <v>8</v>
      </c>
      <c r="J703">
        <v>8</v>
      </c>
      <c r="K703" s="2" t="s">
        <v>33</v>
      </c>
      <c r="L703">
        <f>_xlfn.XLOOKUP("LOADINGSPEEDDEF_"&amp;PROPERTIES[[#This Row],[LOADINGSPEED]],LOADINGSPEEDDEF[TYPE],LOADINGSPEEDDEF[SPEED])</f>
        <v>20</v>
      </c>
      <c r="M703" t="s">
        <v>21</v>
      </c>
      <c r="N703">
        <v>0</v>
      </c>
      <c r="O703" s="34">
        <v>42</v>
      </c>
      <c r="P703">
        <v>0</v>
      </c>
      <c r="Q703">
        <v>140</v>
      </c>
      <c r="R703" s="31">
        <v>0</v>
      </c>
      <c r="S703" s="30">
        <f>IFERROR(PROPERTIES[[#This Row],[TE_STARTING_KN]]/(PROPERTIES[[#This Row],[WEIGHT]]*9.81),0)</f>
        <v>0</v>
      </c>
      <c r="T703" s="30">
        <v>0.3</v>
      </c>
      <c r="U703" s="27">
        <f>ROUND(IF(IFERROR(PROPERTIES[[#This Row],[TE_COEFFICIENT_CALC]],0)=0,PROPERTIES[[#This Row],[TE_COEFFICIENT_MANUAL]],PROPERTIES[[#This Row],[TE_COEFFICIENT_CALC]]),3)</f>
        <v>0.3</v>
      </c>
      <c r="V703" s="6">
        <v>25</v>
      </c>
      <c r="W703" s="10">
        <v>0</v>
      </c>
      <c r="X703" s="10">
        <v>0</v>
      </c>
      <c r="Y703" s="11"/>
      <c r="Z703" t="s">
        <v>918</v>
      </c>
      <c r="AA703" t="s">
        <v>904</v>
      </c>
      <c r="AB703" s="2" t="s">
        <v>922</v>
      </c>
      <c r="AC703" s="10" t="s">
        <v>1008</v>
      </c>
      <c r="AD703" s="10" t="s">
        <v>1009</v>
      </c>
      <c r="AE703" s="11" t="str">
        <f>SUBSTITUTE(SUBSTITUTE(PROPERTIES[[#This Row],[PURCHASECOST_VALUE]], "PURCHASECOST_", ""), "_VALUE", "")</f>
        <v>WAGON</v>
      </c>
      <c r="AF703" s="10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03" s="2" t="b">
        <v>0</v>
      </c>
      <c r="AY703"/>
      <c r="AZ703"/>
      <c r="BA703"/>
    </row>
    <row r="704" spans="1:53">
      <c r="A704" s="2" t="s">
        <v>872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35</v>
      </c>
      <c r="G704" t="s">
        <v>599</v>
      </c>
      <c r="H704">
        <v>74</v>
      </c>
      <c r="I704">
        <v>8</v>
      </c>
      <c r="J704">
        <v>8</v>
      </c>
      <c r="K704" s="2" t="s">
        <v>33</v>
      </c>
      <c r="L704">
        <f>_xlfn.XLOOKUP("LOADINGSPEEDDEF_"&amp;PROPERTIES[[#This Row],[LOADINGSPEED]],LOADINGSPEEDDEF[TYPE],LOADINGSPEEDDEF[SPEED])</f>
        <v>20</v>
      </c>
      <c r="M704" t="s">
        <v>21</v>
      </c>
      <c r="N704">
        <v>0</v>
      </c>
      <c r="O704" s="34">
        <v>27</v>
      </c>
      <c r="P704">
        <v>0</v>
      </c>
      <c r="Q704">
        <v>160</v>
      </c>
      <c r="R704" s="31">
        <v>0</v>
      </c>
      <c r="S704" s="30">
        <f>IFERROR(PROPERTIES[[#This Row],[TE_STARTING_KN]]/(PROPERTIES[[#This Row],[WEIGHT]]*9.81),0)</f>
        <v>0</v>
      </c>
      <c r="T704" s="30">
        <v>0.3</v>
      </c>
      <c r="U704" s="27">
        <f>ROUND(IF(IFERROR(PROPERTIES[[#This Row],[TE_COEFFICIENT_CALC]],0)=0,PROPERTIES[[#This Row],[TE_COEFFICIENT_MANUAL]],PROPERTIES[[#This Row],[TE_COEFFICIENT_CALC]]),3)</f>
        <v>0.3</v>
      </c>
      <c r="V704" s="6">
        <v>25</v>
      </c>
      <c r="W704" s="10">
        <v>0</v>
      </c>
      <c r="X704" s="10">
        <v>0</v>
      </c>
      <c r="Y704" s="11"/>
      <c r="Z704" t="s">
        <v>915</v>
      </c>
      <c r="AA704" t="s">
        <v>904</v>
      </c>
      <c r="AB704" s="2" t="s">
        <v>922</v>
      </c>
      <c r="AC704" s="10" t="s">
        <v>1008</v>
      </c>
      <c r="AD704" s="10" t="s">
        <v>1009</v>
      </c>
      <c r="AE704" s="11" t="str">
        <f>SUBSTITUTE(SUBSTITUTE(PROPERTIES[[#This Row],[PURCHASECOST_VALUE]], "PURCHASECOST_", ""), "_VALUE", "")</f>
        <v>WAGON</v>
      </c>
      <c r="AF704" s="10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04" s="2" t="b">
        <v>0</v>
      </c>
      <c r="AY704"/>
      <c r="AZ704"/>
      <c r="BA704"/>
    </row>
    <row r="705" spans="1:53">
      <c r="A705" s="2" t="s">
        <v>873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35</v>
      </c>
      <c r="G705" t="s">
        <v>599</v>
      </c>
      <c r="H705">
        <v>74</v>
      </c>
      <c r="I705">
        <v>8</v>
      </c>
      <c r="J705">
        <v>8</v>
      </c>
      <c r="K705" s="2" t="s">
        <v>33</v>
      </c>
      <c r="L705">
        <f>_xlfn.XLOOKUP("LOADINGSPEEDDEF_"&amp;PROPERTIES[[#This Row],[LOADINGSPEED]],LOADINGSPEEDDEF[TYPE],LOADINGSPEEDDEF[SPEED])</f>
        <v>20</v>
      </c>
      <c r="M705" t="s">
        <v>21</v>
      </c>
      <c r="N705">
        <v>0</v>
      </c>
      <c r="O705" s="34">
        <v>27</v>
      </c>
      <c r="P705">
        <v>0</v>
      </c>
      <c r="Q705">
        <v>160</v>
      </c>
      <c r="R705" s="31">
        <v>0</v>
      </c>
      <c r="S705" s="30">
        <f>IFERROR(PROPERTIES[[#This Row],[TE_STARTING_KN]]/(PROPERTIES[[#This Row],[WEIGHT]]*9.81),0)</f>
        <v>0</v>
      </c>
      <c r="T705" s="30">
        <v>0.3</v>
      </c>
      <c r="U705" s="27">
        <f>ROUND(IF(IFERROR(PROPERTIES[[#This Row],[TE_COEFFICIENT_CALC]],0)=0,PROPERTIES[[#This Row],[TE_COEFFICIENT_MANUAL]],PROPERTIES[[#This Row],[TE_COEFFICIENT_CALC]]),3)</f>
        <v>0.3</v>
      </c>
      <c r="V705" s="6">
        <v>25</v>
      </c>
      <c r="W705" s="10">
        <v>0</v>
      </c>
      <c r="X705" s="10">
        <v>0</v>
      </c>
      <c r="Y705" s="11"/>
      <c r="Z705" t="s">
        <v>916</v>
      </c>
      <c r="AA705" t="s">
        <v>904</v>
      </c>
      <c r="AB705" s="2" t="s">
        <v>922</v>
      </c>
      <c r="AC705" s="10" t="s">
        <v>1008</v>
      </c>
      <c r="AD705" s="10" t="s">
        <v>1009</v>
      </c>
      <c r="AE705" s="11" t="str">
        <f>SUBSTITUTE(SUBSTITUTE(PROPERTIES[[#This Row],[PURCHASECOST_VALUE]], "PURCHASECOST_", ""), "_VALUE", "")</f>
        <v>WAGON</v>
      </c>
      <c r="AF705" s="10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05" s="2" t="b">
        <v>0</v>
      </c>
      <c r="AY705"/>
      <c r="AZ705"/>
      <c r="BA705"/>
    </row>
    <row r="706" spans="1:53">
      <c r="A706" s="2" t="s">
        <v>874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35</v>
      </c>
      <c r="G706" t="s">
        <v>609</v>
      </c>
      <c r="H706">
        <v>105</v>
      </c>
      <c r="I706">
        <v>8</v>
      </c>
      <c r="J706">
        <v>8</v>
      </c>
      <c r="K706" s="2" t="s">
        <v>33</v>
      </c>
      <c r="L706">
        <f>_xlfn.XLOOKUP("LOADINGSPEEDDEF_"&amp;PROPERTIES[[#This Row],[LOADINGSPEED]],LOADINGSPEEDDEF[TYPE],LOADINGSPEEDDEF[SPEED])</f>
        <v>20</v>
      </c>
      <c r="M706" t="s">
        <v>21</v>
      </c>
      <c r="N706">
        <v>0</v>
      </c>
      <c r="O706" s="34">
        <v>24</v>
      </c>
      <c r="P706">
        <v>0</v>
      </c>
      <c r="Q706">
        <v>160</v>
      </c>
      <c r="R706" s="31">
        <v>0</v>
      </c>
      <c r="S706" s="30">
        <f>IFERROR(PROPERTIES[[#This Row],[TE_STARTING_KN]]/(PROPERTIES[[#This Row],[WEIGHT]]*9.81),0)</f>
        <v>0</v>
      </c>
      <c r="T706" s="30">
        <v>0.3</v>
      </c>
      <c r="U706" s="27">
        <f>ROUND(IF(IFERROR(PROPERTIES[[#This Row],[TE_COEFFICIENT_CALC]],0)=0,PROPERTIES[[#This Row],[TE_COEFFICIENT_MANUAL]],PROPERTIES[[#This Row],[TE_COEFFICIENT_CALC]]),3)</f>
        <v>0.3</v>
      </c>
      <c r="V706" s="6">
        <v>25</v>
      </c>
      <c r="W706" s="10">
        <v>0</v>
      </c>
      <c r="X706" s="10">
        <v>0</v>
      </c>
      <c r="Y706" s="11"/>
      <c r="Z706" t="s">
        <v>918</v>
      </c>
      <c r="AA706" t="s">
        <v>904</v>
      </c>
      <c r="AB706" s="2" t="s">
        <v>922</v>
      </c>
      <c r="AC706" s="10" t="s">
        <v>1008</v>
      </c>
      <c r="AD706" s="10" t="s">
        <v>1009</v>
      </c>
      <c r="AE706" s="11" t="str">
        <f>SUBSTITUTE(SUBSTITUTE(PROPERTIES[[#This Row],[PURCHASECOST_VALUE]], "PURCHASECOST_", ""), "_VALUE", "")</f>
        <v>WAGON</v>
      </c>
      <c r="AF706" s="10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06" s="2" t="b">
        <v>0</v>
      </c>
      <c r="AY706"/>
      <c r="AZ706"/>
      <c r="BA706"/>
    </row>
    <row r="707" spans="1:53">
      <c r="A707" s="2" t="s">
        <v>875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35</v>
      </c>
      <c r="G707" t="s">
        <v>604</v>
      </c>
      <c r="H707">
        <v>75</v>
      </c>
      <c r="I707">
        <v>8</v>
      </c>
      <c r="J707">
        <v>8</v>
      </c>
      <c r="K707" s="2" t="s">
        <v>33</v>
      </c>
      <c r="L707">
        <f>_xlfn.XLOOKUP("LOADINGSPEEDDEF_"&amp;PROPERTIES[[#This Row],[LOADINGSPEED]],LOADINGSPEEDDEF[TYPE],LOADINGSPEEDDEF[SPEED])</f>
        <v>20</v>
      </c>
      <c r="M707" t="s">
        <v>21</v>
      </c>
      <c r="N707">
        <v>0</v>
      </c>
      <c r="O707" s="34">
        <v>22</v>
      </c>
      <c r="P707">
        <v>0</v>
      </c>
      <c r="Q707">
        <v>160</v>
      </c>
      <c r="R707" s="31">
        <v>0</v>
      </c>
      <c r="S707" s="30">
        <f>IFERROR(PROPERTIES[[#This Row],[TE_STARTING_KN]]/(PROPERTIES[[#This Row],[WEIGHT]]*9.81),0)</f>
        <v>0</v>
      </c>
      <c r="T707" s="30">
        <v>0.3</v>
      </c>
      <c r="U707" s="27">
        <f>ROUND(IF(IFERROR(PROPERTIES[[#This Row],[TE_COEFFICIENT_CALC]],0)=0,PROPERTIES[[#This Row],[TE_COEFFICIENT_MANUAL]],PROPERTIES[[#This Row],[TE_COEFFICIENT_CALC]]),3)</f>
        <v>0.3</v>
      </c>
      <c r="V707" s="6">
        <v>25</v>
      </c>
      <c r="W707" s="10">
        <v>0</v>
      </c>
      <c r="X707" s="10">
        <v>0</v>
      </c>
      <c r="Y707" s="11"/>
      <c r="Z707" t="s">
        <v>918</v>
      </c>
      <c r="AA707" t="s">
        <v>904</v>
      </c>
      <c r="AB707" s="2" t="s">
        <v>922</v>
      </c>
      <c r="AC707" s="10" t="s">
        <v>1008</v>
      </c>
      <c r="AD707" s="10" t="s">
        <v>1009</v>
      </c>
      <c r="AE707" s="11" t="str">
        <f>SUBSTITUTE(SUBSTITUTE(PROPERTIES[[#This Row],[PURCHASECOST_VALUE]], "PURCHASECOST_", ""), "_VALUE", "")</f>
        <v>WAGON</v>
      </c>
      <c r="AF707" s="10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07" s="2" t="b">
        <v>0</v>
      </c>
      <c r="AY707"/>
      <c r="AZ707"/>
      <c r="BA707"/>
    </row>
    <row r="708" spans="1:53">
      <c r="A708" s="2" t="s">
        <v>876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35</v>
      </c>
      <c r="G708" t="s">
        <v>607</v>
      </c>
      <c r="H708">
        <v>75</v>
      </c>
      <c r="I708">
        <v>8</v>
      </c>
      <c r="J708">
        <v>8</v>
      </c>
      <c r="K708" s="2" t="s">
        <v>33</v>
      </c>
      <c r="L708">
        <f>_xlfn.XLOOKUP("LOADINGSPEEDDEF_"&amp;PROPERTIES[[#This Row],[LOADINGSPEED]],LOADINGSPEEDDEF[TYPE],LOADINGSPEEDDEF[SPEED])</f>
        <v>20</v>
      </c>
      <c r="M708" t="s">
        <v>21</v>
      </c>
      <c r="N708">
        <v>0</v>
      </c>
      <c r="O708" s="34">
        <v>27</v>
      </c>
      <c r="P708">
        <v>0</v>
      </c>
      <c r="Q708">
        <v>160</v>
      </c>
      <c r="R708" s="31">
        <v>0</v>
      </c>
      <c r="S708" s="30">
        <f>IFERROR(PROPERTIES[[#This Row],[TE_STARTING_KN]]/(PROPERTIES[[#This Row],[WEIGHT]]*9.81),0)</f>
        <v>0</v>
      </c>
      <c r="T708" s="30">
        <v>0.3</v>
      </c>
      <c r="U708" s="27">
        <f>ROUND(IF(IFERROR(PROPERTIES[[#This Row],[TE_COEFFICIENT_CALC]],0)=0,PROPERTIES[[#This Row],[TE_COEFFICIENT_MANUAL]],PROPERTIES[[#This Row],[TE_COEFFICIENT_CALC]]),3)</f>
        <v>0.3</v>
      </c>
      <c r="V708" s="6">
        <v>25</v>
      </c>
      <c r="W708" s="10">
        <v>0</v>
      </c>
      <c r="X708" s="10">
        <v>0</v>
      </c>
      <c r="Y708" s="11"/>
      <c r="Z708" t="s">
        <v>915</v>
      </c>
      <c r="AA708" t="s">
        <v>904</v>
      </c>
      <c r="AB708" s="2" t="s">
        <v>922</v>
      </c>
      <c r="AC708" s="10" t="s">
        <v>1008</v>
      </c>
      <c r="AD708" s="10" t="s">
        <v>1009</v>
      </c>
      <c r="AE708" s="11" t="str">
        <f>SUBSTITUTE(SUBSTITUTE(PROPERTIES[[#This Row],[PURCHASECOST_VALUE]], "PURCHASECOST_", ""), "_VALUE", "")</f>
        <v>WAGON</v>
      </c>
      <c r="AF708" s="10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08" s="2" t="b">
        <v>0</v>
      </c>
      <c r="AY708"/>
      <c r="AZ708"/>
      <c r="BA708"/>
    </row>
    <row r="709" spans="1:53">
      <c r="A709" s="2" t="s">
        <v>877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35</v>
      </c>
      <c r="G709" t="s">
        <v>607</v>
      </c>
      <c r="H709">
        <v>75</v>
      </c>
      <c r="I709">
        <v>8</v>
      </c>
      <c r="J709">
        <v>8</v>
      </c>
      <c r="K709" s="2" t="s">
        <v>33</v>
      </c>
      <c r="L709">
        <f>_xlfn.XLOOKUP("LOADINGSPEEDDEF_"&amp;PROPERTIES[[#This Row],[LOADINGSPEED]],LOADINGSPEEDDEF[TYPE],LOADINGSPEEDDEF[SPEED])</f>
        <v>20</v>
      </c>
      <c r="M709" t="s">
        <v>21</v>
      </c>
      <c r="N709">
        <v>0</v>
      </c>
      <c r="O709" s="34">
        <v>27</v>
      </c>
      <c r="P709">
        <v>0</v>
      </c>
      <c r="Q709">
        <v>160</v>
      </c>
      <c r="R709" s="31">
        <v>0</v>
      </c>
      <c r="S709" s="30">
        <f>IFERROR(PROPERTIES[[#This Row],[TE_STARTING_KN]]/(PROPERTIES[[#This Row],[WEIGHT]]*9.81),0)</f>
        <v>0</v>
      </c>
      <c r="T709" s="30">
        <v>0.3</v>
      </c>
      <c r="U709" s="27">
        <f>ROUND(IF(IFERROR(PROPERTIES[[#This Row],[TE_COEFFICIENT_CALC]],0)=0,PROPERTIES[[#This Row],[TE_COEFFICIENT_MANUAL]],PROPERTIES[[#This Row],[TE_COEFFICIENT_CALC]]),3)</f>
        <v>0.3</v>
      </c>
      <c r="V709" s="6">
        <v>25</v>
      </c>
      <c r="W709" s="10">
        <v>0</v>
      </c>
      <c r="X709" s="10">
        <v>0</v>
      </c>
      <c r="Y709" s="11"/>
      <c r="Z709" t="s">
        <v>916</v>
      </c>
      <c r="AA709" t="s">
        <v>904</v>
      </c>
      <c r="AB709" s="2" t="s">
        <v>922</v>
      </c>
      <c r="AC709" s="10" t="s">
        <v>1008</v>
      </c>
      <c r="AD709" s="10" t="s">
        <v>1009</v>
      </c>
      <c r="AE709" s="11" t="str">
        <f>SUBSTITUTE(SUBSTITUTE(PROPERTIES[[#This Row],[PURCHASECOST_VALUE]], "PURCHASECOST_", ""), "_VALUE", "")</f>
        <v>WAGON</v>
      </c>
      <c r="AF709" s="10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09" s="2" t="b">
        <v>0</v>
      </c>
      <c r="AY709"/>
      <c r="AZ709"/>
      <c r="BA709"/>
    </row>
    <row r="710" spans="1:53">
      <c r="A710" s="2" t="s">
        <v>878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35</v>
      </c>
      <c r="G710" t="s">
        <v>606</v>
      </c>
      <c r="H710">
        <v>75</v>
      </c>
      <c r="I710">
        <v>8</v>
      </c>
      <c r="J710">
        <v>8</v>
      </c>
      <c r="K710" s="2" t="s">
        <v>33</v>
      </c>
      <c r="L710">
        <f>_xlfn.XLOOKUP("LOADINGSPEEDDEF_"&amp;PROPERTIES[[#This Row],[LOADINGSPEED]],LOADINGSPEEDDEF[TYPE],LOADINGSPEEDDEF[SPEED])</f>
        <v>20</v>
      </c>
      <c r="M710" t="s">
        <v>21</v>
      </c>
      <c r="N710">
        <v>0</v>
      </c>
      <c r="O710" s="34">
        <v>26</v>
      </c>
      <c r="P710">
        <v>0</v>
      </c>
      <c r="Q710">
        <v>160</v>
      </c>
      <c r="R710" s="31">
        <v>0</v>
      </c>
      <c r="S710" s="30">
        <f>IFERROR(PROPERTIES[[#This Row],[TE_STARTING_KN]]/(PROPERTIES[[#This Row],[WEIGHT]]*9.81),0)</f>
        <v>0</v>
      </c>
      <c r="T710" s="30">
        <v>0.3</v>
      </c>
      <c r="U710" s="27">
        <f>ROUND(IF(IFERROR(PROPERTIES[[#This Row],[TE_COEFFICIENT_CALC]],0)=0,PROPERTIES[[#This Row],[TE_COEFFICIENT_MANUAL]],PROPERTIES[[#This Row],[TE_COEFFICIENT_CALC]]),3)</f>
        <v>0.3</v>
      </c>
      <c r="V710" s="6">
        <v>25</v>
      </c>
      <c r="W710" s="10">
        <v>0</v>
      </c>
      <c r="X710" s="10">
        <v>0</v>
      </c>
      <c r="Y710" s="11"/>
      <c r="Z710" t="s">
        <v>915</v>
      </c>
      <c r="AA710" t="s">
        <v>904</v>
      </c>
      <c r="AB710" s="2" t="s">
        <v>922</v>
      </c>
      <c r="AC710" s="10" t="s">
        <v>1008</v>
      </c>
      <c r="AD710" s="10" t="s">
        <v>1009</v>
      </c>
      <c r="AE710" s="11" t="str">
        <f>SUBSTITUTE(SUBSTITUTE(PROPERTIES[[#This Row],[PURCHASECOST_VALUE]], "PURCHASECOST_", ""), "_VALUE", "")</f>
        <v>WAGON</v>
      </c>
      <c r="AF710" s="10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10" s="2" t="b">
        <v>0</v>
      </c>
      <c r="AY710"/>
      <c r="AZ710"/>
      <c r="BA710"/>
    </row>
    <row r="711" spans="1:53">
      <c r="A711" s="2" t="s">
        <v>879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35</v>
      </c>
      <c r="G711" t="s">
        <v>606</v>
      </c>
      <c r="H711">
        <v>75</v>
      </c>
      <c r="I711">
        <v>8</v>
      </c>
      <c r="J711">
        <v>8</v>
      </c>
      <c r="K711" s="2" t="s">
        <v>33</v>
      </c>
      <c r="L711">
        <f>_xlfn.XLOOKUP("LOADINGSPEEDDEF_"&amp;PROPERTIES[[#This Row],[LOADINGSPEED]],LOADINGSPEEDDEF[TYPE],LOADINGSPEEDDEF[SPEED])</f>
        <v>20</v>
      </c>
      <c r="M711" t="s">
        <v>21</v>
      </c>
      <c r="N711">
        <v>0</v>
      </c>
      <c r="O711" s="34">
        <v>26</v>
      </c>
      <c r="P711">
        <v>0</v>
      </c>
      <c r="Q711">
        <v>160</v>
      </c>
      <c r="R711" s="31">
        <v>0</v>
      </c>
      <c r="S711" s="30">
        <f>IFERROR(PROPERTIES[[#This Row],[TE_STARTING_KN]]/(PROPERTIES[[#This Row],[WEIGHT]]*9.81),0)</f>
        <v>0</v>
      </c>
      <c r="T711" s="30">
        <v>0.3</v>
      </c>
      <c r="U711" s="27">
        <f>ROUND(IF(IFERROR(PROPERTIES[[#This Row],[TE_COEFFICIENT_CALC]],0)=0,PROPERTIES[[#This Row],[TE_COEFFICIENT_MANUAL]],PROPERTIES[[#This Row],[TE_COEFFICIENT_CALC]]),3)</f>
        <v>0.3</v>
      </c>
      <c r="V711" s="6">
        <v>25</v>
      </c>
      <c r="W711" s="10">
        <v>0</v>
      </c>
      <c r="X711" s="10">
        <v>0</v>
      </c>
      <c r="Y711" s="11"/>
      <c r="Z711" t="s">
        <v>918</v>
      </c>
      <c r="AA711" t="s">
        <v>904</v>
      </c>
      <c r="AB711" s="2" t="s">
        <v>922</v>
      </c>
      <c r="AC711" s="10" t="s">
        <v>1008</v>
      </c>
      <c r="AD711" s="10" t="s">
        <v>1009</v>
      </c>
      <c r="AE711" s="11" t="str">
        <f>SUBSTITUTE(SUBSTITUTE(PROPERTIES[[#This Row],[PURCHASECOST_VALUE]], "PURCHASECOST_", ""), "_VALUE", "")</f>
        <v>WAGON</v>
      </c>
      <c r="AF711" s="10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11" s="2" t="b">
        <v>0</v>
      </c>
      <c r="AY711"/>
      <c r="AZ711"/>
      <c r="BA711"/>
    </row>
    <row r="712" spans="1:53">
      <c r="A712" s="2" t="s">
        <v>880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35</v>
      </c>
      <c r="G712" t="s">
        <v>600</v>
      </c>
      <c r="H712">
        <v>20</v>
      </c>
      <c r="I712">
        <v>8</v>
      </c>
      <c r="J712">
        <v>8</v>
      </c>
      <c r="K712" s="2" t="s">
        <v>33</v>
      </c>
      <c r="L712">
        <f>_xlfn.XLOOKUP("LOADINGSPEEDDEF_"&amp;PROPERTIES[[#This Row],[LOADINGSPEED]],LOADINGSPEEDDEF[TYPE],LOADINGSPEEDDEF[SPEED])</f>
        <v>20</v>
      </c>
      <c r="M712" t="s">
        <v>21</v>
      </c>
      <c r="N712">
        <v>0</v>
      </c>
      <c r="O712" s="34">
        <v>28</v>
      </c>
      <c r="P712">
        <v>0</v>
      </c>
      <c r="Q712">
        <v>160</v>
      </c>
      <c r="R712" s="31">
        <v>0</v>
      </c>
      <c r="S712" s="30">
        <f>IFERROR(PROPERTIES[[#This Row],[TE_STARTING_KN]]/(PROPERTIES[[#This Row],[WEIGHT]]*9.81),0)</f>
        <v>0</v>
      </c>
      <c r="T712" s="30">
        <v>0.3</v>
      </c>
      <c r="U712" s="27">
        <f>ROUND(IF(IFERROR(PROPERTIES[[#This Row],[TE_COEFFICIENT_CALC]],0)=0,PROPERTIES[[#This Row],[TE_COEFFICIENT_MANUAL]],PROPERTIES[[#This Row],[TE_COEFFICIENT_CALC]]),3)</f>
        <v>0.3</v>
      </c>
      <c r="V712" s="6">
        <v>25</v>
      </c>
      <c r="W712" s="10">
        <v>0</v>
      </c>
      <c r="X712" s="10">
        <v>0</v>
      </c>
      <c r="Y712" s="11"/>
      <c r="Z712" t="s">
        <v>918</v>
      </c>
      <c r="AA712" t="s">
        <v>904</v>
      </c>
      <c r="AB712" s="2" t="s">
        <v>922</v>
      </c>
      <c r="AC712" s="10" t="s">
        <v>1008</v>
      </c>
      <c r="AD712" s="10" t="s">
        <v>1009</v>
      </c>
      <c r="AE712" s="11" t="str">
        <f>SUBSTITUTE(SUBSTITUTE(PROPERTIES[[#This Row],[PURCHASECOST_VALUE]], "PURCHASECOST_", ""), "_VALUE", "")</f>
        <v>WAGON</v>
      </c>
      <c r="AF712" s="10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12" s="2" t="b">
        <v>0</v>
      </c>
      <c r="AY712"/>
      <c r="AZ712"/>
      <c r="BA712"/>
    </row>
    <row r="713" spans="1:53">
      <c r="A713" s="2" t="s">
        <v>881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35</v>
      </c>
      <c r="G713" t="s">
        <v>532</v>
      </c>
      <c r="H713">
        <v>60</v>
      </c>
      <c r="I713">
        <v>8</v>
      </c>
      <c r="J713">
        <v>8</v>
      </c>
      <c r="K713" s="2" t="s">
        <v>33</v>
      </c>
      <c r="L713">
        <f>_xlfn.XLOOKUP("LOADINGSPEEDDEF_"&amp;PROPERTIES[[#This Row],[LOADINGSPEED]],LOADINGSPEEDDEF[TYPE],LOADINGSPEEDDEF[SPEED])</f>
        <v>20</v>
      </c>
      <c r="M713" t="s">
        <v>21</v>
      </c>
      <c r="N713">
        <v>0</v>
      </c>
      <c r="O713" s="34">
        <v>22</v>
      </c>
      <c r="P713">
        <v>0</v>
      </c>
      <c r="Q713">
        <v>160</v>
      </c>
      <c r="R713" s="31">
        <v>0</v>
      </c>
      <c r="S713" s="30">
        <f>IFERROR(PROPERTIES[[#This Row],[TE_STARTING_KN]]/(PROPERTIES[[#This Row],[WEIGHT]]*9.81),0)</f>
        <v>0</v>
      </c>
      <c r="T713" s="30">
        <v>0.3</v>
      </c>
      <c r="U713" s="27">
        <f>ROUND(IF(IFERROR(PROPERTIES[[#This Row],[TE_COEFFICIENT_CALC]],0)=0,PROPERTIES[[#This Row],[TE_COEFFICIENT_MANUAL]],PROPERTIES[[#This Row],[TE_COEFFICIENT_CALC]]),3)</f>
        <v>0.3</v>
      </c>
      <c r="V713" s="6">
        <v>25</v>
      </c>
      <c r="W713" s="10">
        <v>0</v>
      </c>
      <c r="X713" s="10">
        <v>0</v>
      </c>
      <c r="Y713" s="11"/>
      <c r="Z713" t="s">
        <v>918</v>
      </c>
      <c r="AA713" t="s">
        <v>904</v>
      </c>
      <c r="AB713" s="2" t="s">
        <v>922</v>
      </c>
      <c r="AC713" s="10" t="s">
        <v>1008</v>
      </c>
      <c r="AD713" s="10" t="s">
        <v>1009</v>
      </c>
      <c r="AE713" s="11" t="str">
        <f>SUBSTITUTE(SUBSTITUTE(PROPERTIES[[#This Row],[PURCHASECOST_VALUE]], "PURCHASECOST_", ""), "_VALUE", "")</f>
        <v>WAGON</v>
      </c>
      <c r="AF713" s="10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13" s="2" t="b">
        <v>0</v>
      </c>
      <c r="AY713"/>
      <c r="AZ713"/>
      <c r="BA713"/>
    </row>
    <row r="714" spans="1:53">
      <c r="A714" s="2" t="s">
        <v>882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35</v>
      </c>
      <c r="G714" t="s">
        <v>601</v>
      </c>
      <c r="H714">
        <v>65</v>
      </c>
      <c r="I714">
        <v>8</v>
      </c>
      <c r="J714">
        <v>8</v>
      </c>
      <c r="K714" s="2" t="s">
        <v>33</v>
      </c>
      <c r="L714">
        <f>_xlfn.XLOOKUP("LOADINGSPEEDDEF_"&amp;PROPERTIES[[#This Row],[LOADINGSPEED]],LOADINGSPEEDDEF[TYPE],LOADINGSPEEDDEF[SPEED])</f>
        <v>20</v>
      </c>
      <c r="M714" t="s">
        <v>21</v>
      </c>
      <c r="N714">
        <v>0</v>
      </c>
      <c r="O714" s="34">
        <v>40</v>
      </c>
      <c r="P714">
        <v>0</v>
      </c>
      <c r="Q714">
        <v>160</v>
      </c>
      <c r="R714" s="31">
        <v>0</v>
      </c>
      <c r="S714" s="30">
        <f>IFERROR(PROPERTIES[[#This Row],[TE_STARTING_KN]]/(PROPERTIES[[#This Row],[WEIGHT]]*9.81),0)</f>
        <v>0</v>
      </c>
      <c r="T714" s="30">
        <v>0.3</v>
      </c>
      <c r="U714" s="27">
        <f>ROUND(IF(IFERROR(PROPERTIES[[#This Row],[TE_COEFFICIENT_CALC]],0)=0,PROPERTIES[[#This Row],[TE_COEFFICIENT_MANUAL]],PROPERTIES[[#This Row],[TE_COEFFICIENT_CALC]]),3)</f>
        <v>0.3</v>
      </c>
      <c r="V714" s="6">
        <v>25</v>
      </c>
      <c r="W714" s="10">
        <v>0</v>
      </c>
      <c r="X714" s="10">
        <v>0</v>
      </c>
      <c r="Y714" s="11"/>
      <c r="Z714" t="s">
        <v>918</v>
      </c>
      <c r="AA714" t="s">
        <v>904</v>
      </c>
      <c r="AB714" s="2" t="s">
        <v>922</v>
      </c>
      <c r="AC714" s="10" t="s">
        <v>1008</v>
      </c>
      <c r="AD714" s="10" t="s">
        <v>1009</v>
      </c>
      <c r="AE714" s="11" t="str">
        <f>SUBSTITUTE(SUBSTITUTE(PROPERTIES[[#This Row],[PURCHASECOST_VALUE]], "PURCHASECOST_", ""), "_VALUE", "")</f>
        <v>WAGON</v>
      </c>
      <c r="AF714" s="10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14" s="2" t="b">
        <v>0</v>
      </c>
      <c r="AY714"/>
      <c r="AZ714"/>
      <c r="BA714"/>
    </row>
    <row r="715" spans="1:53">
      <c r="A715" s="2" t="s">
        <v>883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35</v>
      </c>
      <c r="G715" t="s">
        <v>602</v>
      </c>
      <c r="H715">
        <v>75</v>
      </c>
      <c r="I715">
        <v>8</v>
      </c>
      <c r="J715">
        <v>8</v>
      </c>
      <c r="K715" s="2" t="s">
        <v>33</v>
      </c>
      <c r="L715">
        <f>_xlfn.XLOOKUP("LOADINGSPEEDDEF_"&amp;PROPERTIES[[#This Row],[LOADINGSPEED]],LOADINGSPEEDDEF[TYPE],LOADINGSPEEDDEF[SPEED])</f>
        <v>20</v>
      </c>
      <c r="M715" t="s">
        <v>21</v>
      </c>
      <c r="N715">
        <v>0</v>
      </c>
      <c r="O715" s="34">
        <v>25</v>
      </c>
      <c r="P715">
        <v>0</v>
      </c>
      <c r="Q715">
        <v>160</v>
      </c>
      <c r="R715" s="31">
        <v>0</v>
      </c>
      <c r="S715" s="30">
        <f>IFERROR(PROPERTIES[[#This Row],[TE_STARTING_KN]]/(PROPERTIES[[#This Row],[WEIGHT]]*9.81),0)</f>
        <v>0</v>
      </c>
      <c r="T715" s="30">
        <v>0.3</v>
      </c>
      <c r="U715" s="27">
        <f>ROUND(IF(IFERROR(PROPERTIES[[#This Row],[TE_COEFFICIENT_CALC]],0)=0,PROPERTIES[[#This Row],[TE_COEFFICIENT_MANUAL]],PROPERTIES[[#This Row],[TE_COEFFICIENT_CALC]]),3)</f>
        <v>0.3</v>
      </c>
      <c r="V715" s="6">
        <v>25</v>
      </c>
      <c r="W715" s="10">
        <v>0</v>
      </c>
      <c r="X715" s="10">
        <v>0</v>
      </c>
      <c r="Y715" s="11"/>
      <c r="Z715" t="s">
        <v>918</v>
      </c>
      <c r="AA715" t="s">
        <v>904</v>
      </c>
      <c r="AB715" s="2" t="s">
        <v>922</v>
      </c>
      <c r="AC715" s="10" t="s">
        <v>1008</v>
      </c>
      <c r="AD715" s="10" t="s">
        <v>1009</v>
      </c>
      <c r="AE715" s="11" t="str">
        <f>SUBSTITUTE(SUBSTITUTE(PROPERTIES[[#This Row],[PURCHASECOST_VALUE]], "PURCHASECOST_", ""), "_VALUE", "")</f>
        <v>WAGON</v>
      </c>
      <c r="AF715" s="10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15" s="2" t="b">
        <v>0</v>
      </c>
      <c r="AY715"/>
      <c r="AZ715"/>
      <c r="BA715"/>
    </row>
    <row r="716" spans="1:53">
      <c r="A716" s="2" t="s">
        <v>884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35</v>
      </c>
      <c r="G716" t="s">
        <v>608</v>
      </c>
      <c r="H716">
        <v>65</v>
      </c>
      <c r="I716">
        <v>4</v>
      </c>
      <c r="J716">
        <v>12</v>
      </c>
      <c r="K716" s="2" t="s">
        <v>33</v>
      </c>
      <c r="L716">
        <f>_xlfn.XLOOKUP("LOADINGSPEEDDEF_"&amp;PROPERTIES[[#This Row],[LOADINGSPEED]],LOADINGSPEEDDEF[TYPE],LOADINGSPEEDDEF[SPEED])</f>
        <v>20</v>
      </c>
      <c r="M716" t="s">
        <v>21</v>
      </c>
      <c r="N716">
        <v>0</v>
      </c>
      <c r="O716" s="34">
        <v>50</v>
      </c>
      <c r="P716">
        <v>0</v>
      </c>
      <c r="Q716">
        <v>140</v>
      </c>
      <c r="R716" s="31">
        <v>0</v>
      </c>
      <c r="S716" s="30">
        <f>IFERROR(PROPERTIES[[#This Row],[TE_STARTING_KN]]/(PROPERTIES[[#This Row],[WEIGHT]]*9.81),0)</f>
        <v>0</v>
      </c>
      <c r="T716" s="30">
        <v>0.3</v>
      </c>
      <c r="U716" s="27">
        <f>ROUND(IF(IFERROR(PROPERTIES[[#This Row],[TE_COEFFICIENT_CALC]],0)=0,PROPERTIES[[#This Row],[TE_COEFFICIENT_MANUAL]],PROPERTIES[[#This Row],[TE_COEFFICIENT_CALC]]),3)</f>
        <v>0.3</v>
      </c>
      <c r="V716" s="6">
        <v>25</v>
      </c>
      <c r="W716" s="10">
        <v>0</v>
      </c>
      <c r="X716" s="10">
        <v>0</v>
      </c>
      <c r="Y716" s="11"/>
      <c r="Z716" t="s">
        <v>918</v>
      </c>
      <c r="AA716" t="s">
        <v>904</v>
      </c>
      <c r="AB716" s="2" t="s">
        <v>922</v>
      </c>
      <c r="AC716" s="10" t="s">
        <v>1008</v>
      </c>
      <c r="AD716" s="10" t="s">
        <v>1009</v>
      </c>
      <c r="AE716" s="11" t="str">
        <f>SUBSTITUTE(SUBSTITUTE(PROPERTIES[[#This Row],[PURCHASECOST_VALUE]], "PURCHASECOST_", ""), "_VALUE", "")</f>
        <v>WAGON</v>
      </c>
      <c r="AF716" s="10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16" s="2" t="b">
        <v>0</v>
      </c>
      <c r="AY716"/>
      <c r="AZ716"/>
      <c r="BA716"/>
    </row>
    <row r="717" spans="1:53">
      <c r="A717" s="2" t="s">
        <v>899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35</v>
      </c>
      <c r="G717" t="s">
        <v>20</v>
      </c>
      <c r="H717">
        <v>0</v>
      </c>
      <c r="I717">
        <v>5</v>
      </c>
      <c r="J717">
        <v>5</v>
      </c>
      <c r="K717" s="2" t="s">
        <v>33</v>
      </c>
      <c r="L717">
        <f>_xlfn.XLOOKUP("LOADINGSPEEDDEF_"&amp;PROPERTIES[[#This Row],[LOADINGSPEED]],LOADINGSPEEDDEF[TYPE],LOADINGSPEEDDEF[SPEED])</f>
        <v>20</v>
      </c>
      <c r="M717" t="s">
        <v>21</v>
      </c>
      <c r="N717">
        <v>0</v>
      </c>
      <c r="O717" s="34">
        <v>15</v>
      </c>
      <c r="P717">
        <v>0</v>
      </c>
      <c r="Q717">
        <v>0</v>
      </c>
      <c r="R717" s="31">
        <v>0</v>
      </c>
      <c r="S717" s="30">
        <f>IFERROR(PROPERTIES[[#This Row],[TE_STARTING_KN]]/(PROPERTIES[[#This Row],[WEIGHT]]*9.81),0)</f>
        <v>0</v>
      </c>
      <c r="T717" s="30">
        <v>0.3</v>
      </c>
      <c r="U717" s="27">
        <f>ROUND(IF(IFERROR(PROPERTIES[[#This Row],[TE_COEFFICIENT_CALC]],0)=0,PROPERTIES[[#This Row],[TE_COEFFICIENT_MANUAL]],PROPERTIES[[#This Row],[TE_COEFFICIENT_CALC]]),3)</f>
        <v>0.3</v>
      </c>
      <c r="V717" s="6">
        <v>25</v>
      </c>
      <c r="W717" s="10">
        <v>0</v>
      </c>
      <c r="X717" s="10">
        <v>0</v>
      </c>
      <c r="Y717" s="11"/>
      <c r="Z717" t="s">
        <v>915</v>
      </c>
      <c r="AA717" t="s">
        <v>904</v>
      </c>
      <c r="AB717" s="2" t="s">
        <v>922</v>
      </c>
      <c r="AC717" s="10" t="s">
        <v>1008</v>
      </c>
      <c r="AD717" s="10" t="s">
        <v>1009</v>
      </c>
      <c r="AE717" s="11" t="str">
        <f>SUBSTITUTE(SUBSTITUTE(PROPERTIES[[#This Row],[PURCHASECOST_VALUE]], "PURCHASECOST_", ""), "_VALUE", "")</f>
        <v>WAGON</v>
      </c>
      <c r="AF717" s="10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717" s="2" t="b">
        <v>0</v>
      </c>
      <c r="AY717"/>
      <c r="AZ717"/>
      <c r="BA717"/>
    </row>
    <row r="718" spans="1:53">
      <c r="A718" s="2" t="s">
        <v>900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35</v>
      </c>
      <c r="G718" t="s">
        <v>20</v>
      </c>
      <c r="H718">
        <v>0</v>
      </c>
      <c r="I718">
        <v>5</v>
      </c>
      <c r="J718">
        <v>5</v>
      </c>
      <c r="K718" s="2" t="s">
        <v>33</v>
      </c>
      <c r="L718">
        <f>_xlfn.XLOOKUP("LOADINGSPEEDDEF_"&amp;PROPERTIES[[#This Row],[LOADINGSPEED]],LOADINGSPEEDDEF[TYPE],LOADINGSPEEDDEF[SPEED])</f>
        <v>20</v>
      </c>
      <c r="M718" t="s">
        <v>21</v>
      </c>
      <c r="N718">
        <v>0</v>
      </c>
      <c r="O718" s="34">
        <v>15</v>
      </c>
      <c r="P718">
        <v>0</v>
      </c>
      <c r="Q718">
        <v>0</v>
      </c>
      <c r="R718" s="31">
        <v>0</v>
      </c>
      <c r="S718" s="30">
        <f>IFERROR(PROPERTIES[[#This Row],[TE_STARTING_KN]]/(PROPERTIES[[#This Row],[WEIGHT]]*9.81),0)</f>
        <v>0</v>
      </c>
      <c r="T718" s="30">
        <v>0.3</v>
      </c>
      <c r="U718" s="27">
        <f>ROUND(IF(IFERROR(PROPERTIES[[#This Row],[TE_COEFFICIENT_CALC]],0)=0,PROPERTIES[[#This Row],[TE_COEFFICIENT_MANUAL]],PROPERTIES[[#This Row],[TE_COEFFICIENT_CALC]]),3)</f>
        <v>0.3</v>
      </c>
      <c r="V718" s="6">
        <v>25</v>
      </c>
      <c r="W718" s="10">
        <v>0</v>
      </c>
      <c r="X718" s="10">
        <v>0</v>
      </c>
      <c r="Y718" s="11"/>
      <c r="Z718" t="s">
        <v>916</v>
      </c>
      <c r="AA718" t="s">
        <v>904</v>
      </c>
      <c r="AB718" s="2" t="s">
        <v>922</v>
      </c>
      <c r="AC718" s="10" t="s">
        <v>1008</v>
      </c>
      <c r="AD718" s="10" t="s">
        <v>1009</v>
      </c>
      <c r="AE718" s="11" t="str">
        <f>SUBSTITUTE(SUBSTITUTE(PROPERTIES[[#This Row],[PURCHASECOST_VALUE]], "PURCHASECOST_", ""), "_VALUE", "")</f>
        <v>WAGON</v>
      </c>
      <c r="AF718" s="10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718" s="2" t="b">
        <v>0</v>
      </c>
      <c r="AY718"/>
      <c r="AZ718"/>
      <c r="BA718"/>
    </row>
    <row r="719" spans="1:53">
      <c r="A719" s="2" t="s">
        <v>756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35</v>
      </c>
      <c r="G719" t="s">
        <v>325</v>
      </c>
      <c r="H719">
        <v>20</v>
      </c>
      <c r="I719">
        <v>4</v>
      </c>
      <c r="J719">
        <v>4</v>
      </c>
      <c r="K719" s="2" t="s">
        <v>24</v>
      </c>
      <c r="L719">
        <v>40</v>
      </c>
      <c r="M719">
        <v>90</v>
      </c>
      <c r="N719">
        <v>1</v>
      </c>
      <c r="O719" s="34">
        <v>5</v>
      </c>
      <c r="P719">
        <v>0</v>
      </c>
      <c r="Q719">
        <v>40</v>
      </c>
      <c r="R719" s="31">
        <v>0</v>
      </c>
      <c r="S719" s="30">
        <f>IFERROR(PROPERTIES[[#This Row],[TE_STARTING_KN]]/(PROPERTIES[[#This Row],[WEIGHT]]*9.81),0)</f>
        <v>0</v>
      </c>
      <c r="T719" s="30">
        <v>0.3</v>
      </c>
      <c r="U719" s="27">
        <f>ROUND(IF(IFERROR(PROPERTIES[[#This Row],[TE_COEFFICIENT_CALC]],0)=0,PROPERTIES[[#This Row],[TE_COEFFICIENT_MANUAL]],PROPERTIES[[#This Row],[TE_COEFFICIENT_CALC]]),3)</f>
        <v>0.3</v>
      </c>
      <c r="V719" s="6">
        <v>25</v>
      </c>
      <c r="W719" s="10">
        <v>0</v>
      </c>
      <c r="X719" s="10">
        <v>0</v>
      </c>
      <c r="Y719" s="11"/>
      <c r="Z719" t="s">
        <v>915</v>
      </c>
      <c r="AA719" t="s">
        <v>907</v>
      </c>
      <c r="AB719" s="2" t="s">
        <v>922</v>
      </c>
      <c r="AC719" s="10" t="s">
        <v>1010</v>
      </c>
      <c r="AD719" s="10" t="s">
        <v>1011</v>
      </c>
      <c r="AE719" s="11" t="str">
        <f>SUBSTITUTE(SUBSTITUTE(PROPERTIES[[#This Row],[PURCHASECOST_VALUE]], "PURCHASECOST_", ""), "_VALUE", "")</f>
        <v>COACH</v>
      </c>
      <c r="AF719" s="10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19" s="2" t="b">
        <v>0</v>
      </c>
      <c r="AY719"/>
      <c r="AZ719"/>
      <c r="BA719"/>
    </row>
    <row r="720" spans="1:53">
      <c r="A720" s="2" t="s">
        <v>757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35</v>
      </c>
      <c r="G720" t="s">
        <v>325</v>
      </c>
      <c r="H720">
        <v>45</v>
      </c>
      <c r="I720">
        <v>4</v>
      </c>
      <c r="J720">
        <v>4</v>
      </c>
      <c r="K720" s="2" t="s">
        <v>479</v>
      </c>
      <c r="L720">
        <v>16</v>
      </c>
      <c r="M720">
        <v>90</v>
      </c>
      <c r="N720">
        <v>1</v>
      </c>
      <c r="O720" s="34">
        <v>8</v>
      </c>
      <c r="P720">
        <v>0</v>
      </c>
      <c r="Q720">
        <v>65</v>
      </c>
      <c r="R720" s="31">
        <v>0</v>
      </c>
      <c r="S720" s="30">
        <f>IFERROR(PROPERTIES[[#This Row],[TE_STARTING_KN]]/(PROPERTIES[[#This Row],[WEIGHT]]*9.81),0)</f>
        <v>0</v>
      </c>
      <c r="T720" s="30">
        <v>0.3</v>
      </c>
      <c r="U720" s="27">
        <f>ROUND(IF(IFERROR(PROPERTIES[[#This Row],[TE_COEFFICIENT_CALC]],0)=0,PROPERTIES[[#This Row],[TE_COEFFICIENT_MANUAL]],PROPERTIES[[#This Row],[TE_COEFFICIENT_CALC]]),3)</f>
        <v>0.3</v>
      </c>
      <c r="V720" s="6">
        <v>25</v>
      </c>
      <c r="W720" s="10">
        <v>0</v>
      </c>
      <c r="X720" s="10">
        <v>0</v>
      </c>
      <c r="Y720" s="11"/>
      <c r="Z720" t="s">
        <v>918</v>
      </c>
      <c r="AA720" t="s">
        <v>904</v>
      </c>
      <c r="AB720" s="2" t="s">
        <v>922</v>
      </c>
      <c r="AC720" s="10" t="s">
        <v>1010</v>
      </c>
      <c r="AD720" s="10" t="s">
        <v>1011</v>
      </c>
      <c r="AE720" s="11" t="str">
        <f>SUBSTITUTE(SUBSTITUTE(PROPERTIES[[#This Row],[PURCHASECOST_VALUE]], "PURCHASECOST_", ""), "_VALUE", "")</f>
        <v>COACH</v>
      </c>
      <c r="AF720" s="10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20" s="2" t="b">
        <v>0</v>
      </c>
      <c r="AY720"/>
      <c r="AZ720"/>
      <c r="BA720"/>
    </row>
    <row r="721" spans="1:53">
      <c r="A721" s="2" t="s">
        <v>758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35</v>
      </c>
      <c r="G721" t="s">
        <v>673</v>
      </c>
      <c r="H721">
        <v>12</v>
      </c>
      <c r="I721">
        <v>4</v>
      </c>
      <c r="J721">
        <v>4</v>
      </c>
      <c r="K721" s="2" t="s">
        <v>674</v>
      </c>
      <c r="L721">
        <v>15</v>
      </c>
      <c r="M721">
        <v>90</v>
      </c>
      <c r="N721">
        <v>1</v>
      </c>
      <c r="O721" s="34">
        <v>5</v>
      </c>
      <c r="P721">
        <v>0</v>
      </c>
      <c r="Q721">
        <v>45</v>
      </c>
      <c r="R721" s="31">
        <v>0</v>
      </c>
      <c r="S721" s="30">
        <f>IFERROR(PROPERTIES[[#This Row],[TE_STARTING_KN]]/(PROPERTIES[[#This Row],[WEIGHT]]*9.81),0)</f>
        <v>0</v>
      </c>
      <c r="T721" s="30">
        <v>0.3</v>
      </c>
      <c r="U721" s="27">
        <f>ROUND(IF(IFERROR(PROPERTIES[[#This Row],[TE_COEFFICIENT_CALC]],0)=0,PROPERTIES[[#This Row],[TE_COEFFICIENT_MANUAL]],PROPERTIES[[#This Row],[TE_COEFFICIENT_CALC]]),3)</f>
        <v>0.3</v>
      </c>
      <c r="V721" s="6">
        <v>25</v>
      </c>
      <c r="W721" s="10">
        <v>0</v>
      </c>
      <c r="X721" s="10">
        <v>0</v>
      </c>
      <c r="Y721" s="11"/>
      <c r="Z721" t="s">
        <v>918</v>
      </c>
      <c r="AA721" t="s">
        <v>904</v>
      </c>
      <c r="AB721" s="2" t="s">
        <v>922</v>
      </c>
      <c r="AC721" s="10" t="s">
        <v>1010</v>
      </c>
      <c r="AD721" s="10" t="s">
        <v>1011</v>
      </c>
      <c r="AE721" s="11" t="str">
        <f>SUBSTITUTE(SUBSTITUTE(PROPERTIES[[#This Row],[PURCHASECOST_VALUE]], "PURCHASECOST_", ""), "_VALUE", "")</f>
        <v>COACH</v>
      </c>
      <c r="AF721" s="10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Mail / Parcel</v>
      </c>
      <c r="AG721" s="2" t="b">
        <v>0</v>
      </c>
      <c r="AY721"/>
      <c r="AZ721"/>
      <c r="BA721"/>
    </row>
    <row r="722" spans="1:53">
      <c r="A722" s="2" t="s">
        <v>759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35</v>
      </c>
      <c r="G722" t="s">
        <v>325</v>
      </c>
      <c r="H722">
        <v>30</v>
      </c>
      <c r="I722">
        <v>6</v>
      </c>
      <c r="J722">
        <v>6</v>
      </c>
      <c r="K722" s="2" t="s">
        <v>24</v>
      </c>
      <c r="L722">
        <v>40</v>
      </c>
      <c r="M722">
        <v>95</v>
      </c>
      <c r="N722">
        <v>1</v>
      </c>
      <c r="O722" s="34">
        <v>12</v>
      </c>
      <c r="P722">
        <v>0</v>
      </c>
      <c r="Q722">
        <v>80</v>
      </c>
      <c r="R722" s="31">
        <v>0</v>
      </c>
      <c r="S722" s="30">
        <f>IFERROR(PROPERTIES[[#This Row],[TE_STARTING_KN]]/(PROPERTIES[[#This Row],[WEIGHT]]*9.81),0)</f>
        <v>0</v>
      </c>
      <c r="T722" s="30">
        <v>0.3</v>
      </c>
      <c r="U722" s="27">
        <f>ROUND(IF(IFERROR(PROPERTIES[[#This Row],[TE_COEFFICIENT_CALC]],0)=0,PROPERTIES[[#This Row],[TE_COEFFICIENT_MANUAL]],PROPERTIES[[#This Row],[TE_COEFFICIENT_CALC]]),3)</f>
        <v>0.3</v>
      </c>
      <c r="V722" s="6">
        <v>25</v>
      </c>
      <c r="W722" s="10">
        <v>0</v>
      </c>
      <c r="X722" s="10">
        <v>0</v>
      </c>
      <c r="Y722" s="11"/>
      <c r="Z722" t="s">
        <v>915</v>
      </c>
      <c r="AA722" t="s">
        <v>907</v>
      </c>
      <c r="AB722" s="2" t="s">
        <v>922</v>
      </c>
      <c r="AC722" s="10" t="s">
        <v>1010</v>
      </c>
      <c r="AD722" s="10" t="s">
        <v>1011</v>
      </c>
      <c r="AE722" s="11" t="str">
        <f>SUBSTITUTE(SUBSTITUTE(PROPERTIES[[#This Row],[PURCHASECOST_VALUE]], "PURCHASECOST_", ""), "_VALUE", "")</f>
        <v>COACH</v>
      </c>
      <c r="AF722" s="10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22" s="2" t="b">
        <v>0</v>
      </c>
      <c r="AY722"/>
      <c r="AZ722"/>
      <c r="BA722"/>
    </row>
    <row r="723" spans="1:53">
      <c r="A723" s="2" t="s">
        <v>760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35</v>
      </c>
      <c r="G723" t="s">
        <v>325</v>
      </c>
      <c r="H723">
        <v>65</v>
      </c>
      <c r="I723">
        <v>6</v>
      </c>
      <c r="J723">
        <v>6</v>
      </c>
      <c r="K723" s="2" t="s">
        <v>479</v>
      </c>
      <c r="L723">
        <v>16</v>
      </c>
      <c r="M723">
        <v>95</v>
      </c>
      <c r="N723">
        <v>1</v>
      </c>
      <c r="O723" s="34">
        <v>15</v>
      </c>
      <c r="P723">
        <v>0</v>
      </c>
      <c r="Q723">
        <v>70</v>
      </c>
      <c r="R723" s="31">
        <v>0</v>
      </c>
      <c r="S723" s="30">
        <f>IFERROR(PROPERTIES[[#This Row],[TE_STARTING_KN]]/(PROPERTIES[[#This Row],[WEIGHT]]*9.81),0)</f>
        <v>0</v>
      </c>
      <c r="T723" s="30">
        <v>0.3</v>
      </c>
      <c r="U723" s="27">
        <f>ROUND(IF(IFERROR(PROPERTIES[[#This Row],[TE_COEFFICIENT_CALC]],0)=0,PROPERTIES[[#This Row],[TE_COEFFICIENT_MANUAL]],PROPERTIES[[#This Row],[TE_COEFFICIENT_CALC]]),3)</f>
        <v>0.3</v>
      </c>
      <c r="V723" s="6">
        <v>25</v>
      </c>
      <c r="W723" s="10">
        <v>0</v>
      </c>
      <c r="X723" s="10">
        <v>0</v>
      </c>
      <c r="Y723" s="11"/>
      <c r="Z723" t="s">
        <v>918</v>
      </c>
      <c r="AA723" t="s">
        <v>904</v>
      </c>
      <c r="AB723" s="2" t="s">
        <v>922</v>
      </c>
      <c r="AC723" s="10" t="s">
        <v>1010</v>
      </c>
      <c r="AD723" s="10" t="s">
        <v>1011</v>
      </c>
      <c r="AE723" s="11" t="str">
        <f>SUBSTITUTE(SUBSTITUTE(PROPERTIES[[#This Row],[PURCHASECOST_VALUE]], "PURCHASECOST_", ""), "_VALUE", "")</f>
        <v>COACH</v>
      </c>
      <c r="AF723" s="10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23" s="2" t="b">
        <v>0</v>
      </c>
      <c r="AY723"/>
      <c r="AZ723"/>
      <c r="BA723"/>
    </row>
    <row r="724" spans="1:53">
      <c r="A724" s="2" t="s">
        <v>761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35</v>
      </c>
      <c r="G724" t="s">
        <v>673</v>
      </c>
      <c r="H724">
        <v>28</v>
      </c>
      <c r="I724">
        <v>6</v>
      </c>
      <c r="J724">
        <v>6</v>
      </c>
      <c r="K724" s="2" t="s">
        <v>674</v>
      </c>
      <c r="L724">
        <v>15</v>
      </c>
      <c r="M724">
        <v>95</v>
      </c>
      <c r="N724">
        <v>1</v>
      </c>
      <c r="O724" s="34">
        <v>13.5</v>
      </c>
      <c r="P724">
        <v>0</v>
      </c>
      <c r="Q724">
        <v>80</v>
      </c>
      <c r="R724" s="31">
        <v>0</v>
      </c>
      <c r="S724" s="30">
        <f>IFERROR(PROPERTIES[[#This Row],[TE_STARTING_KN]]/(PROPERTIES[[#This Row],[WEIGHT]]*9.81),0)</f>
        <v>0</v>
      </c>
      <c r="T724" s="30">
        <v>0.3</v>
      </c>
      <c r="U724" s="27">
        <f>ROUND(IF(IFERROR(PROPERTIES[[#This Row],[TE_COEFFICIENT_CALC]],0)=0,PROPERTIES[[#This Row],[TE_COEFFICIENT_MANUAL]],PROPERTIES[[#This Row],[TE_COEFFICIENT_CALC]]),3)</f>
        <v>0.3</v>
      </c>
      <c r="V724" s="6">
        <v>25</v>
      </c>
      <c r="W724" s="10">
        <v>0</v>
      </c>
      <c r="X724" s="10">
        <v>0</v>
      </c>
      <c r="Y724" s="11"/>
      <c r="Z724" t="s">
        <v>918</v>
      </c>
      <c r="AA724" t="s">
        <v>904</v>
      </c>
      <c r="AB724" s="2" t="s">
        <v>922</v>
      </c>
      <c r="AC724" s="10" t="s">
        <v>1010</v>
      </c>
      <c r="AD724" s="10" t="s">
        <v>1011</v>
      </c>
      <c r="AE724" s="11" t="str">
        <f>SUBSTITUTE(SUBSTITUTE(PROPERTIES[[#This Row],[PURCHASECOST_VALUE]], "PURCHASECOST_", ""), "_VALUE", "")</f>
        <v>COACH</v>
      </c>
      <c r="AF724" s="10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Mail / Parcel</v>
      </c>
      <c r="AG724" s="2" t="b">
        <v>0</v>
      </c>
      <c r="AY724"/>
      <c r="AZ724"/>
      <c r="BA724"/>
    </row>
    <row r="725" spans="1:53">
      <c r="A725" s="2" t="s">
        <v>762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35</v>
      </c>
      <c r="G725" t="s">
        <v>325</v>
      </c>
      <c r="H725">
        <v>40</v>
      </c>
      <c r="I725">
        <v>5</v>
      </c>
      <c r="J725">
        <v>5</v>
      </c>
      <c r="K725" s="2" t="s">
        <v>24</v>
      </c>
      <c r="L725">
        <v>40</v>
      </c>
      <c r="M725">
        <v>80</v>
      </c>
      <c r="N725">
        <v>1</v>
      </c>
      <c r="O725" s="34">
        <v>16.5</v>
      </c>
      <c r="P725">
        <v>0</v>
      </c>
      <c r="Q725">
        <v>90</v>
      </c>
      <c r="R725" s="31">
        <v>0</v>
      </c>
      <c r="S725" s="30">
        <f>IFERROR(PROPERTIES[[#This Row],[TE_STARTING_KN]]/(PROPERTIES[[#This Row],[WEIGHT]]*9.81),0)</f>
        <v>0</v>
      </c>
      <c r="T725" s="30">
        <v>0.3</v>
      </c>
      <c r="U725" s="27">
        <f>ROUND(IF(IFERROR(PROPERTIES[[#This Row],[TE_COEFFICIENT_CALC]],0)=0,PROPERTIES[[#This Row],[TE_COEFFICIENT_MANUAL]],PROPERTIES[[#This Row],[TE_COEFFICIENT_CALC]]),3)</f>
        <v>0.3</v>
      </c>
      <c r="V725" s="6">
        <v>25</v>
      </c>
      <c r="W725" s="10">
        <v>0</v>
      </c>
      <c r="X725" s="10">
        <v>0</v>
      </c>
      <c r="Y725" s="11"/>
      <c r="Z725" t="s">
        <v>915</v>
      </c>
      <c r="AA725" t="s">
        <v>907</v>
      </c>
      <c r="AB725" s="2" t="s">
        <v>922</v>
      </c>
      <c r="AC725" s="10" t="s">
        <v>1010</v>
      </c>
      <c r="AD725" s="10" t="s">
        <v>1011</v>
      </c>
      <c r="AE725" s="11" t="str">
        <f>SUBSTITUTE(SUBSTITUTE(PROPERTIES[[#This Row],[PURCHASECOST_VALUE]], "PURCHASECOST_", ""), "_VALUE", "")</f>
        <v>COACH</v>
      </c>
      <c r="AF725" s="10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25" s="2" t="b">
        <v>0</v>
      </c>
      <c r="AY725"/>
      <c r="AZ725"/>
      <c r="BA725"/>
    </row>
    <row r="726" spans="1:53">
      <c r="A726" s="2" t="s">
        <v>763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35</v>
      </c>
      <c r="G726" t="s">
        <v>325</v>
      </c>
      <c r="H726">
        <v>80</v>
      </c>
      <c r="I726">
        <v>5</v>
      </c>
      <c r="J726">
        <v>5</v>
      </c>
      <c r="K726" s="2" t="s">
        <v>479</v>
      </c>
      <c r="L726">
        <v>16</v>
      </c>
      <c r="M726">
        <v>80</v>
      </c>
      <c r="N726">
        <v>1</v>
      </c>
      <c r="O726" s="34">
        <v>18.5</v>
      </c>
      <c r="P726">
        <v>0</v>
      </c>
      <c r="Q726">
        <v>80</v>
      </c>
      <c r="R726" s="31">
        <v>0</v>
      </c>
      <c r="S726" s="30">
        <f>IFERROR(PROPERTIES[[#This Row],[TE_STARTING_KN]]/(PROPERTIES[[#This Row],[WEIGHT]]*9.81),0)</f>
        <v>0</v>
      </c>
      <c r="T726" s="30">
        <v>0.3</v>
      </c>
      <c r="U726" s="27">
        <f>ROUND(IF(IFERROR(PROPERTIES[[#This Row],[TE_COEFFICIENT_CALC]],0)=0,PROPERTIES[[#This Row],[TE_COEFFICIENT_MANUAL]],PROPERTIES[[#This Row],[TE_COEFFICIENT_CALC]]),3)</f>
        <v>0.3</v>
      </c>
      <c r="V726" s="6">
        <v>25</v>
      </c>
      <c r="W726" s="10">
        <v>0</v>
      </c>
      <c r="X726" s="10">
        <v>0</v>
      </c>
      <c r="Y726" s="11"/>
      <c r="Z726" t="s">
        <v>915</v>
      </c>
      <c r="AA726" t="s">
        <v>907</v>
      </c>
      <c r="AB726" s="2" t="s">
        <v>922</v>
      </c>
      <c r="AC726" s="10" t="s">
        <v>1010</v>
      </c>
      <c r="AD726" s="10" t="s">
        <v>1011</v>
      </c>
      <c r="AE726" s="11" t="str">
        <f>SUBSTITUTE(SUBSTITUTE(PROPERTIES[[#This Row],[PURCHASECOST_VALUE]], "PURCHASECOST_", ""), "_VALUE", "")</f>
        <v>COACH</v>
      </c>
      <c r="AF726" s="10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26" s="2" t="b">
        <v>0</v>
      </c>
      <c r="AY726"/>
      <c r="AZ726"/>
      <c r="BA726"/>
    </row>
    <row r="727" spans="1:53">
      <c r="A727" s="2" t="s">
        <v>764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35</v>
      </c>
      <c r="G727" t="s">
        <v>673</v>
      </c>
      <c r="H727">
        <v>42</v>
      </c>
      <c r="I727">
        <v>5</v>
      </c>
      <c r="J727">
        <v>5</v>
      </c>
      <c r="K727" s="2" t="s">
        <v>674</v>
      </c>
      <c r="L727">
        <v>15</v>
      </c>
      <c r="M727">
        <v>80</v>
      </c>
      <c r="N727">
        <v>1</v>
      </c>
      <c r="O727" s="34">
        <v>17.5</v>
      </c>
      <c r="P727">
        <v>0</v>
      </c>
      <c r="Q727">
        <v>95</v>
      </c>
      <c r="R727" s="31">
        <v>0</v>
      </c>
      <c r="S727" s="30">
        <f>IFERROR(PROPERTIES[[#This Row],[TE_STARTING_KN]]/(PROPERTIES[[#This Row],[WEIGHT]]*9.81),0)</f>
        <v>0</v>
      </c>
      <c r="T727" s="30">
        <v>0.3</v>
      </c>
      <c r="U727" s="27">
        <f>ROUND(IF(IFERROR(PROPERTIES[[#This Row],[TE_COEFFICIENT_CALC]],0)=0,PROPERTIES[[#This Row],[TE_COEFFICIENT_MANUAL]],PROPERTIES[[#This Row],[TE_COEFFICIENT_CALC]]),3)</f>
        <v>0.3</v>
      </c>
      <c r="V727" s="6">
        <v>25</v>
      </c>
      <c r="W727" s="10">
        <v>0</v>
      </c>
      <c r="X727" s="10">
        <v>0</v>
      </c>
      <c r="Y727" s="11"/>
      <c r="Z727" t="s">
        <v>915</v>
      </c>
      <c r="AA727" t="s">
        <v>907</v>
      </c>
      <c r="AB727" s="2" t="s">
        <v>922</v>
      </c>
      <c r="AC727" s="10" t="s">
        <v>1010</v>
      </c>
      <c r="AD727" s="10" t="s">
        <v>1011</v>
      </c>
      <c r="AE727" s="11" t="str">
        <f>SUBSTITUTE(SUBSTITUTE(PROPERTIES[[#This Row],[PURCHASECOST_VALUE]], "PURCHASECOST_", ""), "_VALUE", "")</f>
        <v>COACH</v>
      </c>
      <c r="AF727" s="10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Mail / Parcel</v>
      </c>
      <c r="AG727" s="2" t="b">
        <v>0</v>
      </c>
      <c r="AY727"/>
      <c r="AZ727"/>
      <c r="BA727"/>
    </row>
    <row r="728" spans="1:53">
      <c r="A728" s="2" t="s">
        <v>765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35</v>
      </c>
      <c r="G728" t="s">
        <v>325</v>
      </c>
      <c r="H728">
        <v>56</v>
      </c>
      <c r="I728">
        <v>8</v>
      </c>
      <c r="J728">
        <v>8</v>
      </c>
      <c r="K728" s="2" t="s">
        <v>479</v>
      </c>
      <c r="L728">
        <v>16</v>
      </c>
      <c r="M728">
        <v>75</v>
      </c>
      <c r="N728">
        <v>1</v>
      </c>
      <c r="O728" s="34">
        <v>60</v>
      </c>
      <c r="P728">
        <v>0</v>
      </c>
      <c r="Q728">
        <v>120</v>
      </c>
      <c r="R728" s="31">
        <v>0</v>
      </c>
      <c r="S728" s="30">
        <f>IFERROR(PROPERTIES[[#This Row],[TE_STARTING_KN]]/(PROPERTIES[[#This Row],[WEIGHT]]*9.81),0)</f>
        <v>0</v>
      </c>
      <c r="T728" s="30">
        <v>0.3</v>
      </c>
      <c r="U728" s="27">
        <f>ROUND(IF(IFERROR(PROPERTIES[[#This Row],[TE_COEFFICIENT_CALC]],0)=0,PROPERTIES[[#This Row],[TE_COEFFICIENT_MANUAL]],PROPERTIES[[#This Row],[TE_COEFFICIENT_CALC]]),3)</f>
        <v>0.3</v>
      </c>
      <c r="V728" s="6">
        <v>25</v>
      </c>
      <c r="W728" s="10">
        <v>0</v>
      </c>
      <c r="X728" s="10">
        <v>0</v>
      </c>
      <c r="Y728" s="11"/>
      <c r="Z728" t="s">
        <v>917</v>
      </c>
      <c r="AA728" t="s">
        <v>907</v>
      </c>
      <c r="AB728" s="2" t="s">
        <v>922</v>
      </c>
      <c r="AC728" s="10" t="s">
        <v>1010</v>
      </c>
      <c r="AD728" s="10" t="s">
        <v>1011</v>
      </c>
      <c r="AE728" s="11" t="str">
        <f>SUBSTITUTE(SUBSTITUTE(PROPERTIES[[#This Row],[PURCHASECOST_VALUE]], "PURCHASECOST_", ""), "_VALUE", "")</f>
        <v>COACH</v>
      </c>
      <c r="AF728" s="10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28" s="2" t="b">
        <v>0</v>
      </c>
      <c r="AY728"/>
      <c r="AZ728"/>
      <c r="BA728"/>
    </row>
    <row r="729" spans="1:53">
      <c r="A729" s="2" t="s">
        <v>766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35</v>
      </c>
      <c r="G729" t="s">
        <v>673</v>
      </c>
      <c r="H729">
        <v>75</v>
      </c>
      <c r="I729">
        <v>8</v>
      </c>
      <c r="J729">
        <v>8</v>
      </c>
      <c r="K729" s="2" t="s">
        <v>479</v>
      </c>
      <c r="L729">
        <v>16</v>
      </c>
      <c r="M729">
        <v>75</v>
      </c>
      <c r="N729">
        <v>1</v>
      </c>
      <c r="O729" s="34">
        <v>58</v>
      </c>
      <c r="P729">
        <v>0</v>
      </c>
      <c r="Q729">
        <v>130</v>
      </c>
      <c r="R729" s="31">
        <v>0</v>
      </c>
      <c r="S729" s="30">
        <f>IFERROR(PROPERTIES[[#This Row],[TE_STARTING_KN]]/(PROPERTIES[[#This Row],[WEIGHT]]*9.81),0)</f>
        <v>0</v>
      </c>
      <c r="T729" s="30">
        <v>0.3</v>
      </c>
      <c r="U729" s="27">
        <f>ROUND(IF(IFERROR(PROPERTIES[[#This Row],[TE_COEFFICIENT_CALC]],0)=0,PROPERTIES[[#This Row],[TE_COEFFICIENT_MANUAL]],PROPERTIES[[#This Row],[TE_COEFFICIENT_CALC]]),3)</f>
        <v>0.3</v>
      </c>
      <c r="V729" s="6">
        <v>25</v>
      </c>
      <c r="W729" s="10">
        <v>0</v>
      </c>
      <c r="X729" s="10">
        <v>0</v>
      </c>
      <c r="Y729" s="11"/>
      <c r="Z729" t="s">
        <v>917</v>
      </c>
      <c r="AA729" t="s">
        <v>907</v>
      </c>
      <c r="AB729" s="2" t="s">
        <v>922</v>
      </c>
      <c r="AC729" s="10" t="s">
        <v>1010</v>
      </c>
      <c r="AD729" s="10" t="s">
        <v>1011</v>
      </c>
      <c r="AE729" s="11" t="str">
        <f>SUBSTITUTE(SUBSTITUTE(PROPERTIES[[#This Row],[PURCHASECOST_VALUE]], "PURCHASECOST_", ""), "_VALUE", "")</f>
        <v>COACH</v>
      </c>
      <c r="AF729" s="10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29" s="2" t="b">
        <v>0</v>
      </c>
      <c r="AY729"/>
      <c r="AZ729"/>
      <c r="BA729"/>
    </row>
    <row r="730" spans="1:53">
      <c r="A730" s="2" t="s">
        <v>767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35</v>
      </c>
      <c r="G730" t="s">
        <v>325</v>
      </c>
      <c r="H730">
        <v>80</v>
      </c>
      <c r="I730">
        <v>7</v>
      </c>
      <c r="J730">
        <v>7</v>
      </c>
      <c r="K730" s="2" t="s">
        <v>479</v>
      </c>
      <c r="L730">
        <v>16</v>
      </c>
      <c r="M730">
        <v>60</v>
      </c>
      <c r="N730">
        <v>1</v>
      </c>
      <c r="O730" s="34">
        <v>48</v>
      </c>
      <c r="P730">
        <v>0</v>
      </c>
      <c r="Q730">
        <v>120</v>
      </c>
      <c r="R730" s="31">
        <v>0</v>
      </c>
      <c r="S730" s="30">
        <f>IFERROR(PROPERTIES[[#This Row],[TE_STARTING_KN]]/(PROPERTIES[[#This Row],[WEIGHT]]*9.81),0)</f>
        <v>0</v>
      </c>
      <c r="T730" s="30">
        <v>0.3</v>
      </c>
      <c r="U730" s="27">
        <f>ROUND(IF(IFERROR(PROPERTIES[[#This Row],[TE_COEFFICIENT_CALC]],0)=0,PROPERTIES[[#This Row],[TE_COEFFICIENT_MANUAL]],PROPERTIES[[#This Row],[TE_COEFFICIENT_CALC]]),3)</f>
        <v>0.3</v>
      </c>
      <c r="V730" s="6">
        <v>25</v>
      </c>
      <c r="W730" s="10">
        <v>0</v>
      </c>
      <c r="X730" s="10">
        <v>0</v>
      </c>
      <c r="Y730" s="11"/>
      <c r="Z730" t="s">
        <v>915</v>
      </c>
      <c r="AA730" t="s">
        <v>907</v>
      </c>
      <c r="AB730" s="2" t="s">
        <v>922</v>
      </c>
      <c r="AC730" s="10" t="s">
        <v>1010</v>
      </c>
      <c r="AD730" s="10" t="s">
        <v>1011</v>
      </c>
      <c r="AE730" s="11" t="str">
        <f>SUBSTITUTE(SUBSTITUTE(PROPERTIES[[#This Row],[PURCHASECOST_VALUE]], "PURCHASECOST_", ""), "_VALUE", "")</f>
        <v>COACH</v>
      </c>
      <c r="AF730" s="10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30" s="2" t="b">
        <v>0</v>
      </c>
      <c r="AY730"/>
      <c r="AZ730"/>
      <c r="BA730"/>
    </row>
    <row r="731" spans="1:53">
      <c r="A731" s="2" t="s">
        <v>768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35</v>
      </c>
      <c r="G731" t="s">
        <v>325</v>
      </c>
      <c r="H731">
        <v>60</v>
      </c>
      <c r="I731">
        <v>7</v>
      </c>
      <c r="J731">
        <v>7</v>
      </c>
      <c r="K731" s="2" t="s">
        <v>24</v>
      </c>
      <c r="L731">
        <v>40</v>
      </c>
      <c r="M731">
        <v>60</v>
      </c>
      <c r="N731">
        <v>1</v>
      </c>
      <c r="O731" s="34">
        <v>40</v>
      </c>
      <c r="P731">
        <v>0</v>
      </c>
      <c r="Q731">
        <v>120</v>
      </c>
      <c r="R731" s="31">
        <v>0</v>
      </c>
      <c r="S731" s="30">
        <f>IFERROR(PROPERTIES[[#This Row],[TE_STARTING_KN]]/(PROPERTIES[[#This Row],[WEIGHT]]*9.81),0)</f>
        <v>0</v>
      </c>
      <c r="T731" s="30">
        <v>0.3</v>
      </c>
      <c r="U731" s="27">
        <f>ROUND(IF(IFERROR(PROPERTIES[[#This Row],[TE_COEFFICIENT_CALC]],0)=0,PROPERTIES[[#This Row],[TE_COEFFICIENT_MANUAL]],PROPERTIES[[#This Row],[TE_COEFFICIENT_CALC]]),3)</f>
        <v>0.3</v>
      </c>
      <c r="V731" s="6">
        <v>25</v>
      </c>
      <c r="W731" s="10">
        <v>0</v>
      </c>
      <c r="X731" s="10">
        <v>0</v>
      </c>
      <c r="Y731" s="11"/>
      <c r="Z731" t="s">
        <v>915</v>
      </c>
      <c r="AA731" t="s">
        <v>907</v>
      </c>
      <c r="AB731" s="2" t="s">
        <v>922</v>
      </c>
      <c r="AC731" s="10" t="s">
        <v>1010</v>
      </c>
      <c r="AD731" s="10" t="s">
        <v>1011</v>
      </c>
      <c r="AE731" s="11" t="str">
        <f>SUBSTITUTE(SUBSTITUTE(PROPERTIES[[#This Row],[PURCHASECOST_VALUE]], "PURCHASECOST_", ""), "_VALUE", "")</f>
        <v>COACH</v>
      </c>
      <c r="AF731" s="10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31" s="2" t="b">
        <v>0</v>
      </c>
      <c r="AY731"/>
      <c r="AZ731"/>
      <c r="BA731"/>
    </row>
    <row r="732" spans="1:53">
      <c r="A732" s="2" t="s">
        <v>769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35</v>
      </c>
      <c r="G732" t="s">
        <v>325</v>
      </c>
      <c r="H732">
        <v>120</v>
      </c>
      <c r="I732">
        <v>7</v>
      </c>
      <c r="J732">
        <v>7</v>
      </c>
      <c r="K732" s="2" t="s">
        <v>479</v>
      </c>
      <c r="L732">
        <v>16</v>
      </c>
      <c r="M732">
        <v>65</v>
      </c>
      <c r="N732">
        <v>1</v>
      </c>
      <c r="O732" s="34">
        <v>40</v>
      </c>
      <c r="P732">
        <v>0</v>
      </c>
      <c r="Q732">
        <v>100</v>
      </c>
      <c r="R732" s="31">
        <v>0</v>
      </c>
      <c r="S732" s="30">
        <f>IFERROR(PROPERTIES[[#This Row],[TE_STARTING_KN]]/(PROPERTIES[[#This Row],[WEIGHT]]*9.81),0)</f>
        <v>0</v>
      </c>
      <c r="T732" s="30">
        <v>0.3</v>
      </c>
      <c r="U732" s="27">
        <f>ROUND(IF(IFERROR(PROPERTIES[[#This Row],[TE_COEFFICIENT_CALC]],0)=0,PROPERTIES[[#This Row],[TE_COEFFICIENT_MANUAL]],PROPERTIES[[#This Row],[TE_COEFFICIENT_CALC]]),3)</f>
        <v>0.3</v>
      </c>
      <c r="V732" s="6">
        <v>25</v>
      </c>
      <c r="W732" s="10">
        <v>0</v>
      </c>
      <c r="X732" s="10">
        <v>0</v>
      </c>
      <c r="Y732" s="11"/>
      <c r="Z732" t="s">
        <v>915</v>
      </c>
      <c r="AA732" t="s">
        <v>907</v>
      </c>
      <c r="AB732" s="2" t="s">
        <v>922</v>
      </c>
      <c r="AC732" s="10" t="s">
        <v>1010</v>
      </c>
      <c r="AD732" s="10" t="s">
        <v>1011</v>
      </c>
      <c r="AE732" s="11" t="str">
        <f>SUBSTITUTE(SUBSTITUTE(PROPERTIES[[#This Row],[PURCHASECOST_VALUE]], "PURCHASECOST_", ""), "_VALUE", "")</f>
        <v>COACH</v>
      </c>
      <c r="AF732" s="10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32" s="2" t="b">
        <v>0</v>
      </c>
      <c r="AY732"/>
      <c r="AZ732"/>
      <c r="BA732"/>
    </row>
    <row r="733" spans="1:53">
      <c r="A733" s="2" t="s">
        <v>770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35</v>
      </c>
      <c r="G733" t="s">
        <v>673</v>
      </c>
      <c r="H733">
        <v>60</v>
      </c>
      <c r="I733">
        <v>7</v>
      </c>
      <c r="J733">
        <v>7</v>
      </c>
      <c r="K733" s="2" t="s">
        <v>674</v>
      </c>
      <c r="L733">
        <v>15</v>
      </c>
      <c r="M733">
        <v>70</v>
      </c>
      <c r="N733">
        <v>1</v>
      </c>
      <c r="O733" s="34">
        <v>44</v>
      </c>
      <c r="P733">
        <v>0</v>
      </c>
      <c r="Q733">
        <v>120</v>
      </c>
      <c r="R733" s="31">
        <v>0</v>
      </c>
      <c r="S733" s="30">
        <f>IFERROR(PROPERTIES[[#This Row],[TE_STARTING_KN]]/(PROPERTIES[[#This Row],[WEIGHT]]*9.81),0)</f>
        <v>0</v>
      </c>
      <c r="T733" s="30">
        <v>0.3</v>
      </c>
      <c r="U733" s="27">
        <f>ROUND(IF(IFERROR(PROPERTIES[[#This Row],[TE_COEFFICIENT_CALC]],0)=0,PROPERTIES[[#This Row],[TE_COEFFICIENT_MANUAL]],PROPERTIES[[#This Row],[TE_COEFFICIENT_CALC]]),3)</f>
        <v>0.3</v>
      </c>
      <c r="V733" s="6">
        <v>25</v>
      </c>
      <c r="W733" s="10">
        <v>0</v>
      </c>
      <c r="X733" s="10">
        <v>0</v>
      </c>
      <c r="Y733" s="11"/>
      <c r="Z733" t="s">
        <v>915</v>
      </c>
      <c r="AA733" t="s">
        <v>907</v>
      </c>
      <c r="AB733" s="2" t="s">
        <v>922</v>
      </c>
      <c r="AC733" s="10" t="s">
        <v>1010</v>
      </c>
      <c r="AD733" s="10" t="s">
        <v>1011</v>
      </c>
      <c r="AE733" s="11" t="str">
        <f>SUBSTITUTE(SUBSTITUTE(PROPERTIES[[#This Row],[PURCHASECOST_VALUE]], "PURCHASECOST_", ""), "_VALUE", "")</f>
        <v>COACH</v>
      </c>
      <c r="AF733" s="10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33" s="2" t="b">
        <v>0</v>
      </c>
      <c r="AY733"/>
      <c r="AZ733"/>
      <c r="BA733"/>
    </row>
    <row r="734" spans="1:53">
      <c r="A734" s="2" t="s">
        <v>771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35</v>
      </c>
      <c r="G734" t="s">
        <v>325</v>
      </c>
      <c r="H734">
        <v>45</v>
      </c>
      <c r="I734">
        <v>5</v>
      </c>
      <c r="J734">
        <v>5</v>
      </c>
      <c r="K734" s="2" t="s">
        <v>24</v>
      </c>
      <c r="L734">
        <v>40</v>
      </c>
      <c r="M734">
        <v>60</v>
      </c>
      <c r="N734">
        <v>1</v>
      </c>
      <c r="O734" s="34">
        <v>21</v>
      </c>
      <c r="P734">
        <v>0</v>
      </c>
      <c r="Q734">
        <v>90</v>
      </c>
      <c r="R734" s="31">
        <v>0</v>
      </c>
      <c r="S734" s="30">
        <f>IFERROR(PROPERTIES[[#This Row],[TE_STARTING_KN]]/(PROPERTIES[[#This Row],[WEIGHT]]*9.81),0)</f>
        <v>0</v>
      </c>
      <c r="T734" s="30">
        <v>0.3</v>
      </c>
      <c r="U734" s="27">
        <f>ROUND(IF(IFERROR(PROPERTIES[[#This Row],[TE_COEFFICIENT_CALC]],0)=0,PROPERTIES[[#This Row],[TE_COEFFICIENT_MANUAL]],PROPERTIES[[#This Row],[TE_COEFFICIENT_CALC]]),3)</f>
        <v>0.3</v>
      </c>
      <c r="V734" s="6">
        <v>25</v>
      </c>
      <c r="W734" s="10">
        <v>0</v>
      </c>
      <c r="X734" s="10">
        <v>0</v>
      </c>
      <c r="Y734" s="11"/>
      <c r="Z734" t="s">
        <v>915</v>
      </c>
      <c r="AA734" t="s">
        <v>907</v>
      </c>
      <c r="AB734" s="2" t="s">
        <v>922</v>
      </c>
      <c r="AC734" s="10" t="s">
        <v>1010</v>
      </c>
      <c r="AD734" s="10" t="s">
        <v>1011</v>
      </c>
      <c r="AE734" s="11" t="str">
        <f>SUBSTITUTE(SUBSTITUTE(PROPERTIES[[#This Row],[PURCHASECOST_VALUE]], "PURCHASECOST_", ""), "_VALUE", "")</f>
        <v>COACH</v>
      </c>
      <c r="AF734" s="10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34" s="2" t="b">
        <v>0</v>
      </c>
      <c r="AY734"/>
      <c r="AZ734"/>
      <c r="BA734"/>
    </row>
    <row r="735" spans="1:53">
      <c r="A735" s="2" t="s">
        <v>772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35</v>
      </c>
      <c r="G735" t="s">
        <v>325</v>
      </c>
      <c r="H735">
        <v>90</v>
      </c>
      <c r="I735">
        <v>5</v>
      </c>
      <c r="J735">
        <v>5</v>
      </c>
      <c r="K735" s="2" t="s">
        <v>479</v>
      </c>
      <c r="L735">
        <v>16</v>
      </c>
      <c r="M735">
        <v>60</v>
      </c>
      <c r="N735">
        <v>1</v>
      </c>
      <c r="O735" s="34">
        <v>22</v>
      </c>
      <c r="P735">
        <v>0</v>
      </c>
      <c r="Q735">
        <v>90</v>
      </c>
      <c r="R735" s="31">
        <v>0</v>
      </c>
      <c r="S735" s="30">
        <f>IFERROR(PROPERTIES[[#This Row],[TE_STARTING_KN]]/(PROPERTIES[[#This Row],[WEIGHT]]*9.81),0)</f>
        <v>0</v>
      </c>
      <c r="T735" s="30">
        <v>0.3</v>
      </c>
      <c r="U735" s="27">
        <f>ROUND(IF(IFERROR(PROPERTIES[[#This Row],[TE_COEFFICIENT_CALC]],0)=0,PROPERTIES[[#This Row],[TE_COEFFICIENT_MANUAL]],PROPERTIES[[#This Row],[TE_COEFFICIENT_CALC]]),3)</f>
        <v>0.3</v>
      </c>
      <c r="V735" s="6">
        <v>25</v>
      </c>
      <c r="W735" s="10">
        <v>0</v>
      </c>
      <c r="X735" s="10">
        <v>0</v>
      </c>
      <c r="Y735" s="11"/>
      <c r="Z735" t="s">
        <v>918</v>
      </c>
      <c r="AA735" t="s">
        <v>904</v>
      </c>
      <c r="AB735" s="2" t="s">
        <v>922</v>
      </c>
      <c r="AC735" s="10" t="s">
        <v>1010</v>
      </c>
      <c r="AD735" s="10" t="s">
        <v>1011</v>
      </c>
      <c r="AE735" s="11" t="str">
        <f>SUBSTITUTE(SUBSTITUTE(PROPERTIES[[#This Row],[PURCHASECOST_VALUE]], "PURCHASECOST_", ""), "_VALUE", "")</f>
        <v>COACH</v>
      </c>
      <c r="AF735" s="10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35" s="2" t="b">
        <v>0</v>
      </c>
      <c r="AY735"/>
      <c r="AZ735"/>
      <c r="BA735"/>
    </row>
    <row r="736" spans="1:53">
      <c r="A736" s="2" t="s">
        <v>773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35</v>
      </c>
      <c r="G736" t="s">
        <v>673</v>
      </c>
      <c r="H736">
        <v>32</v>
      </c>
      <c r="I736">
        <v>5</v>
      </c>
      <c r="J736">
        <v>5</v>
      </c>
      <c r="K736" s="2" t="s">
        <v>674</v>
      </c>
      <c r="L736">
        <v>15</v>
      </c>
      <c r="M736">
        <v>60</v>
      </c>
      <c r="N736">
        <v>1</v>
      </c>
      <c r="O736" s="34">
        <v>19.5</v>
      </c>
      <c r="P736">
        <v>0</v>
      </c>
      <c r="Q736">
        <v>90</v>
      </c>
      <c r="R736" s="31">
        <v>0</v>
      </c>
      <c r="S736" s="30">
        <f>IFERROR(PROPERTIES[[#This Row],[TE_STARTING_KN]]/(PROPERTIES[[#This Row],[WEIGHT]]*9.81),0)</f>
        <v>0</v>
      </c>
      <c r="T736" s="30">
        <v>0.3</v>
      </c>
      <c r="U736" s="27">
        <f>ROUND(IF(IFERROR(PROPERTIES[[#This Row],[TE_COEFFICIENT_CALC]],0)=0,PROPERTIES[[#This Row],[TE_COEFFICIENT_MANUAL]],PROPERTIES[[#This Row],[TE_COEFFICIENT_CALC]]),3)</f>
        <v>0.3</v>
      </c>
      <c r="V736" s="6">
        <v>25</v>
      </c>
      <c r="W736" s="10">
        <v>0</v>
      </c>
      <c r="X736" s="10">
        <v>0</v>
      </c>
      <c r="Y736" s="11"/>
      <c r="Z736" t="s">
        <v>918</v>
      </c>
      <c r="AA736" t="s">
        <v>904</v>
      </c>
      <c r="AB736" s="2" t="s">
        <v>922</v>
      </c>
      <c r="AC736" s="10" t="s">
        <v>1010</v>
      </c>
      <c r="AD736" s="10" t="s">
        <v>1011</v>
      </c>
      <c r="AE736" s="11" t="str">
        <f>SUBSTITUTE(SUBSTITUTE(PROPERTIES[[#This Row],[PURCHASECOST_VALUE]], "PURCHASECOST_", ""), "_VALUE", "")</f>
        <v>COACH</v>
      </c>
      <c r="AF736" s="10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Mail / Parcel</v>
      </c>
      <c r="AG736" s="2" t="b">
        <v>0</v>
      </c>
      <c r="AY736"/>
      <c r="AZ736"/>
      <c r="BA736"/>
    </row>
    <row r="737" spans="1:53">
      <c r="A737" s="2" t="s">
        <v>774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35</v>
      </c>
      <c r="G737" t="s">
        <v>325</v>
      </c>
      <c r="H737">
        <v>62</v>
      </c>
      <c r="I737">
        <v>6</v>
      </c>
      <c r="J737">
        <v>6</v>
      </c>
      <c r="K737" s="2" t="s">
        <v>24</v>
      </c>
      <c r="L737">
        <v>40</v>
      </c>
      <c r="M737">
        <v>60</v>
      </c>
      <c r="N737">
        <v>1</v>
      </c>
      <c r="O737" s="34">
        <v>27</v>
      </c>
      <c r="P737">
        <v>0</v>
      </c>
      <c r="Q737">
        <v>90</v>
      </c>
      <c r="R737" s="31">
        <v>0</v>
      </c>
      <c r="S737" s="30">
        <f>IFERROR(PROPERTIES[[#This Row],[TE_STARTING_KN]]/(PROPERTIES[[#This Row],[WEIGHT]]*9.81),0)</f>
        <v>0</v>
      </c>
      <c r="T737" s="30">
        <v>0.3</v>
      </c>
      <c r="U737" s="27">
        <f>ROUND(IF(IFERROR(PROPERTIES[[#This Row],[TE_COEFFICIENT_CALC]],0)=0,PROPERTIES[[#This Row],[TE_COEFFICIENT_MANUAL]],PROPERTIES[[#This Row],[TE_COEFFICIENT_CALC]]),3)</f>
        <v>0.3</v>
      </c>
      <c r="V737" s="6">
        <v>25</v>
      </c>
      <c r="W737" s="10">
        <v>0</v>
      </c>
      <c r="X737" s="10">
        <v>0</v>
      </c>
      <c r="Y737" s="11"/>
      <c r="Z737" t="s">
        <v>915</v>
      </c>
      <c r="AA737" t="s">
        <v>907</v>
      </c>
      <c r="AB737" s="2" t="s">
        <v>922</v>
      </c>
      <c r="AC737" s="10" t="s">
        <v>1010</v>
      </c>
      <c r="AD737" s="10" t="s">
        <v>1011</v>
      </c>
      <c r="AE737" s="11" t="str">
        <f>SUBSTITUTE(SUBSTITUTE(PROPERTIES[[#This Row],[PURCHASECOST_VALUE]], "PURCHASECOST_", ""), "_VALUE", "")</f>
        <v>COACH</v>
      </c>
      <c r="AF737" s="10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37" s="2" t="b">
        <v>0</v>
      </c>
      <c r="AY737"/>
      <c r="AZ737"/>
      <c r="BA737"/>
    </row>
    <row r="738" spans="1:53">
      <c r="A738" s="2" t="s">
        <v>775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35</v>
      </c>
      <c r="G738" t="s">
        <v>325</v>
      </c>
      <c r="H738">
        <v>100</v>
      </c>
      <c r="I738">
        <v>6</v>
      </c>
      <c r="J738">
        <v>6</v>
      </c>
      <c r="K738" s="2" t="s">
        <v>479</v>
      </c>
      <c r="L738">
        <v>16</v>
      </c>
      <c r="M738">
        <v>60</v>
      </c>
      <c r="N738">
        <v>1</v>
      </c>
      <c r="O738" s="34">
        <v>30</v>
      </c>
      <c r="P738">
        <v>0</v>
      </c>
      <c r="Q738">
        <v>90</v>
      </c>
      <c r="R738" s="31">
        <v>0</v>
      </c>
      <c r="S738" s="30">
        <f>IFERROR(PROPERTIES[[#This Row],[TE_STARTING_KN]]/(PROPERTIES[[#This Row],[WEIGHT]]*9.81),0)</f>
        <v>0</v>
      </c>
      <c r="T738" s="30">
        <v>0.3</v>
      </c>
      <c r="U738" s="27">
        <f>ROUND(IF(IFERROR(PROPERTIES[[#This Row],[TE_COEFFICIENT_CALC]],0)=0,PROPERTIES[[#This Row],[TE_COEFFICIENT_MANUAL]],PROPERTIES[[#This Row],[TE_COEFFICIENT_CALC]]),3)</f>
        <v>0.3</v>
      </c>
      <c r="V738" s="6">
        <v>25</v>
      </c>
      <c r="W738" s="10">
        <v>0</v>
      </c>
      <c r="X738" s="10">
        <v>0</v>
      </c>
      <c r="Y738" s="11"/>
      <c r="Z738" t="s">
        <v>915</v>
      </c>
      <c r="AA738" t="s">
        <v>907</v>
      </c>
      <c r="AB738" s="2" t="s">
        <v>922</v>
      </c>
      <c r="AC738" s="10" t="s">
        <v>1010</v>
      </c>
      <c r="AD738" s="10" t="s">
        <v>1011</v>
      </c>
      <c r="AE738" s="11" t="str">
        <f>SUBSTITUTE(SUBSTITUTE(PROPERTIES[[#This Row],[PURCHASECOST_VALUE]], "PURCHASECOST_", ""), "_VALUE", "")</f>
        <v>COACH</v>
      </c>
      <c r="AF738" s="10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38" s="2" t="b">
        <v>0</v>
      </c>
      <c r="AY738"/>
      <c r="AZ738"/>
      <c r="BA738"/>
    </row>
    <row r="739" spans="1:53">
      <c r="A739" s="2" t="s">
        <v>776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35</v>
      </c>
      <c r="G739" t="s">
        <v>673</v>
      </c>
      <c r="H739">
        <v>42</v>
      </c>
      <c r="I739">
        <v>6</v>
      </c>
      <c r="J739">
        <v>6</v>
      </c>
      <c r="K739" s="2" t="s">
        <v>674</v>
      </c>
      <c r="L739">
        <v>15</v>
      </c>
      <c r="M739">
        <v>60</v>
      </c>
      <c r="N739">
        <v>1</v>
      </c>
      <c r="O739" s="34">
        <v>27.5</v>
      </c>
      <c r="P739">
        <v>0</v>
      </c>
      <c r="Q739">
        <v>90</v>
      </c>
      <c r="R739" s="31">
        <v>0</v>
      </c>
      <c r="S739" s="30">
        <f>IFERROR(PROPERTIES[[#This Row],[TE_STARTING_KN]]/(PROPERTIES[[#This Row],[WEIGHT]]*9.81),0)</f>
        <v>0</v>
      </c>
      <c r="T739" s="30">
        <v>0.3</v>
      </c>
      <c r="U739" s="27">
        <f>ROUND(IF(IFERROR(PROPERTIES[[#This Row],[TE_COEFFICIENT_CALC]],0)=0,PROPERTIES[[#This Row],[TE_COEFFICIENT_MANUAL]],PROPERTIES[[#This Row],[TE_COEFFICIENT_CALC]]),3)</f>
        <v>0.3</v>
      </c>
      <c r="V739" s="6">
        <v>25</v>
      </c>
      <c r="W739" s="10">
        <v>0</v>
      </c>
      <c r="X739" s="10">
        <v>0</v>
      </c>
      <c r="Y739" s="11"/>
      <c r="Z739" t="s">
        <v>915</v>
      </c>
      <c r="AA739" t="s">
        <v>907</v>
      </c>
      <c r="AB739" s="2" t="s">
        <v>922</v>
      </c>
      <c r="AC739" s="10" t="s">
        <v>1010</v>
      </c>
      <c r="AD739" s="10" t="s">
        <v>1011</v>
      </c>
      <c r="AE739" s="11" t="str">
        <f>SUBSTITUTE(SUBSTITUTE(PROPERTIES[[#This Row],[PURCHASECOST_VALUE]], "PURCHASECOST_", ""), "_VALUE", "")</f>
        <v>COACH</v>
      </c>
      <c r="AF739" s="10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Mail / Parcel</v>
      </c>
      <c r="AG739" s="2" t="b">
        <v>0</v>
      </c>
      <c r="AY739"/>
      <c r="AZ739"/>
      <c r="BA739"/>
    </row>
    <row r="740" spans="1:53">
      <c r="A740" s="2" t="s">
        <v>777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35</v>
      </c>
      <c r="G740" t="s">
        <v>325</v>
      </c>
      <c r="H740">
        <v>70</v>
      </c>
      <c r="I740">
        <v>8</v>
      </c>
      <c r="J740">
        <v>8</v>
      </c>
      <c r="K740" s="2" t="s">
        <v>479</v>
      </c>
      <c r="L740">
        <v>16</v>
      </c>
      <c r="M740">
        <v>55</v>
      </c>
      <c r="N740">
        <v>1</v>
      </c>
      <c r="O740" s="34">
        <v>34</v>
      </c>
      <c r="P740">
        <v>0</v>
      </c>
      <c r="Q740">
        <v>145</v>
      </c>
      <c r="R740" s="31">
        <v>0</v>
      </c>
      <c r="S740" s="30">
        <f>IFERROR(PROPERTIES[[#This Row],[TE_STARTING_KN]]/(PROPERTIES[[#This Row],[WEIGHT]]*9.81),0)</f>
        <v>0</v>
      </c>
      <c r="T740" s="30">
        <v>0.3</v>
      </c>
      <c r="U740" s="27">
        <f>ROUND(IF(IFERROR(PROPERTIES[[#This Row],[TE_COEFFICIENT_CALC]],0)=0,PROPERTIES[[#This Row],[TE_COEFFICIENT_MANUAL]],PROPERTIES[[#This Row],[TE_COEFFICIENT_CALC]]),3)</f>
        <v>0.3</v>
      </c>
      <c r="V740" s="6">
        <v>25</v>
      </c>
      <c r="W740" s="10">
        <v>0</v>
      </c>
      <c r="X740" s="10">
        <v>0</v>
      </c>
      <c r="Y740" s="11"/>
      <c r="Z740" t="s">
        <v>919</v>
      </c>
      <c r="AA740" t="s">
        <v>917</v>
      </c>
      <c r="AB740" s="2" t="s">
        <v>922</v>
      </c>
      <c r="AC740" s="10" t="s">
        <v>1010</v>
      </c>
      <c r="AD740" s="10" t="s">
        <v>1011</v>
      </c>
      <c r="AE740" s="11" t="str">
        <f>SUBSTITUTE(SUBSTITUTE(PROPERTIES[[#This Row],[PURCHASECOST_VALUE]], "PURCHASECOST_", ""), "_VALUE", "")</f>
        <v>COACH</v>
      </c>
      <c r="AF740" s="10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40" s="2" t="b">
        <v>0</v>
      </c>
      <c r="AY740"/>
      <c r="AZ740"/>
      <c r="BA740"/>
    </row>
    <row r="741" spans="1:53">
      <c r="A741" s="2" t="s">
        <v>778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35</v>
      </c>
      <c r="G741" t="s">
        <v>325</v>
      </c>
      <c r="H741">
        <v>135</v>
      </c>
      <c r="I741">
        <v>8</v>
      </c>
      <c r="J741">
        <v>8</v>
      </c>
      <c r="K741" s="2" t="s">
        <v>479</v>
      </c>
      <c r="L741">
        <v>16</v>
      </c>
      <c r="M741">
        <v>55</v>
      </c>
      <c r="N741">
        <v>1</v>
      </c>
      <c r="O741" s="34">
        <v>32</v>
      </c>
      <c r="P741">
        <v>0</v>
      </c>
      <c r="Q741">
        <v>120</v>
      </c>
      <c r="R741" s="31">
        <v>0</v>
      </c>
      <c r="S741" s="30">
        <f>IFERROR(PROPERTIES[[#This Row],[TE_STARTING_KN]]/(PROPERTIES[[#This Row],[WEIGHT]]*9.81),0)</f>
        <v>0</v>
      </c>
      <c r="T741" s="30">
        <v>0.3</v>
      </c>
      <c r="U741" s="27">
        <f>ROUND(IF(IFERROR(PROPERTIES[[#This Row],[TE_COEFFICIENT_CALC]],0)=0,PROPERTIES[[#This Row],[TE_COEFFICIENT_MANUAL]],PROPERTIES[[#This Row],[TE_COEFFICIENT_CALC]]),3)</f>
        <v>0.3</v>
      </c>
      <c r="V741" s="6">
        <v>25</v>
      </c>
      <c r="W741" s="10">
        <v>0</v>
      </c>
      <c r="X741" s="10">
        <v>0</v>
      </c>
      <c r="Y741" s="11"/>
      <c r="Z741" t="s">
        <v>919</v>
      </c>
      <c r="AA741" t="s">
        <v>917</v>
      </c>
      <c r="AB741" s="2" t="s">
        <v>922</v>
      </c>
      <c r="AC741" s="10" t="s">
        <v>1010</v>
      </c>
      <c r="AD741" s="10" t="s">
        <v>1011</v>
      </c>
      <c r="AE741" s="11" t="str">
        <f>SUBSTITUTE(SUBSTITUTE(PROPERTIES[[#This Row],[PURCHASECOST_VALUE]], "PURCHASECOST_", ""), "_VALUE", "")</f>
        <v>COACH</v>
      </c>
      <c r="AF741" s="10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41" s="2" t="b">
        <v>0</v>
      </c>
      <c r="AY741"/>
      <c r="AZ741"/>
      <c r="BA741"/>
    </row>
    <row r="742" spans="1:53">
      <c r="A742" s="2" t="s">
        <v>779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35</v>
      </c>
      <c r="G742" t="s">
        <v>673</v>
      </c>
      <c r="H742">
        <v>75</v>
      </c>
      <c r="I742">
        <v>8</v>
      </c>
      <c r="J742">
        <v>8</v>
      </c>
      <c r="K742" s="2" t="s">
        <v>674</v>
      </c>
      <c r="L742">
        <v>15</v>
      </c>
      <c r="M742">
        <v>55</v>
      </c>
      <c r="N742">
        <v>1</v>
      </c>
      <c r="O742" s="34">
        <v>34</v>
      </c>
      <c r="P742">
        <v>0</v>
      </c>
      <c r="Q742">
        <v>145</v>
      </c>
      <c r="R742" s="31">
        <v>0</v>
      </c>
      <c r="S742" s="30">
        <f>IFERROR(PROPERTIES[[#This Row],[TE_STARTING_KN]]/(PROPERTIES[[#This Row],[WEIGHT]]*9.81),0)</f>
        <v>0</v>
      </c>
      <c r="T742" s="30">
        <v>0.3</v>
      </c>
      <c r="U742" s="27">
        <f>ROUND(IF(IFERROR(PROPERTIES[[#This Row],[TE_COEFFICIENT_CALC]],0)=0,PROPERTIES[[#This Row],[TE_COEFFICIENT_MANUAL]],PROPERTIES[[#This Row],[TE_COEFFICIENT_CALC]]),3)</f>
        <v>0.3</v>
      </c>
      <c r="V742" s="6">
        <v>25</v>
      </c>
      <c r="W742" s="10">
        <v>0</v>
      </c>
      <c r="X742" s="10">
        <v>0</v>
      </c>
      <c r="Y742" s="11"/>
      <c r="Z742" t="s">
        <v>919</v>
      </c>
      <c r="AA742" t="s">
        <v>917</v>
      </c>
      <c r="AB742" s="2" t="s">
        <v>922</v>
      </c>
      <c r="AC742" s="10" t="s">
        <v>1010</v>
      </c>
      <c r="AD742" s="10" t="s">
        <v>1011</v>
      </c>
      <c r="AE742" s="11" t="str">
        <f>SUBSTITUTE(SUBSTITUTE(PROPERTIES[[#This Row],[PURCHASECOST_VALUE]], "PURCHASECOST_", ""), "_VALUE", "")</f>
        <v>COACH</v>
      </c>
      <c r="AF742" s="10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42" s="2" t="b">
        <v>0</v>
      </c>
      <c r="AY742"/>
      <c r="AZ742"/>
      <c r="BA742"/>
    </row>
    <row r="743" spans="1:53">
      <c r="A743" s="2" t="s">
        <v>780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35</v>
      </c>
      <c r="G743" t="s">
        <v>325</v>
      </c>
      <c r="H743">
        <v>75</v>
      </c>
      <c r="I743">
        <v>8</v>
      </c>
      <c r="J743">
        <v>8</v>
      </c>
      <c r="K743" s="2" t="s">
        <v>479</v>
      </c>
      <c r="L743">
        <v>16</v>
      </c>
      <c r="M743">
        <v>50</v>
      </c>
      <c r="N743">
        <v>1</v>
      </c>
      <c r="O743" s="34">
        <v>30</v>
      </c>
      <c r="P743">
        <v>0</v>
      </c>
      <c r="Q743">
        <v>160</v>
      </c>
      <c r="R743" s="31">
        <v>0</v>
      </c>
      <c r="S743" s="30">
        <f>IFERROR(PROPERTIES[[#This Row],[TE_STARTING_KN]]/(PROPERTIES[[#This Row],[WEIGHT]]*9.81),0)</f>
        <v>0</v>
      </c>
      <c r="T743" s="30">
        <v>0.3</v>
      </c>
      <c r="U743" s="27">
        <f>ROUND(IF(IFERROR(PROPERTIES[[#This Row],[TE_COEFFICIENT_CALC]],0)=0,PROPERTIES[[#This Row],[TE_COEFFICIENT_MANUAL]],PROPERTIES[[#This Row],[TE_COEFFICIENT_CALC]]),3)</f>
        <v>0.3</v>
      </c>
      <c r="V743" s="6">
        <v>25</v>
      </c>
      <c r="W743" s="10">
        <v>0</v>
      </c>
      <c r="X743" s="10">
        <v>0</v>
      </c>
      <c r="Y743" s="11"/>
      <c r="Z743" t="s">
        <v>915</v>
      </c>
      <c r="AA743" t="s">
        <v>907</v>
      </c>
      <c r="AB743" s="2" t="s">
        <v>922</v>
      </c>
      <c r="AC743" s="10" t="s">
        <v>1010</v>
      </c>
      <c r="AD743" s="10" t="s">
        <v>1011</v>
      </c>
      <c r="AE743" s="11" t="str">
        <f>SUBSTITUTE(SUBSTITUTE(PROPERTIES[[#This Row],[PURCHASECOST_VALUE]], "PURCHASECOST_", ""), "_VALUE", "")</f>
        <v>COACH</v>
      </c>
      <c r="AF743" s="10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43" s="2" t="b">
        <v>0</v>
      </c>
      <c r="AY743"/>
      <c r="AZ743"/>
      <c r="BA743"/>
    </row>
    <row r="744" spans="1:53">
      <c r="A744" s="2" t="s">
        <v>781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35</v>
      </c>
      <c r="G744" t="s">
        <v>325</v>
      </c>
      <c r="H744">
        <v>150</v>
      </c>
      <c r="I744">
        <v>8</v>
      </c>
      <c r="J744">
        <v>8</v>
      </c>
      <c r="K744" s="2" t="s">
        <v>479</v>
      </c>
      <c r="L744">
        <v>16</v>
      </c>
      <c r="M744">
        <v>50</v>
      </c>
      <c r="N744">
        <v>1</v>
      </c>
      <c r="O744" s="34">
        <v>25</v>
      </c>
      <c r="P744">
        <v>0</v>
      </c>
      <c r="Q744">
        <v>120</v>
      </c>
      <c r="R744" s="31">
        <v>0</v>
      </c>
      <c r="S744" s="30">
        <f>IFERROR(PROPERTIES[[#This Row],[TE_STARTING_KN]]/(PROPERTIES[[#This Row],[WEIGHT]]*9.81),0)</f>
        <v>0</v>
      </c>
      <c r="T744" s="30">
        <v>0.3</v>
      </c>
      <c r="U744" s="27">
        <f>ROUND(IF(IFERROR(PROPERTIES[[#This Row],[TE_COEFFICIENT_CALC]],0)=0,PROPERTIES[[#This Row],[TE_COEFFICIENT_MANUAL]],PROPERTIES[[#This Row],[TE_COEFFICIENT_CALC]]),3)</f>
        <v>0.3</v>
      </c>
      <c r="V744" s="6">
        <v>25</v>
      </c>
      <c r="W744" s="10">
        <v>0</v>
      </c>
      <c r="X744" s="10">
        <v>0</v>
      </c>
      <c r="Y744" s="11"/>
      <c r="Z744" t="s">
        <v>917</v>
      </c>
      <c r="AA744" t="s">
        <v>907</v>
      </c>
      <c r="AB744" s="2" t="s">
        <v>922</v>
      </c>
      <c r="AC744" s="10" t="s">
        <v>1010</v>
      </c>
      <c r="AD744" s="10" t="s">
        <v>1011</v>
      </c>
      <c r="AE744" s="11" t="str">
        <f>SUBSTITUTE(SUBSTITUTE(PROPERTIES[[#This Row],[PURCHASECOST_VALUE]], "PURCHASECOST_", ""), "_VALUE", "")</f>
        <v>COACH</v>
      </c>
      <c r="AF744" s="10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44" s="2" t="b">
        <v>0</v>
      </c>
      <c r="AY744"/>
      <c r="AZ744"/>
      <c r="BA744"/>
    </row>
    <row r="745" spans="1:53">
      <c r="A745" s="2" t="s">
        <v>782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35</v>
      </c>
      <c r="G745" t="s">
        <v>673</v>
      </c>
      <c r="H745">
        <v>80</v>
      </c>
      <c r="I745">
        <v>8</v>
      </c>
      <c r="J745">
        <v>8</v>
      </c>
      <c r="K745" s="2" t="s">
        <v>674</v>
      </c>
      <c r="L745">
        <v>15</v>
      </c>
      <c r="M745">
        <v>50</v>
      </c>
      <c r="N745">
        <v>1</v>
      </c>
      <c r="O745" s="34">
        <v>24</v>
      </c>
      <c r="P745">
        <v>0</v>
      </c>
      <c r="Q745">
        <v>160</v>
      </c>
      <c r="R745" s="31">
        <v>0</v>
      </c>
      <c r="S745" s="30">
        <f>IFERROR(PROPERTIES[[#This Row],[TE_STARTING_KN]]/(PROPERTIES[[#This Row],[WEIGHT]]*9.81),0)</f>
        <v>0</v>
      </c>
      <c r="T745" s="30">
        <v>0.3</v>
      </c>
      <c r="U745" s="27">
        <f>ROUND(IF(IFERROR(PROPERTIES[[#This Row],[TE_COEFFICIENT_CALC]],0)=0,PROPERTIES[[#This Row],[TE_COEFFICIENT_MANUAL]],PROPERTIES[[#This Row],[TE_COEFFICIENT_CALC]]),3)</f>
        <v>0.3</v>
      </c>
      <c r="V745" s="6">
        <v>25</v>
      </c>
      <c r="W745" s="10">
        <v>0</v>
      </c>
      <c r="X745" s="10">
        <v>0</v>
      </c>
      <c r="Y745" s="11"/>
      <c r="Z745" t="s">
        <v>917</v>
      </c>
      <c r="AA745" t="s">
        <v>907</v>
      </c>
      <c r="AB745" s="2" t="s">
        <v>922</v>
      </c>
      <c r="AC745" s="10" t="s">
        <v>1010</v>
      </c>
      <c r="AD745" s="10" t="s">
        <v>1011</v>
      </c>
      <c r="AE745" s="11" t="str">
        <f>SUBSTITUTE(SUBSTITUTE(PROPERTIES[[#This Row],[PURCHASECOST_VALUE]], "PURCHASECOST_", ""), "_VALUE", "")</f>
        <v>COACH</v>
      </c>
      <c r="AF745" s="10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45" s="2" t="b">
        <v>0</v>
      </c>
      <c r="AY745"/>
      <c r="AZ745"/>
      <c r="BA745"/>
    </row>
    <row r="746" spans="1:53">
      <c r="A746" s="2" t="s">
        <v>783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35</v>
      </c>
      <c r="G746" t="s">
        <v>325</v>
      </c>
      <c r="H746">
        <v>170</v>
      </c>
      <c r="I746">
        <v>8</v>
      </c>
      <c r="J746">
        <v>8</v>
      </c>
      <c r="K746" s="2" t="s">
        <v>479</v>
      </c>
      <c r="L746">
        <v>16</v>
      </c>
      <c r="M746">
        <v>50</v>
      </c>
      <c r="N746">
        <v>1</v>
      </c>
      <c r="O746" s="34">
        <v>75</v>
      </c>
      <c r="P746">
        <v>0</v>
      </c>
      <c r="Q746">
        <v>130</v>
      </c>
      <c r="R746" s="31">
        <v>0</v>
      </c>
      <c r="S746" s="30">
        <f>IFERROR(PROPERTIES[[#This Row],[TE_STARTING_KN]]/(PROPERTIES[[#This Row],[WEIGHT]]*9.81),0)</f>
        <v>0</v>
      </c>
      <c r="T746" s="30">
        <v>0.3</v>
      </c>
      <c r="U746" s="27">
        <f>ROUND(IF(IFERROR(PROPERTIES[[#This Row],[TE_COEFFICIENT_CALC]],0)=0,PROPERTIES[[#This Row],[TE_COEFFICIENT_MANUAL]],PROPERTIES[[#This Row],[TE_COEFFICIENT_CALC]]),3)</f>
        <v>0.3</v>
      </c>
      <c r="V746" s="6">
        <v>25</v>
      </c>
      <c r="W746" s="10">
        <v>0</v>
      </c>
      <c r="X746" s="10">
        <v>0</v>
      </c>
      <c r="Y746" s="11"/>
      <c r="Z746" t="s">
        <v>917</v>
      </c>
      <c r="AA746" t="s">
        <v>907</v>
      </c>
      <c r="AB746" s="2" t="s">
        <v>922</v>
      </c>
      <c r="AC746" s="10" t="s">
        <v>1010</v>
      </c>
      <c r="AD746" s="10" t="s">
        <v>1011</v>
      </c>
      <c r="AE746" s="11" t="str">
        <f>SUBSTITUTE(SUBSTITUTE(PROPERTIES[[#This Row],[PURCHASECOST_VALUE]], "PURCHASECOST_", ""), "_VALUE", "")</f>
        <v>COACH</v>
      </c>
      <c r="AF746" s="10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46" s="2" t="b">
        <v>0</v>
      </c>
      <c r="AY746"/>
      <c r="AZ746"/>
      <c r="BA746"/>
    </row>
    <row r="747" spans="1:53">
      <c r="A747" s="2" t="s">
        <v>784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35</v>
      </c>
      <c r="G747" t="s">
        <v>325</v>
      </c>
      <c r="H747">
        <v>72</v>
      </c>
      <c r="I747">
        <v>7</v>
      </c>
      <c r="J747">
        <v>7</v>
      </c>
      <c r="K747" s="2" t="s">
        <v>479</v>
      </c>
      <c r="L747">
        <v>16</v>
      </c>
      <c r="M747">
        <v>50</v>
      </c>
      <c r="N747">
        <v>1</v>
      </c>
      <c r="O747" s="34">
        <v>35</v>
      </c>
      <c r="P747">
        <v>0</v>
      </c>
      <c r="Q747">
        <v>145</v>
      </c>
      <c r="R747" s="31">
        <v>0</v>
      </c>
      <c r="S747" s="30">
        <f>IFERROR(PROPERTIES[[#This Row],[TE_STARTING_KN]]/(PROPERTIES[[#This Row],[WEIGHT]]*9.81),0)</f>
        <v>0</v>
      </c>
      <c r="T747" s="30">
        <v>0.3</v>
      </c>
      <c r="U747" s="27">
        <f>ROUND(IF(IFERROR(PROPERTIES[[#This Row],[TE_COEFFICIENT_CALC]],0)=0,PROPERTIES[[#This Row],[TE_COEFFICIENT_MANUAL]],PROPERTIES[[#This Row],[TE_COEFFICIENT_CALC]]),3)</f>
        <v>0.3</v>
      </c>
      <c r="V747" s="6">
        <v>25</v>
      </c>
      <c r="W747" s="10">
        <v>0</v>
      </c>
      <c r="X747" s="10">
        <v>0</v>
      </c>
      <c r="Y747" s="11"/>
      <c r="Z747" t="s">
        <v>915</v>
      </c>
      <c r="AA747" t="s">
        <v>904</v>
      </c>
      <c r="AB747" s="2" t="s">
        <v>922</v>
      </c>
      <c r="AC747" s="10" t="s">
        <v>1010</v>
      </c>
      <c r="AD747" s="10" t="s">
        <v>1011</v>
      </c>
      <c r="AE747" s="11" t="str">
        <f>SUBSTITUTE(SUBSTITUTE(PROPERTIES[[#This Row],[PURCHASECOST_VALUE]], "PURCHASECOST_", ""), "_VALUE", "")</f>
        <v>COACH</v>
      </c>
      <c r="AF747" s="10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47" s="2" t="b">
        <v>0</v>
      </c>
      <c r="AY747"/>
      <c r="AZ747"/>
      <c r="BA747"/>
    </row>
    <row r="748" spans="1:53">
      <c r="A748" s="2" t="s">
        <v>785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35</v>
      </c>
      <c r="G748" t="s">
        <v>325</v>
      </c>
      <c r="H748">
        <v>150</v>
      </c>
      <c r="I748">
        <v>7</v>
      </c>
      <c r="J748">
        <v>7</v>
      </c>
      <c r="K748" s="2" t="s">
        <v>479</v>
      </c>
      <c r="L748">
        <v>16</v>
      </c>
      <c r="M748">
        <v>50</v>
      </c>
      <c r="N748">
        <v>1</v>
      </c>
      <c r="O748" s="34">
        <v>31</v>
      </c>
      <c r="P748">
        <v>0</v>
      </c>
      <c r="Q748">
        <v>120</v>
      </c>
      <c r="R748" s="31">
        <v>0</v>
      </c>
      <c r="S748" s="30">
        <f>IFERROR(PROPERTIES[[#This Row],[TE_STARTING_KN]]/(PROPERTIES[[#This Row],[WEIGHT]]*9.81),0)</f>
        <v>0</v>
      </c>
      <c r="T748" s="30">
        <v>0.3</v>
      </c>
      <c r="U748" s="27">
        <f>ROUND(IF(IFERROR(PROPERTIES[[#This Row],[TE_COEFFICIENT_CALC]],0)=0,PROPERTIES[[#This Row],[TE_COEFFICIENT_MANUAL]],PROPERTIES[[#This Row],[TE_COEFFICIENT_CALC]]),3)</f>
        <v>0.3</v>
      </c>
      <c r="V748" s="6">
        <v>25</v>
      </c>
      <c r="W748" s="10">
        <v>0</v>
      </c>
      <c r="X748" s="10">
        <v>0</v>
      </c>
      <c r="Y748" s="11"/>
      <c r="Z748" t="s">
        <v>915</v>
      </c>
      <c r="AA748" t="s">
        <v>904</v>
      </c>
      <c r="AB748" s="2" t="s">
        <v>922</v>
      </c>
      <c r="AC748" s="10" t="s">
        <v>1010</v>
      </c>
      <c r="AD748" s="10" t="s">
        <v>1011</v>
      </c>
      <c r="AE748" s="11" t="str">
        <f>SUBSTITUTE(SUBSTITUTE(PROPERTIES[[#This Row],[PURCHASECOST_VALUE]], "PURCHASECOST_", ""), "_VALUE", "")</f>
        <v>COACH</v>
      </c>
      <c r="AF748" s="10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48" s="2" t="b">
        <v>0</v>
      </c>
      <c r="AY748"/>
      <c r="AZ748"/>
      <c r="BA748"/>
    </row>
    <row r="749" spans="1:53">
      <c r="A749" s="2" t="s">
        <v>786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35</v>
      </c>
      <c r="G749" t="s">
        <v>673</v>
      </c>
      <c r="H749">
        <v>80</v>
      </c>
      <c r="I749">
        <v>7</v>
      </c>
      <c r="J749">
        <v>7</v>
      </c>
      <c r="K749" s="2" t="s">
        <v>674</v>
      </c>
      <c r="L749">
        <v>15</v>
      </c>
      <c r="M749">
        <v>50</v>
      </c>
      <c r="N749">
        <v>1</v>
      </c>
      <c r="O749" s="34">
        <v>34</v>
      </c>
      <c r="P749">
        <v>0</v>
      </c>
      <c r="Q749">
        <v>145</v>
      </c>
      <c r="R749" s="31">
        <v>0</v>
      </c>
      <c r="S749" s="30">
        <f>IFERROR(PROPERTIES[[#This Row],[TE_STARTING_KN]]/(PROPERTIES[[#This Row],[WEIGHT]]*9.81),0)</f>
        <v>0</v>
      </c>
      <c r="T749" s="30">
        <v>0.3</v>
      </c>
      <c r="U749" s="27">
        <f>ROUND(IF(IFERROR(PROPERTIES[[#This Row],[TE_COEFFICIENT_CALC]],0)=0,PROPERTIES[[#This Row],[TE_COEFFICIENT_MANUAL]],PROPERTIES[[#This Row],[TE_COEFFICIENT_CALC]]),3)</f>
        <v>0.3</v>
      </c>
      <c r="V749" s="6">
        <v>25</v>
      </c>
      <c r="W749" s="10">
        <v>0</v>
      </c>
      <c r="X749" s="10">
        <v>0</v>
      </c>
      <c r="Y749" s="11"/>
      <c r="Z749" t="s">
        <v>915</v>
      </c>
      <c r="AA749" t="s">
        <v>904</v>
      </c>
      <c r="AB749" s="2" t="s">
        <v>922</v>
      </c>
      <c r="AC749" s="10" t="s">
        <v>1010</v>
      </c>
      <c r="AD749" s="10" t="s">
        <v>1011</v>
      </c>
      <c r="AE749" s="11" t="str">
        <f>SUBSTITUTE(SUBSTITUTE(PROPERTIES[[#This Row],[PURCHASECOST_VALUE]], "PURCHASECOST_", ""), "_VALUE", "")</f>
        <v>COACH</v>
      </c>
      <c r="AF749" s="10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49" s="2" t="b">
        <v>0</v>
      </c>
      <c r="AY749"/>
      <c r="AZ749"/>
      <c r="BA749"/>
    </row>
    <row r="750" spans="1:53">
      <c r="A750" s="2" t="s">
        <v>787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35</v>
      </c>
      <c r="G750" t="s">
        <v>325</v>
      </c>
      <c r="H750">
        <v>72</v>
      </c>
      <c r="I750">
        <v>8</v>
      </c>
      <c r="J750">
        <v>8</v>
      </c>
      <c r="K750" s="2" t="s">
        <v>479</v>
      </c>
      <c r="L750">
        <v>16</v>
      </c>
      <c r="M750">
        <v>50</v>
      </c>
      <c r="N750">
        <v>1</v>
      </c>
      <c r="O750" s="34">
        <v>42</v>
      </c>
      <c r="P750">
        <v>0</v>
      </c>
      <c r="Q750">
        <v>160</v>
      </c>
      <c r="R750" s="31">
        <v>0</v>
      </c>
      <c r="S750" s="30">
        <f>IFERROR(PROPERTIES[[#This Row],[TE_STARTING_KN]]/(PROPERTIES[[#This Row],[WEIGHT]]*9.81),0)</f>
        <v>0</v>
      </c>
      <c r="T750" s="30">
        <v>0.3</v>
      </c>
      <c r="U750" s="27">
        <f>ROUND(IF(IFERROR(PROPERTIES[[#This Row],[TE_COEFFICIENT_CALC]],0)=0,PROPERTIES[[#This Row],[TE_COEFFICIENT_MANUAL]],PROPERTIES[[#This Row],[TE_COEFFICIENT_CALC]]),3)</f>
        <v>0.3</v>
      </c>
      <c r="V750" s="6">
        <v>25</v>
      </c>
      <c r="W750" s="10">
        <v>0</v>
      </c>
      <c r="X750" s="10">
        <v>0</v>
      </c>
      <c r="Y750" s="11"/>
      <c r="Z750" t="s">
        <v>915</v>
      </c>
      <c r="AA750" t="s">
        <v>904</v>
      </c>
      <c r="AB750" s="2" t="s">
        <v>922</v>
      </c>
      <c r="AC750" s="10" t="s">
        <v>1010</v>
      </c>
      <c r="AD750" s="10" t="s">
        <v>1011</v>
      </c>
      <c r="AE750" s="11" t="str">
        <f>SUBSTITUTE(SUBSTITUTE(PROPERTIES[[#This Row],[PURCHASECOST_VALUE]], "PURCHASECOST_", ""), "_VALUE", "")</f>
        <v>COACH</v>
      </c>
      <c r="AF750" s="10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50" s="2" t="b">
        <v>0</v>
      </c>
      <c r="AY750"/>
      <c r="AZ750"/>
      <c r="BA750"/>
    </row>
    <row r="751" spans="1:53">
      <c r="A751" s="2" t="s">
        <v>788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35</v>
      </c>
      <c r="G751" t="s">
        <v>325</v>
      </c>
      <c r="H751">
        <v>48</v>
      </c>
      <c r="I751">
        <v>8</v>
      </c>
      <c r="J751">
        <v>8</v>
      </c>
      <c r="K751" s="2" t="s">
        <v>479</v>
      </c>
      <c r="L751">
        <v>16</v>
      </c>
      <c r="M751">
        <v>50</v>
      </c>
      <c r="N751">
        <v>1</v>
      </c>
      <c r="O751" s="34">
        <v>48</v>
      </c>
      <c r="P751">
        <v>0</v>
      </c>
      <c r="Q751">
        <v>160</v>
      </c>
      <c r="R751" s="31">
        <v>0</v>
      </c>
      <c r="S751" s="30">
        <f>IFERROR(PROPERTIES[[#This Row],[TE_STARTING_KN]]/(PROPERTIES[[#This Row],[WEIGHT]]*9.81),0)</f>
        <v>0</v>
      </c>
      <c r="T751" s="30">
        <v>0.3</v>
      </c>
      <c r="U751" s="27">
        <f>ROUND(IF(IFERROR(PROPERTIES[[#This Row],[TE_COEFFICIENT_CALC]],0)=0,PROPERTIES[[#This Row],[TE_COEFFICIENT_MANUAL]],PROPERTIES[[#This Row],[TE_COEFFICIENT_CALC]]),3)</f>
        <v>0.3</v>
      </c>
      <c r="V751" s="6">
        <v>25</v>
      </c>
      <c r="W751" s="10">
        <v>0</v>
      </c>
      <c r="X751" s="10">
        <v>0</v>
      </c>
      <c r="Y751" s="11"/>
      <c r="Z751" t="s">
        <v>914</v>
      </c>
      <c r="AA751" t="s">
        <v>904</v>
      </c>
      <c r="AB751" s="2" t="s">
        <v>922</v>
      </c>
      <c r="AC751" s="10" t="s">
        <v>1010</v>
      </c>
      <c r="AD751" s="10" t="s">
        <v>1011</v>
      </c>
      <c r="AE751" s="11" t="str">
        <f>SUBSTITUTE(SUBSTITUTE(PROPERTIES[[#This Row],[PURCHASECOST_VALUE]], "PURCHASECOST_", ""), "_VALUE", "")</f>
        <v>COACH</v>
      </c>
      <c r="AF751" s="10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51" s="2" t="b">
        <v>0</v>
      </c>
      <c r="AY751"/>
      <c r="AZ751"/>
      <c r="BA751"/>
    </row>
    <row r="752" spans="1:53">
      <c r="A752" s="2" t="s">
        <v>789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35</v>
      </c>
      <c r="G752" t="s">
        <v>325</v>
      </c>
      <c r="H752">
        <v>175</v>
      </c>
      <c r="I752">
        <v>8</v>
      </c>
      <c r="J752">
        <v>8</v>
      </c>
      <c r="K752" s="2" t="s">
        <v>479</v>
      </c>
      <c r="L752">
        <v>16</v>
      </c>
      <c r="M752">
        <v>50</v>
      </c>
      <c r="N752">
        <v>1</v>
      </c>
      <c r="O752" s="34">
        <v>35</v>
      </c>
      <c r="P752">
        <v>0</v>
      </c>
      <c r="Q752">
        <v>140</v>
      </c>
      <c r="R752" s="31">
        <v>0</v>
      </c>
      <c r="S752" s="30">
        <f>IFERROR(PROPERTIES[[#This Row],[TE_STARTING_KN]]/(PROPERTIES[[#This Row],[WEIGHT]]*9.81),0)</f>
        <v>0</v>
      </c>
      <c r="T752" s="30">
        <v>0.3</v>
      </c>
      <c r="U752" s="27">
        <f>ROUND(IF(IFERROR(PROPERTIES[[#This Row],[TE_COEFFICIENT_CALC]],0)=0,PROPERTIES[[#This Row],[TE_COEFFICIENT_MANUAL]],PROPERTIES[[#This Row],[TE_COEFFICIENT_CALC]]),3)</f>
        <v>0.3</v>
      </c>
      <c r="V752" s="6">
        <v>25</v>
      </c>
      <c r="W752" s="10">
        <v>0</v>
      </c>
      <c r="X752" s="10">
        <v>0</v>
      </c>
      <c r="Y752" s="11"/>
      <c r="Z752" t="s">
        <v>915</v>
      </c>
      <c r="AA752" t="s">
        <v>904</v>
      </c>
      <c r="AB752" s="2" t="s">
        <v>922</v>
      </c>
      <c r="AC752" s="10" t="s">
        <v>1010</v>
      </c>
      <c r="AD752" s="10" t="s">
        <v>1011</v>
      </c>
      <c r="AE752" s="11" t="str">
        <f>SUBSTITUTE(SUBSTITUTE(PROPERTIES[[#This Row],[PURCHASECOST_VALUE]], "PURCHASECOST_", ""), "_VALUE", "")</f>
        <v>COACH</v>
      </c>
      <c r="AF752" s="10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52" s="2" t="b">
        <v>0</v>
      </c>
      <c r="AY752"/>
      <c r="AZ752"/>
      <c r="BA752"/>
    </row>
    <row r="753" spans="1:53">
      <c r="A753" s="2" t="s">
        <v>790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35</v>
      </c>
      <c r="G753" t="s">
        <v>325</v>
      </c>
      <c r="H753">
        <v>72</v>
      </c>
      <c r="I753">
        <v>7</v>
      </c>
      <c r="J753">
        <v>7</v>
      </c>
      <c r="K753" s="2" t="s">
        <v>24</v>
      </c>
      <c r="L753">
        <v>40</v>
      </c>
      <c r="M753">
        <v>50</v>
      </c>
      <c r="N753">
        <v>1</v>
      </c>
      <c r="O753" s="34">
        <v>30</v>
      </c>
      <c r="P753">
        <v>0</v>
      </c>
      <c r="Q753">
        <v>100</v>
      </c>
      <c r="R753" s="31">
        <v>0</v>
      </c>
      <c r="S753" s="30">
        <f>IFERROR(PROPERTIES[[#This Row],[TE_STARTING_KN]]/(PROPERTIES[[#This Row],[WEIGHT]]*9.81),0)</f>
        <v>0</v>
      </c>
      <c r="T753" s="30">
        <v>0.3</v>
      </c>
      <c r="U753" s="27">
        <f>ROUND(IF(IFERROR(PROPERTIES[[#This Row],[TE_COEFFICIENT_CALC]],0)=0,PROPERTIES[[#This Row],[TE_COEFFICIENT_MANUAL]],PROPERTIES[[#This Row],[TE_COEFFICIENT_CALC]]),3)</f>
        <v>0.3</v>
      </c>
      <c r="V753" s="6">
        <v>25</v>
      </c>
      <c r="W753" s="10">
        <v>0</v>
      </c>
      <c r="X753" s="10">
        <v>0</v>
      </c>
      <c r="Y753" s="11"/>
      <c r="Z753" t="s">
        <v>915</v>
      </c>
      <c r="AA753" t="s">
        <v>904</v>
      </c>
      <c r="AB753" s="2" t="s">
        <v>922</v>
      </c>
      <c r="AC753" s="10" t="s">
        <v>1010</v>
      </c>
      <c r="AD753" s="10" t="s">
        <v>1011</v>
      </c>
      <c r="AE753" s="11" t="str">
        <f>SUBSTITUTE(SUBSTITUTE(PROPERTIES[[#This Row],[PURCHASECOST_VALUE]], "PURCHASECOST_", ""), "_VALUE", "")</f>
        <v>COACH</v>
      </c>
      <c r="AF753" s="10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53" s="2" t="b">
        <v>0</v>
      </c>
      <c r="AY753"/>
      <c r="AZ753"/>
      <c r="BA753"/>
    </row>
    <row r="754" spans="1:53">
      <c r="A754" s="2" t="s">
        <v>791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35</v>
      </c>
      <c r="G754" t="s">
        <v>325</v>
      </c>
      <c r="H754">
        <v>150</v>
      </c>
      <c r="I754">
        <v>8</v>
      </c>
      <c r="J754">
        <v>8</v>
      </c>
      <c r="K754" s="2" t="s">
        <v>24</v>
      </c>
      <c r="L754">
        <v>40</v>
      </c>
      <c r="M754">
        <v>40</v>
      </c>
      <c r="N754">
        <v>1</v>
      </c>
      <c r="O754" s="34">
        <f>85/2</f>
        <v>42.5</v>
      </c>
      <c r="P754">
        <v>0</v>
      </c>
      <c r="Q754">
        <v>120</v>
      </c>
      <c r="R754" s="31">
        <v>0</v>
      </c>
      <c r="S754" s="30">
        <f>IFERROR(PROPERTIES[[#This Row],[TE_STARTING_KN]]/(PROPERTIES[[#This Row],[WEIGHT]]*9.81),0)</f>
        <v>0</v>
      </c>
      <c r="T754" s="30">
        <v>0.3</v>
      </c>
      <c r="U754" s="27">
        <f>ROUND(IF(IFERROR(PROPERTIES[[#This Row],[TE_COEFFICIENT_CALC]],0)=0,PROPERTIES[[#This Row],[TE_COEFFICIENT_MANUAL]],PROPERTIES[[#This Row],[TE_COEFFICIENT_CALC]]),3)</f>
        <v>0.3</v>
      </c>
      <c r="V754" s="6">
        <v>25</v>
      </c>
      <c r="W754" s="10">
        <v>0</v>
      </c>
      <c r="X754" s="10">
        <v>0</v>
      </c>
      <c r="Y754" s="11"/>
      <c r="Z754" t="s">
        <v>915</v>
      </c>
      <c r="AA754" t="s">
        <v>904</v>
      </c>
      <c r="AB754" s="2" t="s">
        <v>922</v>
      </c>
      <c r="AC754" s="10" t="s">
        <v>1010</v>
      </c>
      <c r="AD754" s="10" t="s">
        <v>1011</v>
      </c>
      <c r="AE754" s="11" t="str">
        <f>SUBSTITUTE(SUBSTITUTE(PROPERTIES[[#This Row],[PURCHASECOST_VALUE]], "PURCHASECOST_", ""), "_VALUE", "")</f>
        <v>COACH</v>
      </c>
      <c r="AF754" s="10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54" s="2" t="b">
        <v>0</v>
      </c>
      <c r="AY754"/>
      <c r="AZ754"/>
      <c r="BA754"/>
    </row>
    <row r="755" spans="1:53">
      <c r="A755" s="2" t="s">
        <v>792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35</v>
      </c>
      <c r="G755" t="s">
        <v>673</v>
      </c>
      <c r="H755">
        <v>120</v>
      </c>
      <c r="I755">
        <v>8</v>
      </c>
      <c r="J755">
        <v>8</v>
      </c>
      <c r="K755" s="2" t="s">
        <v>674</v>
      </c>
      <c r="L755">
        <v>15</v>
      </c>
      <c r="M755">
        <v>50</v>
      </c>
      <c r="N755">
        <v>1</v>
      </c>
      <c r="O755" s="34">
        <v>40</v>
      </c>
      <c r="P755">
        <v>0</v>
      </c>
      <c r="Q755">
        <v>160</v>
      </c>
      <c r="R755" s="31">
        <v>0</v>
      </c>
      <c r="S755" s="30">
        <f>IFERROR(PROPERTIES[[#This Row],[TE_STARTING_KN]]/(PROPERTIES[[#This Row],[WEIGHT]]*9.81),0)</f>
        <v>0</v>
      </c>
      <c r="T755" s="30">
        <v>0.3</v>
      </c>
      <c r="U755" s="27">
        <f>ROUND(IF(IFERROR(PROPERTIES[[#This Row],[TE_COEFFICIENT_CALC]],0)=0,PROPERTIES[[#This Row],[TE_COEFFICIENT_MANUAL]],PROPERTIES[[#This Row],[TE_COEFFICIENT_CALC]]),3)</f>
        <v>0.3</v>
      </c>
      <c r="V755" s="6">
        <v>25</v>
      </c>
      <c r="W755" s="10">
        <v>0</v>
      </c>
      <c r="X755" s="10">
        <v>0</v>
      </c>
      <c r="Y755" s="11"/>
      <c r="Z755" t="s">
        <v>915</v>
      </c>
      <c r="AA755" t="s">
        <v>904</v>
      </c>
      <c r="AB755" s="2" t="s">
        <v>922</v>
      </c>
      <c r="AC755" s="10" t="s">
        <v>1010</v>
      </c>
      <c r="AD755" s="10" t="s">
        <v>1011</v>
      </c>
      <c r="AE755" s="11" t="str">
        <f>SUBSTITUTE(SUBSTITUTE(PROPERTIES[[#This Row],[PURCHASECOST_VALUE]], "PURCHASECOST_", ""), "_VALUE", "")</f>
        <v>COACH</v>
      </c>
      <c r="AF755" s="10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55" s="2" t="b">
        <v>0</v>
      </c>
      <c r="AY755"/>
      <c r="AZ755"/>
      <c r="BA755"/>
    </row>
    <row r="756" spans="1:53">
      <c r="A756" s="2" t="s">
        <v>793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35</v>
      </c>
      <c r="G756" t="s">
        <v>325</v>
      </c>
      <c r="H756">
        <v>108</v>
      </c>
      <c r="I756">
        <v>8</v>
      </c>
      <c r="J756">
        <v>8</v>
      </c>
      <c r="K756" s="2" t="s">
        <v>479</v>
      </c>
      <c r="L756">
        <v>16</v>
      </c>
      <c r="M756">
        <v>60</v>
      </c>
      <c r="N756">
        <v>1</v>
      </c>
      <c r="O756" s="34">
        <v>42</v>
      </c>
      <c r="P756">
        <v>0</v>
      </c>
      <c r="Q756">
        <v>130</v>
      </c>
      <c r="R756" s="31">
        <v>0</v>
      </c>
      <c r="S756" s="30">
        <f>IFERROR(PROPERTIES[[#This Row],[TE_STARTING_KN]]/(PROPERTIES[[#This Row],[WEIGHT]]*9.81),0)</f>
        <v>0</v>
      </c>
      <c r="T756" s="30">
        <v>0.3</v>
      </c>
      <c r="U756" s="27">
        <f>ROUND(IF(IFERROR(PROPERTIES[[#This Row],[TE_COEFFICIENT_CALC]],0)=0,PROPERTIES[[#This Row],[TE_COEFFICIENT_MANUAL]],PROPERTIES[[#This Row],[TE_COEFFICIENT_CALC]]),3)</f>
        <v>0.3</v>
      </c>
      <c r="V756" s="6">
        <v>25</v>
      </c>
      <c r="W756" s="10">
        <v>0</v>
      </c>
      <c r="X756" s="10">
        <v>0</v>
      </c>
      <c r="Y756" s="11"/>
      <c r="Z756" t="s">
        <v>913</v>
      </c>
      <c r="AA756" t="s">
        <v>904</v>
      </c>
      <c r="AB756" s="2" t="s">
        <v>922</v>
      </c>
      <c r="AC756" s="10" t="s">
        <v>1010</v>
      </c>
      <c r="AD756" s="10" t="s">
        <v>1011</v>
      </c>
      <c r="AE756" s="11" t="str">
        <f>SUBSTITUTE(SUBSTITUTE(PROPERTIES[[#This Row],[PURCHASECOST_VALUE]], "PURCHASECOST_", ""), "_VALUE", "")</f>
        <v>COACH</v>
      </c>
      <c r="AF756" s="10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56" s="2" t="b">
        <v>0</v>
      </c>
      <c r="AY756"/>
      <c r="AZ756"/>
      <c r="BA756"/>
    </row>
    <row r="757" spans="1:53">
      <c r="A757" s="2" t="s">
        <v>794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35</v>
      </c>
      <c r="G757" t="s">
        <v>325</v>
      </c>
      <c r="H757">
        <v>210</v>
      </c>
      <c r="I757">
        <v>8</v>
      </c>
      <c r="J757">
        <v>8</v>
      </c>
      <c r="K757" s="2" t="s">
        <v>24</v>
      </c>
      <c r="L757">
        <v>40</v>
      </c>
      <c r="M757">
        <v>60</v>
      </c>
      <c r="N757">
        <v>1</v>
      </c>
      <c r="O757" s="34">
        <v>39</v>
      </c>
      <c r="P757">
        <v>0</v>
      </c>
      <c r="Q757">
        <v>110</v>
      </c>
      <c r="R757" s="31">
        <v>0</v>
      </c>
      <c r="S757" s="30">
        <f>IFERROR(PROPERTIES[[#This Row],[TE_STARTING_KN]]/(PROPERTIES[[#This Row],[WEIGHT]]*9.81),0)</f>
        <v>0</v>
      </c>
      <c r="T757" s="30">
        <v>0.3</v>
      </c>
      <c r="U757" s="27">
        <f>ROUND(IF(IFERROR(PROPERTIES[[#This Row],[TE_COEFFICIENT_CALC]],0)=0,PROPERTIES[[#This Row],[TE_COEFFICIENT_MANUAL]],PROPERTIES[[#This Row],[TE_COEFFICIENT_CALC]]),3)</f>
        <v>0.3</v>
      </c>
      <c r="V757" s="6">
        <v>25</v>
      </c>
      <c r="W757" s="10">
        <v>0</v>
      </c>
      <c r="X757" s="10">
        <v>0</v>
      </c>
      <c r="Y757" s="11"/>
      <c r="Z757" t="s">
        <v>913</v>
      </c>
      <c r="AA757" t="s">
        <v>904</v>
      </c>
      <c r="AB757" s="2" t="s">
        <v>922</v>
      </c>
      <c r="AC757" s="10" t="s">
        <v>1010</v>
      </c>
      <c r="AD757" s="10" t="s">
        <v>1011</v>
      </c>
      <c r="AE757" s="11" t="str">
        <f>SUBSTITUTE(SUBSTITUTE(PROPERTIES[[#This Row],[PURCHASECOST_VALUE]], "PURCHASECOST_", ""), "_VALUE", "")</f>
        <v>COACH</v>
      </c>
      <c r="AF757" s="10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57" s="2" t="b">
        <v>0</v>
      </c>
      <c r="AY757"/>
      <c r="AZ757"/>
      <c r="BA757"/>
    </row>
    <row r="758" spans="1:53">
      <c r="A758" s="2" t="s">
        <v>795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35</v>
      </c>
      <c r="G758" t="s">
        <v>325</v>
      </c>
      <c r="H758">
        <v>140</v>
      </c>
      <c r="I758">
        <v>8</v>
      </c>
      <c r="J758">
        <v>8</v>
      </c>
      <c r="K758" s="2" t="s">
        <v>479</v>
      </c>
      <c r="L758">
        <v>16</v>
      </c>
      <c r="M758">
        <v>60</v>
      </c>
      <c r="N758">
        <v>1</v>
      </c>
      <c r="O758" s="34">
        <v>37.5</v>
      </c>
      <c r="P758">
        <v>0</v>
      </c>
      <c r="Q758">
        <v>110</v>
      </c>
      <c r="R758" s="31">
        <v>0</v>
      </c>
      <c r="S758" s="30">
        <f>IFERROR(PROPERTIES[[#This Row],[TE_STARTING_KN]]/(PROPERTIES[[#This Row],[WEIGHT]]*9.81),0)</f>
        <v>0</v>
      </c>
      <c r="T758" s="30">
        <v>0.3</v>
      </c>
      <c r="U758" s="27">
        <f>ROUND(IF(IFERROR(PROPERTIES[[#This Row],[TE_COEFFICIENT_CALC]],0)=0,PROPERTIES[[#This Row],[TE_COEFFICIENT_MANUAL]],PROPERTIES[[#This Row],[TE_COEFFICIENT_CALC]]),3)</f>
        <v>0.3</v>
      </c>
      <c r="V758" s="6">
        <v>25</v>
      </c>
      <c r="W758" s="10">
        <v>0</v>
      </c>
      <c r="X758" s="10">
        <v>0</v>
      </c>
      <c r="Y758" s="11"/>
      <c r="Z758" t="s">
        <v>913</v>
      </c>
      <c r="AA758" t="s">
        <v>904</v>
      </c>
      <c r="AB758" s="2" t="s">
        <v>922</v>
      </c>
      <c r="AC758" s="10" t="s">
        <v>1010</v>
      </c>
      <c r="AD758" s="10" t="s">
        <v>1011</v>
      </c>
      <c r="AE758" s="11" t="str">
        <f>SUBSTITUTE(SUBSTITUTE(PROPERTIES[[#This Row],[PURCHASECOST_VALUE]], "PURCHASECOST_", ""), "_VALUE", "")</f>
        <v>COACH</v>
      </c>
      <c r="AF758" s="10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58" s="2" t="b">
        <v>0</v>
      </c>
      <c r="AY758"/>
      <c r="AZ758"/>
      <c r="BA758"/>
    </row>
    <row r="759" spans="1:53">
      <c r="A759" s="2" t="s">
        <v>796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35</v>
      </c>
      <c r="G759" t="s">
        <v>673</v>
      </c>
      <c r="H759">
        <v>100</v>
      </c>
      <c r="I759">
        <v>8</v>
      </c>
      <c r="J759">
        <v>8</v>
      </c>
      <c r="K759" s="2" t="s">
        <v>674</v>
      </c>
      <c r="L759">
        <v>15</v>
      </c>
      <c r="M759">
        <v>60</v>
      </c>
      <c r="N759">
        <v>1</v>
      </c>
      <c r="O759" s="34">
        <v>38</v>
      </c>
      <c r="P759">
        <v>0</v>
      </c>
      <c r="Q759">
        <v>110</v>
      </c>
      <c r="R759" s="31">
        <v>0</v>
      </c>
      <c r="S759" s="30">
        <f>IFERROR(PROPERTIES[[#This Row],[TE_STARTING_KN]]/(PROPERTIES[[#This Row],[WEIGHT]]*9.81),0)</f>
        <v>0</v>
      </c>
      <c r="T759" s="30">
        <v>0.3</v>
      </c>
      <c r="U759" s="27">
        <f>ROUND(IF(IFERROR(PROPERTIES[[#This Row],[TE_COEFFICIENT_CALC]],0)=0,PROPERTIES[[#This Row],[TE_COEFFICIENT_MANUAL]],PROPERTIES[[#This Row],[TE_COEFFICIENT_CALC]]),3)</f>
        <v>0.3</v>
      </c>
      <c r="V759" s="6">
        <v>25</v>
      </c>
      <c r="W759" s="10">
        <v>0</v>
      </c>
      <c r="X759" s="10">
        <v>0</v>
      </c>
      <c r="Y759" s="11"/>
      <c r="Z759" t="s">
        <v>913</v>
      </c>
      <c r="AA759" t="s">
        <v>904</v>
      </c>
      <c r="AB759" s="2" t="s">
        <v>922</v>
      </c>
      <c r="AC759" s="10" t="s">
        <v>1010</v>
      </c>
      <c r="AD759" s="10" t="s">
        <v>1011</v>
      </c>
      <c r="AE759" s="11" t="str">
        <f>SUBSTITUTE(SUBSTITUTE(PROPERTIES[[#This Row],[PURCHASECOST_VALUE]], "PURCHASECOST_", ""), "_VALUE", "")</f>
        <v>COACH</v>
      </c>
      <c r="AF759" s="10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Mail / Parcel</v>
      </c>
      <c r="AG759" s="2" t="b">
        <v>0</v>
      </c>
      <c r="AY759"/>
      <c r="AZ759"/>
      <c r="BA759"/>
    </row>
    <row r="760" spans="1:53">
      <c r="A760" s="2" t="s">
        <v>797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35</v>
      </c>
      <c r="G760" t="s">
        <v>325</v>
      </c>
      <c r="H760">
        <v>66</v>
      </c>
      <c r="I760">
        <v>8</v>
      </c>
      <c r="J760">
        <v>8</v>
      </c>
      <c r="K760" s="2" t="s">
        <v>479</v>
      </c>
      <c r="L760">
        <v>16</v>
      </c>
      <c r="M760">
        <v>50</v>
      </c>
      <c r="N760">
        <v>1</v>
      </c>
      <c r="O760" s="34">
        <v>42</v>
      </c>
      <c r="P760">
        <v>0</v>
      </c>
      <c r="Q760">
        <v>200</v>
      </c>
      <c r="R760" s="31">
        <v>0</v>
      </c>
      <c r="S760" s="30">
        <f>IFERROR(PROPERTIES[[#This Row],[TE_STARTING_KN]]/(PROPERTIES[[#This Row],[WEIGHT]]*9.81),0)</f>
        <v>0</v>
      </c>
      <c r="T760" s="30">
        <v>0.3</v>
      </c>
      <c r="U760" s="27">
        <f>ROUND(IF(IFERROR(PROPERTIES[[#This Row],[TE_COEFFICIENT_CALC]],0)=0,PROPERTIES[[#This Row],[TE_COEFFICIENT_MANUAL]],PROPERTIES[[#This Row],[TE_COEFFICIENT_CALC]]),3)</f>
        <v>0.3</v>
      </c>
      <c r="V760" s="6">
        <v>25</v>
      </c>
      <c r="W760" s="10">
        <v>0</v>
      </c>
      <c r="X760" s="10">
        <v>0</v>
      </c>
      <c r="Y760" s="11"/>
      <c r="Z760" t="s">
        <v>915</v>
      </c>
      <c r="AA760" t="s">
        <v>904</v>
      </c>
      <c r="AB760" s="2" t="s">
        <v>922</v>
      </c>
      <c r="AC760" s="10" t="s">
        <v>1010</v>
      </c>
      <c r="AD760" s="10" t="s">
        <v>1011</v>
      </c>
      <c r="AE760" s="11" t="str">
        <f>SUBSTITUTE(SUBSTITUTE(PROPERTIES[[#This Row],[PURCHASECOST_VALUE]], "PURCHASECOST_", ""), "_VALUE", "")</f>
        <v>COACH</v>
      </c>
      <c r="AF760" s="10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60" s="2" t="b">
        <v>0</v>
      </c>
      <c r="AY760"/>
      <c r="AZ760"/>
      <c r="BA760"/>
    </row>
    <row r="761" spans="1:53">
      <c r="A761" s="2" t="s">
        <v>798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35</v>
      </c>
      <c r="G761" t="s">
        <v>325</v>
      </c>
      <c r="H761">
        <v>78</v>
      </c>
      <c r="I761">
        <v>8</v>
      </c>
      <c r="J761">
        <v>8</v>
      </c>
      <c r="K761" s="2" t="s">
        <v>479</v>
      </c>
      <c r="L761">
        <v>16</v>
      </c>
      <c r="M761">
        <v>50</v>
      </c>
      <c r="N761">
        <v>1</v>
      </c>
      <c r="O761" s="34">
        <v>40</v>
      </c>
      <c r="P761">
        <v>0</v>
      </c>
      <c r="Q761">
        <v>200</v>
      </c>
      <c r="R761" s="31">
        <v>0</v>
      </c>
      <c r="S761" s="30">
        <f>IFERROR(PROPERTIES[[#This Row],[TE_STARTING_KN]]/(PROPERTIES[[#This Row],[WEIGHT]]*9.81),0)</f>
        <v>0</v>
      </c>
      <c r="T761" s="30">
        <v>0.3</v>
      </c>
      <c r="U761" s="27">
        <f>ROUND(IF(IFERROR(PROPERTIES[[#This Row],[TE_COEFFICIENT_CALC]],0)=0,PROPERTIES[[#This Row],[TE_COEFFICIENT_MANUAL]],PROPERTIES[[#This Row],[TE_COEFFICIENT_CALC]]),3)</f>
        <v>0.3</v>
      </c>
      <c r="V761" s="6">
        <v>25</v>
      </c>
      <c r="W761" s="10">
        <v>0</v>
      </c>
      <c r="X761" s="10">
        <v>0</v>
      </c>
      <c r="Y761" s="11"/>
      <c r="Z761" t="s">
        <v>915</v>
      </c>
      <c r="AA761" t="s">
        <v>904</v>
      </c>
      <c r="AB761" s="2" t="s">
        <v>922</v>
      </c>
      <c r="AC761" s="10" t="s">
        <v>1010</v>
      </c>
      <c r="AD761" s="10" t="s">
        <v>1011</v>
      </c>
      <c r="AE761" s="11" t="str">
        <f>SUBSTITUTE(SUBSTITUTE(PROPERTIES[[#This Row],[PURCHASECOST_VALUE]], "PURCHASECOST_", ""), "_VALUE", "")</f>
        <v>COACH</v>
      </c>
      <c r="AF761" s="10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61" s="2" t="b">
        <v>0</v>
      </c>
      <c r="AY761"/>
      <c r="AZ761"/>
      <c r="BA761"/>
    </row>
    <row r="762" spans="1:53">
      <c r="A762" s="2" t="s">
        <v>799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35</v>
      </c>
      <c r="G762" t="s">
        <v>325</v>
      </c>
      <c r="H762">
        <v>190</v>
      </c>
      <c r="I762">
        <v>8</v>
      </c>
      <c r="J762">
        <v>8</v>
      </c>
      <c r="K762" s="2" t="s">
        <v>24</v>
      </c>
      <c r="L762">
        <v>40</v>
      </c>
      <c r="M762">
        <v>50</v>
      </c>
      <c r="N762">
        <v>1</v>
      </c>
      <c r="O762" s="34">
        <v>31</v>
      </c>
      <c r="P762">
        <v>0</v>
      </c>
      <c r="Q762">
        <v>140</v>
      </c>
      <c r="R762" s="31">
        <v>0</v>
      </c>
      <c r="S762" s="30">
        <f>IFERROR(PROPERTIES[[#This Row],[TE_STARTING_KN]]/(PROPERTIES[[#This Row],[WEIGHT]]*9.81),0)</f>
        <v>0</v>
      </c>
      <c r="T762" s="30">
        <v>0.3</v>
      </c>
      <c r="U762" s="27">
        <f>ROUND(IF(IFERROR(PROPERTIES[[#This Row],[TE_COEFFICIENT_CALC]],0)=0,PROPERTIES[[#This Row],[TE_COEFFICIENT_MANUAL]],PROPERTIES[[#This Row],[TE_COEFFICIENT_CALC]]),3)</f>
        <v>0.3</v>
      </c>
      <c r="V762" s="6">
        <v>25</v>
      </c>
      <c r="W762" s="10">
        <v>0</v>
      </c>
      <c r="X762" s="10">
        <v>0</v>
      </c>
      <c r="Y762" s="11"/>
      <c r="Z762" t="s">
        <v>915</v>
      </c>
      <c r="AA762" t="s">
        <v>904</v>
      </c>
      <c r="AB762" s="2" t="s">
        <v>922</v>
      </c>
      <c r="AC762" s="10" t="s">
        <v>1010</v>
      </c>
      <c r="AD762" s="10" t="s">
        <v>1011</v>
      </c>
      <c r="AE762" s="11" t="str">
        <f>SUBSTITUTE(SUBSTITUTE(PROPERTIES[[#This Row],[PURCHASECOST_VALUE]], "PURCHASECOST_", ""), "_VALUE", "")</f>
        <v>COACH</v>
      </c>
      <c r="AF762" s="10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62" s="2" t="b">
        <v>0</v>
      </c>
      <c r="AY762"/>
      <c r="AZ762"/>
      <c r="BA762"/>
    </row>
    <row r="763" spans="1:53">
      <c r="A763" s="2" t="s">
        <v>800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35</v>
      </c>
      <c r="G763" t="s">
        <v>673</v>
      </c>
      <c r="H763">
        <v>130</v>
      </c>
      <c r="I763">
        <v>8</v>
      </c>
      <c r="J763">
        <v>8</v>
      </c>
      <c r="K763" s="2" t="s">
        <v>674</v>
      </c>
      <c r="L763">
        <v>15</v>
      </c>
      <c r="M763">
        <v>50</v>
      </c>
      <c r="N763">
        <v>1</v>
      </c>
      <c r="O763" s="34">
        <v>40</v>
      </c>
      <c r="P763">
        <v>0</v>
      </c>
      <c r="Q763">
        <v>200</v>
      </c>
      <c r="R763" s="31">
        <v>0</v>
      </c>
      <c r="S763" s="30">
        <f>IFERROR(PROPERTIES[[#This Row],[TE_STARTING_KN]]/(PROPERTIES[[#This Row],[WEIGHT]]*9.81),0)</f>
        <v>0</v>
      </c>
      <c r="T763" s="30">
        <v>0.3</v>
      </c>
      <c r="U763" s="27">
        <f>ROUND(IF(IFERROR(PROPERTIES[[#This Row],[TE_COEFFICIENT_CALC]],0)=0,PROPERTIES[[#This Row],[TE_COEFFICIENT_MANUAL]],PROPERTIES[[#This Row],[TE_COEFFICIENT_CALC]]),3)</f>
        <v>0.3</v>
      </c>
      <c r="V763" s="6">
        <v>25</v>
      </c>
      <c r="W763" s="10">
        <v>0</v>
      </c>
      <c r="X763" s="10">
        <v>0</v>
      </c>
      <c r="Y763" s="11"/>
      <c r="Z763" t="s">
        <v>915</v>
      </c>
      <c r="AA763" t="s">
        <v>904</v>
      </c>
      <c r="AB763" s="2" t="s">
        <v>922</v>
      </c>
      <c r="AC763" s="10" t="s">
        <v>1010</v>
      </c>
      <c r="AD763" s="10" t="s">
        <v>1011</v>
      </c>
      <c r="AE763" s="11" t="str">
        <f>SUBSTITUTE(SUBSTITUTE(PROPERTIES[[#This Row],[PURCHASECOST_VALUE]], "PURCHASECOST_", ""), "_VALUE", "")</f>
        <v>COACH</v>
      </c>
      <c r="AF763" s="10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63" s="2" t="b">
        <v>0</v>
      </c>
      <c r="AY763"/>
      <c r="AZ763"/>
      <c r="BA763"/>
    </row>
    <row r="764" spans="1:53">
      <c r="A764" s="2" t="s">
        <v>801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35</v>
      </c>
      <c r="G764" t="s">
        <v>325</v>
      </c>
      <c r="H764">
        <v>170</v>
      </c>
      <c r="I764">
        <v>8</v>
      </c>
      <c r="J764">
        <v>8</v>
      </c>
      <c r="K764" s="2" t="s">
        <v>479</v>
      </c>
      <c r="L764">
        <v>16</v>
      </c>
      <c r="M764">
        <v>50</v>
      </c>
      <c r="N764">
        <v>1</v>
      </c>
      <c r="O764" s="34">
        <v>50</v>
      </c>
      <c r="P764">
        <v>0</v>
      </c>
      <c r="Q764">
        <v>140</v>
      </c>
      <c r="R764" s="31">
        <v>0</v>
      </c>
      <c r="S764" s="30">
        <f>IFERROR(PROPERTIES[[#This Row],[TE_STARTING_KN]]/(PROPERTIES[[#This Row],[WEIGHT]]*9.81),0)</f>
        <v>0</v>
      </c>
      <c r="T764" s="30">
        <v>0.3</v>
      </c>
      <c r="U764" s="27">
        <f>ROUND(IF(IFERROR(PROPERTIES[[#This Row],[TE_COEFFICIENT_CALC]],0)=0,PROPERTIES[[#This Row],[TE_COEFFICIENT_MANUAL]],PROPERTIES[[#This Row],[TE_COEFFICIENT_CALC]]),3)</f>
        <v>0.3</v>
      </c>
      <c r="V764" s="6">
        <v>25</v>
      </c>
      <c r="W764" s="10">
        <v>0</v>
      </c>
      <c r="X764" s="10">
        <v>0</v>
      </c>
      <c r="Y764" s="11"/>
      <c r="Z764" t="s">
        <v>914</v>
      </c>
      <c r="AA764" t="s">
        <v>913</v>
      </c>
      <c r="AB764" s="2" t="s">
        <v>922</v>
      </c>
      <c r="AC764" s="10" t="s">
        <v>1010</v>
      </c>
      <c r="AD764" s="10" t="s">
        <v>1011</v>
      </c>
      <c r="AE764" s="11" t="str">
        <f>SUBSTITUTE(SUBSTITUTE(PROPERTIES[[#This Row],[PURCHASECOST_VALUE]], "PURCHASECOST_", ""), "_VALUE", "")</f>
        <v>COACH</v>
      </c>
      <c r="AF764" s="10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64" s="2" t="b">
        <v>0</v>
      </c>
      <c r="AY764"/>
      <c r="AZ764"/>
      <c r="BA764"/>
    </row>
    <row r="765" spans="1:53">
      <c r="A765" s="2" t="s">
        <v>802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35</v>
      </c>
      <c r="G765" t="s">
        <v>325</v>
      </c>
      <c r="H765">
        <v>54</v>
      </c>
      <c r="I765">
        <v>8</v>
      </c>
      <c r="J765">
        <v>8</v>
      </c>
      <c r="K765" s="2" t="s">
        <v>479</v>
      </c>
      <c r="L765">
        <v>16</v>
      </c>
      <c r="M765">
        <v>50</v>
      </c>
      <c r="N765">
        <v>1</v>
      </c>
      <c r="O765" s="34">
        <v>58</v>
      </c>
      <c r="P765">
        <v>0</v>
      </c>
      <c r="Q765">
        <v>120</v>
      </c>
      <c r="R765" s="31">
        <v>0</v>
      </c>
      <c r="S765" s="30">
        <f>IFERROR(PROPERTIES[[#This Row],[TE_STARTING_KN]]/(PROPERTIES[[#This Row],[WEIGHT]]*9.81),0)</f>
        <v>0</v>
      </c>
      <c r="T765" s="30">
        <v>0.3</v>
      </c>
      <c r="U765" s="27">
        <f>ROUND(IF(IFERROR(PROPERTIES[[#This Row],[TE_COEFFICIENT_CALC]],0)=0,PROPERTIES[[#This Row],[TE_COEFFICIENT_MANUAL]],PROPERTIES[[#This Row],[TE_COEFFICIENT_CALC]]),3)</f>
        <v>0.3</v>
      </c>
      <c r="V765" s="6">
        <v>25</v>
      </c>
      <c r="W765" s="10">
        <v>0</v>
      </c>
      <c r="X765" s="10">
        <v>0</v>
      </c>
      <c r="Y765" s="11"/>
      <c r="Z765" t="s">
        <v>914</v>
      </c>
      <c r="AA765" t="s">
        <v>913</v>
      </c>
      <c r="AB765" s="2" t="s">
        <v>922</v>
      </c>
      <c r="AC765" s="10" t="s">
        <v>1010</v>
      </c>
      <c r="AD765" s="10" t="s">
        <v>1011</v>
      </c>
      <c r="AE765" s="11" t="str">
        <f>SUBSTITUTE(SUBSTITUTE(PROPERTIES[[#This Row],[PURCHASECOST_VALUE]], "PURCHASECOST_", ""), "_VALUE", "")</f>
        <v>COACH</v>
      </c>
      <c r="AF765" s="10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65" s="2" t="b">
        <v>0</v>
      </c>
      <c r="AY765"/>
      <c r="AZ765"/>
      <c r="BA765"/>
    </row>
    <row r="766" spans="1:53">
      <c r="A766" s="2" t="s">
        <v>803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35</v>
      </c>
      <c r="G766" t="s">
        <v>325</v>
      </c>
      <c r="H766">
        <v>220</v>
      </c>
      <c r="I766">
        <v>8</v>
      </c>
      <c r="J766">
        <v>8</v>
      </c>
      <c r="K766" s="2" t="s">
        <v>479</v>
      </c>
      <c r="L766">
        <v>16</v>
      </c>
      <c r="M766">
        <v>50</v>
      </c>
      <c r="N766">
        <v>1</v>
      </c>
      <c r="O766" s="34">
        <v>45</v>
      </c>
      <c r="P766">
        <v>0</v>
      </c>
      <c r="Q766">
        <v>130</v>
      </c>
      <c r="R766" s="31">
        <v>0</v>
      </c>
      <c r="S766" s="30">
        <f>IFERROR(PROPERTIES[[#This Row],[TE_STARTING_KN]]/(PROPERTIES[[#This Row],[WEIGHT]]*9.81),0)</f>
        <v>0</v>
      </c>
      <c r="T766" s="30">
        <v>0.3</v>
      </c>
      <c r="U766" s="27">
        <f>ROUND(IF(IFERROR(PROPERTIES[[#This Row],[TE_COEFFICIENT_CALC]],0)=0,PROPERTIES[[#This Row],[TE_COEFFICIENT_MANUAL]],PROPERTIES[[#This Row],[TE_COEFFICIENT_CALC]]),3)</f>
        <v>0.3</v>
      </c>
      <c r="V766" s="6">
        <v>25</v>
      </c>
      <c r="W766" s="10">
        <v>0</v>
      </c>
      <c r="X766" s="10">
        <v>0</v>
      </c>
      <c r="Y766" s="11"/>
      <c r="Z766" t="s">
        <v>914</v>
      </c>
      <c r="AA766" t="s">
        <v>913</v>
      </c>
      <c r="AB766" s="2" t="s">
        <v>922</v>
      </c>
      <c r="AC766" s="10" t="s">
        <v>1010</v>
      </c>
      <c r="AD766" s="10" t="s">
        <v>1011</v>
      </c>
      <c r="AE766" s="11" t="str">
        <f>SUBSTITUTE(SUBSTITUTE(PROPERTIES[[#This Row],[PURCHASECOST_VALUE]], "PURCHASECOST_", ""), "_VALUE", "")</f>
        <v>COACH</v>
      </c>
      <c r="AF766" s="10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766" s="2" t="b">
        <v>0</v>
      </c>
      <c r="AY766"/>
      <c r="AZ766"/>
      <c r="BA766"/>
    </row>
    <row r="767" spans="1:53">
      <c r="A767" s="2" t="s">
        <v>804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35</v>
      </c>
      <c r="G767" t="s">
        <v>673</v>
      </c>
      <c r="H767">
        <v>150</v>
      </c>
      <c r="I767">
        <v>8</v>
      </c>
      <c r="J767">
        <v>8</v>
      </c>
      <c r="K767" s="2" t="s">
        <v>674</v>
      </c>
      <c r="L767">
        <v>15</v>
      </c>
      <c r="M767">
        <v>50</v>
      </c>
      <c r="N767">
        <v>1</v>
      </c>
      <c r="O767" s="34">
        <v>52</v>
      </c>
      <c r="P767">
        <v>0</v>
      </c>
      <c r="Q767">
        <v>160</v>
      </c>
      <c r="R767" s="31">
        <v>0</v>
      </c>
      <c r="S767" s="30">
        <f>IFERROR(PROPERTIES[[#This Row],[TE_STARTING_KN]]/(PROPERTIES[[#This Row],[WEIGHT]]*9.81),0)</f>
        <v>0</v>
      </c>
      <c r="T767" s="30">
        <v>0.3</v>
      </c>
      <c r="U767" s="27">
        <f>ROUND(IF(IFERROR(PROPERTIES[[#This Row],[TE_COEFFICIENT_CALC]],0)=0,PROPERTIES[[#This Row],[TE_COEFFICIENT_MANUAL]],PROPERTIES[[#This Row],[TE_COEFFICIENT_CALC]]),3)</f>
        <v>0.3</v>
      </c>
      <c r="V767" s="6">
        <v>25</v>
      </c>
      <c r="W767" s="10">
        <v>0</v>
      </c>
      <c r="X767" s="10">
        <v>0</v>
      </c>
      <c r="Y767" s="11"/>
      <c r="Z767" t="s">
        <v>914</v>
      </c>
      <c r="AA767" t="s">
        <v>913</v>
      </c>
      <c r="AB767" s="2" t="s">
        <v>922</v>
      </c>
      <c r="AC767" s="10" t="s">
        <v>1010</v>
      </c>
      <c r="AD767" s="10" t="s">
        <v>1011</v>
      </c>
      <c r="AE767" s="11" t="str">
        <f>SUBSTITUTE(SUBSTITUTE(PROPERTIES[[#This Row],[PURCHASECOST_VALUE]], "PURCHASECOST_", ""), "_VALUE", "")</f>
        <v>COACH</v>
      </c>
      <c r="AF767" s="10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67" s="2" t="b">
        <v>0</v>
      </c>
      <c r="AY767"/>
      <c r="AZ767"/>
      <c r="BA767"/>
    </row>
    <row r="768" spans="1:53">
      <c r="A768" s="2" t="s">
        <v>805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35</v>
      </c>
      <c r="G768" t="s">
        <v>325</v>
      </c>
      <c r="H768">
        <v>78</v>
      </c>
      <c r="I768">
        <v>8</v>
      </c>
      <c r="J768">
        <v>8</v>
      </c>
      <c r="K768" s="2" t="s">
        <v>479</v>
      </c>
      <c r="L768">
        <v>16</v>
      </c>
      <c r="M768">
        <v>50</v>
      </c>
      <c r="N768">
        <v>1</v>
      </c>
      <c r="O768" s="34">
        <v>71</v>
      </c>
      <c r="P768">
        <v>0</v>
      </c>
      <c r="Q768">
        <v>160</v>
      </c>
      <c r="R768" s="31">
        <v>0</v>
      </c>
      <c r="S768" s="30">
        <f>IFERROR(PROPERTIES[[#This Row],[TE_STARTING_KN]]/(PROPERTIES[[#This Row],[WEIGHT]]*9.81),0)</f>
        <v>0</v>
      </c>
      <c r="T768" s="30">
        <v>0.3</v>
      </c>
      <c r="U768" s="27">
        <f>ROUND(IF(IFERROR(PROPERTIES[[#This Row],[TE_COEFFICIENT_CALC]],0)=0,PROPERTIES[[#This Row],[TE_COEFFICIENT_MANUAL]],PROPERTIES[[#This Row],[TE_COEFFICIENT_CALC]]),3)</f>
        <v>0.3</v>
      </c>
      <c r="V768" s="6">
        <v>25</v>
      </c>
      <c r="W768" s="10">
        <v>0</v>
      </c>
      <c r="X768" s="10">
        <v>0</v>
      </c>
      <c r="Y768" s="11"/>
      <c r="Z768" t="s">
        <v>917</v>
      </c>
      <c r="AA768" t="s">
        <v>907</v>
      </c>
      <c r="AB768" s="2" t="s">
        <v>922</v>
      </c>
      <c r="AC768" s="10" t="s">
        <v>1010</v>
      </c>
      <c r="AD768" s="10" t="s">
        <v>1011</v>
      </c>
      <c r="AE768" s="11" t="str">
        <f>SUBSTITUTE(SUBSTITUTE(PROPERTIES[[#This Row],[PURCHASECOST_VALUE]], "PURCHASECOST_", ""), "_VALUE", "")</f>
        <v>COACH</v>
      </c>
      <c r="AF768" s="10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68" s="2" t="b">
        <v>0</v>
      </c>
      <c r="AY768"/>
      <c r="AZ768"/>
      <c r="BA768"/>
    </row>
    <row r="769" spans="1:53">
      <c r="A769" s="2" t="s">
        <v>806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35</v>
      </c>
      <c r="G769" t="s">
        <v>325</v>
      </c>
      <c r="H769">
        <v>94</v>
      </c>
      <c r="I769">
        <v>8</v>
      </c>
      <c r="J769">
        <v>8</v>
      </c>
      <c r="K769" s="2" t="s">
        <v>479</v>
      </c>
      <c r="L769">
        <v>16</v>
      </c>
      <c r="M769">
        <v>50</v>
      </c>
      <c r="N769">
        <v>1</v>
      </c>
      <c r="O769" s="34">
        <v>68</v>
      </c>
      <c r="P769">
        <v>0</v>
      </c>
      <c r="Q769">
        <v>160</v>
      </c>
      <c r="R769" s="31">
        <v>0</v>
      </c>
      <c r="S769" s="30">
        <f>IFERROR(PROPERTIES[[#This Row],[TE_STARTING_KN]]/(PROPERTIES[[#This Row],[WEIGHT]]*9.81),0)</f>
        <v>0</v>
      </c>
      <c r="T769" s="30">
        <v>0.3</v>
      </c>
      <c r="U769" s="27">
        <f>ROUND(IF(IFERROR(PROPERTIES[[#This Row],[TE_COEFFICIENT_CALC]],0)=0,PROPERTIES[[#This Row],[TE_COEFFICIENT_MANUAL]],PROPERTIES[[#This Row],[TE_COEFFICIENT_CALC]]),3)</f>
        <v>0.3</v>
      </c>
      <c r="V769" s="6">
        <v>25</v>
      </c>
      <c r="W769" s="10">
        <v>0</v>
      </c>
      <c r="X769" s="10">
        <v>0</v>
      </c>
      <c r="Y769" s="11"/>
      <c r="Z769" t="s">
        <v>917</v>
      </c>
      <c r="AA769" t="s">
        <v>907</v>
      </c>
      <c r="AB769" s="2" t="s">
        <v>922</v>
      </c>
      <c r="AC769" s="10" t="s">
        <v>1010</v>
      </c>
      <c r="AD769" s="10" t="s">
        <v>1011</v>
      </c>
      <c r="AE769" s="11" t="str">
        <f>SUBSTITUTE(SUBSTITUTE(PROPERTIES[[#This Row],[PURCHASECOST_VALUE]], "PURCHASECOST_", ""), "_VALUE", "")</f>
        <v>COACH</v>
      </c>
      <c r="AF769" s="10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69" s="2" t="b">
        <v>0</v>
      </c>
      <c r="AY769"/>
      <c r="AZ769"/>
      <c r="BA769"/>
    </row>
    <row r="770" spans="1:53">
      <c r="A770" s="2" t="s">
        <v>807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35</v>
      </c>
      <c r="G770" t="s">
        <v>325</v>
      </c>
      <c r="H770">
        <v>84</v>
      </c>
      <c r="I770">
        <v>8</v>
      </c>
      <c r="J770">
        <v>8</v>
      </c>
      <c r="K770" s="2" t="s">
        <v>479</v>
      </c>
      <c r="L770">
        <v>16</v>
      </c>
      <c r="M770">
        <v>60</v>
      </c>
      <c r="N770">
        <v>1</v>
      </c>
      <c r="O770" s="34">
        <v>48</v>
      </c>
      <c r="P770">
        <v>0</v>
      </c>
      <c r="Q770">
        <v>200</v>
      </c>
      <c r="R770" s="31">
        <v>0</v>
      </c>
      <c r="S770" s="30">
        <f>IFERROR(PROPERTIES[[#This Row],[TE_STARTING_KN]]/(PROPERTIES[[#This Row],[WEIGHT]]*9.81),0)</f>
        <v>0</v>
      </c>
      <c r="T770" s="30">
        <v>0.3</v>
      </c>
      <c r="U770" s="27">
        <f>ROUND(IF(IFERROR(PROPERTIES[[#This Row],[TE_COEFFICIENT_CALC]],0)=0,PROPERTIES[[#This Row],[TE_COEFFICIENT_MANUAL]],PROPERTIES[[#This Row],[TE_COEFFICIENT_CALC]]),3)</f>
        <v>0.3</v>
      </c>
      <c r="V770" s="6">
        <v>25</v>
      </c>
      <c r="W770" s="10">
        <v>0</v>
      </c>
      <c r="X770" s="10">
        <v>0</v>
      </c>
      <c r="Y770" s="11"/>
      <c r="Z770" t="s">
        <v>917</v>
      </c>
      <c r="AA770" t="s">
        <v>907</v>
      </c>
      <c r="AB770" s="2" t="s">
        <v>922</v>
      </c>
      <c r="AC770" s="10" t="s">
        <v>1010</v>
      </c>
      <c r="AD770" s="10" t="s">
        <v>1011</v>
      </c>
      <c r="AE770" s="11" t="str">
        <f>SUBSTITUTE(SUBSTITUTE(PROPERTIES[[#This Row],[PURCHASECOST_VALUE]], "PURCHASECOST_", ""), "_VALUE", "")</f>
        <v>COACH</v>
      </c>
      <c r="AF770" s="10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70" s="2" t="b">
        <v>0</v>
      </c>
      <c r="AY770"/>
      <c r="AZ770"/>
      <c r="BA770"/>
    </row>
    <row r="771" spans="1:53">
      <c r="A771" s="2" t="s">
        <v>808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35</v>
      </c>
      <c r="G771" t="s">
        <v>325</v>
      </c>
      <c r="H771">
        <v>62</v>
      </c>
      <c r="I771">
        <v>8</v>
      </c>
      <c r="J771">
        <v>8</v>
      </c>
      <c r="K771" s="2" t="s">
        <v>479</v>
      </c>
      <c r="L771">
        <v>16</v>
      </c>
      <c r="M771">
        <v>60</v>
      </c>
      <c r="N771">
        <v>1</v>
      </c>
      <c r="O771" s="34">
        <v>49</v>
      </c>
      <c r="P771">
        <v>0</v>
      </c>
      <c r="Q771">
        <v>200</v>
      </c>
      <c r="R771" s="31">
        <v>0</v>
      </c>
      <c r="S771" s="30">
        <f>IFERROR(PROPERTIES[[#This Row],[TE_STARTING_KN]]/(PROPERTIES[[#This Row],[WEIGHT]]*9.81),0)</f>
        <v>0</v>
      </c>
      <c r="T771" s="30">
        <v>0.3</v>
      </c>
      <c r="U771" s="27">
        <f>ROUND(IF(IFERROR(PROPERTIES[[#This Row],[TE_COEFFICIENT_CALC]],0)=0,PROPERTIES[[#This Row],[TE_COEFFICIENT_MANUAL]],PROPERTIES[[#This Row],[TE_COEFFICIENT_CALC]]),3)</f>
        <v>0.3</v>
      </c>
      <c r="V771" s="6">
        <v>25</v>
      </c>
      <c r="W771" s="10">
        <v>0</v>
      </c>
      <c r="X771" s="10">
        <v>0</v>
      </c>
      <c r="Y771" s="11"/>
      <c r="Z771" t="s">
        <v>917</v>
      </c>
      <c r="AA771" t="s">
        <v>907</v>
      </c>
      <c r="AB771" s="2" t="s">
        <v>922</v>
      </c>
      <c r="AC771" s="10" t="s">
        <v>1010</v>
      </c>
      <c r="AD771" s="10" t="s">
        <v>1011</v>
      </c>
      <c r="AE771" s="11" t="str">
        <f>SUBSTITUTE(SUBSTITUTE(PROPERTIES[[#This Row],[PURCHASECOST_VALUE]], "PURCHASECOST_", ""), "_VALUE", "")</f>
        <v>COACH</v>
      </c>
      <c r="AF771" s="10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71" s="2" t="b">
        <v>0</v>
      </c>
      <c r="AY771"/>
      <c r="AZ771"/>
      <c r="BA771"/>
    </row>
    <row r="772" spans="1:53">
      <c r="A772" s="2" t="s">
        <v>809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35</v>
      </c>
      <c r="G772" t="s">
        <v>325</v>
      </c>
      <c r="H772">
        <v>117</v>
      </c>
      <c r="I772">
        <v>8</v>
      </c>
      <c r="J772">
        <v>8</v>
      </c>
      <c r="K772" s="2" t="s">
        <v>24</v>
      </c>
      <c r="L772">
        <v>40</v>
      </c>
      <c r="M772">
        <v>60</v>
      </c>
      <c r="N772">
        <v>1</v>
      </c>
      <c r="O772" s="34">
        <v>42</v>
      </c>
      <c r="P772">
        <v>0</v>
      </c>
      <c r="Q772">
        <v>160</v>
      </c>
      <c r="R772" s="31">
        <v>0</v>
      </c>
      <c r="S772" s="30">
        <f>IFERROR(PROPERTIES[[#This Row],[TE_STARTING_KN]]/(PROPERTIES[[#This Row],[WEIGHT]]*9.81),0)</f>
        <v>0</v>
      </c>
      <c r="T772" s="30">
        <v>0.3</v>
      </c>
      <c r="U772" s="27">
        <f>ROUND(IF(IFERROR(PROPERTIES[[#This Row],[TE_COEFFICIENT_CALC]],0)=0,PROPERTIES[[#This Row],[TE_COEFFICIENT_MANUAL]],PROPERTIES[[#This Row],[TE_COEFFICIENT_CALC]]),3)</f>
        <v>0.3</v>
      </c>
      <c r="V772" s="6">
        <v>25</v>
      </c>
      <c r="W772" s="10">
        <v>0</v>
      </c>
      <c r="X772" s="10">
        <v>0</v>
      </c>
      <c r="Y772" s="11"/>
      <c r="Z772" t="s">
        <v>917</v>
      </c>
      <c r="AA772" t="s">
        <v>907</v>
      </c>
      <c r="AB772" s="2" t="s">
        <v>922</v>
      </c>
      <c r="AC772" s="10" t="s">
        <v>1010</v>
      </c>
      <c r="AD772" s="10" t="s">
        <v>1011</v>
      </c>
      <c r="AE772" s="11" t="str">
        <f>SUBSTITUTE(SUBSTITUTE(PROPERTIES[[#This Row],[PURCHASECOST_VALUE]], "PURCHASECOST_", ""), "_VALUE", "")</f>
        <v>COACH</v>
      </c>
      <c r="AF772" s="10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72" s="2" t="b">
        <v>0</v>
      </c>
      <c r="AY772"/>
      <c r="AZ772"/>
      <c r="BA772"/>
    </row>
    <row r="773" spans="1:53">
      <c r="A773" s="2" t="s">
        <v>810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35</v>
      </c>
      <c r="G773" t="s">
        <v>325</v>
      </c>
      <c r="H773">
        <v>72</v>
      </c>
      <c r="I773">
        <v>8</v>
      </c>
      <c r="J773">
        <v>8</v>
      </c>
      <c r="K773" s="2" t="s">
        <v>479</v>
      </c>
      <c r="L773">
        <v>16</v>
      </c>
      <c r="M773">
        <v>60</v>
      </c>
      <c r="N773">
        <v>1</v>
      </c>
      <c r="O773" s="34">
        <v>43</v>
      </c>
      <c r="P773">
        <v>0</v>
      </c>
      <c r="Q773">
        <v>200</v>
      </c>
      <c r="R773" s="31">
        <v>0</v>
      </c>
      <c r="S773" s="30">
        <f>IFERROR(PROPERTIES[[#This Row],[TE_STARTING_KN]]/(PROPERTIES[[#This Row],[WEIGHT]]*9.81),0)</f>
        <v>0</v>
      </c>
      <c r="T773" s="30">
        <v>0.3</v>
      </c>
      <c r="U773" s="27">
        <f>ROUND(IF(IFERROR(PROPERTIES[[#This Row],[TE_COEFFICIENT_CALC]],0)=0,PROPERTIES[[#This Row],[TE_COEFFICIENT_MANUAL]],PROPERTIES[[#This Row],[TE_COEFFICIENT_CALC]]),3)</f>
        <v>0.3</v>
      </c>
      <c r="V773" s="6">
        <v>25</v>
      </c>
      <c r="W773" s="10">
        <v>0</v>
      </c>
      <c r="X773" s="10">
        <v>0</v>
      </c>
      <c r="Y773" s="11"/>
      <c r="Z773" t="s">
        <v>917</v>
      </c>
      <c r="AA773" t="s">
        <v>907</v>
      </c>
      <c r="AB773" s="2" t="s">
        <v>922</v>
      </c>
      <c r="AC773" s="10" t="s">
        <v>1010</v>
      </c>
      <c r="AD773" s="10" t="s">
        <v>1011</v>
      </c>
      <c r="AE773" s="11" t="str">
        <f>SUBSTITUTE(SUBSTITUTE(PROPERTIES[[#This Row],[PURCHASECOST_VALUE]], "PURCHASECOST_", ""), "_VALUE", "")</f>
        <v>COACH</v>
      </c>
      <c r="AF773" s="10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73" s="2" t="b">
        <v>0</v>
      </c>
      <c r="AY773"/>
      <c r="AZ773"/>
      <c r="BA773"/>
    </row>
    <row r="774" spans="1:53">
      <c r="A774" s="2" t="s">
        <v>811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35</v>
      </c>
      <c r="G774" t="s">
        <v>673</v>
      </c>
      <c r="H774">
        <v>160</v>
      </c>
      <c r="I774">
        <v>8</v>
      </c>
      <c r="J774">
        <v>8</v>
      </c>
      <c r="K774" s="2" t="s">
        <v>674</v>
      </c>
      <c r="L774">
        <v>15</v>
      </c>
      <c r="M774">
        <v>60</v>
      </c>
      <c r="N774">
        <v>1</v>
      </c>
      <c r="O774" s="34">
        <v>42</v>
      </c>
      <c r="P774">
        <v>0</v>
      </c>
      <c r="Q774">
        <v>200</v>
      </c>
      <c r="R774" s="31">
        <v>0</v>
      </c>
      <c r="S774" s="30">
        <f>IFERROR(PROPERTIES[[#This Row],[TE_STARTING_KN]]/(PROPERTIES[[#This Row],[WEIGHT]]*9.81),0)</f>
        <v>0</v>
      </c>
      <c r="T774" s="30">
        <v>0.3</v>
      </c>
      <c r="U774" s="27">
        <f>ROUND(IF(IFERROR(PROPERTIES[[#This Row],[TE_COEFFICIENT_CALC]],0)=0,PROPERTIES[[#This Row],[TE_COEFFICIENT_MANUAL]],PROPERTIES[[#This Row],[TE_COEFFICIENT_CALC]]),3)</f>
        <v>0.3</v>
      </c>
      <c r="V774" s="6">
        <v>25</v>
      </c>
      <c r="W774" s="10">
        <v>0</v>
      </c>
      <c r="X774" s="10">
        <v>0</v>
      </c>
      <c r="Y774" s="11"/>
      <c r="Z774" t="s">
        <v>917</v>
      </c>
      <c r="AA774" t="s">
        <v>907</v>
      </c>
      <c r="AB774" s="2" t="s">
        <v>922</v>
      </c>
      <c r="AC774" s="10" t="s">
        <v>1010</v>
      </c>
      <c r="AD774" s="10" t="s">
        <v>1011</v>
      </c>
      <c r="AE774" s="11" t="str">
        <f>SUBSTITUTE(SUBSTITUTE(PROPERTIES[[#This Row],[PURCHASECOST_VALUE]], "PURCHASECOST_", ""), "_VALUE", "")</f>
        <v>COACH</v>
      </c>
      <c r="AF774" s="10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74" s="2" t="b">
        <v>0</v>
      </c>
      <c r="AY774"/>
      <c r="AZ774"/>
      <c r="BA774"/>
    </row>
    <row r="775" spans="1:53">
      <c r="A775" s="2" t="s">
        <v>812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35</v>
      </c>
      <c r="G775" t="s">
        <v>325</v>
      </c>
      <c r="H775">
        <v>255</v>
      </c>
      <c r="I775">
        <v>8</v>
      </c>
      <c r="J775">
        <v>8</v>
      </c>
      <c r="K775" s="2" t="s">
        <v>479</v>
      </c>
      <c r="L775">
        <v>16</v>
      </c>
      <c r="M775" t="s">
        <v>21</v>
      </c>
      <c r="N775">
        <v>1</v>
      </c>
      <c r="O775" s="34">
        <v>54</v>
      </c>
      <c r="P775">
        <v>0</v>
      </c>
      <c r="Q775">
        <v>160</v>
      </c>
      <c r="R775" s="31">
        <v>0</v>
      </c>
      <c r="S775" s="30">
        <f>IFERROR(PROPERTIES[[#This Row],[TE_STARTING_KN]]/(PROPERTIES[[#This Row],[WEIGHT]]*9.81),0)</f>
        <v>0</v>
      </c>
      <c r="T775" s="30">
        <v>0.3</v>
      </c>
      <c r="U775" s="27">
        <f>ROUND(IF(IFERROR(PROPERTIES[[#This Row],[TE_COEFFICIENT_CALC]],0)=0,PROPERTIES[[#This Row],[TE_COEFFICIENT_MANUAL]],PROPERTIES[[#This Row],[TE_COEFFICIENT_CALC]]),3)</f>
        <v>0.3</v>
      </c>
      <c r="V775" s="6">
        <v>25</v>
      </c>
      <c r="W775" s="10">
        <v>0</v>
      </c>
      <c r="X775" s="10">
        <v>0</v>
      </c>
      <c r="Y775" s="11"/>
      <c r="Z775" t="s">
        <v>917</v>
      </c>
      <c r="AA775" t="s">
        <v>907</v>
      </c>
      <c r="AB775" s="2" t="s">
        <v>922</v>
      </c>
      <c r="AC775" s="10" t="s">
        <v>1010</v>
      </c>
      <c r="AD775" s="10" t="s">
        <v>1011</v>
      </c>
      <c r="AE775" s="11" t="str">
        <f>SUBSTITUTE(SUBSTITUTE(PROPERTIES[[#This Row],[PURCHASECOST_VALUE]], "PURCHASECOST_", ""), "_VALUE", "")</f>
        <v>COACH</v>
      </c>
      <c r="AF775" s="10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75" s="2" t="b">
        <v>0</v>
      </c>
      <c r="AY775"/>
      <c r="AZ775"/>
      <c r="BA775"/>
    </row>
    <row r="776" spans="1:53">
      <c r="A776" s="2" t="s">
        <v>813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35</v>
      </c>
      <c r="G776" t="s">
        <v>325</v>
      </c>
      <c r="H776">
        <v>80</v>
      </c>
      <c r="I776">
        <v>8</v>
      </c>
      <c r="J776">
        <v>8</v>
      </c>
      <c r="K776" s="2" t="s">
        <v>479</v>
      </c>
      <c r="L776">
        <v>16</v>
      </c>
      <c r="M776" t="s">
        <v>21</v>
      </c>
      <c r="N776">
        <v>1</v>
      </c>
      <c r="O776" s="34">
        <v>52</v>
      </c>
      <c r="P776">
        <v>0</v>
      </c>
      <c r="Q776">
        <v>250</v>
      </c>
      <c r="R776" s="31">
        <v>0</v>
      </c>
      <c r="S776" s="30">
        <f>IFERROR(PROPERTIES[[#This Row],[TE_STARTING_KN]]/(PROPERTIES[[#This Row],[WEIGHT]]*9.81),0)</f>
        <v>0</v>
      </c>
      <c r="T776" s="30">
        <v>0.3</v>
      </c>
      <c r="U776" s="27">
        <f>ROUND(IF(IFERROR(PROPERTIES[[#This Row],[TE_COEFFICIENT_CALC]],0)=0,PROPERTIES[[#This Row],[TE_COEFFICIENT_MANUAL]],PROPERTIES[[#This Row],[TE_COEFFICIENT_CALC]]),3)</f>
        <v>0.3</v>
      </c>
      <c r="V776" s="6">
        <v>25</v>
      </c>
      <c r="W776" s="10">
        <v>0</v>
      </c>
      <c r="X776" s="10">
        <v>0</v>
      </c>
      <c r="Y776" s="11"/>
      <c r="Z776" t="s">
        <v>918</v>
      </c>
      <c r="AA776" t="s">
        <v>904</v>
      </c>
      <c r="AB776" s="2" t="s">
        <v>922</v>
      </c>
      <c r="AC776" s="10" t="s">
        <v>1010</v>
      </c>
      <c r="AD776" s="10" t="s">
        <v>1011</v>
      </c>
      <c r="AE776" s="11" t="str">
        <f>SUBSTITUTE(SUBSTITUTE(PROPERTIES[[#This Row],[PURCHASECOST_VALUE]], "PURCHASECOST_", ""), "_VALUE", "")</f>
        <v>COACH</v>
      </c>
      <c r="AF776" s="10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776" s="2" t="b">
        <v>0</v>
      </c>
      <c r="AY776"/>
      <c r="AZ776"/>
      <c r="BA776"/>
    </row>
    <row r="777" spans="1:53">
      <c r="A777" s="2" t="s">
        <v>814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35</v>
      </c>
      <c r="G777" t="s">
        <v>325</v>
      </c>
      <c r="H777">
        <v>160</v>
      </c>
      <c r="I777">
        <v>8</v>
      </c>
      <c r="J777">
        <v>8</v>
      </c>
      <c r="K777" s="2" t="s">
        <v>479</v>
      </c>
      <c r="L777">
        <v>16</v>
      </c>
      <c r="M777" t="s">
        <v>21</v>
      </c>
      <c r="N777">
        <v>1</v>
      </c>
      <c r="O777" s="34">
        <v>50</v>
      </c>
      <c r="P777">
        <v>0</v>
      </c>
      <c r="Q777">
        <v>200</v>
      </c>
      <c r="R777" s="31">
        <v>0</v>
      </c>
      <c r="S777" s="30">
        <f>IFERROR(PROPERTIES[[#This Row],[TE_STARTING_KN]]/(PROPERTIES[[#This Row],[WEIGHT]]*9.81),0)</f>
        <v>0</v>
      </c>
      <c r="T777" s="30">
        <v>0.3</v>
      </c>
      <c r="U777" s="27">
        <f>ROUND(IF(IFERROR(PROPERTIES[[#This Row],[TE_COEFFICIENT_CALC]],0)=0,PROPERTIES[[#This Row],[TE_COEFFICIENT_MANUAL]],PROPERTIES[[#This Row],[TE_COEFFICIENT_CALC]]),3)</f>
        <v>0.3</v>
      </c>
      <c r="V777" s="6">
        <v>25</v>
      </c>
      <c r="W777" s="10">
        <v>0</v>
      </c>
      <c r="X777" s="10">
        <v>0</v>
      </c>
      <c r="Y777" s="11"/>
      <c r="Z777" t="s">
        <v>918</v>
      </c>
      <c r="AA777" t="s">
        <v>904</v>
      </c>
      <c r="AB777" s="2" t="s">
        <v>922</v>
      </c>
      <c r="AC777" s="10" t="s">
        <v>1010</v>
      </c>
      <c r="AD777" s="10" t="s">
        <v>1011</v>
      </c>
      <c r="AE777" s="11" t="str">
        <f>SUBSTITUTE(SUBSTITUTE(PROPERTIES[[#This Row],[PURCHASECOST_VALUE]], "PURCHASECOST_", ""), "_VALUE", "")</f>
        <v>COACH</v>
      </c>
      <c r="AF777" s="10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77" s="2" t="b">
        <v>0</v>
      </c>
      <c r="AY777"/>
      <c r="AZ777"/>
      <c r="BA777"/>
    </row>
    <row r="778" spans="1:53">
      <c r="A778" s="2" t="s">
        <v>815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35</v>
      </c>
      <c r="G778" t="s">
        <v>325</v>
      </c>
      <c r="H778">
        <v>220</v>
      </c>
      <c r="I778">
        <v>8</v>
      </c>
      <c r="J778">
        <v>8</v>
      </c>
      <c r="K778" s="2" t="s">
        <v>24</v>
      </c>
      <c r="L778">
        <v>40</v>
      </c>
      <c r="M778" t="s">
        <v>21</v>
      </c>
      <c r="N778">
        <v>1</v>
      </c>
      <c r="O778" s="34">
        <v>48</v>
      </c>
      <c r="P778">
        <v>0</v>
      </c>
      <c r="Q778">
        <v>200</v>
      </c>
      <c r="R778" s="31">
        <v>0</v>
      </c>
      <c r="S778" s="30">
        <f>IFERROR(PROPERTIES[[#This Row],[TE_STARTING_KN]]/(PROPERTIES[[#This Row],[WEIGHT]]*9.81),0)</f>
        <v>0</v>
      </c>
      <c r="T778" s="30">
        <v>0.3</v>
      </c>
      <c r="U778" s="27">
        <f>ROUND(IF(IFERROR(PROPERTIES[[#This Row],[TE_COEFFICIENT_CALC]],0)=0,PROPERTIES[[#This Row],[TE_COEFFICIENT_MANUAL]],PROPERTIES[[#This Row],[TE_COEFFICIENT_CALC]]),3)</f>
        <v>0.3</v>
      </c>
      <c r="V778" s="6">
        <v>25</v>
      </c>
      <c r="W778" s="10">
        <v>0</v>
      </c>
      <c r="X778" s="10">
        <v>0</v>
      </c>
      <c r="Y778" s="11"/>
      <c r="Z778" t="s">
        <v>918</v>
      </c>
      <c r="AA778" t="s">
        <v>904</v>
      </c>
      <c r="AB778" s="2" t="s">
        <v>922</v>
      </c>
      <c r="AC778" s="10" t="s">
        <v>1010</v>
      </c>
      <c r="AD778" s="10" t="s">
        <v>1011</v>
      </c>
      <c r="AE778" s="11" t="str">
        <f>SUBSTITUTE(SUBSTITUTE(PROPERTIES[[#This Row],[PURCHASECOST_VALUE]], "PURCHASECOST_", ""), "_VALUE", "")</f>
        <v>COACH</v>
      </c>
      <c r="AF778" s="10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78" s="2" t="b">
        <v>0</v>
      </c>
      <c r="AY778"/>
      <c r="AZ778"/>
      <c r="BA778"/>
    </row>
    <row r="779" spans="1:53">
      <c r="A779" s="2" t="s">
        <v>816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35</v>
      </c>
      <c r="G779" t="s">
        <v>325</v>
      </c>
      <c r="H779">
        <v>255</v>
      </c>
      <c r="I779">
        <v>8</v>
      </c>
      <c r="J779">
        <v>8</v>
      </c>
      <c r="K779" s="2" t="s">
        <v>479</v>
      </c>
      <c r="L779">
        <v>16</v>
      </c>
      <c r="M779" t="s">
        <v>21</v>
      </c>
      <c r="N779">
        <v>1</v>
      </c>
      <c r="O779" s="34">
        <v>55</v>
      </c>
      <c r="P779">
        <v>0</v>
      </c>
      <c r="Q779">
        <v>160</v>
      </c>
      <c r="R779" s="31">
        <v>0</v>
      </c>
      <c r="S779" s="30">
        <f>IFERROR(PROPERTIES[[#This Row],[TE_STARTING_KN]]/(PROPERTIES[[#This Row],[WEIGHT]]*9.81),0)</f>
        <v>0</v>
      </c>
      <c r="T779" s="30">
        <v>0.3</v>
      </c>
      <c r="U779" s="27">
        <f>ROUND(IF(IFERROR(PROPERTIES[[#This Row],[TE_COEFFICIENT_CALC]],0)=0,PROPERTIES[[#This Row],[TE_COEFFICIENT_MANUAL]],PROPERTIES[[#This Row],[TE_COEFFICIENT_CALC]]),3)</f>
        <v>0.3</v>
      </c>
      <c r="V779" s="6">
        <v>25</v>
      </c>
      <c r="W779" s="10">
        <v>0</v>
      </c>
      <c r="X779" s="10">
        <v>0</v>
      </c>
      <c r="Y779" s="11"/>
      <c r="Z779" t="s">
        <v>918</v>
      </c>
      <c r="AA779" t="s">
        <v>904</v>
      </c>
      <c r="AB779" s="2" t="s">
        <v>922</v>
      </c>
      <c r="AC779" s="10" t="s">
        <v>1010</v>
      </c>
      <c r="AD779" s="10" t="s">
        <v>1011</v>
      </c>
      <c r="AE779" s="11" t="str">
        <f>SUBSTITUTE(SUBSTITUTE(PROPERTIES[[#This Row],[PURCHASECOST_VALUE]], "PURCHASECOST_", ""), "_VALUE", "")</f>
        <v>COACH</v>
      </c>
      <c r="AF779" s="10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79" s="2" t="b">
        <v>0</v>
      </c>
      <c r="AY779"/>
      <c r="AZ779"/>
      <c r="BA779"/>
    </row>
    <row r="780" spans="1:53">
      <c r="A780" s="2" t="s">
        <v>817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35</v>
      </c>
      <c r="G780" t="s">
        <v>325</v>
      </c>
      <c r="H780">
        <v>140</v>
      </c>
      <c r="I780">
        <v>8</v>
      </c>
      <c r="J780">
        <v>8</v>
      </c>
      <c r="K780" s="2" t="s">
        <v>479</v>
      </c>
      <c r="L780">
        <v>16</v>
      </c>
      <c r="M780" t="s">
        <v>21</v>
      </c>
      <c r="N780">
        <v>1</v>
      </c>
      <c r="O780" s="34">
        <v>50</v>
      </c>
      <c r="P780">
        <v>0</v>
      </c>
      <c r="Q780">
        <v>200</v>
      </c>
      <c r="R780" s="31">
        <v>0</v>
      </c>
      <c r="S780" s="30">
        <f>IFERROR(PROPERTIES[[#This Row],[TE_STARTING_KN]]/(PROPERTIES[[#This Row],[WEIGHT]]*9.81),0)</f>
        <v>0</v>
      </c>
      <c r="T780" s="30">
        <v>0.3</v>
      </c>
      <c r="U780" s="27">
        <f>ROUND(IF(IFERROR(PROPERTIES[[#This Row],[TE_COEFFICIENT_CALC]],0)=0,PROPERTIES[[#This Row],[TE_COEFFICIENT_MANUAL]],PROPERTIES[[#This Row],[TE_COEFFICIENT_CALC]]),3)</f>
        <v>0.3</v>
      </c>
      <c r="V780" s="6">
        <v>25</v>
      </c>
      <c r="W780" s="10">
        <v>0</v>
      </c>
      <c r="X780" s="10">
        <v>0</v>
      </c>
      <c r="Y780" s="11"/>
      <c r="Z780" t="s">
        <v>918</v>
      </c>
      <c r="AA780" t="s">
        <v>904</v>
      </c>
      <c r="AB780" s="2" t="s">
        <v>922</v>
      </c>
      <c r="AC780" s="10" t="s">
        <v>1010</v>
      </c>
      <c r="AD780" s="10" t="s">
        <v>1011</v>
      </c>
      <c r="AE780" s="11" t="str">
        <f>SUBSTITUTE(SUBSTITUTE(PROPERTIES[[#This Row],[PURCHASECOST_VALUE]], "PURCHASECOST_", ""), "_VALUE", "")</f>
        <v>COACH</v>
      </c>
      <c r="AF780" s="10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80" s="2" t="b">
        <v>0</v>
      </c>
      <c r="AY780"/>
      <c r="AZ780"/>
      <c r="BA780"/>
    </row>
    <row r="781" spans="1:53">
      <c r="A781" s="2" t="s">
        <v>818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35</v>
      </c>
      <c r="G781" t="s">
        <v>673</v>
      </c>
      <c r="H781">
        <v>180</v>
      </c>
      <c r="I781">
        <v>8</v>
      </c>
      <c r="J781">
        <v>8</v>
      </c>
      <c r="K781" s="2" t="s">
        <v>674</v>
      </c>
      <c r="L781">
        <v>15</v>
      </c>
      <c r="M781" t="s">
        <v>21</v>
      </c>
      <c r="N781">
        <v>1</v>
      </c>
      <c r="O781" s="34">
        <v>50</v>
      </c>
      <c r="P781">
        <v>0</v>
      </c>
      <c r="Q781">
        <v>250</v>
      </c>
      <c r="R781" s="31">
        <v>0</v>
      </c>
      <c r="S781" s="30">
        <f>IFERROR(PROPERTIES[[#This Row],[TE_STARTING_KN]]/(PROPERTIES[[#This Row],[WEIGHT]]*9.81),0)</f>
        <v>0</v>
      </c>
      <c r="T781" s="30">
        <v>0.3</v>
      </c>
      <c r="U781" s="27">
        <f>ROUND(IF(IFERROR(PROPERTIES[[#This Row],[TE_COEFFICIENT_CALC]],0)=0,PROPERTIES[[#This Row],[TE_COEFFICIENT_MANUAL]],PROPERTIES[[#This Row],[TE_COEFFICIENT_CALC]]),3)</f>
        <v>0.3</v>
      </c>
      <c r="V781" s="6">
        <v>25</v>
      </c>
      <c r="W781" s="10">
        <v>0</v>
      </c>
      <c r="X781" s="10">
        <v>0</v>
      </c>
      <c r="Y781" s="11"/>
      <c r="Z781" t="s">
        <v>918</v>
      </c>
      <c r="AA781" t="s">
        <v>904</v>
      </c>
      <c r="AB781" s="2" t="s">
        <v>922</v>
      </c>
      <c r="AC781" s="10" t="s">
        <v>1010</v>
      </c>
      <c r="AD781" s="10" t="s">
        <v>1011</v>
      </c>
      <c r="AE781" s="11" t="str">
        <f>SUBSTITUTE(SUBSTITUTE(PROPERTIES[[#This Row],[PURCHASECOST_VALUE]], "PURCHASECOST_", ""), "_VALUE", "")</f>
        <v>COACH</v>
      </c>
      <c r="AF781" s="10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(Freight)</v>
      </c>
      <c r="AG781" s="2" t="b">
        <v>0</v>
      </c>
      <c r="AY781"/>
      <c r="AZ781"/>
      <c r="BA781"/>
    </row>
    <row r="782" spans="1:53">
      <c r="A782" s="2" t="s">
        <v>819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35</v>
      </c>
      <c r="G782" t="s">
        <v>325</v>
      </c>
      <c r="H782">
        <v>40</v>
      </c>
      <c r="I782">
        <v>6</v>
      </c>
      <c r="J782">
        <v>6</v>
      </c>
      <c r="K782" s="2" t="s">
        <v>24</v>
      </c>
      <c r="L782">
        <v>40</v>
      </c>
      <c r="M782" t="s">
        <v>21</v>
      </c>
      <c r="N782">
        <v>1</v>
      </c>
      <c r="O782" s="34">
        <v>15</v>
      </c>
      <c r="P782">
        <v>0</v>
      </c>
      <c r="Q782">
        <v>200</v>
      </c>
      <c r="R782" s="31">
        <v>0</v>
      </c>
      <c r="S782" s="30">
        <f>IFERROR(PROPERTIES[[#This Row],[TE_STARTING_KN]]/(PROPERTIES[[#This Row],[WEIGHT]]*9.81),0)</f>
        <v>0</v>
      </c>
      <c r="T782" s="30">
        <v>0.3</v>
      </c>
      <c r="U782" s="27">
        <f>ROUND(IF(IFERROR(PROPERTIES[[#This Row],[TE_COEFFICIENT_CALC]],0)=0,PROPERTIES[[#This Row],[TE_COEFFICIENT_MANUAL]],PROPERTIES[[#This Row],[TE_COEFFICIENT_CALC]]),3)</f>
        <v>0.3</v>
      </c>
      <c r="V782" s="6">
        <v>25</v>
      </c>
      <c r="W782" s="10">
        <v>0</v>
      </c>
      <c r="X782" s="10">
        <v>0</v>
      </c>
      <c r="Y782" s="11"/>
      <c r="Z782" t="s">
        <v>918</v>
      </c>
      <c r="AA782" t="s">
        <v>904</v>
      </c>
      <c r="AB782" s="2" t="s">
        <v>922</v>
      </c>
      <c r="AC782" s="10" t="s">
        <v>1010</v>
      </c>
      <c r="AD782" s="10" t="s">
        <v>1011</v>
      </c>
      <c r="AE782" s="11" t="str">
        <f>SUBSTITUTE(SUBSTITUTE(PROPERTIES[[#This Row],[PURCHASECOST_VALUE]], "PURCHASECOST_", ""), "_VALUE", "")</f>
        <v>COACH</v>
      </c>
      <c r="AF782" s="10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82" s="2" t="b">
        <v>0</v>
      </c>
      <c r="AY782"/>
      <c r="AZ782"/>
      <c r="BA782"/>
    </row>
    <row r="783" spans="1:53">
      <c r="A783" s="2" t="s">
        <v>820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35</v>
      </c>
      <c r="G783" t="s">
        <v>673</v>
      </c>
      <c r="H783">
        <v>60</v>
      </c>
      <c r="I783">
        <v>6</v>
      </c>
      <c r="J783">
        <v>6</v>
      </c>
      <c r="K783" s="2" t="s">
        <v>674</v>
      </c>
      <c r="L783">
        <v>15</v>
      </c>
      <c r="M783" t="s">
        <v>21</v>
      </c>
      <c r="N783">
        <v>1</v>
      </c>
      <c r="O783" s="34">
        <v>18</v>
      </c>
      <c r="P783">
        <v>0</v>
      </c>
      <c r="Q783">
        <v>200</v>
      </c>
      <c r="R783" s="31">
        <v>0</v>
      </c>
      <c r="S783" s="30">
        <f>IFERROR(PROPERTIES[[#This Row],[TE_STARTING_KN]]/(PROPERTIES[[#This Row],[WEIGHT]]*9.81),0)</f>
        <v>0</v>
      </c>
      <c r="T783" s="30">
        <v>0.3</v>
      </c>
      <c r="U783" s="27">
        <f>ROUND(IF(IFERROR(PROPERTIES[[#This Row],[TE_COEFFICIENT_CALC]],0)=0,PROPERTIES[[#This Row],[TE_COEFFICIENT_MANUAL]],PROPERTIES[[#This Row],[TE_COEFFICIENT_CALC]]),3)</f>
        <v>0.3</v>
      </c>
      <c r="V783" s="6">
        <v>25</v>
      </c>
      <c r="W783" s="10">
        <v>0</v>
      </c>
      <c r="X783" s="10">
        <v>0</v>
      </c>
      <c r="Y783" s="11"/>
      <c r="Z783" t="s">
        <v>918</v>
      </c>
      <c r="AA783" t="s">
        <v>904</v>
      </c>
      <c r="AB783" s="2" t="s">
        <v>922</v>
      </c>
      <c r="AC783" s="10" t="s">
        <v>1010</v>
      </c>
      <c r="AD783" s="10" t="s">
        <v>1011</v>
      </c>
      <c r="AE783" s="11" t="str">
        <f>SUBSTITUTE(SUBSTITUTE(PROPERTIES[[#This Row],[PURCHASECOST_VALUE]], "PURCHASECOST_", ""), "_VALUE", "")</f>
        <v>COACH</v>
      </c>
      <c r="AF783" s="10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(Freight)</v>
      </c>
      <c r="AG783" s="2" t="b">
        <v>0</v>
      </c>
      <c r="AY783"/>
      <c r="AZ783"/>
      <c r="BA783"/>
    </row>
    <row r="784" spans="1:53">
      <c r="A784" s="2" t="s">
        <v>821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35</v>
      </c>
      <c r="G784" t="s">
        <v>325</v>
      </c>
      <c r="H784">
        <v>64</v>
      </c>
      <c r="I784">
        <v>8</v>
      </c>
      <c r="J784">
        <v>8</v>
      </c>
      <c r="K784" s="2" t="s">
        <v>479</v>
      </c>
      <c r="L784">
        <v>16</v>
      </c>
      <c r="M784" t="s">
        <v>21</v>
      </c>
      <c r="N784">
        <v>1</v>
      </c>
      <c r="O784" s="34">
        <v>30</v>
      </c>
      <c r="P784">
        <v>0</v>
      </c>
      <c r="Q784">
        <v>350</v>
      </c>
      <c r="R784" s="31">
        <v>0</v>
      </c>
      <c r="S784" s="30">
        <f>IFERROR(PROPERTIES[[#This Row],[TE_STARTING_KN]]/(PROPERTIES[[#This Row],[WEIGHT]]*9.81),0)</f>
        <v>0</v>
      </c>
      <c r="T784" s="30">
        <v>0.3</v>
      </c>
      <c r="U784" s="27">
        <f>ROUND(IF(IFERROR(PROPERTIES[[#This Row],[TE_COEFFICIENT_CALC]],0)=0,PROPERTIES[[#This Row],[TE_COEFFICIENT_MANUAL]],PROPERTIES[[#This Row],[TE_COEFFICIENT_CALC]]),3)</f>
        <v>0.3</v>
      </c>
      <c r="V784" s="6">
        <v>25</v>
      </c>
      <c r="W784" s="10">
        <v>0</v>
      </c>
      <c r="X784" s="10">
        <v>0</v>
      </c>
      <c r="Y784" s="11"/>
      <c r="Z784" t="s">
        <v>918</v>
      </c>
      <c r="AA784" t="s">
        <v>904</v>
      </c>
      <c r="AB784" s="2" t="s">
        <v>922</v>
      </c>
      <c r="AC784" s="10" t="s">
        <v>1010</v>
      </c>
      <c r="AD784" s="10" t="s">
        <v>1011</v>
      </c>
      <c r="AE784" s="11" t="str">
        <f>SUBSTITUTE(SUBSTITUTE(PROPERTIES[[#This Row],[PURCHASECOST_VALUE]], "PURCHASECOST_", ""), "_VALUE", "")</f>
        <v>COACH</v>
      </c>
      <c r="AF784" s="10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784" s="2" t="b">
        <v>0</v>
      </c>
      <c r="AY784"/>
      <c r="AZ784"/>
      <c r="BA784"/>
    </row>
    <row r="785" spans="1:53">
      <c r="A785" s="2" t="s">
        <v>822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35</v>
      </c>
      <c r="G785" t="s">
        <v>325</v>
      </c>
      <c r="H785">
        <v>255</v>
      </c>
      <c r="I785">
        <v>8</v>
      </c>
      <c r="J785">
        <v>8</v>
      </c>
      <c r="K785" s="2" t="s">
        <v>479</v>
      </c>
      <c r="L785">
        <v>16</v>
      </c>
      <c r="M785" t="s">
        <v>21</v>
      </c>
      <c r="N785">
        <v>1</v>
      </c>
      <c r="O785" s="34">
        <v>36</v>
      </c>
      <c r="P785">
        <v>0</v>
      </c>
      <c r="Q785">
        <v>230</v>
      </c>
      <c r="R785" s="31">
        <v>0</v>
      </c>
      <c r="S785" s="30">
        <f>IFERROR(PROPERTIES[[#This Row],[TE_STARTING_KN]]/(PROPERTIES[[#This Row],[WEIGHT]]*9.81),0)</f>
        <v>0</v>
      </c>
      <c r="T785" s="30">
        <v>0.3</v>
      </c>
      <c r="U785" s="27">
        <f>ROUND(IF(IFERROR(PROPERTIES[[#This Row],[TE_COEFFICIENT_CALC]],0)=0,PROPERTIES[[#This Row],[TE_COEFFICIENT_MANUAL]],PROPERTIES[[#This Row],[TE_COEFFICIENT_CALC]]),3)</f>
        <v>0.3</v>
      </c>
      <c r="V785" s="6">
        <v>25</v>
      </c>
      <c r="W785" s="10">
        <v>0</v>
      </c>
      <c r="X785" s="10">
        <v>0</v>
      </c>
      <c r="Y785" s="11"/>
      <c r="Z785" t="s">
        <v>918</v>
      </c>
      <c r="AA785" t="s">
        <v>904</v>
      </c>
      <c r="AB785" s="2" t="s">
        <v>922</v>
      </c>
      <c r="AC785" s="10" t="s">
        <v>1010</v>
      </c>
      <c r="AD785" s="10" t="s">
        <v>1011</v>
      </c>
      <c r="AE785" s="11" t="str">
        <f>SUBSTITUTE(SUBSTITUTE(PROPERTIES[[#This Row],[PURCHASECOST_VALUE]], "PURCHASECOST_", ""), "_VALUE", "")</f>
        <v>COACH</v>
      </c>
      <c r="AF785" s="10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785" s="2" t="b">
        <v>0</v>
      </c>
      <c r="AY785"/>
      <c r="AZ785"/>
      <c r="BA785"/>
    </row>
    <row r="786" spans="1:53">
      <c r="A786" s="2" t="s">
        <v>823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35</v>
      </c>
      <c r="G786" t="s">
        <v>325</v>
      </c>
      <c r="H786">
        <v>255</v>
      </c>
      <c r="I786">
        <v>8</v>
      </c>
      <c r="J786">
        <v>8</v>
      </c>
      <c r="K786" s="2" t="s">
        <v>24</v>
      </c>
      <c r="L786">
        <v>40</v>
      </c>
      <c r="M786" t="s">
        <v>21</v>
      </c>
      <c r="N786">
        <v>1</v>
      </c>
      <c r="O786" s="34">
        <v>33</v>
      </c>
      <c r="P786">
        <v>0</v>
      </c>
      <c r="Q786">
        <v>140</v>
      </c>
      <c r="R786" s="31">
        <v>0</v>
      </c>
      <c r="S786" s="30">
        <f>IFERROR(PROPERTIES[[#This Row],[TE_STARTING_KN]]/(PROPERTIES[[#This Row],[WEIGHT]]*9.81),0)</f>
        <v>0</v>
      </c>
      <c r="T786" s="30">
        <v>0.3</v>
      </c>
      <c r="U786" s="27">
        <f>ROUND(IF(IFERROR(PROPERTIES[[#This Row],[TE_COEFFICIENT_CALC]],0)=0,PROPERTIES[[#This Row],[TE_COEFFICIENT_MANUAL]],PROPERTIES[[#This Row],[TE_COEFFICIENT_CALC]]),3)</f>
        <v>0.3</v>
      </c>
      <c r="V786" s="6">
        <v>25</v>
      </c>
      <c r="W786" s="10">
        <v>0</v>
      </c>
      <c r="X786" s="10">
        <v>0</v>
      </c>
      <c r="Y786" s="11"/>
      <c r="Z786" t="s">
        <v>918</v>
      </c>
      <c r="AA786" t="s">
        <v>904</v>
      </c>
      <c r="AB786" s="2" t="s">
        <v>922</v>
      </c>
      <c r="AC786" s="10" t="s">
        <v>1010</v>
      </c>
      <c r="AD786" s="10" t="s">
        <v>1011</v>
      </c>
      <c r="AE786" s="11" t="str">
        <f>SUBSTITUTE(SUBSTITUTE(PROPERTIES[[#This Row],[PURCHASECOST_VALUE]], "PURCHASECOST_", ""), "_VALUE", "")</f>
        <v>COACH</v>
      </c>
      <c r="AF786" s="10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86" s="2" t="b">
        <v>0</v>
      </c>
      <c r="AY786"/>
      <c r="AZ786"/>
      <c r="BA786"/>
    </row>
    <row r="787" spans="1:53">
      <c r="A787" s="2" t="s">
        <v>824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35</v>
      </c>
      <c r="G787" t="s">
        <v>673</v>
      </c>
      <c r="H787">
        <v>255</v>
      </c>
      <c r="I787">
        <v>8</v>
      </c>
      <c r="J787">
        <v>8</v>
      </c>
      <c r="K787" s="2" t="s">
        <v>674</v>
      </c>
      <c r="L787">
        <v>15</v>
      </c>
      <c r="M787" t="s">
        <v>21</v>
      </c>
      <c r="N787">
        <v>1</v>
      </c>
      <c r="O787" s="34">
        <v>32</v>
      </c>
      <c r="P787">
        <v>0</v>
      </c>
      <c r="Q787">
        <v>350</v>
      </c>
      <c r="R787" s="31">
        <v>0</v>
      </c>
      <c r="S787" s="30">
        <f>IFERROR(PROPERTIES[[#This Row],[TE_STARTING_KN]]/(PROPERTIES[[#This Row],[WEIGHT]]*9.81),0)</f>
        <v>0</v>
      </c>
      <c r="T787" s="30">
        <v>0.3</v>
      </c>
      <c r="U787" s="27">
        <f>ROUND(IF(IFERROR(PROPERTIES[[#This Row],[TE_COEFFICIENT_CALC]],0)=0,PROPERTIES[[#This Row],[TE_COEFFICIENT_MANUAL]],PROPERTIES[[#This Row],[TE_COEFFICIENT_CALC]]),3)</f>
        <v>0.3</v>
      </c>
      <c r="V787" s="6">
        <v>25</v>
      </c>
      <c r="W787" s="10">
        <v>0</v>
      </c>
      <c r="X787" s="10">
        <v>0</v>
      </c>
      <c r="Y787" s="11"/>
      <c r="Z787" t="s">
        <v>918</v>
      </c>
      <c r="AA787" t="s">
        <v>904</v>
      </c>
      <c r="AB787" s="2" t="s">
        <v>922</v>
      </c>
      <c r="AC787" s="10" t="s">
        <v>1010</v>
      </c>
      <c r="AD787" s="10" t="s">
        <v>1011</v>
      </c>
      <c r="AE787" s="11" t="str">
        <f>SUBSTITUTE(SUBSTITUTE(PROPERTIES[[#This Row],[PURCHASECOST_VALUE]], "PURCHASECOST_", ""), "_VALUE", "")</f>
        <v>COACH</v>
      </c>
      <c r="AF787" s="10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(Freight)</v>
      </c>
      <c r="AG787" s="2" t="b">
        <v>0</v>
      </c>
      <c r="AY787"/>
      <c r="AZ787"/>
      <c r="BA787"/>
    </row>
    <row r="788" spans="1:53">
      <c r="A788" s="2" t="s">
        <v>825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35</v>
      </c>
      <c r="G788" t="s">
        <v>325</v>
      </c>
      <c r="H788">
        <v>255</v>
      </c>
      <c r="I788">
        <v>8</v>
      </c>
      <c r="J788">
        <v>8</v>
      </c>
      <c r="K788" s="2" t="s">
        <v>479</v>
      </c>
      <c r="L788">
        <v>16</v>
      </c>
      <c r="M788" t="s">
        <v>21</v>
      </c>
      <c r="N788">
        <v>1</v>
      </c>
      <c r="O788" s="34">
        <v>44</v>
      </c>
      <c r="P788">
        <v>0</v>
      </c>
      <c r="Q788">
        <v>200</v>
      </c>
      <c r="R788" s="31">
        <v>0</v>
      </c>
      <c r="S788" s="30">
        <f>IFERROR(PROPERTIES[[#This Row],[TE_STARTING_KN]]/(PROPERTIES[[#This Row],[WEIGHT]]*9.81),0)</f>
        <v>0</v>
      </c>
      <c r="T788" s="30">
        <v>0.3</v>
      </c>
      <c r="U788" s="27">
        <f>ROUND(IF(IFERROR(PROPERTIES[[#This Row],[TE_COEFFICIENT_CALC]],0)=0,PROPERTIES[[#This Row],[TE_COEFFICIENT_MANUAL]],PROPERTIES[[#This Row],[TE_COEFFICIENT_CALC]]),3)</f>
        <v>0.3</v>
      </c>
      <c r="V788" s="6">
        <v>25</v>
      </c>
      <c r="W788" s="10">
        <v>0</v>
      </c>
      <c r="X788" s="10">
        <v>0</v>
      </c>
      <c r="Y788" s="11"/>
      <c r="Z788" t="s">
        <v>918</v>
      </c>
      <c r="AA788" t="s">
        <v>904</v>
      </c>
      <c r="AB788" s="2" t="s">
        <v>922</v>
      </c>
      <c r="AC788" s="10" t="s">
        <v>1010</v>
      </c>
      <c r="AD788" s="10" t="s">
        <v>1011</v>
      </c>
      <c r="AE788" s="11" t="str">
        <f>SUBSTITUTE(SUBSTITUTE(PROPERTIES[[#This Row],[PURCHASECOST_VALUE]], "PURCHASECOST_", ""), "_VALUE", "")</f>
        <v>COACH</v>
      </c>
      <c r="AF788" s="10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788" s="2" t="b">
        <v>0</v>
      </c>
      <c r="AY788"/>
      <c r="AZ788"/>
      <c r="BA788"/>
    </row>
    <row r="789" spans="1:53">
      <c r="A789" s="2" t="s">
        <v>826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35</v>
      </c>
      <c r="G789" t="s">
        <v>325</v>
      </c>
      <c r="H789">
        <v>120</v>
      </c>
      <c r="I789">
        <v>8</v>
      </c>
      <c r="J789">
        <v>8</v>
      </c>
      <c r="K789" s="2" t="s">
        <v>479</v>
      </c>
      <c r="L789">
        <v>16</v>
      </c>
      <c r="M789" t="s">
        <v>21</v>
      </c>
      <c r="N789">
        <v>1</v>
      </c>
      <c r="O789" s="34">
        <v>42</v>
      </c>
      <c r="P789">
        <v>0</v>
      </c>
      <c r="Q789">
        <v>350</v>
      </c>
      <c r="R789" s="31">
        <v>0</v>
      </c>
      <c r="S789" s="30">
        <f>IFERROR(PROPERTIES[[#This Row],[TE_STARTING_KN]]/(PROPERTIES[[#This Row],[WEIGHT]]*9.81),0)</f>
        <v>0</v>
      </c>
      <c r="T789" s="30">
        <v>0.3</v>
      </c>
      <c r="U789" s="27">
        <f>ROUND(IF(IFERROR(PROPERTIES[[#This Row],[TE_COEFFICIENT_CALC]],0)=0,PROPERTIES[[#This Row],[TE_COEFFICIENT_MANUAL]],PROPERTIES[[#This Row],[TE_COEFFICIENT_CALC]]),3)</f>
        <v>0.3</v>
      </c>
      <c r="V789" s="6">
        <v>25</v>
      </c>
      <c r="W789" s="10">
        <v>0</v>
      </c>
      <c r="X789" s="10">
        <v>0</v>
      </c>
      <c r="Y789" s="11"/>
      <c r="Z789" t="s">
        <v>918</v>
      </c>
      <c r="AA789" t="s">
        <v>904</v>
      </c>
      <c r="AB789" s="2" t="s">
        <v>922</v>
      </c>
      <c r="AC789" s="10" t="s">
        <v>1010</v>
      </c>
      <c r="AD789" s="10" t="s">
        <v>1011</v>
      </c>
      <c r="AE789" s="11" t="str">
        <f>SUBSTITUTE(SUBSTITUTE(PROPERTIES[[#This Row],[PURCHASECOST_VALUE]], "PURCHASECOST_", ""), "_VALUE", "")</f>
        <v>COACH</v>
      </c>
      <c r="AF789" s="10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789" s="2" t="b">
        <v>0</v>
      </c>
      <c r="AY789"/>
      <c r="AZ789"/>
      <c r="BA789"/>
    </row>
    <row r="790" spans="1:53">
      <c r="A790" s="2" t="s">
        <v>1780</v>
      </c>
      <c r="B790">
        <v>1978</v>
      </c>
      <c r="C790">
        <v>0</v>
      </c>
      <c r="D790" t="s">
        <v>2292</v>
      </c>
      <c r="E790" t="str">
        <f>_xlfn.XLOOKUP(PROPERTIES[[#This Row],[COUNTRY]],COUNTRIES[COUNTRY_DESCRIPTION],COUNTRIES[COUNTRY_LABEL],"")</f>
        <v>GA</v>
      </c>
      <c r="F790" t="s">
        <v>35</v>
      </c>
      <c r="G790" t="s">
        <v>20</v>
      </c>
      <c r="H790">
        <v>0</v>
      </c>
      <c r="I790">
        <v>8</v>
      </c>
      <c r="J790">
        <v>8</v>
      </c>
      <c r="K790" s="2" t="s">
        <v>20</v>
      </c>
      <c r="L790">
        <v>0</v>
      </c>
      <c r="M790">
        <v>45</v>
      </c>
      <c r="N790">
        <v>1</v>
      </c>
      <c r="O790" s="34">
        <v>110</v>
      </c>
      <c r="P790">
        <v>3000</v>
      </c>
      <c r="Q790">
        <v>80</v>
      </c>
      <c r="R790" s="31">
        <v>320</v>
      </c>
      <c r="S790" s="30">
        <f>IFERROR(PROPERTIES[[#This Row],[TE_STARTING_KN]]/(PROPERTIES[[#This Row],[WEIGHT]]*9.81),0)</f>
        <v>0.2965434158094708</v>
      </c>
      <c r="T790" s="30">
        <f>IF(PROPERTIES[[#This Row],[INTRODUCTION_YEAR]]&gt;1980,0.3,IF(PROPERTIES[[#This Row],[ENGINE_CLASS]]="STEAM",0.2,0.25))</f>
        <v>0.25</v>
      </c>
      <c r="U790" s="27">
        <f>ROUND(IF(IFERROR(PROPERTIES[[#This Row],[TE_COEFFICIENT_CALC]],0)=0,PROPERTIES[[#This Row],[TE_COEFFICIENT_MANUAL]],PROPERTIES[[#This Row],[TE_COEFFICIENT_CALC]]),3)</f>
        <v>0.29699999999999999</v>
      </c>
      <c r="V790" s="6">
        <v>25</v>
      </c>
      <c r="W790" s="10">
        <v>0</v>
      </c>
      <c r="X790" s="10">
        <v>0</v>
      </c>
      <c r="Y790" s="11"/>
      <c r="Z790" t="s">
        <v>908</v>
      </c>
      <c r="AA790" t="s">
        <v>904</v>
      </c>
      <c r="AB790" s="2" t="s">
        <v>922</v>
      </c>
      <c r="AC790" s="10" t="s">
        <v>992</v>
      </c>
      <c r="AD790" s="10" t="s">
        <v>993</v>
      </c>
      <c r="AE790" s="2" t="str">
        <f>SUBSTITUTE(SUBSTITUTE(PROPERTIES[[#This Row],[PURCHASECOST_VALUE]], "PURCHASECOST_", ""), "_VALUE", "")</f>
        <v>DIESELENGINE</v>
      </c>
      <c r="AF790" s="10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10"/>
      <c r="AY790" s="11"/>
      <c r="AZ790" s="12"/>
      <c r="BA790"/>
    </row>
    <row r="791" spans="1:53">
      <c r="A791" s="2" t="s">
        <v>1783</v>
      </c>
      <c r="B791">
        <v>1917</v>
      </c>
      <c r="C791">
        <v>0</v>
      </c>
      <c r="D791" t="s">
        <v>2033</v>
      </c>
      <c r="E791" t="str">
        <f>_xlfn.XLOOKUP(PROPERTIES[[#This Row],[COUNTRY]],COUNTRIES[COUNTRY_DESCRIPTION],COUNTRIES[COUNTRY_LABEL],"")</f>
        <v>ZA</v>
      </c>
      <c r="F791" t="s">
        <v>23</v>
      </c>
      <c r="G791" t="s">
        <v>20</v>
      </c>
      <c r="H791">
        <v>0</v>
      </c>
      <c r="I791">
        <v>7</v>
      </c>
      <c r="J791">
        <v>8</v>
      </c>
      <c r="K791" s="2" t="s">
        <v>20</v>
      </c>
      <c r="L791">
        <v>0</v>
      </c>
      <c r="M791">
        <v>45</v>
      </c>
      <c r="N791">
        <v>1</v>
      </c>
      <c r="O791" s="34">
        <v>67</v>
      </c>
      <c r="P791">
        <v>950</v>
      </c>
      <c r="Q791">
        <v>55</v>
      </c>
      <c r="R791" s="31">
        <v>143.31725222</v>
      </c>
      <c r="S791" s="30">
        <f>IFERROR(PROPERTIES[[#This Row],[TE_STARTING_KN]]/(PROPERTIES[[#This Row],[WEIGHT]]*9.81),0)</f>
        <v>0.21804928297351164</v>
      </c>
      <c r="T791" s="30">
        <v>0.12</v>
      </c>
      <c r="U791" s="27">
        <f>ROUND(IF(IFERROR(PROPERTIES[[#This Row],[TE_COEFFICIENT_CALC]],0)=0,PROPERTIES[[#This Row],[TE_COEFFICIENT_MANUAL]],PROPERTIES[[#This Row],[TE_COEFFICIENT_CALC]]),3)</f>
        <v>0.218</v>
      </c>
      <c r="V791" s="6">
        <v>40</v>
      </c>
      <c r="W791" s="10">
        <v>0</v>
      </c>
      <c r="X791" s="10">
        <v>5</v>
      </c>
      <c r="Y791" s="11"/>
      <c r="Z791" t="s">
        <v>908</v>
      </c>
      <c r="AA791" t="s">
        <v>904</v>
      </c>
      <c r="AB791" s="2" t="s">
        <v>922</v>
      </c>
      <c r="AC791" s="10" t="s">
        <v>990</v>
      </c>
      <c r="AD791" s="10" t="s">
        <v>991</v>
      </c>
      <c r="AE791" s="11" t="str">
        <f>SUBSTITUTE(SUBSTITUTE(PROPERTIES[[#This Row],[PURCHASECOST_VALUE]], "PURCHASECOST_", ""), "_VALUE", "")</f>
        <v>STEAMENGINE</v>
      </c>
      <c r="AF791" s="10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G791" s="2" t="b">
        <v>0</v>
      </c>
      <c r="AX791" s="10"/>
      <c r="AY791" s="11"/>
      <c r="AZ791" s="12"/>
      <c r="BA791"/>
    </row>
    <row r="792" spans="1:53">
      <c r="A792" s="2" t="s">
        <v>2882</v>
      </c>
      <c r="B792">
        <v>2003</v>
      </c>
      <c r="C792">
        <v>1</v>
      </c>
      <c r="D792" t="s">
        <v>1900</v>
      </c>
      <c r="E792" t="str">
        <f>_xlfn.XLOOKUP(PROPERTIES[[#This Row],[COUNTRY]],COUNTRIES[COUNTRY_DESCRIPTION],COUNTRIES[COUNTRY_LABEL],"")</f>
        <v>JP</v>
      </c>
      <c r="F792" t="s">
        <v>74</v>
      </c>
      <c r="G792" t="s">
        <v>532</v>
      </c>
      <c r="H792">
        <v>60</v>
      </c>
      <c r="I792">
        <v>8</v>
      </c>
      <c r="J792">
        <v>8</v>
      </c>
      <c r="K792" s="2" t="s">
        <v>33</v>
      </c>
      <c r="L792">
        <v>20</v>
      </c>
      <c r="M792" t="s">
        <v>21</v>
      </c>
      <c r="N792">
        <v>0</v>
      </c>
      <c r="O792" s="34">
        <f>51/2</f>
        <v>25.5</v>
      </c>
      <c r="P792">
        <v>2360</v>
      </c>
      <c r="Q792">
        <v>140</v>
      </c>
      <c r="R792" s="31">
        <f>98/2</f>
        <v>49</v>
      </c>
      <c r="S792" s="30">
        <f>IFERROR(PROPERTIES[[#This Row],[TE_STARTING_KN]]/(PROPERTIES[[#This Row],[WEIGHT]]*9.81),0)</f>
        <v>0.19587855529571666</v>
      </c>
      <c r="T792" s="30">
        <v>0.17</v>
      </c>
      <c r="U792" s="27">
        <f>ROUND(IF(IFERROR(PROPERTIES[[#This Row],[TE_COEFFICIENT_CALC]],0)=0,PROPERTIES[[#This Row],[TE_COEFFICIENT_MANUAL]],PROPERTIES[[#This Row],[TE_COEFFICIENT_CALC]]),3)</f>
        <v>0.19600000000000001</v>
      </c>
      <c r="V792" s="6">
        <v>25</v>
      </c>
      <c r="W792" s="10">
        <v>60</v>
      </c>
      <c r="X792" s="10">
        <v>8</v>
      </c>
      <c r="Y792" s="11"/>
      <c r="Z792" t="s">
        <v>913</v>
      </c>
      <c r="AA792" t="s">
        <v>904</v>
      </c>
      <c r="AB792" s="2" t="s">
        <v>922</v>
      </c>
      <c r="AC792" s="10" t="s">
        <v>1000</v>
      </c>
      <c r="AD792" s="10" t="s">
        <v>1001</v>
      </c>
      <c r="AE792" s="2" t="s">
        <v>948</v>
      </c>
      <c r="AF792" s="10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CONTROL[IS_WAGON_OR_COACH])="True",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1" t="b">
        <v>0</v>
      </c>
    </row>
  </sheetData>
  <conditionalFormatting sqref="R1:T792 S793:U1048576">
    <cfRule type="cellIs" dxfId="14" priority="4" operator="equal">
      <formula>0</formula>
    </cfRule>
  </conditionalFormatting>
  <conditionalFormatting sqref="AG2:AG792">
    <cfRule type="containsText" dxfId="13" priority="3" operator="containsText" text="FALSE">
      <formula>NOT(ISERROR(SEARCH("FALSE",AG2)))</formula>
    </cfRule>
  </conditionalFormatting>
  <conditionalFormatting sqref="AN790:AP791 AO792:AQ1048576">
    <cfRule type="cellIs" dxfId="12" priority="5" operator="equal">
      <formula>FALSE</formula>
    </cfRule>
  </conditionalFormatting>
  <conditionalFormatting sqref="Z1:AB1">
    <cfRule type="cellIs" dxfId="11" priority="2" operator="equal">
      <formula>FALSE</formula>
    </cfRule>
  </conditionalFormatting>
  <conditionalFormatting sqref="Z2:AB792">
    <cfRule type="cellIs" dxfId="10" priority="1" operator="equal">
      <formula>FALSE</formula>
    </cfRule>
  </conditionalFormatting>
  <dataValidations count="17">
    <dataValidation type="whole" operator="greaterThanOrEqual" allowBlank="1" showInputMessage="1" showErrorMessage="1" sqref="J792 J2:J725 J784:J789" xr:uid="{CF98E2EA-D1C7-4D7A-8577-5E38E9FB16EB}">
      <formula1>1</formula1>
    </dataValidation>
    <dataValidation type="whole" allowBlank="1" showInputMessage="1" showErrorMessage="1" sqref="C2:C792" xr:uid="{C9FB6BB5-B3CF-40B9-A6CD-3E0B48B95DF5}">
      <formula1>0</formula1>
      <formula2>1</formula2>
    </dataValidation>
    <dataValidation type="whole" operator="greaterThanOrEqual" allowBlank="1" showInputMessage="1" showErrorMessage="1" sqref="H2:H792 N784:N792 P2:Q792 N2:N725 W2:Y792" xr:uid="{699258F9-37E8-437E-9547-ACEA0AFD7DA4}">
      <formula1>0</formula1>
    </dataValidation>
    <dataValidation type="whole" allowBlank="1" showInputMessage="1" showErrorMessage="1" sqref="I792 I2:I789 J726:J783 L726:L783" xr:uid="{0976A28D-137D-4542-827E-3A73EFE0615E}">
      <formula1>1</formula1>
      <formula2>20</formula2>
    </dataValidation>
    <dataValidation type="decimal" operator="greaterThanOrEqual" allowBlank="1" showInputMessage="1" showErrorMessage="1" sqref="O2:O792 R2:U792" xr:uid="{F342F512-E760-4CD3-801B-E5B9CF70B7FD}">
      <formula1>0</formula1>
    </dataValidation>
    <dataValidation type="whole" allowBlank="1" showInputMessage="1" showErrorMessage="1" sqref="V2:V792" xr:uid="{7D4429EE-1046-4DE2-A6D7-76E6899E9B8A}">
      <formula1>5</formula1>
      <formula2>100</formula2>
    </dataValidation>
    <dataValidation operator="greaterThanOrEqual" allowBlank="1" showInputMessage="1" showErrorMessage="1" sqref="AJ790:AK791 V793:V1048576 AK792:AL1048576" xr:uid="{2D963A9D-C2E3-4020-ABFA-FD04EDA25119}"/>
    <dataValidation type="list" allowBlank="1" showInputMessage="1" showErrorMessage="1" sqref="AD2:AD792" xr:uid="{E34DA190-67B0-4000-AB81-045D705EF781}">
      <formula1>INDIRECT("VALID_RUNNINGCOSTVALUE[RUNNINGCOSTVALUE]")</formula1>
    </dataValidation>
    <dataValidation type="whole" allowBlank="1" showInputMessage="1" showErrorMessage="1" sqref="B2:B789 I792:J792 B792 I2:J789 L726:L783" xr:uid="{DEF10C41-55B4-45CA-9782-0B79331628F3}">
      <formula1>1660</formula1>
      <formula2>3000</formula2>
    </dataValidation>
    <dataValidation type="list" allowBlank="1" showInputMessage="1" showErrorMessage="1" sqref="F2:F792" xr:uid="{EB4398F4-10E4-463B-A52E-1F5C116A99EF}">
      <formula1>INDIRECT("VALID_ENGINE_CLASS[ENGINE_CLASS]")</formula1>
    </dataValidation>
    <dataValidation type="list" operator="greaterThanOrEqual" allowBlank="1" showInputMessage="1" showErrorMessage="1" sqref="AC2:AC792" xr:uid="{D83E915C-A301-4BE3-9E12-6790BD0E2284}">
      <formula1>INDIRECT("VALID_PURCHASECOSTVALUE[PURCHASECOSTVALUE]")</formula1>
    </dataValidation>
    <dataValidation type="list" allowBlank="1" showInputMessage="1" showErrorMessage="1" sqref="D2:D792" xr:uid="{33652263-03A3-437A-966A-BE8C0F8BE076}">
      <formula1>INDIRECT("COUNTRIES[COUNTRY_DESCRIPTION]")</formula1>
    </dataValidation>
    <dataValidation type="list" allowBlank="1" showInputMessage="1" showErrorMessage="1" sqref="E2:E792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792" xr:uid="{F2DE25A7-EAF4-4DA6-85FD-9F7B7EE18717}">
      <formula1>"TRUE,FALSE"</formula1>
    </dataValidation>
    <dataValidation type="list" allowBlank="1" showInputMessage="1" showErrorMessage="1" sqref="Z2:AA792" xr:uid="{A6AEDF15-D52E-4DEA-AD86-7127D84AEEAD}">
      <formula1>INDIRECT("VALID_REGIONS[VALID_REGIONS]")</formula1>
    </dataValidation>
    <dataValidation type="list" allowBlank="1" showInputMessage="1" showErrorMessage="1" sqref="AB2:AB792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Z2:AA792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AB2:AB792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2"/>
  <sheetViews>
    <sheetView zoomScaleNormal="100" workbookViewId="0">
      <pane xSplit="1" ySplit="1" topLeftCell="B616" activePane="bottomRight" state="frozen"/>
      <selection pane="topRight" activeCell="B1" sqref="B1"/>
      <selection pane="bottomLeft" activeCell="A2" sqref="A2"/>
      <selection pane="bottomRight" activeCell="E757" sqref="E757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695</v>
      </c>
      <c r="F1" s="1" t="s">
        <v>926</v>
      </c>
      <c r="G1" s="1" t="s">
        <v>696</v>
      </c>
      <c r="H1" s="1" t="s">
        <v>697</v>
      </c>
      <c r="I1" s="1" t="s">
        <v>678</v>
      </c>
      <c r="J1" s="1" t="s">
        <v>679</v>
      </c>
      <c r="K1" s="1" t="s">
        <v>698</v>
      </c>
      <c r="L1" s="1" t="s">
        <v>699</v>
      </c>
      <c r="M1" s="1" t="s">
        <v>700</v>
      </c>
      <c r="N1" s="1" t="s">
        <v>701</v>
      </c>
      <c r="O1" s="1" t="s">
        <v>680</v>
      </c>
      <c r="P1" s="1" t="s">
        <v>702</v>
      </c>
      <c r="Q1" s="1" t="s">
        <v>703</v>
      </c>
      <c r="R1" s="1" t="s">
        <v>704</v>
      </c>
      <c r="S1" s="1" t="s">
        <v>705</v>
      </c>
      <c r="T1" s="1" t="s">
        <v>706</v>
      </c>
      <c r="U1" s="1" t="s">
        <v>707</v>
      </c>
      <c r="V1" s="1" t="s">
        <v>708</v>
      </c>
      <c r="W1" s="1" t="s">
        <v>709</v>
      </c>
      <c r="X1" s="1" t="s">
        <v>681</v>
      </c>
      <c r="Y1" s="1" t="s">
        <v>710</v>
      </c>
      <c r="Z1" s="1" t="s">
        <v>711</v>
      </c>
      <c r="AA1" s="1" t="s">
        <v>712</v>
      </c>
      <c r="AB1" s="1" t="s">
        <v>713</v>
      </c>
      <c r="AC1" s="1" t="s">
        <v>682</v>
      </c>
      <c r="AD1" s="1" t="s">
        <v>683</v>
      </c>
      <c r="AE1" s="1" t="s">
        <v>684</v>
      </c>
      <c r="AF1" s="16" t="s">
        <v>925</v>
      </c>
    </row>
    <row r="2" spans="1:46">
      <c r="A2" s="2" t="s">
        <v>743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744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928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902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885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886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887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888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889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890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891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892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893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894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895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896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897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898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746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745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747</v>
      </c>
      <c r="B651" t="b">
        <v>1</v>
      </c>
      <c r="K651" t="b">
        <v>1</v>
      </c>
      <c r="T651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748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749</v>
      </c>
      <c r="B653" t="b">
        <v>1</v>
      </c>
      <c r="K653" t="b">
        <v>1</v>
      </c>
      <c r="T653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750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752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753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754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755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827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828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829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830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831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832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833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834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835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836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837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838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839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840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841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842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843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844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845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846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847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848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849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850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851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852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853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854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855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856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857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858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859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860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861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862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863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864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865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866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867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868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869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870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871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872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873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874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875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876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877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878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879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880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881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882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883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884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899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900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756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757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758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759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760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761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762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763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764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765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766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767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768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769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770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771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772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773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774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775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776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777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778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779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780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781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782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783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784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785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786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787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788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789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790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791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792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793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794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795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796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797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798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799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800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801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802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803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804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805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806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807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808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809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810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811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812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813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814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815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816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817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818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819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820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821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822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823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824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825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826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1780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1783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2882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9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2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2"/>
  <sheetViews>
    <sheetView zoomScaleNormal="100" workbookViewId="0">
      <pane xSplit="1" ySplit="1" topLeftCell="B747" activePane="bottomRight" state="frozen"/>
      <selection pane="topRight" activeCell="B1" sqref="B1"/>
      <selection pane="bottomLeft" activeCell="A2" sqref="A2"/>
      <selection pane="bottomRight" activeCell="B792" sqref="B792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691</v>
      </c>
      <c r="C1" s="4" t="s">
        <v>692</v>
      </c>
      <c r="D1" s="4" t="s">
        <v>693</v>
      </c>
      <c r="E1" s="1" t="s">
        <v>694</v>
      </c>
      <c r="F1" s="1" t="s">
        <v>714</v>
      </c>
      <c r="G1" s="8" t="s">
        <v>715</v>
      </c>
    </row>
    <row r="2" spans="1:21">
      <c r="A2" s="2" t="s">
        <v>743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716</v>
      </c>
      <c r="S2"/>
      <c r="T2"/>
      <c r="U2"/>
    </row>
    <row r="3" spans="1:21">
      <c r="A3" s="2" t="s">
        <v>744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716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716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716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716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716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716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716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716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716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716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716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716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716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716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716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716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716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716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716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716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716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716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716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716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716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716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716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716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716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716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716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716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716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716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716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716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716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716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716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716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716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716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716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716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716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716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716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716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716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716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716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716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716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716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716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716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716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716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716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716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716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716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716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716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716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716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716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716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716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716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716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716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716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716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716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716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716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716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716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716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716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716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716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716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716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716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716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716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716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716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716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716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716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716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716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716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716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716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716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716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716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716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716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716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716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716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716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716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716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716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716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716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716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716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716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716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716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716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716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716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716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716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716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716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716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716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716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716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716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716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716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716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716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716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716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716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716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716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716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716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716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716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716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716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716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716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716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716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716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716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716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716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716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716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716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716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716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716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716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716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716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716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716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716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716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716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716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716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716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716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716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716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716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716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716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716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716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716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716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716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716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716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716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716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716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716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716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716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716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716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716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716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716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716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716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716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716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716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716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716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716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716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716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716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716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716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716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716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716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716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716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716</v>
      </c>
      <c r="S214"/>
      <c r="T214"/>
      <c r="U214"/>
    </row>
    <row r="215" spans="1:21">
      <c r="A215" s="2" t="s">
        <v>928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716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716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716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716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716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716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716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716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716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716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716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716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716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716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716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716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716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716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716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716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716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716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716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716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716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716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716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716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716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716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716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716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716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716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716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716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716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716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716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716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716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716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716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716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716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716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716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716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716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716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716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716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716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716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716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716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716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716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716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716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716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716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716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716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716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716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716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716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716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716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716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716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716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716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716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716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716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716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716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716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716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716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716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716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716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716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716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716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716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716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716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716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716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716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716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716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716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716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716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716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716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716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716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716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716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716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716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716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716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716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716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716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716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716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716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716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716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716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716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716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716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716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716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716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716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716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716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716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716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716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716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716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716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716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716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716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716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716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716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716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716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716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716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716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716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716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716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716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716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716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716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716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716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716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716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716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716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716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716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716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716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716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716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716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716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716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716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716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716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716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716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716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716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716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716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716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716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716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716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716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716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716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716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716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716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716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716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716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716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716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716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716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716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716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716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716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716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716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716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716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716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716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716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716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716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716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716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716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716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716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716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716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716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716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716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716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716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716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716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716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716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716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716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716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716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716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716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716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716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716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716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716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716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716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716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716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716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716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716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716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716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716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716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716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716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716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716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716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716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716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716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716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716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716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716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716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716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716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716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716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716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716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716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716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716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716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716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716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716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716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716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716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716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716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716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716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716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716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716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716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716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716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716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716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716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716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716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716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716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716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716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716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716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716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716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716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716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716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716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716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716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716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716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716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716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716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716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716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716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716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716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716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716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716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716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716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716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716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716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716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716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716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716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716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716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716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716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716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716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716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716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716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716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716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716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716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716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716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716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716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716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716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716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716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716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716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716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716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716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716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716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716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716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716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716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716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716</v>
      </c>
      <c r="S571"/>
      <c r="T571"/>
      <c r="U571"/>
    </row>
    <row r="572" spans="1:21">
      <c r="A572" s="2" t="s">
        <v>902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716</v>
      </c>
      <c r="S572"/>
      <c r="T572"/>
      <c r="U572"/>
    </row>
    <row r="573" spans="1:21">
      <c r="A573" s="2" t="s">
        <v>885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716</v>
      </c>
      <c r="S573"/>
      <c r="T573"/>
      <c r="U573"/>
    </row>
    <row r="574" spans="1:21">
      <c r="A574" s="2" t="s">
        <v>886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716</v>
      </c>
      <c r="S574"/>
      <c r="T574"/>
      <c r="U574"/>
    </row>
    <row r="575" spans="1:21">
      <c r="A575" s="2" t="s">
        <v>887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716</v>
      </c>
      <c r="S575"/>
      <c r="T575"/>
      <c r="U575"/>
    </row>
    <row r="576" spans="1:21">
      <c r="A576" s="2" t="s">
        <v>888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716</v>
      </c>
      <c r="S576"/>
      <c r="T576"/>
      <c r="U576"/>
    </row>
    <row r="577" spans="1:21">
      <c r="A577" s="2" t="s">
        <v>889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716</v>
      </c>
      <c r="S577"/>
      <c r="T577"/>
      <c r="U577"/>
    </row>
    <row r="578" spans="1:21">
      <c r="A578" s="2" t="s">
        <v>890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716</v>
      </c>
      <c r="S578"/>
      <c r="T578"/>
      <c r="U578"/>
    </row>
    <row r="579" spans="1:21">
      <c r="A579" s="2" t="s">
        <v>891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716</v>
      </c>
      <c r="S579"/>
      <c r="T579"/>
      <c r="U579"/>
    </row>
    <row r="580" spans="1:21">
      <c r="A580" s="2" t="s">
        <v>892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716</v>
      </c>
      <c r="S580"/>
      <c r="T580"/>
      <c r="U580"/>
    </row>
    <row r="581" spans="1:21">
      <c r="A581" s="2" t="s">
        <v>893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716</v>
      </c>
      <c r="S581"/>
      <c r="T581"/>
      <c r="U581"/>
    </row>
    <row r="582" spans="1:21">
      <c r="A582" s="2" t="s">
        <v>894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716</v>
      </c>
      <c r="S582"/>
      <c r="T582"/>
      <c r="U582"/>
    </row>
    <row r="583" spans="1:21">
      <c r="A583" s="2" t="s">
        <v>895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716</v>
      </c>
      <c r="S583"/>
      <c r="T583"/>
      <c r="U583"/>
    </row>
    <row r="584" spans="1:21">
      <c r="A584" s="2" t="s">
        <v>896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716</v>
      </c>
      <c r="S584"/>
      <c r="T584"/>
      <c r="U584"/>
    </row>
    <row r="585" spans="1:21">
      <c r="A585" s="2" t="s">
        <v>897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716</v>
      </c>
      <c r="S585"/>
      <c r="T585"/>
      <c r="U585"/>
    </row>
    <row r="586" spans="1:21">
      <c r="A586" s="2" t="s">
        <v>898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716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716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716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716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716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716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716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716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716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716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716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716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716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716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716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716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716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716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716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716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716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716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716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716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716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716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716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716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716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716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716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716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716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716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716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716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716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716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716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716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716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716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716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716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716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716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716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716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716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716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716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716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716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716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716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716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716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716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716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716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716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716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716</v>
      </c>
      <c r="S648"/>
      <c r="T648"/>
      <c r="U648"/>
    </row>
    <row r="649" spans="1:21">
      <c r="A649" s="2" t="s">
        <v>746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716</v>
      </c>
      <c r="S649"/>
      <c r="T649"/>
      <c r="U649"/>
    </row>
    <row r="650" spans="1:21">
      <c r="A650" s="2" t="s">
        <v>745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716</v>
      </c>
      <c r="S650"/>
      <c r="T650"/>
      <c r="U650"/>
    </row>
    <row r="651" spans="1:21">
      <c r="A651" s="2" t="s">
        <v>747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716</v>
      </c>
      <c r="S651"/>
      <c r="T651"/>
      <c r="U651"/>
    </row>
    <row r="652" spans="1:21">
      <c r="A652" s="2" t="s">
        <v>748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716</v>
      </c>
      <c r="S652"/>
      <c r="T652"/>
      <c r="U652"/>
    </row>
    <row r="653" spans="1:21">
      <c r="A653" s="2" t="s">
        <v>749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716</v>
      </c>
      <c r="S653"/>
      <c r="T653"/>
      <c r="U653"/>
    </row>
    <row r="654" spans="1:21">
      <c r="A654" s="2" t="s">
        <v>750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716</v>
      </c>
      <c r="S654"/>
      <c r="T654"/>
      <c r="U654"/>
    </row>
    <row r="655" spans="1:21">
      <c r="A655" s="2" t="s">
        <v>752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716</v>
      </c>
      <c r="S655"/>
      <c r="T655"/>
      <c r="U655"/>
    </row>
    <row r="656" spans="1:21">
      <c r="A656" s="2" t="s">
        <v>753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716</v>
      </c>
      <c r="S656"/>
      <c r="T656"/>
      <c r="U656"/>
    </row>
    <row r="657" spans="1:21">
      <c r="A657" s="2" t="s">
        <v>754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716</v>
      </c>
      <c r="S657"/>
      <c r="T657"/>
      <c r="U657"/>
    </row>
    <row r="658" spans="1:21">
      <c r="A658" s="2" t="s">
        <v>755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716</v>
      </c>
      <c r="S658"/>
      <c r="T658"/>
      <c r="U658"/>
    </row>
    <row r="659" spans="1:21">
      <c r="A659" s="2" t="s">
        <v>827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716</v>
      </c>
      <c r="S659"/>
      <c r="T659"/>
      <c r="U659"/>
    </row>
    <row r="660" spans="1:21">
      <c r="A660" s="2" t="s">
        <v>828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716</v>
      </c>
      <c r="S660"/>
      <c r="T660"/>
      <c r="U660"/>
    </row>
    <row r="661" spans="1:21">
      <c r="A661" s="2" t="s">
        <v>829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716</v>
      </c>
      <c r="S661"/>
      <c r="T661"/>
      <c r="U661"/>
    </row>
    <row r="662" spans="1:21">
      <c r="A662" s="2" t="s">
        <v>830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716</v>
      </c>
      <c r="S662"/>
      <c r="T662"/>
      <c r="U662"/>
    </row>
    <row r="663" spans="1:21">
      <c r="A663" s="2" t="s">
        <v>831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716</v>
      </c>
      <c r="S663"/>
      <c r="T663"/>
      <c r="U663"/>
    </row>
    <row r="664" spans="1:21">
      <c r="A664" s="2" t="s">
        <v>832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716</v>
      </c>
      <c r="S664"/>
      <c r="T664"/>
      <c r="U664"/>
    </row>
    <row r="665" spans="1:21">
      <c r="A665" s="2" t="s">
        <v>833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716</v>
      </c>
      <c r="S665"/>
      <c r="T665"/>
      <c r="U665"/>
    </row>
    <row r="666" spans="1:21">
      <c r="A666" s="2" t="s">
        <v>834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716</v>
      </c>
      <c r="S666"/>
      <c r="T666"/>
      <c r="U666"/>
    </row>
    <row r="667" spans="1:21">
      <c r="A667" s="2" t="s">
        <v>835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716</v>
      </c>
      <c r="S667"/>
      <c r="T667"/>
      <c r="U667"/>
    </row>
    <row r="668" spans="1:21">
      <c r="A668" s="2" t="s">
        <v>836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716</v>
      </c>
      <c r="S668"/>
      <c r="T668"/>
      <c r="U668"/>
    </row>
    <row r="669" spans="1:21">
      <c r="A669" s="2" t="s">
        <v>837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716</v>
      </c>
      <c r="S669"/>
      <c r="T669"/>
      <c r="U669"/>
    </row>
    <row r="670" spans="1:21">
      <c r="A670" s="2" t="s">
        <v>838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716</v>
      </c>
      <c r="S670"/>
      <c r="T670"/>
      <c r="U670"/>
    </row>
    <row r="671" spans="1:21">
      <c r="A671" s="2" t="s">
        <v>839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716</v>
      </c>
      <c r="S671"/>
      <c r="T671"/>
      <c r="U671"/>
    </row>
    <row r="672" spans="1:21">
      <c r="A672" s="2" t="s">
        <v>840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716</v>
      </c>
      <c r="S672"/>
      <c r="T672"/>
      <c r="U672"/>
    </row>
    <row r="673" spans="1:21">
      <c r="A673" s="2" t="s">
        <v>841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716</v>
      </c>
      <c r="S673"/>
      <c r="T673"/>
      <c r="U673"/>
    </row>
    <row r="674" spans="1:21">
      <c r="A674" s="2" t="s">
        <v>842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716</v>
      </c>
      <c r="S674"/>
      <c r="T674"/>
      <c r="U674"/>
    </row>
    <row r="675" spans="1:21">
      <c r="A675" s="2" t="s">
        <v>843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716</v>
      </c>
      <c r="S675"/>
      <c r="T675"/>
      <c r="U675"/>
    </row>
    <row r="676" spans="1:21">
      <c r="A676" s="2" t="s">
        <v>844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716</v>
      </c>
      <c r="S676"/>
      <c r="T676"/>
      <c r="U676"/>
    </row>
    <row r="677" spans="1:21">
      <c r="A677" s="2" t="s">
        <v>845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716</v>
      </c>
      <c r="S677"/>
      <c r="T677"/>
      <c r="U677"/>
    </row>
    <row r="678" spans="1:21">
      <c r="A678" s="2" t="s">
        <v>846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716</v>
      </c>
      <c r="S678"/>
      <c r="T678"/>
      <c r="U678"/>
    </row>
    <row r="679" spans="1:21">
      <c r="A679" s="2" t="s">
        <v>847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716</v>
      </c>
      <c r="S679"/>
      <c r="T679"/>
      <c r="U679"/>
    </row>
    <row r="680" spans="1:21">
      <c r="A680" s="2" t="s">
        <v>848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716</v>
      </c>
      <c r="S680"/>
      <c r="T680"/>
      <c r="U680"/>
    </row>
    <row r="681" spans="1:21">
      <c r="A681" s="2" t="s">
        <v>849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716</v>
      </c>
      <c r="S681"/>
      <c r="T681"/>
      <c r="U681"/>
    </row>
    <row r="682" spans="1:21">
      <c r="A682" s="2" t="s">
        <v>850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716</v>
      </c>
      <c r="S682"/>
      <c r="T682"/>
      <c r="U682"/>
    </row>
    <row r="683" spans="1:21">
      <c r="A683" s="2" t="s">
        <v>851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716</v>
      </c>
      <c r="S683"/>
      <c r="T683"/>
      <c r="U683"/>
    </row>
    <row r="684" spans="1:21">
      <c r="A684" s="2" t="s">
        <v>852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716</v>
      </c>
      <c r="S684"/>
      <c r="T684"/>
      <c r="U684"/>
    </row>
    <row r="685" spans="1:21">
      <c r="A685" s="2" t="s">
        <v>853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716</v>
      </c>
      <c r="S685"/>
      <c r="T685"/>
      <c r="U685"/>
    </row>
    <row r="686" spans="1:21">
      <c r="A686" s="2" t="s">
        <v>854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716</v>
      </c>
      <c r="S686"/>
      <c r="T686"/>
      <c r="U686"/>
    </row>
    <row r="687" spans="1:21">
      <c r="A687" s="2" t="s">
        <v>855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716</v>
      </c>
      <c r="S687"/>
      <c r="T687"/>
      <c r="U687"/>
    </row>
    <row r="688" spans="1:21">
      <c r="A688" s="2" t="s">
        <v>856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716</v>
      </c>
      <c r="S688"/>
      <c r="T688"/>
      <c r="U688"/>
    </row>
    <row r="689" spans="1:21">
      <c r="A689" s="2" t="s">
        <v>857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716</v>
      </c>
      <c r="S689"/>
      <c r="T689"/>
      <c r="U689"/>
    </row>
    <row r="690" spans="1:21">
      <c r="A690" s="2" t="s">
        <v>858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716</v>
      </c>
      <c r="S690"/>
      <c r="T690"/>
      <c r="U690"/>
    </row>
    <row r="691" spans="1:21">
      <c r="A691" s="2" t="s">
        <v>859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716</v>
      </c>
      <c r="S691"/>
      <c r="T691"/>
      <c r="U691"/>
    </row>
    <row r="692" spans="1:21">
      <c r="A692" s="2" t="s">
        <v>860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716</v>
      </c>
      <c r="S692"/>
      <c r="T692"/>
      <c r="U692"/>
    </row>
    <row r="693" spans="1:21">
      <c r="A693" s="2" t="s">
        <v>861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716</v>
      </c>
      <c r="S693"/>
      <c r="T693"/>
      <c r="U693"/>
    </row>
    <row r="694" spans="1:21">
      <c r="A694" s="2" t="s">
        <v>862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716</v>
      </c>
      <c r="S694"/>
      <c r="T694"/>
      <c r="U694"/>
    </row>
    <row r="695" spans="1:21">
      <c r="A695" s="2" t="s">
        <v>863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716</v>
      </c>
      <c r="S695"/>
      <c r="T695"/>
      <c r="U695"/>
    </row>
    <row r="696" spans="1:21">
      <c r="A696" s="2" t="s">
        <v>864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716</v>
      </c>
      <c r="S696"/>
      <c r="T696"/>
      <c r="U696"/>
    </row>
    <row r="697" spans="1:21">
      <c r="A697" s="2" t="s">
        <v>865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716</v>
      </c>
      <c r="S697"/>
      <c r="T697"/>
      <c r="U697"/>
    </row>
    <row r="698" spans="1:21">
      <c r="A698" s="2" t="s">
        <v>866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716</v>
      </c>
      <c r="S698"/>
      <c r="T698"/>
      <c r="U698"/>
    </row>
    <row r="699" spans="1:21">
      <c r="A699" s="2" t="s">
        <v>867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716</v>
      </c>
      <c r="S699"/>
      <c r="T699"/>
      <c r="U699"/>
    </row>
    <row r="700" spans="1:21">
      <c r="A700" s="2" t="s">
        <v>868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716</v>
      </c>
      <c r="S700"/>
      <c r="T700"/>
      <c r="U700"/>
    </row>
    <row r="701" spans="1:21">
      <c r="A701" s="2" t="s">
        <v>869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716</v>
      </c>
      <c r="S701"/>
      <c r="T701"/>
      <c r="U701"/>
    </row>
    <row r="702" spans="1:21">
      <c r="A702" s="2" t="s">
        <v>870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716</v>
      </c>
      <c r="S702"/>
      <c r="T702"/>
      <c r="U702"/>
    </row>
    <row r="703" spans="1:21">
      <c r="A703" s="2" t="s">
        <v>871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716</v>
      </c>
      <c r="S703"/>
      <c r="T703"/>
      <c r="U703"/>
    </row>
    <row r="704" spans="1:21">
      <c r="A704" s="2" t="s">
        <v>872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716</v>
      </c>
      <c r="S704"/>
      <c r="T704"/>
      <c r="U704"/>
    </row>
    <row r="705" spans="1:21">
      <c r="A705" s="2" t="s">
        <v>873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716</v>
      </c>
      <c r="S705"/>
      <c r="T705"/>
      <c r="U705"/>
    </row>
    <row r="706" spans="1:21">
      <c r="A706" s="2" t="s">
        <v>874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716</v>
      </c>
      <c r="S706"/>
      <c r="T706"/>
      <c r="U706"/>
    </row>
    <row r="707" spans="1:21">
      <c r="A707" s="2" t="s">
        <v>875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716</v>
      </c>
      <c r="S707"/>
      <c r="T707"/>
      <c r="U707"/>
    </row>
    <row r="708" spans="1:21">
      <c r="A708" s="2" t="s">
        <v>876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716</v>
      </c>
      <c r="S708"/>
      <c r="T708"/>
      <c r="U708"/>
    </row>
    <row r="709" spans="1:21">
      <c r="A709" s="2" t="s">
        <v>877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716</v>
      </c>
      <c r="S709"/>
      <c r="T709"/>
      <c r="U709"/>
    </row>
    <row r="710" spans="1:21">
      <c r="A710" s="2" t="s">
        <v>878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716</v>
      </c>
      <c r="S710"/>
      <c r="T710"/>
      <c r="U710"/>
    </row>
    <row r="711" spans="1:21">
      <c r="A711" s="2" t="s">
        <v>879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716</v>
      </c>
      <c r="S711"/>
      <c r="T711"/>
      <c r="U711"/>
    </row>
    <row r="712" spans="1:21">
      <c r="A712" s="2" t="s">
        <v>880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716</v>
      </c>
      <c r="S712"/>
      <c r="T712"/>
      <c r="U712"/>
    </row>
    <row r="713" spans="1:21">
      <c r="A713" s="2" t="s">
        <v>881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716</v>
      </c>
      <c r="S713"/>
      <c r="T713"/>
      <c r="U713"/>
    </row>
    <row r="714" spans="1:21">
      <c r="A714" s="2" t="s">
        <v>882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716</v>
      </c>
      <c r="S714"/>
      <c r="T714"/>
      <c r="U714"/>
    </row>
    <row r="715" spans="1:21">
      <c r="A715" s="2" t="s">
        <v>883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716</v>
      </c>
      <c r="S715"/>
      <c r="T715"/>
      <c r="U715"/>
    </row>
    <row r="716" spans="1:21">
      <c r="A716" s="2" t="s">
        <v>884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716</v>
      </c>
      <c r="S716"/>
      <c r="T716"/>
      <c r="U716"/>
    </row>
    <row r="717" spans="1:21">
      <c r="A717" s="2" t="s">
        <v>899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716</v>
      </c>
      <c r="S717"/>
      <c r="T717"/>
      <c r="U717"/>
    </row>
    <row r="718" spans="1:21">
      <c r="A718" s="2" t="s">
        <v>900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716</v>
      </c>
      <c r="S718"/>
      <c r="T718"/>
      <c r="U718"/>
    </row>
    <row r="719" spans="1:21">
      <c r="A719" s="2" t="s">
        <v>756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716</v>
      </c>
      <c r="S719"/>
      <c r="T719"/>
      <c r="U719"/>
    </row>
    <row r="720" spans="1:21">
      <c r="A720" s="2" t="s">
        <v>757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716</v>
      </c>
      <c r="S720"/>
      <c r="T720"/>
      <c r="U720"/>
    </row>
    <row r="721" spans="1:21">
      <c r="A721" s="2" t="s">
        <v>758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716</v>
      </c>
      <c r="S721"/>
      <c r="T721"/>
      <c r="U721"/>
    </row>
    <row r="722" spans="1:21">
      <c r="A722" s="2" t="s">
        <v>759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716</v>
      </c>
      <c r="S722"/>
      <c r="T722"/>
      <c r="U722"/>
    </row>
    <row r="723" spans="1:21">
      <c r="A723" s="2" t="s">
        <v>760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716</v>
      </c>
      <c r="S723"/>
      <c r="T723"/>
      <c r="U723"/>
    </row>
    <row r="724" spans="1:21">
      <c r="A724" s="2" t="s">
        <v>761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716</v>
      </c>
      <c r="S724"/>
      <c r="T724"/>
      <c r="U724"/>
    </row>
    <row r="725" spans="1:21">
      <c r="A725" s="2" t="s">
        <v>762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716</v>
      </c>
      <c r="S725"/>
      <c r="T725"/>
      <c r="U725"/>
    </row>
    <row r="726" spans="1:21">
      <c r="A726" s="2" t="s">
        <v>763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716</v>
      </c>
      <c r="S726"/>
      <c r="T726"/>
      <c r="U726"/>
    </row>
    <row r="727" spans="1:21">
      <c r="A727" s="2" t="s">
        <v>764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716</v>
      </c>
      <c r="S727"/>
      <c r="T727"/>
      <c r="U727"/>
    </row>
    <row r="728" spans="1:21">
      <c r="A728" s="2" t="s">
        <v>765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716</v>
      </c>
      <c r="S728"/>
      <c r="T728"/>
      <c r="U728"/>
    </row>
    <row r="729" spans="1:21">
      <c r="A729" s="2" t="s">
        <v>766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716</v>
      </c>
      <c r="S729"/>
      <c r="T729"/>
      <c r="U729"/>
    </row>
    <row r="730" spans="1:21">
      <c r="A730" s="2" t="s">
        <v>767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716</v>
      </c>
      <c r="S730"/>
      <c r="T730"/>
      <c r="U730"/>
    </row>
    <row r="731" spans="1:21">
      <c r="A731" s="2" t="s">
        <v>768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716</v>
      </c>
      <c r="S731"/>
      <c r="T731"/>
      <c r="U731"/>
    </row>
    <row r="732" spans="1:21">
      <c r="A732" s="2" t="s">
        <v>769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716</v>
      </c>
      <c r="S732"/>
      <c r="T732"/>
      <c r="U732"/>
    </row>
    <row r="733" spans="1:21">
      <c r="A733" s="2" t="s">
        <v>770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716</v>
      </c>
      <c r="S733"/>
      <c r="T733"/>
      <c r="U733"/>
    </row>
    <row r="734" spans="1:21">
      <c r="A734" s="2" t="s">
        <v>771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716</v>
      </c>
      <c r="S734"/>
      <c r="T734"/>
      <c r="U734"/>
    </row>
    <row r="735" spans="1:21">
      <c r="A735" s="2" t="s">
        <v>772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716</v>
      </c>
      <c r="S735"/>
      <c r="T735"/>
      <c r="U735"/>
    </row>
    <row r="736" spans="1:21">
      <c r="A736" s="2" t="s">
        <v>773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716</v>
      </c>
      <c r="S736"/>
      <c r="T736"/>
      <c r="U736"/>
    </row>
    <row r="737" spans="1:21">
      <c r="A737" s="2" t="s">
        <v>774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716</v>
      </c>
      <c r="S737"/>
      <c r="T737"/>
      <c r="U737"/>
    </row>
    <row r="738" spans="1:21">
      <c r="A738" s="2" t="s">
        <v>775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716</v>
      </c>
      <c r="S738"/>
      <c r="T738"/>
      <c r="U738"/>
    </row>
    <row r="739" spans="1:21">
      <c r="A739" s="2" t="s">
        <v>776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716</v>
      </c>
      <c r="S739"/>
      <c r="T739"/>
      <c r="U739"/>
    </row>
    <row r="740" spans="1:21">
      <c r="A740" s="2" t="s">
        <v>777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716</v>
      </c>
      <c r="S740"/>
      <c r="T740"/>
      <c r="U740"/>
    </row>
    <row r="741" spans="1:21">
      <c r="A741" s="2" t="s">
        <v>778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716</v>
      </c>
      <c r="S741"/>
      <c r="T741"/>
      <c r="U741"/>
    </row>
    <row r="742" spans="1:21">
      <c r="A742" s="2" t="s">
        <v>779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716</v>
      </c>
      <c r="S742"/>
      <c r="T742"/>
      <c r="U742"/>
    </row>
    <row r="743" spans="1:21">
      <c r="A743" s="2" t="s">
        <v>780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716</v>
      </c>
      <c r="S743"/>
      <c r="T743"/>
      <c r="U743"/>
    </row>
    <row r="744" spans="1:21">
      <c r="A744" s="2" t="s">
        <v>781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716</v>
      </c>
      <c r="S744"/>
      <c r="T744"/>
      <c r="U744"/>
    </row>
    <row r="745" spans="1:21">
      <c r="A745" s="2" t="s">
        <v>782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716</v>
      </c>
      <c r="S745"/>
      <c r="T745"/>
      <c r="U745"/>
    </row>
    <row r="746" spans="1:21">
      <c r="A746" s="2" t="s">
        <v>783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716</v>
      </c>
      <c r="S746"/>
      <c r="T746"/>
      <c r="U746"/>
    </row>
    <row r="747" spans="1:21">
      <c r="A747" s="2" t="s">
        <v>784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716</v>
      </c>
      <c r="S747"/>
      <c r="T747"/>
      <c r="U747"/>
    </row>
    <row r="748" spans="1:21">
      <c r="A748" s="2" t="s">
        <v>785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716</v>
      </c>
      <c r="S748"/>
      <c r="T748"/>
      <c r="U748"/>
    </row>
    <row r="749" spans="1:21">
      <c r="A749" s="2" t="s">
        <v>786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716</v>
      </c>
      <c r="S749"/>
      <c r="T749"/>
      <c r="U749"/>
    </row>
    <row r="750" spans="1:21">
      <c r="A750" s="2" t="s">
        <v>787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716</v>
      </c>
      <c r="S750"/>
      <c r="T750"/>
      <c r="U750"/>
    </row>
    <row r="751" spans="1:21">
      <c r="A751" s="2" t="s">
        <v>788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716</v>
      </c>
      <c r="S751"/>
      <c r="T751"/>
      <c r="U751"/>
    </row>
    <row r="752" spans="1:21">
      <c r="A752" s="2" t="s">
        <v>789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716</v>
      </c>
      <c r="S752"/>
      <c r="T752"/>
      <c r="U752"/>
    </row>
    <row r="753" spans="1:21">
      <c r="A753" s="2" t="s">
        <v>790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716</v>
      </c>
      <c r="S753"/>
      <c r="T753"/>
      <c r="U753"/>
    </row>
    <row r="754" spans="1:21">
      <c r="A754" s="2" t="s">
        <v>791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716</v>
      </c>
      <c r="S754"/>
      <c r="T754"/>
      <c r="U754"/>
    </row>
    <row r="755" spans="1:21">
      <c r="A755" s="2" t="s">
        <v>792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716</v>
      </c>
      <c r="S755"/>
      <c r="T755"/>
      <c r="U755"/>
    </row>
    <row r="756" spans="1:21">
      <c r="A756" s="2" t="s">
        <v>793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716</v>
      </c>
      <c r="S756"/>
      <c r="T756"/>
      <c r="U756"/>
    </row>
    <row r="757" spans="1:21">
      <c r="A757" s="2" t="s">
        <v>794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716</v>
      </c>
      <c r="S757"/>
      <c r="T757"/>
      <c r="U757"/>
    </row>
    <row r="758" spans="1:21">
      <c r="A758" s="2" t="s">
        <v>795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716</v>
      </c>
      <c r="S758"/>
      <c r="T758"/>
      <c r="U758"/>
    </row>
    <row r="759" spans="1:21">
      <c r="A759" s="2" t="s">
        <v>796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716</v>
      </c>
      <c r="S759"/>
      <c r="T759"/>
      <c r="U759"/>
    </row>
    <row r="760" spans="1:21">
      <c r="A760" s="2" t="s">
        <v>797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716</v>
      </c>
      <c r="S760"/>
      <c r="T760"/>
      <c r="U760"/>
    </row>
    <row r="761" spans="1:21">
      <c r="A761" s="2" t="s">
        <v>798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716</v>
      </c>
      <c r="S761"/>
      <c r="T761"/>
      <c r="U761"/>
    </row>
    <row r="762" spans="1:21">
      <c r="A762" s="2" t="s">
        <v>799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716</v>
      </c>
      <c r="S762"/>
      <c r="T762"/>
      <c r="U762"/>
    </row>
    <row r="763" spans="1:21">
      <c r="A763" s="2" t="s">
        <v>800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716</v>
      </c>
      <c r="S763"/>
      <c r="T763"/>
      <c r="U763"/>
    </row>
    <row r="764" spans="1:21">
      <c r="A764" s="2" t="s">
        <v>801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716</v>
      </c>
      <c r="S764"/>
      <c r="T764"/>
      <c r="U764"/>
    </row>
    <row r="765" spans="1:21">
      <c r="A765" s="2" t="s">
        <v>802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716</v>
      </c>
      <c r="S765"/>
      <c r="T765"/>
      <c r="U765"/>
    </row>
    <row r="766" spans="1:21">
      <c r="A766" s="2" t="s">
        <v>803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716</v>
      </c>
      <c r="S766"/>
      <c r="T766"/>
      <c r="U766"/>
    </row>
    <row r="767" spans="1:21">
      <c r="A767" s="2" t="s">
        <v>804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716</v>
      </c>
      <c r="S767"/>
      <c r="T767"/>
      <c r="U767"/>
    </row>
    <row r="768" spans="1:21">
      <c r="A768" s="2" t="s">
        <v>805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716</v>
      </c>
      <c r="S768"/>
      <c r="T768"/>
      <c r="U768"/>
    </row>
    <row r="769" spans="1:21">
      <c r="A769" s="2" t="s">
        <v>806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716</v>
      </c>
      <c r="S769"/>
      <c r="T769"/>
      <c r="U769"/>
    </row>
    <row r="770" spans="1:21">
      <c r="A770" s="2" t="s">
        <v>807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716</v>
      </c>
      <c r="S770"/>
      <c r="T770"/>
      <c r="U770"/>
    </row>
    <row r="771" spans="1:21">
      <c r="A771" s="2" t="s">
        <v>808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716</v>
      </c>
      <c r="S771"/>
      <c r="T771"/>
      <c r="U771"/>
    </row>
    <row r="772" spans="1:21">
      <c r="A772" s="2" t="s">
        <v>809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716</v>
      </c>
      <c r="S772"/>
      <c r="T772"/>
      <c r="U772"/>
    </row>
    <row r="773" spans="1:21">
      <c r="A773" s="2" t="s">
        <v>810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716</v>
      </c>
      <c r="S773"/>
      <c r="T773"/>
      <c r="U773"/>
    </row>
    <row r="774" spans="1:21">
      <c r="A774" s="2" t="s">
        <v>811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716</v>
      </c>
      <c r="S774"/>
      <c r="T774"/>
      <c r="U774"/>
    </row>
    <row r="775" spans="1:21">
      <c r="A775" s="2" t="s">
        <v>812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716</v>
      </c>
      <c r="S775"/>
      <c r="T775"/>
      <c r="U775"/>
    </row>
    <row r="776" spans="1:21">
      <c r="A776" s="2" t="s">
        <v>813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716</v>
      </c>
      <c r="S776"/>
      <c r="T776"/>
      <c r="U776"/>
    </row>
    <row r="777" spans="1:21">
      <c r="A777" s="2" t="s">
        <v>814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716</v>
      </c>
      <c r="S777"/>
      <c r="T777"/>
      <c r="U777"/>
    </row>
    <row r="778" spans="1:21">
      <c r="A778" s="2" t="s">
        <v>815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716</v>
      </c>
      <c r="S778"/>
      <c r="T778"/>
      <c r="U778"/>
    </row>
    <row r="779" spans="1:21">
      <c r="A779" s="2" t="s">
        <v>816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716</v>
      </c>
      <c r="S779"/>
      <c r="T779"/>
      <c r="U779"/>
    </row>
    <row r="780" spans="1:21">
      <c r="A780" s="2" t="s">
        <v>817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716</v>
      </c>
      <c r="S780"/>
      <c r="T780"/>
      <c r="U780"/>
    </row>
    <row r="781" spans="1:21">
      <c r="A781" s="2" t="s">
        <v>818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716</v>
      </c>
      <c r="S781"/>
      <c r="T781"/>
      <c r="U781"/>
    </row>
    <row r="782" spans="1:21">
      <c r="A782" s="2" t="s">
        <v>819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716</v>
      </c>
      <c r="S782"/>
      <c r="T782"/>
      <c r="U782"/>
    </row>
    <row r="783" spans="1:21">
      <c r="A783" s="2" t="s">
        <v>820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716</v>
      </c>
      <c r="S783"/>
      <c r="T783"/>
      <c r="U783"/>
    </row>
    <row r="784" spans="1:21">
      <c r="A784" s="2" t="s">
        <v>821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716</v>
      </c>
      <c r="S784"/>
      <c r="T784"/>
      <c r="U784"/>
    </row>
    <row r="785" spans="1:21">
      <c r="A785" s="2" t="s">
        <v>822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716</v>
      </c>
      <c r="S785"/>
      <c r="T785"/>
      <c r="U785"/>
    </row>
    <row r="786" spans="1:21">
      <c r="A786" s="2" t="s">
        <v>823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716</v>
      </c>
      <c r="S786"/>
      <c r="T786"/>
      <c r="U786"/>
    </row>
    <row r="787" spans="1:21">
      <c r="A787" s="2" t="s">
        <v>824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716</v>
      </c>
      <c r="S787"/>
      <c r="T787"/>
      <c r="U787"/>
    </row>
    <row r="788" spans="1:21">
      <c r="A788" s="2" t="s">
        <v>825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716</v>
      </c>
      <c r="S788"/>
      <c r="T788"/>
      <c r="U788"/>
    </row>
    <row r="789" spans="1:21">
      <c r="A789" s="2" t="s">
        <v>826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716</v>
      </c>
      <c r="S789"/>
      <c r="T789"/>
      <c r="U789"/>
    </row>
    <row r="790" spans="1:21">
      <c r="A790" s="2" t="s">
        <v>1780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716</v>
      </c>
    </row>
    <row r="791" spans="1:21">
      <c r="A791" s="2" t="s">
        <v>1783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716</v>
      </c>
    </row>
    <row r="792" spans="1:21">
      <c r="A792" s="2" t="s">
        <v>2882</v>
      </c>
      <c r="B792" t="b">
        <v>1</v>
      </c>
      <c r="C792" t="b">
        <v>1</v>
      </c>
      <c r="D792" s="2"/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716</v>
      </c>
    </row>
  </sheetData>
  <conditionalFormatting sqref="I790:K1048576">
    <cfRule type="cellIs" dxfId="8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2"/>
  <sheetViews>
    <sheetView zoomScaleNormal="100" workbookViewId="0">
      <pane xSplit="1" ySplit="1" topLeftCell="B769" activePane="bottomRight" state="frozen"/>
      <selection activeCell="Q19" sqref="Q19"/>
      <selection pane="topRight" activeCell="Q19" sqref="Q19"/>
      <selection pane="bottomLeft" activeCell="Q19" sqref="Q19"/>
      <selection pane="bottomRight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1775</v>
      </c>
      <c r="C1" s="1" t="s">
        <v>1747</v>
      </c>
      <c r="D1" s="1" t="s">
        <v>1757</v>
      </c>
    </row>
    <row r="2" spans="1:13">
      <c r="A2" s="2" t="s">
        <v>531</v>
      </c>
      <c r="B2" t="s">
        <v>1776</v>
      </c>
      <c r="C2" t="s">
        <v>1748</v>
      </c>
      <c r="D2" t="s">
        <v>1758</v>
      </c>
      <c r="K2"/>
      <c r="L2"/>
      <c r="M2"/>
    </row>
    <row r="3" spans="1:13">
      <c r="A3" s="2" t="s">
        <v>300</v>
      </c>
      <c r="B3" t="s">
        <v>1776</v>
      </c>
      <c r="C3" t="s">
        <v>1749</v>
      </c>
      <c r="D3" t="s">
        <v>1758</v>
      </c>
      <c r="K3"/>
      <c r="L3"/>
      <c r="M3"/>
    </row>
    <row r="4" spans="1:13">
      <c r="A4" s="2" t="s">
        <v>266</v>
      </c>
      <c r="B4" t="s">
        <v>1776</v>
      </c>
      <c r="C4" t="s">
        <v>1749</v>
      </c>
      <c r="D4" t="s">
        <v>1758</v>
      </c>
      <c r="K4"/>
      <c r="L4"/>
      <c r="M4"/>
    </row>
    <row r="5" spans="1:13">
      <c r="A5" s="2" t="s">
        <v>291</v>
      </c>
      <c r="B5" t="s">
        <v>1776</v>
      </c>
      <c r="C5" t="s">
        <v>1749</v>
      </c>
      <c r="D5" t="s">
        <v>1758</v>
      </c>
      <c r="K5"/>
      <c r="L5"/>
      <c r="M5"/>
    </row>
    <row r="6" spans="1:13">
      <c r="A6" s="2" t="s">
        <v>247</v>
      </c>
      <c r="B6" t="s">
        <v>1776</v>
      </c>
      <c r="C6" t="s">
        <v>1749</v>
      </c>
      <c r="D6" t="s">
        <v>1758</v>
      </c>
      <c r="K6"/>
      <c r="L6"/>
      <c r="M6"/>
    </row>
    <row r="7" spans="1:13">
      <c r="A7" s="2" t="s">
        <v>230</v>
      </c>
      <c r="B7" t="s">
        <v>1776</v>
      </c>
      <c r="C7" t="s">
        <v>1749</v>
      </c>
      <c r="D7" t="s">
        <v>1758</v>
      </c>
      <c r="K7"/>
      <c r="L7"/>
      <c r="M7"/>
    </row>
    <row r="8" spans="1:13">
      <c r="A8" s="2" t="s">
        <v>297</v>
      </c>
      <c r="B8" t="s">
        <v>1776</v>
      </c>
      <c r="C8" t="s">
        <v>1749</v>
      </c>
      <c r="D8" t="s">
        <v>1758</v>
      </c>
      <c r="K8"/>
      <c r="L8"/>
      <c r="M8"/>
    </row>
    <row r="9" spans="1:13">
      <c r="A9" s="2" t="s">
        <v>298</v>
      </c>
      <c r="B9" t="s">
        <v>1776</v>
      </c>
      <c r="C9" t="s">
        <v>1749</v>
      </c>
      <c r="D9" t="s">
        <v>1758</v>
      </c>
      <c r="K9"/>
      <c r="L9"/>
      <c r="M9"/>
    </row>
    <row r="10" spans="1:13">
      <c r="A10" s="2" t="s">
        <v>244</v>
      </c>
      <c r="B10" t="s">
        <v>1776</v>
      </c>
      <c r="C10" t="s">
        <v>1749</v>
      </c>
      <c r="D10" t="s">
        <v>1758</v>
      </c>
      <c r="K10"/>
      <c r="L10"/>
      <c r="M10"/>
    </row>
    <row r="11" spans="1:13">
      <c r="A11" s="2" t="s">
        <v>232</v>
      </c>
      <c r="B11" t="s">
        <v>1776</v>
      </c>
      <c r="C11" t="s">
        <v>1749</v>
      </c>
      <c r="D11" t="s">
        <v>1758</v>
      </c>
      <c r="K11"/>
      <c r="L11"/>
      <c r="M11"/>
    </row>
    <row r="12" spans="1:13">
      <c r="A12" s="2" t="s">
        <v>274</v>
      </c>
      <c r="B12" t="s">
        <v>1776</v>
      </c>
      <c r="C12" t="s">
        <v>1749</v>
      </c>
      <c r="D12" t="s">
        <v>1758</v>
      </c>
      <c r="K12"/>
      <c r="L12"/>
      <c r="M12"/>
    </row>
    <row r="13" spans="1:13">
      <c r="A13" s="2" t="s">
        <v>201</v>
      </c>
      <c r="B13" t="s">
        <v>1776</v>
      </c>
      <c r="C13" t="s">
        <v>1749</v>
      </c>
      <c r="D13" t="s">
        <v>1758</v>
      </c>
      <c r="K13"/>
      <c r="L13"/>
      <c r="M13"/>
    </row>
    <row r="14" spans="1:13">
      <c r="A14" s="2" t="s">
        <v>321</v>
      </c>
      <c r="B14" t="s">
        <v>1776</v>
      </c>
      <c r="C14" t="s">
        <v>1749</v>
      </c>
      <c r="D14" t="s">
        <v>1758</v>
      </c>
      <c r="K14"/>
      <c r="L14"/>
      <c r="M14"/>
    </row>
    <row r="15" spans="1:13">
      <c r="A15" s="2" t="s">
        <v>280</v>
      </c>
      <c r="B15" t="s">
        <v>1776</v>
      </c>
      <c r="C15" t="s">
        <v>1749</v>
      </c>
      <c r="D15" t="s">
        <v>1758</v>
      </c>
      <c r="K15"/>
      <c r="L15"/>
      <c r="M15"/>
    </row>
    <row r="16" spans="1:13">
      <c r="A16" s="2" t="s">
        <v>319</v>
      </c>
      <c r="B16" t="s">
        <v>1776</v>
      </c>
      <c r="C16" t="s">
        <v>1750</v>
      </c>
      <c r="D16" t="s">
        <v>1759</v>
      </c>
      <c r="K16"/>
      <c r="L16"/>
      <c r="M16"/>
    </row>
    <row r="17" spans="1:13">
      <c r="A17" s="2" t="s">
        <v>235</v>
      </c>
      <c r="B17" t="s">
        <v>1776</v>
      </c>
      <c r="C17" t="s">
        <v>1749</v>
      </c>
      <c r="D17" t="s">
        <v>1758</v>
      </c>
      <c r="K17"/>
      <c r="L17"/>
      <c r="M17"/>
    </row>
    <row r="18" spans="1:13">
      <c r="A18" s="2" t="s">
        <v>264</v>
      </c>
      <c r="B18" t="s">
        <v>1776</v>
      </c>
      <c r="C18" t="s">
        <v>1756</v>
      </c>
      <c r="D18" t="s">
        <v>1759</v>
      </c>
      <c r="K18"/>
      <c r="L18"/>
      <c r="M18"/>
    </row>
    <row r="19" spans="1:13">
      <c r="A19" s="2" t="s">
        <v>270</v>
      </c>
      <c r="B19" t="s">
        <v>1776</v>
      </c>
      <c r="C19" t="s">
        <v>1749</v>
      </c>
      <c r="D19" t="s">
        <v>1758</v>
      </c>
      <c r="K19"/>
      <c r="L19"/>
      <c r="M19"/>
    </row>
    <row r="20" spans="1:13">
      <c r="A20" s="2" t="s">
        <v>282</v>
      </c>
      <c r="B20" t="s">
        <v>1776</v>
      </c>
      <c r="C20" t="s">
        <v>1749</v>
      </c>
      <c r="D20" t="s">
        <v>1758</v>
      </c>
      <c r="K20"/>
      <c r="L20"/>
      <c r="M20"/>
    </row>
    <row r="21" spans="1:13">
      <c r="A21" s="2" t="s">
        <v>211</v>
      </c>
      <c r="B21" t="s">
        <v>1776</v>
      </c>
      <c r="C21" t="s">
        <v>1749</v>
      </c>
      <c r="D21" t="s">
        <v>1758</v>
      </c>
      <c r="K21"/>
      <c r="L21"/>
      <c r="M21"/>
    </row>
    <row r="22" spans="1:13">
      <c r="A22" s="2" t="s">
        <v>306</v>
      </c>
      <c r="B22" t="s">
        <v>1776</v>
      </c>
      <c r="C22" t="s">
        <v>1750</v>
      </c>
      <c r="D22" t="s">
        <v>1758</v>
      </c>
      <c r="K22"/>
      <c r="L22"/>
      <c r="M22"/>
    </row>
    <row r="23" spans="1:13">
      <c r="A23" s="2" t="s">
        <v>225</v>
      </c>
      <c r="B23" t="s">
        <v>1776</v>
      </c>
      <c r="C23" t="s">
        <v>1749</v>
      </c>
      <c r="D23" t="s">
        <v>1758</v>
      </c>
      <c r="K23"/>
      <c r="L23"/>
      <c r="M23"/>
    </row>
    <row r="24" spans="1:13">
      <c r="A24" s="2" t="s">
        <v>248</v>
      </c>
      <c r="B24" t="s">
        <v>1776</v>
      </c>
      <c r="C24" t="s">
        <v>1749</v>
      </c>
      <c r="D24" t="s">
        <v>1758</v>
      </c>
      <c r="K24"/>
      <c r="L24"/>
      <c r="M24"/>
    </row>
    <row r="25" spans="1:13">
      <c r="A25" s="2" t="s">
        <v>216</v>
      </c>
      <c r="B25" t="s">
        <v>1776</v>
      </c>
      <c r="C25" t="s">
        <v>1756</v>
      </c>
      <c r="D25" t="s">
        <v>1759</v>
      </c>
      <c r="K25"/>
      <c r="L25"/>
      <c r="M25"/>
    </row>
    <row r="26" spans="1:13">
      <c r="A26" s="2" t="s">
        <v>222</v>
      </c>
      <c r="B26" t="s">
        <v>1776</v>
      </c>
      <c r="C26" t="s">
        <v>1756</v>
      </c>
      <c r="D26" t="s">
        <v>1763</v>
      </c>
      <c r="K26"/>
      <c r="L26"/>
      <c r="M26"/>
    </row>
    <row r="27" spans="1:13">
      <c r="A27" s="2" t="s">
        <v>292</v>
      </c>
      <c r="B27" t="s">
        <v>1776</v>
      </c>
      <c r="C27" t="s">
        <v>1749</v>
      </c>
      <c r="D27" t="s">
        <v>1758</v>
      </c>
      <c r="K27"/>
      <c r="L27"/>
      <c r="M27"/>
    </row>
    <row r="28" spans="1:13">
      <c r="A28" s="2" t="s">
        <v>268</v>
      </c>
      <c r="B28" t="s">
        <v>1776</v>
      </c>
      <c r="C28" t="s">
        <v>1749</v>
      </c>
      <c r="D28" t="s">
        <v>1758</v>
      </c>
      <c r="K28"/>
      <c r="L28"/>
      <c r="M28"/>
    </row>
    <row r="29" spans="1:13">
      <c r="A29" s="2" t="s">
        <v>205</v>
      </c>
      <c r="B29" t="s">
        <v>1776</v>
      </c>
      <c r="C29" t="s">
        <v>1749</v>
      </c>
      <c r="D29" t="s">
        <v>1758</v>
      </c>
      <c r="K29"/>
      <c r="L29"/>
      <c r="M29"/>
    </row>
    <row r="30" spans="1:13">
      <c r="A30" s="2" t="s">
        <v>295</v>
      </c>
      <c r="B30" t="s">
        <v>1776</v>
      </c>
      <c r="C30" t="s">
        <v>1749</v>
      </c>
      <c r="D30" t="s">
        <v>1758</v>
      </c>
      <c r="K30"/>
      <c r="L30"/>
      <c r="M30"/>
    </row>
    <row r="31" spans="1:13">
      <c r="A31" s="2" t="s">
        <v>223</v>
      </c>
      <c r="B31" t="s">
        <v>1776</v>
      </c>
      <c r="C31" t="s">
        <v>1749</v>
      </c>
      <c r="D31" t="s">
        <v>1758</v>
      </c>
      <c r="K31"/>
      <c r="L31"/>
      <c r="M31"/>
    </row>
    <row r="32" spans="1:13">
      <c r="A32" s="2" t="s">
        <v>259</v>
      </c>
      <c r="B32" t="s">
        <v>1776</v>
      </c>
      <c r="C32" t="s">
        <v>1756</v>
      </c>
      <c r="D32" t="s">
        <v>1762</v>
      </c>
      <c r="K32"/>
      <c r="L32"/>
      <c r="M32"/>
    </row>
    <row r="33" spans="1:13">
      <c r="A33" s="2" t="s">
        <v>238</v>
      </c>
      <c r="B33" t="s">
        <v>1776</v>
      </c>
      <c r="C33" t="s">
        <v>1749</v>
      </c>
      <c r="D33" t="s">
        <v>1758</v>
      </c>
      <c r="K33"/>
      <c r="L33"/>
      <c r="M33"/>
    </row>
    <row r="34" spans="1:13">
      <c r="A34" s="2" t="s">
        <v>212</v>
      </c>
      <c r="B34" t="s">
        <v>1776</v>
      </c>
      <c r="C34" t="s">
        <v>1749</v>
      </c>
      <c r="D34" t="s">
        <v>1758</v>
      </c>
      <c r="K34"/>
      <c r="L34"/>
      <c r="M34"/>
    </row>
    <row r="35" spans="1:13">
      <c r="A35" s="2" t="s">
        <v>209</v>
      </c>
      <c r="B35" t="s">
        <v>1776</v>
      </c>
      <c r="C35" t="s">
        <v>1749</v>
      </c>
      <c r="D35" t="s">
        <v>1758</v>
      </c>
      <c r="K35"/>
      <c r="L35"/>
      <c r="M35"/>
    </row>
    <row r="36" spans="1:13">
      <c r="A36" s="2" t="s">
        <v>288</v>
      </c>
      <c r="B36" t="s">
        <v>1776</v>
      </c>
      <c r="C36" t="s">
        <v>1749</v>
      </c>
      <c r="D36" t="s">
        <v>1758</v>
      </c>
      <c r="K36"/>
      <c r="L36"/>
      <c r="M36"/>
    </row>
    <row r="37" spans="1:13">
      <c r="A37" s="2" t="s">
        <v>213</v>
      </c>
      <c r="B37" t="s">
        <v>1776</v>
      </c>
      <c r="C37" t="s">
        <v>1750</v>
      </c>
      <c r="D37" t="s">
        <v>1759</v>
      </c>
      <c r="K37"/>
      <c r="L37"/>
      <c r="M37"/>
    </row>
    <row r="38" spans="1:13">
      <c r="A38" s="2" t="s">
        <v>293</v>
      </c>
      <c r="B38" t="s">
        <v>1776</v>
      </c>
      <c r="C38" t="s">
        <v>1749</v>
      </c>
      <c r="D38" t="s">
        <v>1758</v>
      </c>
      <c r="K38"/>
      <c r="L38"/>
      <c r="M38"/>
    </row>
    <row r="39" spans="1:13">
      <c r="A39" s="2" t="s">
        <v>279</v>
      </c>
      <c r="B39" t="s">
        <v>1776</v>
      </c>
      <c r="C39" t="s">
        <v>1749</v>
      </c>
      <c r="D39" t="s">
        <v>1758</v>
      </c>
      <c r="K39"/>
      <c r="L39"/>
      <c r="M39"/>
    </row>
    <row r="40" spans="1:13">
      <c r="A40" s="2" t="s">
        <v>239</v>
      </c>
      <c r="B40" t="s">
        <v>1776</v>
      </c>
      <c r="C40" t="s">
        <v>1749</v>
      </c>
      <c r="D40" t="s">
        <v>1758</v>
      </c>
      <c r="K40"/>
      <c r="L40"/>
      <c r="M40"/>
    </row>
    <row r="41" spans="1:13">
      <c r="A41" s="2" t="s">
        <v>253</v>
      </c>
      <c r="B41" t="s">
        <v>1776</v>
      </c>
      <c r="C41" t="s">
        <v>1749</v>
      </c>
      <c r="D41" t="s">
        <v>1758</v>
      </c>
      <c r="K41"/>
      <c r="L41"/>
      <c r="M41"/>
    </row>
    <row r="42" spans="1:13">
      <c r="A42" s="2" t="s">
        <v>256</v>
      </c>
      <c r="B42" t="s">
        <v>1776</v>
      </c>
      <c r="C42" t="s">
        <v>1749</v>
      </c>
      <c r="D42" t="s">
        <v>1758</v>
      </c>
      <c r="K42"/>
      <c r="L42"/>
      <c r="M42"/>
    </row>
    <row r="43" spans="1:13">
      <c r="A43" s="2" t="s">
        <v>236</v>
      </c>
      <c r="B43" t="s">
        <v>1776</v>
      </c>
      <c r="C43" t="s">
        <v>1749</v>
      </c>
      <c r="D43" t="s">
        <v>1758</v>
      </c>
      <c r="K43"/>
      <c r="L43"/>
      <c r="M43"/>
    </row>
    <row r="44" spans="1:13">
      <c r="A44" s="2" t="s">
        <v>219</v>
      </c>
      <c r="B44" t="s">
        <v>1776</v>
      </c>
      <c r="C44" t="s">
        <v>1749</v>
      </c>
      <c r="D44" t="s">
        <v>1758</v>
      </c>
      <c r="K44"/>
      <c r="L44"/>
      <c r="M44"/>
    </row>
    <row r="45" spans="1:13">
      <c r="A45" s="2" t="s">
        <v>226</v>
      </c>
      <c r="B45" t="s">
        <v>1776</v>
      </c>
      <c r="C45" t="s">
        <v>1749</v>
      </c>
      <c r="D45" t="s">
        <v>1758</v>
      </c>
      <c r="K45"/>
      <c r="L45"/>
      <c r="M45"/>
    </row>
    <row r="46" spans="1:13">
      <c r="A46" s="2" t="s">
        <v>316</v>
      </c>
      <c r="B46" t="s">
        <v>1776</v>
      </c>
      <c r="C46" t="s">
        <v>1749</v>
      </c>
      <c r="D46" t="s">
        <v>1758</v>
      </c>
      <c r="K46"/>
      <c r="L46"/>
      <c r="M46"/>
    </row>
    <row r="47" spans="1:13">
      <c r="A47" s="2" t="s">
        <v>233</v>
      </c>
      <c r="B47" t="s">
        <v>1776</v>
      </c>
      <c r="C47" t="s">
        <v>1749</v>
      </c>
      <c r="D47" t="s">
        <v>1758</v>
      </c>
      <c r="K47"/>
      <c r="L47"/>
      <c r="M47"/>
    </row>
    <row r="48" spans="1:13">
      <c r="A48" s="2" t="s">
        <v>302</v>
      </c>
      <c r="B48" t="s">
        <v>1776</v>
      </c>
      <c r="C48" t="s">
        <v>1749</v>
      </c>
      <c r="D48" t="s">
        <v>1758</v>
      </c>
      <c r="K48"/>
      <c r="L48"/>
      <c r="M48"/>
    </row>
    <row r="49" spans="1:13">
      <c r="A49" s="2" t="s">
        <v>220</v>
      </c>
      <c r="B49" t="s">
        <v>1776</v>
      </c>
      <c r="C49" t="s">
        <v>1749</v>
      </c>
      <c r="D49" t="s">
        <v>1758</v>
      </c>
      <c r="K49"/>
      <c r="L49"/>
      <c r="M49"/>
    </row>
    <row r="50" spans="1:13">
      <c r="A50" s="2" t="s">
        <v>242</v>
      </c>
      <c r="B50" t="s">
        <v>1776</v>
      </c>
      <c r="C50" t="s">
        <v>1749</v>
      </c>
      <c r="D50" t="s">
        <v>1758</v>
      </c>
      <c r="K50"/>
      <c r="L50"/>
      <c r="M50"/>
    </row>
    <row r="51" spans="1:13">
      <c r="A51" s="2" t="s">
        <v>286</v>
      </c>
      <c r="B51" t="s">
        <v>1776</v>
      </c>
      <c r="C51" t="s">
        <v>1749</v>
      </c>
      <c r="D51" t="s">
        <v>1758</v>
      </c>
      <c r="K51"/>
      <c r="L51"/>
      <c r="M51"/>
    </row>
    <row r="52" spans="1:13">
      <c r="A52" s="2" t="s">
        <v>314</v>
      </c>
      <c r="B52" t="s">
        <v>1776</v>
      </c>
      <c r="C52" t="s">
        <v>1749</v>
      </c>
      <c r="D52" t="s">
        <v>1758</v>
      </c>
      <c r="K52"/>
      <c r="L52"/>
      <c r="M52"/>
    </row>
    <row r="53" spans="1:13">
      <c r="A53" s="2" t="s">
        <v>217</v>
      </c>
      <c r="B53" t="s">
        <v>1776</v>
      </c>
      <c r="C53" t="s">
        <v>1749</v>
      </c>
      <c r="D53" t="s">
        <v>1758</v>
      </c>
      <c r="K53"/>
      <c r="L53"/>
      <c r="M53"/>
    </row>
    <row r="54" spans="1:13">
      <c r="A54" s="2" t="s">
        <v>254</v>
      </c>
      <c r="B54" t="s">
        <v>1776</v>
      </c>
      <c r="C54" t="s">
        <v>1749</v>
      </c>
      <c r="D54" t="s">
        <v>1758</v>
      </c>
      <c r="K54"/>
      <c r="L54"/>
      <c r="M54"/>
    </row>
    <row r="55" spans="1:13">
      <c r="A55" s="2" t="s">
        <v>199</v>
      </c>
      <c r="B55" t="s">
        <v>1776</v>
      </c>
      <c r="C55" t="s">
        <v>1756</v>
      </c>
      <c r="D55" t="s">
        <v>1759</v>
      </c>
      <c r="K55"/>
      <c r="L55"/>
      <c r="M55"/>
    </row>
    <row r="56" spans="1:13">
      <c r="A56" s="2" t="s">
        <v>196</v>
      </c>
      <c r="B56" t="s">
        <v>1776</v>
      </c>
      <c r="C56" t="s">
        <v>1749</v>
      </c>
      <c r="D56" t="s">
        <v>1758</v>
      </c>
      <c r="K56"/>
      <c r="L56"/>
      <c r="M56"/>
    </row>
    <row r="57" spans="1:13">
      <c r="A57" s="2" t="s">
        <v>257</v>
      </c>
      <c r="B57" t="s">
        <v>1776</v>
      </c>
      <c r="C57" t="s">
        <v>1749</v>
      </c>
      <c r="D57" t="s">
        <v>1758</v>
      </c>
      <c r="K57"/>
      <c r="L57"/>
      <c r="M57"/>
    </row>
    <row r="58" spans="1:13">
      <c r="A58" s="2" t="s">
        <v>215</v>
      </c>
      <c r="B58" t="s">
        <v>1776</v>
      </c>
      <c r="C58" t="s">
        <v>1749</v>
      </c>
      <c r="D58" t="s">
        <v>1758</v>
      </c>
      <c r="K58"/>
      <c r="L58"/>
      <c r="M58"/>
    </row>
    <row r="59" spans="1:13">
      <c r="A59" s="2" t="s">
        <v>214</v>
      </c>
      <c r="B59" t="s">
        <v>1776</v>
      </c>
      <c r="C59" t="s">
        <v>1749</v>
      </c>
      <c r="D59" t="s">
        <v>1758</v>
      </c>
      <c r="K59"/>
      <c r="L59"/>
      <c r="M59"/>
    </row>
    <row r="60" spans="1:13">
      <c r="A60" s="2" t="s">
        <v>227</v>
      </c>
      <c r="B60" t="s">
        <v>1776</v>
      </c>
      <c r="C60" t="s">
        <v>1749</v>
      </c>
      <c r="D60" t="s">
        <v>1758</v>
      </c>
      <c r="K60"/>
      <c r="L60"/>
      <c r="M60"/>
    </row>
    <row r="61" spans="1:13">
      <c r="A61" s="2" t="s">
        <v>290</v>
      </c>
      <c r="B61" t="s">
        <v>1776</v>
      </c>
      <c r="C61" t="s">
        <v>1749</v>
      </c>
      <c r="D61" t="s">
        <v>1758</v>
      </c>
      <c r="K61"/>
      <c r="L61"/>
      <c r="M61"/>
    </row>
    <row r="62" spans="1:13">
      <c r="A62" s="2" t="s">
        <v>251</v>
      </c>
      <c r="B62" t="s">
        <v>1776</v>
      </c>
      <c r="C62" t="s">
        <v>1749</v>
      </c>
      <c r="D62" t="s">
        <v>1758</v>
      </c>
      <c r="K62"/>
      <c r="L62"/>
      <c r="M62"/>
    </row>
    <row r="63" spans="1:13">
      <c r="A63" s="2" t="s">
        <v>272</v>
      </c>
      <c r="B63" t="s">
        <v>1776</v>
      </c>
      <c r="C63" t="s">
        <v>1749</v>
      </c>
      <c r="D63" t="s">
        <v>1758</v>
      </c>
      <c r="K63"/>
      <c r="L63"/>
      <c r="M63"/>
    </row>
    <row r="64" spans="1:13">
      <c r="A64" s="2" t="s">
        <v>267</v>
      </c>
      <c r="B64" t="s">
        <v>1776</v>
      </c>
      <c r="C64" t="s">
        <v>1749</v>
      </c>
      <c r="D64" t="s">
        <v>1758</v>
      </c>
      <c r="K64"/>
      <c r="L64"/>
      <c r="M64"/>
    </row>
    <row r="65" spans="1:13">
      <c r="A65" s="2" t="s">
        <v>284</v>
      </c>
      <c r="B65" t="s">
        <v>1776</v>
      </c>
      <c r="C65" t="s">
        <v>1749</v>
      </c>
      <c r="D65" t="s">
        <v>1758</v>
      </c>
      <c r="K65"/>
      <c r="L65"/>
      <c r="M65"/>
    </row>
    <row r="66" spans="1:13">
      <c r="A66" s="2" t="s">
        <v>287</v>
      </c>
      <c r="B66" t="s">
        <v>1776</v>
      </c>
      <c r="C66" t="s">
        <v>1749</v>
      </c>
      <c r="D66" t="s">
        <v>1758</v>
      </c>
      <c r="K66"/>
      <c r="L66"/>
      <c r="M66"/>
    </row>
    <row r="67" spans="1:13">
      <c r="A67" s="2" t="s">
        <v>311</v>
      </c>
      <c r="B67" t="s">
        <v>1776</v>
      </c>
      <c r="C67" t="s">
        <v>1749</v>
      </c>
      <c r="D67" t="s">
        <v>1758</v>
      </c>
      <c r="K67"/>
      <c r="L67"/>
      <c r="M67"/>
    </row>
    <row r="68" spans="1:13">
      <c r="A68" s="2" t="s">
        <v>273</v>
      </c>
      <c r="B68" t="s">
        <v>1776</v>
      </c>
      <c r="C68" t="s">
        <v>1749</v>
      </c>
      <c r="D68" t="s">
        <v>1758</v>
      </c>
      <c r="K68"/>
      <c r="L68"/>
      <c r="M68"/>
    </row>
    <row r="69" spans="1:13">
      <c r="A69" s="2" t="s">
        <v>277</v>
      </c>
      <c r="B69" t="s">
        <v>1776</v>
      </c>
      <c r="C69" t="s">
        <v>1749</v>
      </c>
      <c r="D69" t="s">
        <v>1758</v>
      </c>
      <c r="K69"/>
      <c r="L69"/>
      <c r="M69"/>
    </row>
    <row r="70" spans="1:13">
      <c r="A70" s="2" t="s">
        <v>626</v>
      </c>
      <c r="B70" t="s">
        <v>1776</v>
      </c>
      <c r="C70" t="s">
        <v>1749</v>
      </c>
      <c r="D70" t="s">
        <v>1758</v>
      </c>
      <c r="K70"/>
      <c r="L70"/>
      <c r="M70"/>
    </row>
    <row r="71" spans="1:13">
      <c r="A71" s="2" t="s">
        <v>210</v>
      </c>
      <c r="B71" t="s">
        <v>1776</v>
      </c>
      <c r="C71" t="s">
        <v>1756</v>
      </c>
      <c r="D71" t="s">
        <v>1759</v>
      </c>
      <c r="K71"/>
      <c r="L71"/>
      <c r="M71"/>
    </row>
    <row r="72" spans="1:13">
      <c r="A72" s="2" t="s">
        <v>269</v>
      </c>
      <c r="B72" t="s">
        <v>1776</v>
      </c>
      <c r="C72" t="s">
        <v>1749</v>
      </c>
      <c r="D72" t="s">
        <v>1758</v>
      </c>
      <c r="K72"/>
      <c r="L72"/>
      <c r="M72"/>
    </row>
    <row r="73" spans="1:13">
      <c r="A73" s="2" t="s">
        <v>304</v>
      </c>
      <c r="B73" t="s">
        <v>1776</v>
      </c>
      <c r="C73" t="s">
        <v>1749</v>
      </c>
      <c r="D73" t="s">
        <v>1758</v>
      </c>
      <c r="K73"/>
      <c r="L73"/>
      <c r="M73"/>
    </row>
    <row r="74" spans="1:13">
      <c r="A74" s="2" t="s">
        <v>198</v>
      </c>
      <c r="B74" t="s">
        <v>1776</v>
      </c>
      <c r="C74" t="s">
        <v>1749</v>
      </c>
      <c r="D74" t="s">
        <v>1758</v>
      </c>
      <c r="K74"/>
      <c r="L74"/>
      <c r="M74"/>
    </row>
    <row r="75" spans="1:13">
      <c r="A75" s="2" t="s">
        <v>206</v>
      </c>
      <c r="B75" t="s">
        <v>1776</v>
      </c>
      <c r="C75" t="s">
        <v>1756</v>
      </c>
      <c r="D75" t="s">
        <v>1759</v>
      </c>
      <c r="K75"/>
      <c r="L75"/>
      <c r="M75"/>
    </row>
    <row r="76" spans="1:13">
      <c r="A76" s="2" t="s">
        <v>315</v>
      </c>
      <c r="B76" t="s">
        <v>1776</v>
      </c>
      <c r="C76" t="s">
        <v>1749</v>
      </c>
      <c r="D76" t="s">
        <v>1758</v>
      </c>
      <c r="K76"/>
      <c r="L76"/>
      <c r="M76"/>
    </row>
    <row r="77" spans="1:13">
      <c r="A77" s="2" t="s">
        <v>320</v>
      </c>
      <c r="B77" t="s">
        <v>1776</v>
      </c>
      <c r="C77" t="s">
        <v>1749</v>
      </c>
      <c r="D77" t="s">
        <v>1758</v>
      </c>
      <c r="K77"/>
      <c r="L77"/>
      <c r="M77"/>
    </row>
    <row r="78" spans="1:13">
      <c r="A78" s="2" t="s">
        <v>278</v>
      </c>
      <c r="B78" t="s">
        <v>1776</v>
      </c>
      <c r="C78" t="s">
        <v>1749</v>
      </c>
      <c r="D78" t="s">
        <v>1758</v>
      </c>
      <c r="K78"/>
      <c r="L78"/>
      <c r="M78"/>
    </row>
    <row r="79" spans="1:13">
      <c r="A79" s="2" t="s">
        <v>240</v>
      </c>
      <c r="B79" t="s">
        <v>1776</v>
      </c>
      <c r="C79" t="s">
        <v>1756</v>
      </c>
      <c r="D79" t="s">
        <v>1763</v>
      </c>
      <c r="K79"/>
      <c r="L79"/>
      <c r="M79"/>
    </row>
    <row r="80" spans="1:13">
      <c r="A80" s="2" t="s">
        <v>294</v>
      </c>
      <c r="B80" t="s">
        <v>1776</v>
      </c>
      <c r="C80" t="s">
        <v>1749</v>
      </c>
      <c r="D80" t="s">
        <v>1758</v>
      </c>
      <c r="K80"/>
      <c r="L80"/>
      <c r="M80"/>
    </row>
    <row r="81" spans="1:13">
      <c r="A81" s="2" t="s">
        <v>296</v>
      </c>
      <c r="B81" t="s">
        <v>1776</v>
      </c>
      <c r="C81" t="s">
        <v>1749</v>
      </c>
      <c r="D81" t="s">
        <v>1758</v>
      </c>
      <c r="K81"/>
      <c r="L81"/>
      <c r="M81"/>
    </row>
    <row r="82" spans="1:13">
      <c r="A82" s="2" t="s">
        <v>307</v>
      </c>
      <c r="B82" t="s">
        <v>1776</v>
      </c>
      <c r="C82" t="s">
        <v>1749</v>
      </c>
      <c r="D82" t="s">
        <v>1758</v>
      </c>
      <c r="K82"/>
      <c r="L82"/>
      <c r="M82"/>
    </row>
    <row r="83" spans="1:13">
      <c r="A83" s="2" t="s">
        <v>313</v>
      </c>
      <c r="B83" t="s">
        <v>1776</v>
      </c>
      <c r="C83" t="s">
        <v>1749</v>
      </c>
      <c r="D83" t="s">
        <v>1758</v>
      </c>
      <c r="K83"/>
      <c r="L83"/>
      <c r="M83"/>
    </row>
    <row r="84" spans="1:13">
      <c r="A84" s="2" t="s">
        <v>241</v>
      </c>
      <c r="B84" t="s">
        <v>1776</v>
      </c>
      <c r="C84" t="s">
        <v>1749</v>
      </c>
      <c r="D84" t="s">
        <v>1758</v>
      </c>
      <c r="K84"/>
      <c r="L84"/>
      <c r="M84"/>
    </row>
    <row r="85" spans="1:13">
      <c r="A85" s="2" t="s">
        <v>221</v>
      </c>
      <c r="B85" t="s">
        <v>1776</v>
      </c>
      <c r="C85" t="s">
        <v>1749</v>
      </c>
      <c r="D85" t="s">
        <v>1758</v>
      </c>
      <c r="K85"/>
      <c r="L85"/>
      <c r="M85"/>
    </row>
    <row r="86" spans="1:13">
      <c r="A86" s="2" t="s">
        <v>229</v>
      </c>
      <c r="B86" t="s">
        <v>1776</v>
      </c>
      <c r="C86" t="s">
        <v>1749</v>
      </c>
      <c r="D86" t="s">
        <v>1758</v>
      </c>
      <c r="K86"/>
      <c r="L86"/>
      <c r="M86"/>
    </row>
    <row r="87" spans="1:13">
      <c r="A87" s="2" t="s">
        <v>312</v>
      </c>
      <c r="B87" t="s">
        <v>1776</v>
      </c>
      <c r="C87" t="s">
        <v>1749</v>
      </c>
      <c r="D87" t="s">
        <v>1758</v>
      </c>
      <c r="K87"/>
      <c r="L87"/>
      <c r="M87"/>
    </row>
    <row r="88" spans="1:13">
      <c r="A88" s="2" t="s">
        <v>258</v>
      </c>
      <c r="B88" t="s">
        <v>1776</v>
      </c>
      <c r="C88" t="s">
        <v>1756</v>
      </c>
      <c r="D88" t="s">
        <v>1759</v>
      </c>
      <c r="K88"/>
      <c r="L88"/>
      <c r="M88"/>
    </row>
    <row r="89" spans="1:13">
      <c r="A89" s="2" t="s">
        <v>255</v>
      </c>
      <c r="B89" t="s">
        <v>1776</v>
      </c>
      <c r="C89" t="s">
        <v>1756</v>
      </c>
      <c r="D89" t="s">
        <v>1762</v>
      </c>
      <c r="K89"/>
      <c r="L89"/>
      <c r="M89"/>
    </row>
    <row r="90" spans="1:13">
      <c r="A90" s="2" t="s">
        <v>231</v>
      </c>
      <c r="B90" t="s">
        <v>1776</v>
      </c>
      <c r="C90" t="s">
        <v>1749</v>
      </c>
      <c r="D90" t="s">
        <v>1758</v>
      </c>
      <c r="K90"/>
      <c r="L90"/>
      <c r="M90"/>
    </row>
    <row r="91" spans="1:13">
      <c r="A91" s="2" t="s">
        <v>224</v>
      </c>
      <c r="B91" t="s">
        <v>1776</v>
      </c>
      <c r="C91" t="s">
        <v>1749</v>
      </c>
      <c r="D91" t="s">
        <v>1758</v>
      </c>
      <c r="K91"/>
      <c r="L91"/>
      <c r="M91"/>
    </row>
    <row r="92" spans="1:13">
      <c r="A92" s="2" t="s">
        <v>243</v>
      </c>
      <c r="B92" t="s">
        <v>1776</v>
      </c>
      <c r="C92" t="s">
        <v>1749</v>
      </c>
      <c r="D92" t="s">
        <v>1758</v>
      </c>
      <c r="K92"/>
      <c r="L92"/>
      <c r="M92"/>
    </row>
    <row r="93" spans="1:13">
      <c r="A93" s="2" t="s">
        <v>283</v>
      </c>
      <c r="B93" t="s">
        <v>1776</v>
      </c>
      <c r="C93" t="s">
        <v>1749</v>
      </c>
      <c r="D93" t="s">
        <v>1758</v>
      </c>
      <c r="K93"/>
      <c r="L93"/>
      <c r="M93"/>
    </row>
    <row r="94" spans="1:13">
      <c r="A94" s="2" t="s">
        <v>310</v>
      </c>
      <c r="B94" t="s">
        <v>1776</v>
      </c>
      <c r="C94" t="s">
        <v>1749</v>
      </c>
      <c r="D94" t="s">
        <v>1758</v>
      </c>
      <c r="K94"/>
      <c r="L94"/>
      <c r="M94"/>
    </row>
    <row r="95" spans="1:13">
      <c r="A95" s="2" t="s">
        <v>317</v>
      </c>
      <c r="B95" t="s">
        <v>1776</v>
      </c>
      <c r="C95" t="s">
        <v>1749</v>
      </c>
      <c r="D95" t="s">
        <v>1758</v>
      </c>
      <c r="K95"/>
      <c r="L95"/>
      <c r="M95"/>
    </row>
    <row r="96" spans="1:13">
      <c r="A96" s="2" t="s">
        <v>299</v>
      </c>
      <c r="B96" t="s">
        <v>1776</v>
      </c>
      <c r="C96" t="s">
        <v>1749</v>
      </c>
      <c r="D96" t="s">
        <v>1758</v>
      </c>
      <c r="K96"/>
      <c r="L96"/>
      <c r="M96"/>
    </row>
    <row r="97" spans="1:13">
      <c r="A97" s="2" t="s">
        <v>276</v>
      </c>
      <c r="B97" t="s">
        <v>1776</v>
      </c>
      <c r="C97" t="s">
        <v>1749</v>
      </c>
      <c r="D97" t="s">
        <v>1758</v>
      </c>
      <c r="K97"/>
      <c r="L97"/>
      <c r="M97"/>
    </row>
    <row r="98" spans="1:13">
      <c r="A98" s="2" t="s">
        <v>318</v>
      </c>
      <c r="B98" t="s">
        <v>1776</v>
      </c>
      <c r="C98" t="s">
        <v>1749</v>
      </c>
      <c r="D98" t="s">
        <v>1758</v>
      </c>
      <c r="K98"/>
      <c r="L98"/>
      <c r="M98"/>
    </row>
    <row r="99" spans="1:13">
      <c r="A99" s="2" t="s">
        <v>289</v>
      </c>
      <c r="B99" t="s">
        <v>1776</v>
      </c>
      <c r="C99" t="s">
        <v>1749</v>
      </c>
      <c r="D99" t="s">
        <v>1758</v>
      </c>
      <c r="K99"/>
      <c r="L99"/>
      <c r="M99"/>
    </row>
    <row r="100" spans="1:13">
      <c r="A100" s="2" t="s">
        <v>271</v>
      </c>
      <c r="B100" t="s">
        <v>1776</v>
      </c>
      <c r="C100" t="s">
        <v>1749</v>
      </c>
      <c r="D100" t="s">
        <v>1758</v>
      </c>
      <c r="K100"/>
      <c r="L100"/>
      <c r="M100"/>
    </row>
    <row r="101" spans="1:13">
      <c r="A101" s="2" t="s">
        <v>237</v>
      </c>
      <c r="B101" t="s">
        <v>1776</v>
      </c>
      <c r="C101" t="s">
        <v>1749</v>
      </c>
      <c r="D101" t="s">
        <v>1758</v>
      </c>
      <c r="K101"/>
      <c r="L101"/>
      <c r="M101"/>
    </row>
    <row r="102" spans="1:13">
      <c r="A102" s="2" t="s">
        <v>200</v>
      </c>
      <c r="B102" t="s">
        <v>1776</v>
      </c>
      <c r="C102" t="s">
        <v>1749</v>
      </c>
      <c r="D102" t="s">
        <v>1758</v>
      </c>
      <c r="K102"/>
      <c r="L102"/>
      <c r="M102"/>
    </row>
    <row r="103" spans="1:13">
      <c r="A103" s="2" t="s">
        <v>301</v>
      </c>
      <c r="B103" t="s">
        <v>1776</v>
      </c>
      <c r="C103" t="s">
        <v>1749</v>
      </c>
      <c r="D103" t="s">
        <v>1758</v>
      </c>
      <c r="K103"/>
      <c r="L103"/>
      <c r="M103"/>
    </row>
    <row r="104" spans="1:13">
      <c r="A104" s="2" t="s">
        <v>303</v>
      </c>
      <c r="B104" t="s">
        <v>1776</v>
      </c>
      <c r="C104" t="s">
        <v>1749</v>
      </c>
      <c r="D104" t="s">
        <v>1758</v>
      </c>
      <c r="K104"/>
      <c r="L104"/>
      <c r="M104"/>
    </row>
    <row r="105" spans="1:13">
      <c r="A105" s="2" t="s">
        <v>246</v>
      </c>
      <c r="B105" t="s">
        <v>1776</v>
      </c>
      <c r="C105" t="s">
        <v>1749</v>
      </c>
      <c r="D105" t="s">
        <v>1758</v>
      </c>
      <c r="K105"/>
      <c r="L105"/>
      <c r="M105"/>
    </row>
    <row r="106" spans="1:13">
      <c r="A106" s="2" t="s">
        <v>228</v>
      </c>
      <c r="B106" t="s">
        <v>1776</v>
      </c>
      <c r="C106" t="s">
        <v>1756</v>
      </c>
      <c r="D106" t="s">
        <v>1759</v>
      </c>
      <c r="K106"/>
      <c r="L106"/>
      <c r="M106"/>
    </row>
    <row r="107" spans="1:13">
      <c r="A107" s="2" t="s">
        <v>281</v>
      </c>
      <c r="B107" t="s">
        <v>1776</v>
      </c>
      <c r="C107" t="s">
        <v>1749</v>
      </c>
      <c r="D107" t="s">
        <v>1758</v>
      </c>
      <c r="K107"/>
      <c r="L107"/>
      <c r="M107"/>
    </row>
    <row r="108" spans="1:13">
      <c r="A108" s="2" t="s">
        <v>249</v>
      </c>
      <c r="B108" t="s">
        <v>1776</v>
      </c>
      <c r="C108" t="s">
        <v>1749</v>
      </c>
      <c r="D108" t="s">
        <v>1758</v>
      </c>
      <c r="K108"/>
      <c r="L108"/>
      <c r="M108"/>
    </row>
    <row r="109" spans="1:13">
      <c r="A109" s="2" t="s">
        <v>250</v>
      </c>
      <c r="B109" t="s">
        <v>1776</v>
      </c>
      <c r="C109" t="s">
        <v>1749</v>
      </c>
      <c r="D109" t="s">
        <v>1758</v>
      </c>
      <c r="K109"/>
      <c r="L109"/>
      <c r="M109"/>
    </row>
    <row r="110" spans="1:13">
      <c r="A110" s="2" t="s">
        <v>322</v>
      </c>
      <c r="B110" t="s">
        <v>1776</v>
      </c>
      <c r="C110" t="s">
        <v>1749</v>
      </c>
      <c r="D110" t="s">
        <v>1758</v>
      </c>
      <c r="K110"/>
      <c r="L110"/>
      <c r="M110"/>
    </row>
    <row r="111" spans="1:13">
      <c r="A111" s="2" t="s">
        <v>263</v>
      </c>
      <c r="B111" t="s">
        <v>1776</v>
      </c>
      <c r="C111" t="s">
        <v>1756</v>
      </c>
      <c r="D111" t="s">
        <v>1759</v>
      </c>
      <c r="K111"/>
      <c r="L111"/>
      <c r="M111"/>
    </row>
    <row r="112" spans="1:13">
      <c r="A112" s="2" t="s">
        <v>260</v>
      </c>
      <c r="B112" t="s">
        <v>1776</v>
      </c>
      <c r="C112" t="s">
        <v>1756</v>
      </c>
      <c r="D112" t="s">
        <v>1759</v>
      </c>
      <c r="K112"/>
      <c r="L112"/>
      <c r="M112"/>
    </row>
    <row r="113" spans="1:13">
      <c r="A113" s="2" t="s">
        <v>309</v>
      </c>
      <c r="B113" t="s">
        <v>1776</v>
      </c>
      <c r="C113" t="s">
        <v>1750</v>
      </c>
      <c r="D113" t="s">
        <v>1758</v>
      </c>
      <c r="K113"/>
      <c r="L113"/>
      <c r="M113"/>
    </row>
    <row r="114" spans="1:13">
      <c r="A114" s="2" t="s">
        <v>308</v>
      </c>
      <c r="B114" t="s">
        <v>1776</v>
      </c>
      <c r="C114" t="s">
        <v>1751</v>
      </c>
      <c r="D114" t="s">
        <v>1758</v>
      </c>
      <c r="K114"/>
      <c r="L114"/>
      <c r="M114"/>
    </row>
    <row r="115" spans="1:13">
      <c r="A115" s="2" t="s">
        <v>305</v>
      </c>
      <c r="B115" t="s">
        <v>1776</v>
      </c>
      <c r="C115" t="s">
        <v>1749</v>
      </c>
      <c r="D115" t="s">
        <v>1758</v>
      </c>
      <c r="K115"/>
      <c r="L115"/>
      <c r="M115"/>
    </row>
    <row r="116" spans="1:13">
      <c r="A116" s="2" t="s">
        <v>252</v>
      </c>
      <c r="B116" t="s">
        <v>1776</v>
      </c>
      <c r="C116" t="s">
        <v>1749</v>
      </c>
      <c r="D116" t="s">
        <v>1758</v>
      </c>
      <c r="K116"/>
      <c r="L116"/>
      <c r="M116"/>
    </row>
    <row r="117" spans="1:13">
      <c r="A117" s="2" t="s">
        <v>208</v>
      </c>
      <c r="B117" t="s">
        <v>1776</v>
      </c>
      <c r="C117" t="s">
        <v>1749</v>
      </c>
      <c r="D117" t="s">
        <v>1758</v>
      </c>
      <c r="K117"/>
      <c r="L117"/>
      <c r="M117"/>
    </row>
    <row r="118" spans="1:13">
      <c r="A118" s="2" t="s">
        <v>323</v>
      </c>
      <c r="B118" t="s">
        <v>1776</v>
      </c>
      <c r="C118" t="s">
        <v>1749</v>
      </c>
      <c r="D118" t="s">
        <v>1758</v>
      </c>
      <c r="K118"/>
      <c r="L118"/>
      <c r="M118"/>
    </row>
    <row r="119" spans="1:13">
      <c r="A119" s="2" t="s">
        <v>218</v>
      </c>
      <c r="B119" t="s">
        <v>1776</v>
      </c>
      <c r="C119" t="s">
        <v>1749</v>
      </c>
      <c r="D119" t="s">
        <v>1758</v>
      </c>
      <c r="K119"/>
      <c r="L119"/>
      <c r="M119"/>
    </row>
    <row r="120" spans="1:13">
      <c r="A120" s="2" t="s">
        <v>245</v>
      </c>
      <c r="B120" t="s">
        <v>1776</v>
      </c>
      <c r="C120" t="s">
        <v>1756</v>
      </c>
      <c r="D120" t="s">
        <v>1763</v>
      </c>
      <c r="K120"/>
      <c r="L120"/>
      <c r="M120"/>
    </row>
    <row r="121" spans="1:13">
      <c r="A121" s="2" t="s">
        <v>928</v>
      </c>
      <c r="B121" t="s">
        <v>1776</v>
      </c>
      <c r="C121" t="s">
        <v>1756</v>
      </c>
      <c r="D121" t="s">
        <v>1763</v>
      </c>
      <c r="K121"/>
      <c r="L121"/>
      <c r="M121"/>
    </row>
    <row r="122" spans="1:13">
      <c r="A122" s="2" t="s">
        <v>203</v>
      </c>
      <c r="B122" t="s">
        <v>1776</v>
      </c>
      <c r="C122" t="s">
        <v>1750</v>
      </c>
      <c r="D122" t="s">
        <v>1759</v>
      </c>
      <c r="K122"/>
      <c r="L122"/>
      <c r="M122"/>
    </row>
    <row r="123" spans="1:13">
      <c r="A123" s="2" t="s">
        <v>197</v>
      </c>
      <c r="B123" t="s">
        <v>1776</v>
      </c>
      <c r="C123" t="s">
        <v>1749</v>
      </c>
      <c r="D123" t="s">
        <v>1758</v>
      </c>
      <c r="K123"/>
      <c r="L123"/>
      <c r="M123"/>
    </row>
    <row r="124" spans="1:13">
      <c r="A124" s="2" t="s">
        <v>285</v>
      </c>
      <c r="B124" t="s">
        <v>1776</v>
      </c>
      <c r="C124" t="s">
        <v>1749</v>
      </c>
      <c r="D124" t="s">
        <v>1758</v>
      </c>
      <c r="K124"/>
      <c r="L124"/>
      <c r="M124"/>
    </row>
    <row r="125" spans="1:13">
      <c r="A125" s="2" t="s">
        <v>262</v>
      </c>
      <c r="B125" t="s">
        <v>1776</v>
      </c>
      <c r="C125" t="s">
        <v>1749</v>
      </c>
      <c r="D125" t="s">
        <v>1758</v>
      </c>
      <c r="K125"/>
      <c r="L125"/>
      <c r="M125"/>
    </row>
    <row r="126" spans="1:13">
      <c r="A126" s="2" t="s">
        <v>207</v>
      </c>
      <c r="B126" t="s">
        <v>1776</v>
      </c>
      <c r="C126" t="s">
        <v>1750</v>
      </c>
      <c r="D126" t="s">
        <v>1759</v>
      </c>
      <c r="K126"/>
      <c r="L126"/>
      <c r="M126"/>
    </row>
    <row r="127" spans="1:13">
      <c r="A127" s="2" t="s">
        <v>265</v>
      </c>
      <c r="B127" t="s">
        <v>1776</v>
      </c>
      <c r="C127" t="s">
        <v>1749</v>
      </c>
      <c r="D127" t="s">
        <v>1758</v>
      </c>
      <c r="K127"/>
      <c r="L127"/>
      <c r="M127"/>
    </row>
    <row r="128" spans="1:13">
      <c r="A128" s="2" t="s">
        <v>261</v>
      </c>
      <c r="B128" t="s">
        <v>1776</v>
      </c>
      <c r="C128" t="s">
        <v>1749</v>
      </c>
      <c r="D128" t="s">
        <v>1758</v>
      </c>
      <c r="K128"/>
      <c r="L128"/>
      <c r="M128"/>
    </row>
    <row r="129" spans="1:13">
      <c r="A129" s="2" t="s">
        <v>234</v>
      </c>
      <c r="B129" t="s">
        <v>1776</v>
      </c>
      <c r="C129" t="s">
        <v>1752</v>
      </c>
      <c r="D129" t="s">
        <v>1758</v>
      </c>
      <c r="K129"/>
      <c r="L129"/>
      <c r="M129"/>
    </row>
    <row r="130" spans="1:13">
      <c r="A130" s="2" t="s">
        <v>204</v>
      </c>
      <c r="B130" t="s">
        <v>1776</v>
      </c>
      <c r="C130" t="s">
        <v>1750</v>
      </c>
      <c r="D130" t="s">
        <v>1759</v>
      </c>
      <c r="K130"/>
      <c r="L130"/>
      <c r="M130"/>
    </row>
    <row r="131" spans="1:13">
      <c r="A131" s="2" t="s">
        <v>202</v>
      </c>
      <c r="B131" t="s">
        <v>1776</v>
      </c>
      <c r="C131" t="s">
        <v>1749</v>
      </c>
      <c r="D131" t="s">
        <v>1758</v>
      </c>
      <c r="K131"/>
      <c r="L131"/>
      <c r="M131"/>
    </row>
    <row r="132" spans="1:13">
      <c r="A132" s="2" t="s">
        <v>275</v>
      </c>
      <c r="B132" t="s">
        <v>1776</v>
      </c>
      <c r="C132" t="s">
        <v>1749</v>
      </c>
      <c r="D132" t="s">
        <v>1758</v>
      </c>
      <c r="K132"/>
      <c r="L132"/>
      <c r="M132"/>
    </row>
    <row r="133" spans="1:13">
      <c r="A133" s="2" t="s">
        <v>521</v>
      </c>
      <c r="B133" t="s">
        <v>1776</v>
      </c>
      <c r="C133" t="s">
        <v>1753</v>
      </c>
      <c r="D133" t="s">
        <v>1758</v>
      </c>
      <c r="K133"/>
      <c r="L133"/>
      <c r="M133"/>
    </row>
    <row r="134" spans="1:13">
      <c r="A134" s="2" t="s">
        <v>526</v>
      </c>
      <c r="B134" t="s">
        <v>1776</v>
      </c>
      <c r="C134" t="s">
        <v>1753</v>
      </c>
      <c r="D134" t="s">
        <v>1758</v>
      </c>
      <c r="K134"/>
      <c r="L134"/>
      <c r="M134"/>
    </row>
    <row r="135" spans="1:13">
      <c r="A135" s="2" t="s">
        <v>498</v>
      </c>
      <c r="B135" t="s">
        <v>1776</v>
      </c>
      <c r="C135" t="s">
        <v>1753</v>
      </c>
      <c r="D135" t="s">
        <v>1758</v>
      </c>
      <c r="K135"/>
      <c r="L135"/>
      <c r="M135"/>
    </row>
    <row r="136" spans="1:13">
      <c r="A136" s="2" t="s">
        <v>480</v>
      </c>
      <c r="B136" t="s">
        <v>1776</v>
      </c>
      <c r="C136" t="s">
        <v>1753</v>
      </c>
      <c r="D136" t="s">
        <v>1758</v>
      </c>
      <c r="K136"/>
      <c r="L136"/>
      <c r="M136"/>
    </row>
    <row r="137" spans="1:13">
      <c r="A137" s="2" t="s">
        <v>509</v>
      </c>
      <c r="B137" t="s">
        <v>1776</v>
      </c>
      <c r="C137" t="s">
        <v>1753</v>
      </c>
      <c r="D137" t="s">
        <v>1758</v>
      </c>
      <c r="K137"/>
      <c r="L137"/>
      <c r="M137"/>
    </row>
    <row r="138" spans="1:13">
      <c r="A138" s="2" t="s">
        <v>483</v>
      </c>
      <c r="B138" t="s">
        <v>1776</v>
      </c>
      <c r="C138" t="s">
        <v>1753</v>
      </c>
      <c r="D138" t="s">
        <v>1758</v>
      </c>
      <c r="K138"/>
      <c r="L138"/>
      <c r="M138"/>
    </row>
    <row r="139" spans="1:13">
      <c r="A139" s="2" t="s">
        <v>524</v>
      </c>
      <c r="B139" t="s">
        <v>1776</v>
      </c>
      <c r="C139" t="s">
        <v>1753</v>
      </c>
      <c r="D139" t="s">
        <v>1758</v>
      </c>
      <c r="K139"/>
      <c r="L139"/>
      <c r="M139"/>
    </row>
    <row r="140" spans="1:13">
      <c r="A140" s="2" t="s">
        <v>508</v>
      </c>
      <c r="B140" t="s">
        <v>1776</v>
      </c>
      <c r="C140" t="s">
        <v>1753</v>
      </c>
      <c r="D140" t="s">
        <v>1758</v>
      </c>
      <c r="K140"/>
      <c r="L140"/>
      <c r="M140"/>
    </row>
    <row r="141" spans="1:13">
      <c r="A141" s="2" t="s">
        <v>497</v>
      </c>
      <c r="B141" t="s">
        <v>1776</v>
      </c>
      <c r="C141" t="s">
        <v>1753</v>
      </c>
      <c r="D141" t="s">
        <v>1758</v>
      </c>
      <c r="K141"/>
      <c r="L141"/>
      <c r="M141"/>
    </row>
    <row r="142" spans="1:13">
      <c r="A142" s="2" t="s">
        <v>516</v>
      </c>
      <c r="B142" t="s">
        <v>1776</v>
      </c>
      <c r="C142" t="s">
        <v>1753</v>
      </c>
      <c r="D142" t="s">
        <v>1758</v>
      </c>
      <c r="K142"/>
      <c r="L142"/>
      <c r="M142"/>
    </row>
    <row r="143" spans="1:13">
      <c r="A143" s="2" t="s">
        <v>514</v>
      </c>
      <c r="B143" t="s">
        <v>1776</v>
      </c>
      <c r="C143" t="s">
        <v>1753</v>
      </c>
      <c r="D143" t="s">
        <v>1758</v>
      </c>
      <c r="K143"/>
      <c r="L143"/>
      <c r="M143"/>
    </row>
    <row r="144" spans="1:13">
      <c r="A144" s="2" t="s">
        <v>486</v>
      </c>
      <c r="B144" t="s">
        <v>1776</v>
      </c>
      <c r="C144" t="s">
        <v>1753</v>
      </c>
      <c r="D144" t="s">
        <v>1758</v>
      </c>
      <c r="K144"/>
      <c r="L144"/>
      <c r="M144"/>
    </row>
    <row r="145" spans="1:13">
      <c r="A145" s="2" t="s">
        <v>525</v>
      </c>
      <c r="B145" t="s">
        <v>1776</v>
      </c>
      <c r="C145" t="s">
        <v>1753</v>
      </c>
      <c r="D145" t="s">
        <v>1758</v>
      </c>
      <c r="K145"/>
      <c r="L145"/>
      <c r="M145"/>
    </row>
    <row r="146" spans="1:13">
      <c r="A146" s="2" t="s">
        <v>489</v>
      </c>
      <c r="B146" t="s">
        <v>1776</v>
      </c>
      <c r="C146" t="s">
        <v>1753</v>
      </c>
      <c r="D146" t="s">
        <v>1758</v>
      </c>
      <c r="K146"/>
      <c r="L146"/>
      <c r="M146"/>
    </row>
    <row r="147" spans="1:13">
      <c r="A147" s="2" t="s">
        <v>513</v>
      </c>
      <c r="B147" t="s">
        <v>1776</v>
      </c>
      <c r="C147" t="s">
        <v>1753</v>
      </c>
      <c r="D147" t="s">
        <v>1758</v>
      </c>
      <c r="K147"/>
      <c r="L147"/>
      <c r="M147"/>
    </row>
    <row r="148" spans="1:13">
      <c r="A148" s="2" t="s">
        <v>501</v>
      </c>
      <c r="B148" t="s">
        <v>1776</v>
      </c>
      <c r="C148" t="s">
        <v>1753</v>
      </c>
      <c r="D148" t="s">
        <v>1758</v>
      </c>
      <c r="K148"/>
      <c r="L148"/>
      <c r="M148"/>
    </row>
    <row r="149" spans="1:13">
      <c r="A149" s="2" t="s">
        <v>504</v>
      </c>
      <c r="B149" t="s">
        <v>1776</v>
      </c>
      <c r="C149" t="s">
        <v>1753</v>
      </c>
      <c r="D149" t="s">
        <v>1758</v>
      </c>
      <c r="K149"/>
      <c r="L149"/>
      <c r="M149"/>
    </row>
    <row r="150" spans="1:13">
      <c r="A150" s="2" t="s">
        <v>481</v>
      </c>
      <c r="B150" t="s">
        <v>1776</v>
      </c>
      <c r="C150" t="s">
        <v>1753</v>
      </c>
      <c r="D150" t="s">
        <v>1758</v>
      </c>
      <c r="K150"/>
      <c r="L150"/>
      <c r="M150"/>
    </row>
    <row r="151" spans="1:13">
      <c r="A151" s="2" t="s">
        <v>495</v>
      </c>
      <c r="B151" t="s">
        <v>1776</v>
      </c>
      <c r="C151" t="s">
        <v>1753</v>
      </c>
      <c r="D151" t="s">
        <v>1758</v>
      </c>
      <c r="K151"/>
      <c r="L151"/>
      <c r="M151"/>
    </row>
    <row r="152" spans="1:13">
      <c r="A152" s="2" t="s">
        <v>500</v>
      </c>
      <c r="B152" t="s">
        <v>1776</v>
      </c>
      <c r="C152" t="s">
        <v>1753</v>
      </c>
      <c r="D152" t="s">
        <v>1758</v>
      </c>
      <c r="K152"/>
      <c r="L152"/>
      <c r="M152"/>
    </row>
    <row r="153" spans="1:13">
      <c r="A153" s="2" t="s">
        <v>518</v>
      </c>
      <c r="B153" t="s">
        <v>1776</v>
      </c>
      <c r="C153" t="s">
        <v>1753</v>
      </c>
      <c r="D153" t="s">
        <v>1758</v>
      </c>
      <c r="K153"/>
      <c r="L153"/>
      <c r="M153"/>
    </row>
    <row r="154" spans="1:13">
      <c r="A154" s="2" t="s">
        <v>517</v>
      </c>
      <c r="B154" t="s">
        <v>1776</v>
      </c>
      <c r="C154" t="s">
        <v>1753</v>
      </c>
      <c r="D154" t="s">
        <v>1758</v>
      </c>
      <c r="K154"/>
      <c r="L154"/>
      <c r="M154"/>
    </row>
    <row r="155" spans="1:13">
      <c r="A155" s="2" t="s">
        <v>493</v>
      </c>
      <c r="B155" t="s">
        <v>1776</v>
      </c>
      <c r="C155" t="s">
        <v>1753</v>
      </c>
      <c r="D155" t="s">
        <v>1758</v>
      </c>
      <c r="K155"/>
      <c r="L155"/>
      <c r="M155"/>
    </row>
    <row r="156" spans="1:13">
      <c r="A156" s="2" t="s">
        <v>520</v>
      </c>
      <c r="B156" t="s">
        <v>1776</v>
      </c>
      <c r="C156" t="s">
        <v>1753</v>
      </c>
      <c r="D156" t="s">
        <v>1758</v>
      </c>
      <c r="K156"/>
      <c r="L156"/>
      <c r="M156"/>
    </row>
    <row r="157" spans="1:13">
      <c r="A157" s="2" t="s">
        <v>494</v>
      </c>
      <c r="B157" t="s">
        <v>1776</v>
      </c>
      <c r="C157" t="s">
        <v>1753</v>
      </c>
      <c r="D157" t="s">
        <v>1758</v>
      </c>
      <c r="K157"/>
      <c r="L157"/>
      <c r="M157"/>
    </row>
    <row r="158" spans="1:13">
      <c r="A158" s="2" t="s">
        <v>478</v>
      </c>
      <c r="B158" t="s">
        <v>1776</v>
      </c>
      <c r="C158" t="s">
        <v>1753</v>
      </c>
      <c r="D158" t="s">
        <v>1758</v>
      </c>
      <c r="K158"/>
      <c r="L158"/>
      <c r="M158"/>
    </row>
    <row r="159" spans="1:13">
      <c r="A159" s="2" t="s">
        <v>482</v>
      </c>
      <c r="B159" t="s">
        <v>1776</v>
      </c>
      <c r="C159" t="s">
        <v>1753</v>
      </c>
      <c r="D159" t="s">
        <v>1758</v>
      </c>
      <c r="K159"/>
      <c r="L159"/>
      <c r="M159"/>
    </row>
    <row r="160" spans="1:13">
      <c r="A160" s="2" t="s">
        <v>484</v>
      </c>
      <c r="B160" t="s">
        <v>1776</v>
      </c>
      <c r="C160" t="s">
        <v>1753</v>
      </c>
      <c r="D160" t="s">
        <v>1758</v>
      </c>
      <c r="K160"/>
      <c r="L160"/>
      <c r="M160"/>
    </row>
    <row r="161" spans="1:13">
      <c r="A161" s="2" t="s">
        <v>523</v>
      </c>
      <c r="B161" t="s">
        <v>1776</v>
      </c>
      <c r="C161" t="s">
        <v>1753</v>
      </c>
      <c r="D161" t="s">
        <v>1758</v>
      </c>
      <c r="K161"/>
      <c r="L161"/>
      <c r="M161"/>
    </row>
    <row r="162" spans="1:13">
      <c r="A162" s="2" t="s">
        <v>506</v>
      </c>
      <c r="B162" t="s">
        <v>1776</v>
      </c>
      <c r="C162" t="s">
        <v>1753</v>
      </c>
      <c r="D162" t="s">
        <v>1758</v>
      </c>
      <c r="K162"/>
      <c r="L162"/>
      <c r="M162"/>
    </row>
    <row r="163" spans="1:13">
      <c r="A163" s="2" t="s">
        <v>507</v>
      </c>
      <c r="B163" t="s">
        <v>1776</v>
      </c>
      <c r="C163" t="s">
        <v>1753</v>
      </c>
      <c r="D163" t="s">
        <v>1758</v>
      </c>
      <c r="K163"/>
      <c r="L163"/>
      <c r="M163"/>
    </row>
    <row r="164" spans="1:13">
      <c r="A164" s="2" t="s">
        <v>527</v>
      </c>
      <c r="B164" t="s">
        <v>1776</v>
      </c>
      <c r="C164" t="s">
        <v>1753</v>
      </c>
      <c r="D164" t="s">
        <v>1758</v>
      </c>
      <c r="K164"/>
      <c r="L164"/>
      <c r="M164"/>
    </row>
    <row r="165" spans="1:13">
      <c r="A165" s="2" t="s">
        <v>503</v>
      </c>
      <c r="B165" t="s">
        <v>1776</v>
      </c>
      <c r="C165" t="s">
        <v>1753</v>
      </c>
      <c r="D165" t="s">
        <v>1758</v>
      </c>
      <c r="K165"/>
      <c r="L165"/>
      <c r="M165"/>
    </row>
    <row r="166" spans="1:13">
      <c r="A166" s="2" t="s">
        <v>510</v>
      </c>
      <c r="B166" t="s">
        <v>1776</v>
      </c>
      <c r="C166" t="s">
        <v>1753</v>
      </c>
      <c r="D166" t="s">
        <v>1758</v>
      </c>
      <c r="K166"/>
      <c r="L166"/>
      <c r="M166"/>
    </row>
    <row r="167" spans="1:13">
      <c r="A167" s="2" t="s">
        <v>519</v>
      </c>
      <c r="B167" t="s">
        <v>1776</v>
      </c>
      <c r="C167" t="s">
        <v>1753</v>
      </c>
      <c r="D167" t="s">
        <v>1758</v>
      </c>
      <c r="K167"/>
      <c r="L167"/>
      <c r="M167"/>
    </row>
    <row r="168" spans="1:13">
      <c r="A168" s="2" t="s">
        <v>485</v>
      </c>
      <c r="B168" t="s">
        <v>1776</v>
      </c>
      <c r="C168" t="s">
        <v>1753</v>
      </c>
      <c r="D168" t="s">
        <v>1758</v>
      </c>
      <c r="K168"/>
      <c r="L168"/>
      <c r="M168"/>
    </row>
    <row r="169" spans="1:13">
      <c r="A169" s="2" t="s">
        <v>496</v>
      </c>
      <c r="B169" t="s">
        <v>1776</v>
      </c>
      <c r="C169" t="s">
        <v>1753</v>
      </c>
      <c r="D169" t="s">
        <v>1758</v>
      </c>
      <c r="K169"/>
      <c r="L169"/>
      <c r="M169"/>
    </row>
    <row r="170" spans="1:13">
      <c r="A170" s="2" t="s">
        <v>528</v>
      </c>
      <c r="B170" t="s">
        <v>1776</v>
      </c>
      <c r="C170" t="s">
        <v>1753</v>
      </c>
      <c r="D170" t="s">
        <v>1758</v>
      </c>
      <c r="K170"/>
      <c r="L170"/>
      <c r="M170"/>
    </row>
    <row r="171" spans="1:13">
      <c r="A171" s="2" t="s">
        <v>529</v>
      </c>
      <c r="B171" t="s">
        <v>1776</v>
      </c>
      <c r="C171" t="s">
        <v>1753</v>
      </c>
      <c r="D171" t="s">
        <v>1758</v>
      </c>
      <c r="K171"/>
      <c r="L171"/>
      <c r="M171"/>
    </row>
    <row r="172" spans="1:13">
      <c r="A172" s="2" t="s">
        <v>499</v>
      </c>
      <c r="B172" t="s">
        <v>1776</v>
      </c>
      <c r="C172" t="s">
        <v>1753</v>
      </c>
      <c r="D172" t="s">
        <v>1758</v>
      </c>
      <c r="K172"/>
      <c r="L172"/>
      <c r="M172"/>
    </row>
    <row r="173" spans="1:13">
      <c r="A173" s="2" t="s">
        <v>487</v>
      </c>
      <c r="B173" t="s">
        <v>1776</v>
      </c>
      <c r="C173" t="s">
        <v>1753</v>
      </c>
      <c r="D173" t="s">
        <v>1758</v>
      </c>
      <c r="K173"/>
      <c r="L173"/>
      <c r="M173"/>
    </row>
    <row r="174" spans="1:13">
      <c r="A174" s="2" t="s">
        <v>512</v>
      </c>
      <c r="B174" t="s">
        <v>1776</v>
      </c>
      <c r="C174" t="s">
        <v>1753</v>
      </c>
      <c r="D174" t="s">
        <v>1758</v>
      </c>
      <c r="K174"/>
      <c r="L174"/>
      <c r="M174"/>
    </row>
    <row r="175" spans="1:13">
      <c r="A175" s="2" t="s">
        <v>530</v>
      </c>
      <c r="B175" t="s">
        <v>1776</v>
      </c>
      <c r="C175" t="s">
        <v>1753</v>
      </c>
      <c r="D175" t="s">
        <v>1758</v>
      </c>
      <c r="K175"/>
      <c r="L175"/>
      <c r="M175"/>
    </row>
    <row r="176" spans="1:13">
      <c r="A176" s="2" t="s">
        <v>491</v>
      </c>
      <c r="B176" t="s">
        <v>1776</v>
      </c>
      <c r="C176" t="s">
        <v>1753</v>
      </c>
      <c r="D176" t="s">
        <v>1758</v>
      </c>
      <c r="K176"/>
      <c r="L176"/>
      <c r="M176"/>
    </row>
    <row r="177" spans="1:13">
      <c r="A177" s="2" t="s">
        <v>511</v>
      </c>
      <c r="B177" t="s">
        <v>1776</v>
      </c>
      <c r="C177" t="s">
        <v>1753</v>
      </c>
      <c r="D177" t="s">
        <v>1758</v>
      </c>
      <c r="K177"/>
      <c r="L177"/>
      <c r="M177"/>
    </row>
    <row r="178" spans="1:13">
      <c r="A178" s="2" t="s">
        <v>490</v>
      </c>
      <c r="B178" t="s">
        <v>1776</v>
      </c>
      <c r="C178" t="s">
        <v>1753</v>
      </c>
      <c r="D178" t="s">
        <v>1758</v>
      </c>
      <c r="K178"/>
      <c r="L178"/>
      <c r="M178"/>
    </row>
    <row r="179" spans="1:13">
      <c r="A179" s="2" t="s">
        <v>522</v>
      </c>
      <c r="B179" t="s">
        <v>1776</v>
      </c>
      <c r="C179" t="s">
        <v>1753</v>
      </c>
      <c r="D179" t="s">
        <v>1758</v>
      </c>
      <c r="K179"/>
      <c r="L179"/>
      <c r="M179"/>
    </row>
    <row r="180" spans="1:13">
      <c r="A180" s="2" t="s">
        <v>502</v>
      </c>
      <c r="B180" t="s">
        <v>1776</v>
      </c>
      <c r="C180" t="s">
        <v>1753</v>
      </c>
      <c r="D180" t="s">
        <v>1758</v>
      </c>
      <c r="K180"/>
      <c r="L180"/>
      <c r="M180"/>
    </row>
    <row r="181" spans="1:13">
      <c r="A181" s="2" t="s">
        <v>505</v>
      </c>
      <c r="B181" t="s">
        <v>1776</v>
      </c>
      <c r="C181" t="s">
        <v>1753</v>
      </c>
      <c r="D181" t="s">
        <v>1758</v>
      </c>
      <c r="K181"/>
      <c r="L181"/>
      <c r="M181"/>
    </row>
    <row r="182" spans="1:13">
      <c r="A182" s="2" t="s">
        <v>492</v>
      </c>
      <c r="B182" t="s">
        <v>1776</v>
      </c>
      <c r="C182" t="s">
        <v>1753</v>
      </c>
      <c r="D182" t="s">
        <v>1758</v>
      </c>
      <c r="K182"/>
      <c r="L182"/>
      <c r="M182"/>
    </row>
    <row r="183" spans="1:13">
      <c r="A183" s="2" t="s">
        <v>515</v>
      </c>
      <c r="B183" t="s">
        <v>1776</v>
      </c>
      <c r="C183" t="s">
        <v>1753</v>
      </c>
      <c r="D183" t="s">
        <v>1758</v>
      </c>
      <c r="K183"/>
      <c r="L183"/>
      <c r="M183"/>
    </row>
    <row r="184" spans="1:13">
      <c r="A184" s="2" t="s">
        <v>488</v>
      </c>
      <c r="B184" t="s">
        <v>1776</v>
      </c>
      <c r="C184" t="s">
        <v>1753</v>
      </c>
      <c r="D184" t="s">
        <v>1758</v>
      </c>
      <c r="K184"/>
      <c r="L184"/>
      <c r="M184"/>
    </row>
    <row r="185" spans="1:13">
      <c r="A185" s="2" t="s">
        <v>439</v>
      </c>
      <c r="B185" t="s">
        <v>1777</v>
      </c>
      <c r="C185" t="s">
        <v>1749</v>
      </c>
      <c r="D185" t="s">
        <v>1758</v>
      </c>
      <c r="K185"/>
      <c r="L185"/>
      <c r="M185"/>
    </row>
    <row r="186" spans="1:13">
      <c r="A186" s="2" t="s">
        <v>631</v>
      </c>
      <c r="B186" t="s">
        <v>1777</v>
      </c>
      <c r="C186" t="s">
        <v>1749</v>
      </c>
      <c r="D186" t="s">
        <v>1758</v>
      </c>
      <c r="K186"/>
      <c r="L186"/>
      <c r="M186"/>
    </row>
    <row r="187" spans="1:13">
      <c r="A187" s="2" t="s">
        <v>383</v>
      </c>
      <c r="B187" t="s">
        <v>1777</v>
      </c>
      <c r="C187" t="s">
        <v>1749</v>
      </c>
      <c r="D187" t="s">
        <v>1758</v>
      </c>
      <c r="K187"/>
      <c r="L187"/>
      <c r="M187"/>
    </row>
    <row r="188" spans="1:13">
      <c r="A188" s="2" t="s">
        <v>421</v>
      </c>
      <c r="B188" t="s">
        <v>1777</v>
      </c>
      <c r="C188" t="s">
        <v>1749</v>
      </c>
      <c r="D188" t="s">
        <v>1758</v>
      </c>
      <c r="K188"/>
      <c r="L188"/>
      <c r="M188"/>
    </row>
    <row r="189" spans="1:13">
      <c r="A189" s="2" t="s">
        <v>428</v>
      </c>
      <c r="B189" t="s">
        <v>1777</v>
      </c>
      <c r="C189" t="s">
        <v>1749</v>
      </c>
      <c r="D189" t="s">
        <v>1758</v>
      </c>
      <c r="K189"/>
      <c r="L189"/>
      <c r="M189"/>
    </row>
    <row r="190" spans="1:13">
      <c r="A190" s="2" t="s">
        <v>429</v>
      </c>
      <c r="B190" t="s">
        <v>1777</v>
      </c>
      <c r="C190" t="s">
        <v>1749</v>
      </c>
      <c r="D190" t="s">
        <v>1758</v>
      </c>
      <c r="K190"/>
      <c r="L190"/>
      <c r="M190"/>
    </row>
    <row r="191" spans="1:13">
      <c r="A191" s="2" t="s">
        <v>416</v>
      </c>
      <c r="B191" t="s">
        <v>1777</v>
      </c>
      <c r="C191" t="s">
        <v>1756</v>
      </c>
      <c r="D191" t="s">
        <v>1759</v>
      </c>
      <c r="K191"/>
      <c r="L191"/>
      <c r="M191"/>
    </row>
    <row r="192" spans="1:13">
      <c r="A192" s="2" t="s">
        <v>405</v>
      </c>
      <c r="B192" t="s">
        <v>1777</v>
      </c>
      <c r="C192" t="s">
        <v>1749</v>
      </c>
      <c r="D192" t="s">
        <v>1758</v>
      </c>
      <c r="K192"/>
      <c r="L192"/>
      <c r="M192"/>
    </row>
    <row r="193" spans="1:13">
      <c r="A193" s="2" t="s">
        <v>477</v>
      </c>
      <c r="B193" t="s">
        <v>1777</v>
      </c>
      <c r="C193" t="s">
        <v>1749</v>
      </c>
      <c r="D193" t="s">
        <v>1758</v>
      </c>
      <c r="K193"/>
      <c r="L193"/>
      <c r="M193"/>
    </row>
    <row r="194" spans="1:13">
      <c r="A194" s="2" t="s">
        <v>637</v>
      </c>
      <c r="B194" t="s">
        <v>1777</v>
      </c>
      <c r="C194" t="s">
        <v>1749</v>
      </c>
      <c r="D194" t="s">
        <v>1758</v>
      </c>
      <c r="K194"/>
      <c r="L194"/>
      <c r="M194"/>
    </row>
    <row r="195" spans="1:13">
      <c r="A195" s="2" t="s">
        <v>658</v>
      </c>
      <c r="B195" t="s">
        <v>1777</v>
      </c>
      <c r="C195" t="s">
        <v>1749</v>
      </c>
      <c r="D195" t="s">
        <v>1758</v>
      </c>
      <c r="K195"/>
      <c r="L195"/>
      <c r="M195"/>
    </row>
    <row r="196" spans="1:13">
      <c r="A196" s="2" t="s">
        <v>461</v>
      </c>
      <c r="B196" t="s">
        <v>1777</v>
      </c>
      <c r="C196" t="s">
        <v>1749</v>
      </c>
      <c r="D196" t="s">
        <v>1758</v>
      </c>
      <c r="K196"/>
      <c r="L196"/>
      <c r="M196"/>
    </row>
    <row r="197" spans="1:13">
      <c r="A197" s="2" t="s">
        <v>408</v>
      </c>
      <c r="B197" t="s">
        <v>1777</v>
      </c>
      <c r="C197" t="s">
        <v>1749</v>
      </c>
      <c r="D197" t="s">
        <v>1758</v>
      </c>
      <c r="K197"/>
      <c r="L197"/>
      <c r="M197"/>
    </row>
    <row r="198" spans="1:13">
      <c r="A198" s="2" t="s">
        <v>412</v>
      </c>
      <c r="B198" t="s">
        <v>1777</v>
      </c>
      <c r="C198" t="s">
        <v>1749</v>
      </c>
      <c r="D198" t="s">
        <v>1758</v>
      </c>
      <c r="K198"/>
      <c r="L198"/>
      <c r="M198"/>
    </row>
    <row r="199" spans="1:13">
      <c r="A199" s="2" t="s">
        <v>394</v>
      </c>
      <c r="B199" t="s">
        <v>1777</v>
      </c>
      <c r="C199" t="s">
        <v>1749</v>
      </c>
      <c r="D199" t="s">
        <v>1758</v>
      </c>
      <c r="K199"/>
      <c r="L199"/>
      <c r="M199"/>
    </row>
    <row r="200" spans="1:13">
      <c r="A200" s="2" t="s">
        <v>407</v>
      </c>
      <c r="B200" t="s">
        <v>1777</v>
      </c>
      <c r="C200" t="s">
        <v>1752</v>
      </c>
      <c r="D200" t="s">
        <v>1758</v>
      </c>
      <c r="K200"/>
      <c r="L200"/>
      <c r="M200"/>
    </row>
    <row r="201" spans="1:13">
      <c r="A201" s="2" t="s">
        <v>444</v>
      </c>
      <c r="B201" t="s">
        <v>1777</v>
      </c>
      <c r="C201" t="s">
        <v>1749</v>
      </c>
      <c r="D201" t="s">
        <v>1758</v>
      </c>
      <c r="K201"/>
      <c r="L201"/>
      <c r="M201"/>
    </row>
    <row r="202" spans="1:13">
      <c r="A202" s="2" t="s">
        <v>443</v>
      </c>
      <c r="B202" t="s">
        <v>1777</v>
      </c>
      <c r="C202" t="s">
        <v>1749</v>
      </c>
      <c r="D202" t="s">
        <v>1758</v>
      </c>
      <c r="K202"/>
      <c r="L202"/>
      <c r="M202"/>
    </row>
    <row r="203" spans="1:13">
      <c r="A203" s="2" t="s">
        <v>442</v>
      </c>
      <c r="B203" t="s">
        <v>1777</v>
      </c>
      <c r="C203" t="s">
        <v>1749</v>
      </c>
      <c r="D203" t="s">
        <v>1758</v>
      </c>
      <c r="K203"/>
      <c r="L203"/>
      <c r="M203"/>
    </row>
    <row r="204" spans="1:13">
      <c r="A204" s="2" t="s">
        <v>441</v>
      </c>
      <c r="B204" t="s">
        <v>1777</v>
      </c>
      <c r="C204" t="s">
        <v>1749</v>
      </c>
      <c r="D204" t="s">
        <v>1758</v>
      </c>
      <c r="K204"/>
      <c r="L204"/>
      <c r="M204"/>
    </row>
    <row r="205" spans="1:13">
      <c r="A205" s="2" t="s">
        <v>440</v>
      </c>
      <c r="B205" t="s">
        <v>1777</v>
      </c>
      <c r="C205" t="s">
        <v>1749</v>
      </c>
      <c r="D205" t="s">
        <v>1758</v>
      </c>
      <c r="K205"/>
      <c r="L205"/>
      <c r="M205"/>
    </row>
    <row r="206" spans="1:13">
      <c r="A206" s="2" t="s">
        <v>446</v>
      </c>
      <c r="B206" t="s">
        <v>1777</v>
      </c>
      <c r="C206" t="s">
        <v>1749</v>
      </c>
      <c r="D206" t="s">
        <v>1758</v>
      </c>
      <c r="K206"/>
      <c r="L206"/>
      <c r="M206"/>
    </row>
    <row r="207" spans="1:13">
      <c r="A207" s="2" t="s">
        <v>413</v>
      </c>
      <c r="B207" t="s">
        <v>1777</v>
      </c>
      <c r="C207" t="s">
        <v>1749</v>
      </c>
      <c r="D207" t="s">
        <v>1758</v>
      </c>
      <c r="K207"/>
      <c r="L207"/>
      <c r="M207"/>
    </row>
    <row r="208" spans="1:13">
      <c r="A208" s="2" t="s">
        <v>469</v>
      </c>
      <c r="B208" t="s">
        <v>1777</v>
      </c>
      <c r="C208" t="s">
        <v>1749</v>
      </c>
      <c r="D208" t="s">
        <v>1758</v>
      </c>
      <c r="K208"/>
      <c r="L208"/>
      <c r="M208"/>
    </row>
    <row r="209" spans="1:13">
      <c r="A209" s="2" t="s">
        <v>453</v>
      </c>
      <c r="B209" t="s">
        <v>1777</v>
      </c>
      <c r="C209" t="s">
        <v>1749</v>
      </c>
      <c r="D209" t="s">
        <v>1758</v>
      </c>
      <c r="K209"/>
      <c r="L209"/>
      <c r="M209"/>
    </row>
    <row r="210" spans="1:13">
      <c r="A210" s="2" t="s">
        <v>662</v>
      </c>
      <c r="B210" t="s">
        <v>1777</v>
      </c>
      <c r="C210" t="s">
        <v>1749</v>
      </c>
      <c r="D210" t="s">
        <v>1758</v>
      </c>
      <c r="K210"/>
      <c r="L210"/>
      <c r="M210"/>
    </row>
    <row r="211" spans="1:13">
      <c r="A211" s="2" t="s">
        <v>462</v>
      </c>
      <c r="B211" t="s">
        <v>1777</v>
      </c>
      <c r="C211" t="s">
        <v>1749</v>
      </c>
      <c r="D211" t="s">
        <v>1758</v>
      </c>
      <c r="K211"/>
      <c r="L211"/>
      <c r="M211"/>
    </row>
    <row r="212" spans="1:13">
      <c r="A212" s="2" t="s">
        <v>464</v>
      </c>
      <c r="B212" t="s">
        <v>1777</v>
      </c>
      <c r="C212" t="s">
        <v>1749</v>
      </c>
      <c r="D212" t="s">
        <v>1758</v>
      </c>
      <c r="K212"/>
      <c r="L212"/>
      <c r="M212"/>
    </row>
    <row r="213" spans="1:13">
      <c r="A213" s="2" t="s">
        <v>463</v>
      </c>
      <c r="B213" t="s">
        <v>1777</v>
      </c>
      <c r="C213" t="s">
        <v>1749</v>
      </c>
      <c r="D213" t="s">
        <v>1758</v>
      </c>
      <c r="K213"/>
      <c r="L213"/>
      <c r="M213"/>
    </row>
    <row r="214" spans="1:13">
      <c r="A214" s="2" t="s">
        <v>388</v>
      </c>
      <c r="B214" t="s">
        <v>1777</v>
      </c>
      <c r="C214" t="s">
        <v>1749</v>
      </c>
      <c r="D214" t="s">
        <v>1758</v>
      </c>
      <c r="K214"/>
      <c r="L214"/>
      <c r="M214"/>
    </row>
    <row r="215" spans="1:13">
      <c r="A215" s="2" t="s">
        <v>476</v>
      </c>
      <c r="B215" t="s">
        <v>1777</v>
      </c>
      <c r="C215" t="s">
        <v>1749</v>
      </c>
      <c r="D215" t="s">
        <v>1758</v>
      </c>
      <c r="K215"/>
      <c r="L215"/>
      <c r="M215"/>
    </row>
    <row r="216" spans="1:13">
      <c r="A216" s="2" t="s">
        <v>422</v>
      </c>
      <c r="B216" t="s">
        <v>1777</v>
      </c>
      <c r="C216" t="s">
        <v>1749</v>
      </c>
      <c r="D216" t="s">
        <v>1758</v>
      </c>
      <c r="K216"/>
      <c r="L216"/>
      <c r="M216"/>
    </row>
    <row r="217" spans="1:13">
      <c r="A217" s="2" t="s">
        <v>419</v>
      </c>
      <c r="B217" t="s">
        <v>1777</v>
      </c>
      <c r="C217" t="s">
        <v>1749</v>
      </c>
      <c r="D217" t="s">
        <v>1758</v>
      </c>
      <c r="K217"/>
      <c r="L217"/>
      <c r="M217"/>
    </row>
    <row r="218" spans="1:13">
      <c r="A218" s="2" t="s">
        <v>417</v>
      </c>
      <c r="B218" t="s">
        <v>1777</v>
      </c>
      <c r="C218" t="s">
        <v>1749</v>
      </c>
      <c r="D218" t="s">
        <v>1758</v>
      </c>
      <c r="K218"/>
      <c r="L218"/>
      <c r="M218"/>
    </row>
    <row r="219" spans="1:13">
      <c r="A219" s="2" t="s">
        <v>465</v>
      </c>
      <c r="B219" t="s">
        <v>1777</v>
      </c>
      <c r="C219" t="s">
        <v>1749</v>
      </c>
      <c r="D219" t="s">
        <v>1758</v>
      </c>
      <c r="K219"/>
      <c r="L219"/>
      <c r="M219"/>
    </row>
    <row r="220" spans="1:13">
      <c r="A220" s="2" t="s">
        <v>471</v>
      </c>
      <c r="B220" t="s">
        <v>1777</v>
      </c>
      <c r="C220" t="s">
        <v>1749</v>
      </c>
      <c r="D220" t="s">
        <v>1758</v>
      </c>
      <c r="K220"/>
      <c r="L220"/>
      <c r="M220"/>
    </row>
    <row r="221" spans="1:13">
      <c r="A221" s="2" t="s">
        <v>423</v>
      </c>
      <c r="B221" t="s">
        <v>1777</v>
      </c>
      <c r="C221" t="s">
        <v>1749</v>
      </c>
      <c r="D221" t="s">
        <v>1758</v>
      </c>
      <c r="K221"/>
      <c r="L221"/>
      <c r="M221"/>
    </row>
    <row r="222" spans="1:13">
      <c r="A222" s="2" t="s">
        <v>435</v>
      </c>
      <c r="B222" t="s">
        <v>1777</v>
      </c>
      <c r="C222" t="s">
        <v>1756</v>
      </c>
      <c r="D222" t="s">
        <v>1759</v>
      </c>
      <c r="K222"/>
      <c r="L222"/>
      <c r="M222"/>
    </row>
    <row r="223" spans="1:13">
      <c r="A223" s="2" t="s">
        <v>447</v>
      </c>
      <c r="B223" t="s">
        <v>1777</v>
      </c>
      <c r="C223" t="s">
        <v>1749</v>
      </c>
      <c r="D223" t="s">
        <v>1758</v>
      </c>
      <c r="K223"/>
      <c r="L223"/>
      <c r="M223"/>
    </row>
    <row r="224" spans="1:13">
      <c r="A224" s="2" t="s">
        <v>661</v>
      </c>
      <c r="B224" t="s">
        <v>1777</v>
      </c>
      <c r="C224" t="s">
        <v>1749</v>
      </c>
      <c r="D224" t="s">
        <v>1758</v>
      </c>
      <c r="K224"/>
      <c r="L224"/>
      <c r="M224"/>
    </row>
    <row r="225" spans="1:13">
      <c r="A225" s="2" t="s">
        <v>387</v>
      </c>
      <c r="B225" t="s">
        <v>1777</v>
      </c>
      <c r="C225" t="s">
        <v>1756</v>
      </c>
      <c r="D225" t="s">
        <v>1759</v>
      </c>
      <c r="K225"/>
      <c r="L225"/>
      <c r="M225"/>
    </row>
    <row r="226" spans="1:13">
      <c r="A226" s="2" t="s">
        <v>410</v>
      </c>
      <c r="B226" t="s">
        <v>1777</v>
      </c>
      <c r="C226" t="s">
        <v>1749</v>
      </c>
      <c r="D226" t="s">
        <v>1758</v>
      </c>
      <c r="K226"/>
      <c r="L226"/>
      <c r="M226"/>
    </row>
    <row r="227" spans="1:13">
      <c r="A227" s="2" t="s">
        <v>389</v>
      </c>
      <c r="B227" t="s">
        <v>1777</v>
      </c>
      <c r="C227" t="s">
        <v>1749</v>
      </c>
      <c r="D227" t="s">
        <v>1758</v>
      </c>
      <c r="K227"/>
      <c r="L227"/>
      <c r="M227"/>
    </row>
    <row r="228" spans="1:13">
      <c r="A228" s="2" t="s">
        <v>402</v>
      </c>
      <c r="B228" t="s">
        <v>1777</v>
      </c>
      <c r="C228" t="s">
        <v>1749</v>
      </c>
      <c r="D228" t="s">
        <v>1758</v>
      </c>
      <c r="K228"/>
      <c r="L228"/>
      <c r="M228"/>
    </row>
    <row r="229" spans="1:13">
      <c r="A229" s="2" t="s">
        <v>395</v>
      </c>
      <c r="B229" t="s">
        <v>1777</v>
      </c>
      <c r="C229" t="s">
        <v>1749</v>
      </c>
      <c r="D229" t="s">
        <v>1758</v>
      </c>
      <c r="K229"/>
      <c r="L229"/>
      <c r="M229"/>
    </row>
    <row r="230" spans="1:13">
      <c r="A230" s="2" t="s">
        <v>403</v>
      </c>
      <c r="B230" t="s">
        <v>1777</v>
      </c>
      <c r="C230" t="s">
        <v>1749</v>
      </c>
      <c r="D230" t="s">
        <v>1758</v>
      </c>
      <c r="K230"/>
      <c r="L230"/>
      <c r="M230"/>
    </row>
    <row r="231" spans="1:13">
      <c r="A231" s="2" t="s">
        <v>454</v>
      </c>
      <c r="B231" t="s">
        <v>1777</v>
      </c>
      <c r="C231" t="s">
        <v>1749</v>
      </c>
      <c r="D231" t="s">
        <v>1758</v>
      </c>
      <c r="K231"/>
      <c r="L231"/>
      <c r="M231"/>
    </row>
    <row r="232" spans="1:13">
      <c r="A232" s="2" t="s">
        <v>472</v>
      </c>
      <c r="B232" t="s">
        <v>1777</v>
      </c>
      <c r="C232" t="s">
        <v>1756</v>
      </c>
      <c r="D232" t="s">
        <v>1759</v>
      </c>
      <c r="K232"/>
      <c r="L232"/>
      <c r="M232"/>
    </row>
    <row r="233" spans="1:13">
      <c r="A233" s="2" t="s">
        <v>404</v>
      </c>
      <c r="B233" t="s">
        <v>1777</v>
      </c>
      <c r="C233" t="s">
        <v>1749</v>
      </c>
      <c r="D233" t="s">
        <v>1758</v>
      </c>
      <c r="K233"/>
      <c r="L233"/>
      <c r="M233"/>
    </row>
    <row r="234" spans="1:13">
      <c r="A234" s="2" t="s">
        <v>401</v>
      </c>
      <c r="B234" t="s">
        <v>1777</v>
      </c>
      <c r="C234" t="s">
        <v>1756</v>
      </c>
      <c r="D234" t="s">
        <v>1762</v>
      </c>
      <c r="K234"/>
      <c r="L234"/>
      <c r="M234"/>
    </row>
    <row r="235" spans="1:13">
      <c r="A235" s="2" t="s">
        <v>386</v>
      </c>
      <c r="B235" t="s">
        <v>1777</v>
      </c>
      <c r="C235" t="s">
        <v>1749</v>
      </c>
      <c r="D235" t="s">
        <v>1758</v>
      </c>
      <c r="K235"/>
      <c r="L235"/>
      <c r="M235"/>
    </row>
    <row r="236" spans="1:13">
      <c r="A236" s="2" t="s">
        <v>379</v>
      </c>
      <c r="B236" t="s">
        <v>1777</v>
      </c>
      <c r="C236" t="s">
        <v>1749</v>
      </c>
      <c r="D236" t="s">
        <v>1758</v>
      </c>
      <c r="K236"/>
      <c r="L236"/>
      <c r="M236"/>
    </row>
    <row r="237" spans="1:13">
      <c r="A237" s="2" t="s">
        <v>380</v>
      </c>
      <c r="B237" t="s">
        <v>1777</v>
      </c>
      <c r="C237" t="s">
        <v>1749</v>
      </c>
      <c r="D237" t="s">
        <v>1758</v>
      </c>
      <c r="K237"/>
      <c r="L237"/>
      <c r="M237"/>
    </row>
    <row r="238" spans="1:13">
      <c r="A238" s="2" t="s">
        <v>629</v>
      </c>
      <c r="B238" t="s">
        <v>1777</v>
      </c>
      <c r="C238" t="s">
        <v>1749</v>
      </c>
      <c r="D238" t="s">
        <v>1758</v>
      </c>
      <c r="K238"/>
      <c r="L238"/>
      <c r="M238"/>
    </row>
    <row r="239" spans="1:13">
      <c r="A239" s="2" t="s">
        <v>473</v>
      </c>
      <c r="B239" t="s">
        <v>1777</v>
      </c>
      <c r="C239" t="s">
        <v>1749</v>
      </c>
      <c r="D239" t="s">
        <v>1758</v>
      </c>
      <c r="K239"/>
      <c r="L239"/>
      <c r="M239"/>
    </row>
    <row r="240" spans="1:13">
      <c r="A240" s="2" t="s">
        <v>628</v>
      </c>
      <c r="B240" t="s">
        <v>1777</v>
      </c>
      <c r="C240" t="s">
        <v>1756</v>
      </c>
      <c r="D240" t="s">
        <v>1762</v>
      </c>
      <c r="K240"/>
      <c r="L240"/>
      <c r="M240"/>
    </row>
    <row r="241" spans="1:13">
      <c r="A241" s="2" t="s">
        <v>466</v>
      </c>
      <c r="B241" t="s">
        <v>1777</v>
      </c>
      <c r="C241" t="s">
        <v>1756</v>
      </c>
      <c r="D241" t="s">
        <v>1762</v>
      </c>
      <c r="K241"/>
      <c r="L241"/>
      <c r="M241"/>
    </row>
    <row r="242" spans="1:13">
      <c r="A242" s="2" t="s">
        <v>663</v>
      </c>
      <c r="B242" t="s">
        <v>1777</v>
      </c>
      <c r="C242" t="s">
        <v>1749</v>
      </c>
      <c r="D242" t="s">
        <v>1758</v>
      </c>
      <c r="K242"/>
      <c r="L242"/>
      <c r="M242"/>
    </row>
    <row r="243" spans="1:13">
      <c r="A243" s="2" t="s">
        <v>664</v>
      </c>
      <c r="B243" t="s">
        <v>1777</v>
      </c>
      <c r="C243" t="s">
        <v>1756</v>
      </c>
      <c r="D243" t="s">
        <v>1762</v>
      </c>
      <c r="K243"/>
      <c r="L243"/>
      <c r="M243"/>
    </row>
    <row r="244" spans="1:13">
      <c r="A244" s="2" t="s">
        <v>455</v>
      </c>
      <c r="B244" t="s">
        <v>1777</v>
      </c>
      <c r="C244" t="s">
        <v>1749</v>
      </c>
      <c r="D244" t="s">
        <v>1758</v>
      </c>
      <c r="K244"/>
      <c r="L244"/>
      <c r="M244"/>
    </row>
    <row r="245" spans="1:13">
      <c r="A245" s="2" t="s">
        <v>458</v>
      </c>
      <c r="B245" t="s">
        <v>1777</v>
      </c>
      <c r="C245" t="s">
        <v>1749</v>
      </c>
      <c r="D245" t="s">
        <v>1758</v>
      </c>
      <c r="K245"/>
      <c r="L245"/>
      <c r="M245"/>
    </row>
    <row r="246" spans="1:13">
      <c r="A246" s="2" t="s">
        <v>459</v>
      </c>
      <c r="B246" t="s">
        <v>1777</v>
      </c>
      <c r="C246" t="s">
        <v>1749</v>
      </c>
      <c r="D246" t="s">
        <v>1758</v>
      </c>
      <c r="K246"/>
      <c r="L246"/>
      <c r="M246"/>
    </row>
    <row r="247" spans="1:13">
      <c r="A247" s="2" t="s">
        <v>409</v>
      </c>
      <c r="B247" t="s">
        <v>1777</v>
      </c>
      <c r="C247" t="s">
        <v>1749</v>
      </c>
      <c r="D247" t="s">
        <v>1758</v>
      </c>
      <c r="K247"/>
      <c r="L247"/>
      <c r="M247"/>
    </row>
    <row r="248" spans="1:13">
      <c r="A248" s="2" t="s">
        <v>456</v>
      </c>
      <c r="B248" t="s">
        <v>1777</v>
      </c>
      <c r="C248" t="s">
        <v>1749</v>
      </c>
      <c r="D248" t="s">
        <v>1758</v>
      </c>
      <c r="K248"/>
      <c r="L248"/>
      <c r="M248"/>
    </row>
    <row r="249" spans="1:13">
      <c r="A249" s="2" t="s">
        <v>381</v>
      </c>
      <c r="B249" t="s">
        <v>1777</v>
      </c>
      <c r="C249" t="s">
        <v>1749</v>
      </c>
      <c r="D249" t="s">
        <v>1758</v>
      </c>
      <c r="K249"/>
      <c r="L249"/>
      <c r="M249"/>
    </row>
    <row r="250" spans="1:13">
      <c r="A250" s="2" t="s">
        <v>382</v>
      </c>
      <c r="B250" t="s">
        <v>1777</v>
      </c>
      <c r="C250" t="s">
        <v>1749</v>
      </c>
      <c r="D250" t="s">
        <v>1758</v>
      </c>
      <c r="K250"/>
      <c r="L250"/>
      <c r="M250"/>
    </row>
    <row r="251" spans="1:13">
      <c r="A251" s="2" t="s">
        <v>460</v>
      </c>
      <c r="B251" t="s">
        <v>1777</v>
      </c>
      <c r="C251" t="s">
        <v>1749</v>
      </c>
      <c r="D251" t="s">
        <v>1758</v>
      </c>
      <c r="K251"/>
      <c r="L251"/>
      <c r="M251"/>
    </row>
    <row r="252" spans="1:13">
      <c r="A252" s="2" t="s">
        <v>630</v>
      </c>
      <c r="B252" t="s">
        <v>1777</v>
      </c>
      <c r="C252" t="s">
        <v>1749</v>
      </c>
      <c r="D252" t="s">
        <v>1758</v>
      </c>
      <c r="K252"/>
      <c r="L252"/>
      <c r="M252"/>
    </row>
    <row r="253" spans="1:13">
      <c r="A253" s="2" t="s">
        <v>640</v>
      </c>
      <c r="B253" t="s">
        <v>1777</v>
      </c>
      <c r="C253" t="s">
        <v>1749</v>
      </c>
      <c r="D253" t="s">
        <v>1758</v>
      </c>
      <c r="K253"/>
      <c r="L253"/>
      <c r="M253"/>
    </row>
    <row r="254" spans="1:13">
      <c r="A254" s="2" t="s">
        <v>418</v>
      </c>
      <c r="B254" t="s">
        <v>1777</v>
      </c>
      <c r="C254" t="s">
        <v>1749</v>
      </c>
      <c r="D254" t="s">
        <v>1758</v>
      </c>
      <c r="K254"/>
      <c r="L254"/>
      <c r="M254"/>
    </row>
    <row r="255" spans="1:13">
      <c r="A255" s="2" t="s">
        <v>434</v>
      </c>
      <c r="B255" t="s">
        <v>1777</v>
      </c>
      <c r="C255" t="s">
        <v>1749</v>
      </c>
      <c r="D255" t="s">
        <v>1758</v>
      </c>
      <c r="K255"/>
      <c r="L255"/>
      <c r="M255"/>
    </row>
    <row r="256" spans="1:13">
      <c r="A256" s="2" t="s">
        <v>414</v>
      </c>
      <c r="B256" t="s">
        <v>1777</v>
      </c>
      <c r="C256" t="s">
        <v>1749</v>
      </c>
      <c r="D256" t="s">
        <v>1758</v>
      </c>
      <c r="K256"/>
      <c r="L256"/>
      <c r="M256"/>
    </row>
    <row r="257" spans="1:13">
      <c r="A257" s="2" t="s">
        <v>399</v>
      </c>
      <c r="B257" t="s">
        <v>1777</v>
      </c>
      <c r="C257" t="s">
        <v>1749</v>
      </c>
      <c r="D257" t="s">
        <v>1758</v>
      </c>
      <c r="K257"/>
      <c r="L257"/>
      <c r="M257"/>
    </row>
    <row r="258" spans="1:13">
      <c r="A258" s="2" t="s">
        <v>398</v>
      </c>
      <c r="B258" t="s">
        <v>1777</v>
      </c>
      <c r="C258" t="s">
        <v>1756</v>
      </c>
      <c r="D258" t="s">
        <v>1762</v>
      </c>
      <c r="K258"/>
      <c r="L258"/>
      <c r="M258"/>
    </row>
    <row r="259" spans="1:13">
      <c r="A259" s="2" t="s">
        <v>397</v>
      </c>
      <c r="B259" t="s">
        <v>1777</v>
      </c>
      <c r="C259" t="s">
        <v>1749</v>
      </c>
      <c r="D259" t="s">
        <v>1758</v>
      </c>
      <c r="K259"/>
      <c r="L259"/>
      <c r="M259"/>
    </row>
    <row r="260" spans="1:13">
      <c r="A260" s="2" t="s">
        <v>448</v>
      </c>
      <c r="B260" t="s">
        <v>1777</v>
      </c>
      <c r="C260" t="s">
        <v>1749</v>
      </c>
      <c r="D260" t="s">
        <v>1758</v>
      </c>
      <c r="K260"/>
      <c r="L260"/>
      <c r="M260"/>
    </row>
    <row r="261" spans="1:13">
      <c r="A261" s="2" t="s">
        <v>449</v>
      </c>
      <c r="B261" t="s">
        <v>1777</v>
      </c>
      <c r="C261" t="s">
        <v>1749</v>
      </c>
      <c r="D261" t="s">
        <v>1758</v>
      </c>
      <c r="K261"/>
      <c r="L261"/>
      <c r="M261"/>
    </row>
    <row r="262" spans="1:13">
      <c r="A262" s="2" t="s">
        <v>656</v>
      </c>
      <c r="B262" t="s">
        <v>1777</v>
      </c>
      <c r="C262" t="s">
        <v>1749</v>
      </c>
      <c r="D262" t="s">
        <v>1758</v>
      </c>
      <c r="K262"/>
      <c r="L262"/>
      <c r="M262"/>
    </row>
    <row r="263" spans="1:13">
      <c r="A263" s="2" t="s">
        <v>665</v>
      </c>
      <c r="B263" t="s">
        <v>1777</v>
      </c>
      <c r="C263" t="s">
        <v>1749</v>
      </c>
      <c r="D263" t="s">
        <v>1758</v>
      </c>
      <c r="K263"/>
      <c r="L263"/>
      <c r="M263"/>
    </row>
    <row r="264" spans="1:13">
      <c r="A264" s="2" t="s">
        <v>653</v>
      </c>
      <c r="B264" t="s">
        <v>1777</v>
      </c>
      <c r="C264" t="s">
        <v>1756</v>
      </c>
      <c r="D264" t="s">
        <v>1762</v>
      </c>
      <c r="K264"/>
      <c r="L264"/>
      <c r="M264"/>
    </row>
    <row r="265" spans="1:13">
      <c r="A265" s="2" t="s">
        <v>652</v>
      </c>
      <c r="B265" t="s">
        <v>1777</v>
      </c>
      <c r="C265" t="s">
        <v>1756</v>
      </c>
      <c r="D265" t="s">
        <v>1762</v>
      </c>
      <c r="K265"/>
      <c r="L265"/>
      <c r="M265"/>
    </row>
    <row r="266" spans="1:13">
      <c r="A266" s="2" t="s">
        <v>654</v>
      </c>
      <c r="B266" t="s">
        <v>1777</v>
      </c>
      <c r="C266" t="s">
        <v>1749</v>
      </c>
      <c r="D266" t="s">
        <v>1758</v>
      </c>
      <c r="K266"/>
      <c r="L266"/>
      <c r="M266"/>
    </row>
    <row r="267" spans="1:13">
      <c r="A267" s="2" t="s">
        <v>660</v>
      </c>
      <c r="B267" t="s">
        <v>1777</v>
      </c>
      <c r="C267" t="s">
        <v>1749</v>
      </c>
      <c r="D267" t="s">
        <v>1758</v>
      </c>
      <c r="K267"/>
      <c r="L267"/>
      <c r="M267"/>
    </row>
    <row r="268" spans="1:13">
      <c r="A268" s="2" t="s">
        <v>659</v>
      </c>
      <c r="B268" t="s">
        <v>1777</v>
      </c>
      <c r="C268" t="s">
        <v>1756</v>
      </c>
      <c r="D268" t="s">
        <v>1762</v>
      </c>
      <c r="K268"/>
      <c r="L268"/>
      <c r="M268"/>
    </row>
    <row r="269" spans="1:13">
      <c r="A269" s="2" t="s">
        <v>400</v>
      </c>
      <c r="B269" t="s">
        <v>1777</v>
      </c>
      <c r="C269" t="s">
        <v>1749</v>
      </c>
      <c r="D269" t="s">
        <v>1758</v>
      </c>
      <c r="K269"/>
      <c r="L269"/>
      <c r="M269"/>
    </row>
    <row r="270" spans="1:13">
      <c r="A270" s="2" t="s">
        <v>639</v>
      </c>
      <c r="B270" t="s">
        <v>1777</v>
      </c>
      <c r="C270" t="s">
        <v>1749</v>
      </c>
      <c r="D270" t="s">
        <v>1758</v>
      </c>
      <c r="K270"/>
      <c r="L270"/>
      <c r="M270"/>
    </row>
    <row r="271" spans="1:13">
      <c r="A271" s="2" t="s">
        <v>450</v>
      </c>
      <c r="B271" t="s">
        <v>1777</v>
      </c>
      <c r="C271" t="s">
        <v>1749</v>
      </c>
      <c r="D271" t="s">
        <v>1758</v>
      </c>
      <c r="K271"/>
      <c r="L271"/>
      <c r="M271"/>
    </row>
    <row r="272" spans="1:13">
      <c r="A272" s="2" t="s">
        <v>632</v>
      </c>
      <c r="B272" t="s">
        <v>1777</v>
      </c>
      <c r="C272" t="s">
        <v>1749</v>
      </c>
      <c r="D272" t="s">
        <v>1758</v>
      </c>
      <c r="K272"/>
      <c r="L272"/>
      <c r="M272"/>
    </row>
    <row r="273" spans="1:13">
      <c r="A273" s="2" t="s">
        <v>633</v>
      </c>
      <c r="B273" t="s">
        <v>1777</v>
      </c>
      <c r="C273" t="s">
        <v>1749</v>
      </c>
      <c r="D273" t="s">
        <v>1758</v>
      </c>
      <c r="K273"/>
      <c r="L273"/>
      <c r="M273"/>
    </row>
    <row r="274" spans="1:13">
      <c r="A274" s="2" t="s">
        <v>634</v>
      </c>
      <c r="B274" t="s">
        <v>1777</v>
      </c>
      <c r="C274" t="s">
        <v>1749</v>
      </c>
      <c r="D274" t="s">
        <v>1758</v>
      </c>
      <c r="K274"/>
      <c r="L274"/>
      <c r="M274"/>
    </row>
    <row r="275" spans="1:13">
      <c r="A275" s="2" t="s">
        <v>638</v>
      </c>
      <c r="B275" t="s">
        <v>1777</v>
      </c>
      <c r="C275" t="s">
        <v>1749</v>
      </c>
      <c r="D275" t="s">
        <v>1758</v>
      </c>
      <c r="K275"/>
      <c r="L275"/>
      <c r="M275"/>
    </row>
    <row r="276" spans="1:13">
      <c r="A276" s="2" t="s">
        <v>411</v>
      </c>
      <c r="B276" t="s">
        <v>1777</v>
      </c>
      <c r="C276" t="s">
        <v>1749</v>
      </c>
      <c r="D276" t="s">
        <v>1758</v>
      </c>
      <c r="K276"/>
      <c r="L276"/>
      <c r="M276"/>
    </row>
    <row r="277" spans="1:13">
      <c r="A277" s="2" t="s">
        <v>396</v>
      </c>
      <c r="B277" t="s">
        <v>1777</v>
      </c>
      <c r="C277" t="s">
        <v>1749</v>
      </c>
      <c r="D277" t="s">
        <v>1758</v>
      </c>
      <c r="K277"/>
      <c r="L277"/>
      <c r="M277"/>
    </row>
    <row r="278" spans="1:13">
      <c r="A278" s="2" t="s">
        <v>451</v>
      </c>
      <c r="B278" t="s">
        <v>1777</v>
      </c>
      <c r="C278" t="s">
        <v>1749</v>
      </c>
      <c r="D278" t="s">
        <v>1758</v>
      </c>
      <c r="K278"/>
      <c r="L278"/>
      <c r="M278"/>
    </row>
    <row r="279" spans="1:13">
      <c r="A279" s="2" t="s">
        <v>406</v>
      </c>
      <c r="B279" t="s">
        <v>1777</v>
      </c>
      <c r="C279" t="s">
        <v>1749</v>
      </c>
      <c r="D279" t="s">
        <v>1758</v>
      </c>
      <c r="K279"/>
      <c r="L279"/>
      <c r="M279"/>
    </row>
    <row r="280" spans="1:13">
      <c r="A280" s="2" t="s">
        <v>470</v>
      </c>
      <c r="B280" t="s">
        <v>1777</v>
      </c>
      <c r="C280" t="s">
        <v>1749</v>
      </c>
      <c r="D280" t="s">
        <v>1758</v>
      </c>
      <c r="K280"/>
      <c r="L280"/>
      <c r="M280"/>
    </row>
    <row r="281" spans="1:13">
      <c r="A281" s="2" t="s">
        <v>430</v>
      </c>
      <c r="B281" t="s">
        <v>1777</v>
      </c>
      <c r="C281" t="s">
        <v>1750</v>
      </c>
      <c r="D281" t="s">
        <v>1762</v>
      </c>
      <c r="K281"/>
      <c r="L281"/>
      <c r="M281"/>
    </row>
    <row r="282" spans="1:13">
      <c r="A282" s="2" t="s">
        <v>431</v>
      </c>
      <c r="B282" t="s">
        <v>1777</v>
      </c>
      <c r="C282" t="s">
        <v>1756</v>
      </c>
      <c r="D282" t="s">
        <v>1762</v>
      </c>
      <c r="K282"/>
      <c r="L282"/>
      <c r="M282"/>
    </row>
    <row r="283" spans="1:13">
      <c r="A283" s="2" t="s">
        <v>433</v>
      </c>
      <c r="B283" t="s">
        <v>1777</v>
      </c>
      <c r="C283" t="s">
        <v>1749</v>
      </c>
      <c r="D283" t="s">
        <v>1758</v>
      </c>
      <c r="K283"/>
      <c r="L283"/>
      <c r="M283"/>
    </row>
    <row r="284" spans="1:13">
      <c r="A284" s="2" t="s">
        <v>432</v>
      </c>
      <c r="B284" t="s">
        <v>1777</v>
      </c>
      <c r="C284" t="s">
        <v>1750</v>
      </c>
      <c r="D284" t="s">
        <v>1761</v>
      </c>
      <c r="K284"/>
      <c r="L284"/>
      <c r="M284"/>
    </row>
    <row r="285" spans="1:13">
      <c r="A285" s="2" t="s">
        <v>424</v>
      </c>
      <c r="B285" t="s">
        <v>1777</v>
      </c>
      <c r="C285" t="s">
        <v>1749</v>
      </c>
      <c r="D285" t="s">
        <v>1758</v>
      </c>
      <c r="K285"/>
      <c r="L285"/>
      <c r="M285"/>
    </row>
    <row r="286" spans="1:13">
      <c r="A286" s="2" t="s">
        <v>627</v>
      </c>
      <c r="B286" t="s">
        <v>1777</v>
      </c>
      <c r="C286" t="s">
        <v>1749</v>
      </c>
      <c r="D286" t="s">
        <v>1758</v>
      </c>
      <c r="K286"/>
      <c r="L286"/>
      <c r="M286"/>
    </row>
    <row r="287" spans="1:13">
      <c r="A287" s="2" t="s">
        <v>635</v>
      </c>
      <c r="B287" t="s">
        <v>1777</v>
      </c>
      <c r="C287" t="s">
        <v>1749</v>
      </c>
      <c r="D287" t="s">
        <v>1758</v>
      </c>
      <c r="K287"/>
      <c r="L287"/>
      <c r="M287"/>
    </row>
    <row r="288" spans="1:13">
      <c r="A288" s="2" t="s">
        <v>636</v>
      </c>
      <c r="B288" t="s">
        <v>1777</v>
      </c>
      <c r="C288" t="s">
        <v>1756</v>
      </c>
      <c r="D288" t="s">
        <v>1759</v>
      </c>
      <c r="K288"/>
      <c r="L288"/>
      <c r="M288"/>
    </row>
    <row r="289" spans="1:13">
      <c r="A289" s="2" t="s">
        <v>425</v>
      </c>
      <c r="B289" t="s">
        <v>1777</v>
      </c>
      <c r="C289" t="s">
        <v>1749</v>
      </c>
      <c r="D289" t="s">
        <v>1758</v>
      </c>
      <c r="K289"/>
      <c r="L289"/>
      <c r="M289"/>
    </row>
    <row r="290" spans="1:13">
      <c r="A290" s="2" t="s">
        <v>427</v>
      </c>
      <c r="B290" t="s">
        <v>1777</v>
      </c>
      <c r="C290" t="s">
        <v>1749</v>
      </c>
      <c r="D290" t="s">
        <v>1758</v>
      </c>
      <c r="K290"/>
      <c r="L290"/>
      <c r="M290"/>
    </row>
    <row r="291" spans="1:13">
      <c r="A291" s="2" t="s">
        <v>426</v>
      </c>
      <c r="B291" t="s">
        <v>1777</v>
      </c>
      <c r="C291" t="s">
        <v>1749</v>
      </c>
      <c r="D291" t="s">
        <v>1758</v>
      </c>
      <c r="K291"/>
      <c r="L291"/>
      <c r="M291"/>
    </row>
    <row r="292" spans="1:13">
      <c r="A292" s="2" t="s">
        <v>390</v>
      </c>
      <c r="B292" t="s">
        <v>1777</v>
      </c>
      <c r="C292" t="s">
        <v>1749</v>
      </c>
      <c r="D292" t="s">
        <v>1758</v>
      </c>
      <c r="K292"/>
      <c r="L292"/>
      <c r="M292"/>
    </row>
    <row r="293" spans="1:13">
      <c r="A293" s="2" t="s">
        <v>457</v>
      </c>
      <c r="B293" t="s">
        <v>1777</v>
      </c>
      <c r="C293" t="s">
        <v>1749</v>
      </c>
      <c r="D293" t="s">
        <v>1758</v>
      </c>
      <c r="K293"/>
      <c r="L293"/>
      <c r="M293"/>
    </row>
    <row r="294" spans="1:13">
      <c r="A294" s="2" t="s">
        <v>474</v>
      </c>
      <c r="B294" t="s">
        <v>1777</v>
      </c>
      <c r="C294" t="s">
        <v>1749</v>
      </c>
      <c r="D294" t="s">
        <v>1758</v>
      </c>
      <c r="K294"/>
      <c r="L294"/>
      <c r="M294"/>
    </row>
    <row r="295" spans="1:13">
      <c r="A295" s="2" t="s">
        <v>391</v>
      </c>
      <c r="B295" t="s">
        <v>1777</v>
      </c>
      <c r="C295" t="s">
        <v>1749</v>
      </c>
      <c r="D295" t="s">
        <v>1758</v>
      </c>
      <c r="K295"/>
      <c r="L295"/>
      <c r="M295"/>
    </row>
    <row r="296" spans="1:13">
      <c r="A296" s="2" t="s">
        <v>378</v>
      </c>
      <c r="B296" t="s">
        <v>1777</v>
      </c>
      <c r="C296" t="s">
        <v>1749</v>
      </c>
      <c r="D296" t="s">
        <v>1758</v>
      </c>
      <c r="K296"/>
      <c r="L296"/>
      <c r="M296"/>
    </row>
    <row r="297" spans="1:13">
      <c r="A297" s="2" t="s">
        <v>384</v>
      </c>
      <c r="B297" t="s">
        <v>1777</v>
      </c>
      <c r="C297" t="s">
        <v>1749</v>
      </c>
      <c r="D297" t="s">
        <v>1758</v>
      </c>
      <c r="K297"/>
      <c r="L297"/>
      <c r="M297"/>
    </row>
    <row r="298" spans="1:13">
      <c r="A298" s="2" t="s">
        <v>657</v>
      </c>
      <c r="B298" t="s">
        <v>1777</v>
      </c>
      <c r="C298" t="s">
        <v>1750</v>
      </c>
      <c r="D298" t="s">
        <v>1758</v>
      </c>
      <c r="K298"/>
      <c r="L298"/>
      <c r="M298"/>
    </row>
    <row r="299" spans="1:13">
      <c r="A299" s="2" t="s">
        <v>655</v>
      </c>
      <c r="B299" t="s">
        <v>1777</v>
      </c>
      <c r="C299" t="s">
        <v>1750</v>
      </c>
      <c r="D299" t="s">
        <v>1758</v>
      </c>
      <c r="K299"/>
      <c r="L299"/>
      <c r="M299"/>
    </row>
    <row r="300" spans="1:13">
      <c r="A300" s="2" t="s">
        <v>452</v>
      </c>
      <c r="B300" t="s">
        <v>1777</v>
      </c>
      <c r="C300" t="s">
        <v>1749</v>
      </c>
      <c r="D300" t="s">
        <v>1758</v>
      </c>
      <c r="K300"/>
      <c r="L300"/>
      <c r="M300"/>
    </row>
    <row r="301" spans="1:13">
      <c r="A301" s="2" t="s">
        <v>475</v>
      </c>
      <c r="B301" t="s">
        <v>1777</v>
      </c>
      <c r="C301" t="s">
        <v>1749</v>
      </c>
      <c r="D301" t="s">
        <v>1758</v>
      </c>
      <c r="K301"/>
      <c r="L301"/>
      <c r="M301"/>
    </row>
    <row r="302" spans="1:13">
      <c r="A302" s="2" t="s">
        <v>467</v>
      </c>
      <c r="B302" t="s">
        <v>1777</v>
      </c>
      <c r="C302" t="s">
        <v>1749</v>
      </c>
      <c r="D302" t="s">
        <v>1758</v>
      </c>
      <c r="K302"/>
      <c r="L302"/>
      <c r="M302"/>
    </row>
    <row r="303" spans="1:13">
      <c r="A303" s="2" t="s">
        <v>468</v>
      </c>
      <c r="B303" t="s">
        <v>1777</v>
      </c>
      <c r="C303" t="s">
        <v>1749</v>
      </c>
      <c r="D303" t="s">
        <v>1758</v>
      </c>
      <c r="K303"/>
      <c r="L303"/>
      <c r="M303"/>
    </row>
    <row r="304" spans="1:13">
      <c r="A304" s="2" t="s">
        <v>437</v>
      </c>
      <c r="B304" t="s">
        <v>1777</v>
      </c>
      <c r="C304" t="s">
        <v>1752</v>
      </c>
      <c r="D304" t="s">
        <v>1758</v>
      </c>
      <c r="K304"/>
      <c r="L304"/>
      <c r="M304"/>
    </row>
    <row r="305" spans="1:13">
      <c r="A305" s="2" t="s">
        <v>393</v>
      </c>
      <c r="B305" t="s">
        <v>1777</v>
      </c>
      <c r="C305" t="s">
        <v>1752</v>
      </c>
      <c r="D305" t="s">
        <v>1758</v>
      </c>
      <c r="K305"/>
      <c r="L305"/>
      <c r="M305"/>
    </row>
    <row r="306" spans="1:13">
      <c r="A306" s="2" t="s">
        <v>392</v>
      </c>
      <c r="B306" t="s">
        <v>1777</v>
      </c>
      <c r="C306" t="s">
        <v>1749</v>
      </c>
      <c r="D306" t="s">
        <v>1758</v>
      </c>
      <c r="K306"/>
      <c r="L306"/>
      <c r="M306"/>
    </row>
    <row r="307" spans="1:13">
      <c r="A307" s="2" t="s">
        <v>385</v>
      </c>
      <c r="B307" t="s">
        <v>1777</v>
      </c>
      <c r="C307" t="s">
        <v>1749</v>
      </c>
      <c r="D307" t="s">
        <v>1758</v>
      </c>
      <c r="K307"/>
      <c r="L307"/>
      <c r="M307"/>
    </row>
    <row r="308" spans="1:13">
      <c r="A308" s="2" t="s">
        <v>415</v>
      </c>
      <c r="B308" t="s">
        <v>1777</v>
      </c>
      <c r="C308" t="s">
        <v>1751</v>
      </c>
      <c r="D308" t="s">
        <v>1760</v>
      </c>
      <c r="K308"/>
      <c r="L308"/>
      <c r="M308"/>
    </row>
    <row r="309" spans="1:13">
      <c r="A309" s="2" t="s">
        <v>420</v>
      </c>
      <c r="B309" t="s">
        <v>1777</v>
      </c>
      <c r="C309" t="s">
        <v>1752</v>
      </c>
      <c r="D309" t="s">
        <v>1758</v>
      </c>
      <c r="K309"/>
      <c r="L309"/>
      <c r="M309"/>
    </row>
    <row r="310" spans="1:13">
      <c r="A310" s="2" t="s">
        <v>438</v>
      </c>
      <c r="B310" t="s">
        <v>1777</v>
      </c>
      <c r="C310" t="s">
        <v>1749</v>
      </c>
      <c r="D310" t="s">
        <v>1758</v>
      </c>
      <c r="K310"/>
      <c r="L310"/>
      <c r="M310"/>
    </row>
    <row r="311" spans="1:13">
      <c r="A311" s="2" t="s">
        <v>445</v>
      </c>
      <c r="B311" t="s">
        <v>1777</v>
      </c>
      <c r="C311" t="s">
        <v>1749</v>
      </c>
      <c r="D311" t="s">
        <v>1758</v>
      </c>
      <c r="K311"/>
      <c r="L311"/>
      <c r="M311"/>
    </row>
    <row r="312" spans="1:13">
      <c r="A312" s="2" t="s">
        <v>436</v>
      </c>
      <c r="B312" t="s">
        <v>1777</v>
      </c>
      <c r="C312" t="s">
        <v>1750</v>
      </c>
      <c r="D312" t="s">
        <v>1758</v>
      </c>
      <c r="K312"/>
      <c r="L312"/>
      <c r="M312"/>
    </row>
    <row r="313" spans="1:13">
      <c r="A313" s="2" t="s">
        <v>651</v>
      </c>
      <c r="B313" t="s">
        <v>1778</v>
      </c>
      <c r="C313" t="s">
        <v>1753</v>
      </c>
      <c r="D313" t="s">
        <v>1762</v>
      </c>
      <c r="K313"/>
      <c r="L313"/>
      <c r="M313"/>
    </row>
    <row r="314" spans="1:13">
      <c r="A314" s="2" t="s">
        <v>533</v>
      </c>
      <c r="B314" t="s">
        <v>1777</v>
      </c>
      <c r="C314" t="s">
        <v>1753</v>
      </c>
      <c r="D314" t="s">
        <v>1758</v>
      </c>
      <c r="K314"/>
      <c r="L314"/>
      <c r="M314"/>
    </row>
    <row r="315" spans="1:13">
      <c r="A315" s="2" t="s">
        <v>644</v>
      </c>
      <c r="B315" t="s">
        <v>1777</v>
      </c>
      <c r="C315" t="s">
        <v>1753</v>
      </c>
      <c r="D315" t="s">
        <v>1758</v>
      </c>
      <c r="K315"/>
      <c r="L315"/>
      <c r="M315"/>
    </row>
    <row r="316" spans="1:13">
      <c r="A316" s="2" t="s">
        <v>643</v>
      </c>
      <c r="B316" t="s">
        <v>1777</v>
      </c>
      <c r="C316" t="s">
        <v>1753</v>
      </c>
      <c r="D316" t="s">
        <v>1758</v>
      </c>
      <c r="K316"/>
      <c r="L316"/>
      <c r="M316"/>
    </row>
    <row r="317" spans="1:13">
      <c r="A317" s="2" t="s">
        <v>645</v>
      </c>
      <c r="B317" t="s">
        <v>1777</v>
      </c>
      <c r="C317" t="s">
        <v>1753</v>
      </c>
      <c r="D317" t="s">
        <v>1758</v>
      </c>
      <c r="K317"/>
      <c r="L317"/>
      <c r="M317"/>
    </row>
    <row r="318" spans="1:13">
      <c r="A318" s="2" t="s">
        <v>552</v>
      </c>
      <c r="B318" t="s">
        <v>1777</v>
      </c>
      <c r="C318" t="s">
        <v>1753</v>
      </c>
      <c r="D318" t="s">
        <v>1758</v>
      </c>
      <c r="K318"/>
      <c r="L318"/>
      <c r="M318"/>
    </row>
    <row r="319" spans="1:13">
      <c r="A319" s="2" t="s">
        <v>553</v>
      </c>
      <c r="B319" t="s">
        <v>1777</v>
      </c>
      <c r="C319" t="s">
        <v>1753</v>
      </c>
      <c r="D319" t="s">
        <v>1758</v>
      </c>
      <c r="K319"/>
      <c r="L319"/>
      <c r="M319"/>
    </row>
    <row r="320" spans="1:13">
      <c r="A320" s="2" t="s">
        <v>554</v>
      </c>
      <c r="B320" t="s">
        <v>1777</v>
      </c>
      <c r="C320" t="s">
        <v>1753</v>
      </c>
      <c r="D320" t="s">
        <v>1758</v>
      </c>
      <c r="K320"/>
      <c r="L320"/>
      <c r="M320"/>
    </row>
    <row r="321" spans="1:13">
      <c r="A321" s="2" t="s">
        <v>564</v>
      </c>
      <c r="B321" t="s">
        <v>1777</v>
      </c>
      <c r="C321" t="s">
        <v>1753</v>
      </c>
      <c r="D321" t="s">
        <v>1758</v>
      </c>
      <c r="K321"/>
      <c r="L321"/>
      <c r="M321"/>
    </row>
    <row r="322" spans="1:13">
      <c r="A322" s="2" t="s">
        <v>649</v>
      </c>
      <c r="B322" t="s">
        <v>1777</v>
      </c>
      <c r="C322" t="s">
        <v>1753</v>
      </c>
      <c r="D322" t="s">
        <v>1758</v>
      </c>
      <c r="K322"/>
      <c r="L322"/>
      <c r="M322"/>
    </row>
    <row r="323" spans="1:13">
      <c r="A323" s="2" t="s">
        <v>648</v>
      </c>
      <c r="B323" t="s">
        <v>1777</v>
      </c>
      <c r="C323" t="s">
        <v>1753</v>
      </c>
      <c r="D323" t="s">
        <v>1758</v>
      </c>
      <c r="K323"/>
      <c r="L323"/>
      <c r="M323"/>
    </row>
    <row r="324" spans="1:13">
      <c r="A324" s="2" t="s">
        <v>577</v>
      </c>
      <c r="B324" t="s">
        <v>1778</v>
      </c>
      <c r="C324" t="s">
        <v>1753</v>
      </c>
      <c r="D324" t="s">
        <v>1762</v>
      </c>
      <c r="K324"/>
      <c r="L324"/>
      <c r="M324"/>
    </row>
    <row r="325" spans="1:13">
      <c r="A325" s="2" t="s">
        <v>670</v>
      </c>
      <c r="B325" t="s">
        <v>1777</v>
      </c>
      <c r="C325" t="s">
        <v>1753</v>
      </c>
      <c r="D325" t="s">
        <v>1758</v>
      </c>
      <c r="K325"/>
      <c r="L325"/>
      <c r="M325"/>
    </row>
    <row r="326" spans="1:13">
      <c r="A326" s="2" t="s">
        <v>588</v>
      </c>
      <c r="B326" t="s">
        <v>1777</v>
      </c>
      <c r="C326" t="s">
        <v>1753</v>
      </c>
      <c r="D326" t="s">
        <v>1758</v>
      </c>
      <c r="K326"/>
      <c r="L326"/>
      <c r="M326"/>
    </row>
    <row r="327" spans="1:13">
      <c r="A327" s="2" t="s">
        <v>534</v>
      </c>
      <c r="B327" t="s">
        <v>1778</v>
      </c>
      <c r="C327" t="s">
        <v>1753</v>
      </c>
      <c r="D327" t="s">
        <v>1762</v>
      </c>
      <c r="K327"/>
      <c r="L327"/>
      <c r="M327"/>
    </row>
    <row r="328" spans="1:13">
      <c r="A328" s="2" t="s">
        <v>535</v>
      </c>
      <c r="B328" t="s">
        <v>1778</v>
      </c>
      <c r="C328" t="s">
        <v>1753</v>
      </c>
      <c r="D328" t="s">
        <v>1762</v>
      </c>
      <c r="K328"/>
      <c r="L328"/>
      <c r="M328"/>
    </row>
    <row r="329" spans="1:13">
      <c r="A329" s="2" t="s">
        <v>568</v>
      </c>
      <c r="B329" t="s">
        <v>1777</v>
      </c>
      <c r="C329" t="s">
        <v>1753</v>
      </c>
      <c r="D329" t="s">
        <v>1763</v>
      </c>
      <c r="K329"/>
      <c r="L329"/>
      <c r="M329"/>
    </row>
    <row r="330" spans="1:13">
      <c r="A330" s="2" t="s">
        <v>565</v>
      </c>
      <c r="B330" t="s">
        <v>1777</v>
      </c>
      <c r="C330" t="s">
        <v>1753</v>
      </c>
      <c r="D330" t="s">
        <v>1758</v>
      </c>
      <c r="K330"/>
      <c r="L330"/>
      <c r="M330"/>
    </row>
    <row r="331" spans="1:13">
      <c r="A331" s="2" t="s">
        <v>566</v>
      </c>
      <c r="B331" t="s">
        <v>1777</v>
      </c>
      <c r="C331" t="s">
        <v>1753</v>
      </c>
      <c r="D331" t="s">
        <v>1758</v>
      </c>
      <c r="K331"/>
      <c r="L331"/>
      <c r="M331"/>
    </row>
    <row r="332" spans="1:13">
      <c r="A332" s="2" t="s">
        <v>586</v>
      </c>
      <c r="B332" t="s">
        <v>1777</v>
      </c>
      <c r="C332" t="s">
        <v>1753</v>
      </c>
      <c r="D332" t="s">
        <v>1763</v>
      </c>
      <c r="K332"/>
      <c r="L332"/>
      <c r="M332"/>
    </row>
    <row r="333" spans="1:13">
      <c r="A333" s="2" t="s">
        <v>585</v>
      </c>
      <c r="B333" t="s">
        <v>1778</v>
      </c>
      <c r="C333" t="s">
        <v>1753</v>
      </c>
      <c r="D333" t="s">
        <v>1761</v>
      </c>
      <c r="K333"/>
      <c r="L333"/>
      <c r="M333"/>
    </row>
    <row r="334" spans="1:13">
      <c r="A334" s="2" t="s">
        <v>587</v>
      </c>
      <c r="B334" t="s">
        <v>1778</v>
      </c>
      <c r="C334" t="s">
        <v>1753</v>
      </c>
      <c r="D334" t="s">
        <v>1761</v>
      </c>
      <c r="K334"/>
      <c r="L334"/>
      <c r="M334"/>
    </row>
    <row r="335" spans="1:13">
      <c r="A335" s="2" t="s">
        <v>563</v>
      </c>
      <c r="B335" t="s">
        <v>1778</v>
      </c>
      <c r="C335" t="s">
        <v>1753</v>
      </c>
      <c r="D335" t="s">
        <v>1762</v>
      </c>
      <c r="K335"/>
      <c r="L335"/>
      <c r="M335"/>
    </row>
    <row r="336" spans="1:13">
      <c r="A336" s="2" t="s">
        <v>555</v>
      </c>
      <c r="B336" t="s">
        <v>1778</v>
      </c>
      <c r="C336" t="s">
        <v>1753</v>
      </c>
      <c r="D336" t="s">
        <v>1762</v>
      </c>
      <c r="K336"/>
      <c r="L336"/>
      <c r="M336"/>
    </row>
    <row r="337" spans="1:13">
      <c r="A337" s="2" t="s">
        <v>567</v>
      </c>
      <c r="B337" t="s">
        <v>1777</v>
      </c>
      <c r="C337" t="s">
        <v>1753</v>
      </c>
      <c r="D337" t="s">
        <v>1758</v>
      </c>
      <c r="K337"/>
      <c r="L337"/>
      <c r="M337"/>
    </row>
    <row r="338" spans="1:13">
      <c r="A338" s="2" t="s">
        <v>536</v>
      </c>
      <c r="B338" t="s">
        <v>1777</v>
      </c>
      <c r="C338" t="s">
        <v>1753</v>
      </c>
      <c r="D338" t="s">
        <v>1758</v>
      </c>
      <c r="K338"/>
      <c r="L338"/>
      <c r="M338"/>
    </row>
    <row r="339" spans="1:13">
      <c r="A339" s="2" t="s">
        <v>551</v>
      </c>
      <c r="B339" t="s">
        <v>1777</v>
      </c>
      <c r="C339" t="s">
        <v>1753</v>
      </c>
      <c r="D339" t="s">
        <v>1758</v>
      </c>
      <c r="K339"/>
      <c r="L339"/>
      <c r="M339"/>
    </row>
    <row r="340" spans="1:13">
      <c r="A340" s="2" t="s">
        <v>548</v>
      </c>
      <c r="B340" t="s">
        <v>1777</v>
      </c>
      <c r="C340" t="s">
        <v>1753</v>
      </c>
      <c r="D340" t="s">
        <v>1758</v>
      </c>
      <c r="K340"/>
      <c r="L340"/>
      <c r="M340"/>
    </row>
    <row r="341" spans="1:13">
      <c r="A341" s="2" t="s">
        <v>545</v>
      </c>
      <c r="B341" t="s">
        <v>1777</v>
      </c>
      <c r="C341" t="s">
        <v>1753</v>
      </c>
      <c r="D341" t="s">
        <v>1758</v>
      </c>
      <c r="K341"/>
      <c r="L341"/>
      <c r="M341"/>
    </row>
    <row r="342" spans="1:13">
      <c r="A342" s="2" t="s">
        <v>546</v>
      </c>
      <c r="B342" t="s">
        <v>1778</v>
      </c>
      <c r="C342" t="s">
        <v>1753</v>
      </c>
      <c r="D342" t="s">
        <v>1762</v>
      </c>
      <c r="K342"/>
      <c r="L342"/>
      <c r="M342"/>
    </row>
    <row r="343" spans="1:13">
      <c r="A343" s="2" t="s">
        <v>547</v>
      </c>
      <c r="B343" t="s">
        <v>1777</v>
      </c>
      <c r="C343" t="s">
        <v>1753</v>
      </c>
      <c r="D343" t="s">
        <v>1758</v>
      </c>
      <c r="K343"/>
      <c r="L343"/>
      <c r="M343"/>
    </row>
    <row r="344" spans="1:13">
      <c r="A344" s="2" t="s">
        <v>579</v>
      </c>
      <c r="B344" t="s">
        <v>1778</v>
      </c>
      <c r="C344" t="s">
        <v>1753</v>
      </c>
      <c r="D344" t="s">
        <v>1761</v>
      </c>
      <c r="K344"/>
      <c r="L344"/>
      <c r="M344"/>
    </row>
    <row r="345" spans="1:13">
      <c r="A345" s="2" t="s">
        <v>580</v>
      </c>
      <c r="B345" t="s">
        <v>1778</v>
      </c>
      <c r="C345" t="s">
        <v>1753</v>
      </c>
      <c r="D345" t="s">
        <v>1761</v>
      </c>
      <c r="K345"/>
      <c r="L345"/>
      <c r="M345"/>
    </row>
    <row r="346" spans="1:13">
      <c r="A346" s="2" t="s">
        <v>569</v>
      </c>
      <c r="B346" t="s">
        <v>1778</v>
      </c>
      <c r="C346" t="s">
        <v>1753</v>
      </c>
      <c r="D346" t="s">
        <v>1762</v>
      </c>
      <c r="K346"/>
      <c r="L346"/>
      <c r="M346"/>
    </row>
    <row r="347" spans="1:13">
      <c r="A347" s="2" t="s">
        <v>570</v>
      </c>
      <c r="B347" t="s">
        <v>1778</v>
      </c>
      <c r="C347" t="s">
        <v>1753</v>
      </c>
      <c r="D347" t="s">
        <v>1762</v>
      </c>
      <c r="K347"/>
      <c r="L347"/>
      <c r="M347"/>
    </row>
    <row r="348" spans="1:13">
      <c r="A348" s="2" t="s">
        <v>571</v>
      </c>
      <c r="B348" t="s">
        <v>1778</v>
      </c>
      <c r="C348" t="s">
        <v>1753</v>
      </c>
      <c r="D348" t="s">
        <v>1762</v>
      </c>
      <c r="K348"/>
      <c r="L348"/>
      <c r="M348"/>
    </row>
    <row r="349" spans="1:13">
      <c r="A349" s="2" t="s">
        <v>642</v>
      </c>
      <c r="B349" t="s">
        <v>1778</v>
      </c>
      <c r="C349" t="s">
        <v>1753</v>
      </c>
      <c r="D349" t="s">
        <v>1762</v>
      </c>
      <c r="K349"/>
      <c r="L349"/>
      <c r="M349"/>
    </row>
    <row r="350" spans="1:13">
      <c r="A350" s="2" t="s">
        <v>641</v>
      </c>
      <c r="B350" t="s">
        <v>1778</v>
      </c>
      <c r="C350" t="s">
        <v>1753</v>
      </c>
      <c r="D350" t="s">
        <v>1762</v>
      </c>
      <c r="K350"/>
      <c r="L350"/>
      <c r="M350"/>
    </row>
    <row r="351" spans="1:13">
      <c r="A351" s="2" t="s">
        <v>572</v>
      </c>
      <c r="B351" t="s">
        <v>1777</v>
      </c>
      <c r="C351" t="s">
        <v>1753</v>
      </c>
      <c r="D351" t="s">
        <v>1758</v>
      </c>
      <c r="K351"/>
      <c r="L351"/>
      <c r="M351"/>
    </row>
    <row r="352" spans="1:13">
      <c r="A352" s="2" t="s">
        <v>573</v>
      </c>
      <c r="B352" t="s">
        <v>1777</v>
      </c>
      <c r="C352" t="s">
        <v>1753</v>
      </c>
      <c r="D352" t="s">
        <v>1758</v>
      </c>
      <c r="K352"/>
      <c r="L352"/>
      <c r="M352"/>
    </row>
    <row r="353" spans="1:13">
      <c r="A353" s="2" t="s">
        <v>549</v>
      </c>
      <c r="B353" t="s">
        <v>1777</v>
      </c>
      <c r="C353" t="s">
        <v>1753</v>
      </c>
      <c r="D353" t="s">
        <v>1758</v>
      </c>
      <c r="K353"/>
      <c r="L353"/>
      <c r="M353"/>
    </row>
    <row r="354" spans="1:13">
      <c r="A354" s="2" t="s">
        <v>582</v>
      </c>
      <c r="B354" t="s">
        <v>1778</v>
      </c>
      <c r="C354" t="s">
        <v>1753</v>
      </c>
      <c r="D354" t="s">
        <v>1761</v>
      </c>
      <c r="K354"/>
      <c r="L354"/>
      <c r="M354"/>
    </row>
    <row r="355" spans="1:13">
      <c r="A355" s="2" t="s">
        <v>542</v>
      </c>
      <c r="B355" t="s">
        <v>1777</v>
      </c>
      <c r="C355" t="s">
        <v>1753</v>
      </c>
      <c r="D355" t="s">
        <v>1758</v>
      </c>
      <c r="K355"/>
      <c r="L355"/>
      <c r="M355"/>
    </row>
    <row r="356" spans="1:13">
      <c r="A356" s="2" t="s">
        <v>581</v>
      </c>
      <c r="B356" t="s">
        <v>1777</v>
      </c>
      <c r="C356" t="s">
        <v>1753</v>
      </c>
      <c r="D356" t="s">
        <v>1758</v>
      </c>
      <c r="K356"/>
      <c r="L356"/>
      <c r="M356"/>
    </row>
    <row r="357" spans="1:13">
      <c r="A357" s="2" t="s">
        <v>541</v>
      </c>
      <c r="B357" t="s">
        <v>1777</v>
      </c>
      <c r="C357" t="s">
        <v>1753</v>
      </c>
      <c r="D357" t="s">
        <v>1758</v>
      </c>
      <c r="K357"/>
      <c r="L357"/>
      <c r="M357"/>
    </row>
    <row r="358" spans="1:13">
      <c r="A358" s="2" t="s">
        <v>537</v>
      </c>
      <c r="B358" t="s">
        <v>1777</v>
      </c>
      <c r="C358" t="s">
        <v>1753</v>
      </c>
      <c r="D358" t="s">
        <v>1758</v>
      </c>
      <c r="K358"/>
      <c r="L358"/>
      <c r="M358"/>
    </row>
    <row r="359" spans="1:13">
      <c r="A359" s="2" t="s">
        <v>538</v>
      </c>
      <c r="B359" t="s">
        <v>1777</v>
      </c>
      <c r="C359" t="s">
        <v>1753</v>
      </c>
      <c r="D359" t="s">
        <v>1758</v>
      </c>
      <c r="K359"/>
      <c r="L359"/>
      <c r="M359"/>
    </row>
    <row r="360" spans="1:13">
      <c r="A360" s="2" t="s">
        <v>539</v>
      </c>
      <c r="B360" t="s">
        <v>1777</v>
      </c>
      <c r="C360" t="s">
        <v>1753</v>
      </c>
      <c r="D360" t="s">
        <v>1758</v>
      </c>
      <c r="K360"/>
      <c r="L360"/>
      <c r="M360"/>
    </row>
    <row r="361" spans="1:13">
      <c r="A361" s="2" t="s">
        <v>543</v>
      </c>
      <c r="B361" t="s">
        <v>1777</v>
      </c>
      <c r="C361" t="s">
        <v>1753</v>
      </c>
      <c r="D361" t="s">
        <v>1758</v>
      </c>
      <c r="K361"/>
      <c r="L361"/>
      <c r="M361"/>
    </row>
    <row r="362" spans="1:13">
      <c r="A362" s="2" t="s">
        <v>540</v>
      </c>
      <c r="B362" t="s">
        <v>1777</v>
      </c>
      <c r="C362" t="s">
        <v>1753</v>
      </c>
      <c r="D362" t="s">
        <v>1758</v>
      </c>
      <c r="K362"/>
      <c r="L362"/>
      <c r="M362"/>
    </row>
    <row r="363" spans="1:13">
      <c r="A363" s="2" t="s">
        <v>646</v>
      </c>
      <c r="B363" t="s">
        <v>1777</v>
      </c>
      <c r="C363" t="s">
        <v>1753</v>
      </c>
      <c r="D363" t="s">
        <v>1758</v>
      </c>
      <c r="K363"/>
      <c r="L363"/>
      <c r="M363"/>
    </row>
    <row r="364" spans="1:13">
      <c r="A364" s="2" t="s">
        <v>557</v>
      </c>
      <c r="B364" t="s">
        <v>1777</v>
      </c>
      <c r="C364" t="s">
        <v>1753</v>
      </c>
      <c r="D364" t="s">
        <v>1758</v>
      </c>
      <c r="K364"/>
      <c r="L364"/>
      <c r="M364"/>
    </row>
    <row r="365" spans="1:13">
      <c r="A365" s="2" t="s">
        <v>556</v>
      </c>
      <c r="B365" t="s">
        <v>1778</v>
      </c>
      <c r="C365" t="s">
        <v>1753</v>
      </c>
      <c r="D365" t="s">
        <v>1762</v>
      </c>
      <c r="K365"/>
      <c r="L365"/>
      <c r="M365"/>
    </row>
    <row r="366" spans="1:13">
      <c r="A366" s="2" t="s">
        <v>550</v>
      </c>
      <c r="B366" t="s">
        <v>1778</v>
      </c>
      <c r="C366" t="s">
        <v>1753</v>
      </c>
      <c r="D366" t="s">
        <v>1762</v>
      </c>
      <c r="K366"/>
      <c r="L366"/>
      <c r="M366"/>
    </row>
    <row r="367" spans="1:13">
      <c r="A367" s="2" t="s">
        <v>544</v>
      </c>
      <c r="B367" t="s">
        <v>1777</v>
      </c>
      <c r="C367" t="s">
        <v>1753</v>
      </c>
      <c r="D367" t="s">
        <v>1758</v>
      </c>
      <c r="K367"/>
      <c r="L367"/>
      <c r="M367"/>
    </row>
    <row r="368" spans="1:13">
      <c r="A368" s="2" t="s">
        <v>574</v>
      </c>
      <c r="B368" t="s">
        <v>1777</v>
      </c>
      <c r="C368" t="s">
        <v>1753</v>
      </c>
      <c r="D368" t="s">
        <v>1758</v>
      </c>
      <c r="K368"/>
      <c r="L368"/>
      <c r="M368"/>
    </row>
    <row r="369" spans="1:13">
      <c r="A369" s="2" t="s">
        <v>668</v>
      </c>
      <c r="B369" t="s">
        <v>1778</v>
      </c>
      <c r="C369" t="s">
        <v>1753</v>
      </c>
      <c r="D369" t="s">
        <v>1762</v>
      </c>
      <c r="K369"/>
      <c r="L369"/>
      <c r="M369"/>
    </row>
    <row r="370" spans="1:13">
      <c r="A370" s="2" t="s">
        <v>671</v>
      </c>
      <c r="B370" t="s">
        <v>1778</v>
      </c>
      <c r="C370" t="s">
        <v>1753</v>
      </c>
      <c r="D370" t="s">
        <v>1762</v>
      </c>
      <c r="K370"/>
      <c r="L370"/>
      <c r="M370"/>
    </row>
    <row r="371" spans="1:13">
      <c r="A371" s="2" t="s">
        <v>669</v>
      </c>
      <c r="B371" t="s">
        <v>1777</v>
      </c>
      <c r="C371" t="s">
        <v>1753</v>
      </c>
      <c r="D371" t="s">
        <v>1758</v>
      </c>
      <c r="K371"/>
      <c r="L371"/>
      <c r="M371"/>
    </row>
    <row r="372" spans="1:13">
      <c r="A372" s="2" t="s">
        <v>575</v>
      </c>
      <c r="B372" t="s">
        <v>1777</v>
      </c>
      <c r="C372" t="s">
        <v>1753</v>
      </c>
      <c r="D372" t="s">
        <v>1758</v>
      </c>
      <c r="K372"/>
      <c r="L372"/>
      <c r="M372"/>
    </row>
    <row r="373" spans="1:13">
      <c r="A373" s="2" t="s">
        <v>647</v>
      </c>
      <c r="B373" t="s">
        <v>1777</v>
      </c>
      <c r="C373" t="s">
        <v>1753</v>
      </c>
      <c r="D373" t="s">
        <v>1758</v>
      </c>
      <c r="K373"/>
      <c r="L373"/>
      <c r="M373"/>
    </row>
    <row r="374" spans="1:13">
      <c r="A374" s="2" t="s">
        <v>589</v>
      </c>
      <c r="B374" t="s">
        <v>1777</v>
      </c>
      <c r="C374" t="s">
        <v>1753</v>
      </c>
      <c r="D374" t="s">
        <v>1758</v>
      </c>
      <c r="K374"/>
      <c r="L374"/>
      <c r="M374"/>
    </row>
    <row r="375" spans="1:13">
      <c r="A375" s="2" t="s">
        <v>558</v>
      </c>
      <c r="B375" t="s">
        <v>1777</v>
      </c>
      <c r="C375" t="s">
        <v>1753</v>
      </c>
      <c r="D375" t="s">
        <v>1758</v>
      </c>
      <c r="K375"/>
      <c r="L375"/>
      <c r="M375"/>
    </row>
    <row r="376" spans="1:13">
      <c r="A376" s="2" t="s">
        <v>559</v>
      </c>
      <c r="B376" t="s">
        <v>1778</v>
      </c>
      <c r="C376" t="s">
        <v>1753</v>
      </c>
      <c r="D376" t="s">
        <v>1762</v>
      </c>
      <c r="K376"/>
      <c r="L376"/>
      <c r="M376"/>
    </row>
    <row r="377" spans="1:13">
      <c r="A377" s="2" t="s">
        <v>561</v>
      </c>
      <c r="B377" t="s">
        <v>1777</v>
      </c>
      <c r="C377" t="s">
        <v>1753</v>
      </c>
      <c r="D377" t="s">
        <v>1758</v>
      </c>
      <c r="K377"/>
      <c r="L377"/>
      <c r="M377"/>
    </row>
    <row r="378" spans="1:13">
      <c r="A378" s="2" t="s">
        <v>583</v>
      </c>
      <c r="B378" t="s">
        <v>1778</v>
      </c>
      <c r="C378" t="s">
        <v>1753</v>
      </c>
      <c r="D378" t="s">
        <v>1762</v>
      </c>
      <c r="K378"/>
      <c r="L378"/>
      <c r="M378"/>
    </row>
    <row r="379" spans="1:13">
      <c r="A379" s="2" t="s">
        <v>560</v>
      </c>
      <c r="B379" t="s">
        <v>1777</v>
      </c>
      <c r="C379" t="s">
        <v>1753</v>
      </c>
      <c r="D379" t="s">
        <v>1758</v>
      </c>
      <c r="K379"/>
      <c r="L379"/>
      <c r="M379"/>
    </row>
    <row r="380" spans="1:13">
      <c r="A380" s="2" t="s">
        <v>650</v>
      </c>
      <c r="B380" t="s">
        <v>1778</v>
      </c>
      <c r="C380" t="s">
        <v>1753</v>
      </c>
      <c r="D380" t="s">
        <v>1762</v>
      </c>
      <c r="K380"/>
      <c r="L380"/>
      <c r="M380"/>
    </row>
    <row r="381" spans="1:13">
      <c r="A381" s="2" t="s">
        <v>576</v>
      </c>
      <c r="B381" t="s">
        <v>1777</v>
      </c>
      <c r="C381" t="s">
        <v>1753</v>
      </c>
      <c r="D381" t="s">
        <v>1758</v>
      </c>
      <c r="K381"/>
      <c r="L381"/>
      <c r="M381"/>
    </row>
    <row r="382" spans="1:13">
      <c r="A382" s="2" t="s">
        <v>590</v>
      </c>
      <c r="B382" t="s">
        <v>1777</v>
      </c>
      <c r="C382" t="s">
        <v>1753</v>
      </c>
      <c r="D382" t="s">
        <v>1758</v>
      </c>
      <c r="K382"/>
      <c r="L382"/>
      <c r="M382"/>
    </row>
    <row r="383" spans="1:13">
      <c r="A383" s="2" t="s">
        <v>562</v>
      </c>
      <c r="B383" t="s">
        <v>1777</v>
      </c>
      <c r="C383" t="s">
        <v>1753</v>
      </c>
      <c r="D383" t="s">
        <v>1758</v>
      </c>
      <c r="K383"/>
      <c r="L383"/>
      <c r="M383"/>
    </row>
    <row r="384" spans="1:13">
      <c r="A384" s="2" t="s">
        <v>584</v>
      </c>
      <c r="B384" t="s">
        <v>1777</v>
      </c>
      <c r="C384" t="s">
        <v>1753</v>
      </c>
      <c r="D384" t="s">
        <v>1758</v>
      </c>
      <c r="K384"/>
      <c r="L384"/>
      <c r="M384"/>
    </row>
    <row r="385" spans="1:13">
      <c r="A385" s="2" t="s">
        <v>578</v>
      </c>
      <c r="B385" t="s">
        <v>1777</v>
      </c>
      <c r="C385" t="s">
        <v>1753</v>
      </c>
      <c r="D385" t="s">
        <v>1758</v>
      </c>
      <c r="K385"/>
      <c r="L385"/>
      <c r="M385"/>
    </row>
    <row r="386" spans="1:13">
      <c r="A386" s="2" t="s">
        <v>597</v>
      </c>
      <c r="B386" t="s">
        <v>1776</v>
      </c>
      <c r="C386" t="s">
        <v>1753</v>
      </c>
      <c r="D386" t="s">
        <v>1758</v>
      </c>
      <c r="K386"/>
      <c r="L386"/>
      <c r="M386"/>
    </row>
    <row r="387" spans="1:13">
      <c r="A387" s="2" t="s">
        <v>596</v>
      </c>
      <c r="B387" t="s">
        <v>1776</v>
      </c>
      <c r="C387" t="s">
        <v>1749</v>
      </c>
      <c r="D387" t="s">
        <v>1758</v>
      </c>
      <c r="K387"/>
      <c r="L387"/>
      <c r="M387"/>
    </row>
    <row r="388" spans="1:13">
      <c r="A388" s="2" t="s">
        <v>598</v>
      </c>
      <c r="B388" t="s">
        <v>1776</v>
      </c>
      <c r="C388" t="s">
        <v>1753</v>
      </c>
      <c r="D388" t="s">
        <v>1758</v>
      </c>
      <c r="K388"/>
      <c r="L388"/>
      <c r="M388"/>
    </row>
    <row r="389" spans="1:13">
      <c r="A389" s="2" t="s">
        <v>743</v>
      </c>
      <c r="B389" t="s">
        <v>1776</v>
      </c>
      <c r="C389" t="s">
        <v>1749</v>
      </c>
      <c r="D389" t="s">
        <v>1763</v>
      </c>
      <c r="K389"/>
      <c r="L389"/>
      <c r="M389"/>
    </row>
    <row r="390" spans="1:13">
      <c r="A390" s="2" t="s">
        <v>744</v>
      </c>
      <c r="B390" t="s">
        <v>1776</v>
      </c>
      <c r="C390" t="s">
        <v>1749</v>
      </c>
      <c r="D390" t="s">
        <v>1763</v>
      </c>
      <c r="K390"/>
      <c r="L390"/>
      <c r="M390"/>
    </row>
    <row r="391" spans="1:13">
      <c r="A391" s="2" t="s">
        <v>902</v>
      </c>
      <c r="B391" t="s">
        <v>1776</v>
      </c>
      <c r="C391" t="s">
        <v>1755</v>
      </c>
      <c r="D391" t="s">
        <v>1760</v>
      </c>
      <c r="K391"/>
      <c r="L391"/>
      <c r="M391"/>
    </row>
    <row r="392" spans="1:13">
      <c r="A392" s="2" t="s">
        <v>885</v>
      </c>
      <c r="B392" t="s">
        <v>1776</v>
      </c>
      <c r="C392" t="s">
        <v>1755</v>
      </c>
      <c r="D392" t="s">
        <v>1762</v>
      </c>
      <c r="K392"/>
      <c r="L392"/>
      <c r="M392"/>
    </row>
    <row r="393" spans="1:13">
      <c r="A393" s="2" t="s">
        <v>886</v>
      </c>
      <c r="B393" t="s">
        <v>1776</v>
      </c>
      <c r="C393" t="s">
        <v>1755</v>
      </c>
      <c r="D393" t="s">
        <v>1759</v>
      </c>
      <c r="K393"/>
      <c r="L393"/>
      <c r="M393"/>
    </row>
    <row r="394" spans="1:13">
      <c r="A394" s="2" t="s">
        <v>887</v>
      </c>
      <c r="B394" t="s">
        <v>1776</v>
      </c>
      <c r="C394" t="s">
        <v>1755</v>
      </c>
      <c r="D394" t="s">
        <v>1761</v>
      </c>
      <c r="K394"/>
      <c r="L394"/>
      <c r="M394"/>
    </row>
    <row r="395" spans="1:13">
      <c r="A395" s="2" t="s">
        <v>888</v>
      </c>
      <c r="B395" t="s">
        <v>1776</v>
      </c>
      <c r="C395" t="s">
        <v>1755</v>
      </c>
      <c r="D395" t="s">
        <v>1763</v>
      </c>
      <c r="K395"/>
      <c r="L395"/>
      <c r="M395"/>
    </row>
    <row r="396" spans="1:13">
      <c r="A396" s="2" t="s">
        <v>889</v>
      </c>
      <c r="B396" t="s">
        <v>1776</v>
      </c>
      <c r="C396" t="s">
        <v>1755</v>
      </c>
      <c r="D396" t="s">
        <v>1764</v>
      </c>
      <c r="K396"/>
      <c r="L396"/>
      <c r="M396"/>
    </row>
    <row r="397" spans="1:13">
      <c r="A397" s="2" t="s">
        <v>890</v>
      </c>
      <c r="B397" t="s">
        <v>1776</v>
      </c>
      <c r="C397" t="s">
        <v>1755</v>
      </c>
      <c r="D397" t="s">
        <v>1766</v>
      </c>
      <c r="K397"/>
      <c r="L397"/>
      <c r="M397"/>
    </row>
    <row r="398" spans="1:13">
      <c r="A398" s="2" t="s">
        <v>891</v>
      </c>
      <c r="B398" t="s">
        <v>1776</v>
      </c>
      <c r="C398" t="s">
        <v>1755</v>
      </c>
      <c r="D398" t="s">
        <v>1771</v>
      </c>
      <c r="K398"/>
      <c r="L398"/>
      <c r="M398"/>
    </row>
    <row r="399" spans="1:13">
      <c r="A399" s="2" t="s">
        <v>892</v>
      </c>
      <c r="B399" t="s">
        <v>1776</v>
      </c>
      <c r="C399" t="s">
        <v>1755</v>
      </c>
      <c r="D399" t="s">
        <v>1772</v>
      </c>
      <c r="K399"/>
      <c r="L399"/>
      <c r="M399"/>
    </row>
    <row r="400" spans="1:13">
      <c r="A400" s="2" t="s">
        <v>893</v>
      </c>
      <c r="B400" t="s">
        <v>1776</v>
      </c>
      <c r="C400" t="s">
        <v>1755</v>
      </c>
      <c r="D400" t="s">
        <v>1765</v>
      </c>
      <c r="K400"/>
      <c r="L400"/>
      <c r="M400"/>
    </row>
    <row r="401" spans="1:13">
      <c r="A401" s="2" t="s">
        <v>894</v>
      </c>
      <c r="B401" t="s">
        <v>1776</v>
      </c>
      <c r="C401" t="s">
        <v>1755</v>
      </c>
      <c r="D401" t="s">
        <v>1765</v>
      </c>
      <c r="K401"/>
      <c r="L401"/>
      <c r="M401"/>
    </row>
    <row r="402" spans="1:13">
      <c r="A402" s="2" t="s">
        <v>895</v>
      </c>
      <c r="B402" t="s">
        <v>1776</v>
      </c>
      <c r="C402" t="s">
        <v>1755</v>
      </c>
      <c r="D402" t="s">
        <v>1759</v>
      </c>
      <c r="K402"/>
      <c r="L402"/>
      <c r="M402"/>
    </row>
    <row r="403" spans="1:13">
      <c r="A403" s="2" t="s">
        <v>896</v>
      </c>
      <c r="B403" t="s">
        <v>1776</v>
      </c>
      <c r="C403" t="s">
        <v>1755</v>
      </c>
      <c r="D403" t="s">
        <v>1759</v>
      </c>
      <c r="K403"/>
      <c r="L403"/>
      <c r="M403"/>
    </row>
    <row r="404" spans="1:13">
      <c r="A404" s="2" t="s">
        <v>897</v>
      </c>
      <c r="B404" t="s">
        <v>1776</v>
      </c>
      <c r="C404" t="s">
        <v>1754</v>
      </c>
      <c r="D404" t="s">
        <v>1758</v>
      </c>
      <c r="K404"/>
      <c r="L404"/>
      <c r="M404"/>
    </row>
    <row r="405" spans="1:13">
      <c r="A405" s="2" t="s">
        <v>898</v>
      </c>
      <c r="B405" t="s">
        <v>1776</v>
      </c>
      <c r="C405" t="s">
        <v>1755</v>
      </c>
      <c r="D405" t="s">
        <v>1767</v>
      </c>
      <c r="K405"/>
      <c r="L405"/>
      <c r="M405"/>
    </row>
    <row r="406" spans="1:13">
      <c r="A406" s="2" t="s">
        <v>373</v>
      </c>
      <c r="B406" t="s">
        <v>1776</v>
      </c>
      <c r="C406" t="s">
        <v>1753</v>
      </c>
      <c r="D406" t="s">
        <v>1760</v>
      </c>
      <c r="K406"/>
      <c r="L406"/>
      <c r="M406"/>
    </row>
    <row r="407" spans="1:13">
      <c r="A407" s="2" t="s">
        <v>367</v>
      </c>
      <c r="B407" t="s">
        <v>1776</v>
      </c>
      <c r="C407" t="s">
        <v>1753</v>
      </c>
      <c r="D407" t="s">
        <v>1760</v>
      </c>
      <c r="K407"/>
      <c r="L407"/>
      <c r="M407"/>
    </row>
    <row r="408" spans="1:13">
      <c r="A408" s="2" t="s">
        <v>324</v>
      </c>
      <c r="B408" t="s">
        <v>1776</v>
      </c>
      <c r="C408" t="s">
        <v>1753</v>
      </c>
      <c r="D408" t="s">
        <v>1760</v>
      </c>
      <c r="K408"/>
      <c r="L408"/>
      <c r="M408"/>
    </row>
    <row r="409" spans="1:13">
      <c r="A409" s="2" t="s">
        <v>370</v>
      </c>
      <c r="B409" t="s">
        <v>1776</v>
      </c>
      <c r="C409" t="s">
        <v>1753</v>
      </c>
      <c r="D409" t="s">
        <v>1760</v>
      </c>
      <c r="K409"/>
      <c r="L409"/>
      <c r="M409"/>
    </row>
    <row r="410" spans="1:13">
      <c r="A410" s="2" t="s">
        <v>340</v>
      </c>
      <c r="B410" t="s">
        <v>1776</v>
      </c>
      <c r="C410" t="s">
        <v>1753</v>
      </c>
      <c r="D410" t="s">
        <v>1760</v>
      </c>
      <c r="K410"/>
      <c r="L410"/>
      <c r="M410"/>
    </row>
    <row r="411" spans="1:13">
      <c r="A411" s="2" t="s">
        <v>333</v>
      </c>
      <c r="B411" t="s">
        <v>1776</v>
      </c>
      <c r="C411" t="s">
        <v>1753</v>
      </c>
      <c r="D411" t="s">
        <v>1760</v>
      </c>
      <c r="K411"/>
      <c r="L411"/>
      <c r="M411"/>
    </row>
    <row r="412" spans="1:13">
      <c r="A412" s="2" t="s">
        <v>369</v>
      </c>
      <c r="B412" t="s">
        <v>1776</v>
      </c>
      <c r="C412" t="s">
        <v>1753</v>
      </c>
      <c r="D412" t="s">
        <v>1760</v>
      </c>
      <c r="K412"/>
      <c r="L412"/>
      <c r="M412"/>
    </row>
    <row r="413" spans="1:13">
      <c r="A413" s="2" t="s">
        <v>368</v>
      </c>
      <c r="B413" t="s">
        <v>1776</v>
      </c>
      <c r="C413" t="s">
        <v>1753</v>
      </c>
      <c r="D413" t="s">
        <v>1760</v>
      </c>
      <c r="K413"/>
      <c r="L413"/>
      <c r="M413"/>
    </row>
    <row r="414" spans="1:13">
      <c r="A414" s="2" t="s">
        <v>366</v>
      </c>
      <c r="B414" t="s">
        <v>1776</v>
      </c>
      <c r="C414" t="s">
        <v>1753</v>
      </c>
      <c r="D414" t="s">
        <v>1760</v>
      </c>
      <c r="K414"/>
      <c r="L414"/>
      <c r="M414"/>
    </row>
    <row r="415" spans="1:13">
      <c r="A415" s="2" t="s">
        <v>343</v>
      </c>
      <c r="B415" t="s">
        <v>1776</v>
      </c>
      <c r="C415" t="s">
        <v>1753</v>
      </c>
      <c r="D415" t="s">
        <v>1760</v>
      </c>
      <c r="K415"/>
      <c r="L415"/>
      <c r="M415"/>
    </row>
    <row r="416" spans="1:13">
      <c r="A416" s="2" t="s">
        <v>339</v>
      </c>
      <c r="B416" t="s">
        <v>1776</v>
      </c>
      <c r="C416" t="s">
        <v>1753</v>
      </c>
      <c r="D416" t="s">
        <v>1760</v>
      </c>
      <c r="K416"/>
      <c r="L416"/>
      <c r="M416"/>
    </row>
    <row r="417" spans="1:13">
      <c r="A417" s="2" t="s">
        <v>329</v>
      </c>
      <c r="B417" t="s">
        <v>1776</v>
      </c>
      <c r="C417" t="s">
        <v>1753</v>
      </c>
      <c r="D417" t="s">
        <v>1760</v>
      </c>
      <c r="K417"/>
      <c r="L417"/>
      <c r="M417"/>
    </row>
    <row r="418" spans="1:13">
      <c r="A418" s="2" t="s">
        <v>350</v>
      </c>
      <c r="B418" t="s">
        <v>1776</v>
      </c>
      <c r="C418" t="s">
        <v>1753</v>
      </c>
      <c r="D418" t="s">
        <v>1760</v>
      </c>
      <c r="K418"/>
      <c r="L418"/>
      <c r="M418"/>
    </row>
    <row r="419" spans="1:13">
      <c r="A419" s="2" t="s">
        <v>358</v>
      </c>
      <c r="B419" t="s">
        <v>1776</v>
      </c>
      <c r="C419" t="s">
        <v>1753</v>
      </c>
      <c r="D419" t="s">
        <v>1760</v>
      </c>
      <c r="K419"/>
      <c r="L419"/>
      <c r="M419"/>
    </row>
    <row r="420" spans="1:13">
      <c r="A420" s="2" t="s">
        <v>374</v>
      </c>
      <c r="B420" t="s">
        <v>1776</v>
      </c>
      <c r="C420" t="s">
        <v>1753</v>
      </c>
      <c r="D420" t="s">
        <v>1760</v>
      </c>
      <c r="K420"/>
      <c r="L420"/>
      <c r="M420"/>
    </row>
    <row r="421" spans="1:13">
      <c r="A421" s="2" t="s">
        <v>328</v>
      </c>
      <c r="B421" t="s">
        <v>1776</v>
      </c>
      <c r="C421" t="s">
        <v>1753</v>
      </c>
      <c r="D421" t="s">
        <v>1760</v>
      </c>
      <c r="K421"/>
      <c r="L421"/>
      <c r="M421"/>
    </row>
    <row r="422" spans="1:13">
      <c r="A422" s="2" t="s">
        <v>334</v>
      </c>
      <c r="B422" t="s">
        <v>1776</v>
      </c>
      <c r="C422" t="s">
        <v>1753</v>
      </c>
      <c r="D422" t="s">
        <v>1760</v>
      </c>
      <c r="K422"/>
      <c r="L422"/>
      <c r="M422"/>
    </row>
    <row r="423" spans="1:13">
      <c r="A423" s="2" t="s">
        <v>357</v>
      </c>
      <c r="B423" t="s">
        <v>1776</v>
      </c>
      <c r="C423" t="s">
        <v>1753</v>
      </c>
      <c r="D423" t="s">
        <v>1760</v>
      </c>
      <c r="K423"/>
      <c r="L423"/>
      <c r="M423"/>
    </row>
    <row r="424" spans="1:13">
      <c r="A424" s="2" t="s">
        <v>331</v>
      </c>
      <c r="B424" t="s">
        <v>1776</v>
      </c>
      <c r="C424" t="s">
        <v>1753</v>
      </c>
      <c r="D424" t="s">
        <v>1760</v>
      </c>
      <c r="K424"/>
      <c r="L424"/>
      <c r="M424"/>
    </row>
    <row r="425" spans="1:13">
      <c r="A425" s="2" t="s">
        <v>363</v>
      </c>
      <c r="B425" t="s">
        <v>1776</v>
      </c>
      <c r="C425" t="s">
        <v>1753</v>
      </c>
      <c r="D425" t="s">
        <v>1760</v>
      </c>
      <c r="K425"/>
      <c r="L425"/>
      <c r="M425"/>
    </row>
    <row r="426" spans="1:13">
      <c r="A426" s="2" t="s">
        <v>372</v>
      </c>
      <c r="B426" t="s">
        <v>1776</v>
      </c>
      <c r="C426" t="s">
        <v>1753</v>
      </c>
      <c r="D426" t="s">
        <v>1760</v>
      </c>
      <c r="K426"/>
      <c r="L426"/>
      <c r="M426"/>
    </row>
    <row r="427" spans="1:13">
      <c r="A427" s="2" t="s">
        <v>360</v>
      </c>
      <c r="B427" t="s">
        <v>1776</v>
      </c>
      <c r="C427" t="s">
        <v>1753</v>
      </c>
      <c r="D427" t="s">
        <v>1760</v>
      </c>
      <c r="K427"/>
      <c r="L427"/>
      <c r="M427"/>
    </row>
    <row r="428" spans="1:13">
      <c r="A428" s="2" t="s">
        <v>354</v>
      </c>
      <c r="B428" t="s">
        <v>1776</v>
      </c>
      <c r="C428" t="s">
        <v>1753</v>
      </c>
      <c r="D428" t="s">
        <v>1760</v>
      </c>
      <c r="K428"/>
      <c r="L428"/>
      <c r="M428"/>
    </row>
    <row r="429" spans="1:13">
      <c r="A429" s="2" t="s">
        <v>342</v>
      </c>
      <c r="B429" t="s">
        <v>1776</v>
      </c>
      <c r="C429" t="s">
        <v>1753</v>
      </c>
      <c r="D429" t="s">
        <v>1760</v>
      </c>
      <c r="K429"/>
      <c r="L429"/>
      <c r="M429"/>
    </row>
    <row r="430" spans="1:13">
      <c r="A430" s="2" t="s">
        <v>746</v>
      </c>
      <c r="B430" t="s">
        <v>1776</v>
      </c>
      <c r="C430" t="s">
        <v>1749</v>
      </c>
      <c r="D430" t="s">
        <v>1763</v>
      </c>
      <c r="K430"/>
      <c r="L430"/>
      <c r="M430"/>
    </row>
    <row r="431" spans="1:13">
      <c r="A431" s="2" t="s">
        <v>745</v>
      </c>
      <c r="B431" t="s">
        <v>1776</v>
      </c>
      <c r="C431" t="s">
        <v>1749</v>
      </c>
      <c r="D431" t="s">
        <v>1763</v>
      </c>
      <c r="K431"/>
      <c r="L431"/>
      <c r="M431"/>
    </row>
    <row r="432" spans="1:13">
      <c r="A432" s="2" t="s">
        <v>349</v>
      </c>
      <c r="B432" t="s">
        <v>1776</v>
      </c>
      <c r="C432" t="s">
        <v>1753</v>
      </c>
      <c r="D432" t="s">
        <v>1760</v>
      </c>
      <c r="K432"/>
      <c r="L432"/>
      <c r="M432"/>
    </row>
    <row r="433" spans="1:13">
      <c r="A433" s="2" t="s">
        <v>336</v>
      </c>
      <c r="B433" t="s">
        <v>1776</v>
      </c>
      <c r="C433" t="s">
        <v>1753</v>
      </c>
      <c r="D433" t="s">
        <v>1760</v>
      </c>
      <c r="K433"/>
      <c r="L433"/>
      <c r="M433"/>
    </row>
    <row r="434" spans="1:13">
      <c r="A434" s="2" t="s">
        <v>365</v>
      </c>
      <c r="B434" t="s">
        <v>1776</v>
      </c>
      <c r="C434" t="s">
        <v>1753</v>
      </c>
      <c r="D434" t="s">
        <v>1760</v>
      </c>
      <c r="K434"/>
      <c r="L434"/>
      <c r="M434"/>
    </row>
    <row r="435" spans="1:13">
      <c r="A435" s="2" t="s">
        <v>338</v>
      </c>
      <c r="B435" t="s">
        <v>1776</v>
      </c>
      <c r="C435" t="s">
        <v>1753</v>
      </c>
      <c r="D435" t="s">
        <v>1760</v>
      </c>
      <c r="K435"/>
      <c r="L435"/>
      <c r="M435"/>
    </row>
    <row r="436" spans="1:13">
      <c r="A436" s="2" t="s">
        <v>353</v>
      </c>
      <c r="B436" t="s">
        <v>1776</v>
      </c>
      <c r="C436" t="s">
        <v>1753</v>
      </c>
      <c r="D436" t="s">
        <v>1760</v>
      </c>
      <c r="K436"/>
      <c r="L436"/>
      <c r="M436"/>
    </row>
    <row r="437" spans="1:13">
      <c r="A437" s="2" t="s">
        <v>332</v>
      </c>
      <c r="B437" t="s">
        <v>1776</v>
      </c>
      <c r="C437" t="s">
        <v>1753</v>
      </c>
      <c r="D437" t="s">
        <v>1760</v>
      </c>
      <c r="K437"/>
      <c r="L437"/>
      <c r="M437"/>
    </row>
    <row r="438" spans="1:13">
      <c r="A438" s="2" t="s">
        <v>330</v>
      </c>
      <c r="B438" t="s">
        <v>1776</v>
      </c>
      <c r="C438" t="s">
        <v>1753</v>
      </c>
      <c r="D438" t="s">
        <v>1760</v>
      </c>
      <c r="K438"/>
      <c r="L438"/>
      <c r="M438"/>
    </row>
    <row r="439" spans="1:13">
      <c r="A439" s="2" t="s">
        <v>345</v>
      </c>
      <c r="B439" t="s">
        <v>1776</v>
      </c>
      <c r="C439" t="s">
        <v>1753</v>
      </c>
      <c r="D439" t="s">
        <v>1760</v>
      </c>
      <c r="K439"/>
      <c r="L439"/>
      <c r="M439"/>
    </row>
    <row r="440" spans="1:13">
      <c r="A440" s="2" t="s">
        <v>341</v>
      </c>
      <c r="B440" t="s">
        <v>1776</v>
      </c>
      <c r="C440" t="s">
        <v>1753</v>
      </c>
      <c r="D440" t="s">
        <v>1760</v>
      </c>
      <c r="K440"/>
      <c r="L440"/>
      <c r="M440"/>
    </row>
    <row r="441" spans="1:13">
      <c r="A441" s="2" t="s">
        <v>351</v>
      </c>
      <c r="B441" t="s">
        <v>1776</v>
      </c>
      <c r="C441" t="s">
        <v>1753</v>
      </c>
      <c r="D441" t="s">
        <v>1760</v>
      </c>
      <c r="K441"/>
      <c r="L441"/>
      <c r="M441"/>
    </row>
    <row r="442" spans="1:13">
      <c r="A442" s="2" t="s">
        <v>361</v>
      </c>
      <c r="B442" t="s">
        <v>1776</v>
      </c>
      <c r="C442" t="s">
        <v>1753</v>
      </c>
      <c r="D442" t="s">
        <v>1760</v>
      </c>
      <c r="K442"/>
      <c r="L442"/>
      <c r="M442"/>
    </row>
    <row r="443" spans="1:13">
      <c r="A443" s="2" t="s">
        <v>364</v>
      </c>
      <c r="B443" t="s">
        <v>1776</v>
      </c>
      <c r="C443" t="s">
        <v>1753</v>
      </c>
      <c r="D443" t="s">
        <v>1760</v>
      </c>
      <c r="K443"/>
      <c r="L443"/>
      <c r="M443"/>
    </row>
    <row r="444" spans="1:13">
      <c r="A444" s="2" t="s">
        <v>355</v>
      </c>
      <c r="B444" t="s">
        <v>1776</v>
      </c>
      <c r="C444" t="s">
        <v>1753</v>
      </c>
      <c r="D444" t="s">
        <v>1760</v>
      </c>
      <c r="K444"/>
      <c r="L444"/>
      <c r="M444"/>
    </row>
    <row r="445" spans="1:13">
      <c r="A445" s="2" t="s">
        <v>352</v>
      </c>
      <c r="B445" t="s">
        <v>1776</v>
      </c>
      <c r="C445" t="s">
        <v>1753</v>
      </c>
      <c r="D445" t="s">
        <v>1760</v>
      </c>
      <c r="K445"/>
      <c r="L445"/>
      <c r="M445"/>
    </row>
    <row r="446" spans="1:13">
      <c r="A446" s="2" t="s">
        <v>371</v>
      </c>
      <c r="B446" t="s">
        <v>1776</v>
      </c>
      <c r="C446" t="s">
        <v>1753</v>
      </c>
      <c r="D446" t="s">
        <v>1760</v>
      </c>
      <c r="K446"/>
      <c r="L446"/>
      <c r="M446"/>
    </row>
    <row r="447" spans="1:13">
      <c r="A447" s="2" t="s">
        <v>337</v>
      </c>
      <c r="B447" t="s">
        <v>1776</v>
      </c>
      <c r="C447" t="s">
        <v>1753</v>
      </c>
      <c r="D447" t="s">
        <v>1760</v>
      </c>
      <c r="K447"/>
      <c r="L447"/>
      <c r="M447"/>
    </row>
    <row r="448" spans="1:13">
      <c r="A448" s="2" t="s">
        <v>348</v>
      </c>
      <c r="B448" t="s">
        <v>1776</v>
      </c>
      <c r="C448" t="s">
        <v>1753</v>
      </c>
      <c r="D448" t="s">
        <v>1760</v>
      </c>
      <c r="K448"/>
      <c r="L448"/>
      <c r="M448"/>
    </row>
    <row r="449" spans="1:13">
      <c r="A449" s="2" t="s">
        <v>344</v>
      </c>
      <c r="B449" t="s">
        <v>1776</v>
      </c>
      <c r="C449" t="s">
        <v>1753</v>
      </c>
      <c r="D449" t="s">
        <v>1760</v>
      </c>
      <c r="K449"/>
      <c r="L449"/>
      <c r="M449"/>
    </row>
    <row r="450" spans="1:13">
      <c r="A450" s="2" t="s">
        <v>376</v>
      </c>
      <c r="B450" t="s">
        <v>1776</v>
      </c>
      <c r="C450" t="s">
        <v>1753</v>
      </c>
      <c r="D450" t="s">
        <v>1760</v>
      </c>
      <c r="K450"/>
      <c r="L450"/>
      <c r="M450"/>
    </row>
    <row r="451" spans="1:13">
      <c r="A451" s="2" t="s">
        <v>377</v>
      </c>
      <c r="B451" t="s">
        <v>1776</v>
      </c>
      <c r="C451" t="s">
        <v>1753</v>
      </c>
      <c r="D451" t="s">
        <v>1760</v>
      </c>
      <c r="K451"/>
      <c r="L451"/>
      <c r="M451"/>
    </row>
    <row r="452" spans="1:13">
      <c r="A452" s="2" t="s">
        <v>346</v>
      </c>
      <c r="B452" t="s">
        <v>1776</v>
      </c>
      <c r="C452" t="s">
        <v>1753</v>
      </c>
      <c r="D452" t="s">
        <v>1760</v>
      </c>
      <c r="K452"/>
      <c r="L452"/>
      <c r="M452"/>
    </row>
    <row r="453" spans="1:13">
      <c r="A453" s="2" t="s">
        <v>375</v>
      </c>
      <c r="B453" t="s">
        <v>1776</v>
      </c>
      <c r="C453" t="s">
        <v>1753</v>
      </c>
      <c r="D453" t="s">
        <v>1760</v>
      </c>
      <c r="K453"/>
      <c r="L453"/>
      <c r="M453"/>
    </row>
    <row r="454" spans="1:13">
      <c r="A454" s="2" t="s">
        <v>347</v>
      </c>
      <c r="B454" t="s">
        <v>1776</v>
      </c>
      <c r="C454" t="s">
        <v>1753</v>
      </c>
      <c r="D454" t="s">
        <v>1760</v>
      </c>
      <c r="K454"/>
      <c r="L454"/>
      <c r="M454"/>
    </row>
    <row r="455" spans="1:13">
      <c r="A455" s="2" t="s">
        <v>359</v>
      </c>
      <c r="B455" t="s">
        <v>1776</v>
      </c>
      <c r="C455" t="s">
        <v>1753</v>
      </c>
      <c r="D455" t="s">
        <v>1760</v>
      </c>
      <c r="K455"/>
      <c r="L455"/>
      <c r="M455"/>
    </row>
    <row r="456" spans="1:13">
      <c r="A456" s="2" t="s">
        <v>327</v>
      </c>
      <c r="B456" t="s">
        <v>1776</v>
      </c>
      <c r="C456" t="s">
        <v>1753</v>
      </c>
      <c r="D456" t="s">
        <v>1760</v>
      </c>
      <c r="K456"/>
      <c r="L456"/>
      <c r="M456"/>
    </row>
    <row r="457" spans="1:13">
      <c r="A457" s="2" t="s">
        <v>362</v>
      </c>
      <c r="B457" t="s">
        <v>1776</v>
      </c>
      <c r="C457" t="s">
        <v>1753</v>
      </c>
      <c r="D457" t="s">
        <v>1760</v>
      </c>
      <c r="K457"/>
      <c r="L457"/>
      <c r="M457"/>
    </row>
    <row r="458" spans="1:13">
      <c r="A458" s="2" t="s">
        <v>335</v>
      </c>
      <c r="B458" t="s">
        <v>1776</v>
      </c>
      <c r="C458" t="s">
        <v>1753</v>
      </c>
      <c r="D458" t="s">
        <v>1760</v>
      </c>
      <c r="K458"/>
      <c r="L458"/>
      <c r="M458"/>
    </row>
    <row r="459" spans="1:13">
      <c r="A459" s="2" t="s">
        <v>356</v>
      </c>
      <c r="B459" t="s">
        <v>1776</v>
      </c>
      <c r="C459" t="s">
        <v>1753</v>
      </c>
      <c r="D459" t="s">
        <v>1760</v>
      </c>
      <c r="K459"/>
      <c r="L459"/>
      <c r="M459"/>
    </row>
    <row r="460" spans="1:13">
      <c r="A460" s="2" t="s">
        <v>759</v>
      </c>
      <c r="B460" t="s">
        <v>1776</v>
      </c>
      <c r="C460" t="s">
        <v>1755</v>
      </c>
      <c r="D460" t="s">
        <v>1758</v>
      </c>
      <c r="K460"/>
      <c r="L460"/>
      <c r="M460"/>
    </row>
    <row r="461" spans="1:13">
      <c r="A461" s="2" t="s">
        <v>761</v>
      </c>
      <c r="B461" t="s">
        <v>1776</v>
      </c>
      <c r="C461" t="s">
        <v>1755</v>
      </c>
      <c r="D461" t="s">
        <v>1758</v>
      </c>
      <c r="K461"/>
      <c r="L461"/>
      <c r="M461"/>
    </row>
    <row r="462" spans="1:13">
      <c r="A462" s="2" t="s">
        <v>760</v>
      </c>
      <c r="B462" t="s">
        <v>1776</v>
      </c>
      <c r="C462" t="s">
        <v>1755</v>
      </c>
      <c r="D462" t="s">
        <v>1758</v>
      </c>
      <c r="K462"/>
      <c r="L462"/>
      <c r="M462"/>
    </row>
    <row r="463" spans="1:13">
      <c r="A463" s="2" t="s">
        <v>756</v>
      </c>
      <c r="B463" t="s">
        <v>1776</v>
      </c>
      <c r="C463" t="s">
        <v>1755</v>
      </c>
      <c r="D463" t="s">
        <v>1758</v>
      </c>
      <c r="K463"/>
      <c r="L463"/>
      <c r="M463"/>
    </row>
    <row r="464" spans="1:13">
      <c r="A464" s="2" t="s">
        <v>758</v>
      </c>
      <c r="B464" t="s">
        <v>1776</v>
      </c>
      <c r="C464" t="s">
        <v>1755</v>
      </c>
      <c r="D464" t="s">
        <v>1758</v>
      </c>
      <c r="K464"/>
      <c r="L464"/>
      <c r="M464"/>
    </row>
    <row r="465" spans="1:13">
      <c r="A465" s="2" t="s">
        <v>757</v>
      </c>
      <c r="B465" t="s">
        <v>1776</v>
      </c>
      <c r="C465" t="s">
        <v>1755</v>
      </c>
      <c r="D465" t="s">
        <v>1758</v>
      </c>
      <c r="K465"/>
      <c r="L465"/>
      <c r="M465"/>
    </row>
    <row r="466" spans="1:13">
      <c r="A466" s="2" t="s">
        <v>762</v>
      </c>
      <c r="B466" t="s">
        <v>1776</v>
      </c>
      <c r="C466" t="s">
        <v>1755</v>
      </c>
      <c r="D466" t="s">
        <v>1758</v>
      </c>
      <c r="K466"/>
      <c r="L466"/>
      <c r="M466"/>
    </row>
    <row r="467" spans="1:13">
      <c r="A467" s="2" t="s">
        <v>764</v>
      </c>
      <c r="B467" t="s">
        <v>1776</v>
      </c>
      <c r="C467" t="s">
        <v>1755</v>
      </c>
      <c r="D467" t="s">
        <v>1758</v>
      </c>
      <c r="K467"/>
      <c r="L467"/>
      <c r="M467"/>
    </row>
    <row r="468" spans="1:13">
      <c r="A468" s="2" t="s">
        <v>763</v>
      </c>
      <c r="B468" t="s">
        <v>1776</v>
      </c>
      <c r="C468" t="s">
        <v>1755</v>
      </c>
      <c r="D468" t="s">
        <v>1758</v>
      </c>
      <c r="K468"/>
      <c r="L468"/>
      <c r="M468"/>
    </row>
    <row r="469" spans="1:13">
      <c r="A469" s="2" t="s">
        <v>765</v>
      </c>
      <c r="B469" t="s">
        <v>1776</v>
      </c>
      <c r="C469" t="s">
        <v>1755</v>
      </c>
      <c r="D469" t="s">
        <v>1758</v>
      </c>
      <c r="K469"/>
      <c r="L469"/>
      <c r="M469"/>
    </row>
    <row r="470" spans="1:13">
      <c r="A470" s="2" t="s">
        <v>766</v>
      </c>
      <c r="B470" t="s">
        <v>1776</v>
      </c>
      <c r="C470" t="s">
        <v>1755</v>
      </c>
      <c r="D470" t="s">
        <v>1758</v>
      </c>
      <c r="K470"/>
      <c r="L470"/>
      <c r="M470"/>
    </row>
    <row r="471" spans="1:13">
      <c r="A471" s="2" t="s">
        <v>771</v>
      </c>
      <c r="B471" t="s">
        <v>1776</v>
      </c>
      <c r="C471" t="s">
        <v>1755</v>
      </c>
      <c r="D471" t="s">
        <v>1758</v>
      </c>
      <c r="K471"/>
      <c r="L471"/>
      <c r="M471"/>
    </row>
    <row r="472" spans="1:13">
      <c r="A472" s="2" t="s">
        <v>773</v>
      </c>
      <c r="B472" t="s">
        <v>1776</v>
      </c>
      <c r="C472" t="s">
        <v>1755</v>
      </c>
      <c r="D472" t="s">
        <v>1758</v>
      </c>
      <c r="K472"/>
      <c r="L472"/>
      <c r="M472"/>
    </row>
    <row r="473" spans="1:13">
      <c r="A473" s="2" t="s">
        <v>772</v>
      </c>
      <c r="B473" t="s">
        <v>1776</v>
      </c>
      <c r="C473" t="s">
        <v>1755</v>
      </c>
      <c r="D473" t="s">
        <v>1758</v>
      </c>
      <c r="K473"/>
      <c r="L473"/>
      <c r="M473"/>
    </row>
    <row r="474" spans="1:13">
      <c r="A474" s="2" t="s">
        <v>774</v>
      </c>
      <c r="B474" t="s">
        <v>1776</v>
      </c>
      <c r="C474" t="s">
        <v>1755</v>
      </c>
      <c r="D474" t="s">
        <v>1758</v>
      </c>
      <c r="K474"/>
      <c r="L474"/>
      <c r="M474"/>
    </row>
    <row r="475" spans="1:13">
      <c r="A475" s="2" t="s">
        <v>776</v>
      </c>
      <c r="B475" t="s">
        <v>1776</v>
      </c>
      <c r="C475" t="s">
        <v>1755</v>
      </c>
      <c r="D475" t="s">
        <v>1758</v>
      </c>
      <c r="K475"/>
      <c r="L475"/>
      <c r="M475"/>
    </row>
    <row r="476" spans="1:13">
      <c r="A476" s="2" t="s">
        <v>775</v>
      </c>
      <c r="B476" t="s">
        <v>1776</v>
      </c>
      <c r="C476" t="s">
        <v>1755</v>
      </c>
      <c r="D476" t="s">
        <v>1758</v>
      </c>
      <c r="K476"/>
      <c r="L476"/>
      <c r="M476"/>
    </row>
    <row r="477" spans="1:13">
      <c r="A477" s="2" t="s">
        <v>768</v>
      </c>
      <c r="B477" t="s">
        <v>1776</v>
      </c>
      <c r="C477" t="s">
        <v>1755</v>
      </c>
      <c r="D477" t="s">
        <v>1758</v>
      </c>
      <c r="K477"/>
      <c r="L477"/>
      <c r="M477"/>
    </row>
    <row r="478" spans="1:13">
      <c r="A478" s="2" t="s">
        <v>767</v>
      </c>
      <c r="B478" t="s">
        <v>1776</v>
      </c>
      <c r="C478" t="s">
        <v>1755</v>
      </c>
      <c r="D478" t="s">
        <v>1758</v>
      </c>
      <c r="K478"/>
      <c r="L478"/>
      <c r="M478"/>
    </row>
    <row r="479" spans="1:13">
      <c r="A479" s="2" t="s">
        <v>770</v>
      </c>
      <c r="B479" t="s">
        <v>1776</v>
      </c>
      <c r="C479" t="s">
        <v>1755</v>
      </c>
      <c r="D479" t="s">
        <v>1758</v>
      </c>
      <c r="K479"/>
      <c r="L479"/>
      <c r="M479"/>
    </row>
    <row r="480" spans="1:13">
      <c r="A480" s="2" t="s">
        <v>769</v>
      </c>
      <c r="B480" t="s">
        <v>1776</v>
      </c>
      <c r="C480" t="s">
        <v>1755</v>
      </c>
      <c r="D480" t="s">
        <v>1758</v>
      </c>
      <c r="K480"/>
      <c r="L480"/>
      <c r="M480"/>
    </row>
    <row r="481" spans="1:13">
      <c r="A481" s="2" t="s">
        <v>780</v>
      </c>
      <c r="B481" t="s">
        <v>1776</v>
      </c>
      <c r="C481" t="s">
        <v>1755</v>
      </c>
      <c r="D481" t="s">
        <v>1758</v>
      </c>
      <c r="K481"/>
      <c r="L481"/>
      <c r="M481"/>
    </row>
    <row r="482" spans="1:13">
      <c r="A482" s="2" t="s">
        <v>782</v>
      </c>
      <c r="B482" t="s">
        <v>1776</v>
      </c>
      <c r="C482" t="s">
        <v>1755</v>
      </c>
      <c r="D482" t="s">
        <v>1758</v>
      </c>
      <c r="K482"/>
      <c r="L482"/>
      <c r="M482"/>
    </row>
    <row r="483" spans="1:13">
      <c r="A483" s="2" t="s">
        <v>781</v>
      </c>
      <c r="B483" t="s">
        <v>1776</v>
      </c>
      <c r="C483" t="s">
        <v>1755</v>
      </c>
      <c r="D483" t="s">
        <v>1758</v>
      </c>
      <c r="K483"/>
      <c r="L483"/>
      <c r="M483"/>
    </row>
    <row r="484" spans="1:13">
      <c r="A484" s="2" t="s">
        <v>791</v>
      </c>
      <c r="B484" t="s">
        <v>1776</v>
      </c>
      <c r="C484" t="s">
        <v>1755</v>
      </c>
      <c r="D484" t="s">
        <v>1758</v>
      </c>
      <c r="K484"/>
      <c r="L484"/>
      <c r="M484"/>
    </row>
    <row r="485" spans="1:13">
      <c r="A485" s="2" t="s">
        <v>783</v>
      </c>
      <c r="B485" t="s">
        <v>1776</v>
      </c>
      <c r="C485" t="s">
        <v>1755</v>
      </c>
      <c r="D485" t="s">
        <v>1758</v>
      </c>
      <c r="K485"/>
      <c r="L485"/>
      <c r="M485"/>
    </row>
    <row r="486" spans="1:13">
      <c r="A486" s="2" t="s">
        <v>793</v>
      </c>
      <c r="B486" t="s">
        <v>1776</v>
      </c>
      <c r="C486" t="s">
        <v>1755</v>
      </c>
      <c r="D486" t="s">
        <v>1758</v>
      </c>
      <c r="K486"/>
      <c r="L486"/>
      <c r="M486"/>
    </row>
    <row r="487" spans="1:13">
      <c r="A487" s="2" t="s">
        <v>794</v>
      </c>
      <c r="B487" t="s">
        <v>1776</v>
      </c>
      <c r="C487" t="s">
        <v>1755</v>
      </c>
      <c r="D487" t="s">
        <v>1759</v>
      </c>
      <c r="K487"/>
      <c r="L487"/>
      <c r="M487"/>
    </row>
    <row r="488" spans="1:13">
      <c r="A488" s="2" t="s">
        <v>796</v>
      </c>
      <c r="B488" t="s">
        <v>1776</v>
      </c>
      <c r="C488" t="s">
        <v>1755</v>
      </c>
      <c r="D488" t="s">
        <v>1758</v>
      </c>
      <c r="K488"/>
      <c r="L488"/>
      <c r="M488"/>
    </row>
    <row r="489" spans="1:13">
      <c r="A489" s="2" t="s">
        <v>795</v>
      </c>
      <c r="B489" t="s">
        <v>1776</v>
      </c>
      <c r="C489" t="s">
        <v>1755</v>
      </c>
      <c r="D489" t="s">
        <v>1759</v>
      </c>
      <c r="K489"/>
      <c r="L489"/>
      <c r="M489"/>
    </row>
    <row r="490" spans="1:13">
      <c r="A490" s="2" t="s">
        <v>784</v>
      </c>
      <c r="B490" t="s">
        <v>1776</v>
      </c>
      <c r="C490" t="s">
        <v>1755</v>
      </c>
      <c r="D490" t="s">
        <v>1758</v>
      </c>
      <c r="K490"/>
      <c r="L490"/>
      <c r="M490"/>
    </row>
    <row r="491" spans="1:13">
      <c r="A491" s="2" t="s">
        <v>786</v>
      </c>
      <c r="B491" t="s">
        <v>1776</v>
      </c>
      <c r="C491" t="s">
        <v>1755</v>
      </c>
      <c r="D491" t="s">
        <v>1758</v>
      </c>
      <c r="K491"/>
      <c r="L491"/>
      <c r="M491"/>
    </row>
    <row r="492" spans="1:13">
      <c r="A492" s="2" t="s">
        <v>785</v>
      </c>
      <c r="B492" t="s">
        <v>1776</v>
      </c>
      <c r="C492" t="s">
        <v>1755</v>
      </c>
      <c r="D492" t="s">
        <v>1758</v>
      </c>
      <c r="K492"/>
      <c r="L492"/>
      <c r="M492"/>
    </row>
    <row r="493" spans="1:13">
      <c r="A493" s="2" t="s">
        <v>777</v>
      </c>
      <c r="B493" t="s">
        <v>1776</v>
      </c>
      <c r="C493" t="s">
        <v>1755</v>
      </c>
      <c r="D493" t="s">
        <v>1758</v>
      </c>
      <c r="K493"/>
      <c r="L493"/>
      <c r="M493"/>
    </row>
    <row r="494" spans="1:13">
      <c r="A494" s="2" t="s">
        <v>779</v>
      </c>
      <c r="B494" t="s">
        <v>1776</v>
      </c>
      <c r="C494" t="s">
        <v>1755</v>
      </c>
      <c r="D494" t="s">
        <v>1758</v>
      </c>
      <c r="K494"/>
      <c r="L494"/>
      <c r="M494"/>
    </row>
    <row r="495" spans="1:13">
      <c r="A495" s="2" t="s">
        <v>778</v>
      </c>
      <c r="B495" t="s">
        <v>1776</v>
      </c>
      <c r="C495" t="s">
        <v>1755</v>
      </c>
      <c r="D495" t="s">
        <v>1758</v>
      </c>
      <c r="K495"/>
      <c r="L495"/>
      <c r="M495"/>
    </row>
    <row r="496" spans="1:13">
      <c r="A496" s="2" t="s">
        <v>788</v>
      </c>
      <c r="B496" t="s">
        <v>1776</v>
      </c>
      <c r="C496" t="s">
        <v>1755</v>
      </c>
      <c r="D496" t="s">
        <v>1758</v>
      </c>
      <c r="K496"/>
      <c r="L496"/>
      <c r="M496"/>
    </row>
    <row r="497" spans="1:13">
      <c r="A497" s="2" t="s">
        <v>787</v>
      </c>
      <c r="B497" t="s">
        <v>1776</v>
      </c>
      <c r="C497" t="s">
        <v>1755</v>
      </c>
      <c r="D497" t="s">
        <v>1758</v>
      </c>
      <c r="K497"/>
      <c r="L497"/>
      <c r="M497"/>
    </row>
    <row r="498" spans="1:13">
      <c r="A498" s="2" t="s">
        <v>792</v>
      </c>
      <c r="B498" t="s">
        <v>1776</v>
      </c>
      <c r="C498" t="s">
        <v>1755</v>
      </c>
      <c r="D498" t="s">
        <v>1758</v>
      </c>
      <c r="K498"/>
      <c r="L498"/>
      <c r="M498"/>
    </row>
    <row r="499" spans="1:13">
      <c r="A499" s="2" t="s">
        <v>789</v>
      </c>
      <c r="B499" t="s">
        <v>1776</v>
      </c>
      <c r="C499" t="s">
        <v>1755</v>
      </c>
      <c r="D499" t="s">
        <v>1758</v>
      </c>
      <c r="K499"/>
      <c r="L499"/>
      <c r="M499"/>
    </row>
    <row r="500" spans="1:13">
      <c r="A500" s="2" t="s">
        <v>790</v>
      </c>
      <c r="B500" t="s">
        <v>1776</v>
      </c>
      <c r="C500" t="s">
        <v>1755</v>
      </c>
      <c r="D500" t="s">
        <v>1758</v>
      </c>
      <c r="K500"/>
      <c r="L500"/>
      <c r="M500"/>
    </row>
    <row r="501" spans="1:13">
      <c r="A501" s="2" t="s">
        <v>808</v>
      </c>
      <c r="B501" t="s">
        <v>1776</v>
      </c>
      <c r="C501" t="s">
        <v>1755</v>
      </c>
      <c r="D501" t="s">
        <v>1758</v>
      </c>
      <c r="K501"/>
      <c r="L501"/>
      <c r="M501"/>
    </row>
    <row r="502" spans="1:13">
      <c r="A502" s="2" t="s">
        <v>807</v>
      </c>
      <c r="B502" t="s">
        <v>1776</v>
      </c>
      <c r="C502" t="s">
        <v>1755</v>
      </c>
      <c r="D502" t="s">
        <v>1758</v>
      </c>
      <c r="K502"/>
      <c r="L502"/>
      <c r="M502"/>
    </row>
    <row r="503" spans="1:13">
      <c r="A503" s="2" t="s">
        <v>812</v>
      </c>
      <c r="B503" t="s">
        <v>1776</v>
      </c>
      <c r="C503" t="s">
        <v>1755</v>
      </c>
      <c r="D503" t="s">
        <v>1758</v>
      </c>
      <c r="K503"/>
      <c r="L503"/>
      <c r="M503"/>
    </row>
    <row r="504" spans="1:13">
      <c r="A504" s="2" t="s">
        <v>809</v>
      </c>
      <c r="B504" t="s">
        <v>1776</v>
      </c>
      <c r="C504" t="s">
        <v>1755</v>
      </c>
      <c r="D504" t="s">
        <v>1758</v>
      </c>
      <c r="K504"/>
      <c r="L504"/>
      <c r="M504"/>
    </row>
    <row r="505" spans="1:13">
      <c r="A505" s="2" t="s">
        <v>801</v>
      </c>
      <c r="B505" t="s">
        <v>1776</v>
      </c>
      <c r="C505" t="s">
        <v>1755</v>
      </c>
      <c r="D505" t="s">
        <v>1758</v>
      </c>
      <c r="K505"/>
      <c r="L505"/>
      <c r="M505"/>
    </row>
    <row r="506" spans="1:13">
      <c r="A506" s="2" t="s">
        <v>797</v>
      </c>
      <c r="B506" t="s">
        <v>1776</v>
      </c>
      <c r="C506" t="s">
        <v>1755</v>
      </c>
      <c r="D506" t="s">
        <v>1758</v>
      </c>
      <c r="K506"/>
      <c r="L506"/>
      <c r="M506"/>
    </row>
    <row r="507" spans="1:13">
      <c r="A507" s="2" t="s">
        <v>800</v>
      </c>
      <c r="B507" t="s">
        <v>1776</v>
      </c>
      <c r="C507" t="s">
        <v>1755</v>
      </c>
      <c r="D507" t="s">
        <v>1758</v>
      </c>
      <c r="K507"/>
      <c r="L507"/>
      <c r="M507"/>
    </row>
    <row r="508" spans="1:13">
      <c r="A508" s="2" t="s">
        <v>811</v>
      </c>
      <c r="B508" t="s">
        <v>1776</v>
      </c>
      <c r="C508" t="s">
        <v>1755</v>
      </c>
      <c r="D508" t="s">
        <v>1758</v>
      </c>
      <c r="K508"/>
      <c r="L508"/>
      <c r="M508"/>
    </row>
    <row r="509" spans="1:13">
      <c r="A509" s="2" t="s">
        <v>810</v>
      </c>
      <c r="B509" t="s">
        <v>1776</v>
      </c>
      <c r="C509" t="s">
        <v>1755</v>
      </c>
      <c r="D509" t="s">
        <v>1758</v>
      </c>
      <c r="K509"/>
      <c r="L509"/>
      <c r="M509"/>
    </row>
    <row r="510" spans="1:13">
      <c r="A510" s="2" t="s">
        <v>798</v>
      </c>
      <c r="B510" t="s">
        <v>1776</v>
      </c>
      <c r="C510" t="s">
        <v>1755</v>
      </c>
      <c r="D510" t="s">
        <v>1758</v>
      </c>
      <c r="K510"/>
      <c r="L510"/>
      <c r="M510"/>
    </row>
    <row r="511" spans="1:13">
      <c r="A511" s="2" t="s">
        <v>802</v>
      </c>
      <c r="B511" t="s">
        <v>1776</v>
      </c>
      <c r="C511" t="s">
        <v>1755</v>
      </c>
      <c r="D511" t="s">
        <v>1758</v>
      </c>
      <c r="K511"/>
      <c r="L511"/>
      <c r="M511"/>
    </row>
    <row r="512" spans="1:13">
      <c r="A512" s="2" t="s">
        <v>804</v>
      </c>
      <c r="B512" t="s">
        <v>1776</v>
      </c>
      <c r="C512" t="s">
        <v>1755</v>
      </c>
      <c r="D512" t="s">
        <v>1758</v>
      </c>
      <c r="K512"/>
      <c r="L512"/>
      <c r="M512"/>
    </row>
    <row r="513" spans="1:13">
      <c r="A513" s="2" t="s">
        <v>803</v>
      </c>
      <c r="B513" t="s">
        <v>1776</v>
      </c>
      <c r="C513" t="s">
        <v>1755</v>
      </c>
      <c r="D513" t="s">
        <v>1758</v>
      </c>
      <c r="K513"/>
      <c r="L513"/>
      <c r="M513"/>
    </row>
    <row r="514" spans="1:13">
      <c r="A514" s="2" t="s">
        <v>799</v>
      </c>
      <c r="B514" t="s">
        <v>1776</v>
      </c>
      <c r="C514" t="s">
        <v>1755</v>
      </c>
      <c r="D514" t="s">
        <v>1758</v>
      </c>
      <c r="K514"/>
      <c r="L514"/>
      <c r="M514"/>
    </row>
    <row r="515" spans="1:13">
      <c r="A515" s="2" t="s">
        <v>806</v>
      </c>
      <c r="B515" t="s">
        <v>1776</v>
      </c>
      <c r="C515" t="s">
        <v>1755</v>
      </c>
      <c r="D515" t="s">
        <v>1758</v>
      </c>
      <c r="K515"/>
      <c r="L515"/>
      <c r="M515"/>
    </row>
    <row r="516" spans="1:13">
      <c r="A516" s="2" t="s">
        <v>805</v>
      </c>
      <c r="B516" t="s">
        <v>1776</v>
      </c>
      <c r="C516" t="s">
        <v>1755</v>
      </c>
      <c r="D516" t="s">
        <v>1758</v>
      </c>
      <c r="K516"/>
      <c r="L516"/>
      <c r="M516"/>
    </row>
    <row r="517" spans="1:13">
      <c r="A517" s="2" t="s">
        <v>813</v>
      </c>
      <c r="B517" t="s">
        <v>1776</v>
      </c>
      <c r="C517" t="s">
        <v>1755</v>
      </c>
      <c r="D517" t="s">
        <v>1758</v>
      </c>
      <c r="K517"/>
      <c r="L517"/>
      <c r="M517"/>
    </row>
    <row r="518" spans="1:13">
      <c r="A518" s="2" t="s">
        <v>817</v>
      </c>
      <c r="B518" t="s">
        <v>1776</v>
      </c>
      <c r="C518" t="s">
        <v>1755</v>
      </c>
      <c r="D518" t="s">
        <v>1758</v>
      </c>
      <c r="K518"/>
      <c r="L518"/>
      <c r="M518"/>
    </row>
    <row r="519" spans="1:13">
      <c r="A519" s="2" t="s">
        <v>818</v>
      </c>
      <c r="B519" t="s">
        <v>1776</v>
      </c>
      <c r="C519" t="s">
        <v>1755</v>
      </c>
      <c r="D519" t="s">
        <v>1758</v>
      </c>
      <c r="K519"/>
      <c r="L519"/>
      <c r="M519"/>
    </row>
    <row r="520" spans="1:13">
      <c r="A520" s="2" t="s">
        <v>815</v>
      </c>
      <c r="B520" t="s">
        <v>1776</v>
      </c>
      <c r="C520" t="s">
        <v>1755</v>
      </c>
      <c r="D520" t="s">
        <v>1758</v>
      </c>
      <c r="K520"/>
      <c r="L520"/>
      <c r="M520"/>
    </row>
    <row r="521" spans="1:13">
      <c r="A521" s="2" t="s">
        <v>816</v>
      </c>
      <c r="B521" t="s">
        <v>1776</v>
      </c>
      <c r="C521" t="s">
        <v>1755</v>
      </c>
      <c r="D521" t="s">
        <v>1758</v>
      </c>
      <c r="K521"/>
      <c r="L521"/>
      <c r="M521"/>
    </row>
    <row r="522" spans="1:13">
      <c r="A522" s="2" t="s">
        <v>814</v>
      </c>
      <c r="B522" t="s">
        <v>1776</v>
      </c>
      <c r="C522" t="s">
        <v>1755</v>
      </c>
      <c r="D522" t="s">
        <v>1758</v>
      </c>
      <c r="K522"/>
      <c r="L522"/>
      <c r="M522"/>
    </row>
    <row r="523" spans="1:13">
      <c r="A523" s="2" t="s">
        <v>819</v>
      </c>
      <c r="B523" t="s">
        <v>1776</v>
      </c>
      <c r="C523" t="s">
        <v>1755</v>
      </c>
      <c r="D523" t="s">
        <v>1758</v>
      </c>
      <c r="K523"/>
      <c r="L523"/>
      <c r="M523"/>
    </row>
    <row r="524" spans="1:13">
      <c r="A524" s="2" t="s">
        <v>820</v>
      </c>
      <c r="B524" t="s">
        <v>1776</v>
      </c>
      <c r="C524" t="s">
        <v>1755</v>
      </c>
      <c r="D524" t="s">
        <v>1758</v>
      </c>
      <c r="K524"/>
      <c r="L524"/>
      <c r="M524"/>
    </row>
    <row r="525" spans="1:13">
      <c r="A525" s="2" t="s">
        <v>822</v>
      </c>
      <c r="B525" t="s">
        <v>1776</v>
      </c>
      <c r="C525" t="s">
        <v>1755</v>
      </c>
      <c r="D525" t="s">
        <v>1758</v>
      </c>
      <c r="K525"/>
      <c r="L525"/>
      <c r="M525"/>
    </row>
    <row r="526" spans="1:13">
      <c r="A526" s="2" t="s">
        <v>821</v>
      </c>
      <c r="B526" t="s">
        <v>1776</v>
      </c>
      <c r="C526" t="s">
        <v>1755</v>
      </c>
      <c r="D526" t="s">
        <v>1758</v>
      </c>
      <c r="K526"/>
      <c r="L526"/>
      <c r="M526"/>
    </row>
    <row r="527" spans="1:13">
      <c r="A527" s="2" t="s">
        <v>823</v>
      </c>
      <c r="B527" t="s">
        <v>1776</v>
      </c>
      <c r="C527" t="s">
        <v>1755</v>
      </c>
      <c r="D527" t="s">
        <v>1758</v>
      </c>
      <c r="K527"/>
      <c r="L527"/>
      <c r="M527"/>
    </row>
    <row r="528" spans="1:13">
      <c r="A528" s="2" t="s">
        <v>824</v>
      </c>
      <c r="B528" t="s">
        <v>1776</v>
      </c>
      <c r="C528" t="s">
        <v>1755</v>
      </c>
      <c r="D528" t="s">
        <v>1758</v>
      </c>
      <c r="K528"/>
      <c r="L528"/>
      <c r="M528"/>
    </row>
    <row r="529" spans="1:13">
      <c r="A529" s="2" t="s">
        <v>825</v>
      </c>
      <c r="B529" t="s">
        <v>1776</v>
      </c>
      <c r="C529" t="s">
        <v>1755</v>
      </c>
      <c r="D529" t="s">
        <v>1758</v>
      </c>
      <c r="K529"/>
      <c r="L529"/>
      <c r="M529"/>
    </row>
    <row r="530" spans="1:13">
      <c r="A530" s="2" t="s">
        <v>826</v>
      </c>
      <c r="B530" t="s">
        <v>1776</v>
      </c>
      <c r="C530" t="s">
        <v>1755</v>
      </c>
      <c r="D530" t="s">
        <v>1758</v>
      </c>
      <c r="K530"/>
      <c r="L530"/>
      <c r="M530"/>
    </row>
    <row r="531" spans="1:13">
      <c r="A531" s="2" t="s">
        <v>747</v>
      </c>
      <c r="B531" t="s">
        <v>1776</v>
      </c>
      <c r="C531" t="s">
        <v>1749</v>
      </c>
      <c r="D531" t="s">
        <v>1763</v>
      </c>
      <c r="K531"/>
      <c r="L531"/>
      <c r="M531"/>
    </row>
    <row r="532" spans="1:13">
      <c r="A532" s="2" t="s">
        <v>748</v>
      </c>
      <c r="B532" t="s">
        <v>1776</v>
      </c>
      <c r="C532" t="s">
        <v>1749</v>
      </c>
      <c r="D532" t="s">
        <v>1763</v>
      </c>
      <c r="K532"/>
      <c r="L532"/>
      <c r="M532"/>
    </row>
    <row r="533" spans="1:13">
      <c r="A533" s="2" t="s">
        <v>749</v>
      </c>
      <c r="B533" t="s">
        <v>1776</v>
      </c>
      <c r="C533" t="s">
        <v>1749</v>
      </c>
      <c r="D533" t="s">
        <v>1763</v>
      </c>
      <c r="K533"/>
      <c r="L533"/>
      <c r="M533"/>
    </row>
    <row r="534" spans="1:13">
      <c r="A534" s="2" t="s">
        <v>750</v>
      </c>
      <c r="B534" t="s">
        <v>1776</v>
      </c>
      <c r="C534" t="s">
        <v>1749</v>
      </c>
      <c r="D534" t="s">
        <v>1763</v>
      </c>
      <c r="K534"/>
      <c r="L534"/>
      <c r="M534"/>
    </row>
    <row r="535" spans="1:13">
      <c r="A535" s="2" t="s">
        <v>753</v>
      </c>
      <c r="B535" t="s">
        <v>1776</v>
      </c>
      <c r="C535" t="s">
        <v>1755</v>
      </c>
      <c r="D535" t="s">
        <v>1760</v>
      </c>
      <c r="K535"/>
      <c r="L535"/>
      <c r="M535"/>
    </row>
    <row r="536" spans="1:13">
      <c r="A536" s="2" t="s">
        <v>752</v>
      </c>
      <c r="B536" t="s">
        <v>1776</v>
      </c>
      <c r="C536" t="s">
        <v>1755</v>
      </c>
      <c r="D536" t="s">
        <v>1766</v>
      </c>
      <c r="K536"/>
      <c r="L536"/>
      <c r="M536"/>
    </row>
    <row r="537" spans="1:13">
      <c r="A537" s="2" t="s">
        <v>755</v>
      </c>
      <c r="B537" t="s">
        <v>1776</v>
      </c>
      <c r="C537" t="s">
        <v>1755</v>
      </c>
      <c r="D537" t="s">
        <v>1774</v>
      </c>
      <c r="K537"/>
      <c r="L537"/>
      <c r="M537"/>
    </row>
    <row r="538" spans="1:13">
      <c r="A538" s="2" t="s">
        <v>754</v>
      </c>
      <c r="B538" t="s">
        <v>1776</v>
      </c>
      <c r="C538" t="s">
        <v>1755</v>
      </c>
      <c r="D538" t="s">
        <v>1767</v>
      </c>
      <c r="K538"/>
      <c r="L538"/>
      <c r="M538"/>
    </row>
    <row r="539" spans="1:13">
      <c r="A539" s="2" t="s">
        <v>828</v>
      </c>
      <c r="B539" t="s">
        <v>1776</v>
      </c>
      <c r="C539" t="s">
        <v>1755</v>
      </c>
      <c r="D539" t="s">
        <v>1760</v>
      </c>
      <c r="K539"/>
      <c r="L539"/>
      <c r="M539"/>
    </row>
    <row r="540" spans="1:13">
      <c r="A540" s="2" t="s">
        <v>829</v>
      </c>
      <c r="B540" t="s">
        <v>1776</v>
      </c>
      <c r="C540" t="s">
        <v>1755</v>
      </c>
      <c r="D540" t="s">
        <v>1773</v>
      </c>
      <c r="K540"/>
      <c r="L540"/>
      <c r="M540"/>
    </row>
    <row r="541" spans="1:13">
      <c r="A541" s="2" t="s">
        <v>827</v>
      </c>
      <c r="B541" t="s">
        <v>1776</v>
      </c>
      <c r="C541" t="s">
        <v>1755</v>
      </c>
      <c r="D541" t="s">
        <v>1766</v>
      </c>
      <c r="K541"/>
      <c r="L541"/>
      <c r="M541"/>
    </row>
    <row r="542" spans="1:13">
      <c r="A542" s="2" t="s">
        <v>833</v>
      </c>
      <c r="B542" t="s">
        <v>1776</v>
      </c>
      <c r="C542" t="s">
        <v>1755</v>
      </c>
      <c r="D542" t="s">
        <v>1765</v>
      </c>
      <c r="K542"/>
      <c r="L542"/>
      <c r="M542"/>
    </row>
    <row r="543" spans="1:13">
      <c r="A543" s="2" t="s">
        <v>831</v>
      </c>
      <c r="B543" t="s">
        <v>1776</v>
      </c>
      <c r="C543" t="s">
        <v>1755</v>
      </c>
      <c r="D543" t="s">
        <v>1769</v>
      </c>
      <c r="K543"/>
      <c r="L543"/>
      <c r="M543"/>
    </row>
    <row r="544" spans="1:13">
      <c r="A544" s="2" t="s">
        <v>832</v>
      </c>
      <c r="B544" t="s">
        <v>1776</v>
      </c>
      <c r="C544" t="s">
        <v>1755</v>
      </c>
      <c r="D544" t="s">
        <v>1759</v>
      </c>
      <c r="K544"/>
      <c r="L544"/>
      <c r="M544"/>
    </row>
    <row r="545" spans="1:13">
      <c r="A545" s="2" t="s">
        <v>830</v>
      </c>
      <c r="B545" t="s">
        <v>1776</v>
      </c>
      <c r="C545" t="s">
        <v>1755</v>
      </c>
      <c r="D545" t="s">
        <v>1768</v>
      </c>
      <c r="K545"/>
      <c r="L545"/>
      <c r="M545"/>
    </row>
    <row r="546" spans="1:13">
      <c r="A546" s="2" t="s">
        <v>835</v>
      </c>
      <c r="B546" t="s">
        <v>1776</v>
      </c>
      <c r="C546" t="s">
        <v>1755</v>
      </c>
      <c r="D546" t="s">
        <v>1760</v>
      </c>
      <c r="K546"/>
      <c r="L546"/>
      <c r="M546"/>
    </row>
    <row r="547" spans="1:13">
      <c r="A547" s="2" t="s">
        <v>836</v>
      </c>
      <c r="B547" t="s">
        <v>1776</v>
      </c>
      <c r="C547" t="s">
        <v>1755</v>
      </c>
      <c r="D547" t="s">
        <v>1770</v>
      </c>
      <c r="K547"/>
      <c r="L547"/>
      <c r="M547"/>
    </row>
    <row r="548" spans="1:13">
      <c r="A548" s="2" t="s">
        <v>834</v>
      </c>
      <c r="B548" t="s">
        <v>1776</v>
      </c>
      <c r="C548" t="s">
        <v>1755</v>
      </c>
      <c r="D548" t="s">
        <v>1766</v>
      </c>
      <c r="K548"/>
      <c r="L548"/>
      <c r="M548"/>
    </row>
    <row r="549" spans="1:13">
      <c r="A549" s="2" t="s">
        <v>841</v>
      </c>
      <c r="B549" t="s">
        <v>1776</v>
      </c>
      <c r="C549" t="s">
        <v>1755</v>
      </c>
      <c r="D549" t="s">
        <v>1765</v>
      </c>
      <c r="K549"/>
      <c r="L549"/>
      <c r="M549"/>
    </row>
    <row r="550" spans="1:13">
      <c r="A550" s="2" t="s">
        <v>838</v>
      </c>
      <c r="B550" t="s">
        <v>1776</v>
      </c>
      <c r="C550" t="s">
        <v>1755</v>
      </c>
      <c r="D550" t="s">
        <v>1769</v>
      </c>
      <c r="K550"/>
      <c r="L550"/>
      <c r="M550"/>
    </row>
    <row r="551" spans="1:13">
      <c r="A551" s="2" t="s">
        <v>839</v>
      </c>
      <c r="B551" t="s">
        <v>1776</v>
      </c>
      <c r="C551" t="s">
        <v>1755</v>
      </c>
      <c r="D551" t="s">
        <v>1759</v>
      </c>
      <c r="K551"/>
      <c r="L551"/>
      <c r="M551"/>
    </row>
    <row r="552" spans="1:13">
      <c r="A552" s="2" t="s">
        <v>840</v>
      </c>
      <c r="B552" t="s">
        <v>1776</v>
      </c>
      <c r="C552" t="s">
        <v>1755</v>
      </c>
      <c r="D552" t="s">
        <v>1759</v>
      </c>
      <c r="K552"/>
      <c r="L552"/>
      <c r="M552"/>
    </row>
    <row r="553" spans="1:13">
      <c r="A553" s="2" t="s">
        <v>837</v>
      </c>
      <c r="B553" t="s">
        <v>1776</v>
      </c>
      <c r="C553" t="s">
        <v>1755</v>
      </c>
      <c r="D553" t="s">
        <v>1767</v>
      </c>
      <c r="K553"/>
      <c r="L553"/>
      <c r="M553"/>
    </row>
    <row r="554" spans="1:13">
      <c r="A554" s="2" t="s">
        <v>844</v>
      </c>
      <c r="B554" t="s">
        <v>1776</v>
      </c>
      <c r="C554" t="s">
        <v>1755</v>
      </c>
      <c r="D554" t="s">
        <v>1760</v>
      </c>
      <c r="K554"/>
      <c r="L554"/>
      <c r="M554"/>
    </row>
    <row r="555" spans="1:13">
      <c r="A555" s="2" t="s">
        <v>845</v>
      </c>
      <c r="B555" t="s">
        <v>1776</v>
      </c>
      <c r="C555" t="s">
        <v>1755</v>
      </c>
      <c r="D555" t="s">
        <v>1770</v>
      </c>
      <c r="K555"/>
      <c r="L555"/>
      <c r="M555"/>
    </row>
    <row r="556" spans="1:13">
      <c r="A556" s="2" t="s">
        <v>852</v>
      </c>
      <c r="B556" t="s">
        <v>1776</v>
      </c>
      <c r="C556" t="s">
        <v>1755</v>
      </c>
      <c r="D556" t="s">
        <v>1759</v>
      </c>
      <c r="K556"/>
      <c r="L556"/>
      <c r="M556"/>
    </row>
    <row r="557" spans="1:13">
      <c r="A557" s="2" t="s">
        <v>854</v>
      </c>
      <c r="B557" t="s">
        <v>1776</v>
      </c>
      <c r="C557" t="s">
        <v>1755</v>
      </c>
      <c r="D557" t="s">
        <v>1761</v>
      </c>
      <c r="K557"/>
      <c r="L557"/>
      <c r="M557"/>
    </row>
    <row r="558" spans="1:13">
      <c r="A558" s="2" t="s">
        <v>853</v>
      </c>
      <c r="B558" t="s">
        <v>1776</v>
      </c>
      <c r="C558" t="s">
        <v>1755</v>
      </c>
      <c r="D558" t="s">
        <v>1763</v>
      </c>
      <c r="K558"/>
      <c r="L558"/>
      <c r="M558"/>
    </row>
    <row r="559" spans="1:13">
      <c r="A559" s="2" t="s">
        <v>842</v>
      </c>
      <c r="B559" t="s">
        <v>1776</v>
      </c>
      <c r="C559" t="s">
        <v>1755</v>
      </c>
      <c r="D559" t="s">
        <v>1766</v>
      </c>
      <c r="K559"/>
      <c r="L559"/>
      <c r="M559"/>
    </row>
    <row r="560" spans="1:13">
      <c r="A560" s="2" t="s">
        <v>847</v>
      </c>
      <c r="B560" t="s">
        <v>1776</v>
      </c>
      <c r="C560" t="s">
        <v>1755</v>
      </c>
      <c r="D560" t="s">
        <v>1771</v>
      </c>
      <c r="K560"/>
      <c r="L560"/>
      <c r="M560"/>
    </row>
    <row r="561" spans="1:13">
      <c r="A561" s="2" t="s">
        <v>843</v>
      </c>
      <c r="B561" t="s">
        <v>1776</v>
      </c>
      <c r="C561" t="s">
        <v>1755</v>
      </c>
      <c r="D561" t="s">
        <v>1772</v>
      </c>
      <c r="K561"/>
      <c r="L561"/>
      <c r="M561"/>
    </row>
    <row r="562" spans="1:13">
      <c r="A562" s="2" t="s">
        <v>850</v>
      </c>
      <c r="B562" t="s">
        <v>1776</v>
      </c>
      <c r="C562" t="s">
        <v>1755</v>
      </c>
      <c r="D562" t="s">
        <v>1765</v>
      </c>
      <c r="K562"/>
      <c r="L562"/>
      <c r="M562"/>
    </row>
    <row r="563" spans="1:13">
      <c r="A563" s="2" t="s">
        <v>851</v>
      </c>
      <c r="B563" t="s">
        <v>1776</v>
      </c>
      <c r="C563" t="s">
        <v>1755</v>
      </c>
      <c r="D563" t="s">
        <v>1765</v>
      </c>
      <c r="K563"/>
      <c r="L563"/>
      <c r="M563"/>
    </row>
    <row r="564" spans="1:13">
      <c r="A564" s="2" t="s">
        <v>848</v>
      </c>
      <c r="B564" t="s">
        <v>1776</v>
      </c>
      <c r="C564" t="s">
        <v>1755</v>
      </c>
      <c r="D564" t="s">
        <v>1759</v>
      </c>
      <c r="K564"/>
      <c r="L564"/>
      <c r="M564"/>
    </row>
    <row r="565" spans="1:13">
      <c r="A565" s="2" t="s">
        <v>849</v>
      </c>
      <c r="B565" t="s">
        <v>1776</v>
      </c>
      <c r="C565" t="s">
        <v>1755</v>
      </c>
      <c r="D565" t="s">
        <v>1759</v>
      </c>
      <c r="K565"/>
      <c r="L565"/>
      <c r="M565"/>
    </row>
    <row r="566" spans="1:13">
      <c r="A566" s="2" t="s">
        <v>846</v>
      </c>
      <c r="B566" t="s">
        <v>1776</v>
      </c>
      <c r="C566" t="s">
        <v>1755</v>
      </c>
      <c r="D566" t="s">
        <v>1767</v>
      </c>
      <c r="K566"/>
      <c r="L566"/>
      <c r="M566"/>
    </row>
    <row r="567" spans="1:13">
      <c r="A567" s="2" t="s">
        <v>857</v>
      </c>
      <c r="B567" t="s">
        <v>1776</v>
      </c>
      <c r="C567" t="s">
        <v>1755</v>
      </c>
      <c r="D567" t="s">
        <v>1760</v>
      </c>
      <c r="K567"/>
      <c r="L567"/>
      <c r="M567"/>
    </row>
    <row r="568" spans="1:13">
      <c r="A568" s="2" t="s">
        <v>858</v>
      </c>
      <c r="B568" t="s">
        <v>1776</v>
      </c>
      <c r="C568" t="s">
        <v>1755</v>
      </c>
      <c r="D568" t="s">
        <v>1762</v>
      </c>
      <c r="K568"/>
      <c r="L568"/>
      <c r="M568"/>
    </row>
    <row r="569" spans="1:13">
      <c r="A569" s="2" t="s">
        <v>865</v>
      </c>
      <c r="B569" t="s">
        <v>1776</v>
      </c>
      <c r="C569" t="s">
        <v>1755</v>
      </c>
      <c r="D569" t="s">
        <v>1759</v>
      </c>
      <c r="K569"/>
      <c r="L569"/>
      <c r="M569"/>
    </row>
    <row r="570" spans="1:13">
      <c r="A570" s="2" t="s">
        <v>867</v>
      </c>
      <c r="B570" t="s">
        <v>1776</v>
      </c>
      <c r="C570" t="s">
        <v>1755</v>
      </c>
      <c r="D570" t="s">
        <v>1761</v>
      </c>
      <c r="K570"/>
      <c r="L570"/>
      <c r="M570"/>
    </row>
    <row r="571" spans="1:13">
      <c r="A571" s="2" t="s">
        <v>866</v>
      </c>
      <c r="B571" t="s">
        <v>1776</v>
      </c>
      <c r="C571" t="s">
        <v>1755</v>
      </c>
      <c r="D571" t="s">
        <v>1763</v>
      </c>
      <c r="K571"/>
      <c r="L571"/>
      <c r="M571"/>
    </row>
    <row r="572" spans="1:13">
      <c r="A572" s="2" t="s">
        <v>868</v>
      </c>
      <c r="B572" t="s">
        <v>1776</v>
      </c>
      <c r="C572" t="s">
        <v>1755</v>
      </c>
      <c r="D572" t="s">
        <v>1764</v>
      </c>
      <c r="K572"/>
      <c r="L572"/>
      <c r="M572"/>
    </row>
    <row r="573" spans="1:13">
      <c r="A573" s="2" t="s">
        <v>855</v>
      </c>
      <c r="B573" t="s">
        <v>1776</v>
      </c>
      <c r="C573" t="s">
        <v>1755</v>
      </c>
      <c r="D573" t="s">
        <v>1766</v>
      </c>
      <c r="K573"/>
      <c r="L573"/>
      <c r="M573"/>
    </row>
    <row r="574" spans="1:13">
      <c r="A574" s="2" t="s">
        <v>860</v>
      </c>
      <c r="B574" t="s">
        <v>1776</v>
      </c>
      <c r="C574" t="s">
        <v>1755</v>
      </c>
      <c r="D574" t="s">
        <v>1771</v>
      </c>
      <c r="K574"/>
      <c r="L574"/>
      <c r="M574"/>
    </row>
    <row r="575" spans="1:13">
      <c r="A575" s="2" t="s">
        <v>856</v>
      </c>
      <c r="B575" t="s">
        <v>1776</v>
      </c>
      <c r="C575" t="s">
        <v>1755</v>
      </c>
      <c r="D575" t="s">
        <v>1772</v>
      </c>
      <c r="K575"/>
      <c r="L575"/>
      <c r="M575"/>
    </row>
    <row r="576" spans="1:13">
      <c r="A576" s="2" t="s">
        <v>863</v>
      </c>
      <c r="B576" t="s">
        <v>1776</v>
      </c>
      <c r="C576" t="s">
        <v>1755</v>
      </c>
      <c r="D576" t="s">
        <v>1765</v>
      </c>
      <c r="K576"/>
      <c r="L576"/>
      <c r="M576"/>
    </row>
    <row r="577" spans="1:13">
      <c r="A577" s="2" t="s">
        <v>864</v>
      </c>
      <c r="B577" t="s">
        <v>1776</v>
      </c>
      <c r="C577" t="s">
        <v>1755</v>
      </c>
      <c r="D577" t="s">
        <v>1765</v>
      </c>
      <c r="K577"/>
      <c r="L577"/>
      <c r="M577"/>
    </row>
    <row r="578" spans="1:13">
      <c r="A578" s="2" t="s">
        <v>861</v>
      </c>
      <c r="B578" t="s">
        <v>1776</v>
      </c>
      <c r="C578" t="s">
        <v>1755</v>
      </c>
      <c r="D578" t="s">
        <v>1759</v>
      </c>
      <c r="K578"/>
      <c r="L578"/>
      <c r="M578"/>
    </row>
    <row r="579" spans="1:13">
      <c r="A579" s="2" t="s">
        <v>862</v>
      </c>
      <c r="B579" t="s">
        <v>1776</v>
      </c>
      <c r="C579" t="s">
        <v>1755</v>
      </c>
      <c r="D579" t="s">
        <v>1759</v>
      </c>
      <c r="K579"/>
      <c r="L579"/>
      <c r="M579"/>
    </row>
    <row r="580" spans="1:13">
      <c r="A580" s="2" t="s">
        <v>869</v>
      </c>
      <c r="B580" t="s">
        <v>1776</v>
      </c>
      <c r="C580" t="s">
        <v>1754</v>
      </c>
      <c r="D580" t="s">
        <v>1758</v>
      </c>
      <c r="K580"/>
      <c r="L580"/>
      <c r="M580"/>
    </row>
    <row r="581" spans="1:13">
      <c r="A581" s="2" t="s">
        <v>859</v>
      </c>
      <c r="B581" t="s">
        <v>1776</v>
      </c>
      <c r="C581" t="s">
        <v>1755</v>
      </c>
      <c r="D581" t="s">
        <v>1767</v>
      </c>
      <c r="K581"/>
      <c r="L581"/>
      <c r="M581"/>
    </row>
    <row r="582" spans="1:13">
      <c r="A582" s="2" t="s">
        <v>872</v>
      </c>
      <c r="B582" t="s">
        <v>1776</v>
      </c>
      <c r="C582" t="s">
        <v>1755</v>
      </c>
      <c r="D582" t="s">
        <v>1760</v>
      </c>
      <c r="K582"/>
      <c r="L582"/>
      <c r="M582"/>
    </row>
    <row r="583" spans="1:13">
      <c r="A583" s="2" t="s">
        <v>873</v>
      </c>
      <c r="B583" t="s">
        <v>1776</v>
      </c>
      <c r="C583" t="s">
        <v>1755</v>
      </c>
      <c r="D583" t="s">
        <v>1762</v>
      </c>
      <c r="K583"/>
      <c r="L583"/>
      <c r="M583"/>
    </row>
    <row r="584" spans="1:13">
      <c r="A584" s="2" t="s">
        <v>880</v>
      </c>
      <c r="B584" t="s">
        <v>1776</v>
      </c>
      <c r="C584" t="s">
        <v>1755</v>
      </c>
      <c r="D584" t="s">
        <v>1759</v>
      </c>
      <c r="K584"/>
      <c r="L584"/>
      <c r="M584"/>
    </row>
    <row r="585" spans="1:13">
      <c r="A585" s="2" t="s">
        <v>882</v>
      </c>
      <c r="B585" t="s">
        <v>1776</v>
      </c>
      <c r="C585" t="s">
        <v>1755</v>
      </c>
      <c r="D585" t="s">
        <v>1761</v>
      </c>
      <c r="K585"/>
      <c r="L585"/>
      <c r="M585"/>
    </row>
    <row r="586" spans="1:13">
      <c r="A586" s="2" t="s">
        <v>881</v>
      </c>
      <c r="B586" t="s">
        <v>1776</v>
      </c>
      <c r="C586" t="s">
        <v>1755</v>
      </c>
      <c r="D586" t="s">
        <v>1763</v>
      </c>
      <c r="K586"/>
      <c r="L586"/>
      <c r="M586"/>
    </row>
    <row r="587" spans="1:13">
      <c r="A587" s="2" t="s">
        <v>883</v>
      </c>
      <c r="B587" t="s">
        <v>1776</v>
      </c>
      <c r="C587" t="s">
        <v>1755</v>
      </c>
      <c r="D587" t="s">
        <v>1764</v>
      </c>
      <c r="K587"/>
      <c r="L587"/>
      <c r="M587"/>
    </row>
    <row r="588" spans="1:13">
      <c r="A588" s="2" t="s">
        <v>870</v>
      </c>
      <c r="B588" t="s">
        <v>1776</v>
      </c>
      <c r="C588" t="s">
        <v>1755</v>
      </c>
      <c r="D588" t="s">
        <v>1766</v>
      </c>
      <c r="K588"/>
      <c r="L588"/>
      <c r="M588"/>
    </row>
    <row r="589" spans="1:13">
      <c r="A589" s="2" t="s">
        <v>875</v>
      </c>
      <c r="B589" t="s">
        <v>1776</v>
      </c>
      <c r="C589" t="s">
        <v>1755</v>
      </c>
      <c r="D589" t="s">
        <v>1771</v>
      </c>
      <c r="K589"/>
      <c r="L589"/>
      <c r="M589"/>
    </row>
    <row r="590" spans="1:13">
      <c r="A590" s="2" t="s">
        <v>871</v>
      </c>
      <c r="B590" t="s">
        <v>1776</v>
      </c>
      <c r="C590" t="s">
        <v>1755</v>
      </c>
      <c r="D590" t="s">
        <v>1772</v>
      </c>
      <c r="K590"/>
      <c r="L590"/>
      <c r="M590"/>
    </row>
    <row r="591" spans="1:13">
      <c r="A591" s="2" t="s">
        <v>878</v>
      </c>
      <c r="B591" t="s">
        <v>1776</v>
      </c>
      <c r="C591" t="s">
        <v>1755</v>
      </c>
      <c r="D591" t="s">
        <v>1765</v>
      </c>
      <c r="K591"/>
      <c r="L591"/>
      <c r="M591"/>
    </row>
    <row r="592" spans="1:13">
      <c r="A592" s="2" t="s">
        <v>879</v>
      </c>
      <c r="B592" t="s">
        <v>1776</v>
      </c>
      <c r="C592" t="s">
        <v>1755</v>
      </c>
      <c r="D592" t="s">
        <v>1765</v>
      </c>
      <c r="K592"/>
      <c r="L592"/>
      <c r="M592"/>
    </row>
    <row r="593" spans="1:13">
      <c r="A593" s="2" t="s">
        <v>876</v>
      </c>
      <c r="B593" t="s">
        <v>1776</v>
      </c>
      <c r="C593" t="s">
        <v>1755</v>
      </c>
      <c r="D593" t="s">
        <v>1759</v>
      </c>
      <c r="K593"/>
      <c r="L593"/>
      <c r="M593"/>
    </row>
    <row r="594" spans="1:13">
      <c r="A594" s="2" t="s">
        <v>877</v>
      </c>
      <c r="B594" t="s">
        <v>1776</v>
      </c>
      <c r="C594" t="s">
        <v>1755</v>
      </c>
      <c r="D594" t="s">
        <v>1759</v>
      </c>
      <c r="K594"/>
      <c r="L594"/>
      <c r="M594"/>
    </row>
    <row r="595" spans="1:13">
      <c r="A595" s="2" t="s">
        <v>884</v>
      </c>
      <c r="B595" t="s">
        <v>1776</v>
      </c>
      <c r="C595" t="s">
        <v>1754</v>
      </c>
      <c r="D595" t="s">
        <v>1758</v>
      </c>
      <c r="K595"/>
      <c r="L595"/>
      <c r="M595"/>
    </row>
    <row r="596" spans="1:13">
      <c r="A596" s="2" t="s">
        <v>874</v>
      </c>
      <c r="B596" t="s">
        <v>1776</v>
      </c>
      <c r="C596" t="s">
        <v>1755</v>
      </c>
      <c r="D596" t="s">
        <v>1767</v>
      </c>
      <c r="K596"/>
      <c r="L596"/>
      <c r="M596"/>
    </row>
    <row r="597" spans="1:13">
      <c r="A597" s="2" t="s">
        <v>899</v>
      </c>
      <c r="B597" t="s">
        <v>1776</v>
      </c>
      <c r="C597" t="s">
        <v>1755</v>
      </c>
      <c r="D597" t="s">
        <v>1779</v>
      </c>
      <c r="K597"/>
      <c r="L597"/>
      <c r="M597"/>
    </row>
    <row r="598" spans="1:13">
      <c r="A598" s="2" t="s">
        <v>900</v>
      </c>
      <c r="B598" t="s">
        <v>1776</v>
      </c>
      <c r="C598" t="s">
        <v>1755</v>
      </c>
      <c r="D598" t="s">
        <v>1779</v>
      </c>
      <c r="K598"/>
      <c r="L598"/>
      <c r="M598"/>
    </row>
    <row r="599" spans="1:13">
      <c r="A599" s="2" t="s">
        <v>613</v>
      </c>
      <c r="B599" t="s">
        <v>1776</v>
      </c>
      <c r="C599" t="s">
        <v>1749</v>
      </c>
      <c r="D599" t="s">
        <v>1759</v>
      </c>
      <c r="K599"/>
      <c r="L599"/>
      <c r="M599"/>
    </row>
    <row r="600" spans="1:13">
      <c r="A600" s="2" t="s">
        <v>63</v>
      </c>
      <c r="B600" t="s">
        <v>1776</v>
      </c>
      <c r="C600" t="s">
        <v>1749</v>
      </c>
      <c r="D600" t="s">
        <v>1759</v>
      </c>
      <c r="K600"/>
      <c r="L600"/>
      <c r="M600"/>
    </row>
    <row r="601" spans="1:13">
      <c r="A601" s="2" t="s">
        <v>34</v>
      </c>
      <c r="B601" t="s">
        <v>1776</v>
      </c>
      <c r="C601" t="s">
        <v>1749</v>
      </c>
      <c r="D601" t="s">
        <v>1759</v>
      </c>
      <c r="K601"/>
      <c r="L601"/>
      <c r="M601"/>
    </row>
    <row r="602" spans="1:13">
      <c r="A602" s="2" t="s">
        <v>56</v>
      </c>
      <c r="B602" t="s">
        <v>1776</v>
      </c>
      <c r="C602" t="s">
        <v>1749</v>
      </c>
      <c r="D602" t="s">
        <v>1759</v>
      </c>
      <c r="K602"/>
      <c r="L602"/>
      <c r="M602"/>
    </row>
    <row r="603" spans="1:13">
      <c r="A603" s="2" t="s">
        <v>51</v>
      </c>
      <c r="B603" t="s">
        <v>1776</v>
      </c>
      <c r="C603" t="s">
        <v>1749</v>
      </c>
      <c r="D603" t="s">
        <v>1759</v>
      </c>
      <c r="K603"/>
      <c r="L603"/>
      <c r="M603"/>
    </row>
    <row r="604" spans="1:13">
      <c r="A604" s="2" t="s">
        <v>38</v>
      </c>
      <c r="B604" t="s">
        <v>1776</v>
      </c>
      <c r="C604" t="s">
        <v>1749</v>
      </c>
      <c r="D604" t="s">
        <v>1759</v>
      </c>
      <c r="K604"/>
      <c r="L604"/>
      <c r="M604"/>
    </row>
    <row r="605" spans="1:13">
      <c r="A605" s="2" t="s">
        <v>46</v>
      </c>
      <c r="B605" t="s">
        <v>1776</v>
      </c>
      <c r="C605" t="s">
        <v>1749</v>
      </c>
      <c r="D605" t="s">
        <v>1759</v>
      </c>
      <c r="K605"/>
      <c r="L605"/>
      <c r="M605"/>
    </row>
    <row r="606" spans="1:13">
      <c r="A606" s="2" t="s">
        <v>65</v>
      </c>
      <c r="B606" t="s">
        <v>1776</v>
      </c>
      <c r="C606" t="s">
        <v>1749</v>
      </c>
      <c r="D606" t="s">
        <v>1759</v>
      </c>
      <c r="K606"/>
      <c r="L606"/>
      <c r="M606"/>
    </row>
    <row r="607" spans="1:13">
      <c r="A607" s="2" t="s">
        <v>66</v>
      </c>
      <c r="B607" t="s">
        <v>1776</v>
      </c>
      <c r="C607" t="s">
        <v>1749</v>
      </c>
      <c r="D607" t="s">
        <v>1759</v>
      </c>
      <c r="K607"/>
      <c r="L607"/>
      <c r="M607"/>
    </row>
    <row r="608" spans="1:13">
      <c r="A608" s="2" t="s">
        <v>612</v>
      </c>
      <c r="B608" t="s">
        <v>1776</v>
      </c>
      <c r="C608" t="s">
        <v>1749</v>
      </c>
      <c r="D608" t="s">
        <v>1759</v>
      </c>
      <c r="K608"/>
      <c r="L608"/>
      <c r="M608"/>
    </row>
    <row r="609" spans="1:13">
      <c r="A609" s="2" t="s">
        <v>48</v>
      </c>
      <c r="B609" t="s">
        <v>1776</v>
      </c>
      <c r="C609" t="s">
        <v>1749</v>
      </c>
      <c r="D609" t="s">
        <v>1759</v>
      </c>
      <c r="K609"/>
      <c r="L609"/>
      <c r="M609"/>
    </row>
    <row r="610" spans="1:13">
      <c r="A610" s="2" t="s">
        <v>71</v>
      </c>
      <c r="B610" t="s">
        <v>1776</v>
      </c>
      <c r="C610" t="s">
        <v>1749</v>
      </c>
      <c r="D610" t="s">
        <v>1759</v>
      </c>
      <c r="K610"/>
      <c r="L610"/>
      <c r="M610"/>
    </row>
    <row r="611" spans="1:13">
      <c r="A611" s="2" t="s">
        <v>57</v>
      </c>
      <c r="B611" t="s">
        <v>1776</v>
      </c>
      <c r="C611" t="s">
        <v>1749</v>
      </c>
      <c r="D611" t="s">
        <v>1759</v>
      </c>
      <c r="K611"/>
      <c r="L611"/>
      <c r="M611"/>
    </row>
    <row r="612" spans="1:13">
      <c r="A612" s="2" t="s">
        <v>61</v>
      </c>
      <c r="B612" t="s">
        <v>1776</v>
      </c>
      <c r="C612" t="s">
        <v>1749</v>
      </c>
      <c r="D612" t="s">
        <v>1759</v>
      </c>
      <c r="K612"/>
      <c r="L612"/>
      <c r="M612"/>
    </row>
    <row r="613" spans="1:13">
      <c r="A613" s="2" t="s">
        <v>59</v>
      </c>
      <c r="B613" t="s">
        <v>1776</v>
      </c>
      <c r="C613" t="s">
        <v>1749</v>
      </c>
      <c r="D613" t="s">
        <v>1759</v>
      </c>
      <c r="K613"/>
      <c r="L613"/>
      <c r="M613"/>
    </row>
    <row r="614" spans="1:13">
      <c r="A614" s="2" t="s">
        <v>614</v>
      </c>
      <c r="B614" t="s">
        <v>1776</v>
      </c>
      <c r="C614" t="s">
        <v>1749</v>
      </c>
      <c r="D614" t="s">
        <v>1759</v>
      </c>
      <c r="K614"/>
      <c r="L614"/>
      <c r="M614"/>
    </row>
    <row r="615" spans="1:13">
      <c r="A615" s="2" t="s">
        <v>70</v>
      </c>
      <c r="B615" t="s">
        <v>1776</v>
      </c>
      <c r="C615" t="s">
        <v>1749</v>
      </c>
      <c r="D615" t="s">
        <v>1759</v>
      </c>
      <c r="K615"/>
      <c r="L615"/>
      <c r="M615"/>
    </row>
    <row r="616" spans="1:13">
      <c r="A616" s="2" t="s">
        <v>666</v>
      </c>
      <c r="B616" t="s">
        <v>1776</v>
      </c>
      <c r="C616" t="s">
        <v>1749</v>
      </c>
      <c r="D616" t="s">
        <v>1759</v>
      </c>
      <c r="K616"/>
      <c r="L616"/>
      <c r="M616"/>
    </row>
    <row r="617" spans="1:13">
      <c r="A617" s="2" t="s">
        <v>55</v>
      </c>
      <c r="B617" t="s">
        <v>1776</v>
      </c>
      <c r="C617" t="s">
        <v>1749</v>
      </c>
      <c r="D617" t="s">
        <v>1759</v>
      </c>
      <c r="K617"/>
      <c r="L617"/>
      <c r="M617"/>
    </row>
    <row r="618" spans="1:13">
      <c r="A618" s="2" t="s">
        <v>49</v>
      </c>
      <c r="B618" t="s">
        <v>1776</v>
      </c>
      <c r="C618" t="s">
        <v>1749</v>
      </c>
      <c r="D618" t="s">
        <v>1759</v>
      </c>
      <c r="K618"/>
      <c r="L618"/>
      <c r="M618"/>
    </row>
    <row r="619" spans="1:13">
      <c r="A619" s="2" t="s">
        <v>36</v>
      </c>
      <c r="B619" t="s">
        <v>1776</v>
      </c>
      <c r="C619" t="s">
        <v>1749</v>
      </c>
      <c r="D619" t="s">
        <v>1759</v>
      </c>
      <c r="K619"/>
      <c r="L619"/>
      <c r="M619"/>
    </row>
    <row r="620" spans="1:13">
      <c r="A620" s="2" t="s">
        <v>42</v>
      </c>
      <c r="B620" t="s">
        <v>1776</v>
      </c>
      <c r="C620" t="s">
        <v>1749</v>
      </c>
      <c r="D620" t="s">
        <v>1759</v>
      </c>
      <c r="K620"/>
      <c r="L620"/>
      <c r="M620"/>
    </row>
    <row r="621" spans="1:13">
      <c r="A621" s="2" t="s">
        <v>43</v>
      </c>
      <c r="B621" t="s">
        <v>1776</v>
      </c>
      <c r="C621" t="s">
        <v>1749</v>
      </c>
      <c r="D621" t="s">
        <v>1759</v>
      </c>
      <c r="K621"/>
      <c r="L621"/>
      <c r="M621"/>
    </row>
    <row r="622" spans="1:13">
      <c r="A622" s="2" t="s">
        <v>53</v>
      </c>
      <c r="B622" t="s">
        <v>1776</v>
      </c>
      <c r="C622" t="s">
        <v>1752</v>
      </c>
      <c r="D622" t="s">
        <v>1758</v>
      </c>
      <c r="K622"/>
      <c r="L622"/>
      <c r="M622"/>
    </row>
    <row r="623" spans="1:13">
      <c r="A623" s="2" t="s">
        <v>58</v>
      </c>
      <c r="B623" t="s">
        <v>1776</v>
      </c>
      <c r="C623" t="s">
        <v>1756</v>
      </c>
      <c r="D623" t="s">
        <v>1759</v>
      </c>
      <c r="K623"/>
      <c r="L623"/>
      <c r="M623"/>
    </row>
    <row r="624" spans="1:13">
      <c r="A624" s="2" t="s">
        <v>67</v>
      </c>
      <c r="B624" t="s">
        <v>1776</v>
      </c>
      <c r="C624" t="s">
        <v>1749</v>
      </c>
      <c r="D624" t="s">
        <v>1759</v>
      </c>
      <c r="K624"/>
      <c r="L624"/>
      <c r="M624"/>
    </row>
    <row r="625" spans="1:13">
      <c r="A625" s="2" t="s">
        <v>72</v>
      </c>
      <c r="B625" t="s">
        <v>1776</v>
      </c>
      <c r="C625" t="s">
        <v>1749</v>
      </c>
      <c r="D625" t="s">
        <v>1759</v>
      </c>
      <c r="K625"/>
      <c r="L625"/>
      <c r="M625"/>
    </row>
    <row r="626" spans="1:13">
      <c r="A626" s="2" t="s">
        <v>611</v>
      </c>
      <c r="B626" t="s">
        <v>1776</v>
      </c>
      <c r="C626" t="s">
        <v>1749</v>
      </c>
      <c r="D626" t="s">
        <v>1759</v>
      </c>
      <c r="K626"/>
      <c r="L626"/>
      <c r="M626"/>
    </row>
    <row r="627" spans="1:13">
      <c r="A627" s="2" t="s">
        <v>610</v>
      </c>
      <c r="B627" t="s">
        <v>1776</v>
      </c>
      <c r="C627" t="s">
        <v>1749</v>
      </c>
      <c r="D627" t="s">
        <v>1759</v>
      </c>
      <c r="K627"/>
      <c r="L627"/>
      <c r="M627"/>
    </row>
    <row r="628" spans="1:13">
      <c r="A628" s="2" t="s">
        <v>50</v>
      </c>
      <c r="B628" t="s">
        <v>1776</v>
      </c>
      <c r="C628" t="s">
        <v>1749</v>
      </c>
      <c r="D628" t="s">
        <v>1759</v>
      </c>
      <c r="K628"/>
      <c r="L628"/>
      <c r="M628"/>
    </row>
    <row r="629" spans="1:13">
      <c r="A629" s="2" t="s">
        <v>44</v>
      </c>
      <c r="B629" t="s">
        <v>1776</v>
      </c>
      <c r="C629" t="s">
        <v>1749</v>
      </c>
      <c r="D629" t="s">
        <v>1759</v>
      </c>
      <c r="K629"/>
      <c r="L629"/>
      <c r="M629"/>
    </row>
    <row r="630" spans="1:13">
      <c r="A630" s="2" t="s">
        <v>45</v>
      </c>
      <c r="B630" t="s">
        <v>1776</v>
      </c>
      <c r="C630" t="s">
        <v>1749</v>
      </c>
      <c r="D630" t="s">
        <v>1759</v>
      </c>
      <c r="K630"/>
      <c r="L630"/>
      <c r="M630"/>
    </row>
    <row r="631" spans="1:13">
      <c r="A631" s="2" t="s">
        <v>62</v>
      </c>
      <c r="B631" t="s">
        <v>1776</v>
      </c>
      <c r="C631" t="s">
        <v>1749</v>
      </c>
      <c r="D631" t="s">
        <v>1759</v>
      </c>
      <c r="K631"/>
      <c r="L631"/>
      <c r="M631"/>
    </row>
    <row r="632" spans="1:13">
      <c r="A632" s="2" t="s">
        <v>39</v>
      </c>
      <c r="B632" t="s">
        <v>1776</v>
      </c>
      <c r="C632" t="s">
        <v>1749</v>
      </c>
      <c r="D632" t="s">
        <v>1759</v>
      </c>
      <c r="K632"/>
      <c r="L632"/>
      <c r="M632"/>
    </row>
    <row r="633" spans="1:13">
      <c r="A633" s="2" t="s">
        <v>60</v>
      </c>
      <c r="B633" t="s">
        <v>1776</v>
      </c>
      <c r="C633" t="s">
        <v>1749</v>
      </c>
      <c r="D633" t="s">
        <v>1759</v>
      </c>
      <c r="K633"/>
      <c r="L633"/>
      <c r="M633"/>
    </row>
    <row r="634" spans="1:13">
      <c r="A634" s="2" t="s">
        <v>40</v>
      </c>
      <c r="B634" t="s">
        <v>1776</v>
      </c>
      <c r="C634" t="s">
        <v>1749</v>
      </c>
      <c r="D634" t="s">
        <v>1759</v>
      </c>
      <c r="K634"/>
      <c r="L634"/>
      <c r="M634"/>
    </row>
    <row r="635" spans="1:13">
      <c r="A635" s="2" t="s">
        <v>64</v>
      </c>
      <c r="B635" t="s">
        <v>1776</v>
      </c>
      <c r="C635" t="s">
        <v>1749</v>
      </c>
      <c r="D635" t="s">
        <v>1759</v>
      </c>
      <c r="K635"/>
      <c r="L635"/>
      <c r="M635"/>
    </row>
    <row r="636" spans="1:13">
      <c r="A636" s="2" t="s">
        <v>667</v>
      </c>
      <c r="B636" t="s">
        <v>1776</v>
      </c>
      <c r="C636" t="s">
        <v>1749</v>
      </c>
      <c r="D636" t="s">
        <v>1759</v>
      </c>
      <c r="K636"/>
      <c r="L636"/>
      <c r="M636"/>
    </row>
    <row r="637" spans="1:13">
      <c r="A637" s="2" t="s">
        <v>68</v>
      </c>
      <c r="B637" t="s">
        <v>1776</v>
      </c>
      <c r="C637" t="s">
        <v>1749</v>
      </c>
      <c r="D637" t="s">
        <v>1759</v>
      </c>
      <c r="K637"/>
      <c r="L637"/>
      <c r="M637"/>
    </row>
    <row r="638" spans="1:13">
      <c r="A638" s="2" t="s">
        <v>54</v>
      </c>
      <c r="B638" t="s">
        <v>1776</v>
      </c>
      <c r="C638" t="s">
        <v>1749</v>
      </c>
      <c r="D638" t="s">
        <v>1759</v>
      </c>
      <c r="K638"/>
      <c r="L638"/>
      <c r="M638"/>
    </row>
    <row r="639" spans="1:13">
      <c r="A639" s="2" t="s">
        <v>47</v>
      </c>
      <c r="B639" t="s">
        <v>1776</v>
      </c>
      <c r="C639" t="s">
        <v>1749</v>
      </c>
      <c r="D639" t="s">
        <v>1759</v>
      </c>
      <c r="K639"/>
      <c r="L639"/>
      <c r="M639"/>
    </row>
    <row r="640" spans="1:13">
      <c r="A640" s="2" t="s">
        <v>37</v>
      </c>
      <c r="B640" t="s">
        <v>1776</v>
      </c>
      <c r="C640" t="s">
        <v>1749</v>
      </c>
      <c r="D640" t="s">
        <v>1759</v>
      </c>
      <c r="K640"/>
      <c r="L640"/>
      <c r="M640"/>
    </row>
    <row r="641" spans="1:13">
      <c r="A641" s="2" t="s">
        <v>41</v>
      </c>
      <c r="B641" t="s">
        <v>1776</v>
      </c>
      <c r="C641" t="s">
        <v>1749</v>
      </c>
      <c r="D641" t="s">
        <v>1759</v>
      </c>
      <c r="K641"/>
      <c r="L641"/>
      <c r="M641"/>
    </row>
    <row r="642" spans="1:13">
      <c r="A642" s="2" t="s">
        <v>69</v>
      </c>
      <c r="B642" t="s">
        <v>1776</v>
      </c>
      <c r="C642" t="s">
        <v>1749</v>
      </c>
      <c r="D642" t="s">
        <v>1759</v>
      </c>
      <c r="K642"/>
      <c r="L642"/>
      <c r="M642"/>
    </row>
    <row r="643" spans="1:13">
      <c r="A643" s="2" t="s">
        <v>52</v>
      </c>
      <c r="B643" t="s">
        <v>1776</v>
      </c>
      <c r="C643" t="s">
        <v>1749</v>
      </c>
      <c r="D643" t="s">
        <v>1759</v>
      </c>
      <c r="K643"/>
      <c r="L643"/>
      <c r="M643"/>
    </row>
    <row r="644" spans="1:13">
      <c r="A644" s="2" t="s">
        <v>85</v>
      </c>
      <c r="B644" t="s">
        <v>1776</v>
      </c>
      <c r="C644" t="s">
        <v>1749</v>
      </c>
      <c r="D644" t="s">
        <v>1759</v>
      </c>
      <c r="K644"/>
      <c r="L644"/>
      <c r="M644"/>
    </row>
    <row r="645" spans="1:13">
      <c r="A645" s="2" t="s">
        <v>84</v>
      </c>
      <c r="B645" t="s">
        <v>1776</v>
      </c>
      <c r="C645" t="s">
        <v>1749</v>
      </c>
      <c r="D645" t="s">
        <v>1759</v>
      </c>
      <c r="K645"/>
      <c r="L645"/>
      <c r="M645"/>
    </row>
    <row r="646" spans="1:13">
      <c r="A646" s="2" t="s">
        <v>73</v>
      </c>
      <c r="B646" t="s">
        <v>1776</v>
      </c>
      <c r="C646" t="s">
        <v>1749</v>
      </c>
      <c r="D646" t="s">
        <v>1759</v>
      </c>
      <c r="K646"/>
      <c r="L646"/>
      <c r="M646"/>
    </row>
    <row r="647" spans="1:13">
      <c r="A647" s="2" t="s">
        <v>75</v>
      </c>
      <c r="B647" t="s">
        <v>1776</v>
      </c>
      <c r="C647" t="s">
        <v>1749</v>
      </c>
      <c r="D647" t="s">
        <v>1759</v>
      </c>
      <c r="K647"/>
      <c r="L647"/>
      <c r="M647"/>
    </row>
    <row r="648" spans="1:13">
      <c r="A648" s="2" t="s">
        <v>76</v>
      </c>
      <c r="B648" t="s">
        <v>1776</v>
      </c>
      <c r="C648" t="s">
        <v>1749</v>
      </c>
      <c r="D648" t="s">
        <v>1759</v>
      </c>
      <c r="K648"/>
      <c r="L648"/>
      <c r="M648"/>
    </row>
    <row r="649" spans="1:13">
      <c r="A649" s="2" t="s">
        <v>77</v>
      </c>
      <c r="B649" t="s">
        <v>1776</v>
      </c>
      <c r="C649" t="s">
        <v>1749</v>
      </c>
      <c r="D649" t="s">
        <v>1759</v>
      </c>
      <c r="K649"/>
      <c r="L649"/>
      <c r="M649"/>
    </row>
    <row r="650" spans="1:13">
      <c r="A650" s="2" t="s">
        <v>86</v>
      </c>
      <c r="B650" t="s">
        <v>1776</v>
      </c>
      <c r="C650" t="s">
        <v>1749</v>
      </c>
      <c r="D650" t="s">
        <v>1759</v>
      </c>
      <c r="K650"/>
      <c r="L650"/>
      <c r="M650"/>
    </row>
    <row r="651" spans="1:13">
      <c r="A651" s="2" t="s">
        <v>80</v>
      </c>
      <c r="B651" t="s">
        <v>1776</v>
      </c>
      <c r="C651" t="s">
        <v>1749</v>
      </c>
      <c r="D651" t="s">
        <v>1759</v>
      </c>
      <c r="K651"/>
      <c r="L651"/>
      <c r="M651"/>
    </row>
    <row r="652" spans="1:13">
      <c r="A652" s="2" t="s">
        <v>79</v>
      </c>
      <c r="B652" t="s">
        <v>1776</v>
      </c>
      <c r="C652" t="s">
        <v>1749</v>
      </c>
      <c r="D652" t="s">
        <v>1759</v>
      </c>
      <c r="K652"/>
      <c r="L652"/>
      <c r="M652"/>
    </row>
    <row r="653" spans="1:13">
      <c r="A653" s="2" t="s">
        <v>81</v>
      </c>
      <c r="B653" t="s">
        <v>1776</v>
      </c>
      <c r="C653" t="s">
        <v>1749</v>
      </c>
      <c r="D653" t="s">
        <v>1759</v>
      </c>
      <c r="K653"/>
      <c r="L653"/>
      <c r="M653"/>
    </row>
    <row r="654" spans="1:13">
      <c r="A654" s="2" t="s">
        <v>619</v>
      </c>
      <c r="B654" t="s">
        <v>1776</v>
      </c>
      <c r="C654" t="s">
        <v>1749</v>
      </c>
      <c r="D654" t="s">
        <v>1759</v>
      </c>
      <c r="K654"/>
      <c r="L654"/>
      <c r="M654"/>
    </row>
    <row r="655" spans="1:13">
      <c r="A655" s="2" t="s">
        <v>82</v>
      </c>
      <c r="B655" t="s">
        <v>1776</v>
      </c>
      <c r="C655" t="s">
        <v>1749</v>
      </c>
      <c r="D655" t="s">
        <v>1759</v>
      </c>
      <c r="K655"/>
      <c r="L655"/>
      <c r="M655"/>
    </row>
    <row r="656" spans="1:13">
      <c r="A656" s="2" t="s">
        <v>83</v>
      </c>
      <c r="B656" t="s">
        <v>1776</v>
      </c>
      <c r="C656" t="s">
        <v>1749</v>
      </c>
      <c r="D656" t="s">
        <v>1759</v>
      </c>
      <c r="K656"/>
      <c r="L656"/>
      <c r="M656"/>
    </row>
    <row r="657" spans="1:13">
      <c r="A657" s="2" t="s">
        <v>78</v>
      </c>
      <c r="B657" t="s">
        <v>1776</v>
      </c>
      <c r="C657" t="s">
        <v>1749</v>
      </c>
      <c r="D657" t="s">
        <v>1759</v>
      </c>
      <c r="K657"/>
      <c r="L657"/>
      <c r="M657"/>
    </row>
    <row r="658" spans="1:13">
      <c r="A658" s="2" t="s">
        <v>618</v>
      </c>
      <c r="B658" t="s">
        <v>1776</v>
      </c>
      <c r="C658" t="s">
        <v>1749</v>
      </c>
      <c r="D658" t="s">
        <v>1759</v>
      </c>
      <c r="K658"/>
      <c r="L658"/>
      <c r="M658"/>
    </row>
    <row r="659" spans="1:13">
      <c r="A659" s="2" t="s">
        <v>87</v>
      </c>
      <c r="B659" t="s">
        <v>1776</v>
      </c>
      <c r="C659" t="s">
        <v>1749</v>
      </c>
      <c r="D659" t="s">
        <v>1759</v>
      </c>
      <c r="K659"/>
      <c r="L659"/>
      <c r="M659"/>
    </row>
    <row r="660" spans="1:13">
      <c r="A660" s="2" t="s">
        <v>615</v>
      </c>
      <c r="B660" t="s">
        <v>1776</v>
      </c>
      <c r="C660" t="s">
        <v>1749</v>
      </c>
      <c r="D660" t="s">
        <v>1759</v>
      </c>
      <c r="K660"/>
      <c r="L660"/>
      <c r="M660"/>
    </row>
    <row r="661" spans="1:13">
      <c r="A661" s="2" t="s">
        <v>617</v>
      </c>
      <c r="B661" t="s">
        <v>1776</v>
      </c>
      <c r="C661" t="s">
        <v>1749</v>
      </c>
      <c r="D661" t="s">
        <v>1759</v>
      </c>
      <c r="K661"/>
      <c r="L661"/>
      <c r="M661"/>
    </row>
    <row r="662" spans="1:13">
      <c r="A662" s="2" t="s">
        <v>616</v>
      </c>
      <c r="B662" t="s">
        <v>1776</v>
      </c>
      <c r="C662" t="s">
        <v>1749</v>
      </c>
      <c r="D662" t="s">
        <v>1759</v>
      </c>
      <c r="K662"/>
      <c r="L662"/>
      <c r="M662"/>
    </row>
    <row r="663" spans="1:13">
      <c r="A663" s="2" t="s">
        <v>88</v>
      </c>
      <c r="B663" t="s">
        <v>1776</v>
      </c>
      <c r="C663" t="s">
        <v>1749</v>
      </c>
      <c r="D663" t="s">
        <v>1759</v>
      </c>
      <c r="K663"/>
      <c r="L663"/>
      <c r="M663"/>
    </row>
    <row r="664" spans="1:13">
      <c r="A664" s="2" t="s">
        <v>89</v>
      </c>
      <c r="B664" t="s">
        <v>1776</v>
      </c>
      <c r="C664" t="s">
        <v>1749</v>
      </c>
      <c r="D664" t="s">
        <v>1759</v>
      </c>
      <c r="K664"/>
      <c r="L664"/>
      <c r="M664"/>
    </row>
    <row r="665" spans="1:13">
      <c r="A665" s="2" t="s">
        <v>595</v>
      </c>
      <c r="B665" t="s">
        <v>1776</v>
      </c>
      <c r="C665" t="s">
        <v>1752</v>
      </c>
      <c r="D665" t="s">
        <v>1759</v>
      </c>
      <c r="K665"/>
      <c r="L665"/>
      <c r="M665"/>
    </row>
    <row r="666" spans="1:13">
      <c r="A666" s="2" t="s">
        <v>30</v>
      </c>
      <c r="B666" t="s">
        <v>1776</v>
      </c>
      <c r="C666" t="s">
        <v>1756</v>
      </c>
      <c r="D666" t="s">
        <v>1759</v>
      </c>
      <c r="K666"/>
      <c r="L666"/>
      <c r="M666"/>
    </row>
    <row r="667" spans="1:13">
      <c r="A667" s="2" t="s">
        <v>26</v>
      </c>
      <c r="B667" t="s">
        <v>1776</v>
      </c>
      <c r="C667" t="s">
        <v>1756</v>
      </c>
      <c r="D667" t="s">
        <v>1759</v>
      </c>
      <c r="K667"/>
      <c r="L667"/>
      <c r="M667"/>
    </row>
    <row r="668" spans="1:13">
      <c r="A668" s="2" t="s">
        <v>31</v>
      </c>
      <c r="B668" t="s">
        <v>1776</v>
      </c>
      <c r="C668" t="s">
        <v>1756</v>
      </c>
      <c r="D668" t="s">
        <v>1759</v>
      </c>
      <c r="K668"/>
      <c r="L668"/>
      <c r="M668"/>
    </row>
    <row r="669" spans="1:13">
      <c r="A669" s="2" t="s">
        <v>22</v>
      </c>
      <c r="B669" t="s">
        <v>1776</v>
      </c>
      <c r="C669" t="s">
        <v>1749</v>
      </c>
      <c r="D669" t="s">
        <v>1759</v>
      </c>
      <c r="K669"/>
      <c r="L669"/>
      <c r="M669"/>
    </row>
    <row r="670" spans="1:13">
      <c r="A670" s="2" t="s">
        <v>28</v>
      </c>
      <c r="B670" t="s">
        <v>1776</v>
      </c>
      <c r="C670" t="s">
        <v>1749</v>
      </c>
      <c r="D670" t="s">
        <v>1759</v>
      </c>
      <c r="K670"/>
      <c r="L670"/>
      <c r="M670"/>
    </row>
    <row r="671" spans="1:13">
      <c r="A671" s="2" t="s">
        <v>25</v>
      </c>
      <c r="B671" t="s">
        <v>1776</v>
      </c>
      <c r="C671" t="s">
        <v>1756</v>
      </c>
      <c r="D671" t="s">
        <v>1759</v>
      </c>
      <c r="K671"/>
      <c r="L671"/>
      <c r="M671"/>
    </row>
    <row r="672" spans="1:13">
      <c r="A672" s="2" t="s">
        <v>29</v>
      </c>
      <c r="B672" t="s">
        <v>1776</v>
      </c>
      <c r="C672" t="s">
        <v>1751</v>
      </c>
      <c r="D672" t="s">
        <v>1759</v>
      </c>
      <c r="K672"/>
      <c r="L672"/>
      <c r="M672"/>
    </row>
    <row r="673" spans="1:13">
      <c r="A673" s="2" t="s">
        <v>27</v>
      </c>
      <c r="B673" t="s">
        <v>1776</v>
      </c>
      <c r="C673" t="s">
        <v>1756</v>
      </c>
      <c r="D673" t="s">
        <v>1759</v>
      </c>
      <c r="K673"/>
      <c r="L673"/>
      <c r="M673"/>
    </row>
    <row r="674" spans="1:13">
      <c r="A674" s="2" t="s">
        <v>594</v>
      </c>
      <c r="B674" t="s">
        <v>1776</v>
      </c>
      <c r="C674" t="s">
        <v>1749</v>
      </c>
      <c r="D674" t="s">
        <v>1762</v>
      </c>
      <c r="K674"/>
      <c r="L674"/>
      <c r="M674"/>
    </row>
    <row r="675" spans="1:13">
      <c r="A675" s="2" t="s">
        <v>592</v>
      </c>
      <c r="B675" t="s">
        <v>1776</v>
      </c>
      <c r="C675" t="s">
        <v>1749</v>
      </c>
      <c r="D675" t="s">
        <v>1762</v>
      </c>
      <c r="K675"/>
      <c r="L675"/>
      <c r="M675"/>
    </row>
    <row r="676" spans="1:13">
      <c r="A676" s="2" t="s">
        <v>591</v>
      </c>
      <c r="B676" t="s">
        <v>1776</v>
      </c>
      <c r="C676" t="s">
        <v>1749</v>
      </c>
      <c r="D676" t="s">
        <v>1762</v>
      </c>
      <c r="K676"/>
      <c r="L676"/>
      <c r="M676"/>
    </row>
    <row r="677" spans="1:13">
      <c r="A677" s="2" t="s">
        <v>593</v>
      </c>
      <c r="B677" t="s">
        <v>1776</v>
      </c>
      <c r="C677" t="s">
        <v>1749</v>
      </c>
      <c r="D677" t="s">
        <v>1761</v>
      </c>
      <c r="K677"/>
      <c r="L677"/>
      <c r="M677"/>
    </row>
    <row r="678" spans="1:13">
      <c r="A678" s="2" t="s">
        <v>179</v>
      </c>
      <c r="B678" t="s">
        <v>1776</v>
      </c>
      <c r="C678" t="s">
        <v>1756</v>
      </c>
      <c r="D678" t="s">
        <v>1761</v>
      </c>
      <c r="K678"/>
      <c r="L678"/>
      <c r="M678"/>
    </row>
    <row r="679" spans="1:13">
      <c r="A679" s="2" t="s">
        <v>142</v>
      </c>
      <c r="B679" t="s">
        <v>1776</v>
      </c>
      <c r="C679" t="s">
        <v>1756</v>
      </c>
      <c r="D679" t="s">
        <v>1758</v>
      </c>
      <c r="K679"/>
      <c r="L679"/>
      <c r="M679"/>
    </row>
    <row r="680" spans="1:13">
      <c r="A680" s="2" t="s">
        <v>161</v>
      </c>
      <c r="B680" t="s">
        <v>1776</v>
      </c>
      <c r="C680" t="s">
        <v>1756</v>
      </c>
      <c r="D680" t="s">
        <v>1758</v>
      </c>
      <c r="K680"/>
      <c r="L680"/>
      <c r="M680"/>
    </row>
    <row r="681" spans="1:13">
      <c r="A681" s="2" t="s">
        <v>191</v>
      </c>
      <c r="B681" t="s">
        <v>1776</v>
      </c>
      <c r="C681" t="s">
        <v>1756</v>
      </c>
      <c r="D681" t="s">
        <v>1760</v>
      </c>
      <c r="K681"/>
      <c r="L681"/>
      <c r="M681"/>
    </row>
    <row r="682" spans="1:13">
      <c r="A682" s="2" t="s">
        <v>104</v>
      </c>
      <c r="B682" t="s">
        <v>1776</v>
      </c>
      <c r="C682" t="s">
        <v>1756</v>
      </c>
      <c r="D682" t="s">
        <v>1758</v>
      </c>
      <c r="K682"/>
      <c r="L682"/>
      <c r="M682"/>
    </row>
    <row r="683" spans="1:13">
      <c r="A683" s="2" t="s">
        <v>159</v>
      </c>
      <c r="B683" t="s">
        <v>1776</v>
      </c>
      <c r="C683" t="s">
        <v>1750</v>
      </c>
      <c r="D683" t="s">
        <v>1760</v>
      </c>
      <c r="K683"/>
      <c r="L683"/>
      <c r="M683"/>
    </row>
    <row r="684" spans="1:13">
      <c r="A684" s="2" t="s">
        <v>192</v>
      </c>
      <c r="B684" t="s">
        <v>1776</v>
      </c>
      <c r="C684" t="s">
        <v>1756</v>
      </c>
      <c r="D684" t="s">
        <v>1758</v>
      </c>
      <c r="K684"/>
      <c r="L684"/>
      <c r="M684"/>
    </row>
    <row r="685" spans="1:13">
      <c r="A685" s="2" t="s">
        <v>157</v>
      </c>
      <c r="B685" t="s">
        <v>1776</v>
      </c>
      <c r="C685" t="s">
        <v>1756</v>
      </c>
      <c r="D685" t="s">
        <v>1758</v>
      </c>
      <c r="K685"/>
      <c r="L685"/>
      <c r="M685"/>
    </row>
    <row r="686" spans="1:13">
      <c r="A686" s="2" t="s">
        <v>132</v>
      </c>
      <c r="B686" t="s">
        <v>1776</v>
      </c>
      <c r="C686" t="s">
        <v>1756</v>
      </c>
      <c r="D686" t="s">
        <v>1758</v>
      </c>
      <c r="K686"/>
      <c r="L686"/>
      <c r="M686"/>
    </row>
    <row r="687" spans="1:13">
      <c r="A687" s="2" t="s">
        <v>128</v>
      </c>
      <c r="B687" t="s">
        <v>1776</v>
      </c>
      <c r="C687" t="s">
        <v>1756</v>
      </c>
      <c r="D687" t="s">
        <v>1758</v>
      </c>
      <c r="K687"/>
      <c r="L687"/>
      <c r="M687"/>
    </row>
    <row r="688" spans="1:13">
      <c r="A688" s="2" t="s">
        <v>158</v>
      </c>
      <c r="B688" t="s">
        <v>1776</v>
      </c>
      <c r="C688" t="s">
        <v>1756</v>
      </c>
      <c r="D688" t="s">
        <v>1758</v>
      </c>
      <c r="K688"/>
      <c r="L688"/>
      <c r="M688"/>
    </row>
    <row r="689" spans="1:13">
      <c r="A689" s="2" t="s">
        <v>153</v>
      </c>
      <c r="B689" t="s">
        <v>1776</v>
      </c>
      <c r="C689" t="s">
        <v>1756</v>
      </c>
      <c r="D689" t="s">
        <v>1758</v>
      </c>
      <c r="K689"/>
      <c r="L689"/>
      <c r="M689"/>
    </row>
    <row r="690" spans="1:13">
      <c r="A690" s="2" t="s">
        <v>100</v>
      </c>
      <c r="B690" t="s">
        <v>1776</v>
      </c>
      <c r="C690" t="s">
        <v>1756</v>
      </c>
      <c r="D690" t="s">
        <v>1760</v>
      </c>
      <c r="K690"/>
      <c r="L690"/>
      <c r="M690"/>
    </row>
    <row r="691" spans="1:13">
      <c r="A691" s="2" t="s">
        <v>187</v>
      </c>
      <c r="B691" t="s">
        <v>1776</v>
      </c>
      <c r="C691" t="s">
        <v>1756</v>
      </c>
      <c r="D691" t="s">
        <v>1758</v>
      </c>
      <c r="K691"/>
      <c r="L691"/>
      <c r="M691"/>
    </row>
    <row r="692" spans="1:13">
      <c r="A692" s="2" t="s">
        <v>96</v>
      </c>
      <c r="B692" t="s">
        <v>1776</v>
      </c>
      <c r="C692" t="s">
        <v>1756</v>
      </c>
      <c r="D692" t="s">
        <v>1760</v>
      </c>
      <c r="K692"/>
      <c r="L692"/>
      <c r="M692"/>
    </row>
    <row r="693" spans="1:13">
      <c r="A693" s="2" t="s">
        <v>90</v>
      </c>
      <c r="B693" t="s">
        <v>1776</v>
      </c>
      <c r="C693" t="s">
        <v>1756</v>
      </c>
      <c r="D693" t="s">
        <v>1760</v>
      </c>
      <c r="K693"/>
      <c r="L693"/>
      <c r="M693"/>
    </row>
    <row r="694" spans="1:13">
      <c r="A694" s="2" t="s">
        <v>193</v>
      </c>
      <c r="B694" t="s">
        <v>1776</v>
      </c>
      <c r="C694" t="s">
        <v>1756</v>
      </c>
      <c r="D694" t="s">
        <v>1758</v>
      </c>
      <c r="K694"/>
      <c r="L694"/>
      <c r="M694"/>
    </row>
    <row r="695" spans="1:13">
      <c r="A695" s="2" t="s">
        <v>145</v>
      </c>
      <c r="B695" t="s">
        <v>1776</v>
      </c>
      <c r="C695" t="s">
        <v>1756</v>
      </c>
      <c r="D695" t="s">
        <v>1758</v>
      </c>
      <c r="K695"/>
      <c r="L695"/>
      <c r="M695"/>
    </row>
    <row r="696" spans="1:13">
      <c r="A696" s="2" t="s">
        <v>133</v>
      </c>
      <c r="B696" t="s">
        <v>1776</v>
      </c>
      <c r="C696" t="s">
        <v>1756</v>
      </c>
      <c r="D696" t="s">
        <v>1758</v>
      </c>
      <c r="K696"/>
      <c r="L696"/>
      <c r="M696"/>
    </row>
    <row r="697" spans="1:13">
      <c r="A697" s="2" t="s">
        <v>148</v>
      </c>
      <c r="B697" t="s">
        <v>1776</v>
      </c>
      <c r="C697" t="s">
        <v>1756</v>
      </c>
      <c r="D697" t="s">
        <v>1758</v>
      </c>
      <c r="K697"/>
      <c r="L697"/>
      <c r="M697"/>
    </row>
    <row r="698" spans="1:13">
      <c r="A698" s="2" t="s">
        <v>115</v>
      </c>
      <c r="B698" t="s">
        <v>1776</v>
      </c>
      <c r="C698" t="s">
        <v>1756</v>
      </c>
      <c r="D698" t="s">
        <v>1758</v>
      </c>
      <c r="K698"/>
      <c r="L698"/>
      <c r="M698"/>
    </row>
    <row r="699" spans="1:13">
      <c r="A699" s="2" t="s">
        <v>194</v>
      </c>
      <c r="B699" t="s">
        <v>1776</v>
      </c>
      <c r="C699" t="s">
        <v>1756</v>
      </c>
      <c r="D699" t="s">
        <v>1758</v>
      </c>
      <c r="K699"/>
      <c r="L699"/>
      <c r="M699"/>
    </row>
    <row r="700" spans="1:13">
      <c r="A700" s="2" t="s">
        <v>172</v>
      </c>
      <c r="B700" t="s">
        <v>1776</v>
      </c>
      <c r="C700" t="s">
        <v>1756</v>
      </c>
      <c r="D700" t="s">
        <v>1758</v>
      </c>
      <c r="K700"/>
      <c r="L700"/>
      <c r="M700"/>
    </row>
    <row r="701" spans="1:13">
      <c r="A701" s="2" t="s">
        <v>195</v>
      </c>
      <c r="B701" t="s">
        <v>1776</v>
      </c>
      <c r="C701" t="s">
        <v>1756</v>
      </c>
      <c r="D701" t="s">
        <v>1758</v>
      </c>
      <c r="K701"/>
      <c r="L701"/>
      <c r="M701"/>
    </row>
    <row r="702" spans="1:13">
      <c r="A702" s="2" t="s">
        <v>183</v>
      </c>
      <c r="B702" t="s">
        <v>1776</v>
      </c>
      <c r="C702" t="s">
        <v>1756</v>
      </c>
      <c r="D702" t="s">
        <v>1758</v>
      </c>
      <c r="K702"/>
      <c r="L702"/>
      <c r="M702"/>
    </row>
    <row r="703" spans="1:13">
      <c r="A703" s="2" t="s">
        <v>102</v>
      </c>
      <c r="B703" t="s">
        <v>1776</v>
      </c>
      <c r="C703" t="s">
        <v>1756</v>
      </c>
      <c r="D703" t="s">
        <v>1760</v>
      </c>
      <c r="K703"/>
      <c r="L703"/>
      <c r="M703"/>
    </row>
    <row r="704" spans="1:13">
      <c r="A704" s="2" t="s">
        <v>185</v>
      </c>
      <c r="B704" t="s">
        <v>1776</v>
      </c>
      <c r="C704" t="s">
        <v>1756</v>
      </c>
      <c r="D704" t="s">
        <v>1758</v>
      </c>
      <c r="K704"/>
      <c r="L704"/>
      <c r="M704"/>
    </row>
    <row r="705" spans="1:13">
      <c r="A705" s="2" t="s">
        <v>181</v>
      </c>
      <c r="B705" t="s">
        <v>1776</v>
      </c>
      <c r="C705" t="s">
        <v>1756</v>
      </c>
      <c r="D705" t="s">
        <v>1758</v>
      </c>
      <c r="K705"/>
      <c r="L705"/>
      <c r="M705"/>
    </row>
    <row r="706" spans="1:13">
      <c r="A706" s="2" t="s">
        <v>116</v>
      </c>
      <c r="B706" t="s">
        <v>1776</v>
      </c>
      <c r="C706" t="s">
        <v>1756</v>
      </c>
      <c r="D706" t="s">
        <v>1758</v>
      </c>
      <c r="K706"/>
      <c r="L706"/>
      <c r="M706"/>
    </row>
    <row r="707" spans="1:13">
      <c r="A707" s="2" t="s">
        <v>151</v>
      </c>
      <c r="B707" t="s">
        <v>1776</v>
      </c>
      <c r="C707" t="s">
        <v>1756</v>
      </c>
      <c r="D707" t="s">
        <v>1760</v>
      </c>
      <c r="K707"/>
      <c r="L707"/>
      <c r="M707"/>
    </row>
    <row r="708" spans="1:13">
      <c r="A708" s="2" t="s">
        <v>164</v>
      </c>
      <c r="B708" t="s">
        <v>1776</v>
      </c>
      <c r="C708" t="s">
        <v>1756</v>
      </c>
      <c r="D708" t="s">
        <v>1761</v>
      </c>
      <c r="K708"/>
      <c r="L708"/>
      <c r="M708"/>
    </row>
    <row r="709" spans="1:13">
      <c r="A709" s="2" t="s">
        <v>105</v>
      </c>
      <c r="B709" t="s">
        <v>1776</v>
      </c>
      <c r="C709" t="s">
        <v>1756</v>
      </c>
      <c r="D709" t="s">
        <v>1758</v>
      </c>
      <c r="K709"/>
      <c r="L709"/>
      <c r="M709"/>
    </row>
    <row r="710" spans="1:13">
      <c r="A710" s="2" t="s">
        <v>106</v>
      </c>
      <c r="B710" t="s">
        <v>1776</v>
      </c>
      <c r="C710" t="s">
        <v>1756</v>
      </c>
      <c r="D710" t="s">
        <v>1760</v>
      </c>
      <c r="K710"/>
      <c r="L710"/>
      <c r="M710"/>
    </row>
    <row r="711" spans="1:13">
      <c r="A711" s="2" t="s">
        <v>121</v>
      </c>
      <c r="B711" t="s">
        <v>1776</v>
      </c>
      <c r="C711" t="s">
        <v>1756</v>
      </c>
      <c r="D711" t="s">
        <v>1758</v>
      </c>
      <c r="K711"/>
      <c r="L711"/>
      <c r="M711"/>
    </row>
    <row r="712" spans="1:13">
      <c r="A712" s="2" t="s">
        <v>155</v>
      </c>
      <c r="B712" t="s">
        <v>1776</v>
      </c>
      <c r="C712" t="s">
        <v>1756</v>
      </c>
      <c r="D712" t="s">
        <v>1758</v>
      </c>
      <c r="K712"/>
      <c r="L712"/>
      <c r="M712"/>
    </row>
    <row r="713" spans="1:13">
      <c r="A713" s="2" t="s">
        <v>117</v>
      </c>
      <c r="B713" t="s">
        <v>1776</v>
      </c>
      <c r="C713" t="s">
        <v>1756</v>
      </c>
      <c r="D713" t="s">
        <v>1758</v>
      </c>
      <c r="K713"/>
      <c r="L713"/>
      <c r="M713"/>
    </row>
    <row r="714" spans="1:13">
      <c r="A714" s="2" t="s">
        <v>154</v>
      </c>
      <c r="B714" t="s">
        <v>1776</v>
      </c>
      <c r="C714" t="s">
        <v>1756</v>
      </c>
      <c r="D714" t="s">
        <v>1760</v>
      </c>
      <c r="K714"/>
      <c r="L714"/>
      <c r="M714"/>
    </row>
    <row r="715" spans="1:13">
      <c r="A715" s="2" t="s">
        <v>137</v>
      </c>
      <c r="B715" t="s">
        <v>1776</v>
      </c>
      <c r="C715" t="s">
        <v>1756</v>
      </c>
      <c r="D715" t="s">
        <v>1758</v>
      </c>
      <c r="K715"/>
      <c r="L715"/>
      <c r="M715"/>
    </row>
    <row r="716" spans="1:13">
      <c r="A716" s="2" t="s">
        <v>111</v>
      </c>
      <c r="B716" t="s">
        <v>1776</v>
      </c>
      <c r="C716" t="s">
        <v>1756</v>
      </c>
      <c r="D716" t="s">
        <v>1758</v>
      </c>
      <c r="K716"/>
      <c r="L716"/>
      <c r="M716"/>
    </row>
    <row r="717" spans="1:13">
      <c r="A717" s="2" t="s">
        <v>136</v>
      </c>
      <c r="B717" t="s">
        <v>1776</v>
      </c>
      <c r="C717" t="s">
        <v>1756</v>
      </c>
      <c r="D717" t="s">
        <v>1760</v>
      </c>
      <c r="K717"/>
      <c r="L717"/>
      <c r="M717"/>
    </row>
    <row r="718" spans="1:13">
      <c r="A718" s="2" t="s">
        <v>144</v>
      </c>
      <c r="B718" t="s">
        <v>1776</v>
      </c>
      <c r="C718" t="s">
        <v>1756</v>
      </c>
      <c r="D718" t="s">
        <v>1758</v>
      </c>
      <c r="K718"/>
      <c r="L718"/>
      <c r="M718"/>
    </row>
    <row r="719" spans="1:13">
      <c r="A719" s="2" t="s">
        <v>178</v>
      </c>
      <c r="B719" t="s">
        <v>1776</v>
      </c>
      <c r="C719" t="s">
        <v>1756</v>
      </c>
      <c r="D719" t="s">
        <v>1758</v>
      </c>
      <c r="K719"/>
      <c r="L719"/>
      <c r="M719"/>
    </row>
    <row r="720" spans="1:13">
      <c r="A720" s="2" t="s">
        <v>184</v>
      </c>
      <c r="B720" t="s">
        <v>1776</v>
      </c>
      <c r="C720" t="s">
        <v>1756</v>
      </c>
      <c r="D720" t="s">
        <v>1761</v>
      </c>
      <c r="K720"/>
      <c r="L720"/>
      <c r="M720"/>
    </row>
    <row r="721" spans="1:13">
      <c r="A721" s="2" t="s">
        <v>95</v>
      </c>
      <c r="B721" t="s">
        <v>1776</v>
      </c>
      <c r="C721" t="s">
        <v>1756</v>
      </c>
      <c r="D721" t="s">
        <v>1760</v>
      </c>
      <c r="K721"/>
      <c r="L721"/>
      <c r="M721"/>
    </row>
    <row r="722" spans="1:13">
      <c r="A722" s="2" t="s">
        <v>171</v>
      </c>
      <c r="B722" t="s">
        <v>1776</v>
      </c>
      <c r="C722" t="s">
        <v>1756</v>
      </c>
      <c r="D722" t="s">
        <v>1758</v>
      </c>
      <c r="K722"/>
      <c r="L722"/>
      <c r="M722"/>
    </row>
    <row r="723" spans="1:13">
      <c r="A723" s="2" t="s">
        <v>170</v>
      </c>
      <c r="B723" t="s">
        <v>1776</v>
      </c>
      <c r="C723" t="s">
        <v>1756</v>
      </c>
      <c r="D723" t="s">
        <v>1761</v>
      </c>
      <c r="K723"/>
      <c r="L723"/>
      <c r="M723"/>
    </row>
    <row r="724" spans="1:13">
      <c r="A724" s="2" t="s">
        <v>149</v>
      </c>
      <c r="B724" t="s">
        <v>1776</v>
      </c>
      <c r="C724" t="s">
        <v>1756</v>
      </c>
      <c r="D724" t="s">
        <v>1758</v>
      </c>
      <c r="K724"/>
      <c r="L724"/>
      <c r="M724"/>
    </row>
    <row r="725" spans="1:13">
      <c r="A725" s="2" t="s">
        <v>150</v>
      </c>
      <c r="B725" t="s">
        <v>1776</v>
      </c>
      <c r="C725" t="s">
        <v>1756</v>
      </c>
      <c r="D725" t="s">
        <v>1758</v>
      </c>
      <c r="K725"/>
      <c r="L725"/>
      <c r="M725"/>
    </row>
    <row r="726" spans="1:13">
      <c r="A726" s="2" t="s">
        <v>146</v>
      </c>
      <c r="B726" t="s">
        <v>1776</v>
      </c>
      <c r="C726" t="s">
        <v>1756</v>
      </c>
      <c r="D726" t="s">
        <v>1758</v>
      </c>
      <c r="K726"/>
      <c r="L726"/>
      <c r="M726"/>
    </row>
    <row r="727" spans="1:13">
      <c r="A727" s="2" t="s">
        <v>189</v>
      </c>
      <c r="B727" t="s">
        <v>1776</v>
      </c>
      <c r="C727" t="s">
        <v>1756</v>
      </c>
      <c r="D727" t="s">
        <v>1758</v>
      </c>
      <c r="K727"/>
      <c r="L727"/>
      <c r="M727"/>
    </row>
    <row r="728" spans="1:13">
      <c r="A728" s="2" t="s">
        <v>175</v>
      </c>
      <c r="B728" t="s">
        <v>1776</v>
      </c>
      <c r="C728" t="s">
        <v>1756</v>
      </c>
      <c r="D728" t="s">
        <v>1758</v>
      </c>
      <c r="K728"/>
      <c r="L728"/>
      <c r="M728"/>
    </row>
    <row r="729" spans="1:13">
      <c r="A729" s="2" t="s">
        <v>176</v>
      </c>
      <c r="B729" t="s">
        <v>1776</v>
      </c>
      <c r="C729" t="s">
        <v>1756</v>
      </c>
      <c r="D729" t="s">
        <v>1758</v>
      </c>
      <c r="K729"/>
      <c r="L729"/>
      <c r="M729"/>
    </row>
    <row r="730" spans="1:13">
      <c r="A730" s="2" t="s">
        <v>177</v>
      </c>
      <c r="B730" t="s">
        <v>1776</v>
      </c>
      <c r="C730" t="s">
        <v>1756</v>
      </c>
      <c r="D730" t="s">
        <v>1758</v>
      </c>
      <c r="K730"/>
      <c r="L730"/>
      <c r="M730"/>
    </row>
    <row r="731" spans="1:13">
      <c r="A731" s="2" t="s">
        <v>103</v>
      </c>
      <c r="B731" t="s">
        <v>1776</v>
      </c>
      <c r="C731" t="s">
        <v>1756</v>
      </c>
      <c r="D731" t="s">
        <v>1760</v>
      </c>
      <c r="K731"/>
      <c r="L731"/>
      <c r="M731"/>
    </row>
    <row r="732" spans="1:13">
      <c r="A732" s="2" t="s">
        <v>122</v>
      </c>
      <c r="B732" t="s">
        <v>1776</v>
      </c>
      <c r="C732" t="s">
        <v>1756</v>
      </c>
      <c r="D732" t="s">
        <v>1760</v>
      </c>
      <c r="K732"/>
      <c r="L732"/>
      <c r="M732"/>
    </row>
    <row r="733" spans="1:13">
      <c r="A733" s="2" t="s">
        <v>622</v>
      </c>
      <c r="B733" t="s">
        <v>1776</v>
      </c>
      <c r="C733" t="s">
        <v>1756</v>
      </c>
      <c r="D733" t="s">
        <v>1758</v>
      </c>
      <c r="K733"/>
      <c r="L733"/>
      <c r="M733"/>
    </row>
    <row r="734" spans="1:13">
      <c r="A734" s="2" t="s">
        <v>623</v>
      </c>
      <c r="B734" t="s">
        <v>1776</v>
      </c>
      <c r="C734" t="s">
        <v>1756</v>
      </c>
      <c r="D734" t="s">
        <v>1761</v>
      </c>
      <c r="K734"/>
      <c r="L734"/>
      <c r="M734"/>
    </row>
    <row r="735" spans="1:13">
      <c r="A735" s="2" t="s">
        <v>624</v>
      </c>
      <c r="B735" t="s">
        <v>1776</v>
      </c>
      <c r="C735" t="s">
        <v>1756</v>
      </c>
      <c r="D735" t="s">
        <v>1758</v>
      </c>
      <c r="K735"/>
      <c r="L735"/>
      <c r="M735"/>
    </row>
    <row r="736" spans="1:13">
      <c r="A736" s="2" t="s">
        <v>621</v>
      </c>
      <c r="B736" t="s">
        <v>1776</v>
      </c>
      <c r="C736" t="s">
        <v>1756</v>
      </c>
      <c r="D736" t="s">
        <v>1760</v>
      </c>
      <c r="K736"/>
      <c r="L736"/>
      <c r="M736"/>
    </row>
    <row r="737" spans="1:13">
      <c r="A737" s="2" t="s">
        <v>625</v>
      </c>
      <c r="B737" t="s">
        <v>1776</v>
      </c>
      <c r="C737" t="s">
        <v>1756</v>
      </c>
      <c r="D737" t="s">
        <v>1758</v>
      </c>
      <c r="K737"/>
      <c r="L737"/>
      <c r="M737"/>
    </row>
    <row r="738" spans="1:13">
      <c r="A738" s="2" t="s">
        <v>166</v>
      </c>
      <c r="B738" t="s">
        <v>1776</v>
      </c>
      <c r="C738" t="s">
        <v>1756</v>
      </c>
      <c r="D738" t="s">
        <v>1758</v>
      </c>
      <c r="K738"/>
      <c r="L738"/>
      <c r="M738"/>
    </row>
    <row r="739" spans="1:13">
      <c r="A739" s="2" t="s">
        <v>165</v>
      </c>
      <c r="B739" t="s">
        <v>1776</v>
      </c>
      <c r="C739" t="s">
        <v>1756</v>
      </c>
      <c r="D739" t="s">
        <v>1758</v>
      </c>
      <c r="K739"/>
      <c r="L739"/>
      <c r="M739"/>
    </row>
    <row r="740" spans="1:13">
      <c r="A740" s="2" t="s">
        <v>169</v>
      </c>
      <c r="B740" t="s">
        <v>1776</v>
      </c>
      <c r="C740" t="s">
        <v>1756</v>
      </c>
      <c r="D740" t="s">
        <v>1758</v>
      </c>
      <c r="K740"/>
      <c r="L740"/>
      <c r="M740"/>
    </row>
    <row r="741" spans="1:13">
      <c r="A741" s="2" t="s">
        <v>163</v>
      </c>
      <c r="B741" t="s">
        <v>1776</v>
      </c>
      <c r="C741" t="s">
        <v>1756</v>
      </c>
      <c r="D741" t="s">
        <v>1758</v>
      </c>
      <c r="K741"/>
      <c r="L741"/>
      <c r="M741"/>
    </row>
    <row r="742" spans="1:13">
      <c r="A742" s="2" t="s">
        <v>126</v>
      </c>
      <c r="B742" t="s">
        <v>1776</v>
      </c>
      <c r="C742" t="s">
        <v>1756</v>
      </c>
      <c r="D742" t="s">
        <v>1758</v>
      </c>
      <c r="K742"/>
      <c r="L742"/>
      <c r="M742"/>
    </row>
    <row r="743" spans="1:13">
      <c r="A743" s="2" t="s">
        <v>109</v>
      </c>
      <c r="B743" t="s">
        <v>1776</v>
      </c>
      <c r="C743" t="s">
        <v>1756</v>
      </c>
      <c r="D743" t="s">
        <v>1760</v>
      </c>
      <c r="K743"/>
      <c r="L743"/>
      <c r="M743"/>
    </row>
    <row r="744" spans="1:13">
      <c r="A744" s="2" t="s">
        <v>130</v>
      </c>
      <c r="B744" t="s">
        <v>1776</v>
      </c>
      <c r="C744" t="s">
        <v>1756</v>
      </c>
      <c r="D744" t="s">
        <v>1758</v>
      </c>
      <c r="K744"/>
      <c r="L744"/>
      <c r="M744"/>
    </row>
    <row r="745" spans="1:13">
      <c r="A745" s="2" t="s">
        <v>140</v>
      </c>
      <c r="B745" t="s">
        <v>1776</v>
      </c>
      <c r="C745" t="s">
        <v>1756</v>
      </c>
      <c r="D745" t="s">
        <v>1760</v>
      </c>
      <c r="K745"/>
      <c r="L745"/>
      <c r="M745"/>
    </row>
    <row r="746" spans="1:13">
      <c r="A746" s="2" t="s">
        <v>156</v>
      </c>
      <c r="B746" t="s">
        <v>1776</v>
      </c>
      <c r="C746" t="s">
        <v>1756</v>
      </c>
      <c r="D746" t="s">
        <v>1761</v>
      </c>
      <c r="K746"/>
      <c r="L746"/>
      <c r="M746"/>
    </row>
    <row r="747" spans="1:13">
      <c r="A747" s="2" t="s">
        <v>101</v>
      </c>
      <c r="B747" t="s">
        <v>1776</v>
      </c>
      <c r="C747" t="s">
        <v>1756</v>
      </c>
      <c r="D747" t="s">
        <v>1758</v>
      </c>
      <c r="K747"/>
      <c r="L747"/>
      <c r="M747"/>
    </row>
    <row r="748" spans="1:13">
      <c r="A748" s="2" t="s">
        <v>138</v>
      </c>
      <c r="B748" t="s">
        <v>1776</v>
      </c>
      <c r="C748" t="s">
        <v>1756</v>
      </c>
      <c r="D748" t="s">
        <v>1760</v>
      </c>
      <c r="K748"/>
      <c r="L748"/>
      <c r="M748"/>
    </row>
    <row r="749" spans="1:13">
      <c r="A749" s="2" t="s">
        <v>186</v>
      </c>
      <c r="B749" t="s">
        <v>1776</v>
      </c>
      <c r="C749" t="s">
        <v>1756</v>
      </c>
      <c r="D749" t="s">
        <v>1758</v>
      </c>
      <c r="K749"/>
      <c r="L749"/>
      <c r="M749"/>
    </row>
    <row r="750" spans="1:13">
      <c r="A750" s="2" t="s">
        <v>182</v>
      </c>
      <c r="B750" t="s">
        <v>1776</v>
      </c>
      <c r="C750" t="s">
        <v>1756</v>
      </c>
      <c r="D750" t="s">
        <v>1758</v>
      </c>
      <c r="K750"/>
      <c r="L750"/>
      <c r="M750"/>
    </row>
    <row r="751" spans="1:13">
      <c r="A751" s="2" t="s">
        <v>123</v>
      </c>
      <c r="B751" t="s">
        <v>1776</v>
      </c>
      <c r="C751" t="s">
        <v>1756</v>
      </c>
      <c r="D751" t="s">
        <v>1760</v>
      </c>
      <c r="K751"/>
      <c r="L751"/>
      <c r="M751"/>
    </row>
    <row r="752" spans="1:13">
      <c r="A752" s="2" t="s">
        <v>113</v>
      </c>
      <c r="B752" t="s">
        <v>1776</v>
      </c>
      <c r="C752" t="s">
        <v>1756</v>
      </c>
      <c r="D752" t="s">
        <v>1760</v>
      </c>
      <c r="K752"/>
      <c r="L752"/>
      <c r="M752"/>
    </row>
    <row r="753" spans="1:13">
      <c r="A753" s="2" t="s">
        <v>174</v>
      </c>
      <c r="B753" t="s">
        <v>1776</v>
      </c>
      <c r="C753" t="s">
        <v>1756</v>
      </c>
      <c r="D753" t="s">
        <v>1758</v>
      </c>
      <c r="K753"/>
      <c r="L753"/>
      <c r="M753"/>
    </row>
    <row r="754" spans="1:13">
      <c r="A754" s="2" t="s">
        <v>120</v>
      </c>
      <c r="B754" t="s">
        <v>1776</v>
      </c>
      <c r="C754" t="s">
        <v>1756</v>
      </c>
      <c r="D754" t="s">
        <v>1758</v>
      </c>
      <c r="K754"/>
      <c r="L754"/>
      <c r="M754"/>
    </row>
    <row r="755" spans="1:13">
      <c r="A755" s="2" t="s">
        <v>173</v>
      </c>
      <c r="B755" t="s">
        <v>1776</v>
      </c>
      <c r="C755" t="s">
        <v>1756</v>
      </c>
      <c r="D755" t="s">
        <v>1758</v>
      </c>
      <c r="K755"/>
      <c r="L755"/>
      <c r="M755"/>
    </row>
    <row r="756" spans="1:13">
      <c r="A756" s="2" t="s">
        <v>162</v>
      </c>
      <c r="B756" t="s">
        <v>1776</v>
      </c>
      <c r="C756" t="s">
        <v>1756</v>
      </c>
      <c r="D756" t="s">
        <v>1761</v>
      </c>
      <c r="K756"/>
      <c r="L756"/>
      <c r="M756"/>
    </row>
    <row r="757" spans="1:13">
      <c r="A757" s="2" t="s">
        <v>131</v>
      </c>
      <c r="B757" t="s">
        <v>1776</v>
      </c>
      <c r="C757" t="s">
        <v>1756</v>
      </c>
      <c r="D757" t="s">
        <v>1760</v>
      </c>
      <c r="K757"/>
      <c r="L757"/>
      <c r="M757"/>
    </row>
    <row r="758" spans="1:13">
      <c r="A758" s="2" t="s">
        <v>134</v>
      </c>
      <c r="B758" t="s">
        <v>1776</v>
      </c>
      <c r="C758" t="s">
        <v>1756</v>
      </c>
      <c r="D758" t="s">
        <v>1760</v>
      </c>
      <c r="K758"/>
      <c r="L758"/>
      <c r="M758"/>
    </row>
    <row r="759" spans="1:13">
      <c r="A759" s="2" t="s">
        <v>119</v>
      </c>
      <c r="B759" t="s">
        <v>1776</v>
      </c>
      <c r="C759" t="s">
        <v>1756</v>
      </c>
      <c r="D759" t="s">
        <v>1758</v>
      </c>
      <c r="K759"/>
      <c r="L759"/>
      <c r="M759"/>
    </row>
    <row r="760" spans="1:13">
      <c r="A760" s="2" t="s">
        <v>168</v>
      </c>
      <c r="B760" t="s">
        <v>1776</v>
      </c>
      <c r="C760" t="s">
        <v>1750</v>
      </c>
      <c r="D760" t="s">
        <v>1760</v>
      </c>
      <c r="K760"/>
      <c r="L760"/>
      <c r="M760"/>
    </row>
    <row r="761" spans="1:13">
      <c r="A761" s="2" t="s">
        <v>141</v>
      </c>
      <c r="B761" t="s">
        <v>1776</v>
      </c>
      <c r="C761" t="s">
        <v>1756</v>
      </c>
      <c r="D761" t="s">
        <v>1758</v>
      </c>
      <c r="K761"/>
      <c r="L761"/>
      <c r="M761"/>
    </row>
    <row r="762" spans="1:13">
      <c r="A762" s="2" t="s">
        <v>180</v>
      </c>
      <c r="B762" t="s">
        <v>1776</v>
      </c>
      <c r="C762" t="s">
        <v>1756</v>
      </c>
      <c r="D762" t="s">
        <v>1758</v>
      </c>
      <c r="K762"/>
      <c r="L762"/>
      <c r="M762"/>
    </row>
    <row r="763" spans="1:13">
      <c r="A763" s="2" t="s">
        <v>135</v>
      </c>
      <c r="B763" t="s">
        <v>1776</v>
      </c>
      <c r="C763" t="s">
        <v>1756</v>
      </c>
      <c r="D763" t="s">
        <v>1758</v>
      </c>
      <c r="K763"/>
      <c r="L763"/>
      <c r="M763"/>
    </row>
    <row r="764" spans="1:13">
      <c r="A764" s="2" t="s">
        <v>620</v>
      </c>
      <c r="B764" t="s">
        <v>1776</v>
      </c>
      <c r="C764" t="s">
        <v>1756</v>
      </c>
      <c r="D764" t="s">
        <v>1760</v>
      </c>
      <c r="K764"/>
      <c r="L764"/>
      <c r="M764"/>
    </row>
    <row r="765" spans="1:13">
      <c r="A765" s="2" t="s">
        <v>98</v>
      </c>
      <c r="B765" t="s">
        <v>1776</v>
      </c>
      <c r="C765" t="s">
        <v>1756</v>
      </c>
      <c r="D765" t="s">
        <v>1758</v>
      </c>
      <c r="K765"/>
      <c r="L765"/>
      <c r="M765"/>
    </row>
    <row r="766" spans="1:13">
      <c r="A766" s="2" t="s">
        <v>124</v>
      </c>
      <c r="B766" t="s">
        <v>1776</v>
      </c>
      <c r="C766" t="s">
        <v>1756</v>
      </c>
      <c r="D766" t="s">
        <v>1758</v>
      </c>
      <c r="K766"/>
      <c r="L766"/>
      <c r="M766"/>
    </row>
    <row r="767" spans="1:13">
      <c r="A767" s="2" t="s">
        <v>99</v>
      </c>
      <c r="B767" t="s">
        <v>1776</v>
      </c>
      <c r="C767" t="s">
        <v>1756</v>
      </c>
      <c r="D767" t="s">
        <v>1760</v>
      </c>
      <c r="K767"/>
      <c r="L767"/>
      <c r="M767"/>
    </row>
    <row r="768" spans="1:13">
      <c r="A768" s="2" t="s">
        <v>92</v>
      </c>
      <c r="B768" t="s">
        <v>1776</v>
      </c>
      <c r="C768" t="s">
        <v>1756</v>
      </c>
      <c r="D768" t="s">
        <v>1760</v>
      </c>
      <c r="K768"/>
      <c r="L768"/>
      <c r="M768"/>
    </row>
    <row r="769" spans="1:13">
      <c r="A769" s="2" t="s">
        <v>97</v>
      </c>
      <c r="B769" t="s">
        <v>1776</v>
      </c>
      <c r="C769" t="s">
        <v>1756</v>
      </c>
      <c r="D769" t="s">
        <v>1760</v>
      </c>
      <c r="K769"/>
      <c r="L769"/>
      <c r="M769"/>
    </row>
    <row r="770" spans="1:13">
      <c r="A770" s="2" t="s">
        <v>152</v>
      </c>
      <c r="B770" t="s">
        <v>1776</v>
      </c>
      <c r="C770" t="s">
        <v>1756</v>
      </c>
      <c r="D770" t="s">
        <v>1760</v>
      </c>
      <c r="K770"/>
      <c r="L770"/>
      <c r="M770"/>
    </row>
    <row r="771" spans="1:13">
      <c r="A771" s="2" t="s">
        <v>107</v>
      </c>
      <c r="B771" t="s">
        <v>1776</v>
      </c>
      <c r="C771" t="s">
        <v>1756</v>
      </c>
      <c r="D771" t="s">
        <v>1758</v>
      </c>
      <c r="K771"/>
      <c r="L771"/>
      <c r="M771"/>
    </row>
    <row r="772" spans="1:13">
      <c r="A772" s="2" t="s">
        <v>108</v>
      </c>
      <c r="B772" t="s">
        <v>1776</v>
      </c>
      <c r="C772" t="s">
        <v>1756</v>
      </c>
      <c r="D772" t="s">
        <v>1760</v>
      </c>
      <c r="K772"/>
      <c r="L772"/>
      <c r="M772"/>
    </row>
    <row r="773" spans="1:13">
      <c r="A773" s="2" t="s">
        <v>127</v>
      </c>
      <c r="B773" t="s">
        <v>1776</v>
      </c>
      <c r="C773" t="s">
        <v>1756</v>
      </c>
      <c r="D773" t="s">
        <v>1758</v>
      </c>
      <c r="K773"/>
      <c r="L773"/>
      <c r="M773"/>
    </row>
    <row r="774" spans="1:13">
      <c r="A774" s="2" t="s">
        <v>112</v>
      </c>
      <c r="B774" t="s">
        <v>1776</v>
      </c>
      <c r="C774" t="s">
        <v>1756</v>
      </c>
      <c r="D774" t="s">
        <v>1758</v>
      </c>
      <c r="K774"/>
      <c r="L774"/>
      <c r="M774"/>
    </row>
    <row r="775" spans="1:13">
      <c r="A775" s="2" t="s">
        <v>118</v>
      </c>
      <c r="B775" t="s">
        <v>1776</v>
      </c>
      <c r="C775" t="s">
        <v>1756</v>
      </c>
      <c r="D775" t="s">
        <v>1758</v>
      </c>
      <c r="K775"/>
      <c r="L775"/>
      <c r="M775"/>
    </row>
    <row r="776" spans="1:13">
      <c r="A776" s="2" t="s">
        <v>114</v>
      </c>
      <c r="B776" t="s">
        <v>1776</v>
      </c>
      <c r="C776" t="s">
        <v>1756</v>
      </c>
      <c r="D776" t="s">
        <v>1758</v>
      </c>
      <c r="K776"/>
      <c r="L776"/>
      <c r="M776"/>
    </row>
    <row r="777" spans="1:13">
      <c r="A777" s="2" t="s">
        <v>143</v>
      </c>
      <c r="B777" t="s">
        <v>1776</v>
      </c>
      <c r="C777" t="s">
        <v>1756</v>
      </c>
      <c r="D777" t="s">
        <v>1760</v>
      </c>
      <c r="K777"/>
      <c r="L777"/>
      <c r="M777"/>
    </row>
    <row r="778" spans="1:13">
      <c r="A778" s="2" t="s">
        <v>160</v>
      </c>
      <c r="B778" t="s">
        <v>1776</v>
      </c>
      <c r="C778" t="s">
        <v>1756</v>
      </c>
      <c r="D778" t="s">
        <v>1758</v>
      </c>
      <c r="K778"/>
      <c r="L778"/>
      <c r="M778"/>
    </row>
    <row r="779" spans="1:13">
      <c r="A779" s="2" t="s">
        <v>94</v>
      </c>
      <c r="B779" t="s">
        <v>1776</v>
      </c>
      <c r="C779" t="s">
        <v>1756</v>
      </c>
      <c r="D779" t="s">
        <v>1758</v>
      </c>
      <c r="K779"/>
      <c r="L779"/>
      <c r="M779"/>
    </row>
    <row r="780" spans="1:13">
      <c r="A780" s="2" t="s">
        <v>91</v>
      </c>
      <c r="B780" t="s">
        <v>1776</v>
      </c>
      <c r="C780" t="s">
        <v>1756</v>
      </c>
      <c r="D780" t="s">
        <v>1758</v>
      </c>
      <c r="K780"/>
      <c r="L780"/>
      <c r="M780"/>
    </row>
    <row r="781" spans="1:13">
      <c r="A781" s="2" t="s">
        <v>93</v>
      </c>
      <c r="B781" t="s">
        <v>1776</v>
      </c>
      <c r="C781" t="s">
        <v>1756</v>
      </c>
      <c r="D781" t="s">
        <v>1758</v>
      </c>
      <c r="K781"/>
      <c r="L781"/>
      <c r="M781"/>
    </row>
    <row r="782" spans="1:13">
      <c r="A782" s="2" t="s">
        <v>110</v>
      </c>
      <c r="B782" t="s">
        <v>1776</v>
      </c>
      <c r="C782" t="s">
        <v>1756</v>
      </c>
      <c r="D782" t="s">
        <v>1758</v>
      </c>
      <c r="K782"/>
      <c r="L782"/>
      <c r="M782"/>
    </row>
    <row r="783" spans="1:13">
      <c r="A783" s="2" t="s">
        <v>129</v>
      </c>
      <c r="B783" t="s">
        <v>1776</v>
      </c>
      <c r="C783" t="s">
        <v>1756</v>
      </c>
      <c r="D783" t="s">
        <v>1758</v>
      </c>
      <c r="K783"/>
      <c r="L783"/>
      <c r="M783"/>
    </row>
    <row r="784" spans="1:13">
      <c r="A784" s="2" t="s">
        <v>190</v>
      </c>
      <c r="B784" t="s">
        <v>1776</v>
      </c>
      <c r="C784" t="s">
        <v>1756</v>
      </c>
      <c r="D784" t="s">
        <v>1758</v>
      </c>
      <c r="K784"/>
      <c r="L784"/>
      <c r="M784"/>
    </row>
    <row r="785" spans="1:13">
      <c r="A785" s="2" t="s">
        <v>139</v>
      </c>
      <c r="B785" t="s">
        <v>1776</v>
      </c>
      <c r="C785" t="s">
        <v>1756</v>
      </c>
      <c r="D785" t="s">
        <v>1758</v>
      </c>
      <c r="K785"/>
      <c r="L785"/>
      <c r="M785"/>
    </row>
    <row r="786" spans="1:13">
      <c r="A786" s="2" t="s">
        <v>147</v>
      </c>
      <c r="B786" t="s">
        <v>1776</v>
      </c>
      <c r="C786" t="s">
        <v>1756</v>
      </c>
      <c r="D786" t="s">
        <v>1758</v>
      </c>
      <c r="K786"/>
      <c r="L786"/>
      <c r="M786"/>
    </row>
    <row r="787" spans="1:13">
      <c r="A787" s="2" t="s">
        <v>188</v>
      </c>
      <c r="B787" t="s">
        <v>1776</v>
      </c>
      <c r="C787" t="s">
        <v>1756</v>
      </c>
      <c r="D787" t="s">
        <v>1758</v>
      </c>
      <c r="K787"/>
      <c r="L787"/>
      <c r="M787"/>
    </row>
    <row r="788" spans="1:13">
      <c r="A788" s="2" t="s">
        <v>125</v>
      </c>
      <c r="B788" t="s">
        <v>1776</v>
      </c>
      <c r="C788" t="s">
        <v>1756</v>
      </c>
      <c r="D788" t="s">
        <v>1764</v>
      </c>
      <c r="K788"/>
      <c r="L788"/>
      <c r="M788"/>
    </row>
    <row r="789" spans="1:13">
      <c r="A789" s="2" t="s">
        <v>167</v>
      </c>
      <c r="B789" t="s">
        <v>1776</v>
      </c>
      <c r="C789" t="s">
        <v>1750</v>
      </c>
      <c r="D789" t="s">
        <v>1760</v>
      </c>
      <c r="K789"/>
      <c r="L789"/>
      <c r="M789"/>
    </row>
    <row r="790" spans="1:13">
      <c r="A790" s="2" t="s">
        <v>1780</v>
      </c>
      <c r="B790" t="s">
        <v>1776</v>
      </c>
      <c r="C790" t="s">
        <v>1749</v>
      </c>
      <c r="D790" t="s">
        <v>1758</v>
      </c>
    </row>
    <row r="791" spans="1:13">
      <c r="A791" s="2" t="s">
        <v>1783</v>
      </c>
      <c r="B791" t="s">
        <v>1776</v>
      </c>
      <c r="C791" t="s">
        <v>1756</v>
      </c>
      <c r="D791" t="s">
        <v>1758</v>
      </c>
    </row>
    <row r="792" spans="1:13">
      <c r="A792" s="2" t="s">
        <v>2882</v>
      </c>
      <c r="B792" t="s">
        <v>1777</v>
      </c>
      <c r="C792" t="s">
        <v>1748</v>
      </c>
      <c r="D792" t="s">
        <v>1759</v>
      </c>
    </row>
  </sheetData>
  <conditionalFormatting sqref="B1:C1048576">
    <cfRule type="containsText" dxfId="7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Q17"/>
  <sheetViews>
    <sheetView tabSelected="1" workbookViewId="0">
      <selection activeCell="A13" sqref="A13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4.921875" bestFit="1" customWidth="1"/>
    <col min="5" max="5" width="17.765625" bestFit="1" customWidth="1"/>
    <col min="6" max="6" width="17.07421875" bestFit="1" customWidth="1"/>
    <col min="7" max="7" width="18.23046875" bestFit="1" customWidth="1"/>
    <col min="8" max="8" width="14.765625" bestFit="1" customWidth="1"/>
    <col min="9" max="9" width="12.23046875" bestFit="1" customWidth="1"/>
    <col min="10" max="10" width="11.15234375" bestFit="1" customWidth="1"/>
    <col min="11" max="11" width="17.4609375" bestFit="1" customWidth="1"/>
    <col min="12" max="12" width="24.84375" bestFit="1" customWidth="1"/>
    <col min="13" max="13" width="17.23046875" bestFit="1" customWidth="1"/>
    <col min="14" max="14" width="15" bestFit="1" customWidth="1"/>
    <col min="15" max="15" width="14.765625" bestFit="1" customWidth="1"/>
    <col min="16" max="16" width="22.921875" bestFit="1" customWidth="1"/>
    <col min="17" max="17" width="20" bestFit="1" customWidth="1"/>
  </cols>
  <sheetData>
    <row r="3" spans="1:17">
      <c r="A3" s="35" t="s">
        <v>3017</v>
      </c>
      <c r="C3" s="35" t="s">
        <v>2306</v>
      </c>
    </row>
    <row r="4" spans="1:17">
      <c r="A4" s="35" t="s">
        <v>3026</v>
      </c>
      <c r="B4" s="35" t="s">
        <v>908</v>
      </c>
      <c r="C4" t="s">
        <v>3018</v>
      </c>
      <c r="D4" t="s">
        <v>3010</v>
      </c>
      <c r="E4" t="s">
        <v>3011</v>
      </c>
      <c r="F4" t="s">
        <v>3024</v>
      </c>
      <c r="G4" t="s">
        <v>3021</v>
      </c>
      <c r="H4" t="s">
        <v>3020</v>
      </c>
      <c r="I4" t="s">
        <v>3012</v>
      </c>
      <c r="J4" t="s">
        <v>3019</v>
      </c>
      <c r="K4" t="s">
        <v>3013</v>
      </c>
      <c r="L4" t="s">
        <v>3025</v>
      </c>
      <c r="M4" t="s">
        <v>3022</v>
      </c>
      <c r="N4" t="s">
        <v>3014</v>
      </c>
      <c r="O4" t="s">
        <v>3023</v>
      </c>
      <c r="P4" t="s">
        <v>3015</v>
      </c>
      <c r="Q4" t="s">
        <v>3016</v>
      </c>
    </row>
    <row r="5" spans="1:17">
      <c r="A5">
        <v>1660</v>
      </c>
      <c r="B5" t="s">
        <v>3028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>
        <v>2</v>
      </c>
      <c r="O5" s="36"/>
      <c r="P5" s="36"/>
      <c r="Q5" s="36"/>
    </row>
    <row r="6" spans="1:17">
      <c r="A6">
        <v>1820</v>
      </c>
      <c r="B6" t="s">
        <v>3028</v>
      </c>
      <c r="C6" s="36">
        <v>2</v>
      </c>
      <c r="D6" s="36"/>
      <c r="E6" s="36"/>
      <c r="F6" s="36"/>
      <c r="G6" s="36">
        <v>1</v>
      </c>
      <c r="H6" s="36"/>
      <c r="I6" s="36"/>
      <c r="J6" s="36">
        <v>4</v>
      </c>
      <c r="K6" s="36"/>
      <c r="L6" s="36"/>
      <c r="M6" s="36"/>
      <c r="N6" s="36"/>
      <c r="O6" s="36"/>
      <c r="P6" s="36"/>
      <c r="Q6" s="36"/>
    </row>
    <row r="7" spans="1:17">
      <c r="A7">
        <v>1840</v>
      </c>
      <c r="B7" t="s">
        <v>3028</v>
      </c>
      <c r="C7" s="36">
        <v>4</v>
      </c>
      <c r="D7" s="36"/>
      <c r="E7" s="36"/>
      <c r="F7" s="36"/>
      <c r="G7" s="36">
        <v>2</v>
      </c>
      <c r="H7" s="36"/>
      <c r="I7" s="36"/>
      <c r="J7" s="36"/>
      <c r="K7" s="36"/>
      <c r="L7" s="36"/>
      <c r="M7" s="36"/>
      <c r="N7" s="36"/>
      <c r="O7" s="36"/>
      <c r="P7" s="36"/>
      <c r="Q7" s="36"/>
    </row>
    <row r="8" spans="1:17">
      <c r="A8">
        <v>1860</v>
      </c>
      <c r="B8" t="s">
        <v>3028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>
        <v>2</v>
      </c>
      <c r="O8" s="36"/>
      <c r="P8" s="36"/>
      <c r="Q8" s="36"/>
    </row>
    <row r="9" spans="1:17">
      <c r="A9">
        <v>1880</v>
      </c>
      <c r="B9" t="s">
        <v>3028</v>
      </c>
      <c r="C9" s="36"/>
      <c r="D9" s="36"/>
      <c r="E9" s="36"/>
      <c r="F9" s="36"/>
      <c r="G9" s="36"/>
      <c r="H9" s="36"/>
      <c r="I9" s="36"/>
      <c r="J9" s="36">
        <v>4</v>
      </c>
      <c r="K9" s="36"/>
      <c r="L9" s="36"/>
      <c r="M9" s="36"/>
      <c r="N9" s="36">
        <v>2</v>
      </c>
      <c r="O9" s="36"/>
      <c r="P9" s="36"/>
      <c r="Q9" s="36"/>
    </row>
    <row r="10" spans="1:17">
      <c r="A10">
        <v>1900</v>
      </c>
      <c r="B10" t="s">
        <v>3028</v>
      </c>
      <c r="C10" s="36">
        <v>3</v>
      </c>
      <c r="D10" s="36"/>
      <c r="E10" s="36"/>
      <c r="F10" s="36"/>
      <c r="G10" s="36"/>
      <c r="H10" s="36"/>
      <c r="I10" s="36">
        <v>1</v>
      </c>
      <c r="J10" s="36">
        <v>3</v>
      </c>
      <c r="K10" s="36"/>
      <c r="L10" s="36">
        <v>4</v>
      </c>
      <c r="M10" s="36">
        <v>1</v>
      </c>
      <c r="N10" s="36">
        <v>3</v>
      </c>
      <c r="O10" s="36">
        <v>1</v>
      </c>
      <c r="P10" s="36"/>
      <c r="Q10" s="36"/>
    </row>
    <row r="11" spans="1:17">
      <c r="A11">
        <v>1920</v>
      </c>
      <c r="B11" t="s">
        <v>3028</v>
      </c>
      <c r="C11" s="36">
        <v>6</v>
      </c>
      <c r="D11" s="36"/>
      <c r="E11" s="36"/>
      <c r="F11" s="36"/>
      <c r="G11" s="36">
        <v>2</v>
      </c>
      <c r="H11" s="36">
        <v>1</v>
      </c>
      <c r="I11" s="36"/>
      <c r="J11" s="36">
        <v>11</v>
      </c>
      <c r="K11" s="36"/>
      <c r="L11" s="36"/>
      <c r="M11" s="36"/>
      <c r="N11" s="36">
        <v>1</v>
      </c>
      <c r="O11" s="36"/>
      <c r="P11" s="36"/>
      <c r="Q11" s="36"/>
    </row>
    <row r="12" spans="1:17">
      <c r="A12">
        <v>1940</v>
      </c>
      <c r="B12" t="s">
        <v>3028</v>
      </c>
      <c r="C12" s="36">
        <v>3</v>
      </c>
      <c r="D12" s="36">
        <v>1</v>
      </c>
      <c r="E12" s="36">
        <v>2</v>
      </c>
      <c r="F12" s="36"/>
      <c r="G12" s="36"/>
      <c r="H12" s="36">
        <v>5</v>
      </c>
      <c r="I12" s="36">
        <v>4</v>
      </c>
      <c r="J12" s="36">
        <v>6</v>
      </c>
      <c r="K12" s="36"/>
      <c r="L12" s="36"/>
      <c r="M12" s="36">
        <v>3</v>
      </c>
      <c r="N12" s="36">
        <v>1</v>
      </c>
      <c r="O12" s="36">
        <v>3</v>
      </c>
      <c r="P12" s="36"/>
      <c r="Q12" s="36"/>
    </row>
    <row r="13" spans="1:17">
      <c r="A13">
        <v>1960</v>
      </c>
      <c r="B13" t="s">
        <v>3028</v>
      </c>
      <c r="C13" s="36">
        <v>3</v>
      </c>
      <c r="D13" s="36">
        <v>1</v>
      </c>
      <c r="E13" s="36">
        <v>2</v>
      </c>
      <c r="F13" s="36"/>
      <c r="G13" s="36"/>
      <c r="H13" s="36">
        <v>7</v>
      </c>
      <c r="I13" s="36"/>
      <c r="J13" s="36">
        <v>6</v>
      </c>
      <c r="K13" s="36"/>
      <c r="L13" s="36"/>
      <c r="M13" s="36"/>
      <c r="N13" s="36"/>
      <c r="O13" s="36">
        <v>1</v>
      </c>
      <c r="P13" s="36"/>
      <c r="Q13" s="36"/>
    </row>
    <row r="14" spans="1:17">
      <c r="A14">
        <v>1980</v>
      </c>
      <c r="B14" t="s">
        <v>3028</v>
      </c>
      <c r="C14" s="36">
        <v>1</v>
      </c>
      <c r="D14" s="36">
        <v>2</v>
      </c>
      <c r="E14" s="36">
        <v>2</v>
      </c>
      <c r="F14" s="36"/>
      <c r="G14" s="36"/>
      <c r="H14" s="36">
        <v>1</v>
      </c>
      <c r="I14" s="36">
        <v>1</v>
      </c>
      <c r="J14" s="36">
        <v>2</v>
      </c>
      <c r="K14" s="36">
        <v>1</v>
      </c>
      <c r="L14" s="36">
        <v>2</v>
      </c>
      <c r="M14" s="36"/>
      <c r="N14" s="36"/>
      <c r="O14" s="36">
        <v>6</v>
      </c>
      <c r="P14" s="36"/>
      <c r="Q14" s="36"/>
    </row>
    <row r="15" spans="1:17">
      <c r="A15">
        <v>2000</v>
      </c>
      <c r="B15" t="s">
        <v>3028</v>
      </c>
      <c r="C15" s="36">
        <v>2</v>
      </c>
      <c r="D15" s="36">
        <v>15</v>
      </c>
      <c r="E15" s="36">
        <v>6</v>
      </c>
      <c r="F15" s="36">
        <v>1</v>
      </c>
      <c r="G15" s="36"/>
      <c r="H15" s="36">
        <v>3</v>
      </c>
      <c r="I15" s="36"/>
      <c r="J15" s="36">
        <v>1</v>
      </c>
      <c r="K15" s="36">
        <v>1</v>
      </c>
      <c r="L15" s="36">
        <v>2</v>
      </c>
      <c r="M15" s="36"/>
      <c r="N15" s="36"/>
      <c r="O15" s="36">
        <v>7</v>
      </c>
      <c r="P15" s="36">
        <v>1</v>
      </c>
      <c r="Q15" s="36">
        <v>1</v>
      </c>
    </row>
    <row r="16" spans="1:17">
      <c r="A16">
        <v>2020</v>
      </c>
      <c r="B16" t="s">
        <v>3028</v>
      </c>
      <c r="C16" s="36">
        <v>1</v>
      </c>
      <c r="D16" s="36">
        <v>12</v>
      </c>
      <c r="E16" s="36">
        <v>1</v>
      </c>
      <c r="F16" s="36"/>
      <c r="G16" s="36"/>
      <c r="H16" s="36"/>
      <c r="I16" s="36"/>
      <c r="J16" s="36"/>
      <c r="K16" s="36"/>
      <c r="L16" s="36"/>
      <c r="M16" s="36"/>
      <c r="N16" s="36"/>
      <c r="O16" s="36">
        <v>2</v>
      </c>
      <c r="P16" s="36">
        <v>1</v>
      </c>
      <c r="Q16" s="36">
        <v>3</v>
      </c>
    </row>
    <row r="17" spans="1:17">
      <c r="A17">
        <v>2040</v>
      </c>
      <c r="B17" t="s">
        <v>3028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792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defaultRowHeight="14.6"/>
  <cols>
    <col min="1" max="1" width="50.765625" bestFit="1" customWidth="1"/>
    <col min="2" max="2" width="10.765625" bestFit="1" customWidth="1"/>
    <col min="3" max="3" width="10.765625" customWidth="1"/>
    <col min="4" max="5" width="8.84375" style="38" customWidth="1"/>
    <col min="6" max="6" width="28.69140625" style="38" bestFit="1" customWidth="1"/>
    <col min="7" max="8" width="8.84375" customWidth="1"/>
  </cols>
  <sheetData>
    <row r="1" spans="1:15">
      <c r="A1" t="s">
        <v>0</v>
      </c>
      <c r="B1" t="s">
        <v>3026</v>
      </c>
      <c r="C1" t="s">
        <v>2306</v>
      </c>
      <c r="D1" s="38" t="s">
        <v>685</v>
      </c>
      <c r="E1" s="38" t="s">
        <v>686</v>
      </c>
      <c r="F1" s="38" t="s">
        <v>3027</v>
      </c>
      <c r="G1" t="s">
        <v>908</v>
      </c>
      <c r="H1" t="s">
        <v>913</v>
      </c>
      <c r="I1" t="s">
        <v>906</v>
      </c>
      <c r="J1" t="s">
        <v>911</v>
      </c>
      <c r="K1" t="s">
        <v>905</v>
      </c>
      <c r="L1" t="s">
        <v>909</v>
      </c>
      <c r="M1" t="s">
        <v>910</v>
      </c>
      <c r="N1" t="s">
        <v>912</v>
      </c>
      <c r="O1" t="s">
        <v>907</v>
      </c>
    </row>
    <row r="2" spans="1:15">
      <c r="A2" t="str" cm="1">
        <f t="array" ref="A2:A792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8" t="str">
        <f>_xlfn.XLOOKUP($A2,PROPERTIES[VEHIDCODE],PROPERTIES[REGION1])</f>
        <v>ALL_REGION</v>
      </c>
      <c r="E2" s="38" t="str">
        <f>_xlfn.XLOOKUP($A2,PROPERTIES[VEHIDCODE],PROPERTIES[REGION2])</f>
        <v>NO_REGION</v>
      </c>
      <c r="F2" s="38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M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8" t="str">
        <f>_xlfn.XLOOKUP($A3,PROPERTIES[VEHIDCODE],PROPERTIES[REGION1])</f>
        <v>ALL_REGION</v>
      </c>
      <c r="E3" s="38" t="str">
        <f>_xlfn.XLOOKUP($A3,PROPERTIES[VEHIDCODE],PROPERTIES[REGION2])</f>
        <v>NO_REGION</v>
      </c>
      <c r="F3" s="38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8" t="str">
        <f>_xlfn.XLOOKUP($A4,PROPERTIES[VEHIDCODE],PROPERTIES[REGION1])</f>
        <v>WESTERN_EUROPE</v>
      </c>
      <c r="E4" s="38" t="str">
        <f>_xlfn.XLOOKUP($A4,PROPERTIES[VEHIDCODE],PROPERTIES[REGION2])</f>
        <v>NO_REGION</v>
      </c>
      <c r="F4" s="38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8" t="str">
        <f>_xlfn.XLOOKUP($A5,PROPERTIES[VEHIDCODE],PROPERTIES[REGION1])</f>
        <v>SOUTHERN_EUROPE</v>
      </c>
      <c r="E5" s="38" t="str">
        <f>_xlfn.XLOOKUP($A5,PROPERTIES[VEHIDCODE],PROPERTIES[REGION2])</f>
        <v>NO_REGION</v>
      </c>
      <c r="F5" s="38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8" t="str">
        <f>_xlfn.XLOOKUP($A6,PROPERTIES[VEHIDCODE],PROPERTIES[REGION1])</f>
        <v>OCEANIA</v>
      </c>
      <c r="E6" s="38" t="str">
        <f>_xlfn.XLOOKUP($A6,PROPERTIES[VEHIDCODE],PROPERTIES[REGION2])</f>
        <v>NO_REGION</v>
      </c>
      <c r="F6" s="38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8" t="str">
        <f>_xlfn.XLOOKUP($A7,PROPERTIES[VEHIDCODE],PROPERTIES[REGION1])</f>
        <v>WESTERN_EUROPE</v>
      </c>
      <c r="E7" s="38" t="str">
        <f>_xlfn.XLOOKUP($A7,PROPERTIES[VEHIDCODE],PROPERTIES[REGION2])</f>
        <v>NO_REGION</v>
      </c>
      <c r="F7" s="38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8" t="str">
        <f>_xlfn.XLOOKUP($A8,PROPERTIES[VEHIDCODE],PROPERTIES[REGION1])</f>
        <v>WESTERN_EUROPE</v>
      </c>
      <c r="E8" s="38" t="str">
        <f>_xlfn.XLOOKUP($A8,PROPERTIES[VEHIDCODE],PROPERTIES[REGION2])</f>
        <v>NO_REGION</v>
      </c>
      <c r="F8" s="38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8" t="str">
        <f>_xlfn.XLOOKUP($A9,PROPERTIES[VEHIDCODE],PROPERTIES[REGION1])</f>
        <v>AFRICA</v>
      </c>
      <c r="E9" s="38" t="str">
        <f>_xlfn.XLOOKUP($A9,PROPERTIES[VEHIDCODE],PROPERTIES[REGION2])</f>
        <v>NO_REGION</v>
      </c>
      <c r="F9" s="38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8" t="str">
        <f>_xlfn.XLOOKUP($A10,PROPERTIES[VEHIDCODE],PROPERTIES[REGION1])</f>
        <v>OCEANIA</v>
      </c>
      <c r="E10" s="38" t="str">
        <f>_xlfn.XLOOKUP($A10,PROPERTIES[VEHIDCODE],PROPERTIES[REGION2])</f>
        <v>NO_REGION</v>
      </c>
      <c r="F10" s="38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8" t="str">
        <f>_xlfn.XLOOKUP($A11,PROPERTIES[VEHIDCODE],PROPERTIES[REGION1])</f>
        <v>WESTERN_EUROPE</v>
      </c>
      <c r="E11" s="38" t="str">
        <f>_xlfn.XLOOKUP($A11,PROPERTIES[VEHIDCODE],PROPERTIES[REGION2])</f>
        <v>NO_REGION</v>
      </c>
      <c r="F11" s="38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8" t="str">
        <f>_xlfn.XLOOKUP($A12,PROPERTIES[VEHIDCODE],PROPERTIES[REGION1])</f>
        <v>OCEANIA</v>
      </c>
      <c r="E12" s="38" t="str">
        <f>_xlfn.XLOOKUP($A12,PROPERTIES[VEHIDCODE],PROPERTIES[REGION2])</f>
        <v>NO_REGION</v>
      </c>
      <c r="F12" s="38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8" t="str">
        <f>_xlfn.XLOOKUP($A13,PROPERTIES[VEHIDCODE],PROPERTIES[REGION1])</f>
        <v>WESTERN_EUROPE</v>
      </c>
      <c r="E13" s="38" t="str">
        <f>_xlfn.XLOOKUP($A13,PROPERTIES[VEHIDCODE],PROPERTIES[REGION2])</f>
        <v>NO_REGION</v>
      </c>
      <c r="F13" s="38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8" t="str">
        <f>_xlfn.XLOOKUP($A14,PROPERTIES[VEHIDCODE],PROPERTIES[REGION1])</f>
        <v>NORTHERN_EUROPE</v>
      </c>
      <c r="E14" s="38" t="str">
        <f>_xlfn.XLOOKUP($A14,PROPERTIES[VEHIDCODE],PROPERTIES[REGION2])</f>
        <v>NO_REGION</v>
      </c>
      <c r="F14" s="38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8" t="str">
        <f>_xlfn.XLOOKUP($A15,PROPERTIES[VEHIDCODE],PROPERTIES[REGION1])</f>
        <v>WESTERN_EUROPE</v>
      </c>
      <c r="E15" s="38" t="str">
        <f>_xlfn.XLOOKUP($A15,PROPERTIES[VEHIDCODE],PROPERTIES[REGION2])</f>
        <v>NO_REGION</v>
      </c>
      <c r="F15" s="38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8" t="str">
        <f>_xlfn.XLOOKUP($A16,PROPERTIES[VEHIDCODE],PROPERTIES[REGION1])</f>
        <v>OCEANIA</v>
      </c>
      <c r="E16" s="38" t="str">
        <f>_xlfn.XLOOKUP($A16,PROPERTIES[VEHIDCODE],PROPERTIES[REGION2])</f>
        <v>NO_REGION</v>
      </c>
      <c r="F16" s="38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8" t="str">
        <f>_xlfn.XLOOKUP($A17,PROPERTIES[VEHIDCODE],PROPERTIES[REGION1])</f>
        <v>SOUTHERN_EUROPE</v>
      </c>
      <c r="E17" s="38" t="str">
        <f>_xlfn.XLOOKUP($A17,PROPERTIES[VEHIDCODE],PROPERTIES[REGION2])</f>
        <v>NO_REGION</v>
      </c>
      <c r="F17" s="38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8" t="str">
        <f>_xlfn.XLOOKUP($A18,PROPERTIES[VEHIDCODE],PROPERTIES[REGION1])</f>
        <v>NORTH_AMERICA</v>
      </c>
      <c r="E18" s="38" t="str">
        <f>_xlfn.XLOOKUP($A18,PROPERTIES[VEHIDCODE],PROPERTIES[REGION2])</f>
        <v>NO_REGION</v>
      </c>
      <c r="F18" s="38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8" t="str">
        <f>_xlfn.XLOOKUP($A19,PROPERTIES[VEHIDCODE],PROPERTIES[REGION1])</f>
        <v>WESTERN_EUROPE</v>
      </c>
      <c r="E19" s="38" t="str">
        <f>_xlfn.XLOOKUP($A19,PROPERTIES[VEHIDCODE],PROPERTIES[REGION2])</f>
        <v>NO_REGION</v>
      </c>
      <c r="F19" s="38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8" t="str">
        <f>_xlfn.XLOOKUP($A20,PROPERTIES[VEHIDCODE],PROPERTIES[REGION1])</f>
        <v>WESTERN_EUROPE</v>
      </c>
      <c r="E20" s="38" t="str">
        <f>_xlfn.XLOOKUP($A20,PROPERTIES[VEHIDCODE],PROPERTIES[REGION2])</f>
        <v>NO_REGION</v>
      </c>
      <c r="F20" s="38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8" t="str">
        <f>_xlfn.XLOOKUP($A21,PROPERTIES[VEHIDCODE],PROPERTIES[REGION1])</f>
        <v>WESTERN_EUROPE</v>
      </c>
      <c r="E21" s="38" t="str">
        <f>_xlfn.XLOOKUP($A21,PROPERTIES[VEHIDCODE],PROPERTIES[REGION2])</f>
        <v>NO_REGION</v>
      </c>
      <c r="F21" s="38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8" t="str">
        <f>_xlfn.XLOOKUP($A22,PROPERTIES[VEHIDCODE],PROPERTIES[REGION1])</f>
        <v>WESTERN_EUROPE</v>
      </c>
      <c r="E22" s="38" t="str">
        <f>_xlfn.XLOOKUP($A22,PROPERTIES[VEHIDCODE],PROPERTIES[REGION2])</f>
        <v>NO_REGION</v>
      </c>
      <c r="F22" s="38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8" t="str">
        <f>_xlfn.XLOOKUP($A23,PROPERTIES[VEHIDCODE],PROPERTIES[REGION1])</f>
        <v>WESTERN_EUROPE</v>
      </c>
      <c r="E23" s="38" t="str">
        <f>_xlfn.XLOOKUP($A23,PROPERTIES[VEHIDCODE],PROPERTIES[REGION2])</f>
        <v>NO_REGION</v>
      </c>
      <c r="F23" s="38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8" t="str">
        <f>_xlfn.XLOOKUP($A24,PROPERTIES[VEHIDCODE],PROPERTIES[REGION1])</f>
        <v>NORTHERN_EUROPE</v>
      </c>
      <c r="E24" s="38" t="str">
        <f>_xlfn.XLOOKUP($A24,PROPERTIES[VEHIDCODE],PROPERTIES[REGION2])</f>
        <v>NO_REGION</v>
      </c>
      <c r="F24" s="38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8" t="str">
        <f>_xlfn.XLOOKUP($A25,PROPERTIES[VEHIDCODE],PROPERTIES[REGION1])</f>
        <v>EASTERN_EUROPE</v>
      </c>
      <c r="E25" s="38" t="str">
        <f>_xlfn.XLOOKUP($A25,PROPERTIES[VEHIDCODE],PROPERTIES[REGION2])</f>
        <v>NO_REGION</v>
      </c>
      <c r="F25" s="38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8" t="str">
        <f>_xlfn.XLOOKUP($A26,PROPERTIES[VEHIDCODE],PROPERTIES[REGION1])</f>
        <v>WESTERN_EUROPE</v>
      </c>
      <c r="E26" s="38" t="str">
        <f>_xlfn.XLOOKUP($A26,PROPERTIES[VEHIDCODE],PROPERTIES[REGION2])</f>
        <v>NO_REGION</v>
      </c>
      <c r="F26" s="38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8" t="str">
        <f>_xlfn.XLOOKUP($A27,PROPERTIES[VEHIDCODE],PROPERTIES[REGION1])</f>
        <v>NORTHERN_EUROPE</v>
      </c>
      <c r="E27" s="38" t="str">
        <f>_xlfn.XLOOKUP($A27,PROPERTIES[VEHIDCODE],PROPERTIES[REGION2])</f>
        <v>NO_REGION</v>
      </c>
      <c r="F27" s="38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8" t="str">
        <f>_xlfn.XLOOKUP($A28,PROPERTIES[VEHIDCODE],PROPERTIES[REGION1])</f>
        <v>WESTERN_EUROPE</v>
      </c>
      <c r="E28" s="38" t="str">
        <f>_xlfn.XLOOKUP($A28,PROPERTIES[VEHIDCODE],PROPERTIES[REGION2])</f>
        <v>NO_REGION</v>
      </c>
      <c r="F28" s="38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8" t="str">
        <f>_xlfn.XLOOKUP($A29,PROPERTIES[VEHIDCODE],PROPERTIES[REGION1])</f>
        <v>NORTH_AMERICA</v>
      </c>
      <c r="E29" s="38" t="str">
        <f>_xlfn.XLOOKUP($A29,PROPERTIES[VEHIDCODE],PROPERTIES[REGION2])</f>
        <v>NO_REGION</v>
      </c>
      <c r="F29" s="38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8" t="str">
        <f>_xlfn.XLOOKUP($A30,PROPERTIES[VEHIDCODE],PROPERTIES[REGION1])</f>
        <v>WESTERN_EUROPE</v>
      </c>
      <c r="E30" s="38" t="str">
        <f>_xlfn.XLOOKUP($A30,PROPERTIES[VEHIDCODE],PROPERTIES[REGION2])</f>
        <v>NO_REGION</v>
      </c>
      <c r="F30" s="38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8" t="str">
        <f>_xlfn.XLOOKUP($A31,PROPERTIES[VEHIDCODE],PROPERTIES[REGION1])</f>
        <v>NORTHERN_EUROPE</v>
      </c>
      <c r="E31" s="38" t="str">
        <f>_xlfn.XLOOKUP($A31,PROPERTIES[VEHIDCODE],PROPERTIES[REGION2])</f>
        <v>NO_REGION</v>
      </c>
      <c r="F31" s="38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8" t="str">
        <f>_xlfn.XLOOKUP($A32,PROPERTIES[VEHIDCODE],PROPERTIES[REGION1])</f>
        <v>WESTERN_EUROPE</v>
      </c>
      <c r="E32" s="38" t="str">
        <f>_xlfn.XLOOKUP($A32,PROPERTIES[VEHIDCODE],PROPERTIES[REGION2])</f>
        <v>NO_REGION</v>
      </c>
      <c r="F32" s="38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8" t="str">
        <f>_xlfn.XLOOKUP($A33,PROPERTIES[VEHIDCODE],PROPERTIES[REGION1])</f>
        <v>OCEANIA</v>
      </c>
      <c r="E33" s="38" t="str">
        <f>_xlfn.XLOOKUP($A33,PROPERTIES[VEHIDCODE],PROPERTIES[REGION2])</f>
        <v>NO_REGION</v>
      </c>
      <c r="F33" s="38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8" t="str">
        <f>_xlfn.XLOOKUP($A34,PROPERTIES[VEHIDCODE],PROPERTIES[REGION1])</f>
        <v>EASTERN_EUROPE</v>
      </c>
      <c r="E34" s="38" t="str">
        <f>_xlfn.XLOOKUP($A34,PROPERTIES[VEHIDCODE],PROPERTIES[REGION2])</f>
        <v>NO_REGION</v>
      </c>
      <c r="F34" s="38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8" t="str">
        <f>_xlfn.XLOOKUP($A35,PROPERTIES[VEHIDCODE],PROPERTIES[REGION1])</f>
        <v>WESTERN_EUROPE</v>
      </c>
      <c r="E35" s="38" t="str">
        <f>_xlfn.XLOOKUP($A35,PROPERTIES[VEHIDCODE],PROPERTIES[REGION2])</f>
        <v>NO_REGION</v>
      </c>
      <c r="F35" s="38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8" t="str">
        <f>_xlfn.XLOOKUP($A36,PROPERTIES[VEHIDCODE],PROPERTIES[REGION1])</f>
        <v>NORTHERN_EUROPE</v>
      </c>
      <c r="E36" s="38" t="str">
        <f>_xlfn.XLOOKUP($A36,PROPERTIES[VEHIDCODE],PROPERTIES[REGION2])</f>
        <v>NO_REGION</v>
      </c>
      <c r="F36" s="38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8" t="str">
        <f>_xlfn.XLOOKUP($A37,PROPERTIES[VEHIDCODE],PROPERTIES[REGION1])</f>
        <v>NORTHERN_EUROPE</v>
      </c>
      <c r="E37" s="38" t="str">
        <f>_xlfn.XLOOKUP($A37,PROPERTIES[VEHIDCODE],PROPERTIES[REGION2])</f>
        <v>NO_REGION</v>
      </c>
      <c r="F37" s="38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8" t="str">
        <f>_xlfn.XLOOKUP($A38,PROPERTIES[VEHIDCODE],PROPERTIES[REGION1])</f>
        <v>EASTERN_EUROPE</v>
      </c>
      <c r="E38" s="38" t="str">
        <f>_xlfn.XLOOKUP($A38,PROPERTIES[VEHIDCODE],PROPERTIES[REGION2])</f>
        <v>NO_REGION</v>
      </c>
      <c r="F38" s="38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8" t="str">
        <f>_xlfn.XLOOKUP($A39,PROPERTIES[VEHIDCODE],PROPERTIES[REGION1])</f>
        <v>WESTERN_EUROPE</v>
      </c>
      <c r="E39" s="38" t="str">
        <f>_xlfn.XLOOKUP($A39,PROPERTIES[VEHIDCODE],PROPERTIES[REGION2])</f>
        <v>NO_REGION</v>
      </c>
      <c r="F39" s="38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8" t="str">
        <f>_xlfn.XLOOKUP($A40,PROPERTIES[VEHIDCODE],PROPERTIES[REGION1])</f>
        <v>OCEANIA</v>
      </c>
      <c r="E40" s="38" t="str">
        <f>_xlfn.XLOOKUP($A40,PROPERTIES[VEHIDCODE],PROPERTIES[REGION2])</f>
        <v>NO_REGION</v>
      </c>
      <c r="F40" s="38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8" t="str">
        <f>_xlfn.XLOOKUP($A41,PROPERTIES[VEHIDCODE],PROPERTIES[REGION1])</f>
        <v>SOUTHERN_EUROPE</v>
      </c>
      <c r="E41" s="38" t="str">
        <f>_xlfn.XLOOKUP($A41,PROPERTIES[VEHIDCODE],PROPERTIES[REGION2])</f>
        <v>NO_REGION</v>
      </c>
      <c r="F41" s="38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8" t="str">
        <f>_xlfn.XLOOKUP($A42,PROPERTIES[VEHIDCODE],PROPERTIES[REGION1])</f>
        <v>WESTERN_EUROPE</v>
      </c>
      <c r="E42" s="38" t="str">
        <f>_xlfn.XLOOKUP($A42,PROPERTIES[VEHIDCODE],PROPERTIES[REGION2])</f>
        <v>NO_REGION</v>
      </c>
      <c r="F42" s="38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8" t="str">
        <f>_xlfn.XLOOKUP($A43,PROPERTIES[VEHIDCODE],PROPERTIES[REGION1])</f>
        <v>EASTERN_EUROPE</v>
      </c>
      <c r="E43" s="38" t="str">
        <f>_xlfn.XLOOKUP($A43,PROPERTIES[VEHIDCODE],PROPERTIES[REGION2])</f>
        <v>NO_REGION</v>
      </c>
      <c r="F43" s="38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8" t="str">
        <f>_xlfn.XLOOKUP($A44,PROPERTIES[VEHIDCODE],PROPERTIES[REGION1])</f>
        <v>SOUTHERN_EUROPE</v>
      </c>
      <c r="E44" s="38" t="str">
        <f>_xlfn.XLOOKUP($A44,PROPERTIES[VEHIDCODE],PROPERTIES[REGION2])</f>
        <v>NO_REGION</v>
      </c>
      <c r="F44" s="38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8" t="str">
        <f>_xlfn.XLOOKUP($A45,PROPERTIES[VEHIDCODE],PROPERTIES[REGION1])</f>
        <v>AFRICA</v>
      </c>
      <c r="E45" s="38" t="str">
        <f>_xlfn.XLOOKUP($A45,PROPERTIES[VEHIDCODE],PROPERTIES[REGION2])</f>
        <v>NO_REGION</v>
      </c>
      <c r="F45" s="38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8" t="str">
        <f>_xlfn.XLOOKUP($A46,PROPERTIES[VEHIDCODE],PROPERTIES[REGION1])</f>
        <v>NORTH_AMERICA</v>
      </c>
      <c r="E46" s="38" t="str">
        <f>_xlfn.XLOOKUP($A46,PROPERTIES[VEHIDCODE],PROPERTIES[REGION2])</f>
        <v>NO_REGION</v>
      </c>
      <c r="F46" s="38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8" t="str">
        <f>_xlfn.XLOOKUP($A47,PROPERTIES[VEHIDCODE],PROPERTIES[REGION1])</f>
        <v>NORTHERN_EUROPE</v>
      </c>
      <c r="E47" s="38" t="str">
        <f>_xlfn.XLOOKUP($A47,PROPERTIES[VEHIDCODE],PROPERTIES[REGION2])</f>
        <v>NO_REGION</v>
      </c>
      <c r="F47" s="38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8" t="str">
        <f>_xlfn.XLOOKUP($A48,PROPERTIES[VEHIDCODE],PROPERTIES[REGION1])</f>
        <v>EASTERN_EUROPE</v>
      </c>
      <c r="E48" s="38" t="str">
        <f>_xlfn.XLOOKUP($A48,PROPERTIES[VEHIDCODE],PROPERTIES[REGION2])</f>
        <v>NO_REGION</v>
      </c>
      <c r="F48" s="38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8" t="str">
        <f>_xlfn.XLOOKUP($A49,PROPERTIES[VEHIDCODE],PROPERTIES[REGION1])</f>
        <v>SOUTHERN_EUROPE</v>
      </c>
      <c r="E49" s="38" t="str">
        <f>_xlfn.XLOOKUP($A49,PROPERTIES[VEHIDCODE],PROPERTIES[REGION2])</f>
        <v>NO_REGION</v>
      </c>
      <c r="F49" s="38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8" t="str">
        <f>_xlfn.XLOOKUP($A50,PROPERTIES[VEHIDCODE],PROPERTIES[REGION1])</f>
        <v>EASTERN_EUROPE</v>
      </c>
      <c r="E50" s="38" t="str">
        <f>_xlfn.XLOOKUP($A50,PROPERTIES[VEHIDCODE],PROPERTIES[REGION2])</f>
        <v>NO_REGION</v>
      </c>
      <c r="F50" s="38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8" t="str">
        <f>_xlfn.XLOOKUP($A51,PROPERTIES[VEHIDCODE],PROPERTIES[REGION1])</f>
        <v>WESTERN_EUROPE</v>
      </c>
      <c r="E51" s="38" t="str">
        <f>_xlfn.XLOOKUP($A51,PROPERTIES[VEHIDCODE],PROPERTIES[REGION2])</f>
        <v>NO_REGION</v>
      </c>
      <c r="F51" s="38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8" t="str">
        <f>_xlfn.XLOOKUP($A52,PROPERTIES[VEHIDCODE],PROPERTIES[REGION1])</f>
        <v>WESTERN_EUROPE</v>
      </c>
      <c r="E52" s="38" t="str">
        <f>_xlfn.XLOOKUP($A52,PROPERTIES[VEHIDCODE],PROPERTIES[REGION2])</f>
        <v>NO_REGION</v>
      </c>
      <c r="F52" s="38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8" t="str">
        <f>_xlfn.XLOOKUP($A53,PROPERTIES[VEHIDCODE],PROPERTIES[REGION1])</f>
        <v>WESTERN_EUROPE</v>
      </c>
      <c r="E53" s="38" t="str">
        <f>_xlfn.XLOOKUP($A53,PROPERTIES[VEHIDCODE],PROPERTIES[REGION2])</f>
        <v>NO_REGION</v>
      </c>
      <c r="F53" s="38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8" t="str">
        <f>_xlfn.XLOOKUP($A54,PROPERTIES[VEHIDCODE],PROPERTIES[REGION1])</f>
        <v>EASTERN_EUROPE</v>
      </c>
      <c r="E54" s="38" t="str">
        <f>_xlfn.XLOOKUP($A54,PROPERTIES[VEHIDCODE],PROPERTIES[REGION2])</f>
        <v>NO_REGION</v>
      </c>
      <c r="F54" s="38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8" t="str">
        <f>_xlfn.XLOOKUP($A55,PROPERTIES[VEHIDCODE],PROPERTIES[REGION1])</f>
        <v>SOUTHERN_EUROPE</v>
      </c>
      <c r="E55" s="38" t="str">
        <f>_xlfn.XLOOKUP($A55,PROPERTIES[VEHIDCODE],PROPERTIES[REGION2])</f>
        <v>NO_REGION</v>
      </c>
      <c r="F55" s="38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8" t="str">
        <f>_xlfn.XLOOKUP($A56,PROPERTIES[VEHIDCODE],PROPERTIES[REGION1])</f>
        <v>SOUTHERN_EUROPE</v>
      </c>
      <c r="E56" s="38" t="str">
        <f>_xlfn.XLOOKUP($A56,PROPERTIES[VEHIDCODE],PROPERTIES[REGION2])</f>
        <v>NO_REGION</v>
      </c>
      <c r="F56" s="38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8" t="str">
        <f>_xlfn.XLOOKUP($A57,PROPERTIES[VEHIDCODE],PROPERTIES[REGION1])</f>
        <v>SOUTHERN_EUROPE</v>
      </c>
      <c r="E57" s="38" t="str">
        <f>_xlfn.XLOOKUP($A57,PROPERTIES[VEHIDCODE],PROPERTIES[REGION2])</f>
        <v>NO_REGION</v>
      </c>
      <c r="F57" s="38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8" t="str">
        <f>_xlfn.XLOOKUP($A58,PROPERTIES[VEHIDCODE],PROPERTIES[REGION1])</f>
        <v>AFRICA</v>
      </c>
      <c r="E58" s="38" t="str">
        <f>_xlfn.XLOOKUP($A58,PROPERTIES[VEHIDCODE],PROPERTIES[REGION2])</f>
        <v>NO_REGION</v>
      </c>
      <c r="F58" s="38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8" t="str">
        <f>_xlfn.XLOOKUP($A59,PROPERTIES[VEHIDCODE],PROPERTIES[REGION1])</f>
        <v>EASTERN_EUROPE</v>
      </c>
      <c r="E59" s="38" t="str">
        <f>_xlfn.XLOOKUP($A59,PROPERTIES[VEHIDCODE],PROPERTIES[REGION2])</f>
        <v>NO_REGION</v>
      </c>
      <c r="F59" s="38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8" t="str">
        <f>_xlfn.XLOOKUP($A60,PROPERTIES[VEHIDCODE],PROPERTIES[REGION1])</f>
        <v>WESTERN_EUROPE</v>
      </c>
      <c r="E60" s="38" t="str">
        <f>_xlfn.XLOOKUP($A60,PROPERTIES[VEHIDCODE],PROPERTIES[REGION2])</f>
        <v>NO_REGION</v>
      </c>
      <c r="F60" s="38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8" t="str">
        <f>_xlfn.XLOOKUP($A61,PROPERTIES[VEHIDCODE],PROPERTIES[REGION1])</f>
        <v>WESTERN_EUROPE</v>
      </c>
      <c r="E61" s="38" t="str">
        <f>_xlfn.XLOOKUP($A61,PROPERTIES[VEHIDCODE],PROPERTIES[REGION2])</f>
        <v>NO_REGION</v>
      </c>
      <c r="F61" s="38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8" t="str">
        <f>_xlfn.XLOOKUP($A62,PROPERTIES[VEHIDCODE],PROPERTIES[REGION1])</f>
        <v>WESTERN_EUROPE</v>
      </c>
      <c r="E62" s="38" t="str">
        <f>_xlfn.XLOOKUP($A62,PROPERTIES[VEHIDCODE],PROPERTIES[REGION2])</f>
        <v>NO_REGION</v>
      </c>
      <c r="F62" s="38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8" t="str">
        <f>_xlfn.XLOOKUP($A63,PROPERTIES[VEHIDCODE],PROPERTIES[REGION1])</f>
        <v>NORTHERN_EUROPE</v>
      </c>
      <c r="E63" s="38" t="str">
        <f>_xlfn.XLOOKUP($A63,PROPERTIES[VEHIDCODE],PROPERTIES[REGION2])</f>
        <v>NO_REGION</v>
      </c>
      <c r="F63" s="38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8" t="str">
        <f>_xlfn.XLOOKUP($A64,PROPERTIES[VEHIDCODE],PROPERTIES[REGION1])</f>
        <v>NORTH_AMERICA</v>
      </c>
      <c r="E64" s="38" t="str">
        <f>_xlfn.XLOOKUP($A64,PROPERTIES[VEHIDCODE],PROPERTIES[REGION2])</f>
        <v>NO_REGION</v>
      </c>
      <c r="F64" s="38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8" t="str">
        <f>_xlfn.XLOOKUP($A65,PROPERTIES[VEHIDCODE],PROPERTIES[REGION1])</f>
        <v>NORTH_AMERICA</v>
      </c>
      <c r="E65" s="38" t="str">
        <f>_xlfn.XLOOKUP($A65,PROPERTIES[VEHIDCODE],PROPERTIES[REGION2])</f>
        <v>NO_REGION</v>
      </c>
      <c r="F65" s="38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8" t="str">
        <f>_xlfn.XLOOKUP($A66,PROPERTIES[VEHIDCODE],PROPERTIES[REGION1])</f>
        <v>WESTERN_EUROPE</v>
      </c>
      <c r="E66" s="38" t="str">
        <f>_xlfn.XLOOKUP($A66,PROPERTIES[VEHIDCODE],PROPERTIES[REGION2])</f>
        <v>NO_REGION</v>
      </c>
      <c r="F66" s="38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8" t="str">
        <f>_xlfn.XLOOKUP($A67,PROPERTIES[VEHIDCODE],PROPERTIES[REGION1])</f>
        <v>NORTH_AMERICA</v>
      </c>
      <c r="E67" s="38" t="str">
        <f>_xlfn.XLOOKUP($A67,PROPERTIES[VEHIDCODE],PROPERTIES[REGION2])</f>
        <v>NO_REGION</v>
      </c>
      <c r="F67" s="38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8" t="str">
        <f>_xlfn.XLOOKUP($A68,PROPERTIES[VEHIDCODE],PROPERTIES[REGION1])</f>
        <v>WESTERN_EUROPE</v>
      </c>
      <c r="E68" s="38" t="str">
        <f>_xlfn.XLOOKUP($A68,PROPERTIES[VEHIDCODE],PROPERTIES[REGION2])</f>
        <v>NO_REGION</v>
      </c>
      <c r="F68" s="38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8" t="str">
        <f>_xlfn.XLOOKUP($A69,PROPERTIES[VEHIDCODE],PROPERTIES[REGION1])</f>
        <v>NORTH_AMERICA</v>
      </c>
      <c r="E69" s="38" t="str">
        <f>_xlfn.XLOOKUP($A69,PROPERTIES[VEHIDCODE],PROPERTIES[REGION2])</f>
        <v>NO_REGION</v>
      </c>
      <c r="F69" s="38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8" t="str">
        <f>_xlfn.XLOOKUP($A70,PROPERTIES[VEHIDCODE],PROPERTIES[REGION1])</f>
        <v>NORTH_AMERICA</v>
      </c>
      <c r="E70" s="38" t="str">
        <f>_xlfn.XLOOKUP($A70,PROPERTIES[VEHIDCODE],PROPERTIES[REGION2])</f>
        <v>NO_REGION</v>
      </c>
      <c r="F70" s="38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8" t="str">
        <f>_xlfn.XLOOKUP($A71,PROPERTIES[VEHIDCODE],PROPERTIES[REGION1])</f>
        <v>EASTERN_EUROPE</v>
      </c>
      <c r="E71" s="38" t="str">
        <f>_xlfn.XLOOKUP($A71,PROPERTIES[VEHIDCODE],PROPERTIES[REGION2])</f>
        <v>NO_REGION</v>
      </c>
      <c r="F71" s="38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8" t="str">
        <f>_xlfn.XLOOKUP($A72,PROPERTIES[VEHIDCODE],PROPERTIES[REGION1])</f>
        <v>WESTERN_EUROPE</v>
      </c>
      <c r="E72" s="38" t="str">
        <f>_xlfn.XLOOKUP($A72,PROPERTIES[VEHIDCODE],PROPERTIES[REGION2])</f>
        <v>NO_REGION</v>
      </c>
      <c r="F72" s="38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8" t="str">
        <f>_xlfn.XLOOKUP($A73,PROPERTIES[VEHIDCODE],PROPERTIES[REGION1])</f>
        <v>NORTHERN_EUROPE</v>
      </c>
      <c r="E73" s="38" t="str">
        <f>_xlfn.XLOOKUP($A73,PROPERTIES[VEHIDCODE],PROPERTIES[REGION2])</f>
        <v>NO_REGION</v>
      </c>
      <c r="F73" s="38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8" t="str">
        <f>_xlfn.XLOOKUP($A74,PROPERTIES[VEHIDCODE],PROPERTIES[REGION1])</f>
        <v>WESTERN_EUROPE</v>
      </c>
      <c r="E74" s="38" t="str">
        <f>_xlfn.XLOOKUP($A74,PROPERTIES[VEHIDCODE],PROPERTIES[REGION2])</f>
        <v>NO_REGION</v>
      </c>
      <c r="F74" s="38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8" t="str">
        <f>_xlfn.XLOOKUP($A75,PROPERTIES[VEHIDCODE],PROPERTIES[REGION1])</f>
        <v>WESTERN_EUROPE</v>
      </c>
      <c r="E75" s="38" t="str">
        <f>_xlfn.XLOOKUP($A75,PROPERTIES[VEHIDCODE],PROPERTIES[REGION2])</f>
        <v>NO_REGION</v>
      </c>
      <c r="F75" s="38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8" t="str">
        <f>_xlfn.XLOOKUP($A76,PROPERTIES[VEHIDCODE],PROPERTIES[REGION1])</f>
        <v>WESTERN_EUROPE</v>
      </c>
      <c r="E76" s="38" t="str">
        <f>_xlfn.XLOOKUP($A76,PROPERTIES[VEHIDCODE],PROPERTIES[REGION2])</f>
        <v>NO_REGION</v>
      </c>
      <c r="F76" s="38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8" t="str">
        <f>_xlfn.XLOOKUP($A77,PROPERTIES[VEHIDCODE],PROPERTIES[REGION1])</f>
        <v>OCEANIA</v>
      </c>
      <c r="E77" s="38" t="str">
        <f>_xlfn.XLOOKUP($A77,PROPERTIES[VEHIDCODE],PROPERTIES[REGION2])</f>
        <v>NO_REGION</v>
      </c>
      <c r="F77" s="38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8" t="str">
        <f>_xlfn.XLOOKUP($A78,PROPERTIES[VEHIDCODE],PROPERTIES[REGION1])</f>
        <v>EASTERN_EUROPE</v>
      </c>
      <c r="E78" s="38" t="str">
        <f>_xlfn.XLOOKUP($A78,PROPERTIES[VEHIDCODE],PROPERTIES[REGION2])</f>
        <v>NO_REGION</v>
      </c>
      <c r="F78" s="38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8" t="str">
        <f>_xlfn.XLOOKUP($A79,PROPERTIES[VEHIDCODE],PROPERTIES[REGION1])</f>
        <v>SOUTHERN_EUROPE</v>
      </c>
      <c r="E79" s="38" t="str">
        <f>_xlfn.XLOOKUP($A79,PROPERTIES[VEHIDCODE],PROPERTIES[REGION2])</f>
        <v>NO_REGION</v>
      </c>
      <c r="F79" s="38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8" t="str">
        <f>_xlfn.XLOOKUP($A80,PROPERTIES[VEHIDCODE],PROPERTIES[REGION1])</f>
        <v>SOUTH_AMERICA</v>
      </c>
      <c r="E80" s="38" t="str">
        <f>_xlfn.XLOOKUP($A80,PROPERTIES[VEHIDCODE],PROPERTIES[REGION2])</f>
        <v>NO_REGION</v>
      </c>
      <c r="F80" s="38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8" t="str">
        <f>_xlfn.XLOOKUP($A81,PROPERTIES[VEHIDCODE],PROPERTIES[REGION1])</f>
        <v>WESTERN_EUROPE</v>
      </c>
      <c r="E81" s="38" t="str">
        <f>_xlfn.XLOOKUP($A81,PROPERTIES[VEHIDCODE],PROPERTIES[REGION2])</f>
        <v>NO_REGION</v>
      </c>
      <c r="F81" s="38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8" t="str">
        <f>_xlfn.XLOOKUP($A82,PROPERTIES[VEHIDCODE],PROPERTIES[REGION1])</f>
        <v>WESTERN_EUROPE</v>
      </c>
      <c r="E82" s="38" t="str">
        <f>_xlfn.XLOOKUP($A82,PROPERTIES[VEHIDCODE],PROPERTIES[REGION2])</f>
        <v>NO_REGION</v>
      </c>
      <c r="F82" s="38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8" t="str">
        <f>_xlfn.XLOOKUP($A83,PROPERTIES[VEHIDCODE],PROPERTIES[REGION1])</f>
        <v>NORTHERN_EUROPE</v>
      </c>
      <c r="E83" s="38" t="str">
        <f>_xlfn.XLOOKUP($A83,PROPERTIES[VEHIDCODE],PROPERTIES[REGION2])</f>
        <v>NO_REGION</v>
      </c>
      <c r="F83" s="38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8" t="str">
        <f>_xlfn.XLOOKUP($A84,PROPERTIES[VEHIDCODE],PROPERTIES[REGION1])</f>
        <v>NORTHERN_EUROPE</v>
      </c>
      <c r="E84" s="38" t="str">
        <f>_xlfn.XLOOKUP($A84,PROPERTIES[VEHIDCODE],PROPERTIES[REGION2])</f>
        <v>NO_REGION</v>
      </c>
      <c r="F84" s="38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8" t="str">
        <f>_xlfn.XLOOKUP($A85,PROPERTIES[VEHIDCODE],PROPERTIES[REGION1])</f>
        <v>WESTERN_EUROPE</v>
      </c>
      <c r="E85" s="38" t="str">
        <f>_xlfn.XLOOKUP($A85,PROPERTIES[VEHIDCODE],PROPERTIES[REGION2])</f>
        <v>NO_REGION</v>
      </c>
      <c r="F85" s="38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8" t="str">
        <f>_xlfn.XLOOKUP($A86,PROPERTIES[VEHIDCODE],PROPERTIES[REGION1])</f>
        <v>NORTH_AMERICA</v>
      </c>
      <c r="E86" s="38" t="str">
        <f>_xlfn.XLOOKUP($A86,PROPERTIES[VEHIDCODE],PROPERTIES[REGION2])</f>
        <v>NO_REGION</v>
      </c>
      <c r="F86" s="38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8" t="str">
        <f>_xlfn.XLOOKUP($A87,PROPERTIES[VEHIDCODE],PROPERTIES[REGION1])</f>
        <v>WESTERN_EUROPE</v>
      </c>
      <c r="E87" s="38" t="str">
        <f>_xlfn.XLOOKUP($A87,PROPERTIES[VEHIDCODE],PROPERTIES[REGION2])</f>
        <v>NO_REGION</v>
      </c>
      <c r="F87" s="38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8" t="str">
        <f>_xlfn.XLOOKUP($A88,PROPERTIES[VEHIDCODE],PROPERTIES[REGION1])</f>
        <v>NORTHERN_EUROPE</v>
      </c>
      <c r="E88" s="38" t="str">
        <f>_xlfn.XLOOKUP($A88,PROPERTIES[VEHIDCODE],PROPERTIES[REGION2])</f>
        <v>NO_REGION</v>
      </c>
      <c r="F88" s="38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8" t="str">
        <f>_xlfn.XLOOKUP($A89,PROPERTIES[VEHIDCODE],PROPERTIES[REGION1])</f>
        <v>ASIA</v>
      </c>
      <c r="E89" s="38" t="str">
        <f>_xlfn.XLOOKUP($A89,PROPERTIES[VEHIDCODE],PROPERTIES[REGION2])</f>
        <v>NO_REGION</v>
      </c>
      <c r="F89" s="38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8" t="str">
        <f>_xlfn.XLOOKUP($A90,PROPERTIES[VEHIDCODE],PROPERTIES[REGION1])</f>
        <v>NORTHERN_EUROPE</v>
      </c>
      <c r="E90" s="38" t="str">
        <f>_xlfn.XLOOKUP($A90,PROPERTIES[VEHIDCODE],PROPERTIES[REGION2])</f>
        <v>NO_REGION</v>
      </c>
      <c r="F90" s="38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8" t="str">
        <f>_xlfn.XLOOKUP($A91,PROPERTIES[VEHIDCODE],PROPERTIES[REGION1])</f>
        <v>NORTH_AMERICA</v>
      </c>
      <c r="E91" s="38" t="str">
        <f>_xlfn.XLOOKUP($A91,PROPERTIES[VEHIDCODE],PROPERTIES[REGION2])</f>
        <v>NO_REGION</v>
      </c>
      <c r="F91" s="38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8" t="str">
        <f>_xlfn.XLOOKUP($A92,PROPERTIES[VEHIDCODE],PROPERTIES[REGION1])</f>
        <v>NORTHERN_EUROPE</v>
      </c>
      <c r="E92" s="38" t="str">
        <f>_xlfn.XLOOKUP($A92,PROPERTIES[VEHIDCODE],PROPERTIES[REGION2])</f>
        <v>NO_REGION</v>
      </c>
      <c r="F92" s="38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8" t="str">
        <f>_xlfn.XLOOKUP($A93,PROPERTIES[VEHIDCODE],PROPERTIES[REGION1])</f>
        <v>WESTERN_EUROPE</v>
      </c>
      <c r="E93" s="38" t="str">
        <f>_xlfn.XLOOKUP($A93,PROPERTIES[VEHIDCODE],PROPERTIES[REGION2])</f>
        <v>NO_REGION</v>
      </c>
      <c r="F93" s="38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8" t="str">
        <f>_xlfn.XLOOKUP($A94,PROPERTIES[VEHIDCODE],PROPERTIES[REGION1])</f>
        <v>NORTHERN_EUROPE</v>
      </c>
      <c r="E94" s="38" t="str">
        <f>_xlfn.XLOOKUP($A94,PROPERTIES[VEHIDCODE],PROPERTIES[REGION2])</f>
        <v>NO_REGION</v>
      </c>
      <c r="F94" s="38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8" t="str">
        <f>_xlfn.XLOOKUP($A95,PROPERTIES[VEHIDCODE],PROPERTIES[REGION1])</f>
        <v>AFRICA</v>
      </c>
      <c r="E95" s="38" t="str">
        <f>_xlfn.XLOOKUP($A95,PROPERTIES[VEHIDCODE],PROPERTIES[REGION2])</f>
        <v>NO_REGION</v>
      </c>
      <c r="F95" s="38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8" t="str">
        <f>_xlfn.XLOOKUP($A96,PROPERTIES[VEHIDCODE],PROPERTIES[REGION1])</f>
        <v>ASIA</v>
      </c>
      <c r="E96" s="38" t="str">
        <f>_xlfn.XLOOKUP($A96,PROPERTIES[VEHIDCODE],PROPERTIES[REGION2])</f>
        <v>NO_REGION</v>
      </c>
      <c r="F96" s="38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8" t="str">
        <f>_xlfn.XLOOKUP($A97,PROPERTIES[VEHIDCODE],PROPERTIES[REGION1])</f>
        <v>WESTERN_EUROPE</v>
      </c>
      <c r="E97" s="38" t="str">
        <f>_xlfn.XLOOKUP($A97,PROPERTIES[VEHIDCODE],PROPERTIES[REGION2])</f>
        <v>NO_REGION</v>
      </c>
      <c r="F97" s="38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8" t="str">
        <f>_xlfn.XLOOKUP($A98,PROPERTIES[VEHIDCODE],PROPERTIES[REGION1])</f>
        <v>SOUTHERN_EUROPE</v>
      </c>
      <c r="E98" s="38" t="str">
        <f>_xlfn.XLOOKUP($A98,PROPERTIES[VEHIDCODE],PROPERTIES[REGION2])</f>
        <v>NO_REGION</v>
      </c>
      <c r="F98" s="38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8" t="str">
        <f>_xlfn.XLOOKUP($A99,PROPERTIES[VEHIDCODE],PROPERTIES[REGION1])</f>
        <v>EASTERN_EUROPE</v>
      </c>
      <c r="E99" s="38" t="str">
        <f>_xlfn.XLOOKUP($A99,PROPERTIES[VEHIDCODE],PROPERTIES[REGION2])</f>
        <v>NO_REGION</v>
      </c>
      <c r="F99" s="38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8" t="str">
        <f>_xlfn.XLOOKUP($A100,PROPERTIES[VEHIDCODE],PROPERTIES[REGION1])</f>
        <v>WESTERN_EUROPE</v>
      </c>
      <c r="E100" s="38" t="str">
        <f>_xlfn.XLOOKUP($A100,PROPERTIES[VEHIDCODE],PROPERTIES[REGION2])</f>
        <v>NO_REGION</v>
      </c>
      <c r="F100" s="38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8" t="str">
        <f>_xlfn.XLOOKUP($A101,PROPERTIES[VEHIDCODE],PROPERTIES[REGION1])</f>
        <v>NORTH_AMERICA</v>
      </c>
      <c r="E101" s="38" t="str">
        <f>_xlfn.XLOOKUP($A101,PROPERTIES[VEHIDCODE],PROPERTIES[REGION2])</f>
        <v>NO_REGION</v>
      </c>
      <c r="F101" s="38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8" t="str">
        <f>_xlfn.XLOOKUP($A102,PROPERTIES[VEHIDCODE],PROPERTIES[REGION1])</f>
        <v>WESTERN_EUROPE</v>
      </c>
      <c r="E102" s="38" t="str">
        <f>_xlfn.XLOOKUP($A102,PROPERTIES[VEHIDCODE],PROPERTIES[REGION2])</f>
        <v>NO_REGION</v>
      </c>
      <c r="F102" s="38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8" t="str">
        <f>_xlfn.XLOOKUP($A103,PROPERTIES[VEHIDCODE],PROPERTIES[REGION1])</f>
        <v>NORTHERN_EUROPE</v>
      </c>
      <c r="E103" s="38" t="str">
        <f>_xlfn.XLOOKUP($A103,PROPERTIES[VEHIDCODE],PROPERTIES[REGION2])</f>
        <v>NO_REGION</v>
      </c>
      <c r="F103" s="38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8" t="str">
        <f>_xlfn.XLOOKUP($A104,PROPERTIES[VEHIDCODE],PROPERTIES[REGION1])</f>
        <v>OCEANIA</v>
      </c>
      <c r="E104" s="38" t="str">
        <f>_xlfn.XLOOKUP($A104,PROPERTIES[VEHIDCODE],PROPERTIES[REGION2])</f>
        <v>NO_REGION</v>
      </c>
      <c r="F104" s="38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8" t="str">
        <f>_xlfn.XLOOKUP($A105,PROPERTIES[VEHIDCODE],PROPERTIES[REGION1])</f>
        <v>NORTH_AMERICA</v>
      </c>
      <c r="E105" s="38" t="str">
        <f>_xlfn.XLOOKUP($A105,PROPERTIES[VEHIDCODE],PROPERTIES[REGION2])</f>
        <v>NO_REGION</v>
      </c>
      <c r="F105" s="38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8" t="str">
        <f>_xlfn.XLOOKUP($A106,PROPERTIES[VEHIDCODE],PROPERTIES[REGION1])</f>
        <v>WESTERN_EUROPE</v>
      </c>
      <c r="E106" s="38" t="str">
        <f>_xlfn.XLOOKUP($A106,PROPERTIES[VEHIDCODE],PROPERTIES[REGION2])</f>
        <v>NO_REGION</v>
      </c>
      <c r="F106" s="38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8" t="str">
        <f>_xlfn.XLOOKUP($A107,PROPERTIES[VEHIDCODE],PROPERTIES[REGION1])</f>
        <v>AFRICA</v>
      </c>
      <c r="E107" s="38" t="str">
        <f>_xlfn.XLOOKUP($A107,PROPERTIES[VEHIDCODE],PROPERTIES[REGION2])</f>
        <v>NO_REGION</v>
      </c>
      <c r="F107" s="38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8" t="str">
        <f>_xlfn.XLOOKUP($A108,PROPERTIES[VEHIDCODE],PROPERTIES[REGION1])</f>
        <v>OCEANIA</v>
      </c>
      <c r="E108" s="38" t="str">
        <f>_xlfn.XLOOKUP($A108,PROPERTIES[VEHIDCODE],PROPERTIES[REGION2])</f>
        <v>NO_REGION</v>
      </c>
      <c r="F108" s="38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8" t="str">
        <f>_xlfn.XLOOKUP($A109,PROPERTIES[VEHIDCODE],PROPERTIES[REGION1])</f>
        <v>NORTH_AMERICA</v>
      </c>
      <c r="E109" s="38" t="str">
        <f>_xlfn.XLOOKUP($A109,PROPERTIES[VEHIDCODE],PROPERTIES[REGION2])</f>
        <v>NO_REGION</v>
      </c>
      <c r="F109" s="38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8" t="str">
        <f>_xlfn.XLOOKUP($A110,PROPERTIES[VEHIDCODE],PROPERTIES[REGION1])</f>
        <v>AFRICA</v>
      </c>
      <c r="E110" s="38" t="str">
        <f>_xlfn.XLOOKUP($A110,PROPERTIES[VEHIDCODE],PROPERTIES[REGION2])</f>
        <v>NO_REGION</v>
      </c>
      <c r="F110" s="38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8" t="str">
        <f>_xlfn.XLOOKUP($A111,PROPERTIES[VEHIDCODE],PROPERTIES[REGION1])</f>
        <v>SOUTHERN_EUROPE</v>
      </c>
      <c r="E111" s="38" t="str">
        <f>_xlfn.XLOOKUP($A111,PROPERTIES[VEHIDCODE],PROPERTIES[REGION2])</f>
        <v>NO_REGION</v>
      </c>
      <c r="F111" s="38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8" t="str">
        <f>_xlfn.XLOOKUP($A112,PROPERTIES[VEHIDCODE],PROPERTIES[REGION1])</f>
        <v>WESTERN_EUROPE</v>
      </c>
      <c r="E112" s="38" t="str">
        <f>_xlfn.XLOOKUP($A112,PROPERTIES[VEHIDCODE],PROPERTIES[REGION2])</f>
        <v>NO_REGION</v>
      </c>
      <c r="F112" s="38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8" t="str">
        <f>_xlfn.XLOOKUP($A113,PROPERTIES[VEHIDCODE],PROPERTIES[REGION1])</f>
        <v>WESTERN_EUROPE</v>
      </c>
      <c r="E113" s="38" t="str">
        <f>_xlfn.XLOOKUP($A113,PROPERTIES[VEHIDCODE],PROPERTIES[REGION2])</f>
        <v>NO_REGION</v>
      </c>
      <c r="F113" s="38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8" t="str">
        <f>_xlfn.XLOOKUP($A114,PROPERTIES[VEHIDCODE],PROPERTIES[REGION1])</f>
        <v>NORTHERN_EUROPE</v>
      </c>
      <c r="E114" s="38" t="str">
        <f>_xlfn.XLOOKUP($A114,PROPERTIES[VEHIDCODE],PROPERTIES[REGION2])</f>
        <v>NO_REGION</v>
      </c>
      <c r="F114" s="38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8" t="str">
        <f>_xlfn.XLOOKUP($A115,PROPERTIES[VEHIDCODE],PROPERTIES[REGION1])</f>
        <v>NORTH_AMERICA</v>
      </c>
      <c r="E115" s="38" t="str">
        <f>_xlfn.XLOOKUP($A115,PROPERTIES[VEHIDCODE],PROPERTIES[REGION2])</f>
        <v>NO_REGION</v>
      </c>
      <c r="F115" s="38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8" t="str">
        <f>_xlfn.XLOOKUP($A116,PROPERTIES[VEHIDCODE],PROPERTIES[REGION1])</f>
        <v>WESTERN_EUROPE</v>
      </c>
      <c r="E116" s="38" t="str">
        <f>_xlfn.XLOOKUP($A116,PROPERTIES[VEHIDCODE],PROPERTIES[REGION2])</f>
        <v>NO_REGION</v>
      </c>
      <c r="F116" s="38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8" t="str">
        <f>_xlfn.XLOOKUP($A117,PROPERTIES[VEHIDCODE],PROPERTIES[REGION1])</f>
        <v>AFRICA</v>
      </c>
      <c r="E117" s="38" t="str">
        <f>_xlfn.XLOOKUP($A117,PROPERTIES[VEHIDCODE],PROPERTIES[REGION2])</f>
        <v>NO_REGION</v>
      </c>
      <c r="F117" s="38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8" t="str">
        <f>_xlfn.XLOOKUP($A118,PROPERTIES[VEHIDCODE],PROPERTIES[REGION1])</f>
        <v>AFRICA</v>
      </c>
      <c r="E118" s="38" t="str">
        <f>_xlfn.XLOOKUP($A118,PROPERTIES[VEHIDCODE],PROPERTIES[REGION2])</f>
        <v>NO_REGION</v>
      </c>
      <c r="F118" s="38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8" t="str">
        <f>_xlfn.XLOOKUP($A119,PROPERTIES[VEHIDCODE],PROPERTIES[REGION1])</f>
        <v>NORTHERN_EUROPE</v>
      </c>
      <c r="E119" s="38" t="str">
        <f>_xlfn.XLOOKUP($A119,PROPERTIES[VEHIDCODE],PROPERTIES[REGION2])</f>
        <v>NO_REGION</v>
      </c>
      <c r="F119" s="38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8" t="str">
        <f>_xlfn.XLOOKUP($A120,PROPERTIES[VEHIDCODE],PROPERTIES[REGION1])</f>
        <v>WESTERN_EUROPE</v>
      </c>
      <c r="E120" s="38" t="str">
        <f>_xlfn.XLOOKUP($A120,PROPERTIES[VEHIDCODE],PROPERTIES[REGION2])</f>
        <v>NO_REGION</v>
      </c>
      <c r="F120" s="38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8" t="str">
        <f>_xlfn.XLOOKUP($A121,PROPERTIES[VEHIDCODE],PROPERTIES[REGION1])</f>
        <v>WESTERN_EUROPE</v>
      </c>
      <c r="E121" s="38" t="str">
        <f>_xlfn.XLOOKUP($A121,PROPERTIES[VEHIDCODE],PROPERTIES[REGION2])</f>
        <v>NO_REGION</v>
      </c>
      <c r="F121" s="38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8" t="str">
        <f>_xlfn.XLOOKUP($A122,PROPERTIES[VEHIDCODE],PROPERTIES[REGION1])</f>
        <v>NORTHERN_EUROPE</v>
      </c>
      <c r="E122" s="38" t="str">
        <f>_xlfn.XLOOKUP($A122,PROPERTIES[VEHIDCODE],PROPERTIES[REGION2])</f>
        <v>NO_REGION</v>
      </c>
      <c r="F122" s="38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8" t="str">
        <f>_xlfn.XLOOKUP($A123,PROPERTIES[VEHIDCODE],PROPERTIES[REGION1])</f>
        <v>NORTH_AMERICA</v>
      </c>
      <c r="E123" s="38" t="str">
        <f>_xlfn.XLOOKUP($A123,PROPERTIES[VEHIDCODE],PROPERTIES[REGION2])</f>
        <v>NO_REGION</v>
      </c>
      <c r="F123" s="38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8" t="str">
        <f>_xlfn.XLOOKUP($A124,PROPERTIES[VEHIDCODE],PROPERTIES[REGION1])</f>
        <v>NORTH_AMERICA</v>
      </c>
      <c r="E124" s="38" t="str">
        <f>_xlfn.XLOOKUP($A124,PROPERTIES[VEHIDCODE],PROPERTIES[REGION2])</f>
        <v>NO_REGION</v>
      </c>
      <c r="F124" s="38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8" t="str">
        <f>_xlfn.XLOOKUP($A125,PROPERTIES[VEHIDCODE],PROPERTIES[REGION1])</f>
        <v>ASIA</v>
      </c>
      <c r="E125" s="38" t="str">
        <f>_xlfn.XLOOKUP($A125,PROPERTIES[VEHIDCODE],PROPERTIES[REGION2])</f>
        <v>NO_REGION</v>
      </c>
      <c r="F125" s="38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8" t="str">
        <f>_xlfn.XLOOKUP($A126,PROPERTIES[VEHIDCODE],PROPERTIES[REGION1])</f>
        <v>ASIA</v>
      </c>
      <c r="E126" s="38" t="str">
        <f>_xlfn.XLOOKUP($A126,PROPERTIES[VEHIDCODE],PROPERTIES[REGION2])</f>
        <v>NO_REGION</v>
      </c>
      <c r="F126" s="38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8" t="str">
        <f>_xlfn.XLOOKUP($A127,PROPERTIES[VEHIDCODE],PROPERTIES[REGION1])</f>
        <v>AFRICA</v>
      </c>
      <c r="E127" s="38" t="str">
        <f>_xlfn.XLOOKUP($A127,PROPERTIES[VEHIDCODE],PROPERTIES[REGION2])</f>
        <v>NO_REGION</v>
      </c>
      <c r="F127" s="38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8" t="str">
        <f>_xlfn.XLOOKUP($A128,PROPERTIES[VEHIDCODE],PROPERTIES[REGION1])</f>
        <v>NORTHERN_EUROPE</v>
      </c>
      <c r="E128" s="38" t="str">
        <f>_xlfn.XLOOKUP($A128,PROPERTIES[VEHIDCODE],PROPERTIES[REGION2])</f>
        <v>NO_REGION</v>
      </c>
      <c r="F128" s="38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8" t="str">
        <f>_xlfn.XLOOKUP($A129,PROPERTIES[VEHIDCODE],PROPERTIES[REGION1])</f>
        <v>OCEANIA</v>
      </c>
      <c r="E129" s="38" t="str">
        <f>_xlfn.XLOOKUP($A129,PROPERTIES[VEHIDCODE],PROPERTIES[REGION2])</f>
        <v>NO_REGION</v>
      </c>
      <c r="F129" s="38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8" t="str">
        <f>_xlfn.XLOOKUP($A130,PROPERTIES[VEHIDCODE],PROPERTIES[REGION1])</f>
        <v>WESTERN_EUROPE</v>
      </c>
      <c r="E130" s="38" t="str">
        <f>_xlfn.XLOOKUP($A130,PROPERTIES[VEHIDCODE],PROPERTIES[REGION2])</f>
        <v>NO_REGION</v>
      </c>
      <c r="F130" s="38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8" t="str">
        <f>_xlfn.XLOOKUP($A131,PROPERTIES[VEHIDCODE],PROPERTIES[REGION1])</f>
        <v>WESTERN_EUROPE</v>
      </c>
      <c r="E131" s="38" t="str">
        <f>_xlfn.XLOOKUP($A131,PROPERTIES[VEHIDCODE],PROPERTIES[REGION2])</f>
        <v>NO_REGION</v>
      </c>
      <c r="F131" s="38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8" t="str">
        <f>_xlfn.XLOOKUP($A132,PROPERTIES[VEHIDCODE],PROPERTIES[REGION1])</f>
        <v>OCEANIA</v>
      </c>
      <c r="E132" s="38" t="str">
        <f>_xlfn.XLOOKUP($A132,PROPERTIES[VEHIDCODE],PROPERTIES[REGION2])</f>
        <v>NO_REGION</v>
      </c>
      <c r="F132" s="38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8" t="str">
        <f>_xlfn.XLOOKUP($A133,PROPERTIES[VEHIDCODE],PROPERTIES[REGION1])</f>
        <v>OCEANIA</v>
      </c>
      <c r="E133" s="38" t="str">
        <f>_xlfn.XLOOKUP($A133,PROPERTIES[VEHIDCODE],PROPERTIES[REGION2])</f>
        <v>NO_REGION</v>
      </c>
      <c r="F133" s="38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8" t="str">
        <f>_xlfn.XLOOKUP($A134,PROPERTIES[VEHIDCODE],PROPERTIES[REGION1])</f>
        <v>OCEANIA</v>
      </c>
      <c r="E134" s="38" t="str">
        <f>_xlfn.XLOOKUP($A134,PROPERTIES[VEHIDCODE],PROPERTIES[REGION2])</f>
        <v>NO_REGION</v>
      </c>
      <c r="F134" s="38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8" t="str">
        <f>_xlfn.XLOOKUP($A135,PROPERTIES[VEHIDCODE],PROPERTIES[REGION1])</f>
        <v>OCEANIA</v>
      </c>
      <c r="E135" s="38" t="str">
        <f>_xlfn.XLOOKUP($A135,PROPERTIES[VEHIDCODE],PROPERTIES[REGION2])</f>
        <v>NO_REGION</v>
      </c>
      <c r="F135" s="38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8" t="str">
        <f>_xlfn.XLOOKUP($A136,PROPERTIES[VEHIDCODE],PROPERTIES[REGION1])</f>
        <v>SOUTH_AMERICA</v>
      </c>
      <c r="E136" s="38" t="str">
        <f>_xlfn.XLOOKUP($A136,PROPERTIES[VEHIDCODE],PROPERTIES[REGION2])</f>
        <v>NO_REGION</v>
      </c>
      <c r="F136" s="38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8" t="str">
        <f>_xlfn.XLOOKUP($A137,PROPERTIES[VEHIDCODE],PROPERTIES[REGION1])</f>
        <v>SOUTH_AMERICA</v>
      </c>
      <c r="E137" s="38" t="str">
        <f>_xlfn.XLOOKUP($A137,PROPERTIES[VEHIDCODE],PROPERTIES[REGION2])</f>
        <v>NO_REGION</v>
      </c>
      <c r="F137" s="38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8" t="str">
        <f>_xlfn.XLOOKUP($A138,PROPERTIES[VEHIDCODE],PROPERTIES[REGION1])</f>
        <v>AFRICA</v>
      </c>
      <c r="E138" s="38" t="str">
        <f>_xlfn.XLOOKUP($A138,PROPERTIES[VEHIDCODE],PROPERTIES[REGION2])</f>
        <v>NO_REGION</v>
      </c>
      <c r="F138" s="38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8" t="str">
        <f>_xlfn.XLOOKUP($A139,PROPERTIES[VEHIDCODE],PROPERTIES[REGION1])</f>
        <v>AFRICA</v>
      </c>
      <c r="E139" s="38" t="str">
        <f>_xlfn.XLOOKUP($A139,PROPERTIES[VEHIDCODE],PROPERTIES[REGION2])</f>
        <v>NO_REGION</v>
      </c>
      <c r="F139" s="38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8" t="str">
        <f>_xlfn.XLOOKUP($A140,PROPERTIES[VEHIDCODE],PROPERTIES[REGION1])</f>
        <v>AFRICA</v>
      </c>
      <c r="E140" s="38" t="str">
        <f>_xlfn.XLOOKUP($A140,PROPERTIES[VEHIDCODE],PROPERTIES[REGION2])</f>
        <v>NO_REGION</v>
      </c>
      <c r="F140" s="38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8" t="str">
        <f>_xlfn.XLOOKUP($A141,PROPERTIES[VEHIDCODE],PROPERTIES[REGION1])</f>
        <v>AFRICA</v>
      </c>
      <c r="E141" s="38" t="str">
        <f>_xlfn.XLOOKUP($A141,PROPERTIES[VEHIDCODE],PROPERTIES[REGION2])</f>
        <v>NO_REGION</v>
      </c>
      <c r="F141" s="38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8" t="str">
        <f>_xlfn.XLOOKUP($A142,PROPERTIES[VEHIDCODE],PROPERTIES[REGION1])</f>
        <v>AFRICA</v>
      </c>
      <c r="E142" s="38" t="str">
        <f>_xlfn.XLOOKUP($A142,PROPERTIES[VEHIDCODE],PROPERTIES[REGION2])</f>
        <v>NO_REGION</v>
      </c>
      <c r="F142" s="38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8" t="str">
        <f>_xlfn.XLOOKUP($A143,PROPERTIES[VEHIDCODE],PROPERTIES[REGION1])</f>
        <v>AFRICA</v>
      </c>
      <c r="E143" s="38" t="str">
        <f>_xlfn.XLOOKUP($A143,PROPERTIES[VEHIDCODE],PROPERTIES[REGION2])</f>
        <v>NO_REGION</v>
      </c>
      <c r="F143" s="38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8" t="str">
        <f>_xlfn.XLOOKUP($A144,PROPERTIES[VEHIDCODE],PROPERTIES[REGION1])</f>
        <v>AFRICA</v>
      </c>
      <c r="E144" s="38" t="str">
        <f>_xlfn.XLOOKUP($A144,PROPERTIES[VEHIDCODE],PROPERTIES[REGION2])</f>
        <v>NO_REGION</v>
      </c>
      <c r="F144" s="38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8" t="str">
        <f>_xlfn.XLOOKUP($A145,PROPERTIES[VEHIDCODE],PROPERTIES[REGION1])</f>
        <v>AFRICA</v>
      </c>
      <c r="E145" s="38" t="str">
        <f>_xlfn.XLOOKUP($A145,PROPERTIES[VEHIDCODE],PROPERTIES[REGION2])</f>
        <v>NO_REGION</v>
      </c>
      <c r="F145" s="38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8" t="str">
        <f>_xlfn.XLOOKUP($A146,PROPERTIES[VEHIDCODE],PROPERTIES[REGION1])</f>
        <v>ASIA</v>
      </c>
      <c r="E146" s="38" t="str">
        <f>_xlfn.XLOOKUP($A146,PROPERTIES[VEHIDCODE],PROPERTIES[REGION2])</f>
        <v>NO_REGION</v>
      </c>
      <c r="F146" s="38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8" t="str">
        <f>_xlfn.XLOOKUP($A147,PROPERTIES[VEHIDCODE],PROPERTIES[REGION1])</f>
        <v>ASIA</v>
      </c>
      <c r="E147" s="38" t="str">
        <f>_xlfn.XLOOKUP($A147,PROPERTIES[VEHIDCODE],PROPERTIES[REGION2])</f>
        <v>NO_REGION</v>
      </c>
      <c r="F147" s="38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8" t="str">
        <f>_xlfn.XLOOKUP($A148,PROPERTIES[VEHIDCODE],PROPERTIES[REGION1])</f>
        <v>ASIA</v>
      </c>
      <c r="E148" s="38" t="str">
        <f>_xlfn.XLOOKUP($A148,PROPERTIES[VEHIDCODE],PROPERTIES[REGION2])</f>
        <v>NO_REGION</v>
      </c>
      <c r="F148" s="38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8" t="str">
        <f>_xlfn.XLOOKUP($A149,PROPERTIES[VEHIDCODE],PROPERTIES[REGION1])</f>
        <v>ASIA</v>
      </c>
      <c r="E149" s="38" t="str">
        <f>_xlfn.XLOOKUP($A149,PROPERTIES[VEHIDCODE],PROPERTIES[REGION2])</f>
        <v>NO_REGION</v>
      </c>
      <c r="F149" s="38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8" t="str">
        <f>_xlfn.XLOOKUP($A150,PROPERTIES[VEHIDCODE],PROPERTIES[REGION1])</f>
        <v>ASIA</v>
      </c>
      <c r="E150" s="38" t="str">
        <f>_xlfn.XLOOKUP($A150,PROPERTIES[VEHIDCODE],PROPERTIES[REGION2])</f>
        <v>NO_REGION</v>
      </c>
      <c r="F150" s="38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8" t="str">
        <f>_xlfn.XLOOKUP($A151,PROPERTIES[VEHIDCODE],PROPERTIES[REGION1])</f>
        <v>ASIA</v>
      </c>
      <c r="E151" s="38" t="str">
        <f>_xlfn.XLOOKUP($A151,PROPERTIES[VEHIDCODE],PROPERTIES[REGION2])</f>
        <v>NO_REGION</v>
      </c>
      <c r="F151" s="38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8" t="str">
        <f>_xlfn.XLOOKUP($A152,PROPERTIES[VEHIDCODE],PROPERTIES[REGION1])</f>
        <v>SOUTHERN_EUROPE</v>
      </c>
      <c r="E152" s="38" t="str">
        <f>_xlfn.XLOOKUP($A152,PROPERTIES[VEHIDCODE],PROPERTIES[REGION2])</f>
        <v>NO_REGION</v>
      </c>
      <c r="F152" s="38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8" t="str">
        <f>_xlfn.XLOOKUP($A153,PROPERTIES[VEHIDCODE],PROPERTIES[REGION1])</f>
        <v>SOUTHERN_EUROPE</v>
      </c>
      <c r="E153" s="38" t="str">
        <f>_xlfn.XLOOKUP($A153,PROPERTIES[VEHIDCODE],PROPERTIES[REGION2])</f>
        <v>NO_REGION</v>
      </c>
      <c r="F153" s="38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8" t="str">
        <f>_xlfn.XLOOKUP($A154,PROPERTIES[VEHIDCODE],PROPERTIES[REGION1])</f>
        <v>SOUTHERN_EUROPE</v>
      </c>
      <c r="E154" s="38" t="str">
        <f>_xlfn.XLOOKUP($A154,PROPERTIES[VEHIDCODE],PROPERTIES[REGION2])</f>
        <v>NO_REGION</v>
      </c>
      <c r="F154" s="38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8" t="str">
        <f>_xlfn.XLOOKUP($A155,PROPERTIES[VEHIDCODE],PROPERTIES[REGION1])</f>
        <v>SOUTHERN_EUROPE</v>
      </c>
      <c r="E155" s="38" t="str">
        <f>_xlfn.XLOOKUP($A155,PROPERTIES[VEHIDCODE],PROPERTIES[REGION2])</f>
        <v>NO_REGION</v>
      </c>
      <c r="F155" s="38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8" t="str">
        <f>_xlfn.XLOOKUP($A156,PROPERTIES[VEHIDCODE],PROPERTIES[REGION1])</f>
        <v>SOUTHERN_EUROPE</v>
      </c>
      <c r="E156" s="38" t="str">
        <f>_xlfn.XLOOKUP($A156,PROPERTIES[VEHIDCODE],PROPERTIES[REGION2])</f>
        <v>NO_REGION</v>
      </c>
      <c r="F156" s="38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8" t="str">
        <f>_xlfn.XLOOKUP($A157,PROPERTIES[VEHIDCODE],PROPERTIES[REGION1])</f>
        <v>EASTERN_EUROPE</v>
      </c>
      <c r="E157" s="38" t="str">
        <f>_xlfn.XLOOKUP($A157,PROPERTIES[VEHIDCODE],PROPERTIES[REGION2])</f>
        <v>NO_REGION</v>
      </c>
      <c r="F157" s="38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8" t="str">
        <f>_xlfn.XLOOKUP($A158,PROPERTIES[VEHIDCODE],PROPERTIES[REGION1])</f>
        <v>EASTERN_EUROPE</v>
      </c>
      <c r="E158" s="38" t="str">
        <f>_xlfn.XLOOKUP($A158,PROPERTIES[VEHIDCODE],PROPERTIES[REGION2])</f>
        <v>NO_REGION</v>
      </c>
      <c r="F158" s="38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8" t="str">
        <f>_xlfn.XLOOKUP($A159,PROPERTIES[VEHIDCODE],PROPERTIES[REGION1])</f>
        <v>EASTERN_EUROPE</v>
      </c>
      <c r="E159" s="38" t="str">
        <f>_xlfn.XLOOKUP($A159,PROPERTIES[VEHIDCODE],PROPERTIES[REGION2])</f>
        <v>NO_REGION</v>
      </c>
      <c r="F159" s="38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8" t="str">
        <f>_xlfn.XLOOKUP($A160,PROPERTIES[VEHIDCODE],PROPERTIES[REGION1])</f>
        <v>EASTERN_EUROPE</v>
      </c>
      <c r="E160" s="38" t="str">
        <f>_xlfn.XLOOKUP($A160,PROPERTIES[VEHIDCODE],PROPERTIES[REGION2])</f>
        <v>NO_REGION</v>
      </c>
      <c r="F160" s="38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8" t="str">
        <f>_xlfn.XLOOKUP($A161,PROPERTIES[VEHIDCODE],PROPERTIES[REGION1])</f>
        <v>EASTERN_EUROPE</v>
      </c>
      <c r="E161" s="38" t="str">
        <f>_xlfn.XLOOKUP($A161,PROPERTIES[VEHIDCODE],PROPERTIES[REGION2])</f>
        <v>NO_REGION</v>
      </c>
      <c r="F161" s="38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8" t="str">
        <f>_xlfn.XLOOKUP($A162,PROPERTIES[VEHIDCODE],PROPERTIES[REGION1])</f>
        <v>EASTERN_EUROPE</v>
      </c>
      <c r="E162" s="38" t="str">
        <f>_xlfn.XLOOKUP($A162,PROPERTIES[VEHIDCODE],PROPERTIES[REGION2])</f>
        <v>NO_REGION</v>
      </c>
      <c r="F162" s="38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8" t="str">
        <f>_xlfn.XLOOKUP($A163,PROPERTIES[VEHIDCODE],PROPERTIES[REGION1])</f>
        <v>WESTERN_EUROPE</v>
      </c>
      <c r="E163" s="38" t="str">
        <f>_xlfn.XLOOKUP($A163,PROPERTIES[VEHIDCODE],PROPERTIES[REGION2])</f>
        <v>NO_REGION</v>
      </c>
      <c r="F163" s="38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8" t="str">
        <f>_xlfn.XLOOKUP($A164,PROPERTIES[VEHIDCODE],PROPERTIES[REGION1])</f>
        <v>NORTH_AMERICA</v>
      </c>
      <c r="E164" s="38" t="str">
        <f>_xlfn.XLOOKUP($A164,PROPERTIES[VEHIDCODE],PROPERTIES[REGION2])</f>
        <v>NO_REGION</v>
      </c>
      <c r="F164" s="38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8" t="str">
        <f>_xlfn.XLOOKUP($A165,PROPERTIES[VEHIDCODE],PROPERTIES[REGION1])</f>
        <v>NORTHERN_EUROPE</v>
      </c>
      <c r="E165" s="38" t="str">
        <f>_xlfn.XLOOKUP($A165,PROPERTIES[VEHIDCODE],PROPERTIES[REGION2])</f>
        <v>NO_REGION</v>
      </c>
      <c r="F165" s="38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8" t="str">
        <f>_xlfn.XLOOKUP($A166,PROPERTIES[VEHIDCODE],PROPERTIES[REGION1])</f>
        <v>NORTH_AMERICA</v>
      </c>
      <c r="E166" s="38" t="str">
        <f>_xlfn.XLOOKUP($A166,PROPERTIES[VEHIDCODE],PROPERTIES[REGION2])</f>
        <v>NO_REGION</v>
      </c>
      <c r="F166" s="38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8" t="str">
        <f>_xlfn.XLOOKUP($A167,PROPERTIES[VEHIDCODE],PROPERTIES[REGION1])</f>
        <v>SOUTH_AMERICA</v>
      </c>
      <c r="E167" s="38" t="str">
        <f>_xlfn.XLOOKUP($A167,PROPERTIES[VEHIDCODE],PROPERTIES[REGION2])</f>
        <v>NO_REGION</v>
      </c>
      <c r="F167" s="38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8" t="str">
        <f>_xlfn.XLOOKUP($A168,PROPERTIES[VEHIDCODE],PROPERTIES[REGION1])</f>
        <v>OCEANIA</v>
      </c>
      <c r="E168" s="38" t="str">
        <f>_xlfn.XLOOKUP($A168,PROPERTIES[VEHIDCODE],PROPERTIES[REGION2])</f>
        <v>NO_REGION</v>
      </c>
      <c r="F168" s="38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8" t="str">
        <f>_xlfn.XLOOKUP($A169,PROPERTIES[VEHIDCODE],PROPERTIES[REGION1])</f>
        <v>WESTERN_EUROPE</v>
      </c>
      <c r="E169" s="38" t="str">
        <f>_xlfn.XLOOKUP($A169,PROPERTIES[VEHIDCODE],PROPERTIES[REGION2])</f>
        <v>NO_REGION</v>
      </c>
      <c r="F169" s="38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8" t="str">
        <f>_xlfn.XLOOKUP($A170,PROPERTIES[VEHIDCODE],PROPERTIES[REGION1])</f>
        <v>SOUTH_AMERICA</v>
      </c>
      <c r="E170" s="38" t="str">
        <f>_xlfn.XLOOKUP($A170,PROPERTIES[VEHIDCODE],PROPERTIES[REGION2])</f>
        <v>NO_REGION</v>
      </c>
      <c r="F170" s="38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8" t="str">
        <f>_xlfn.XLOOKUP($A171,PROPERTIES[VEHIDCODE],PROPERTIES[REGION1])</f>
        <v>ASIA</v>
      </c>
      <c r="E171" s="38" t="str">
        <f>_xlfn.XLOOKUP($A171,PROPERTIES[VEHIDCODE],PROPERTIES[REGION2])</f>
        <v>NO_REGION</v>
      </c>
      <c r="F171" s="38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8" t="str">
        <f>_xlfn.XLOOKUP($A172,PROPERTIES[VEHIDCODE],PROPERTIES[REGION1])</f>
        <v>WESTERN_EUROPE</v>
      </c>
      <c r="E172" s="38" t="str">
        <f>_xlfn.XLOOKUP($A172,PROPERTIES[VEHIDCODE],PROPERTIES[REGION2])</f>
        <v>NO_REGION</v>
      </c>
      <c r="F172" s="38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8" t="str">
        <f>_xlfn.XLOOKUP($A173,PROPERTIES[VEHIDCODE],PROPERTIES[REGION1])</f>
        <v>NORTH_AMERICA</v>
      </c>
      <c r="E173" s="38" t="str">
        <f>_xlfn.XLOOKUP($A173,PROPERTIES[VEHIDCODE],PROPERTIES[REGION2])</f>
        <v>NO_REGION</v>
      </c>
      <c r="F173" s="38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8" t="str">
        <f>_xlfn.XLOOKUP($A174,PROPERTIES[VEHIDCODE],PROPERTIES[REGION1])</f>
        <v>WESTERN_EUROPE</v>
      </c>
      <c r="E174" s="38" t="str">
        <f>_xlfn.XLOOKUP($A174,PROPERTIES[VEHIDCODE],PROPERTIES[REGION2])</f>
        <v>NO_REGION</v>
      </c>
      <c r="F174" s="38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8" t="str">
        <f>_xlfn.XLOOKUP($A175,PROPERTIES[VEHIDCODE],PROPERTIES[REGION1])</f>
        <v>WESTERN_EUROPE</v>
      </c>
      <c r="E175" s="38" t="str">
        <f>_xlfn.XLOOKUP($A175,PROPERTIES[VEHIDCODE],PROPERTIES[REGION2])</f>
        <v>NO_REGION</v>
      </c>
      <c r="F175" s="38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8" t="str">
        <f>_xlfn.XLOOKUP($A176,PROPERTIES[VEHIDCODE],PROPERTIES[REGION1])</f>
        <v>WESTERN_EUROPE</v>
      </c>
      <c r="E176" s="38" t="str">
        <f>_xlfn.XLOOKUP($A176,PROPERTIES[VEHIDCODE],PROPERTIES[REGION2])</f>
        <v>NO_REGION</v>
      </c>
      <c r="F176" s="38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8" t="str">
        <f>_xlfn.XLOOKUP($A177,PROPERTIES[VEHIDCODE],PROPERTIES[REGION1])</f>
        <v>OCEANIA</v>
      </c>
      <c r="E177" s="38" t="str">
        <f>_xlfn.XLOOKUP($A177,PROPERTIES[VEHIDCODE],PROPERTIES[REGION2])</f>
        <v>NO_REGION</v>
      </c>
      <c r="F177" s="38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8" t="str">
        <f>_xlfn.XLOOKUP($A178,PROPERTIES[VEHIDCODE],PROPERTIES[REGION1])</f>
        <v>NORTH_AMERICA</v>
      </c>
      <c r="E178" s="38" t="str">
        <f>_xlfn.XLOOKUP($A178,PROPERTIES[VEHIDCODE],PROPERTIES[REGION2])</f>
        <v>NO_REGION</v>
      </c>
      <c r="F178" s="38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8" t="str">
        <f>_xlfn.XLOOKUP($A179,PROPERTIES[VEHIDCODE],PROPERTIES[REGION1])</f>
        <v>NORTH_AMERICA</v>
      </c>
      <c r="E179" s="38" t="str">
        <f>_xlfn.XLOOKUP($A179,PROPERTIES[VEHIDCODE],PROPERTIES[REGION2])</f>
        <v>NO_REGION</v>
      </c>
      <c r="F179" s="38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8" t="str">
        <f>_xlfn.XLOOKUP($A180,PROPERTIES[VEHIDCODE],PROPERTIES[REGION1])</f>
        <v>NORTH_AMERICA</v>
      </c>
      <c r="E180" s="38" t="str">
        <f>_xlfn.XLOOKUP($A180,PROPERTIES[VEHIDCODE],PROPERTIES[REGION2])</f>
        <v>NO_REGION</v>
      </c>
      <c r="F180" s="38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8" t="str">
        <f>_xlfn.XLOOKUP($A181,PROPERTIES[VEHIDCODE],PROPERTIES[REGION1])</f>
        <v>SOUTH_AMERICA</v>
      </c>
      <c r="E181" s="38" t="str">
        <f>_xlfn.XLOOKUP($A181,PROPERTIES[VEHIDCODE],PROPERTIES[REGION2])</f>
        <v>NO_REGION</v>
      </c>
      <c r="F181" s="38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8" t="str">
        <f>_xlfn.XLOOKUP($A182,PROPERTIES[VEHIDCODE],PROPERTIES[REGION1])</f>
        <v>WESTERN_EUROPE</v>
      </c>
      <c r="E182" s="38" t="str">
        <f>_xlfn.XLOOKUP($A182,PROPERTIES[VEHIDCODE],PROPERTIES[REGION2])</f>
        <v>NO_REGION</v>
      </c>
      <c r="F182" s="38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8" t="str">
        <f>_xlfn.XLOOKUP($A183,PROPERTIES[VEHIDCODE],PROPERTIES[REGION1])</f>
        <v>NORTH_AMERICA</v>
      </c>
      <c r="E183" s="38" t="str">
        <f>_xlfn.XLOOKUP($A183,PROPERTIES[VEHIDCODE],PROPERTIES[REGION2])</f>
        <v>NO_REGION</v>
      </c>
      <c r="F183" s="38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8" t="str">
        <f>_xlfn.XLOOKUP($A184,PROPERTIES[VEHIDCODE],PROPERTIES[REGION1])</f>
        <v>SOUTH_AMERICA</v>
      </c>
      <c r="E184" s="38" t="str">
        <f>_xlfn.XLOOKUP($A184,PROPERTIES[VEHIDCODE],PROPERTIES[REGION2])</f>
        <v>NO_REGION</v>
      </c>
      <c r="F184" s="38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8" t="str">
        <f>_xlfn.XLOOKUP($A185,PROPERTIES[VEHIDCODE],PROPERTIES[REGION1])</f>
        <v>NORTH_AMERICA</v>
      </c>
      <c r="E185" s="38" t="str">
        <f>_xlfn.XLOOKUP($A185,PROPERTIES[VEHIDCODE],PROPERTIES[REGION2])</f>
        <v>NO_REGION</v>
      </c>
      <c r="F185" s="38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8" t="str">
        <f>_xlfn.XLOOKUP($A186,PROPERTIES[VEHIDCODE],PROPERTIES[REGION1])</f>
        <v>AFRICA</v>
      </c>
      <c r="E186" s="38" t="str">
        <f>_xlfn.XLOOKUP($A186,PROPERTIES[VEHIDCODE],PROPERTIES[REGION2])</f>
        <v>NO_REGION</v>
      </c>
      <c r="F186" s="38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8" t="str">
        <f>_xlfn.XLOOKUP($A187,PROPERTIES[VEHIDCODE],PROPERTIES[REGION1])</f>
        <v>WESTERN_EUROPE</v>
      </c>
      <c r="E187" s="38" t="str">
        <f>_xlfn.XLOOKUP($A187,PROPERTIES[VEHIDCODE],PROPERTIES[REGION2])</f>
        <v>NO_REGION</v>
      </c>
      <c r="F187" s="38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8" t="str">
        <f>_xlfn.XLOOKUP($A188,PROPERTIES[VEHIDCODE],PROPERTIES[REGION1])</f>
        <v>NORTH_AMERICA</v>
      </c>
      <c r="E188" s="38" t="str">
        <f>_xlfn.XLOOKUP($A188,PROPERTIES[VEHIDCODE],PROPERTIES[REGION2])</f>
        <v>NO_REGION</v>
      </c>
      <c r="F188" s="38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8" t="str">
        <f>_xlfn.XLOOKUP($A189,PROPERTIES[VEHIDCODE],PROPERTIES[REGION1])</f>
        <v>NORTH_AMERICA</v>
      </c>
      <c r="E189" s="38" t="str">
        <f>_xlfn.XLOOKUP($A189,PROPERTIES[VEHIDCODE],PROPERTIES[REGION2])</f>
        <v>NO_REGION</v>
      </c>
      <c r="F189" s="38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8" t="str">
        <f>_xlfn.XLOOKUP($A190,PROPERTIES[VEHIDCODE],PROPERTIES[REGION1])</f>
        <v>EASTERN_EUROPE</v>
      </c>
      <c r="E190" s="38" t="str">
        <f>_xlfn.XLOOKUP($A190,PROPERTIES[VEHIDCODE],PROPERTIES[REGION2])</f>
        <v>NO_REGION</v>
      </c>
      <c r="F190" s="38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8" t="str">
        <f>_xlfn.XLOOKUP($A191,PROPERTIES[VEHIDCODE],PROPERTIES[REGION1])</f>
        <v>EASTERN_EUROPE</v>
      </c>
      <c r="E191" s="38" t="str">
        <f>_xlfn.XLOOKUP($A191,PROPERTIES[VEHIDCODE],PROPERTIES[REGION2])</f>
        <v>NO_REGION</v>
      </c>
      <c r="F191" s="38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8" t="str">
        <f>_xlfn.XLOOKUP($A192,PROPERTIES[VEHIDCODE],PROPERTIES[REGION1])</f>
        <v>WESTERN_EUROPE</v>
      </c>
      <c r="E192" s="38" t="str">
        <f>_xlfn.XLOOKUP($A192,PROPERTIES[VEHIDCODE],PROPERTIES[REGION2])</f>
        <v>NO_REGION</v>
      </c>
      <c r="F192" s="38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8" t="str">
        <f>_xlfn.XLOOKUP($A193,PROPERTIES[VEHIDCODE],PROPERTIES[REGION1])</f>
        <v>WESTERN_EUROPE</v>
      </c>
      <c r="E193" s="38" t="str">
        <f>_xlfn.XLOOKUP($A193,PROPERTIES[VEHIDCODE],PROPERTIES[REGION2])</f>
        <v>NO_REGION</v>
      </c>
      <c r="F193" s="38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8" t="str">
        <f>_xlfn.XLOOKUP($A194,PROPERTIES[VEHIDCODE],PROPERTIES[REGION1])</f>
        <v>NORTH_AMERICA</v>
      </c>
      <c r="E194" s="38" t="str">
        <f>_xlfn.XLOOKUP($A194,PROPERTIES[VEHIDCODE],PROPERTIES[REGION2])</f>
        <v>NO_REGION</v>
      </c>
      <c r="F194" s="38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8" t="str">
        <f>_xlfn.XLOOKUP($A195,PROPERTIES[VEHIDCODE],PROPERTIES[REGION1])</f>
        <v>EASTERN_EUROPE</v>
      </c>
      <c r="E195" s="38" t="str">
        <f>_xlfn.XLOOKUP($A195,PROPERTIES[VEHIDCODE],PROPERTIES[REGION2])</f>
        <v>NO_REGION</v>
      </c>
      <c r="F195" s="38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8" t="str">
        <f>_xlfn.XLOOKUP($A196,PROPERTIES[VEHIDCODE],PROPERTIES[REGION1])</f>
        <v>NORTHERN_EUROPE</v>
      </c>
      <c r="E196" s="38" t="str">
        <f>_xlfn.XLOOKUP($A196,PROPERTIES[VEHIDCODE],PROPERTIES[REGION2])</f>
        <v>NO_REGION</v>
      </c>
      <c r="F196" s="38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8" t="str">
        <f>_xlfn.XLOOKUP($A197,PROPERTIES[VEHIDCODE],PROPERTIES[REGION1])</f>
        <v>EASTERN_EUROPE</v>
      </c>
      <c r="E197" s="38" t="str">
        <f>_xlfn.XLOOKUP($A197,PROPERTIES[VEHIDCODE],PROPERTIES[REGION2])</f>
        <v>NO_REGION</v>
      </c>
      <c r="F197" s="38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8" t="str">
        <f>_xlfn.XLOOKUP($A198,PROPERTIES[VEHIDCODE],PROPERTIES[REGION1])</f>
        <v>SOUTH_AMERICA</v>
      </c>
      <c r="E198" s="38" t="str">
        <f>_xlfn.XLOOKUP($A198,PROPERTIES[VEHIDCODE],PROPERTIES[REGION2])</f>
        <v>NO_REGION</v>
      </c>
      <c r="F198" s="38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8" t="str">
        <f>_xlfn.XLOOKUP($A199,PROPERTIES[VEHIDCODE],PROPERTIES[REGION1])</f>
        <v>SOUTH_AMERICA</v>
      </c>
      <c r="E199" s="38" t="str">
        <f>_xlfn.XLOOKUP($A199,PROPERTIES[VEHIDCODE],PROPERTIES[REGION2])</f>
        <v>NO_REGION</v>
      </c>
      <c r="F199" s="38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8" t="str">
        <f>_xlfn.XLOOKUP($A200,PROPERTIES[VEHIDCODE],PROPERTIES[REGION1])</f>
        <v>ASIA</v>
      </c>
      <c r="E200" s="38" t="str">
        <f>_xlfn.XLOOKUP($A200,PROPERTIES[VEHIDCODE],PROPERTIES[REGION2])</f>
        <v>NO_REGION</v>
      </c>
      <c r="F200" s="38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8" t="str">
        <f>_xlfn.XLOOKUP($A201,PROPERTIES[VEHIDCODE],PROPERTIES[REGION1])</f>
        <v>WESTERN_EUROPE</v>
      </c>
      <c r="E201" s="38" t="str">
        <f>_xlfn.XLOOKUP($A201,PROPERTIES[VEHIDCODE],PROPERTIES[REGION2])</f>
        <v>NO_REGION</v>
      </c>
      <c r="F201" s="38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8" t="str">
        <f>_xlfn.XLOOKUP($A202,PROPERTIES[VEHIDCODE],PROPERTIES[REGION1])</f>
        <v>NORTHERN_EUROPE</v>
      </c>
      <c r="E202" s="38" t="str">
        <f>_xlfn.XLOOKUP($A202,PROPERTIES[VEHIDCODE],PROPERTIES[REGION2])</f>
        <v>NO_REGION</v>
      </c>
      <c r="F202" s="38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8" t="str">
        <f>_xlfn.XLOOKUP($A203,PROPERTIES[VEHIDCODE],PROPERTIES[REGION1])</f>
        <v>ASIA</v>
      </c>
      <c r="E203" s="38" t="str">
        <f>_xlfn.XLOOKUP($A203,PROPERTIES[VEHIDCODE],PROPERTIES[REGION2])</f>
        <v>NO_REGION</v>
      </c>
      <c r="F203" s="38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8" t="str">
        <f>_xlfn.XLOOKUP($A204,PROPERTIES[VEHIDCODE],PROPERTIES[REGION1])</f>
        <v>NORTHERN_EUROPE</v>
      </c>
      <c r="E204" s="38" t="str">
        <f>_xlfn.XLOOKUP($A204,PROPERTIES[VEHIDCODE],PROPERTIES[REGION2])</f>
        <v>NO_REGION</v>
      </c>
      <c r="F204" s="38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8" t="str">
        <f>_xlfn.XLOOKUP($A205,PROPERTIES[VEHIDCODE],PROPERTIES[REGION1])</f>
        <v>ASIA</v>
      </c>
      <c r="E205" s="38" t="str">
        <f>_xlfn.XLOOKUP($A205,PROPERTIES[VEHIDCODE],PROPERTIES[REGION2])</f>
        <v>NO_REGION</v>
      </c>
      <c r="F205" s="38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8" t="str">
        <f>_xlfn.XLOOKUP($A206,PROPERTIES[VEHIDCODE],PROPERTIES[REGION1])</f>
        <v>SOUTH_AMERICA</v>
      </c>
      <c r="E206" s="38" t="str">
        <f>_xlfn.XLOOKUP($A206,PROPERTIES[VEHIDCODE],PROPERTIES[REGION2])</f>
        <v>NO_REGION</v>
      </c>
      <c r="F206" s="38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8" t="str">
        <f>_xlfn.XLOOKUP($A207,PROPERTIES[VEHIDCODE],PROPERTIES[REGION1])</f>
        <v>ASIA</v>
      </c>
      <c r="E207" s="38" t="str">
        <f>_xlfn.XLOOKUP($A207,PROPERTIES[VEHIDCODE],PROPERTIES[REGION2])</f>
        <v>NO_REGION</v>
      </c>
      <c r="F207" s="38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8" t="str">
        <f>_xlfn.XLOOKUP($A208,PROPERTIES[VEHIDCODE],PROPERTIES[REGION1])</f>
        <v>OCEANIA</v>
      </c>
      <c r="E208" s="38" t="str">
        <f>_xlfn.XLOOKUP($A208,PROPERTIES[VEHIDCODE],PROPERTIES[REGION2])</f>
        <v>NO_REGION</v>
      </c>
      <c r="F208" s="38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8" t="str">
        <f>_xlfn.XLOOKUP($A209,PROPERTIES[VEHIDCODE],PROPERTIES[REGION1])</f>
        <v>AFRICA</v>
      </c>
      <c r="E209" s="38" t="str">
        <f>_xlfn.XLOOKUP($A209,PROPERTIES[VEHIDCODE],PROPERTIES[REGION2])</f>
        <v>NO_REGION</v>
      </c>
      <c r="F209" s="38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8" t="str">
        <f>_xlfn.XLOOKUP($A210,PROPERTIES[VEHIDCODE],PROPERTIES[REGION1])</f>
        <v>NORTH_AMERICA</v>
      </c>
      <c r="E210" s="38" t="str">
        <f>_xlfn.XLOOKUP($A210,PROPERTIES[VEHIDCODE],PROPERTIES[REGION2])</f>
        <v>NO_REGION</v>
      </c>
      <c r="F210" s="38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8" t="str">
        <f>_xlfn.XLOOKUP($A211,PROPERTIES[VEHIDCODE],PROPERTIES[REGION1])</f>
        <v>OCEANIA</v>
      </c>
      <c r="E211" s="38" t="str">
        <f>_xlfn.XLOOKUP($A211,PROPERTIES[VEHIDCODE],PROPERTIES[REGION2])</f>
        <v>NO_REGION</v>
      </c>
      <c r="F211" s="38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8" t="str">
        <f>_xlfn.XLOOKUP($A212,PROPERTIES[VEHIDCODE],PROPERTIES[REGION1])</f>
        <v>EASTERN_EUROPE</v>
      </c>
      <c r="E212" s="38" t="str">
        <f>_xlfn.XLOOKUP($A212,PROPERTIES[VEHIDCODE],PROPERTIES[REGION2])</f>
        <v>NO_REGION</v>
      </c>
      <c r="F212" s="38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8" t="str">
        <f>_xlfn.XLOOKUP($A213,PROPERTIES[VEHIDCODE],PROPERTIES[REGION1])</f>
        <v>NORTHERN_EUROPE</v>
      </c>
      <c r="E213" s="38" t="str">
        <f>_xlfn.XLOOKUP($A213,PROPERTIES[VEHIDCODE],PROPERTIES[REGION2])</f>
        <v>NO_REGION</v>
      </c>
      <c r="F213" s="38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8" t="str">
        <f>_xlfn.XLOOKUP($A214,PROPERTIES[VEHIDCODE],PROPERTIES[REGION1])</f>
        <v>NORTH_AMERICA</v>
      </c>
      <c r="E214" s="38" t="str">
        <f>_xlfn.XLOOKUP($A214,PROPERTIES[VEHIDCODE],PROPERTIES[REGION2])</f>
        <v>NO_REGION</v>
      </c>
      <c r="F214" s="38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8" t="str">
        <f>_xlfn.XLOOKUP($A215,PROPERTIES[VEHIDCODE],PROPERTIES[REGION1])</f>
        <v>NORTH_AMERICA</v>
      </c>
      <c r="E215" s="38" t="str">
        <f>_xlfn.XLOOKUP($A215,PROPERTIES[VEHIDCODE],PROPERTIES[REGION2])</f>
        <v>NO_REGION</v>
      </c>
      <c r="F215" s="38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8" t="str">
        <f>_xlfn.XLOOKUP($A216,PROPERTIES[VEHIDCODE],PROPERTIES[REGION1])</f>
        <v>ASIA</v>
      </c>
      <c r="E216" s="38" t="str">
        <f>_xlfn.XLOOKUP($A216,PROPERTIES[VEHIDCODE],PROPERTIES[REGION2])</f>
        <v>NO_REGION</v>
      </c>
      <c r="F216" s="38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8" t="str">
        <f>_xlfn.XLOOKUP($A217,PROPERTIES[VEHIDCODE],PROPERTIES[REGION1])</f>
        <v>NORTH_AMERICA</v>
      </c>
      <c r="E217" s="38" t="str">
        <f>_xlfn.XLOOKUP($A217,PROPERTIES[VEHIDCODE],PROPERTIES[REGION2])</f>
        <v>NO_REGION</v>
      </c>
      <c r="F217" s="38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8" t="str">
        <f>_xlfn.XLOOKUP($A218,PROPERTIES[VEHIDCODE],PROPERTIES[REGION1])</f>
        <v>SOUTHERN_EUROPE</v>
      </c>
      <c r="E218" s="38" t="str">
        <f>_xlfn.XLOOKUP($A218,PROPERTIES[VEHIDCODE],PROPERTIES[REGION2])</f>
        <v>NO_REGION</v>
      </c>
      <c r="F218" s="38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8" t="str">
        <f>_xlfn.XLOOKUP($A219,PROPERTIES[VEHIDCODE],PROPERTIES[REGION1])</f>
        <v>NORTHERN_EUROPE</v>
      </c>
      <c r="E219" s="38" t="str">
        <f>_xlfn.XLOOKUP($A219,PROPERTIES[VEHIDCODE],PROPERTIES[REGION2])</f>
        <v>NO_REGION</v>
      </c>
      <c r="F219" s="38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8" t="str">
        <f>_xlfn.XLOOKUP($A220,PROPERTIES[VEHIDCODE],PROPERTIES[REGION1])</f>
        <v>ASIA</v>
      </c>
      <c r="E220" s="38" t="str">
        <f>_xlfn.XLOOKUP($A220,PROPERTIES[VEHIDCODE],PROPERTIES[REGION2])</f>
        <v>NO_REGION</v>
      </c>
      <c r="F220" s="38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8" t="str">
        <f>_xlfn.XLOOKUP($A221,PROPERTIES[VEHIDCODE],PROPERTIES[REGION1])</f>
        <v>OCEANIA</v>
      </c>
      <c r="E221" s="38" t="str">
        <f>_xlfn.XLOOKUP($A221,PROPERTIES[VEHIDCODE],PROPERTIES[REGION2])</f>
        <v>NO_REGION</v>
      </c>
      <c r="F221" s="38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8" t="str">
        <f>_xlfn.XLOOKUP($A222,PROPERTIES[VEHIDCODE],PROPERTIES[REGION1])</f>
        <v>NORTH_AMERICA</v>
      </c>
      <c r="E222" s="38" t="str">
        <f>_xlfn.XLOOKUP($A222,PROPERTIES[VEHIDCODE],PROPERTIES[REGION2])</f>
        <v>NO_REGION</v>
      </c>
      <c r="F222" s="38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8" t="str">
        <f>_xlfn.XLOOKUP($A223,PROPERTIES[VEHIDCODE],PROPERTIES[REGION1])</f>
        <v>ASIA</v>
      </c>
      <c r="E223" s="38" t="str">
        <f>_xlfn.XLOOKUP($A223,PROPERTIES[VEHIDCODE],PROPERTIES[REGION2])</f>
        <v>NO_REGION</v>
      </c>
      <c r="F223" s="38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8" t="str">
        <f>_xlfn.XLOOKUP($A224,PROPERTIES[VEHIDCODE],PROPERTIES[REGION1])</f>
        <v>SOUTH_AMERICA</v>
      </c>
      <c r="E224" s="38" t="str">
        <f>_xlfn.XLOOKUP($A224,PROPERTIES[VEHIDCODE],PROPERTIES[REGION2])</f>
        <v>NO_REGION</v>
      </c>
      <c r="F224" s="38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8" t="str">
        <f>_xlfn.XLOOKUP($A225,PROPERTIES[VEHIDCODE],PROPERTIES[REGION1])</f>
        <v>WESTERN_EUROPE</v>
      </c>
      <c r="E225" s="38" t="str">
        <f>_xlfn.XLOOKUP($A225,PROPERTIES[VEHIDCODE],PROPERTIES[REGION2])</f>
        <v>NO_REGION</v>
      </c>
      <c r="F225" s="38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8" t="str">
        <f>_xlfn.XLOOKUP($A226,PROPERTIES[VEHIDCODE],PROPERTIES[REGION1])</f>
        <v>NORTHERN_EUROPE</v>
      </c>
      <c r="E226" s="38" t="str">
        <f>_xlfn.XLOOKUP($A226,PROPERTIES[VEHIDCODE],PROPERTIES[REGION2])</f>
        <v>NO_REGION</v>
      </c>
      <c r="F226" s="38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8" t="str">
        <f>_xlfn.XLOOKUP($A227,PROPERTIES[VEHIDCODE],PROPERTIES[REGION1])</f>
        <v>NORTHERN_EUROPE</v>
      </c>
      <c r="E227" s="38" t="str">
        <f>_xlfn.XLOOKUP($A227,PROPERTIES[VEHIDCODE],PROPERTIES[REGION2])</f>
        <v>NO_REGION</v>
      </c>
      <c r="F227" s="38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8" t="str">
        <f>_xlfn.XLOOKUP($A228,PROPERTIES[VEHIDCODE],PROPERTIES[REGION1])</f>
        <v>ASIA</v>
      </c>
      <c r="E228" s="38" t="str">
        <f>_xlfn.XLOOKUP($A228,PROPERTIES[VEHIDCODE],PROPERTIES[REGION2])</f>
        <v>NO_REGION</v>
      </c>
      <c r="F228" s="38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8" t="str">
        <f>_xlfn.XLOOKUP($A229,PROPERTIES[VEHIDCODE],PROPERTIES[REGION1])</f>
        <v>EASTERN_EUROPE</v>
      </c>
      <c r="E229" s="38" t="str">
        <f>_xlfn.XLOOKUP($A229,PROPERTIES[VEHIDCODE],PROPERTIES[REGION2])</f>
        <v>NO_REGION</v>
      </c>
      <c r="F229" s="38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8" t="str">
        <f>_xlfn.XLOOKUP($A230,PROPERTIES[VEHIDCODE],PROPERTIES[REGION1])</f>
        <v>ASIA</v>
      </c>
      <c r="E230" s="38" t="str">
        <f>_xlfn.XLOOKUP($A230,PROPERTIES[VEHIDCODE],PROPERTIES[REGION2])</f>
        <v>NO_REGION</v>
      </c>
      <c r="F230" s="38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8" t="str">
        <f>_xlfn.XLOOKUP($A231,PROPERTIES[VEHIDCODE],PROPERTIES[REGION1])</f>
        <v>WESTERN_EUROPE</v>
      </c>
      <c r="E231" s="38" t="str">
        <f>_xlfn.XLOOKUP($A231,PROPERTIES[VEHIDCODE],PROPERTIES[REGION2])</f>
        <v>NO_REGION</v>
      </c>
      <c r="F231" s="38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8" t="str">
        <f>_xlfn.XLOOKUP($A232,PROPERTIES[VEHIDCODE],PROPERTIES[REGION1])</f>
        <v>ASIA</v>
      </c>
      <c r="E232" s="38" t="str">
        <f>_xlfn.XLOOKUP($A232,PROPERTIES[VEHIDCODE],PROPERTIES[REGION2])</f>
        <v>NO_REGION</v>
      </c>
      <c r="F232" s="38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8" t="str">
        <f>_xlfn.XLOOKUP($A233,PROPERTIES[VEHIDCODE],PROPERTIES[REGION1])</f>
        <v>ASIA</v>
      </c>
      <c r="E233" s="38" t="str">
        <f>_xlfn.XLOOKUP($A233,PROPERTIES[VEHIDCODE],PROPERTIES[REGION2])</f>
        <v>NO_REGION</v>
      </c>
      <c r="F233" s="38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8" t="str">
        <f>_xlfn.XLOOKUP($A234,PROPERTIES[VEHIDCODE],PROPERTIES[REGION1])</f>
        <v>WESTERN_EUROPE</v>
      </c>
      <c r="E234" s="38" t="str">
        <f>_xlfn.XLOOKUP($A234,PROPERTIES[VEHIDCODE],PROPERTIES[REGION2])</f>
        <v>NO_REGION</v>
      </c>
      <c r="F234" s="38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8" t="str">
        <f>_xlfn.XLOOKUP($A235,PROPERTIES[VEHIDCODE],PROPERTIES[REGION1])</f>
        <v>ASIA</v>
      </c>
      <c r="E235" s="38" t="str">
        <f>_xlfn.XLOOKUP($A235,PROPERTIES[VEHIDCODE],PROPERTIES[REGION2])</f>
        <v>NO_REGION</v>
      </c>
      <c r="F235" s="38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8" t="str">
        <f>_xlfn.XLOOKUP($A236,PROPERTIES[VEHIDCODE],PROPERTIES[REGION1])</f>
        <v>NORTH_AMERICA</v>
      </c>
      <c r="E236" s="38" t="str">
        <f>_xlfn.XLOOKUP($A236,PROPERTIES[VEHIDCODE],PROPERTIES[REGION2])</f>
        <v>NO_REGION</v>
      </c>
      <c r="F236" s="38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8" t="str">
        <f>_xlfn.XLOOKUP($A237,PROPERTIES[VEHIDCODE],PROPERTIES[REGION1])</f>
        <v>NORTHERN_EUROPE</v>
      </c>
      <c r="E237" s="38" t="str">
        <f>_xlfn.XLOOKUP($A237,PROPERTIES[VEHIDCODE],PROPERTIES[REGION2])</f>
        <v>NO_REGION</v>
      </c>
      <c r="F237" s="38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8" t="str">
        <f>_xlfn.XLOOKUP($A238,PROPERTIES[VEHIDCODE],PROPERTIES[REGION1])</f>
        <v>NORTH_AMERICA</v>
      </c>
      <c r="E238" s="38" t="str">
        <f>_xlfn.XLOOKUP($A238,PROPERTIES[VEHIDCODE],PROPERTIES[REGION2])</f>
        <v>NO_REGION</v>
      </c>
      <c r="F238" s="38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8" t="str">
        <f>_xlfn.XLOOKUP($A239,PROPERTIES[VEHIDCODE],PROPERTIES[REGION1])</f>
        <v>NORTH_AMERICA</v>
      </c>
      <c r="E239" s="38" t="str">
        <f>_xlfn.XLOOKUP($A239,PROPERTIES[VEHIDCODE],PROPERTIES[REGION2])</f>
        <v>NO_REGION</v>
      </c>
      <c r="F239" s="38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8" t="str">
        <f>_xlfn.XLOOKUP($A240,PROPERTIES[VEHIDCODE],PROPERTIES[REGION1])</f>
        <v>NORTHERN_EUROPE</v>
      </c>
      <c r="E240" s="38" t="str">
        <f>_xlfn.XLOOKUP($A240,PROPERTIES[VEHIDCODE],PROPERTIES[REGION2])</f>
        <v>NO_REGION</v>
      </c>
      <c r="F240" s="38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8" t="str">
        <f>_xlfn.XLOOKUP($A241,PROPERTIES[VEHIDCODE],PROPERTIES[REGION1])</f>
        <v>OCEANIA</v>
      </c>
      <c r="E241" s="38" t="str">
        <f>_xlfn.XLOOKUP($A241,PROPERTIES[VEHIDCODE],PROPERTIES[REGION2])</f>
        <v>NO_REGION</v>
      </c>
      <c r="F241" s="38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8" t="str">
        <f>_xlfn.XLOOKUP($A242,PROPERTIES[VEHIDCODE],PROPERTIES[REGION1])</f>
        <v>NORTH_AMERICA</v>
      </c>
      <c r="E242" s="38" t="str">
        <f>_xlfn.XLOOKUP($A242,PROPERTIES[VEHIDCODE],PROPERTIES[REGION2])</f>
        <v>NO_REGION</v>
      </c>
      <c r="F242" s="38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8" t="str">
        <f>_xlfn.XLOOKUP($A243,PROPERTIES[VEHIDCODE],PROPERTIES[REGION1])</f>
        <v>AFRICA</v>
      </c>
      <c r="E243" s="38" t="str">
        <f>_xlfn.XLOOKUP($A243,PROPERTIES[VEHIDCODE],PROPERTIES[REGION2])</f>
        <v>NO_REGION</v>
      </c>
      <c r="F243" s="38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8" t="str">
        <f>_xlfn.XLOOKUP($A244,PROPERTIES[VEHIDCODE],PROPERTIES[REGION1])</f>
        <v>NORTHERN_EUROPE</v>
      </c>
      <c r="E244" s="38" t="str">
        <f>_xlfn.XLOOKUP($A244,PROPERTIES[VEHIDCODE],PROPERTIES[REGION2])</f>
        <v>NO_REGION</v>
      </c>
      <c r="F244" s="38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8" t="str">
        <f>_xlfn.XLOOKUP($A245,PROPERTIES[VEHIDCODE],PROPERTIES[REGION1])</f>
        <v>SOUTH_AMERICA</v>
      </c>
      <c r="E245" s="38" t="str">
        <f>_xlfn.XLOOKUP($A245,PROPERTIES[VEHIDCODE],PROPERTIES[REGION2])</f>
        <v>NO_REGION</v>
      </c>
      <c r="F245" s="38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8" t="str">
        <f>_xlfn.XLOOKUP($A246,PROPERTIES[VEHIDCODE],PROPERTIES[REGION1])</f>
        <v>NORTH_AMERICA</v>
      </c>
      <c r="E246" s="38" t="str">
        <f>_xlfn.XLOOKUP($A246,PROPERTIES[VEHIDCODE],PROPERTIES[REGION2])</f>
        <v>NO_REGION</v>
      </c>
      <c r="F246" s="38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8" t="str">
        <f>_xlfn.XLOOKUP($A247,PROPERTIES[VEHIDCODE],PROPERTIES[REGION1])</f>
        <v>OCEANIA</v>
      </c>
      <c r="E247" s="38" t="str">
        <f>_xlfn.XLOOKUP($A247,PROPERTIES[VEHIDCODE],PROPERTIES[REGION2])</f>
        <v>NO_REGION</v>
      </c>
      <c r="F247" s="38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8" t="str">
        <f>_xlfn.XLOOKUP($A248,PROPERTIES[VEHIDCODE],PROPERTIES[REGION1])</f>
        <v>ASIA</v>
      </c>
      <c r="E248" s="38" t="str">
        <f>_xlfn.XLOOKUP($A248,PROPERTIES[VEHIDCODE],PROPERTIES[REGION2])</f>
        <v>NO_REGION</v>
      </c>
      <c r="F248" s="38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8" t="str">
        <f>_xlfn.XLOOKUP($A249,PROPERTIES[VEHIDCODE],PROPERTIES[REGION1])</f>
        <v>NORTHERN_EUROPE</v>
      </c>
      <c r="E249" s="38" t="str">
        <f>_xlfn.XLOOKUP($A249,PROPERTIES[VEHIDCODE],PROPERTIES[REGION2])</f>
        <v>NO_REGION</v>
      </c>
      <c r="F249" s="38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8" t="str">
        <f>_xlfn.XLOOKUP($A250,PROPERTIES[VEHIDCODE],PROPERTIES[REGION1])</f>
        <v>SOUTHERN_EUROPE</v>
      </c>
      <c r="E250" s="38" t="str">
        <f>_xlfn.XLOOKUP($A250,PROPERTIES[VEHIDCODE],PROPERTIES[REGION2])</f>
        <v>NO_REGION</v>
      </c>
      <c r="F250" s="38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8" t="str">
        <f>_xlfn.XLOOKUP($A251,PROPERTIES[VEHIDCODE],PROPERTIES[REGION1])</f>
        <v>OCEANIA</v>
      </c>
      <c r="E251" s="38" t="str">
        <f>_xlfn.XLOOKUP($A251,PROPERTIES[VEHIDCODE],PROPERTIES[REGION2])</f>
        <v>NO_REGION</v>
      </c>
      <c r="F251" s="38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8" t="str">
        <f>_xlfn.XLOOKUP($A252,PROPERTIES[VEHIDCODE],PROPERTIES[REGION1])</f>
        <v>AFRICA</v>
      </c>
      <c r="E252" s="38" t="str">
        <f>_xlfn.XLOOKUP($A252,PROPERTIES[VEHIDCODE],PROPERTIES[REGION2])</f>
        <v>NO_REGION</v>
      </c>
      <c r="F252" s="38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8" t="str">
        <f>_xlfn.XLOOKUP($A253,PROPERTIES[VEHIDCODE],PROPERTIES[REGION1])</f>
        <v>ASIA</v>
      </c>
      <c r="E253" s="38" t="str">
        <f>_xlfn.XLOOKUP($A253,PROPERTIES[VEHIDCODE],PROPERTIES[REGION2])</f>
        <v>NO_REGION</v>
      </c>
      <c r="F253" s="38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8" t="str">
        <f>_xlfn.XLOOKUP($A254,PROPERTIES[VEHIDCODE],PROPERTIES[REGION1])</f>
        <v>SOUTHERN_EUROPE</v>
      </c>
      <c r="E254" s="38" t="str">
        <f>_xlfn.XLOOKUP($A254,PROPERTIES[VEHIDCODE],PROPERTIES[REGION2])</f>
        <v>NO_REGION</v>
      </c>
      <c r="F254" s="38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8" t="str">
        <f>_xlfn.XLOOKUP($A255,PROPERTIES[VEHIDCODE],PROPERTIES[REGION1])</f>
        <v>NORTHERN_EUROPE</v>
      </c>
      <c r="E255" s="38" t="str">
        <f>_xlfn.XLOOKUP($A255,PROPERTIES[VEHIDCODE],PROPERTIES[REGION2])</f>
        <v>NO_REGION</v>
      </c>
      <c r="F255" s="38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8" t="str">
        <f>_xlfn.XLOOKUP($A256,PROPERTIES[VEHIDCODE],PROPERTIES[REGION1])</f>
        <v>ASIA</v>
      </c>
      <c r="E256" s="38" t="str">
        <f>_xlfn.XLOOKUP($A256,PROPERTIES[VEHIDCODE],PROPERTIES[REGION2])</f>
        <v>NO_REGION</v>
      </c>
      <c r="F256" s="38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8" t="str">
        <f>_xlfn.XLOOKUP($A257,PROPERTIES[VEHIDCODE],PROPERTIES[REGION1])</f>
        <v>OCEANIA</v>
      </c>
      <c r="E257" s="38" t="str">
        <f>_xlfn.XLOOKUP($A257,PROPERTIES[VEHIDCODE],PROPERTIES[REGION2])</f>
        <v>NO_REGION</v>
      </c>
      <c r="F257" s="38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8" t="str">
        <f>_xlfn.XLOOKUP($A258,PROPERTIES[VEHIDCODE],PROPERTIES[REGION1])</f>
        <v>NORTHERN_EUROPE</v>
      </c>
      <c r="E258" s="38" t="str">
        <f>_xlfn.XLOOKUP($A258,PROPERTIES[VEHIDCODE],PROPERTIES[REGION2])</f>
        <v>NO_REGION</v>
      </c>
      <c r="F258" s="38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8" t="str">
        <f>_xlfn.XLOOKUP($A259,PROPERTIES[VEHIDCODE],PROPERTIES[REGION1])</f>
        <v>OCEANIA</v>
      </c>
      <c r="E259" s="38" t="str">
        <f>_xlfn.XLOOKUP($A259,PROPERTIES[VEHIDCODE],PROPERTIES[REGION2])</f>
        <v>NO_REGION</v>
      </c>
      <c r="F259" s="38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8" t="str">
        <f>_xlfn.XLOOKUP($A260,PROPERTIES[VEHIDCODE],PROPERTIES[REGION1])</f>
        <v>ASIA</v>
      </c>
      <c r="E260" s="38" t="str">
        <f>_xlfn.XLOOKUP($A260,PROPERTIES[VEHIDCODE],PROPERTIES[REGION2])</f>
        <v>NO_REGION</v>
      </c>
      <c r="F260" s="38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8" t="str">
        <f>_xlfn.XLOOKUP($A261,PROPERTIES[VEHIDCODE],PROPERTIES[REGION1])</f>
        <v>NORTHERN_EUROPE</v>
      </c>
      <c r="E261" s="38" t="str">
        <f>_xlfn.XLOOKUP($A261,PROPERTIES[VEHIDCODE],PROPERTIES[REGION2])</f>
        <v>NO_REGION</v>
      </c>
      <c r="F261" s="38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8" t="str">
        <f>_xlfn.XLOOKUP($A262,PROPERTIES[VEHIDCODE],PROPERTIES[REGION1])</f>
        <v>NORTH_AMERICA</v>
      </c>
      <c r="E262" s="38" t="str">
        <f>_xlfn.XLOOKUP($A262,PROPERTIES[VEHIDCODE],PROPERTIES[REGION2])</f>
        <v>NO_REGION</v>
      </c>
      <c r="F262" s="38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8" t="str">
        <f>_xlfn.XLOOKUP($A263,PROPERTIES[VEHIDCODE],PROPERTIES[REGION1])</f>
        <v>WESTERN_EUROPE</v>
      </c>
      <c r="E263" s="38" t="str">
        <f>_xlfn.XLOOKUP($A263,PROPERTIES[VEHIDCODE],PROPERTIES[REGION2])</f>
        <v>NO_REGION</v>
      </c>
      <c r="F263" s="38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8" t="str">
        <f>_xlfn.XLOOKUP($A264,PROPERTIES[VEHIDCODE],PROPERTIES[REGION1])</f>
        <v>SOUTHERN_EUROPE</v>
      </c>
      <c r="E264" s="38" t="str">
        <f>_xlfn.XLOOKUP($A264,PROPERTIES[VEHIDCODE],PROPERTIES[REGION2])</f>
        <v>NO_REGION</v>
      </c>
      <c r="F264" s="38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8" t="str">
        <f>_xlfn.XLOOKUP($A265,PROPERTIES[VEHIDCODE],PROPERTIES[REGION1])</f>
        <v>NORTH_AMERICA</v>
      </c>
      <c r="E265" s="38" t="str">
        <f>_xlfn.XLOOKUP($A265,PROPERTIES[VEHIDCODE],PROPERTIES[REGION2])</f>
        <v>NO_REGION</v>
      </c>
      <c r="F265" s="38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8" t="str">
        <f>_xlfn.XLOOKUP($A266,PROPERTIES[VEHIDCODE],PROPERTIES[REGION1])</f>
        <v>SOUTHERN_EUROPE</v>
      </c>
      <c r="E266" s="38" t="str">
        <f>_xlfn.XLOOKUP($A266,PROPERTIES[VEHIDCODE],PROPERTIES[REGION2])</f>
        <v>NO_REGION</v>
      </c>
      <c r="F266" s="38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8" t="str">
        <f>_xlfn.XLOOKUP($A267,PROPERTIES[VEHIDCODE],PROPERTIES[REGION1])</f>
        <v>OCEANIA</v>
      </c>
      <c r="E267" s="38" t="str">
        <f>_xlfn.XLOOKUP($A267,PROPERTIES[VEHIDCODE],PROPERTIES[REGION2])</f>
        <v>NO_REGION</v>
      </c>
      <c r="F267" s="38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8" t="str">
        <f>_xlfn.XLOOKUP($A268,PROPERTIES[VEHIDCODE],PROPERTIES[REGION1])</f>
        <v>SOUTH_AMERICA</v>
      </c>
      <c r="E268" s="38" t="str">
        <f>_xlfn.XLOOKUP($A268,PROPERTIES[VEHIDCODE],PROPERTIES[REGION2])</f>
        <v>NO_REGION</v>
      </c>
      <c r="F268" s="38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8" t="str">
        <f>_xlfn.XLOOKUP($A269,PROPERTIES[VEHIDCODE],PROPERTIES[REGION1])</f>
        <v>SOUTH_AMERICA</v>
      </c>
      <c r="E269" s="38" t="str">
        <f>_xlfn.XLOOKUP($A269,PROPERTIES[VEHIDCODE],PROPERTIES[REGION2])</f>
        <v>NO_REGION</v>
      </c>
      <c r="F269" s="38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8" t="str">
        <f>_xlfn.XLOOKUP($A270,PROPERTIES[VEHIDCODE],PROPERTIES[REGION1])</f>
        <v>SOUTH_AMERICA</v>
      </c>
      <c r="E270" s="38" t="str">
        <f>_xlfn.XLOOKUP($A270,PROPERTIES[VEHIDCODE],PROPERTIES[REGION2])</f>
        <v>NO_REGION</v>
      </c>
      <c r="F270" s="38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8" t="str">
        <f>_xlfn.XLOOKUP($A271,PROPERTIES[VEHIDCODE],PROPERTIES[REGION1])</f>
        <v>SOUTH_AMERICA</v>
      </c>
      <c r="E271" s="38" t="str">
        <f>_xlfn.XLOOKUP($A271,PROPERTIES[VEHIDCODE],PROPERTIES[REGION2])</f>
        <v>NO_REGION</v>
      </c>
      <c r="F271" s="38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8" t="str">
        <f>_xlfn.XLOOKUP($A272,PROPERTIES[VEHIDCODE],PROPERTIES[REGION1])</f>
        <v>SOUTH_AMERICA</v>
      </c>
      <c r="E272" s="38" t="str">
        <f>_xlfn.XLOOKUP($A272,PROPERTIES[VEHIDCODE],PROPERTIES[REGION2])</f>
        <v>NO_REGION</v>
      </c>
      <c r="F272" s="38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8" t="str">
        <f>_xlfn.XLOOKUP($A273,PROPERTIES[VEHIDCODE],PROPERTIES[REGION1])</f>
        <v>SOUTH_AMERICA</v>
      </c>
      <c r="E273" s="38" t="str">
        <f>_xlfn.XLOOKUP($A273,PROPERTIES[VEHIDCODE],PROPERTIES[REGION2])</f>
        <v>NO_REGION</v>
      </c>
      <c r="F273" s="38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8" t="str">
        <f>_xlfn.XLOOKUP($A274,PROPERTIES[VEHIDCODE],PROPERTIES[REGION1])</f>
        <v>SOUTH_AMERICA</v>
      </c>
      <c r="E274" s="38" t="str">
        <f>_xlfn.XLOOKUP($A274,PROPERTIES[VEHIDCODE],PROPERTIES[REGION2])</f>
        <v>NO_REGION</v>
      </c>
      <c r="F274" s="38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8" t="str">
        <f>_xlfn.XLOOKUP($A275,PROPERTIES[VEHIDCODE],PROPERTIES[REGION1])</f>
        <v>SOUTH_AMERICA</v>
      </c>
      <c r="E275" s="38" t="str">
        <f>_xlfn.XLOOKUP($A275,PROPERTIES[VEHIDCODE],PROPERTIES[REGION2])</f>
        <v>NO_REGION</v>
      </c>
      <c r="F275" s="38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8" t="str">
        <f>_xlfn.XLOOKUP($A276,PROPERTIES[VEHIDCODE],PROPERTIES[REGION1])</f>
        <v>AFRICA</v>
      </c>
      <c r="E276" s="38" t="str">
        <f>_xlfn.XLOOKUP($A276,PROPERTIES[VEHIDCODE],PROPERTIES[REGION2])</f>
        <v>NO_REGION</v>
      </c>
      <c r="F276" s="38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8" t="str">
        <f>_xlfn.XLOOKUP($A277,PROPERTIES[VEHIDCODE],PROPERTIES[REGION1])</f>
        <v>AFRICA</v>
      </c>
      <c r="E277" s="38" t="str">
        <f>_xlfn.XLOOKUP($A277,PROPERTIES[VEHIDCODE],PROPERTIES[REGION2])</f>
        <v>NO_REGION</v>
      </c>
      <c r="F277" s="38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8" t="str">
        <f>_xlfn.XLOOKUP($A278,PROPERTIES[VEHIDCODE],PROPERTIES[REGION1])</f>
        <v>AFRICA</v>
      </c>
      <c r="E278" s="38" t="str">
        <f>_xlfn.XLOOKUP($A278,PROPERTIES[VEHIDCODE],PROPERTIES[REGION2])</f>
        <v>NO_REGION</v>
      </c>
      <c r="F278" s="38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8" t="str">
        <f>_xlfn.XLOOKUP($A279,PROPERTIES[VEHIDCODE],PROPERTIES[REGION1])</f>
        <v>AFRICA</v>
      </c>
      <c r="E279" s="38" t="str">
        <f>_xlfn.XLOOKUP($A279,PROPERTIES[VEHIDCODE],PROPERTIES[REGION2])</f>
        <v>NO_REGION</v>
      </c>
      <c r="F279" s="38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8" t="str">
        <f>_xlfn.XLOOKUP($A280,PROPERTIES[VEHIDCODE],PROPERTIES[REGION1])</f>
        <v>AFRICA</v>
      </c>
      <c r="E280" s="38" t="str">
        <f>_xlfn.XLOOKUP($A280,PROPERTIES[VEHIDCODE],PROPERTIES[REGION2])</f>
        <v>NO_REGION</v>
      </c>
      <c r="F280" s="38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8" t="str">
        <f>_xlfn.XLOOKUP($A281,PROPERTIES[VEHIDCODE],PROPERTIES[REGION1])</f>
        <v>AFRICA</v>
      </c>
      <c r="E281" s="38" t="str">
        <f>_xlfn.XLOOKUP($A281,PROPERTIES[VEHIDCODE],PROPERTIES[REGION2])</f>
        <v>NO_REGION</v>
      </c>
      <c r="F281" s="38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8" t="str">
        <f>_xlfn.XLOOKUP($A282,PROPERTIES[VEHIDCODE],PROPERTIES[REGION1])</f>
        <v>EASTERN_EUROPE</v>
      </c>
      <c r="E282" s="38" t="str">
        <f>_xlfn.XLOOKUP($A282,PROPERTIES[VEHIDCODE],PROPERTIES[REGION2])</f>
        <v>NO_REGION</v>
      </c>
      <c r="F282" s="38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8" t="str">
        <f>_xlfn.XLOOKUP($A283,PROPERTIES[VEHIDCODE],PROPERTIES[REGION1])</f>
        <v>EASTERN_EUROPE</v>
      </c>
      <c r="E283" s="38" t="str">
        <f>_xlfn.XLOOKUP($A283,PROPERTIES[VEHIDCODE],PROPERTIES[REGION2])</f>
        <v>NO_REGION</v>
      </c>
      <c r="F283" s="38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8" t="str">
        <f>_xlfn.XLOOKUP($A284,PROPERTIES[VEHIDCODE],PROPERTIES[REGION1])</f>
        <v>EASTERN_EUROPE</v>
      </c>
      <c r="E284" s="38" t="str">
        <f>_xlfn.XLOOKUP($A284,PROPERTIES[VEHIDCODE],PROPERTIES[REGION2])</f>
        <v>NO_REGION</v>
      </c>
      <c r="F284" s="38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8" t="str">
        <f>_xlfn.XLOOKUP($A285,PROPERTIES[VEHIDCODE],PROPERTIES[REGION1])</f>
        <v>EASTERN_EUROPE</v>
      </c>
      <c r="E285" s="38" t="str">
        <f>_xlfn.XLOOKUP($A285,PROPERTIES[VEHIDCODE],PROPERTIES[REGION2])</f>
        <v>NO_REGION</v>
      </c>
      <c r="F285" s="38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8" t="str">
        <f>_xlfn.XLOOKUP($A286,PROPERTIES[VEHIDCODE],PROPERTIES[REGION1])</f>
        <v>EASTERN_EUROPE</v>
      </c>
      <c r="E286" s="38" t="str">
        <f>_xlfn.XLOOKUP($A286,PROPERTIES[VEHIDCODE],PROPERTIES[REGION2])</f>
        <v>NO_REGION</v>
      </c>
      <c r="F286" s="38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8" t="str">
        <f>_xlfn.XLOOKUP($A287,PROPERTIES[VEHIDCODE],PROPERTIES[REGION1])</f>
        <v>EASTERN_EUROPE</v>
      </c>
      <c r="E287" s="38" t="str">
        <f>_xlfn.XLOOKUP($A287,PROPERTIES[VEHIDCODE],PROPERTIES[REGION2])</f>
        <v>NO_REGION</v>
      </c>
      <c r="F287" s="38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8" t="str">
        <f>_xlfn.XLOOKUP($A288,PROPERTIES[VEHIDCODE],PROPERTIES[REGION1])</f>
        <v>SOUTHERN_EUROPE</v>
      </c>
      <c r="E288" s="38" t="str">
        <f>_xlfn.XLOOKUP($A288,PROPERTIES[VEHIDCODE],PROPERTIES[REGION2])</f>
        <v>NO_REGION</v>
      </c>
      <c r="F288" s="38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8" t="str">
        <f>_xlfn.XLOOKUP($A289,PROPERTIES[VEHIDCODE],PROPERTIES[REGION1])</f>
        <v>ASIA</v>
      </c>
      <c r="E289" s="38" t="str">
        <f>_xlfn.XLOOKUP($A289,PROPERTIES[VEHIDCODE],PROPERTIES[REGION2])</f>
        <v>NO_REGION</v>
      </c>
      <c r="F289" s="38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8" t="str">
        <f>_xlfn.XLOOKUP($A290,PROPERTIES[VEHIDCODE],PROPERTIES[REGION1])</f>
        <v>SOUTHERN_EUROPE</v>
      </c>
      <c r="E290" s="38" t="str">
        <f>_xlfn.XLOOKUP($A290,PROPERTIES[VEHIDCODE],PROPERTIES[REGION2])</f>
        <v>NO_REGION</v>
      </c>
      <c r="F290" s="38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8" t="str">
        <f>_xlfn.XLOOKUP($A291,PROPERTIES[VEHIDCODE],PROPERTIES[REGION1])</f>
        <v>WESTERN_EUROPE</v>
      </c>
      <c r="E291" s="38" t="str">
        <f>_xlfn.XLOOKUP($A291,PROPERTIES[VEHIDCODE],PROPERTIES[REGION2])</f>
        <v>NO_REGION</v>
      </c>
      <c r="F291" s="38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8" t="str">
        <f>_xlfn.XLOOKUP($A292,PROPERTIES[VEHIDCODE],PROPERTIES[REGION1])</f>
        <v>WESTERN_EUROPE</v>
      </c>
      <c r="E292" s="38" t="str">
        <f>_xlfn.XLOOKUP($A292,PROPERTIES[VEHIDCODE],PROPERTIES[REGION2])</f>
        <v>NO_REGION</v>
      </c>
      <c r="F292" s="38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8" t="str">
        <f>_xlfn.XLOOKUP($A293,PROPERTIES[VEHIDCODE],PROPERTIES[REGION1])</f>
        <v>AFRICA</v>
      </c>
      <c r="E293" s="38" t="str">
        <f>_xlfn.XLOOKUP($A293,PROPERTIES[VEHIDCODE],PROPERTIES[REGION2])</f>
        <v>NO_REGION</v>
      </c>
      <c r="F293" s="38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8" t="str">
        <f>_xlfn.XLOOKUP($A294,PROPERTIES[VEHIDCODE],PROPERTIES[REGION1])</f>
        <v>AFRICA</v>
      </c>
      <c r="E294" s="38" t="str">
        <f>_xlfn.XLOOKUP($A294,PROPERTIES[VEHIDCODE],PROPERTIES[REGION2])</f>
        <v>NO_REGION</v>
      </c>
      <c r="F294" s="38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8" t="str">
        <f>_xlfn.XLOOKUP($A295,PROPERTIES[VEHIDCODE],PROPERTIES[REGION1])</f>
        <v>SOUTHERN_EUROPE</v>
      </c>
      <c r="E295" s="38" t="str">
        <f>_xlfn.XLOOKUP($A295,PROPERTIES[VEHIDCODE],PROPERTIES[REGION2])</f>
        <v>NO_REGION</v>
      </c>
      <c r="F295" s="38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8" t="str">
        <f>_xlfn.XLOOKUP($A296,PROPERTIES[VEHIDCODE],PROPERTIES[REGION1])</f>
        <v>OCEANIA</v>
      </c>
      <c r="E296" s="38" t="str">
        <f>_xlfn.XLOOKUP($A296,PROPERTIES[VEHIDCODE],PROPERTIES[REGION2])</f>
        <v>NO_REGION</v>
      </c>
      <c r="F296" s="38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8" t="str">
        <f>_xlfn.XLOOKUP($A297,PROPERTIES[VEHIDCODE],PROPERTIES[REGION1])</f>
        <v>NORTHERN_EUROPE</v>
      </c>
      <c r="E297" s="38" t="str">
        <f>_xlfn.XLOOKUP($A297,PROPERTIES[VEHIDCODE],PROPERTIES[REGION2])</f>
        <v>NO_REGION</v>
      </c>
      <c r="F297" s="38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8" t="str">
        <f>_xlfn.XLOOKUP($A298,PROPERTIES[VEHIDCODE],PROPERTIES[REGION1])</f>
        <v>OCEANIA</v>
      </c>
      <c r="E298" s="38" t="str">
        <f>_xlfn.XLOOKUP($A298,PROPERTIES[VEHIDCODE],PROPERTIES[REGION2])</f>
        <v>NO_REGION</v>
      </c>
      <c r="F298" s="38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8" t="str">
        <f>_xlfn.XLOOKUP($A299,PROPERTIES[VEHIDCODE],PROPERTIES[REGION1])</f>
        <v>NORTHERN_EUROPE</v>
      </c>
      <c r="E299" s="38" t="str">
        <f>_xlfn.XLOOKUP($A299,PROPERTIES[VEHIDCODE],PROPERTIES[REGION2])</f>
        <v>NO_REGION</v>
      </c>
      <c r="F299" s="38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8" t="str">
        <f>_xlfn.XLOOKUP($A300,PROPERTIES[VEHIDCODE],PROPERTIES[REGION1])</f>
        <v>NORTH_AMERICA</v>
      </c>
      <c r="E300" s="38" t="str">
        <f>_xlfn.XLOOKUP($A300,PROPERTIES[VEHIDCODE],PROPERTIES[REGION2])</f>
        <v>NO_REGION</v>
      </c>
      <c r="F300" s="38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8" t="str">
        <f>_xlfn.XLOOKUP($A301,PROPERTIES[VEHIDCODE],PROPERTIES[REGION1])</f>
        <v>SOUTH_AMERICA</v>
      </c>
      <c r="E301" s="38" t="str">
        <f>_xlfn.XLOOKUP($A301,PROPERTIES[VEHIDCODE],PROPERTIES[REGION2])</f>
        <v>NO_REGION</v>
      </c>
      <c r="F301" s="38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8" t="str">
        <f>_xlfn.XLOOKUP($A302,PROPERTIES[VEHIDCODE],PROPERTIES[REGION1])</f>
        <v>NORTH_AMERICA</v>
      </c>
      <c r="E302" s="38" t="str">
        <f>_xlfn.XLOOKUP($A302,PROPERTIES[VEHIDCODE],PROPERTIES[REGION2])</f>
        <v>NO_REGION</v>
      </c>
      <c r="F302" s="38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8" t="str">
        <f>_xlfn.XLOOKUP($A303,PROPERTIES[VEHIDCODE],PROPERTIES[REGION1])</f>
        <v>WESTERN_EUROPE</v>
      </c>
      <c r="E303" s="38" t="str">
        <f>_xlfn.XLOOKUP($A303,PROPERTIES[VEHIDCODE],PROPERTIES[REGION2])</f>
        <v>NO_REGION</v>
      </c>
      <c r="F303" s="38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8" t="str">
        <f>_xlfn.XLOOKUP($A304,PROPERTIES[VEHIDCODE],PROPERTIES[REGION1])</f>
        <v>WESTERN_EUROPE</v>
      </c>
      <c r="E304" s="38" t="str">
        <f>_xlfn.XLOOKUP($A304,PROPERTIES[VEHIDCODE],PROPERTIES[REGION2])</f>
        <v>NO_REGION</v>
      </c>
      <c r="F304" s="38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8" t="str">
        <f>_xlfn.XLOOKUP($A305,PROPERTIES[VEHIDCODE],PROPERTIES[REGION1])</f>
        <v>SOUTHERN_EUROPE</v>
      </c>
      <c r="E305" s="38" t="str">
        <f>_xlfn.XLOOKUP($A305,PROPERTIES[VEHIDCODE],PROPERTIES[REGION2])</f>
        <v>NO_REGION</v>
      </c>
      <c r="F305" s="38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8" t="str">
        <f>_xlfn.XLOOKUP($A306,PROPERTIES[VEHIDCODE],PROPERTIES[REGION1])</f>
        <v>EASTERN_EUROPE</v>
      </c>
      <c r="E306" s="38" t="str">
        <f>_xlfn.XLOOKUP($A306,PROPERTIES[VEHIDCODE],PROPERTIES[REGION2])</f>
        <v>NO_REGION</v>
      </c>
      <c r="F306" s="38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8" t="str">
        <f>_xlfn.XLOOKUP($A307,PROPERTIES[VEHIDCODE],PROPERTIES[REGION1])</f>
        <v>NORTHERN_EUROPE</v>
      </c>
      <c r="E307" s="38" t="str">
        <f>_xlfn.XLOOKUP($A307,PROPERTIES[VEHIDCODE],PROPERTIES[REGION2])</f>
        <v>NO_REGION</v>
      </c>
      <c r="F307" s="38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8" t="str">
        <f>_xlfn.XLOOKUP($A308,PROPERTIES[VEHIDCODE],PROPERTIES[REGION1])</f>
        <v>NORTH_AMERICA</v>
      </c>
      <c r="E308" s="38" t="str">
        <f>_xlfn.XLOOKUP($A308,PROPERTIES[VEHIDCODE],PROPERTIES[REGION2])</f>
        <v>NO_REGION</v>
      </c>
      <c r="F308" s="38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8" t="str">
        <f>_xlfn.XLOOKUP($A309,PROPERTIES[VEHIDCODE],PROPERTIES[REGION1])</f>
        <v>WESTERN_EUROPE</v>
      </c>
      <c r="E309" s="38" t="str">
        <f>_xlfn.XLOOKUP($A309,PROPERTIES[VEHIDCODE],PROPERTIES[REGION2])</f>
        <v>NO_REGION</v>
      </c>
      <c r="F309" s="38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8" t="str">
        <f>_xlfn.XLOOKUP($A310,PROPERTIES[VEHIDCODE],PROPERTIES[REGION1])</f>
        <v>NORTH_AMERICA</v>
      </c>
      <c r="E310" s="38" t="str">
        <f>_xlfn.XLOOKUP($A310,PROPERTIES[VEHIDCODE],PROPERTIES[REGION2])</f>
        <v>NO_REGION</v>
      </c>
      <c r="F310" s="38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8" t="str">
        <f>_xlfn.XLOOKUP($A311,PROPERTIES[VEHIDCODE],PROPERTIES[REGION1])</f>
        <v>WESTERN_EUROPE</v>
      </c>
      <c r="E311" s="38" t="str">
        <f>_xlfn.XLOOKUP($A311,PROPERTIES[VEHIDCODE],PROPERTIES[REGION2])</f>
        <v>NO_REGION</v>
      </c>
      <c r="F311" s="38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8" t="str">
        <f>_xlfn.XLOOKUP($A312,PROPERTIES[VEHIDCODE],PROPERTIES[REGION1])</f>
        <v>NORTHERN_EUROPE</v>
      </c>
      <c r="E312" s="38" t="str">
        <f>_xlfn.XLOOKUP($A312,PROPERTIES[VEHIDCODE],PROPERTIES[REGION2])</f>
        <v>NO_REGION</v>
      </c>
      <c r="F312" s="38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8" t="str">
        <f>_xlfn.XLOOKUP($A313,PROPERTIES[VEHIDCODE],PROPERTIES[REGION1])</f>
        <v>ASIA</v>
      </c>
      <c r="E313" s="38" t="str">
        <f>_xlfn.XLOOKUP($A313,PROPERTIES[VEHIDCODE],PROPERTIES[REGION2])</f>
        <v>NO_REGION</v>
      </c>
      <c r="F313" s="38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8" t="str">
        <f>_xlfn.XLOOKUP($A314,PROPERTIES[VEHIDCODE],PROPERTIES[REGION1])</f>
        <v>NORTHERN_EUROPE</v>
      </c>
      <c r="E314" s="38" t="str">
        <f>_xlfn.XLOOKUP($A314,PROPERTIES[VEHIDCODE],PROPERTIES[REGION2])</f>
        <v>NO_REGION</v>
      </c>
      <c r="F314" s="38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8" t="str">
        <f>_xlfn.XLOOKUP($A315,PROPERTIES[VEHIDCODE],PROPERTIES[REGION1])</f>
        <v>SOUTH_AMERICA</v>
      </c>
      <c r="E315" s="38" t="str">
        <f>_xlfn.XLOOKUP($A315,PROPERTIES[VEHIDCODE],PROPERTIES[REGION2])</f>
        <v>NO_REGION</v>
      </c>
      <c r="F315" s="38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8" t="str">
        <f>_xlfn.XLOOKUP($A316,PROPERTIES[VEHIDCODE],PROPERTIES[REGION1])</f>
        <v>ASIA</v>
      </c>
      <c r="E316" s="38" t="str">
        <f>_xlfn.XLOOKUP($A316,PROPERTIES[VEHIDCODE],PROPERTIES[REGION2])</f>
        <v>NO_REGION</v>
      </c>
      <c r="F316" s="38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8" t="str">
        <f>_xlfn.XLOOKUP($A317,PROPERTIES[VEHIDCODE],PROPERTIES[REGION1])</f>
        <v>ASIA</v>
      </c>
      <c r="E317" s="38" t="str">
        <f>_xlfn.XLOOKUP($A317,PROPERTIES[VEHIDCODE],PROPERTIES[REGION2])</f>
        <v>NO_REGION</v>
      </c>
      <c r="F317" s="38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8" t="str">
        <f>_xlfn.XLOOKUP($A318,PROPERTIES[VEHIDCODE],PROPERTIES[REGION1])</f>
        <v>AFRICA</v>
      </c>
      <c r="E318" s="38" t="str">
        <f>_xlfn.XLOOKUP($A318,PROPERTIES[VEHIDCODE],PROPERTIES[REGION2])</f>
        <v>NO_REGION</v>
      </c>
      <c r="F318" s="38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8" t="str">
        <f>_xlfn.XLOOKUP($A319,PROPERTIES[VEHIDCODE],PROPERTIES[REGION1])</f>
        <v>NORTHERN_EUROPE</v>
      </c>
      <c r="E319" s="38" t="str">
        <f>_xlfn.XLOOKUP($A319,PROPERTIES[VEHIDCODE],PROPERTIES[REGION2])</f>
        <v>NO_REGION</v>
      </c>
      <c r="F319" s="38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8" t="str">
        <f>_xlfn.XLOOKUP($A320,PROPERTIES[VEHIDCODE],PROPERTIES[REGION1])</f>
        <v>ASIA</v>
      </c>
      <c r="E320" s="38" t="str">
        <f>_xlfn.XLOOKUP($A320,PROPERTIES[VEHIDCODE],PROPERTIES[REGION2])</f>
        <v>NO_REGION</v>
      </c>
      <c r="F320" s="38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8" t="str">
        <f>_xlfn.XLOOKUP($A321,PROPERTIES[VEHIDCODE],PROPERTIES[REGION1])</f>
        <v>NORTH_AMERICA</v>
      </c>
      <c r="E321" s="38" t="str">
        <f>_xlfn.XLOOKUP($A321,PROPERTIES[VEHIDCODE],PROPERTIES[REGION2])</f>
        <v>NO_REGION</v>
      </c>
      <c r="F321" s="38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8" t="str">
        <f>_xlfn.XLOOKUP($A322,PROPERTIES[VEHIDCODE],PROPERTIES[REGION1])</f>
        <v>NORTH_AMERICA</v>
      </c>
      <c r="E322" s="38" t="str">
        <f>_xlfn.XLOOKUP($A322,PROPERTIES[VEHIDCODE],PROPERTIES[REGION2])</f>
        <v>NO_REGION</v>
      </c>
      <c r="F322" s="38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8" t="str">
        <f>_xlfn.XLOOKUP($A323,PROPERTIES[VEHIDCODE],PROPERTIES[REGION1])</f>
        <v>ASIA</v>
      </c>
      <c r="E323" s="38" t="str">
        <f>_xlfn.XLOOKUP($A323,PROPERTIES[VEHIDCODE],PROPERTIES[REGION2])</f>
        <v>NO_REGION</v>
      </c>
      <c r="F323" s="38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8" t="str">
        <f>_xlfn.XLOOKUP($A324,PROPERTIES[VEHIDCODE],PROPERTIES[REGION1])</f>
        <v>WESTERN_EUROPE</v>
      </c>
      <c r="E324" s="38" t="str">
        <f>_xlfn.XLOOKUP($A324,PROPERTIES[VEHIDCODE],PROPERTIES[REGION2])</f>
        <v>NO_REGION</v>
      </c>
      <c r="F324" s="38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8" t="str">
        <f>_xlfn.XLOOKUP($A325,PROPERTIES[VEHIDCODE],PROPERTIES[REGION1])</f>
        <v>WESTERN_EUROPE</v>
      </c>
      <c r="E325" s="38" t="str">
        <f>_xlfn.XLOOKUP($A325,PROPERTIES[VEHIDCODE],PROPERTIES[REGION2])</f>
        <v>NO_REGION</v>
      </c>
      <c r="F325" s="38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8" t="str">
        <f>_xlfn.XLOOKUP($A326,PROPERTIES[VEHIDCODE],PROPERTIES[REGION1])</f>
        <v>ASIA</v>
      </c>
      <c r="E326" s="38" t="str">
        <f>_xlfn.XLOOKUP($A326,PROPERTIES[VEHIDCODE],PROPERTIES[REGION2])</f>
        <v>NO_REGION</v>
      </c>
      <c r="F326" s="38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8" t="str">
        <f>_xlfn.XLOOKUP($A327,PROPERTIES[VEHIDCODE],PROPERTIES[REGION1])</f>
        <v>ASIA</v>
      </c>
      <c r="E327" s="38" t="str">
        <f>_xlfn.XLOOKUP($A327,PROPERTIES[VEHIDCODE],PROPERTIES[REGION2])</f>
        <v>NO_REGION</v>
      </c>
      <c r="F327" s="38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8" t="str">
        <f>_xlfn.XLOOKUP($A328,PROPERTIES[VEHIDCODE],PROPERTIES[REGION1])</f>
        <v>NORTHERN_EUROPE</v>
      </c>
      <c r="E328" s="38" t="str">
        <f>_xlfn.XLOOKUP($A328,PROPERTIES[VEHIDCODE],PROPERTIES[REGION2])</f>
        <v>NO_REGION</v>
      </c>
      <c r="F328" s="38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8" t="str">
        <f>_xlfn.XLOOKUP($A329,PROPERTIES[VEHIDCODE],PROPERTIES[REGION1])</f>
        <v>ASIA</v>
      </c>
      <c r="E329" s="38" t="str">
        <f>_xlfn.XLOOKUP($A329,PROPERTIES[VEHIDCODE],PROPERTIES[REGION2])</f>
        <v>NO_REGION</v>
      </c>
      <c r="F329" s="38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8" t="str">
        <f>_xlfn.XLOOKUP($A330,PROPERTIES[VEHIDCODE],PROPERTIES[REGION1])</f>
        <v>ASIA</v>
      </c>
      <c r="E330" s="38" t="str">
        <f>_xlfn.XLOOKUP($A330,PROPERTIES[VEHIDCODE],PROPERTIES[REGION2])</f>
        <v>NO_REGION</v>
      </c>
      <c r="F330" s="38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8" t="str">
        <f>_xlfn.XLOOKUP($A331,PROPERTIES[VEHIDCODE],PROPERTIES[REGION1])</f>
        <v>NORTH_AMERICA</v>
      </c>
      <c r="E331" s="38" t="str">
        <f>_xlfn.XLOOKUP($A331,PROPERTIES[VEHIDCODE],PROPERTIES[REGION2])</f>
        <v>NO_REGION</v>
      </c>
      <c r="F331" s="38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8" t="str">
        <f>_xlfn.XLOOKUP($A332,PROPERTIES[VEHIDCODE],PROPERTIES[REGION1])</f>
        <v>SOUTHERN_EUROPE</v>
      </c>
      <c r="E332" s="38" t="str">
        <f>_xlfn.XLOOKUP($A332,PROPERTIES[VEHIDCODE],PROPERTIES[REGION2])</f>
        <v>NO_REGION</v>
      </c>
      <c r="F332" s="38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8" t="str">
        <f>_xlfn.XLOOKUP($A333,PROPERTIES[VEHIDCODE],PROPERTIES[REGION1])</f>
        <v>WESTERN_EUROPE</v>
      </c>
      <c r="E333" s="38" t="str">
        <f>_xlfn.XLOOKUP($A333,PROPERTIES[VEHIDCODE],PROPERTIES[REGION2])</f>
        <v>NO_REGION</v>
      </c>
      <c r="F333" s="38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8" t="str">
        <f>_xlfn.XLOOKUP($A334,PROPERTIES[VEHIDCODE],PROPERTIES[REGION1])</f>
        <v>NORTH_AMERICA</v>
      </c>
      <c r="E334" s="38" t="str">
        <f>_xlfn.XLOOKUP($A334,PROPERTIES[VEHIDCODE],PROPERTIES[REGION2])</f>
        <v>NO_REGION</v>
      </c>
      <c r="F334" s="38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8" t="str">
        <f>_xlfn.XLOOKUP($A335,PROPERTIES[VEHIDCODE],PROPERTIES[REGION1])</f>
        <v>ASIA</v>
      </c>
      <c r="E335" s="38" t="str">
        <f>_xlfn.XLOOKUP($A335,PROPERTIES[VEHIDCODE],PROPERTIES[REGION2])</f>
        <v>NO_REGION</v>
      </c>
      <c r="F335" s="38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8" t="str">
        <f>_xlfn.XLOOKUP($A336,PROPERTIES[VEHIDCODE],PROPERTIES[REGION1])</f>
        <v>ASIA</v>
      </c>
      <c r="E336" s="38" t="str">
        <f>_xlfn.XLOOKUP($A336,PROPERTIES[VEHIDCODE],PROPERTIES[REGION2])</f>
        <v>NO_REGION</v>
      </c>
      <c r="F336" s="38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8" t="str">
        <f>_xlfn.XLOOKUP($A337,PROPERTIES[VEHIDCODE],PROPERTIES[REGION1])</f>
        <v>NORTH_AMERICA</v>
      </c>
      <c r="E337" s="38" t="str">
        <f>_xlfn.XLOOKUP($A337,PROPERTIES[VEHIDCODE],PROPERTIES[REGION2])</f>
        <v>NO_REGION</v>
      </c>
      <c r="F337" s="38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8" t="str">
        <f>_xlfn.XLOOKUP($A338,PROPERTIES[VEHIDCODE],PROPERTIES[REGION1])</f>
        <v>SOUTHERN_EUROPE</v>
      </c>
      <c r="E338" s="38" t="str">
        <f>_xlfn.XLOOKUP($A338,PROPERTIES[VEHIDCODE],PROPERTIES[REGION2])</f>
        <v>NO_REGION</v>
      </c>
      <c r="F338" s="38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8" t="str">
        <f>_xlfn.XLOOKUP($A339,PROPERTIES[VEHIDCODE],PROPERTIES[REGION1])</f>
        <v>ASIA</v>
      </c>
      <c r="E339" s="38" t="str">
        <f>_xlfn.XLOOKUP($A339,PROPERTIES[VEHIDCODE],PROPERTIES[REGION2])</f>
        <v>NO_REGION</v>
      </c>
      <c r="F339" s="38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8" t="str">
        <f>_xlfn.XLOOKUP($A340,PROPERTIES[VEHIDCODE],PROPERTIES[REGION1])</f>
        <v>WESTERN_EUROPE</v>
      </c>
      <c r="E340" s="38" t="str">
        <f>_xlfn.XLOOKUP($A340,PROPERTIES[VEHIDCODE],PROPERTIES[REGION2])</f>
        <v>NO_REGION</v>
      </c>
      <c r="F340" s="38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8" t="str">
        <f>_xlfn.XLOOKUP($A341,PROPERTIES[VEHIDCODE],PROPERTIES[REGION1])</f>
        <v>EASTERN_EUROPE</v>
      </c>
      <c r="E341" s="38" t="str">
        <f>_xlfn.XLOOKUP($A341,PROPERTIES[VEHIDCODE],PROPERTIES[REGION2])</f>
        <v>NO_REGION</v>
      </c>
      <c r="F341" s="38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8" t="str">
        <f>_xlfn.XLOOKUP($A342,PROPERTIES[VEHIDCODE],PROPERTIES[REGION1])</f>
        <v>SOUTH_AMERICA</v>
      </c>
      <c r="E342" s="38" t="str">
        <f>_xlfn.XLOOKUP($A342,PROPERTIES[VEHIDCODE],PROPERTIES[REGION2])</f>
        <v>NO_REGION</v>
      </c>
      <c r="F342" s="38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8" t="str">
        <f>_xlfn.XLOOKUP($A343,PROPERTIES[VEHIDCODE],PROPERTIES[REGION1])</f>
        <v>SOUTH_AMERICA</v>
      </c>
      <c r="E343" s="38" t="str">
        <f>_xlfn.XLOOKUP($A343,PROPERTIES[VEHIDCODE],PROPERTIES[REGION2])</f>
        <v>NO_REGION</v>
      </c>
      <c r="F343" s="38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8" t="str">
        <f>_xlfn.XLOOKUP($A344,PROPERTIES[VEHIDCODE],PROPERTIES[REGION1])</f>
        <v>SOUTH_AMERICA</v>
      </c>
      <c r="E344" s="38" t="str">
        <f>_xlfn.XLOOKUP($A344,PROPERTIES[VEHIDCODE],PROPERTIES[REGION2])</f>
        <v>NO_REGION</v>
      </c>
      <c r="F344" s="38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8" t="str">
        <f>_xlfn.XLOOKUP($A345,PROPERTIES[VEHIDCODE],PROPERTIES[REGION1])</f>
        <v>SOUTH_AMERICA</v>
      </c>
      <c r="E345" s="38" t="str">
        <f>_xlfn.XLOOKUP($A345,PROPERTIES[VEHIDCODE],PROPERTIES[REGION2])</f>
        <v>NO_REGION</v>
      </c>
      <c r="F345" s="38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8" t="str">
        <f>_xlfn.XLOOKUP($A346,PROPERTIES[VEHIDCODE],PROPERTIES[REGION1])</f>
        <v>SOUTHERN_EUROPE</v>
      </c>
      <c r="E346" s="38" t="str">
        <f>_xlfn.XLOOKUP($A346,PROPERTIES[VEHIDCODE],PROPERTIES[REGION2])</f>
        <v>NO_REGION</v>
      </c>
      <c r="F346" s="38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8" t="str">
        <f>_xlfn.XLOOKUP($A347,PROPERTIES[VEHIDCODE],PROPERTIES[REGION1])</f>
        <v>SOUTHERN_EUROPE</v>
      </c>
      <c r="E347" s="38" t="str">
        <f>_xlfn.XLOOKUP($A347,PROPERTIES[VEHIDCODE],PROPERTIES[REGION2])</f>
        <v>NO_REGION</v>
      </c>
      <c r="F347" s="38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8" t="str">
        <f>_xlfn.XLOOKUP($A348,PROPERTIES[VEHIDCODE],PROPERTIES[REGION1])</f>
        <v>AFRICA</v>
      </c>
      <c r="E348" s="38" t="str">
        <f>_xlfn.XLOOKUP($A348,PROPERTIES[VEHIDCODE],PROPERTIES[REGION2])</f>
        <v>NO_REGION</v>
      </c>
      <c r="F348" s="38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8" t="str">
        <f>_xlfn.XLOOKUP($A349,PROPERTIES[VEHIDCODE],PROPERTIES[REGION1])</f>
        <v>WESTERN_EUROPE</v>
      </c>
      <c r="E349" s="38" t="str">
        <f>_xlfn.XLOOKUP($A349,PROPERTIES[VEHIDCODE],PROPERTIES[REGION2])</f>
        <v>NO_REGION</v>
      </c>
      <c r="F349" s="38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8" t="str">
        <f>_xlfn.XLOOKUP($A350,PROPERTIES[VEHIDCODE],PROPERTIES[REGION1])</f>
        <v>NORTH_AMERICA</v>
      </c>
      <c r="E350" s="38" t="str">
        <f>_xlfn.XLOOKUP($A350,PROPERTIES[VEHIDCODE],PROPERTIES[REGION2])</f>
        <v>NO_REGION</v>
      </c>
      <c r="F350" s="38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8" t="str">
        <f>_xlfn.XLOOKUP($A351,PROPERTIES[VEHIDCODE],PROPERTIES[REGION1])</f>
        <v>NORTHERN_EUROPE</v>
      </c>
      <c r="E351" s="38" t="str">
        <f>_xlfn.XLOOKUP($A351,PROPERTIES[VEHIDCODE],PROPERTIES[REGION2])</f>
        <v>NO_REGION</v>
      </c>
      <c r="F351" s="38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8" t="str">
        <f>_xlfn.XLOOKUP($A352,PROPERTIES[VEHIDCODE],PROPERTIES[REGION1])</f>
        <v>NORTHERN_EUROPE</v>
      </c>
      <c r="E352" s="38" t="str">
        <f>_xlfn.XLOOKUP($A352,PROPERTIES[VEHIDCODE],PROPERTIES[REGION2])</f>
        <v>NO_REGION</v>
      </c>
      <c r="F352" s="38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8" t="str">
        <f>_xlfn.XLOOKUP($A353,PROPERTIES[VEHIDCODE],PROPERTIES[REGION1])</f>
        <v>NORTHERN_EUROPE</v>
      </c>
      <c r="E353" s="38" t="str">
        <f>_xlfn.XLOOKUP($A353,PROPERTIES[VEHIDCODE],PROPERTIES[REGION2])</f>
        <v>NO_REGION</v>
      </c>
      <c r="F353" s="38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8" t="str">
        <f>_xlfn.XLOOKUP($A354,PROPERTIES[VEHIDCODE],PROPERTIES[REGION1])</f>
        <v>ASIA</v>
      </c>
      <c r="E354" s="38" t="str">
        <f>_xlfn.XLOOKUP($A354,PROPERTIES[VEHIDCODE],PROPERTIES[REGION2])</f>
        <v>NO_REGION</v>
      </c>
      <c r="F354" s="38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8" t="str">
        <f>_xlfn.XLOOKUP($A355,PROPERTIES[VEHIDCODE],PROPERTIES[REGION1])</f>
        <v>ASIA</v>
      </c>
      <c r="E355" s="38" t="str">
        <f>_xlfn.XLOOKUP($A355,PROPERTIES[VEHIDCODE],PROPERTIES[REGION2])</f>
        <v>NO_REGION</v>
      </c>
      <c r="F355" s="38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8" t="str">
        <f>_xlfn.XLOOKUP($A356,PROPERTIES[VEHIDCODE],PROPERTIES[REGION1])</f>
        <v>WESTERN_EUROPE</v>
      </c>
      <c r="E356" s="38" t="str">
        <f>_xlfn.XLOOKUP($A356,PROPERTIES[VEHIDCODE],PROPERTIES[REGION2])</f>
        <v>NO_REGION</v>
      </c>
      <c r="F356" s="38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8" t="str">
        <f>_xlfn.XLOOKUP($A357,PROPERTIES[VEHIDCODE],PROPERTIES[REGION1])</f>
        <v>WESTERN_EUROPE</v>
      </c>
      <c r="E357" s="38" t="str">
        <f>_xlfn.XLOOKUP($A357,PROPERTIES[VEHIDCODE],PROPERTIES[REGION2])</f>
        <v>NO_REGION</v>
      </c>
      <c r="F357" s="38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8" t="str">
        <f>_xlfn.XLOOKUP($A358,PROPERTIES[VEHIDCODE],PROPERTIES[REGION1])</f>
        <v>OCEANIA</v>
      </c>
      <c r="E358" s="38" t="str">
        <f>_xlfn.XLOOKUP($A358,PROPERTIES[VEHIDCODE],PROPERTIES[REGION2])</f>
        <v>NO_REGION</v>
      </c>
      <c r="F358" s="38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8" t="str">
        <f>_xlfn.XLOOKUP($A359,PROPERTIES[VEHIDCODE],PROPERTIES[REGION1])</f>
        <v>NORTHERN_EUROPE</v>
      </c>
      <c r="E359" s="38" t="str">
        <f>_xlfn.XLOOKUP($A359,PROPERTIES[VEHIDCODE],PROPERTIES[REGION2])</f>
        <v>NO_REGION</v>
      </c>
      <c r="F359" s="38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8" t="str">
        <f>_xlfn.XLOOKUP($A360,PROPERTIES[VEHIDCODE],PROPERTIES[REGION1])</f>
        <v>NORTH_AMERICA</v>
      </c>
      <c r="E360" s="38" t="str">
        <f>_xlfn.XLOOKUP($A360,PROPERTIES[VEHIDCODE],PROPERTIES[REGION2])</f>
        <v>NO_REGION</v>
      </c>
      <c r="F360" s="38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8" t="str">
        <f>_xlfn.XLOOKUP($A361,PROPERTIES[VEHIDCODE],PROPERTIES[REGION1])</f>
        <v>ASIA</v>
      </c>
      <c r="E361" s="38" t="str">
        <f>_xlfn.XLOOKUP($A361,PROPERTIES[VEHIDCODE],PROPERTIES[REGION2])</f>
        <v>NO_REGION</v>
      </c>
      <c r="F361" s="38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8" t="str">
        <f>_xlfn.XLOOKUP($A362,PROPERTIES[VEHIDCODE],PROPERTIES[REGION1])</f>
        <v>ASIA</v>
      </c>
      <c r="E362" s="38" t="str">
        <f>_xlfn.XLOOKUP($A362,PROPERTIES[VEHIDCODE],PROPERTIES[REGION2])</f>
        <v>NO_REGION</v>
      </c>
      <c r="F362" s="38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8" t="str">
        <f>_xlfn.XLOOKUP($A363,PROPERTIES[VEHIDCODE],PROPERTIES[REGION1])</f>
        <v>WESTERN_EUROPE</v>
      </c>
      <c r="E363" s="38" t="str">
        <f>_xlfn.XLOOKUP($A363,PROPERTIES[VEHIDCODE],PROPERTIES[REGION2])</f>
        <v>NO_REGION</v>
      </c>
      <c r="F363" s="38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8" t="str">
        <f>_xlfn.XLOOKUP($A364,PROPERTIES[VEHIDCODE],PROPERTIES[REGION1])</f>
        <v>OCEANIA</v>
      </c>
      <c r="E364" s="38" t="str">
        <f>_xlfn.XLOOKUP($A364,PROPERTIES[VEHIDCODE],PROPERTIES[REGION2])</f>
        <v>NO_REGION</v>
      </c>
      <c r="F364" s="38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8" t="str">
        <f>_xlfn.XLOOKUP($A365,PROPERTIES[VEHIDCODE],PROPERTIES[REGION1])</f>
        <v>NORTHERN_EUROPE</v>
      </c>
      <c r="E365" s="38" t="str">
        <f>_xlfn.XLOOKUP($A365,PROPERTIES[VEHIDCODE],PROPERTIES[REGION2])</f>
        <v>NO_REGION</v>
      </c>
      <c r="F365" s="38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8" t="str">
        <f>_xlfn.XLOOKUP($A366,PROPERTIES[VEHIDCODE],PROPERTIES[REGION1])</f>
        <v>NORTHERN_EUROPE</v>
      </c>
      <c r="E366" s="38" t="str">
        <f>_xlfn.XLOOKUP($A366,PROPERTIES[VEHIDCODE],PROPERTIES[REGION2])</f>
        <v>NO_REGION</v>
      </c>
      <c r="F366" s="38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8" t="str">
        <f>_xlfn.XLOOKUP($A367,PROPERTIES[VEHIDCODE],PROPERTIES[REGION1])</f>
        <v>NORTH_AMERICA</v>
      </c>
      <c r="E367" s="38" t="str">
        <f>_xlfn.XLOOKUP($A367,PROPERTIES[VEHIDCODE],PROPERTIES[REGION2])</f>
        <v>NO_REGION</v>
      </c>
      <c r="F367" s="38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8" t="str">
        <f>_xlfn.XLOOKUP($A368,PROPERTIES[VEHIDCODE],PROPERTIES[REGION1])</f>
        <v>NORTH_AMERICA</v>
      </c>
      <c r="E368" s="38" t="str">
        <f>_xlfn.XLOOKUP($A368,PROPERTIES[VEHIDCODE],PROPERTIES[REGION2])</f>
        <v>NO_REGION</v>
      </c>
      <c r="F368" s="38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8" t="str">
        <f>_xlfn.XLOOKUP($A369,PROPERTIES[VEHIDCODE],PROPERTIES[REGION1])</f>
        <v>SOUTH_AMERICA</v>
      </c>
      <c r="E369" s="38" t="str">
        <f>_xlfn.XLOOKUP($A369,PROPERTIES[VEHIDCODE],PROPERTIES[REGION2])</f>
        <v>NO_REGION</v>
      </c>
      <c r="F369" s="38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8" t="str">
        <f>_xlfn.XLOOKUP($A370,PROPERTIES[VEHIDCODE],PROPERTIES[REGION1])</f>
        <v>SOUTHERN_EUROPE</v>
      </c>
      <c r="E370" s="38" t="str">
        <f>_xlfn.XLOOKUP($A370,PROPERTIES[VEHIDCODE],PROPERTIES[REGION2])</f>
        <v>NO_REGION</v>
      </c>
      <c r="F370" s="38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8" t="str">
        <f>_xlfn.XLOOKUP($A371,PROPERTIES[VEHIDCODE],PROPERTIES[REGION1])</f>
        <v>AFRICA</v>
      </c>
      <c r="E371" s="38" t="str">
        <f>_xlfn.XLOOKUP($A371,PROPERTIES[VEHIDCODE],PROPERTIES[REGION2])</f>
        <v>NO_REGION</v>
      </c>
      <c r="F371" s="38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8" t="str">
        <f>_xlfn.XLOOKUP($A372,PROPERTIES[VEHIDCODE],PROPERTIES[REGION1])</f>
        <v>EASTERN_EUROPE</v>
      </c>
      <c r="E372" s="38" t="str">
        <f>_xlfn.XLOOKUP($A372,PROPERTIES[VEHIDCODE],PROPERTIES[REGION2])</f>
        <v>NO_REGION</v>
      </c>
      <c r="F372" s="38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8" t="str">
        <f>_xlfn.XLOOKUP($A373,PROPERTIES[VEHIDCODE],PROPERTIES[REGION1])</f>
        <v>EASTERN_EUROPE</v>
      </c>
      <c r="E373" s="38" t="str">
        <f>_xlfn.XLOOKUP($A373,PROPERTIES[VEHIDCODE],PROPERTIES[REGION2])</f>
        <v>NO_REGION</v>
      </c>
      <c r="F373" s="38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8" t="str">
        <f>_xlfn.XLOOKUP($A374,PROPERTIES[VEHIDCODE],PROPERTIES[REGION1])</f>
        <v>EASTERN_EUROPE</v>
      </c>
      <c r="E374" s="38" t="str">
        <f>_xlfn.XLOOKUP($A374,PROPERTIES[VEHIDCODE],PROPERTIES[REGION2])</f>
        <v>NO_REGION</v>
      </c>
      <c r="F374" s="38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8" t="str">
        <f>_xlfn.XLOOKUP($A375,PROPERTIES[VEHIDCODE],PROPERTIES[REGION1])</f>
        <v>EASTERN_EUROPE</v>
      </c>
      <c r="E375" s="38" t="str">
        <f>_xlfn.XLOOKUP($A375,PROPERTIES[VEHIDCODE],PROPERTIES[REGION2])</f>
        <v>NO_REGION</v>
      </c>
      <c r="F375" s="38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8" t="str">
        <f>_xlfn.XLOOKUP($A376,PROPERTIES[VEHIDCODE],PROPERTIES[REGION1])</f>
        <v>SOUTHERN_EUROPE</v>
      </c>
      <c r="E376" s="38" t="str">
        <f>_xlfn.XLOOKUP($A376,PROPERTIES[VEHIDCODE],PROPERTIES[REGION2])</f>
        <v>NO_REGION</v>
      </c>
      <c r="F376" s="38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8" t="str">
        <f>_xlfn.XLOOKUP($A377,PROPERTIES[VEHIDCODE],PROPERTIES[REGION1])</f>
        <v>SOUTHERN_EUROPE</v>
      </c>
      <c r="E377" s="38" t="str">
        <f>_xlfn.XLOOKUP($A377,PROPERTIES[VEHIDCODE],PROPERTIES[REGION2])</f>
        <v>NO_REGION</v>
      </c>
      <c r="F377" s="38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8" t="str">
        <f>_xlfn.XLOOKUP($A378,PROPERTIES[VEHIDCODE],PROPERTIES[REGION1])</f>
        <v>SOUTHERN_EUROPE</v>
      </c>
      <c r="E378" s="38" t="str">
        <f>_xlfn.XLOOKUP($A378,PROPERTIES[VEHIDCODE],PROPERTIES[REGION2])</f>
        <v>NO_REGION</v>
      </c>
      <c r="F378" s="38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8" t="str">
        <f>_xlfn.XLOOKUP($A379,PROPERTIES[VEHIDCODE],PROPERTIES[REGION1])</f>
        <v>SOUTHERN_EUROPE</v>
      </c>
      <c r="E379" s="38" t="str">
        <f>_xlfn.XLOOKUP($A379,PROPERTIES[VEHIDCODE],PROPERTIES[REGION2])</f>
        <v>NO_REGION</v>
      </c>
      <c r="F379" s="38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8" t="str">
        <f>_xlfn.XLOOKUP($A380,PROPERTIES[VEHIDCODE],PROPERTIES[REGION1])</f>
        <v>WESTERN_EUROPE</v>
      </c>
      <c r="E380" s="38" t="str">
        <f>_xlfn.XLOOKUP($A380,PROPERTIES[VEHIDCODE],PROPERTIES[REGION2])</f>
        <v>NO_REGION</v>
      </c>
      <c r="F380" s="38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8" t="str">
        <f>_xlfn.XLOOKUP($A381,PROPERTIES[VEHIDCODE],PROPERTIES[REGION1])</f>
        <v>SOUTHERN_EUROPE</v>
      </c>
      <c r="E381" s="38" t="str">
        <f>_xlfn.XLOOKUP($A381,PROPERTIES[VEHIDCODE],PROPERTIES[REGION2])</f>
        <v>NO_REGION</v>
      </c>
      <c r="F381" s="38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8" t="str">
        <f>_xlfn.XLOOKUP($A382,PROPERTIES[VEHIDCODE],PROPERTIES[REGION1])</f>
        <v>SOUTH_AMERICA</v>
      </c>
      <c r="E382" s="38" t="str">
        <f>_xlfn.XLOOKUP($A382,PROPERTIES[VEHIDCODE],PROPERTIES[REGION2])</f>
        <v>NO_REGION</v>
      </c>
      <c r="F382" s="38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8" t="str">
        <f>_xlfn.XLOOKUP($A383,PROPERTIES[VEHIDCODE],PROPERTIES[REGION1])</f>
        <v>SOUTH_AMERICA</v>
      </c>
      <c r="E383" s="38" t="str">
        <f>_xlfn.XLOOKUP($A383,PROPERTIES[VEHIDCODE],PROPERTIES[REGION2])</f>
        <v>NO_REGION</v>
      </c>
      <c r="F383" s="38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8" t="str">
        <f>_xlfn.XLOOKUP($A384,PROPERTIES[VEHIDCODE],PROPERTIES[REGION1])</f>
        <v>AFRICA</v>
      </c>
      <c r="E384" s="38" t="str">
        <f>_xlfn.XLOOKUP($A384,PROPERTIES[VEHIDCODE],PROPERTIES[REGION2])</f>
        <v>NO_REGION</v>
      </c>
      <c r="F384" s="38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8" t="str">
        <f>_xlfn.XLOOKUP($A385,PROPERTIES[VEHIDCODE],PROPERTIES[REGION1])</f>
        <v>ASIA</v>
      </c>
      <c r="E385" s="38" t="str">
        <f>_xlfn.XLOOKUP($A385,PROPERTIES[VEHIDCODE],PROPERTIES[REGION2])</f>
        <v>NO_REGION</v>
      </c>
      <c r="F385" s="38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8" t="str">
        <f>_xlfn.XLOOKUP($A386,PROPERTIES[VEHIDCODE],PROPERTIES[REGION1])</f>
        <v>AFRICA</v>
      </c>
      <c r="E386" s="38" t="str">
        <f>_xlfn.XLOOKUP($A386,PROPERTIES[VEHIDCODE],PROPERTIES[REGION2])</f>
        <v>NO_REGION</v>
      </c>
      <c r="F386" s="38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8" t="str">
        <f>_xlfn.XLOOKUP($A387,PROPERTIES[VEHIDCODE],PROPERTIES[REGION1])</f>
        <v>SOUTH_AMERICA</v>
      </c>
      <c r="E387" s="38" t="str">
        <f>_xlfn.XLOOKUP($A387,PROPERTIES[VEHIDCODE],PROPERTIES[REGION2])</f>
        <v>NO_REGION</v>
      </c>
      <c r="F387" s="38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8" t="str">
        <f>_xlfn.XLOOKUP($A388,PROPERTIES[VEHIDCODE],PROPERTIES[REGION1])</f>
        <v>EASTERN_EUROPE</v>
      </c>
      <c r="E388" s="38" t="str">
        <f>_xlfn.XLOOKUP($A388,PROPERTIES[VEHIDCODE],PROPERTIES[REGION2])</f>
        <v>NO_REGION</v>
      </c>
      <c r="F388" s="38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8" t="str">
        <f>_xlfn.XLOOKUP($A389,PROPERTIES[VEHIDCODE],PROPERTIES[REGION1])</f>
        <v>NORTHERN_EUROPE</v>
      </c>
      <c r="E389" s="38" t="str">
        <f>_xlfn.XLOOKUP($A389,PROPERTIES[VEHIDCODE],PROPERTIES[REGION2])</f>
        <v>NO_REGION</v>
      </c>
      <c r="F389" s="38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8" t="str">
        <f>_xlfn.XLOOKUP($A390,PROPERTIES[VEHIDCODE],PROPERTIES[REGION1])</f>
        <v>NORTH_AMERICA</v>
      </c>
      <c r="E390" s="38" t="str">
        <f>_xlfn.XLOOKUP($A390,PROPERTIES[VEHIDCODE],PROPERTIES[REGION2])</f>
        <v>NO_REGION</v>
      </c>
      <c r="F390" s="38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8" t="str">
        <f>_xlfn.XLOOKUP($A391,PROPERTIES[VEHIDCODE],PROPERTIES[REGION1])</f>
        <v>WESTERN_EUROPE</v>
      </c>
      <c r="E391" s="38" t="str">
        <f>_xlfn.XLOOKUP($A391,PROPERTIES[VEHIDCODE],PROPERTIES[REGION2])</f>
        <v>NO_REGION</v>
      </c>
      <c r="F391" s="38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8" t="str">
        <f>_xlfn.XLOOKUP($A392,PROPERTIES[VEHIDCODE],PROPERTIES[REGION1])</f>
        <v>WESTERN_EUROPE</v>
      </c>
      <c r="E392" s="38" t="str">
        <f>_xlfn.XLOOKUP($A392,PROPERTIES[VEHIDCODE],PROPERTIES[REGION2])</f>
        <v>NO_REGION</v>
      </c>
      <c r="F392" s="38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8" t="str">
        <f>_xlfn.XLOOKUP($A393,PROPERTIES[VEHIDCODE],PROPERTIES[REGION1])</f>
        <v>NORTHERN_EUROPE</v>
      </c>
      <c r="E393" s="38" t="str">
        <f>_xlfn.XLOOKUP($A393,PROPERTIES[VEHIDCODE],PROPERTIES[REGION2])</f>
        <v>NO_REGION</v>
      </c>
      <c r="F393" s="38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8" t="str">
        <f>_xlfn.XLOOKUP($A394,PROPERTIES[VEHIDCODE],PROPERTIES[REGION1])</f>
        <v>WESTERN_EUROPE</v>
      </c>
      <c r="E394" s="38" t="str">
        <f>_xlfn.XLOOKUP($A394,PROPERTIES[VEHIDCODE],PROPERTIES[REGION2])</f>
        <v>NO_REGION</v>
      </c>
      <c r="F394" s="38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8" t="str">
        <f>_xlfn.XLOOKUP($A395,PROPERTIES[VEHIDCODE],PROPERTIES[REGION1])</f>
        <v>NORTH_AMERICA</v>
      </c>
      <c r="E395" s="38" t="str">
        <f>_xlfn.XLOOKUP($A395,PROPERTIES[VEHIDCODE],PROPERTIES[REGION2])</f>
        <v>NO_REGION</v>
      </c>
      <c r="F395" s="38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8" t="str">
        <f>_xlfn.XLOOKUP($A396,PROPERTIES[VEHIDCODE],PROPERTIES[REGION1])</f>
        <v>WESTERN_EUROPE</v>
      </c>
      <c r="E396" s="38" t="str">
        <f>_xlfn.XLOOKUP($A396,PROPERTIES[VEHIDCODE],PROPERTIES[REGION2])</f>
        <v>NO_REGION</v>
      </c>
      <c r="F396" s="38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8" t="str">
        <f>_xlfn.XLOOKUP($A397,PROPERTIES[VEHIDCODE],PROPERTIES[REGION1])</f>
        <v>WESTERN_EUROPE</v>
      </c>
      <c r="E397" s="38" t="str">
        <f>_xlfn.XLOOKUP($A397,PROPERTIES[VEHIDCODE],PROPERTIES[REGION2])</f>
        <v>NO_REGION</v>
      </c>
      <c r="F397" s="38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8" t="str">
        <f>_xlfn.XLOOKUP($A398,PROPERTIES[VEHIDCODE],PROPERTIES[REGION1])</f>
        <v>WESTERN_EUROPE</v>
      </c>
      <c r="E398" s="38" t="str">
        <f>_xlfn.XLOOKUP($A398,PROPERTIES[VEHIDCODE],PROPERTIES[REGION2])</f>
        <v>NO_REGION</v>
      </c>
      <c r="F398" s="38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8" t="str">
        <f>_xlfn.XLOOKUP($A399,PROPERTIES[VEHIDCODE],PROPERTIES[REGION1])</f>
        <v>WESTERN_EUROPE</v>
      </c>
      <c r="E399" s="38" t="str">
        <f>_xlfn.XLOOKUP($A399,PROPERTIES[VEHIDCODE],PROPERTIES[REGION2])</f>
        <v>NO_REGION</v>
      </c>
      <c r="F399" s="38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8" t="str">
        <f>_xlfn.XLOOKUP($A400,PROPERTIES[VEHIDCODE],PROPERTIES[REGION1])</f>
        <v>WESTERN_EUROPE</v>
      </c>
      <c r="E400" s="38" t="str">
        <f>_xlfn.XLOOKUP($A400,PROPERTIES[VEHIDCODE],PROPERTIES[REGION2])</f>
        <v>NO_REGION</v>
      </c>
      <c r="F400" s="38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8" t="str">
        <f>_xlfn.XLOOKUP($A401,PROPERTIES[VEHIDCODE],PROPERTIES[REGION1])</f>
        <v>WESTERN_EUROPE</v>
      </c>
      <c r="E401" s="38" t="str">
        <f>_xlfn.XLOOKUP($A401,PROPERTIES[VEHIDCODE],PROPERTIES[REGION2])</f>
        <v>NO_REGION</v>
      </c>
      <c r="F401" s="38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8" t="str">
        <f>_xlfn.XLOOKUP($A402,PROPERTIES[VEHIDCODE],PROPERTIES[REGION1])</f>
        <v>WESTERN_EUROPE</v>
      </c>
      <c r="E402" s="38" t="str">
        <f>_xlfn.XLOOKUP($A402,PROPERTIES[VEHIDCODE],PROPERTIES[REGION2])</f>
        <v>NO_REGION</v>
      </c>
      <c r="F402" s="38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8" t="str">
        <f>_xlfn.XLOOKUP($A403,PROPERTIES[VEHIDCODE],PROPERTIES[REGION1])</f>
        <v>WESTERN_EUROPE</v>
      </c>
      <c r="E403" s="38" t="str">
        <f>_xlfn.XLOOKUP($A403,PROPERTIES[VEHIDCODE],PROPERTIES[REGION2])</f>
        <v>NO_REGION</v>
      </c>
      <c r="F403" s="38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8" t="str">
        <f>_xlfn.XLOOKUP($A404,PROPERTIES[VEHIDCODE],PROPERTIES[REGION1])</f>
        <v>WESTERN_EUROPE</v>
      </c>
      <c r="E404" s="38" t="str">
        <f>_xlfn.XLOOKUP($A404,PROPERTIES[VEHIDCODE],PROPERTIES[REGION2])</f>
        <v>NO_REGION</v>
      </c>
      <c r="F404" s="38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8" t="str">
        <f>_xlfn.XLOOKUP($A405,PROPERTIES[VEHIDCODE],PROPERTIES[REGION1])</f>
        <v>NORTHERN_EUROPE</v>
      </c>
      <c r="E405" s="38" t="str">
        <f>_xlfn.XLOOKUP($A405,PROPERTIES[VEHIDCODE],PROPERTIES[REGION2])</f>
        <v>NO_REGION</v>
      </c>
      <c r="F405" s="38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8" t="str">
        <f>_xlfn.XLOOKUP($A406,PROPERTIES[VEHIDCODE],PROPERTIES[REGION1])</f>
        <v>NORTHERN_EUROPE</v>
      </c>
      <c r="E406" s="38" t="str">
        <f>_xlfn.XLOOKUP($A406,PROPERTIES[VEHIDCODE],PROPERTIES[REGION2])</f>
        <v>NO_REGION</v>
      </c>
      <c r="F406" s="38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8" t="str">
        <f>_xlfn.XLOOKUP($A407,PROPERTIES[VEHIDCODE],PROPERTIES[REGION1])</f>
        <v>NORTHERN_EUROPE</v>
      </c>
      <c r="E407" s="38" t="str">
        <f>_xlfn.XLOOKUP($A407,PROPERTIES[VEHIDCODE],PROPERTIES[REGION2])</f>
        <v>NO_REGION</v>
      </c>
      <c r="F407" s="38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8" t="str">
        <f>_xlfn.XLOOKUP($A408,PROPERTIES[VEHIDCODE],PROPERTIES[REGION1])</f>
        <v>NORTHERN_EUROPE</v>
      </c>
      <c r="E408" s="38" t="str">
        <f>_xlfn.XLOOKUP($A408,PROPERTIES[VEHIDCODE],PROPERTIES[REGION2])</f>
        <v>NO_REGION</v>
      </c>
      <c r="F408" s="38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8" t="str">
        <f>_xlfn.XLOOKUP($A409,PROPERTIES[VEHIDCODE],PROPERTIES[REGION1])</f>
        <v>NORTHERN_EUROPE</v>
      </c>
      <c r="E409" s="38" t="str">
        <f>_xlfn.XLOOKUP($A409,PROPERTIES[VEHIDCODE],PROPERTIES[REGION2])</f>
        <v>NO_REGION</v>
      </c>
      <c r="F409" s="38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8" t="str">
        <f>_xlfn.XLOOKUP($A410,PROPERTIES[VEHIDCODE],PROPERTIES[REGION1])</f>
        <v>WESTERN_EUROPE</v>
      </c>
      <c r="E410" s="38" t="str">
        <f>_xlfn.XLOOKUP($A410,PROPERTIES[VEHIDCODE],PROPERTIES[REGION2])</f>
        <v>NO_REGION</v>
      </c>
      <c r="F410" s="38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8" t="str">
        <f>_xlfn.XLOOKUP($A411,PROPERTIES[VEHIDCODE],PROPERTIES[REGION1])</f>
        <v>NORTH_AMERICA</v>
      </c>
      <c r="E411" s="38" t="str">
        <f>_xlfn.XLOOKUP($A411,PROPERTIES[VEHIDCODE],PROPERTIES[REGION2])</f>
        <v>NO_REGION</v>
      </c>
      <c r="F411" s="38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8" t="str">
        <f>_xlfn.XLOOKUP($A412,PROPERTIES[VEHIDCODE],PROPERTIES[REGION1])</f>
        <v>NORTH_AMERICA</v>
      </c>
      <c r="E412" s="38" t="str">
        <f>_xlfn.XLOOKUP($A412,PROPERTIES[VEHIDCODE],PROPERTIES[REGION2])</f>
        <v>NO_REGION</v>
      </c>
      <c r="F412" s="38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8" t="str">
        <f>_xlfn.XLOOKUP($A413,PROPERTIES[VEHIDCODE],PROPERTIES[REGION1])</f>
        <v>NORTH_AMERICA</v>
      </c>
      <c r="E413" s="38" t="str">
        <f>_xlfn.XLOOKUP($A413,PROPERTIES[VEHIDCODE],PROPERTIES[REGION2])</f>
        <v>NO_REGION</v>
      </c>
      <c r="F413" s="38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8" t="str">
        <f>_xlfn.XLOOKUP($A414,PROPERTIES[VEHIDCODE],PROPERTIES[REGION1])</f>
        <v>OCEANIA</v>
      </c>
      <c r="E414" s="38" t="str">
        <f>_xlfn.XLOOKUP($A414,PROPERTIES[VEHIDCODE],PROPERTIES[REGION2])</f>
        <v>NO_REGION</v>
      </c>
      <c r="F414" s="38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8" t="str">
        <f>_xlfn.XLOOKUP($A415,PROPERTIES[VEHIDCODE],PROPERTIES[REGION1])</f>
        <v>ASIA</v>
      </c>
      <c r="E415" s="38" t="str">
        <f>_xlfn.XLOOKUP($A415,PROPERTIES[VEHIDCODE],PROPERTIES[REGION2])</f>
        <v>NO_REGION</v>
      </c>
      <c r="F415" s="38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8" t="str">
        <f>_xlfn.XLOOKUP($A416,PROPERTIES[VEHIDCODE],PROPERTIES[REGION1])</f>
        <v>ASIA</v>
      </c>
      <c r="E416" s="38" t="str">
        <f>_xlfn.XLOOKUP($A416,PROPERTIES[VEHIDCODE],PROPERTIES[REGION2])</f>
        <v>NO_REGION</v>
      </c>
      <c r="F416" s="38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8" t="str">
        <f>_xlfn.XLOOKUP($A417,PROPERTIES[VEHIDCODE],PROPERTIES[REGION1])</f>
        <v>ASIA</v>
      </c>
      <c r="E417" s="38" t="str">
        <f>_xlfn.XLOOKUP($A417,PROPERTIES[VEHIDCODE],PROPERTIES[REGION2])</f>
        <v>NO_REGION</v>
      </c>
      <c r="F417" s="38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8" t="str">
        <f>_xlfn.XLOOKUP($A418,PROPERTIES[VEHIDCODE],PROPERTIES[REGION1])</f>
        <v>ASIA</v>
      </c>
      <c r="E418" s="38" t="str">
        <f>_xlfn.XLOOKUP($A418,PROPERTIES[VEHIDCODE],PROPERTIES[REGION2])</f>
        <v>NO_REGION</v>
      </c>
      <c r="F418" s="38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8" t="str">
        <f>_xlfn.XLOOKUP($A419,PROPERTIES[VEHIDCODE],PROPERTIES[REGION1])</f>
        <v>ASIA</v>
      </c>
      <c r="E419" s="38" t="str">
        <f>_xlfn.XLOOKUP($A419,PROPERTIES[VEHIDCODE],PROPERTIES[REGION2])</f>
        <v>NO_REGION</v>
      </c>
      <c r="F419" s="38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8" t="str">
        <f>_xlfn.XLOOKUP($A420,PROPERTIES[VEHIDCODE],PROPERTIES[REGION1])</f>
        <v>NORTH_AMERICA</v>
      </c>
      <c r="E420" s="38" t="str">
        <f>_xlfn.XLOOKUP($A420,PROPERTIES[VEHIDCODE],PROPERTIES[REGION2])</f>
        <v>NO_REGION</v>
      </c>
      <c r="F420" s="38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8" t="str">
        <f>_xlfn.XLOOKUP($A421,PROPERTIES[VEHIDCODE],PROPERTIES[REGION1])</f>
        <v>EASTERN_EUROPE</v>
      </c>
      <c r="E421" s="38" t="str">
        <f>_xlfn.XLOOKUP($A421,PROPERTIES[VEHIDCODE],PROPERTIES[REGION2])</f>
        <v>NO_REGION</v>
      </c>
      <c r="F421" s="38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8" t="str">
        <f>_xlfn.XLOOKUP($A422,PROPERTIES[VEHIDCODE],PROPERTIES[REGION1])</f>
        <v>EASTERN_EUROPE</v>
      </c>
      <c r="E422" s="38" t="str">
        <f>_xlfn.XLOOKUP($A422,PROPERTIES[VEHIDCODE],PROPERTIES[REGION2])</f>
        <v>NO_REGION</v>
      </c>
      <c r="F422" s="38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8" t="str">
        <f>_xlfn.XLOOKUP($A423,PROPERTIES[VEHIDCODE],PROPERTIES[REGION1])</f>
        <v>SOUTHERN_EUROPE</v>
      </c>
      <c r="E423" s="38" t="str">
        <f>_xlfn.XLOOKUP($A423,PROPERTIES[VEHIDCODE],PROPERTIES[REGION2])</f>
        <v>NO_REGION</v>
      </c>
      <c r="F423" s="38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8" t="str">
        <f>_xlfn.XLOOKUP($A424,PROPERTIES[VEHIDCODE],PROPERTIES[REGION1])</f>
        <v>SOUTHERN_EUROPE</v>
      </c>
      <c r="E424" s="38" t="str">
        <f>_xlfn.XLOOKUP($A424,PROPERTIES[VEHIDCODE],PROPERTIES[REGION2])</f>
        <v>NO_REGION</v>
      </c>
      <c r="F424" s="38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8" t="str">
        <f>_xlfn.XLOOKUP($A425,PROPERTIES[VEHIDCODE],PROPERTIES[REGION1])</f>
        <v>AFRICA</v>
      </c>
      <c r="E425" s="38" t="str">
        <f>_xlfn.XLOOKUP($A425,PROPERTIES[VEHIDCODE],PROPERTIES[REGION2])</f>
        <v>NO_REGION</v>
      </c>
      <c r="F425" s="38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8" t="str">
        <f>_xlfn.XLOOKUP($A426,PROPERTIES[VEHIDCODE],PROPERTIES[REGION1])</f>
        <v>ASIA</v>
      </c>
      <c r="E426" s="38" t="str">
        <f>_xlfn.XLOOKUP($A426,PROPERTIES[VEHIDCODE],PROPERTIES[REGION2])</f>
        <v>NO_REGION</v>
      </c>
      <c r="F426" s="38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8" t="str">
        <f>_xlfn.XLOOKUP($A427,PROPERTIES[VEHIDCODE],PROPERTIES[REGION1])</f>
        <v>EASTERN_EUROPE</v>
      </c>
      <c r="E427" s="38" t="str">
        <f>_xlfn.XLOOKUP($A427,PROPERTIES[VEHIDCODE],PROPERTIES[REGION2])</f>
        <v>NO_REGION</v>
      </c>
      <c r="F427" s="38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8" t="str">
        <f>_xlfn.XLOOKUP($A428,PROPERTIES[VEHIDCODE],PROPERTIES[REGION1])</f>
        <v>EASTERN_EUROPE</v>
      </c>
      <c r="E428" s="38" t="str">
        <f>_xlfn.XLOOKUP($A428,PROPERTIES[VEHIDCODE],PROPERTIES[REGION2])</f>
        <v>NO_REGION</v>
      </c>
      <c r="F428" s="38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8" t="str">
        <f>_xlfn.XLOOKUP($A429,PROPERTIES[VEHIDCODE],PROPERTIES[REGION1])</f>
        <v>SOUTHERN_EUROPE</v>
      </c>
      <c r="E429" s="38" t="str">
        <f>_xlfn.XLOOKUP($A429,PROPERTIES[VEHIDCODE],PROPERTIES[REGION2])</f>
        <v>NO_REGION</v>
      </c>
      <c r="F429" s="38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8" t="str">
        <f>_xlfn.XLOOKUP($A430,PROPERTIES[VEHIDCODE],PROPERTIES[REGION1])</f>
        <v>SOUTHERN_EUROPE</v>
      </c>
      <c r="E430" s="38" t="str">
        <f>_xlfn.XLOOKUP($A430,PROPERTIES[VEHIDCODE],PROPERTIES[REGION2])</f>
        <v>NO_REGION</v>
      </c>
      <c r="F430" s="38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8" t="str">
        <f>_xlfn.XLOOKUP($A431,PROPERTIES[VEHIDCODE],PROPERTIES[REGION1])</f>
        <v>AFRICA</v>
      </c>
      <c r="E431" s="38" t="str">
        <f>_xlfn.XLOOKUP($A431,PROPERTIES[VEHIDCODE],PROPERTIES[REGION2])</f>
        <v>NO_REGION</v>
      </c>
      <c r="F431" s="38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8" t="str">
        <f>_xlfn.XLOOKUP($A432,PROPERTIES[VEHIDCODE],PROPERTIES[REGION1])</f>
        <v>NORTHERN_EUROPE</v>
      </c>
      <c r="E432" s="38" t="str">
        <f>_xlfn.XLOOKUP($A432,PROPERTIES[VEHIDCODE],PROPERTIES[REGION2])</f>
        <v>NO_REGION</v>
      </c>
      <c r="F432" s="38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8" t="str">
        <f>_xlfn.XLOOKUP($A433,PROPERTIES[VEHIDCODE],PROPERTIES[REGION1])</f>
        <v>NORTH_AMERICA</v>
      </c>
      <c r="E433" s="38" t="str">
        <f>_xlfn.XLOOKUP($A433,PROPERTIES[VEHIDCODE],PROPERTIES[REGION2])</f>
        <v>NO_REGION</v>
      </c>
      <c r="F433" s="38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8" t="str">
        <f>_xlfn.XLOOKUP($A434,PROPERTIES[VEHIDCODE],PROPERTIES[REGION1])</f>
        <v>AFRICA</v>
      </c>
      <c r="E434" s="38" t="str">
        <f>_xlfn.XLOOKUP($A434,PROPERTIES[VEHIDCODE],PROPERTIES[REGION2])</f>
        <v>NO_REGION</v>
      </c>
      <c r="F434" s="38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8" t="str">
        <f>_xlfn.XLOOKUP($A435,PROPERTIES[VEHIDCODE],PROPERTIES[REGION1])</f>
        <v>OCEANIA</v>
      </c>
      <c r="E435" s="38" t="str">
        <f>_xlfn.XLOOKUP($A435,PROPERTIES[VEHIDCODE],PROPERTIES[REGION2])</f>
        <v>NO_REGION</v>
      </c>
      <c r="F435" s="38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8" t="str">
        <f>_xlfn.XLOOKUP($A436,PROPERTIES[VEHIDCODE],PROPERTIES[REGION1])</f>
        <v>NORTH_AMERICA</v>
      </c>
      <c r="E436" s="38" t="str">
        <f>_xlfn.XLOOKUP($A436,PROPERTIES[VEHIDCODE],PROPERTIES[REGION2])</f>
        <v>NO_REGION</v>
      </c>
      <c r="F436" s="38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8" t="str">
        <f>_xlfn.XLOOKUP($A437,PROPERTIES[VEHIDCODE],PROPERTIES[REGION1])</f>
        <v>WESTERN_EUROPE</v>
      </c>
      <c r="E437" s="38" t="str">
        <f>_xlfn.XLOOKUP($A437,PROPERTIES[VEHIDCODE],PROPERTIES[REGION2])</f>
        <v>NO_REGION</v>
      </c>
      <c r="F437" s="38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8" t="str">
        <f>_xlfn.XLOOKUP($A438,PROPERTIES[VEHIDCODE],PROPERTIES[REGION1])</f>
        <v>WESTERN_EUROPE</v>
      </c>
      <c r="E438" s="38" t="str">
        <f>_xlfn.XLOOKUP($A438,PROPERTIES[VEHIDCODE],PROPERTIES[REGION2])</f>
        <v>NO_REGION</v>
      </c>
      <c r="F438" s="38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8" t="str">
        <f>_xlfn.XLOOKUP($A439,PROPERTIES[VEHIDCODE],PROPERTIES[REGION1])</f>
        <v>WESTERN_EUROPE</v>
      </c>
      <c r="E439" s="38" t="str">
        <f>_xlfn.XLOOKUP($A439,PROPERTIES[VEHIDCODE],PROPERTIES[REGION2])</f>
        <v>NO_REGION</v>
      </c>
      <c r="F439" s="38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8" t="str">
        <f>_xlfn.XLOOKUP($A440,PROPERTIES[VEHIDCODE],PROPERTIES[REGION1])</f>
        <v>WESTERN_EUROPE</v>
      </c>
      <c r="E440" s="38" t="str">
        <f>_xlfn.XLOOKUP($A440,PROPERTIES[VEHIDCODE],PROPERTIES[REGION2])</f>
        <v>NO_REGION</v>
      </c>
      <c r="F440" s="38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8" t="str">
        <f>_xlfn.XLOOKUP($A441,PROPERTIES[VEHIDCODE],PROPERTIES[REGION1])</f>
        <v>ASIA</v>
      </c>
      <c r="E441" s="38" t="str">
        <f>_xlfn.XLOOKUP($A441,PROPERTIES[VEHIDCODE],PROPERTIES[REGION2])</f>
        <v>NO_REGION</v>
      </c>
      <c r="F441" s="38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8" t="str">
        <f>_xlfn.XLOOKUP($A442,PROPERTIES[VEHIDCODE],PROPERTIES[REGION1])</f>
        <v>NORTH_AMERICA</v>
      </c>
      <c r="E442" s="38" t="str">
        <f>_xlfn.XLOOKUP($A442,PROPERTIES[VEHIDCODE],PROPERTIES[REGION2])</f>
        <v>NO_REGION</v>
      </c>
      <c r="F442" s="38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8" t="str">
        <f>_xlfn.XLOOKUP($A443,PROPERTIES[VEHIDCODE],PROPERTIES[REGION1])</f>
        <v>NORTH_AMERICA</v>
      </c>
      <c r="E443" s="38" t="str">
        <f>_xlfn.XLOOKUP($A443,PROPERTIES[VEHIDCODE],PROPERTIES[REGION2])</f>
        <v>NO_REGION</v>
      </c>
      <c r="F443" s="38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8" t="str">
        <f>_xlfn.XLOOKUP($A444,PROPERTIES[VEHIDCODE],PROPERTIES[REGION1])</f>
        <v>EASTERN_EUROPE</v>
      </c>
      <c r="E444" s="38" t="str">
        <f>_xlfn.XLOOKUP($A444,PROPERTIES[VEHIDCODE],PROPERTIES[REGION2])</f>
        <v>NO_REGION</v>
      </c>
      <c r="F444" s="38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8" t="str">
        <f>_xlfn.XLOOKUP($A445,PROPERTIES[VEHIDCODE],PROPERTIES[REGION1])</f>
        <v>SOUTHERN_EUROPE</v>
      </c>
      <c r="E445" s="38" t="str">
        <f>_xlfn.XLOOKUP($A445,PROPERTIES[VEHIDCODE],PROPERTIES[REGION2])</f>
        <v>NO_REGION</v>
      </c>
      <c r="F445" s="38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8" t="str">
        <f>_xlfn.XLOOKUP($A446,PROPERTIES[VEHIDCODE],PROPERTIES[REGION1])</f>
        <v>WESTERN_EUROPE</v>
      </c>
      <c r="E446" s="38" t="str">
        <f>_xlfn.XLOOKUP($A446,PROPERTIES[VEHIDCODE],PROPERTIES[REGION2])</f>
        <v>NO_REGION</v>
      </c>
      <c r="F446" s="38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8" t="str">
        <f>_xlfn.XLOOKUP($A447,PROPERTIES[VEHIDCODE],PROPERTIES[REGION1])</f>
        <v>SOUTHERN_EUROPE</v>
      </c>
      <c r="E447" s="38" t="str">
        <f>_xlfn.XLOOKUP($A447,PROPERTIES[VEHIDCODE],PROPERTIES[REGION2])</f>
        <v>NO_REGION</v>
      </c>
      <c r="F447" s="38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8" t="str">
        <f>_xlfn.XLOOKUP($A448,PROPERTIES[VEHIDCODE],PROPERTIES[REGION1])</f>
        <v>ASIA</v>
      </c>
      <c r="E448" s="38" t="str">
        <f>_xlfn.XLOOKUP($A448,PROPERTIES[VEHIDCODE],PROPERTIES[REGION2])</f>
        <v>NO_REGION</v>
      </c>
      <c r="F448" s="38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8" t="str">
        <f>_xlfn.XLOOKUP($A449,PROPERTIES[VEHIDCODE],PROPERTIES[REGION1])</f>
        <v>NORTHERN_EUROPE</v>
      </c>
      <c r="E449" s="38" t="str">
        <f>_xlfn.XLOOKUP($A449,PROPERTIES[VEHIDCODE],PROPERTIES[REGION2])</f>
        <v>NO_REGION</v>
      </c>
      <c r="F449" s="38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8" t="str">
        <f>_xlfn.XLOOKUP($A450,PROPERTIES[VEHIDCODE],PROPERTIES[REGION1])</f>
        <v>NORTH_AMERICA</v>
      </c>
      <c r="E450" s="38" t="str">
        <f>_xlfn.XLOOKUP($A450,PROPERTIES[VEHIDCODE],PROPERTIES[REGION2])</f>
        <v>NO_REGION</v>
      </c>
      <c r="F450" s="38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8" t="str">
        <f>_xlfn.XLOOKUP($A451,PROPERTIES[VEHIDCODE],PROPERTIES[REGION1])</f>
        <v>WESTERN_EUROPE</v>
      </c>
      <c r="E451" s="38" t="str">
        <f>_xlfn.XLOOKUP($A451,PROPERTIES[VEHIDCODE],PROPERTIES[REGION2])</f>
        <v>NO_REGION</v>
      </c>
      <c r="F451" s="38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8" t="str">
        <f>_xlfn.XLOOKUP($A452,PROPERTIES[VEHIDCODE],PROPERTIES[REGION1])</f>
        <v>WESTERN_EUROPE</v>
      </c>
      <c r="E452" s="38" t="str">
        <f>_xlfn.XLOOKUP($A452,PROPERTIES[VEHIDCODE],PROPERTIES[REGION2])</f>
        <v>NO_REGION</v>
      </c>
      <c r="F452" s="38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8" t="str">
        <f>_xlfn.XLOOKUP($A453,PROPERTIES[VEHIDCODE],PROPERTIES[REGION1])</f>
        <v>WESTERN_EUROPE</v>
      </c>
      <c r="E453" s="38" t="str">
        <f>_xlfn.XLOOKUP($A453,PROPERTIES[VEHIDCODE],PROPERTIES[REGION2])</f>
        <v>NO_REGION</v>
      </c>
      <c r="F453" s="38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8" t="str">
        <f>_xlfn.XLOOKUP($A454,PROPERTIES[VEHIDCODE],PROPERTIES[REGION1])</f>
        <v>OCEANIA</v>
      </c>
      <c r="E454" s="38" t="str">
        <f>_xlfn.XLOOKUP($A454,PROPERTIES[VEHIDCODE],PROPERTIES[REGION2])</f>
        <v>NO_REGION</v>
      </c>
      <c r="F454" s="38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8" t="str">
        <f>_xlfn.XLOOKUP($A455,PROPERTIES[VEHIDCODE],PROPERTIES[REGION1])</f>
        <v>EASTERN_EUROPE</v>
      </c>
      <c r="E455" s="38" t="str">
        <f>_xlfn.XLOOKUP($A455,PROPERTIES[VEHIDCODE],PROPERTIES[REGION2])</f>
        <v>NO_REGION</v>
      </c>
      <c r="F455" s="38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8" t="str">
        <f>_xlfn.XLOOKUP($A456,PROPERTIES[VEHIDCODE],PROPERTIES[REGION1])</f>
        <v>WESTERN_EUROPE</v>
      </c>
      <c r="E456" s="38" t="str">
        <f>_xlfn.XLOOKUP($A456,PROPERTIES[VEHIDCODE],PROPERTIES[REGION2])</f>
        <v>NO_REGION</v>
      </c>
      <c r="F456" s="38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8" t="str">
        <f>_xlfn.XLOOKUP($A457,PROPERTIES[VEHIDCODE],PROPERTIES[REGION1])</f>
        <v>OCEANIA</v>
      </c>
      <c r="E457" s="38" t="str">
        <f>_xlfn.XLOOKUP($A457,PROPERTIES[VEHIDCODE],PROPERTIES[REGION2])</f>
        <v>NO_REGION</v>
      </c>
      <c r="F457" s="38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8" t="str">
        <f>_xlfn.XLOOKUP($A458,PROPERTIES[VEHIDCODE],PROPERTIES[REGION1])</f>
        <v>WESTERN_EUROPE</v>
      </c>
      <c r="E458" s="38" t="str">
        <f>_xlfn.XLOOKUP($A458,PROPERTIES[VEHIDCODE],PROPERTIES[REGION2])</f>
        <v>NO_REGION</v>
      </c>
      <c r="F458" s="38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8" t="str">
        <f>_xlfn.XLOOKUP($A459,PROPERTIES[VEHIDCODE],PROPERTIES[REGION1])</f>
        <v>WESTERN_EUROPE</v>
      </c>
      <c r="E459" s="38" t="str">
        <f>_xlfn.XLOOKUP($A459,PROPERTIES[VEHIDCODE],PROPERTIES[REGION2])</f>
        <v>NO_REGION</v>
      </c>
      <c r="F459" s="38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8" t="str">
        <f>_xlfn.XLOOKUP($A460,PROPERTIES[VEHIDCODE],PROPERTIES[REGION1])</f>
        <v>NORTH_AMERICA</v>
      </c>
      <c r="E460" s="38" t="str">
        <f>_xlfn.XLOOKUP($A460,PROPERTIES[VEHIDCODE],PROPERTIES[REGION2])</f>
        <v>NO_REGION</v>
      </c>
      <c r="F460" s="38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8" t="str">
        <f>_xlfn.XLOOKUP($A461,PROPERTIES[VEHIDCODE],PROPERTIES[REGION1])</f>
        <v>EASTERN_EUROPE</v>
      </c>
      <c r="E461" s="38" t="str">
        <f>_xlfn.XLOOKUP($A461,PROPERTIES[VEHIDCODE],PROPERTIES[REGION2])</f>
        <v>NO_REGION</v>
      </c>
      <c r="F461" s="38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8" t="str">
        <f>_xlfn.XLOOKUP($A462,PROPERTIES[VEHIDCODE],PROPERTIES[REGION1])</f>
        <v>NORTHERN_EUROPE</v>
      </c>
      <c r="E462" s="38" t="str">
        <f>_xlfn.XLOOKUP($A462,PROPERTIES[VEHIDCODE],PROPERTIES[REGION2])</f>
        <v>NO_REGION</v>
      </c>
      <c r="F462" s="38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8" t="str">
        <f>_xlfn.XLOOKUP($A463,PROPERTIES[VEHIDCODE],PROPERTIES[REGION1])</f>
        <v>NORTH_AMERICA</v>
      </c>
      <c r="E463" s="38" t="str">
        <f>_xlfn.XLOOKUP($A463,PROPERTIES[VEHIDCODE],PROPERTIES[REGION2])</f>
        <v>NO_REGION</v>
      </c>
      <c r="F463" s="38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8" t="str">
        <f>_xlfn.XLOOKUP($A464,PROPERTIES[VEHIDCODE],PROPERTIES[REGION1])</f>
        <v>NORTHERN_EUROPE</v>
      </c>
      <c r="E464" s="38" t="str">
        <f>_xlfn.XLOOKUP($A464,PROPERTIES[VEHIDCODE],PROPERTIES[REGION2])</f>
        <v>NO_REGION</v>
      </c>
      <c r="F464" s="38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8" t="str">
        <f>_xlfn.XLOOKUP($A465,PROPERTIES[VEHIDCODE],PROPERTIES[REGION1])</f>
        <v>SOUTHERN_EUROPE</v>
      </c>
      <c r="E465" s="38" t="str">
        <f>_xlfn.XLOOKUP($A465,PROPERTIES[VEHIDCODE],PROPERTIES[REGION2])</f>
        <v>NO_REGION</v>
      </c>
      <c r="F465" s="38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8" t="str">
        <f>_xlfn.XLOOKUP($A466,PROPERTIES[VEHIDCODE],PROPERTIES[REGION1])</f>
        <v>NORTHERN_EUROPE</v>
      </c>
      <c r="E466" s="38" t="str">
        <f>_xlfn.XLOOKUP($A466,PROPERTIES[VEHIDCODE],PROPERTIES[REGION2])</f>
        <v>NO_REGION</v>
      </c>
      <c r="F466" s="38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8" t="str">
        <f>_xlfn.XLOOKUP($A467,PROPERTIES[VEHIDCODE],PROPERTIES[REGION1])</f>
        <v>WESTERN_EUROPE</v>
      </c>
      <c r="E467" s="38" t="str">
        <f>_xlfn.XLOOKUP($A467,PROPERTIES[VEHIDCODE],PROPERTIES[REGION2])</f>
        <v>NO_REGION</v>
      </c>
      <c r="F467" s="38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8" t="str">
        <f>_xlfn.XLOOKUP($A468,PROPERTIES[VEHIDCODE],PROPERTIES[REGION1])</f>
        <v>WESTERN_EUROPE</v>
      </c>
      <c r="E468" s="38" t="str">
        <f>_xlfn.XLOOKUP($A468,PROPERTIES[VEHIDCODE],PROPERTIES[REGION2])</f>
        <v>NO_REGION</v>
      </c>
      <c r="F468" s="38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8" t="str">
        <f>_xlfn.XLOOKUP($A469,PROPERTIES[VEHIDCODE],PROPERTIES[REGION1])</f>
        <v>NORTHERN_EUROPE</v>
      </c>
      <c r="E469" s="38" t="str">
        <f>_xlfn.XLOOKUP($A469,PROPERTIES[VEHIDCODE],PROPERTIES[REGION2])</f>
        <v>NO_REGION</v>
      </c>
      <c r="F469" s="38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8" t="str">
        <f>_xlfn.XLOOKUP($A470,PROPERTIES[VEHIDCODE],PROPERTIES[REGION1])</f>
        <v>NORTHERN_EUROPE</v>
      </c>
      <c r="E470" s="38" t="str">
        <f>_xlfn.XLOOKUP($A470,PROPERTIES[VEHIDCODE],PROPERTIES[REGION2])</f>
        <v>NO_REGION</v>
      </c>
      <c r="F470" s="38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8" t="str">
        <f>_xlfn.XLOOKUP($A471,PROPERTIES[VEHIDCODE],PROPERTIES[REGION1])</f>
        <v>OCEANIA</v>
      </c>
      <c r="E471" s="38" t="str">
        <f>_xlfn.XLOOKUP($A471,PROPERTIES[VEHIDCODE],PROPERTIES[REGION2])</f>
        <v>NO_REGION</v>
      </c>
      <c r="F471" s="38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8" t="str">
        <f>_xlfn.XLOOKUP($A472,PROPERTIES[VEHIDCODE],PROPERTIES[REGION1])</f>
        <v>OCEANIA</v>
      </c>
      <c r="E472" s="38" t="str">
        <f>_xlfn.XLOOKUP($A472,PROPERTIES[VEHIDCODE],PROPERTIES[REGION2])</f>
        <v>NO_REGION</v>
      </c>
      <c r="F472" s="38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8" t="str">
        <f>_xlfn.XLOOKUP($A473,PROPERTIES[VEHIDCODE],PROPERTIES[REGION1])</f>
        <v>ASIA</v>
      </c>
      <c r="E473" s="38" t="str">
        <f>_xlfn.XLOOKUP($A473,PROPERTIES[VEHIDCODE],PROPERTIES[REGION2])</f>
        <v>NO_REGION</v>
      </c>
      <c r="F473" s="38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8" t="str">
        <f>_xlfn.XLOOKUP($A474,PROPERTIES[VEHIDCODE],PROPERTIES[REGION1])</f>
        <v>NORTHERN_EUROPE</v>
      </c>
      <c r="E474" s="38" t="str">
        <f>_xlfn.XLOOKUP($A474,PROPERTIES[VEHIDCODE],PROPERTIES[REGION2])</f>
        <v>NO_REGION</v>
      </c>
      <c r="F474" s="38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8" t="str">
        <f>_xlfn.XLOOKUP($A475,PROPERTIES[VEHIDCODE],PROPERTIES[REGION1])</f>
        <v>EASTERN_EUROPE</v>
      </c>
      <c r="E475" s="38" t="str">
        <f>_xlfn.XLOOKUP($A475,PROPERTIES[VEHIDCODE],PROPERTIES[REGION2])</f>
        <v>NO_REGION</v>
      </c>
      <c r="F475" s="38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8" t="str">
        <f>_xlfn.XLOOKUP($A476,PROPERTIES[VEHIDCODE],PROPERTIES[REGION1])</f>
        <v>ASIA</v>
      </c>
      <c r="E476" s="38" t="str">
        <f>_xlfn.XLOOKUP($A476,PROPERTIES[VEHIDCODE],PROPERTIES[REGION2])</f>
        <v>NO_REGION</v>
      </c>
      <c r="F476" s="38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8" t="str">
        <f>_xlfn.XLOOKUP($A477,PROPERTIES[VEHIDCODE],PROPERTIES[REGION1])</f>
        <v>ASIA</v>
      </c>
      <c r="E477" s="38" t="str">
        <f>_xlfn.XLOOKUP($A477,PROPERTIES[VEHIDCODE],PROPERTIES[REGION2])</f>
        <v>NO_REGION</v>
      </c>
      <c r="F477" s="38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8" t="str">
        <f>_xlfn.XLOOKUP($A478,PROPERTIES[VEHIDCODE],PROPERTIES[REGION1])</f>
        <v>EASTERN_EUROPE</v>
      </c>
      <c r="E478" s="38" t="str">
        <f>_xlfn.XLOOKUP($A478,PROPERTIES[VEHIDCODE],PROPERTIES[REGION2])</f>
        <v>NO_REGION</v>
      </c>
      <c r="F478" s="38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8" t="str">
        <f>_xlfn.XLOOKUP($A479,PROPERTIES[VEHIDCODE],PROPERTIES[REGION1])</f>
        <v>NORTHERN_EUROPE</v>
      </c>
      <c r="E479" s="38" t="str">
        <f>_xlfn.XLOOKUP($A479,PROPERTIES[VEHIDCODE],PROPERTIES[REGION2])</f>
        <v>NO_REGION</v>
      </c>
      <c r="F479" s="38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8" t="str">
        <f>_xlfn.XLOOKUP($A480,PROPERTIES[VEHIDCODE],PROPERTIES[REGION1])</f>
        <v>ASIA</v>
      </c>
      <c r="E480" s="38" t="str">
        <f>_xlfn.XLOOKUP($A480,PROPERTIES[VEHIDCODE],PROPERTIES[REGION2])</f>
        <v>NO_REGION</v>
      </c>
      <c r="F480" s="38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8" t="str">
        <f>_xlfn.XLOOKUP($A481,PROPERTIES[VEHIDCODE],PROPERTIES[REGION1])</f>
        <v>ASIA</v>
      </c>
      <c r="E481" s="38" t="str">
        <f>_xlfn.XLOOKUP($A481,PROPERTIES[VEHIDCODE],PROPERTIES[REGION2])</f>
        <v>NO_REGION</v>
      </c>
      <c r="F481" s="38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8" t="str">
        <f>_xlfn.XLOOKUP($A482,PROPERTIES[VEHIDCODE],PROPERTIES[REGION1])</f>
        <v>OCEANIA</v>
      </c>
      <c r="E482" s="38" t="str">
        <f>_xlfn.XLOOKUP($A482,PROPERTIES[VEHIDCODE],PROPERTIES[REGION2])</f>
        <v>NO_REGION</v>
      </c>
      <c r="F482" s="38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8" t="str">
        <f>_xlfn.XLOOKUP($A483,PROPERTIES[VEHIDCODE],PROPERTIES[REGION1])</f>
        <v>OCEANIA</v>
      </c>
      <c r="E483" s="38" t="str">
        <f>_xlfn.XLOOKUP($A483,PROPERTIES[VEHIDCODE],PROPERTIES[REGION2])</f>
        <v>NO_REGION</v>
      </c>
      <c r="F483" s="38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8" t="str">
        <f>_xlfn.XLOOKUP($A484,PROPERTIES[VEHIDCODE],PROPERTIES[REGION1])</f>
        <v>ASIA</v>
      </c>
      <c r="E484" s="38" t="str">
        <f>_xlfn.XLOOKUP($A484,PROPERTIES[VEHIDCODE],PROPERTIES[REGION2])</f>
        <v>NO_REGION</v>
      </c>
      <c r="F484" s="38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8" t="str">
        <f>_xlfn.XLOOKUP($A485,PROPERTIES[VEHIDCODE],PROPERTIES[REGION1])</f>
        <v>ASIA</v>
      </c>
      <c r="E485" s="38" t="str">
        <f>_xlfn.XLOOKUP($A485,PROPERTIES[VEHIDCODE],PROPERTIES[REGION2])</f>
        <v>NO_REGION</v>
      </c>
      <c r="F485" s="38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8" t="str">
        <f>_xlfn.XLOOKUP($A486,PROPERTIES[VEHIDCODE],PROPERTIES[REGION1])</f>
        <v>EASTERN_EUROPE</v>
      </c>
      <c r="E486" s="38" t="str">
        <f>_xlfn.XLOOKUP($A486,PROPERTIES[VEHIDCODE],PROPERTIES[REGION2])</f>
        <v>NO_REGION</v>
      </c>
      <c r="F486" s="38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8" t="str">
        <f>_xlfn.XLOOKUP($A487,PROPERTIES[VEHIDCODE],PROPERTIES[REGION1])</f>
        <v>SOUTH_AMERICA</v>
      </c>
      <c r="E487" s="38" t="str">
        <f>_xlfn.XLOOKUP($A487,PROPERTIES[VEHIDCODE],PROPERTIES[REGION2])</f>
        <v>NO_REGION</v>
      </c>
      <c r="F487" s="38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8" t="str">
        <f>_xlfn.XLOOKUP($A488,PROPERTIES[VEHIDCODE],PROPERTIES[REGION1])</f>
        <v>AFRICA</v>
      </c>
      <c r="E488" s="38" t="str">
        <f>_xlfn.XLOOKUP($A488,PROPERTIES[VEHIDCODE],PROPERTIES[REGION2])</f>
        <v>NO_REGION</v>
      </c>
      <c r="F488" s="38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8" t="str">
        <f>_xlfn.XLOOKUP($A489,PROPERTIES[VEHIDCODE],PROPERTIES[REGION1])</f>
        <v>NORTHERN_EUROPE</v>
      </c>
      <c r="E489" s="38" t="str">
        <f>_xlfn.XLOOKUP($A489,PROPERTIES[VEHIDCODE],PROPERTIES[REGION2])</f>
        <v>NO_REGION</v>
      </c>
      <c r="F489" s="38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8" t="str">
        <f>_xlfn.XLOOKUP($A490,PROPERTIES[VEHIDCODE],PROPERTIES[REGION1])</f>
        <v>OCEANIA</v>
      </c>
      <c r="E490" s="38" t="str">
        <f>_xlfn.XLOOKUP($A490,PROPERTIES[VEHIDCODE],PROPERTIES[REGION2])</f>
        <v>NO_REGION</v>
      </c>
      <c r="F490" s="38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8" t="str">
        <f>_xlfn.XLOOKUP($A491,PROPERTIES[VEHIDCODE],PROPERTIES[REGION1])</f>
        <v>WESTERN_EUROPE</v>
      </c>
      <c r="E491" s="38" t="str">
        <f>_xlfn.XLOOKUP($A491,PROPERTIES[VEHIDCODE],PROPERTIES[REGION2])</f>
        <v>NO_REGION</v>
      </c>
      <c r="F491" s="38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8" t="str">
        <f>_xlfn.XLOOKUP($A492,PROPERTIES[VEHIDCODE],PROPERTIES[REGION1])</f>
        <v>WESTERN_EUROPE</v>
      </c>
      <c r="E492" s="38" t="str">
        <f>_xlfn.XLOOKUP($A492,PROPERTIES[VEHIDCODE],PROPERTIES[REGION2])</f>
        <v>NO_REGION</v>
      </c>
      <c r="F492" s="38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8" t="str">
        <f>_xlfn.XLOOKUP($A493,PROPERTIES[VEHIDCODE],PROPERTIES[REGION1])</f>
        <v>WESTERN_EUROPE</v>
      </c>
      <c r="E493" s="38" t="str">
        <f>_xlfn.XLOOKUP($A493,PROPERTIES[VEHIDCODE],PROPERTIES[REGION2])</f>
        <v>NO_REGION</v>
      </c>
      <c r="F493" s="38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8" t="str">
        <f>_xlfn.XLOOKUP($A494,PROPERTIES[VEHIDCODE],PROPERTIES[REGION1])</f>
        <v>WESTERN_EUROPE</v>
      </c>
      <c r="E494" s="38" t="str">
        <f>_xlfn.XLOOKUP($A494,PROPERTIES[VEHIDCODE],PROPERTIES[REGION2])</f>
        <v>NO_REGION</v>
      </c>
      <c r="F494" s="38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8" t="str">
        <f>_xlfn.XLOOKUP($A495,PROPERTIES[VEHIDCODE],PROPERTIES[REGION1])</f>
        <v>AFRICA</v>
      </c>
      <c r="E495" s="38" t="str">
        <f>_xlfn.XLOOKUP($A495,PROPERTIES[VEHIDCODE],PROPERTIES[REGION2])</f>
        <v>NO_REGION</v>
      </c>
      <c r="F495" s="38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8" t="str">
        <f>_xlfn.XLOOKUP($A496,PROPERTIES[VEHIDCODE],PROPERTIES[REGION1])</f>
        <v>AFRICA</v>
      </c>
      <c r="E496" s="38" t="str">
        <f>_xlfn.XLOOKUP($A496,PROPERTIES[VEHIDCODE],PROPERTIES[REGION2])</f>
        <v>NO_REGION</v>
      </c>
      <c r="F496" s="38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8" t="str">
        <f>_xlfn.XLOOKUP($A497,PROPERTIES[VEHIDCODE],PROPERTIES[REGION1])</f>
        <v>AFRICA</v>
      </c>
      <c r="E497" s="38" t="str">
        <f>_xlfn.XLOOKUP($A497,PROPERTIES[VEHIDCODE],PROPERTIES[REGION2])</f>
        <v>NO_REGION</v>
      </c>
      <c r="F497" s="38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8" t="str">
        <f>_xlfn.XLOOKUP($A498,PROPERTIES[VEHIDCODE],PROPERTIES[REGION1])</f>
        <v>OCEANIA</v>
      </c>
      <c r="E498" s="38" t="str">
        <f>_xlfn.XLOOKUP($A498,PROPERTIES[VEHIDCODE],PROPERTIES[REGION2])</f>
        <v>NO_REGION</v>
      </c>
      <c r="F498" s="38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8" t="str">
        <f>_xlfn.XLOOKUP($A499,PROPERTIES[VEHIDCODE],PROPERTIES[REGION1])</f>
        <v>NORTH_AMERICA</v>
      </c>
      <c r="E499" s="38" t="str">
        <f>_xlfn.XLOOKUP($A499,PROPERTIES[VEHIDCODE],PROPERTIES[REGION2])</f>
        <v>NO_REGION</v>
      </c>
      <c r="F499" s="38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8" t="str">
        <f>_xlfn.XLOOKUP($A500,PROPERTIES[VEHIDCODE],PROPERTIES[REGION1])</f>
        <v>SOUTH_AMERICA</v>
      </c>
      <c r="E500" s="38" t="str">
        <f>_xlfn.XLOOKUP($A500,PROPERTIES[VEHIDCODE],PROPERTIES[REGION2])</f>
        <v>NO_REGION</v>
      </c>
      <c r="F500" s="38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8" t="str">
        <f>_xlfn.XLOOKUP($A501,PROPERTIES[VEHIDCODE],PROPERTIES[REGION1])</f>
        <v>SOUTHERN_EUROPE</v>
      </c>
      <c r="E501" s="38" t="str">
        <f>_xlfn.XLOOKUP($A501,PROPERTIES[VEHIDCODE],PROPERTIES[REGION2])</f>
        <v>NO_REGION</v>
      </c>
      <c r="F501" s="38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8" t="str">
        <f>_xlfn.XLOOKUP($A502,PROPERTIES[VEHIDCODE],PROPERTIES[REGION1])</f>
        <v>SOUTHERN_EUROPE</v>
      </c>
      <c r="E502" s="38" t="str">
        <f>_xlfn.XLOOKUP($A502,PROPERTIES[VEHIDCODE],PROPERTIES[REGION2])</f>
        <v>NO_REGION</v>
      </c>
      <c r="F502" s="38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8" t="str">
        <f>_xlfn.XLOOKUP($A503,PROPERTIES[VEHIDCODE],PROPERTIES[REGION1])</f>
        <v>SOUTHERN_EUROPE</v>
      </c>
      <c r="E503" s="38" t="str">
        <f>_xlfn.XLOOKUP($A503,PROPERTIES[VEHIDCODE],PROPERTIES[REGION2])</f>
        <v>NO_REGION</v>
      </c>
      <c r="F503" s="38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8" t="str">
        <f>_xlfn.XLOOKUP($A504,PROPERTIES[VEHIDCODE],PROPERTIES[REGION1])</f>
        <v>SOUTHERN_EUROPE</v>
      </c>
      <c r="E504" s="38" t="str">
        <f>_xlfn.XLOOKUP($A504,PROPERTIES[VEHIDCODE],PROPERTIES[REGION2])</f>
        <v>NO_REGION</v>
      </c>
      <c r="F504" s="38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8" t="str">
        <f>_xlfn.XLOOKUP($A505,PROPERTIES[VEHIDCODE],PROPERTIES[REGION1])</f>
        <v>WESTERN_EUROPE</v>
      </c>
      <c r="E505" s="38" t="str">
        <f>_xlfn.XLOOKUP($A505,PROPERTIES[VEHIDCODE],PROPERTIES[REGION2])</f>
        <v>NO_REGION</v>
      </c>
      <c r="F505" s="38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8" t="str">
        <f>_xlfn.XLOOKUP($A506,PROPERTIES[VEHIDCODE],PROPERTIES[REGION1])</f>
        <v>OCEANIA</v>
      </c>
      <c r="E506" s="38" t="str">
        <f>_xlfn.XLOOKUP($A506,PROPERTIES[VEHIDCODE],PROPERTIES[REGION2])</f>
        <v>NO_REGION</v>
      </c>
      <c r="F506" s="38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8" t="str">
        <f>_xlfn.XLOOKUP($A507,PROPERTIES[VEHIDCODE],PROPERTIES[REGION1])</f>
        <v>NORTHERN_EUROPE</v>
      </c>
      <c r="E507" s="38" t="str">
        <f>_xlfn.XLOOKUP($A507,PROPERTIES[VEHIDCODE],PROPERTIES[REGION2])</f>
        <v>NO_REGION</v>
      </c>
      <c r="F507" s="38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8" t="str">
        <f>_xlfn.XLOOKUP($A508,PROPERTIES[VEHIDCODE],PROPERTIES[REGION1])</f>
        <v>NORTHERN_EUROPE</v>
      </c>
      <c r="E508" s="38" t="str">
        <f>_xlfn.XLOOKUP($A508,PROPERTIES[VEHIDCODE],PROPERTIES[REGION2])</f>
        <v>NO_REGION</v>
      </c>
      <c r="F508" s="38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8" t="str">
        <f>_xlfn.XLOOKUP($A509,PROPERTIES[VEHIDCODE],PROPERTIES[REGION1])</f>
        <v>SOUTHERN_EUROPE</v>
      </c>
      <c r="E509" s="38" t="str">
        <f>_xlfn.XLOOKUP($A509,PROPERTIES[VEHIDCODE],PROPERTIES[REGION2])</f>
        <v>NO_REGION</v>
      </c>
      <c r="F509" s="38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8" t="str">
        <f>_xlfn.XLOOKUP($A510,PROPERTIES[VEHIDCODE],PROPERTIES[REGION1])</f>
        <v>WESTERN_EUROPE</v>
      </c>
      <c r="E510" s="38" t="str">
        <f>_xlfn.XLOOKUP($A510,PROPERTIES[VEHIDCODE],PROPERTIES[REGION2])</f>
        <v>NO_REGION</v>
      </c>
      <c r="F510" s="38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8" t="str">
        <f>_xlfn.XLOOKUP($A511,PROPERTIES[VEHIDCODE],PROPERTIES[REGION1])</f>
        <v>WESTERN_EUROPE</v>
      </c>
      <c r="E511" s="38" t="str">
        <f>_xlfn.XLOOKUP($A511,PROPERTIES[VEHIDCODE],PROPERTIES[REGION2])</f>
        <v>NO_REGION</v>
      </c>
      <c r="F511" s="38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8" t="str">
        <f>_xlfn.XLOOKUP($A512,PROPERTIES[VEHIDCODE],PROPERTIES[REGION1])</f>
        <v>WESTERN_EUROPE</v>
      </c>
      <c r="E512" s="38" t="str">
        <f>_xlfn.XLOOKUP($A512,PROPERTIES[VEHIDCODE],PROPERTIES[REGION2])</f>
        <v>NO_REGION</v>
      </c>
      <c r="F512" s="38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8" t="str">
        <f>_xlfn.XLOOKUP($A513,PROPERTIES[VEHIDCODE],PROPERTIES[REGION1])</f>
        <v>WESTERN_EUROPE</v>
      </c>
      <c r="E513" s="38" t="str">
        <f>_xlfn.XLOOKUP($A513,PROPERTIES[VEHIDCODE],PROPERTIES[REGION2])</f>
        <v>NO_REGION</v>
      </c>
      <c r="F513" s="38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8" t="str">
        <f>_xlfn.XLOOKUP($A514,PROPERTIES[VEHIDCODE],PROPERTIES[REGION1])</f>
        <v>WESTERN_EUROPE</v>
      </c>
      <c r="E514" s="38" t="str">
        <f>_xlfn.XLOOKUP($A514,PROPERTIES[VEHIDCODE],PROPERTIES[REGION2])</f>
        <v>NO_REGION</v>
      </c>
      <c r="F514" s="38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8" t="str">
        <f>_xlfn.XLOOKUP($A515,PROPERTIES[VEHIDCODE],PROPERTIES[REGION1])</f>
        <v>WESTERN_EUROPE</v>
      </c>
      <c r="E515" s="38" t="str">
        <f>_xlfn.XLOOKUP($A515,PROPERTIES[VEHIDCODE],PROPERTIES[REGION2])</f>
        <v>NO_REGION</v>
      </c>
      <c r="F515" s="38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8" t="str">
        <f>_xlfn.XLOOKUP($A516,PROPERTIES[VEHIDCODE],PROPERTIES[REGION1])</f>
        <v>WESTERN_EUROPE</v>
      </c>
      <c r="E516" s="38" t="str">
        <f>_xlfn.XLOOKUP($A516,PROPERTIES[VEHIDCODE],PROPERTIES[REGION2])</f>
        <v>NO_REGION</v>
      </c>
      <c r="F516" s="38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8" t="str">
        <f>_xlfn.XLOOKUP($A517,PROPERTIES[VEHIDCODE],PROPERTIES[REGION1])</f>
        <v>EASTERN_EUROPE</v>
      </c>
      <c r="E517" s="38" t="str">
        <f>_xlfn.XLOOKUP($A517,PROPERTIES[VEHIDCODE],PROPERTIES[REGION2])</f>
        <v>NO_REGION</v>
      </c>
      <c r="F517" s="38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8" t="str">
        <f>_xlfn.XLOOKUP($A518,PROPERTIES[VEHIDCODE],PROPERTIES[REGION1])</f>
        <v>SOUTHERN_EUROPE</v>
      </c>
      <c r="E518" s="38" t="str">
        <f>_xlfn.XLOOKUP($A518,PROPERTIES[VEHIDCODE],PROPERTIES[REGION2])</f>
        <v>NO_REGION</v>
      </c>
      <c r="F518" s="38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8" t="str">
        <f>_xlfn.XLOOKUP($A519,PROPERTIES[VEHIDCODE],PROPERTIES[REGION1])</f>
        <v>SOUTHERN_EUROPE</v>
      </c>
      <c r="E519" s="38" t="str">
        <f>_xlfn.XLOOKUP($A519,PROPERTIES[VEHIDCODE],PROPERTIES[REGION2])</f>
        <v>NO_REGION</v>
      </c>
      <c r="F519" s="38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8" t="str">
        <f>_xlfn.XLOOKUP($A520,PROPERTIES[VEHIDCODE],PROPERTIES[REGION1])</f>
        <v>SOUTHERN_EUROPE</v>
      </c>
      <c r="E520" s="38" t="str">
        <f>_xlfn.XLOOKUP($A520,PROPERTIES[VEHIDCODE],PROPERTIES[REGION2])</f>
        <v>NO_REGION</v>
      </c>
      <c r="F520" s="38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8" t="str">
        <f>_xlfn.XLOOKUP($A521,PROPERTIES[VEHIDCODE],PROPERTIES[REGION1])</f>
        <v>SOUTHERN_EUROPE</v>
      </c>
      <c r="E521" s="38" t="str">
        <f>_xlfn.XLOOKUP($A521,PROPERTIES[VEHIDCODE],PROPERTIES[REGION2])</f>
        <v>NO_REGION</v>
      </c>
      <c r="F521" s="38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8" t="str">
        <f>_xlfn.XLOOKUP($A522,PROPERTIES[VEHIDCODE],PROPERTIES[REGION1])</f>
        <v>AFRICA</v>
      </c>
      <c r="E522" s="38" t="str">
        <f>_xlfn.XLOOKUP($A522,PROPERTIES[VEHIDCODE],PROPERTIES[REGION2])</f>
        <v>NO_REGION</v>
      </c>
      <c r="F522" s="38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8" t="str">
        <f>_xlfn.XLOOKUP($A523,PROPERTIES[VEHIDCODE],PROPERTIES[REGION1])</f>
        <v>EASTERN_EUROPE</v>
      </c>
      <c r="E523" s="38" t="str">
        <f>_xlfn.XLOOKUP($A523,PROPERTIES[VEHIDCODE],PROPERTIES[REGION2])</f>
        <v>NO_REGION</v>
      </c>
      <c r="F523" s="38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8" t="str">
        <f>_xlfn.XLOOKUP($A524,PROPERTIES[VEHIDCODE],PROPERTIES[REGION1])</f>
        <v>SOUTHERN_EUROPE</v>
      </c>
      <c r="E524" s="38" t="str">
        <f>_xlfn.XLOOKUP($A524,PROPERTIES[VEHIDCODE],PROPERTIES[REGION2])</f>
        <v>NO_REGION</v>
      </c>
      <c r="F524" s="38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8" t="str">
        <f>_xlfn.XLOOKUP($A525,PROPERTIES[VEHIDCODE],PROPERTIES[REGION1])</f>
        <v>WESTERN_EUROPE</v>
      </c>
      <c r="E525" s="38" t="str">
        <f>_xlfn.XLOOKUP($A525,PROPERTIES[VEHIDCODE],PROPERTIES[REGION2])</f>
        <v>NO_REGION</v>
      </c>
      <c r="F525" s="38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8" t="str">
        <f>_xlfn.XLOOKUP($A526,PROPERTIES[VEHIDCODE],PROPERTIES[REGION1])</f>
        <v>WESTERN_EUROPE</v>
      </c>
      <c r="E526" s="38" t="str">
        <f>_xlfn.XLOOKUP($A526,PROPERTIES[VEHIDCODE],PROPERTIES[REGION2])</f>
        <v>NO_REGION</v>
      </c>
      <c r="F526" s="38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8" t="str">
        <f>_xlfn.XLOOKUP($A527,PROPERTIES[VEHIDCODE],PROPERTIES[REGION1])</f>
        <v>WESTERN_EUROPE</v>
      </c>
      <c r="E527" s="38" t="str">
        <f>_xlfn.XLOOKUP($A527,PROPERTIES[VEHIDCODE],PROPERTIES[REGION2])</f>
        <v>NO_REGION</v>
      </c>
      <c r="F527" s="38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8" t="str">
        <f>_xlfn.XLOOKUP($A528,PROPERTIES[VEHIDCODE],PROPERTIES[REGION1])</f>
        <v>WESTERN_EUROPE</v>
      </c>
      <c r="E528" s="38" t="str">
        <f>_xlfn.XLOOKUP($A528,PROPERTIES[VEHIDCODE],PROPERTIES[REGION2])</f>
        <v>NO_REGION</v>
      </c>
      <c r="F528" s="38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8" t="str">
        <f>_xlfn.XLOOKUP($A529,PROPERTIES[VEHIDCODE],PROPERTIES[REGION1])</f>
        <v>NORTHERN_EUROPE</v>
      </c>
      <c r="E529" s="38" t="str">
        <f>_xlfn.XLOOKUP($A529,PROPERTIES[VEHIDCODE],PROPERTIES[REGION2])</f>
        <v>NO_REGION</v>
      </c>
      <c r="F529" s="38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8" t="str">
        <f>_xlfn.XLOOKUP($A530,PROPERTIES[VEHIDCODE],PROPERTIES[REGION1])</f>
        <v>NORTHERN_EUROPE</v>
      </c>
      <c r="E530" s="38" t="str">
        <f>_xlfn.XLOOKUP($A530,PROPERTIES[VEHIDCODE],PROPERTIES[REGION2])</f>
        <v>NO_REGION</v>
      </c>
      <c r="F530" s="38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8" t="str">
        <f>_xlfn.XLOOKUP($A531,PROPERTIES[VEHIDCODE],PROPERTIES[REGION1])</f>
        <v>NORTHERN_EUROPE</v>
      </c>
      <c r="E531" s="38" t="str">
        <f>_xlfn.XLOOKUP($A531,PROPERTIES[VEHIDCODE],PROPERTIES[REGION2])</f>
        <v>NO_REGION</v>
      </c>
      <c r="F531" s="38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8" t="str">
        <f>_xlfn.XLOOKUP($A532,PROPERTIES[VEHIDCODE],PROPERTIES[REGION1])</f>
        <v>WESTERN_EUROPE</v>
      </c>
      <c r="E532" s="38" t="str">
        <f>_xlfn.XLOOKUP($A532,PROPERTIES[VEHIDCODE],PROPERTIES[REGION2])</f>
        <v>NO_REGION</v>
      </c>
      <c r="F532" s="38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8" t="str">
        <f>_xlfn.XLOOKUP($A533,PROPERTIES[VEHIDCODE],PROPERTIES[REGION1])</f>
        <v>WESTERN_EUROPE</v>
      </c>
      <c r="E533" s="38" t="str">
        <f>_xlfn.XLOOKUP($A533,PROPERTIES[VEHIDCODE],PROPERTIES[REGION2])</f>
        <v>NO_REGION</v>
      </c>
      <c r="F533" s="38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8" t="str">
        <f>_xlfn.XLOOKUP($A534,PROPERTIES[VEHIDCODE],PROPERTIES[REGION1])</f>
        <v>WESTERN_EUROPE</v>
      </c>
      <c r="E534" s="38" t="str">
        <f>_xlfn.XLOOKUP($A534,PROPERTIES[VEHIDCODE],PROPERTIES[REGION2])</f>
        <v>NO_REGION</v>
      </c>
      <c r="F534" s="38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8" t="str">
        <f>_xlfn.XLOOKUP($A535,PROPERTIES[VEHIDCODE],PROPERTIES[REGION1])</f>
        <v>NORTH_AMERICA</v>
      </c>
      <c r="E535" s="38" t="str">
        <f>_xlfn.XLOOKUP($A535,PROPERTIES[VEHIDCODE],PROPERTIES[REGION2])</f>
        <v>NO_REGION</v>
      </c>
      <c r="F535" s="38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8" t="str">
        <f>_xlfn.XLOOKUP($A536,PROPERTIES[VEHIDCODE],PROPERTIES[REGION1])</f>
        <v>WESTERN_EUROPE</v>
      </c>
      <c r="E536" s="38" t="str">
        <f>_xlfn.XLOOKUP($A536,PROPERTIES[VEHIDCODE],PROPERTIES[REGION2])</f>
        <v>NO_REGION</v>
      </c>
      <c r="F536" s="38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8" t="str">
        <f>_xlfn.XLOOKUP($A537,PROPERTIES[VEHIDCODE],PROPERTIES[REGION1])</f>
        <v>EASTERN_EUROPE</v>
      </c>
      <c r="E537" s="38" t="str">
        <f>_xlfn.XLOOKUP($A537,PROPERTIES[VEHIDCODE],PROPERTIES[REGION2])</f>
        <v>NO_REGION</v>
      </c>
      <c r="F537" s="38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8" t="str">
        <f>_xlfn.XLOOKUP($A538,PROPERTIES[VEHIDCODE],PROPERTIES[REGION1])</f>
        <v>NORTHERN_EUROPE</v>
      </c>
      <c r="E538" s="38" t="str">
        <f>_xlfn.XLOOKUP($A538,PROPERTIES[VEHIDCODE],PROPERTIES[REGION2])</f>
        <v>NO_REGION</v>
      </c>
      <c r="F538" s="38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8" t="str">
        <f>_xlfn.XLOOKUP($A539,PROPERTIES[VEHIDCODE],PROPERTIES[REGION1])</f>
        <v>NORTHERN_EUROPE</v>
      </c>
      <c r="E539" s="38" t="str">
        <f>_xlfn.XLOOKUP($A539,PROPERTIES[VEHIDCODE],PROPERTIES[REGION2])</f>
        <v>NO_REGION</v>
      </c>
      <c r="F539" s="38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8" t="str">
        <f>_xlfn.XLOOKUP($A540,PROPERTIES[VEHIDCODE],PROPERTIES[REGION1])</f>
        <v>EASTERN_EUROPE</v>
      </c>
      <c r="E540" s="38" t="str">
        <f>_xlfn.XLOOKUP($A540,PROPERTIES[VEHIDCODE],PROPERTIES[REGION2])</f>
        <v>NO_REGION</v>
      </c>
      <c r="F540" s="38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8" t="str">
        <f>_xlfn.XLOOKUP($A541,PROPERTIES[VEHIDCODE],PROPERTIES[REGION1])</f>
        <v>ALL_EUROPE</v>
      </c>
      <c r="E541" s="38" t="str">
        <f>_xlfn.XLOOKUP($A541,PROPERTIES[VEHIDCODE],PROPERTIES[REGION2])</f>
        <v>NO_REGION</v>
      </c>
      <c r="F541" s="38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8" t="str">
        <f>_xlfn.XLOOKUP($A542,PROPERTIES[VEHIDCODE],PROPERTIES[REGION1])</f>
        <v>ASIA</v>
      </c>
      <c r="E542" s="38" t="str">
        <f>_xlfn.XLOOKUP($A542,PROPERTIES[VEHIDCODE],PROPERTIES[REGION2])</f>
        <v>NO_REGION</v>
      </c>
      <c r="F542" s="38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8" t="str">
        <f>_xlfn.XLOOKUP($A543,PROPERTIES[VEHIDCODE],PROPERTIES[REGION1])</f>
        <v>ASIA</v>
      </c>
      <c r="E543" s="38" t="str">
        <f>_xlfn.XLOOKUP($A543,PROPERTIES[VEHIDCODE],PROPERTIES[REGION2])</f>
        <v>NO_REGION</v>
      </c>
      <c r="F543" s="38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8" t="str">
        <f>_xlfn.XLOOKUP($A544,PROPERTIES[VEHIDCODE],PROPERTIES[REGION1])</f>
        <v>ASIA</v>
      </c>
      <c r="E544" s="38" t="str">
        <f>_xlfn.XLOOKUP($A544,PROPERTIES[VEHIDCODE],PROPERTIES[REGION2])</f>
        <v>NO_REGION</v>
      </c>
      <c r="F544" s="38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8" t="str">
        <f>_xlfn.XLOOKUP($A545,PROPERTIES[VEHIDCODE],PROPERTIES[REGION1])</f>
        <v>WESTERN_EUROPE</v>
      </c>
      <c r="E545" s="38" t="str">
        <f>_xlfn.XLOOKUP($A545,PROPERTIES[VEHIDCODE],PROPERTIES[REGION2])</f>
        <v>NO_REGION</v>
      </c>
      <c r="F545" s="38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8" t="str">
        <f>_xlfn.XLOOKUP($A546,PROPERTIES[VEHIDCODE],PROPERTIES[REGION1])</f>
        <v>SOUTHERN_EUROPE</v>
      </c>
      <c r="E546" s="38" t="str">
        <f>_xlfn.XLOOKUP($A546,PROPERTIES[VEHIDCODE],PROPERTIES[REGION2])</f>
        <v>NO_REGION</v>
      </c>
      <c r="F546" s="38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8" t="str">
        <f>_xlfn.XLOOKUP($A547,PROPERTIES[VEHIDCODE],PROPERTIES[REGION1])</f>
        <v>EASTERN_EUROPE</v>
      </c>
      <c r="E547" s="38" t="str">
        <f>_xlfn.XLOOKUP($A547,PROPERTIES[VEHIDCODE],PROPERTIES[REGION2])</f>
        <v>NO_REGION</v>
      </c>
      <c r="F547" s="38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8" t="str">
        <f>_xlfn.XLOOKUP($A548,PROPERTIES[VEHIDCODE],PROPERTIES[REGION1])</f>
        <v>AFRICA</v>
      </c>
      <c r="E548" s="38" t="str">
        <f>_xlfn.XLOOKUP($A548,PROPERTIES[VEHIDCODE],PROPERTIES[REGION2])</f>
        <v>NO_REGION</v>
      </c>
      <c r="F548" s="38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8" t="str">
        <f>_xlfn.XLOOKUP($A549,PROPERTIES[VEHIDCODE],PROPERTIES[REGION1])</f>
        <v>ASIA</v>
      </c>
      <c r="E549" s="38" t="str">
        <f>_xlfn.XLOOKUP($A549,PROPERTIES[VEHIDCODE],PROPERTIES[REGION2])</f>
        <v>NO_REGION</v>
      </c>
      <c r="F549" s="38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8" t="str">
        <f>_xlfn.XLOOKUP($A550,PROPERTIES[VEHIDCODE],PROPERTIES[REGION1])</f>
        <v>ASIA</v>
      </c>
      <c r="E550" s="38" t="str">
        <f>_xlfn.XLOOKUP($A550,PROPERTIES[VEHIDCODE],PROPERTIES[REGION2])</f>
        <v>NO_REGION</v>
      </c>
      <c r="F550" s="38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8" t="str">
        <f>_xlfn.XLOOKUP($A551,PROPERTIES[VEHIDCODE],PROPERTIES[REGION1])</f>
        <v>NORTH_AMERICA</v>
      </c>
      <c r="E551" s="38" t="str">
        <f>_xlfn.XLOOKUP($A551,PROPERTIES[VEHIDCODE],PROPERTIES[REGION2])</f>
        <v>NO_REGION</v>
      </c>
      <c r="F551" s="38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8" t="str">
        <f>_xlfn.XLOOKUP($A552,PROPERTIES[VEHIDCODE],PROPERTIES[REGION1])</f>
        <v>SOUTHERN_EUROPE</v>
      </c>
      <c r="E552" s="38" t="str">
        <f>_xlfn.XLOOKUP($A552,PROPERTIES[VEHIDCODE],PROPERTIES[REGION2])</f>
        <v>NO_REGION</v>
      </c>
      <c r="F552" s="38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8" t="str">
        <f>_xlfn.XLOOKUP($A553,PROPERTIES[VEHIDCODE],PROPERTIES[REGION1])</f>
        <v>SOUTHERN_EUROPE</v>
      </c>
      <c r="E553" s="38" t="str">
        <f>_xlfn.XLOOKUP($A553,PROPERTIES[VEHIDCODE],PROPERTIES[REGION2])</f>
        <v>NO_REGION</v>
      </c>
      <c r="F553" s="38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8" t="str">
        <f>_xlfn.XLOOKUP($A554,PROPERTIES[VEHIDCODE],PROPERTIES[REGION1])</f>
        <v>WESTERN_EUROPE</v>
      </c>
      <c r="E554" s="38" t="str">
        <f>_xlfn.XLOOKUP($A554,PROPERTIES[VEHIDCODE],PROPERTIES[REGION2])</f>
        <v>NO_REGION</v>
      </c>
      <c r="F554" s="38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8" t="str">
        <f>_xlfn.XLOOKUP($A555,PROPERTIES[VEHIDCODE],PROPERTIES[REGION1])</f>
        <v>WESTERN_EUROPE</v>
      </c>
      <c r="E555" s="38" t="str">
        <f>_xlfn.XLOOKUP($A555,PROPERTIES[VEHIDCODE],PROPERTIES[REGION2])</f>
        <v>NO_REGION</v>
      </c>
      <c r="F555" s="38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8" t="str">
        <f>_xlfn.XLOOKUP($A556,PROPERTIES[VEHIDCODE],PROPERTIES[REGION1])</f>
        <v>WESTERN_EUROPE</v>
      </c>
      <c r="E556" s="38" t="str">
        <f>_xlfn.XLOOKUP($A556,PROPERTIES[VEHIDCODE],PROPERTIES[REGION2])</f>
        <v>NO_REGION</v>
      </c>
      <c r="F556" s="38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8" t="str">
        <f>_xlfn.XLOOKUP($A557,PROPERTIES[VEHIDCODE],PROPERTIES[REGION1])</f>
        <v>NORTH_AMERICA</v>
      </c>
      <c r="E557" s="38" t="str">
        <f>_xlfn.XLOOKUP($A557,PROPERTIES[VEHIDCODE],PROPERTIES[REGION2])</f>
        <v>NO_REGION</v>
      </c>
      <c r="F557" s="38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8" t="str">
        <f>_xlfn.XLOOKUP($A558,PROPERTIES[VEHIDCODE],PROPERTIES[REGION1])</f>
        <v>WESTERN_EUROPE</v>
      </c>
      <c r="E558" s="38" t="str">
        <f>_xlfn.XLOOKUP($A558,PROPERTIES[VEHIDCODE],PROPERTIES[REGION2])</f>
        <v>NO_REGION</v>
      </c>
      <c r="F558" s="38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8" t="str">
        <f>_xlfn.XLOOKUP($A559,PROPERTIES[VEHIDCODE],PROPERTIES[REGION1])</f>
        <v>WESTERN_EUROPE</v>
      </c>
      <c r="E559" s="38" t="str">
        <f>_xlfn.XLOOKUP($A559,PROPERTIES[VEHIDCODE],PROPERTIES[REGION2])</f>
        <v>NO_REGION</v>
      </c>
      <c r="F559" s="38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8" t="str">
        <f>_xlfn.XLOOKUP($A560,PROPERTIES[VEHIDCODE],PROPERTIES[REGION1])</f>
        <v>WESTERN_EUROPE</v>
      </c>
      <c r="E560" s="38" t="str">
        <f>_xlfn.XLOOKUP($A560,PROPERTIES[VEHIDCODE],PROPERTIES[REGION2])</f>
        <v>NO_REGION</v>
      </c>
      <c r="F560" s="38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8" t="str">
        <f>_xlfn.XLOOKUP($A561,PROPERTIES[VEHIDCODE],PROPERTIES[REGION1])</f>
        <v>EASTERN_EUROPE</v>
      </c>
      <c r="E561" s="38" t="str">
        <f>_xlfn.XLOOKUP($A561,PROPERTIES[VEHIDCODE],PROPERTIES[REGION2])</f>
        <v>NO_REGION</v>
      </c>
      <c r="F561" s="38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8" t="str">
        <f>_xlfn.XLOOKUP($A562,PROPERTIES[VEHIDCODE],PROPERTIES[REGION1])</f>
        <v>SOUTHERN_EUROPE</v>
      </c>
      <c r="E562" s="38" t="str">
        <f>_xlfn.XLOOKUP($A562,PROPERTIES[VEHIDCODE],PROPERTIES[REGION2])</f>
        <v>NO_REGION</v>
      </c>
      <c r="F562" s="38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8" t="str">
        <f>_xlfn.XLOOKUP($A563,PROPERTIES[VEHIDCODE],PROPERTIES[REGION1])</f>
        <v>NORTH_AMERICA</v>
      </c>
      <c r="E563" s="38" t="str">
        <f>_xlfn.XLOOKUP($A563,PROPERTIES[VEHIDCODE],PROPERTIES[REGION2])</f>
        <v>NO_REGION</v>
      </c>
      <c r="F563" s="38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8" t="str">
        <f>_xlfn.XLOOKUP($A564,PROPERTIES[VEHIDCODE],PROPERTIES[REGION1])</f>
        <v>NORTH_AMERICA</v>
      </c>
      <c r="E564" s="38" t="str">
        <f>_xlfn.XLOOKUP($A564,PROPERTIES[VEHIDCODE],PROPERTIES[REGION2])</f>
        <v>NO_REGION</v>
      </c>
      <c r="F564" s="38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8" t="str">
        <f>_xlfn.XLOOKUP($A565,PROPERTIES[VEHIDCODE],PROPERTIES[REGION1])</f>
        <v>EASTERN_EUROPE</v>
      </c>
      <c r="E565" s="38" t="str">
        <f>_xlfn.XLOOKUP($A565,PROPERTIES[VEHIDCODE],PROPERTIES[REGION2])</f>
        <v>NO_REGION</v>
      </c>
      <c r="F565" s="38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8" t="str">
        <f>_xlfn.XLOOKUP($A566,PROPERTIES[VEHIDCODE],PROPERTIES[REGION1])</f>
        <v>NORTH_AMERICA</v>
      </c>
      <c r="E566" s="38" t="str">
        <f>_xlfn.XLOOKUP($A566,PROPERTIES[VEHIDCODE],PROPERTIES[REGION2])</f>
        <v>NO_REGION</v>
      </c>
      <c r="F566" s="38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8" t="str">
        <f>_xlfn.XLOOKUP($A567,PROPERTIES[VEHIDCODE],PROPERTIES[REGION1])</f>
        <v>WESTERN_EUROPE</v>
      </c>
      <c r="E567" s="38" t="str">
        <f>_xlfn.XLOOKUP($A567,PROPERTIES[VEHIDCODE],PROPERTIES[REGION2])</f>
        <v>NO_REGION</v>
      </c>
      <c r="F567" s="38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8" t="str">
        <f>_xlfn.XLOOKUP($A568,PROPERTIES[VEHIDCODE],PROPERTIES[REGION1])</f>
        <v>ALL_REGION</v>
      </c>
      <c r="E568" s="38" t="str">
        <f>_xlfn.XLOOKUP($A568,PROPERTIES[VEHIDCODE],PROPERTIES[REGION2])</f>
        <v>NO_REGION</v>
      </c>
      <c r="F568" s="38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8" t="str">
        <f>_xlfn.XLOOKUP($A569,PROPERTIES[VEHIDCODE],PROPERTIES[REGION1])</f>
        <v>WESTERN_EUROPE</v>
      </c>
      <c r="E569" s="38" t="str">
        <f>_xlfn.XLOOKUP($A569,PROPERTIES[VEHIDCODE],PROPERTIES[REGION2])</f>
        <v>NO_REGION</v>
      </c>
      <c r="F569" s="38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8" t="str">
        <f>_xlfn.XLOOKUP($A570,PROPERTIES[VEHIDCODE],PROPERTIES[REGION1])</f>
        <v>ASIA</v>
      </c>
      <c r="E570" s="38" t="str">
        <f>_xlfn.XLOOKUP($A570,PROPERTIES[VEHIDCODE],PROPERTIES[REGION2])</f>
        <v>NO_REGION</v>
      </c>
      <c r="F570" s="38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8" t="str">
        <f>_xlfn.XLOOKUP($A571,PROPERTIES[VEHIDCODE],PROPERTIES[REGION1])</f>
        <v>ASIA</v>
      </c>
      <c r="E571" s="38" t="str">
        <f>_xlfn.XLOOKUP($A571,PROPERTIES[VEHIDCODE],PROPERTIES[REGION2])</f>
        <v>NO_REGION</v>
      </c>
      <c r="F571" s="38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Express (Freight)</v>
      </c>
      <c r="D572" s="38" t="str">
        <f>_xlfn.XLOOKUP($A572,PROPERTIES[VEHIDCODE],PROPERTIES[REGION1])</f>
        <v>REGIONTYPE1</v>
      </c>
      <c r="E572" s="38" t="str">
        <f>_xlfn.XLOOKUP($A572,PROPERTIES[VEHIDCODE],PROPERTIES[REGION2])</f>
        <v>NO_REGION</v>
      </c>
      <c r="F572" s="38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Express (Freight)</v>
      </c>
      <c r="D573" s="38" t="str">
        <f>_xlfn.XLOOKUP($A573,PROPERTIES[VEHIDCODE],PROPERTIES[REGION1])</f>
        <v>REGIONTYPE2</v>
      </c>
      <c r="E573" s="38" t="str">
        <f>_xlfn.XLOOKUP($A573,PROPERTIES[VEHIDCODE],PROPERTIES[REGION2])</f>
        <v>NO_REGION</v>
      </c>
      <c r="F573" s="38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Express (Freight)</v>
      </c>
      <c r="D574" s="38" t="str">
        <f>_xlfn.XLOOKUP($A574,PROPERTIES[VEHIDCODE],PROPERTIES[REGION1])</f>
        <v>ALL_REGION</v>
      </c>
      <c r="E574" s="38" t="str">
        <f>_xlfn.XLOOKUP($A574,PROPERTIES[VEHIDCODE],PROPERTIES[REGION2])</f>
        <v>NO_REGION</v>
      </c>
      <c r="F574" s="38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Express (Freight)</v>
      </c>
      <c r="D575" s="38" t="str">
        <f>_xlfn.XLOOKUP($A575,PROPERTIES[VEHIDCODE],PROPERTIES[REGION1])</f>
        <v>ALL_REGION</v>
      </c>
      <c r="E575" s="38" t="str">
        <f>_xlfn.XLOOKUP($A575,PROPERTIES[VEHIDCODE],PROPERTIES[REGION2])</f>
        <v>NO_REGION</v>
      </c>
      <c r="F575" s="38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Express (Freight)</v>
      </c>
      <c r="D576" s="38" t="str">
        <f>_xlfn.XLOOKUP($A576,PROPERTIES[VEHIDCODE],PROPERTIES[REGION1])</f>
        <v>ALL_REGION</v>
      </c>
      <c r="E576" s="38" t="str">
        <f>_xlfn.XLOOKUP($A576,PROPERTIES[VEHIDCODE],PROPERTIES[REGION2])</f>
        <v>NO_REGION</v>
      </c>
      <c r="F576" s="38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Express (Freight)</v>
      </c>
      <c r="D577" s="38" t="str">
        <f>_xlfn.XLOOKUP($A577,PROPERTIES[VEHIDCODE],PROPERTIES[REGION1])</f>
        <v>ALL_REGION</v>
      </c>
      <c r="E577" s="38" t="str">
        <f>_xlfn.XLOOKUP($A577,PROPERTIES[VEHIDCODE],PROPERTIES[REGION2])</f>
        <v>NO_REGION</v>
      </c>
      <c r="F577" s="38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Express (Freight)</v>
      </c>
      <c r="D578" s="38" t="str">
        <f>_xlfn.XLOOKUP($A578,PROPERTIES[VEHIDCODE],PROPERTIES[REGION1])</f>
        <v>ALL_REGION</v>
      </c>
      <c r="E578" s="38" t="str">
        <f>_xlfn.XLOOKUP($A578,PROPERTIES[VEHIDCODE],PROPERTIES[REGION2])</f>
        <v>NO_REGION</v>
      </c>
      <c r="F578" s="38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Express (Freight)</v>
      </c>
      <c r="D579" s="38" t="str">
        <f>_xlfn.XLOOKUP($A579,PROPERTIES[VEHIDCODE],PROPERTIES[REGION1])</f>
        <v>ALL_REGION</v>
      </c>
      <c r="E579" s="38" t="str">
        <f>_xlfn.XLOOKUP($A579,PROPERTIES[VEHIDCODE],PROPERTIES[REGION2])</f>
        <v>NO_REGION</v>
      </c>
      <c r="F579" s="38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Standard Freight</v>
      </c>
      <c r="D580" s="38" t="str">
        <f>_xlfn.XLOOKUP($A580,PROPERTIES[VEHIDCODE],PROPERTIES[REGION1])</f>
        <v>ALL_REGION</v>
      </c>
      <c r="E580" s="38" t="str">
        <f>_xlfn.XLOOKUP($A580,PROPERTIES[VEHIDCODE],PROPERTIES[REGION2])</f>
        <v>NO_REGION</v>
      </c>
      <c r="F580" s="38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Express (Freight)</v>
      </c>
      <c r="D581" s="38" t="str">
        <f>_xlfn.XLOOKUP($A581,PROPERTIES[VEHIDCODE],PROPERTIES[REGION1])</f>
        <v>REGIONTYPE1</v>
      </c>
      <c r="E581" s="38" t="str">
        <f>_xlfn.XLOOKUP($A581,PROPERTIES[VEHIDCODE],PROPERTIES[REGION2])</f>
        <v>NO_REGION</v>
      </c>
      <c r="F581" s="38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Express (Freight)</v>
      </c>
      <c r="D582" s="38" t="str">
        <f>_xlfn.XLOOKUP($A582,PROPERTIES[VEHIDCODE],PROPERTIES[REGION1])</f>
        <v>ALL_REGION</v>
      </c>
      <c r="E582" s="38" t="str">
        <f>_xlfn.XLOOKUP($A582,PROPERTIES[VEHIDCODE],PROPERTIES[REGION2])</f>
        <v>NO_REGION</v>
      </c>
      <c r="F582" s="38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Express (Freight)</v>
      </c>
      <c r="D583" s="38" t="str">
        <f>_xlfn.XLOOKUP($A583,PROPERTIES[VEHIDCODE],PROPERTIES[REGION1])</f>
        <v>REGIONTYPE1</v>
      </c>
      <c r="E583" s="38" t="str">
        <f>_xlfn.XLOOKUP($A583,PROPERTIES[VEHIDCODE],PROPERTIES[REGION2])</f>
        <v>NO_REGION</v>
      </c>
      <c r="F583" s="38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Express (Freight)</v>
      </c>
      <c r="D584" s="38" t="str">
        <f>_xlfn.XLOOKUP($A584,PROPERTIES[VEHIDCODE],PROPERTIES[REGION1])</f>
        <v>REGIONTYPE2</v>
      </c>
      <c r="E584" s="38" t="str">
        <f>_xlfn.XLOOKUP($A584,PROPERTIES[VEHIDCODE],PROPERTIES[REGION2])</f>
        <v>NO_REGION</v>
      </c>
      <c r="F584" s="38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Standard Freight</v>
      </c>
      <c r="D585" s="38" t="str">
        <f>_xlfn.XLOOKUP($A585,PROPERTIES[VEHIDCODE],PROPERTIES[REGION1])</f>
        <v>ALL_REGION</v>
      </c>
      <c r="E585" s="38" t="str">
        <f>_xlfn.XLOOKUP($A585,PROPERTIES[VEHIDCODE],PROPERTIES[REGION2])</f>
        <v>NO_REGION</v>
      </c>
      <c r="F585" s="38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Express (Freight)</v>
      </c>
      <c r="D586" s="38" t="str">
        <f>_xlfn.XLOOKUP($A586,PROPERTIES[VEHIDCODE],PROPERTIES[REGION1])</f>
        <v>ALL_REGION</v>
      </c>
      <c r="E586" s="38" t="str">
        <f>_xlfn.XLOOKUP($A586,PROPERTIES[VEHIDCODE],PROPERTIES[REGION2])</f>
        <v>NO_REGION</v>
      </c>
      <c r="F586" s="38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8" t="str">
        <f>_xlfn.XLOOKUP($A587,PROPERTIES[VEHIDCODE],PROPERTIES[REGION1])</f>
        <v>ASIA</v>
      </c>
      <c r="E587" s="38" t="str">
        <f>_xlfn.XLOOKUP($A587,PROPERTIES[VEHIDCODE],PROPERTIES[REGION2])</f>
        <v>NO_REGION</v>
      </c>
      <c r="F587" s="38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8" t="str">
        <f>_xlfn.XLOOKUP($A588,PROPERTIES[VEHIDCODE],PROPERTIES[REGION1])</f>
        <v>ASIA</v>
      </c>
      <c r="E588" s="38" t="str">
        <f>_xlfn.XLOOKUP($A588,PROPERTIES[VEHIDCODE],PROPERTIES[REGION2])</f>
        <v>NO_REGION</v>
      </c>
      <c r="F588" s="38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8" t="str">
        <f>_xlfn.XLOOKUP($A589,PROPERTIES[VEHIDCODE],PROPERTIES[REGION1])</f>
        <v>SOUTH_AMERICA</v>
      </c>
      <c r="E589" s="38" t="str">
        <f>_xlfn.XLOOKUP($A589,PROPERTIES[VEHIDCODE],PROPERTIES[REGION2])</f>
        <v>NO_REGION</v>
      </c>
      <c r="F589" s="38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8" t="str">
        <f>_xlfn.XLOOKUP($A590,PROPERTIES[VEHIDCODE],PROPERTIES[REGION1])</f>
        <v>SOUTH_AMERICA</v>
      </c>
      <c r="E590" s="38" t="str">
        <f>_xlfn.XLOOKUP($A590,PROPERTIES[VEHIDCODE],PROPERTIES[REGION2])</f>
        <v>NO_REGION</v>
      </c>
      <c r="F590" s="38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8" t="str">
        <f>_xlfn.XLOOKUP($A591,PROPERTIES[VEHIDCODE],PROPERTIES[REGION1])</f>
        <v>AFRICA</v>
      </c>
      <c r="E591" s="38" t="str">
        <f>_xlfn.XLOOKUP($A591,PROPERTIES[VEHIDCODE],PROPERTIES[REGION2])</f>
        <v>NO_REGION</v>
      </c>
      <c r="F591" s="38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8" t="str">
        <f>_xlfn.XLOOKUP($A592,PROPERTIES[VEHIDCODE],PROPERTIES[REGION1])</f>
        <v>WESTERN_EUROPE</v>
      </c>
      <c r="E592" s="38" t="str">
        <f>_xlfn.XLOOKUP($A592,PROPERTIES[VEHIDCODE],PROPERTIES[REGION2])</f>
        <v>NO_REGION</v>
      </c>
      <c r="F592" s="38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8" t="str">
        <f>_xlfn.XLOOKUP($A593,PROPERTIES[VEHIDCODE],PROPERTIES[REGION1])</f>
        <v>WESTERN_EUROPE</v>
      </c>
      <c r="E593" s="38" t="str">
        <f>_xlfn.XLOOKUP($A593,PROPERTIES[VEHIDCODE],PROPERTIES[REGION2])</f>
        <v>NO_REGION</v>
      </c>
      <c r="F593" s="38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8" t="str">
        <f>_xlfn.XLOOKUP($A594,PROPERTIES[VEHIDCODE],PROPERTIES[REGION1])</f>
        <v>WESTERN_EUROPE</v>
      </c>
      <c r="E594" s="38" t="str">
        <f>_xlfn.XLOOKUP($A594,PROPERTIES[VEHIDCODE],PROPERTIES[REGION2])</f>
        <v>NO_REGION</v>
      </c>
      <c r="F594" s="38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8" t="str">
        <f>_xlfn.XLOOKUP($A595,PROPERTIES[VEHIDCODE],PROPERTIES[REGION1])</f>
        <v>SOUTHERN_EUROPE</v>
      </c>
      <c r="E595" s="38" t="str">
        <f>_xlfn.XLOOKUP($A595,PROPERTIES[VEHIDCODE],PROPERTIES[REGION2])</f>
        <v>NO_REGION</v>
      </c>
      <c r="F595" s="38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8" t="str">
        <f>_xlfn.XLOOKUP($A596,PROPERTIES[VEHIDCODE],PROPERTIES[REGION1])</f>
        <v>ASIA</v>
      </c>
      <c r="E596" s="38" t="str">
        <f>_xlfn.XLOOKUP($A596,PROPERTIES[VEHIDCODE],PROPERTIES[REGION2])</f>
        <v>NO_REGION</v>
      </c>
      <c r="F596" s="38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8" t="str">
        <f>_xlfn.XLOOKUP($A597,PROPERTIES[VEHIDCODE],PROPERTIES[REGION1])</f>
        <v>WESTERN_EUROPE</v>
      </c>
      <c r="E597" s="38" t="str">
        <f>_xlfn.XLOOKUP($A597,PROPERTIES[VEHIDCODE],PROPERTIES[REGION2])</f>
        <v>NO_REGION</v>
      </c>
      <c r="F597" s="38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8" t="str">
        <f>_xlfn.XLOOKUP($A598,PROPERTIES[VEHIDCODE],PROPERTIES[REGION1])</f>
        <v>ASIA</v>
      </c>
      <c r="E598" s="38" t="str">
        <f>_xlfn.XLOOKUP($A598,PROPERTIES[VEHIDCODE],PROPERTIES[REGION2])</f>
        <v>NO_REGION</v>
      </c>
      <c r="F598" s="38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8" t="str">
        <f>_xlfn.XLOOKUP($A599,PROPERTIES[VEHIDCODE],PROPERTIES[REGION1])</f>
        <v>ASIA</v>
      </c>
      <c r="E599" s="38" t="str">
        <f>_xlfn.XLOOKUP($A599,PROPERTIES[VEHIDCODE],PROPERTIES[REGION2])</f>
        <v>NO_REGION</v>
      </c>
      <c r="F599" s="38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8" t="str">
        <f>_xlfn.XLOOKUP($A600,PROPERTIES[VEHIDCODE],PROPERTIES[REGION1])</f>
        <v>ASIA</v>
      </c>
      <c r="E600" s="38" t="str">
        <f>_xlfn.XLOOKUP($A600,PROPERTIES[VEHIDCODE],PROPERTIES[REGION2])</f>
        <v>NO_REGION</v>
      </c>
      <c r="F600" s="38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8" t="str">
        <f>_xlfn.XLOOKUP($A601,PROPERTIES[VEHIDCODE],PROPERTIES[REGION1])</f>
        <v>ASIA</v>
      </c>
      <c r="E601" s="38" t="str">
        <f>_xlfn.XLOOKUP($A601,PROPERTIES[VEHIDCODE],PROPERTIES[REGION2])</f>
        <v>NO_REGION</v>
      </c>
      <c r="F601" s="38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8" t="str">
        <f>_xlfn.XLOOKUP($A602,PROPERTIES[VEHIDCODE],PROPERTIES[REGION1])</f>
        <v>ASIA</v>
      </c>
      <c r="E602" s="38" t="str">
        <f>_xlfn.XLOOKUP($A602,PROPERTIES[VEHIDCODE],PROPERTIES[REGION2])</f>
        <v>NO_REGION</v>
      </c>
      <c r="F602" s="38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8" t="str">
        <f>_xlfn.XLOOKUP($A603,PROPERTIES[VEHIDCODE],PROPERTIES[REGION1])</f>
        <v>ASIA</v>
      </c>
      <c r="E603" s="38" t="str">
        <f>_xlfn.XLOOKUP($A603,PROPERTIES[VEHIDCODE],PROPERTIES[REGION2])</f>
        <v>NO_REGION</v>
      </c>
      <c r="F603" s="38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8" t="str">
        <f>_xlfn.XLOOKUP($A604,PROPERTIES[VEHIDCODE],PROPERTIES[REGION1])</f>
        <v>WESTERN_EUROPE</v>
      </c>
      <c r="E604" s="38" t="str">
        <f>_xlfn.XLOOKUP($A604,PROPERTIES[VEHIDCODE],PROPERTIES[REGION2])</f>
        <v>NO_REGION</v>
      </c>
      <c r="F604" s="38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8" t="str">
        <f>_xlfn.XLOOKUP($A605,PROPERTIES[VEHIDCODE],PROPERTIES[REGION1])</f>
        <v>ASIA</v>
      </c>
      <c r="E605" s="38" t="str">
        <f>_xlfn.XLOOKUP($A605,PROPERTIES[VEHIDCODE],PROPERTIES[REGION2])</f>
        <v>NO_REGION</v>
      </c>
      <c r="F605" s="38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8" t="str">
        <f>_xlfn.XLOOKUP($A606,PROPERTIES[VEHIDCODE],PROPERTIES[REGION1])</f>
        <v>ASIA</v>
      </c>
      <c r="E606" s="38" t="str">
        <f>_xlfn.XLOOKUP($A606,PROPERTIES[VEHIDCODE],PROPERTIES[REGION2])</f>
        <v>NO_REGION</v>
      </c>
      <c r="F606" s="38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8" t="str">
        <f>_xlfn.XLOOKUP($A607,PROPERTIES[VEHIDCODE],PROPERTIES[REGION1])</f>
        <v>OCEANIA</v>
      </c>
      <c r="E607" s="38" t="str">
        <f>_xlfn.XLOOKUP($A607,PROPERTIES[VEHIDCODE],PROPERTIES[REGION2])</f>
        <v>NO_REGION</v>
      </c>
      <c r="F607" s="38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8" t="str">
        <f>_xlfn.XLOOKUP($A608,PROPERTIES[VEHIDCODE],PROPERTIES[REGION1])</f>
        <v>OCEANIA</v>
      </c>
      <c r="E608" s="38" t="str">
        <f>_xlfn.XLOOKUP($A608,PROPERTIES[VEHIDCODE],PROPERTIES[REGION2])</f>
        <v>NO_REGION</v>
      </c>
      <c r="F608" s="38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8" t="str">
        <f>_xlfn.XLOOKUP($A609,PROPERTIES[VEHIDCODE],PROPERTIES[REGION1])</f>
        <v>AFRICA</v>
      </c>
      <c r="E609" s="38" t="str">
        <f>_xlfn.XLOOKUP($A609,PROPERTIES[VEHIDCODE],PROPERTIES[REGION2])</f>
        <v>NO_REGION</v>
      </c>
      <c r="F609" s="38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8" t="str">
        <f>_xlfn.XLOOKUP($A610,PROPERTIES[VEHIDCODE],PROPERTIES[REGION1])</f>
        <v>AFRICA</v>
      </c>
      <c r="E610" s="38" t="str">
        <f>_xlfn.XLOOKUP($A610,PROPERTIES[VEHIDCODE],PROPERTIES[REGION2])</f>
        <v>NO_REGION</v>
      </c>
      <c r="F610" s="38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8" t="str">
        <f>_xlfn.XLOOKUP($A611,PROPERTIES[VEHIDCODE],PROPERTIES[REGION1])</f>
        <v>AFRICA</v>
      </c>
      <c r="E611" s="38" t="str">
        <f>_xlfn.XLOOKUP($A611,PROPERTIES[VEHIDCODE],PROPERTIES[REGION2])</f>
        <v>NO_REGION</v>
      </c>
      <c r="F611" s="38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8" t="str">
        <f>_xlfn.XLOOKUP($A612,PROPERTIES[VEHIDCODE],PROPERTIES[REGION1])</f>
        <v>WESTERN_EUROPE</v>
      </c>
      <c r="E612" s="38" t="str">
        <f>_xlfn.XLOOKUP($A612,PROPERTIES[VEHIDCODE],PROPERTIES[REGION2])</f>
        <v>NO_REGION</v>
      </c>
      <c r="F612" s="38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8" t="str">
        <f>_xlfn.XLOOKUP($A613,PROPERTIES[VEHIDCODE],PROPERTIES[REGION1])</f>
        <v>WESTERN_EUROPE</v>
      </c>
      <c r="E613" s="38" t="str">
        <f>_xlfn.XLOOKUP($A613,PROPERTIES[VEHIDCODE],PROPERTIES[REGION2])</f>
        <v>NO_REGION</v>
      </c>
      <c r="F613" s="38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8" t="str">
        <f>_xlfn.XLOOKUP($A614,PROPERTIES[VEHIDCODE],PROPERTIES[REGION1])</f>
        <v>SOUTH_AMERICA</v>
      </c>
      <c r="E614" s="38" t="str">
        <f>_xlfn.XLOOKUP($A614,PROPERTIES[VEHIDCODE],PROPERTIES[REGION2])</f>
        <v>NO_REGION</v>
      </c>
      <c r="F614" s="38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8" t="str">
        <f>_xlfn.XLOOKUP($A615,PROPERTIES[VEHIDCODE],PROPERTIES[REGION1])</f>
        <v>AFRICA</v>
      </c>
      <c r="E615" s="38" t="str">
        <f>_xlfn.XLOOKUP($A615,PROPERTIES[VEHIDCODE],PROPERTIES[REGION2])</f>
        <v>NO_REGION</v>
      </c>
      <c r="F615" s="38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8" t="str">
        <f>_xlfn.XLOOKUP($A616,PROPERTIES[VEHIDCODE],PROPERTIES[REGION1])</f>
        <v>AFRICA</v>
      </c>
      <c r="E616" s="38" t="str">
        <f>_xlfn.XLOOKUP($A616,PROPERTIES[VEHIDCODE],PROPERTIES[REGION2])</f>
        <v>NO_REGION</v>
      </c>
      <c r="F616" s="38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8" t="str">
        <f>_xlfn.XLOOKUP($A617,PROPERTIES[VEHIDCODE],PROPERTIES[REGION1])</f>
        <v>OCEANIA</v>
      </c>
      <c r="E617" s="38" t="str">
        <f>_xlfn.XLOOKUP($A617,PROPERTIES[VEHIDCODE],PROPERTIES[REGION2])</f>
        <v>NO_REGION</v>
      </c>
      <c r="F617" s="38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8" t="str">
        <f>_xlfn.XLOOKUP($A618,PROPERTIES[VEHIDCODE],PROPERTIES[REGION1])</f>
        <v>ASIA</v>
      </c>
      <c r="E618" s="38" t="str">
        <f>_xlfn.XLOOKUP($A618,PROPERTIES[VEHIDCODE],PROPERTIES[REGION2])</f>
        <v>NO_REGION</v>
      </c>
      <c r="F618" s="38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8" t="str">
        <f>_xlfn.XLOOKUP($A619,PROPERTIES[VEHIDCODE],PROPERTIES[REGION1])</f>
        <v>ASIA</v>
      </c>
      <c r="E619" s="38" t="str">
        <f>_xlfn.XLOOKUP($A619,PROPERTIES[VEHIDCODE],PROPERTIES[REGION2])</f>
        <v>NO_REGION</v>
      </c>
      <c r="F619" s="38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8" t="str">
        <f>_xlfn.XLOOKUP($A620,PROPERTIES[VEHIDCODE],PROPERTIES[REGION1])</f>
        <v>OCEANIA</v>
      </c>
      <c r="E620" s="38" t="str">
        <f>_xlfn.XLOOKUP($A620,PROPERTIES[VEHIDCODE],PROPERTIES[REGION2])</f>
        <v>NO_REGION</v>
      </c>
      <c r="F620" s="38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8" t="str">
        <f>_xlfn.XLOOKUP($A621,PROPERTIES[VEHIDCODE],PROPERTIES[REGION1])</f>
        <v>OCEANIA</v>
      </c>
      <c r="E621" s="38" t="str">
        <f>_xlfn.XLOOKUP($A621,PROPERTIES[VEHIDCODE],PROPERTIES[REGION2])</f>
        <v>NO_REGION</v>
      </c>
      <c r="F621" s="38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8" t="str">
        <f>_xlfn.XLOOKUP($A622,PROPERTIES[VEHIDCODE],PROPERTIES[REGION1])</f>
        <v>OCEANIA</v>
      </c>
      <c r="E622" s="38" t="str">
        <f>_xlfn.XLOOKUP($A622,PROPERTIES[VEHIDCODE],PROPERTIES[REGION2])</f>
        <v>NO_REGION</v>
      </c>
      <c r="F622" s="38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8" t="str">
        <f>_xlfn.XLOOKUP($A623,PROPERTIES[VEHIDCODE],PROPERTIES[REGION1])</f>
        <v>OCEANIA</v>
      </c>
      <c r="E623" s="38" t="str">
        <f>_xlfn.XLOOKUP($A623,PROPERTIES[VEHIDCODE],PROPERTIES[REGION2])</f>
        <v>NO_REGION</v>
      </c>
      <c r="F623" s="38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8" t="str">
        <f>_xlfn.XLOOKUP($A624,PROPERTIES[VEHIDCODE],PROPERTIES[REGION1])</f>
        <v>AFRICA</v>
      </c>
      <c r="E624" s="38" t="str">
        <f>_xlfn.XLOOKUP($A624,PROPERTIES[VEHIDCODE],PROPERTIES[REGION2])</f>
        <v>NO_REGION</v>
      </c>
      <c r="F624" s="38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8" t="str">
        <f>_xlfn.XLOOKUP($A625,PROPERTIES[VEHIDCODE],PROPERTIES[REGION1])</f>
        <v>SOUTH_AMERICA</v>
      </c>
      <c r="E625" s="38" t="str">
        <f>_xlfn.XLOOKUP($A625,PROPERTIES[VEHIDCODE],PROPERTIES[REGION2])</f>
        <v>NO_REGION</v>
      </c>
      <c r="F625" s="38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8" t="str">
        <f>_xlfn.XLOOKUP($A626,PROPERTIES[VEHIDCODE],PROPERTIES[REGION1])</f>
        <v>SOUTH_AMERICA</v>
      </c>
      <c r="E626" s="38" t="str">
        <f>_xlfn.XLOOKUP($A626,PROPERTIES[VEHIDCODE],PROPERTIES[REGION2])</f>
        <v>NO_REGION</v>
      </c>
      <c r="F626" s="38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8" t="str">
        <f>_xlfn.XLOOKUP($A627,PROPERTIES[VEHIDCODE],PROPERTIES[REGION1])</f>
        <v>AFRICA</v>
      </c>
      <c r="E627" s="38" t="str">
        <f>_xlfn.XLOOKUP($A627,PROPERTIES[VEHIDCODE],PROPERTIES[REGION2])</f>
        <v>NO_REGION</v>
      </c>
      <c r="F627" s="38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8" t="str">
        <f>_xlfn.XLOOKUP($A628,PROPERTIES[VEHIDCODE],PROPERTIES[REGION1])</f>
        <v>OCEANIA</v>
      </c>
      <c r="E628" s="38" t="str">
        <f>_xlfn.XLOOKUP($A628,PROPERTIES[VEHIDCODE],PROPERTIES[REGION2])</f>
        <v>NO_REGION</v>
      </c>
      <c r="F628" s="38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8" t="str">
        <f>_xlfn.XLOOKUP($A629,PROPERTIES[VEHIDCODE],PROPERTIES[REGION1])</f>
        <v>ASIA</v>
      </c>
      <c r="E629" s="38" t="str">
        <f>_xlfn.XLOOKUP($A629,PROPERTIES[VEHIDCODE],PROPERTIES[REGION2])</f>
        <v>NO_REGION</v>
      </c>
      <c r="F629" s="38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8" t="str">
        <f>_xlfn.XLOOKUP($A630,PROPERTIES[VEHIDCODE],PROPERTIES[REGION1])</f>
        <v>ASIA</v>
      </c>
      <c r="E630" s="38" t="str">
        <f>_xlfn.XLOOKUP($A630,PROPERTIES[VEHIDCODE],PROPERTIES[REGION2])</f>
        <v>NO_REGION</v>
      </c>
      <c r="F630" s="38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8" t="str">
        <f>_xlfn.XLOOKUP($A631,PROPERTIES[VEHIDCODE],PROPERTIES[REGION1])</f>
        <v>ASIA</v>
      </c>
      <c r="E631" s="38" t="str">
        <f>_xlfn.XLOOKUP($A631,PROPERTIES[VEHIDCODE],PROPERTIES[REGION2])</f>
        <v>NO_REGION</v>
      </c>
      <c r="F631" s="38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8" t="str">
        <f>_xlfn.XLOOKUP($A632,PROPERTIES[VEHIDCODE],PROPERTIES[REGION1])</f>
        <v>EASTERN_EUROPE</v>
      </c>
      <c r="E632" s="38" t="str">
        <f>_xlfn.XLOOKUP($A632,PROPERTIES[VEHIDCODE],PROPERTIES[REGION2])</f>
        <v>NO_REGION</v>
      </c>
      <c r="F632" s="38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8" t="str">
        <f>_xlfn.XLOOKUP($A633,PROPERTIES[VEHIDCODE],PROPERTIES[REGION1])</f>
        <v>ASIA</v>
      </c>
      <c r="E633" s="38" t="str">
        <f>_xlfn.XLOOKUP($A633,PROPERTIES[VEHIDCODE],PROPERTIES[REGION2])</f>
        <v>NO_REGION</v>
      </c>
      <c r="F633" s="38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8" t="str">
        <f>_xlfn.XLOOKUP($A634,PROPERTIES[VEHIDCODE],PROPERTIES[REGION1])</f>
        <v>EASTERN_EUROPE</v>
      </c>
      <c r="E634" s="38" t="str">
        <f>_xlfn.XLOOKUP($A634,PROPERTIES[VEHIDCODE],PROPERTIES[REGION2])</f>
        <v>NO_REGION</v>
      </c>
      <c r="F634" s="38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8" t="str">
        <f>_xlfn.XLOOKUP($A635,PROPERTIES[VEHIDCODE],PROPERTIES[REGION1])</f>
        <v>SOUTH_AMERICA</v>
      </c>
      <c r="E635" s="38" t="str">
        <f>_xlfn.XLOOKUP($A635,PROPERTIES[VEHIDCODE],PROPERTIES[REGION2])</f>
        <v>NO_REGION</v>
      </c>
      <c r="F635" s="38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8" t="str">
        <f>_xlfn.XLOOKUP($A636,PROPERTIES[VEHIDCODE],PROPERTIES[REGION1])</f>
        <v>ASIA</v>
      </c>
      <c r="E636" s="38" t="str">
        <f>_xlfn.XLOOKUP($A636,PROPERTIES[VEHIDCODE],PROPERTIES[REGION2])</f>
        <v>NO_REGION</v>
      </c>
      <c r="F636" s="38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8" t="str">
        <f>_xlfn.XLOOKUP($A637,PROPERTIES[VEHIDCODE],PROPERTIES[REGION1])</f>
        <v>ASIA</v>
      </c>
      <c r="E637" s="38" t="str">
        <f>_xlfn.XLOOKUP($A637,PROPERTIES[VEHIDCODE],PROPERTIES[REGION2])</f>
        <v>NO_REGION</v>
      </c>
      <c r="F637" s="38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8" t="str">
        <f>_xlfn.XLOOKUP($A638,PROPERTIES[VEHIDCODE],PROPERTIES[REGION1])</f>
        <v>ASIA</v>
      </c>
      <c r="E638" s="38" t="str">
        <f>_xlfn.XLOOKUP($A638,PROPERTIES[VEHIDCODE],PROPERTIES[REGION2])</f>
        <v>NO_REGION</v>
      </c>
      <c r="F638" s="38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8" t="str">
        <f>_xlfn.XLOOKUP($A639,PROPERTIES[VEHIDCODE],PROPERTIES[REGION1])</f>
        <v>NORTHERN_EUROPE</v>
      </c>
      <c r="E639" s="38" t="str">
        <f>_xlfn.XLOOKUP($A639,PROPERTIES[VEHIDCODE],PROPERTIES[REGION2])</f>
        <v>NO_REGION</v>
      </c>
      <c r="F639" s="38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8" t="str">
        <f>_xlfn.XLOOKUP($A640,PROPERTIES[VEHIDCODE],PROPERTIES[REGION1])</f>
        <v>ASIA</v>
      </c>
      <c r="E640" s="38" t="str">
        <f>_xlfn.XLOOKUP($A640,PROPERTIES[VEHIDCODE],PROPERTIES[REGION2])</f>
        <v>NO_REGION</v>
      </c>
      <c r="F640" s="38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8" t="str">
        <f>_xlfn.XLOOKUP($A641,PROPERTIES[VEHIDCODE],PROPERTIES[REGION1])</f>
        <v>ASIA</v>
      </c>
      <c r="E641" s="38" t="str">
        <f>_xlfn.XLOOKUP($A641,PROPERTIES[VEHIDCODE],PROPERTIES[REGION2])</f>
        <v>NO_REGION</v>
      </c>
      <c r="F641" s="38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8" t="str">
        <f>_xlfn.XLOOKUP($A642,PROPERTIES[VEHIDCODE],PROPERTIES[REGION1])</f>
        <v>ASIA</v>
      </c>
      <c r="E642" s="38" t="str">
        <f>_xlfn.XLOOKUP($A642,PROPERTIES[VEHIDCODE],PROPERTIES[REGION2])</f>
        <v>NO_REGION</v>
      </c>
      <c r="F642" s="38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8" t="str">
        <f>_xlfn.XLOOKUP($A643,PROPERTIES[VEHIDCODE],PROPERTIES[REGION1])</f>
        <v>NORTHERN_EUROPE</v>
      </c>
      <c r="E643" s="38" t="str">
        <f>_xlfn.XLOOKUP($A643,PROPERTIES[VEHIDCODE],PROPERTIES[REGION2])</f>
        <v>NO_REGION</v>
      </c>
      <c r="F643" s="38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8" t="str">
        <f>_xlfn.XLOOKUP($A644,PROPERTIES[VEHIDCODE],PROPERTIES[REGION1])</f>
        <v>ASIA</v>
      </c>
      <c r="E644" s="38" t="str">
        <f>_xlfn.XLOOKUP($A644,PROPERTIES[VEHIDCODE],PROPERTIES[REGION2])</f>
        <v>NO_REGION</v>
      </c>
      <c r="F644" s="38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8" t="str">
        <f>_xlfn.XLOOKUP($A645,PROPERTIES[VEHIDCODE],PROPERTIES[REGION1])</f>
        <v>ASIA</v>
      </c>
      <c r="E645" s="38" t="str">
        <f>_xlfn.XLOOKUP($A645,PROPERTIES[VEHIDCODE],PROPERTIES[REGION2])</f>
        <v>NO_REGION</v>
      </c>
      <c r="F645" s="38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8" t="str">
        <f>_xlfn.XLOOKUP($A646,PROPERTIES[VEHIDCODE],PROPERTIES[REGION1])</f>
        <v>ASIA</v>
      </c>
      <c r="E646" s="38" t="str">
        <f>_xlfn.XLOOKUP($A646,PROPERTIES[VEHIDCODE],PROPERTIES[REGION2])</f>
        <v>NO_REGION</v>
      </c>
      <c r="F646" s="38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8" t="str">
        <f>_xlfn.XLOOKUP($A647,PROPERTIES[VEHIDCODE],PROPERTIES[REGION1])</f>
        <v>EASTERN_EUROPE</v>
      </c>
      <c r="E647" s="38" t="str">
        <f>_xlfn.XLOOKUP($A647,PROPERTIES[VEHIDCODE],PROPERTIES[REGION2])</f>
        <v>NO_REGION</v>
      </c>
      <c r="F647" s="38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8" t="str">
        <f>_xlfn.XLOOKUP($A648,PROPERTIES[VEHIDCODE],PROPERTIES[REGION1])</f>
        <v>ASIA</v>
      </c>
      <c r="E648" s="38" t="str">
        <f>_xlfn.XLOOKUP($A648,PROPERTIES[VEHIDCODE],PROPERTIES[REGION2])</f>
        <v>NO_REGION</v>
      </c>
      <c r="F648" s="38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8" t="str">
        <f>_xlfn.XLOOKUP($A649,PROPERTIES[VEHIDCODE],PROPERTIES[REGION1])</f>
        <v>ALL_REGION</v>
      </c>
      <c r="E649" s="38" t="str">
        <f>_xlfn.XLOOKUP($A649,PROPERTIES[VEHIDCODE],PROPERTIES[REGION2])</f>
        <v>NO_REGION</v>
      </c>
      <c r="F649" s="38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8" t="str">
        <f>_xlfn.XLOOKUP($A650,PROPERTIES[VEHIDCODE],PROPERTIES[REGION1])</f>
        <v>ALL_REGION</v>
      </c>
      <c r="E650" s="38" t="str">
        <f>_xlfn.XLOOKUP($A650,PROPERTIES[VEHIDCODE],PROPERTIES[REGION2])</f>
        <v>NO_REGION</v>
      </c>
      <c r="F650" s="38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8" t="str">
        <f>_xlfn.XLOOKUP($A651,PROPERTIES[VEHIDCODE],PROPERTIES[REGION1])</f>
        <v>ALL_REGION</v>
      </c>
      <c r="E651" s="38" t="str">
        <f>_xlfn.XLOOKUP($A651,PROPERTIES[VEHIDCODE],PROPERTIES[REGION2])</f>
        <v>NO_REGION</v>
      </c>
      <c r="F651" s="38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8" t="str">
        <f>_xlfn.XLOOKUP($A652,PROPERTIES[VEHIDCODE],PROPERTIES[REGION1])</f>
        <v>ALL_REGION</v>
      </c>
      <c r="E652" s="38" t="str">
        <f>_xlfn.XLOOKUP($A652,PROPERTIES[VEHIDCODE],PROPERTIES[REGION2])</f>
        <v>NO_REGION</v>
      </c>
      <c r="F652" s="38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8" t="str">
        <f>_xlfn.XLOOKUP($A653,PROPERTIES[VEHIDCODE],PROPERTIES[REGION1])</f>
        <v>ALL_REGION</v>
      </c>
      <c r="E653" s="38" t="str">
        <f>_xlfn.XLOOKUP($A653,PROPERTIES[VEHIDCODE],PROPERTIES[REGION2])</f>
        <v>NO_REGION</v>
      </c>
      <c r="F653" s="38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8" t="str">
        <f>_xlfn.XLOOKUP($A654,PROPERTIES[VEHIDCODE],PROPERTIES[REGION1])</f>
        <v>ALL_REGION</v>
      </c>
      <c r="E654" s="38" t="str">
        <f>_xlfn.XLOOKUP($A654,PROPERTIES[VEHIDCODE],PROPERTIES[REGION2])</f>
        <v>NO_REGION</v>
      </c>
      <c r="F654" s="38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Light Freight</v>
      </c>
      <c r="D655" s="38" t="str">
        <f>_xlfn.XLOOKUP($A655,PROPERTIES[VEHIDCODE],PROPERTIES[REGION1])</f>
        <v>ALL_REGION</v>
      </c>
      <c r="E655" s="38" t="str">
        <f>_xlfn.XLOOKUP($A655,PROPERTIES[VEHIDCODE],PROPERTIES[REGION2])</f>
        <v>NO_REGION</v>
      </c>
      <c r="F655" s="38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Light Freight</v>
      </c>
      <c r="D656" s="38" t="str">
        <f>_xlfn.XLOOKUP($A656,PROPERTIES[VEHIDCODE],PROPERTIES[REGION1])</f>
        <v>ALL_REGION</v>
      </c>
      <c r="E656" s="38" t="str">
        <f>_xlfn.XLOOKUP($A656,PROPERTIES[VEHIDCODE],PROPERTIES[REGION2])</f>
        <v>NO_REGION</v>
      </c>
      <c r="F656" s="38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Light Freight</v>
      </c>
      <c r="D657" s="38" t="str">
        <f>_xlfn.XLOOKUP($A657,PROPERTIES[VEHIDCODE],PROPERTIES[REGION1])</f>
        <v>ALL_REGION</v>
      </c>
      <c r="E657" s="38" t="str">
        <f>_xlfn.XLOOKUP($A657,PROPERTIES[VEHIDCODE],PROPERTIES[REGION2])</f>
        <v>NO_REGION</v>
      </c>
      <c r="F657" s="38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Light Freight</v>
      </c>
      <c r="D658" s="38" t="str">
        <f>_xlfn.XLOOKUP($A658,PROPERTIES[VEHIDCODE],PROPERTIES[REGION1])</f>
        <v>ALL_REGION</v>
      </c>
      <c r="E658" s="38" t="str">
        <f>_xlfn.XLOOKUP($A658,PROPERTIES[VEHIDCODE],PROPERTIES[REGION2])</f>
        <v>NO_REGION</v>
      </c>
      <c r="F658" s="38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Light Freight</v>
      </c>
      <c r="D659" s="38" t="str">
        <f>_xlfn.XLOOKUP($A659,PROPERTIES[VEHIDCODE],PROPERTIES[REGION1])</f>
        <v>ALL_REGION</v>
      </c>
      <c r="E659" s="38" t="str">
        <f>_xlfn.XLOOKUP($A659,PROPERTIES[VEHIDCODE],PROPERTIES[REGION2])</f>
        <v>NO_REGION</v>
      </c>
      <c r="F659" s="38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Light Freight</v>
      </c>
      <c r="D660" s="38" t="str">
        <f>_xlfn.XLOOKUP($A660,PROPERTIES[VEHIDCODE],PROPERTIES[REGION1])</f>
        <v>REGIONTYPE1</v>
      </c>
      <c r="E660" s="38" t="str">
        <f>_xlfn.XLOOKUP($A660,PROPERTIES[VEHIDCODE],PROPERTIES[REGION2])</f>
        <v>NO_REGION</v>
      </c>
      <c r="F660" s="38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Light Freight</v>
      </c>
      <c r="D661" s="38" t="str">
        <f>_xlfn.XLOOKUP($A661,PROPERTIES[VEHIDCODE],PROPERTIES[REGION1])</f>
        <v>REGIONTYPE2</v>
      </c>
      <c r="E661" s="38" t="str">
        <f>_xlfn.XLOOKUP($A661,PROPERTIES[VEHIDCODE],PROPERTIES[REGION2])</f>
        <v>NO_REGION</v>
      </c>
      <c r="F661" s="38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Light Freight</v>
      </c>
      <c r="D662" s="38" t="str">
        <f>_xlfn.XLOOKUP($A662,PROPERTIES[VEHIDCODE],PROPERTIES[REGION1])</f>
        <v>ALL_REGION</v>
      </c>
      <c r="E662" s="38" t="str">
        <f>_xlfn.XLOOKUP($A662,PROPERTIES[VEHIDCODE],PROPERTIES[REGION2])</f>
        <v>NO_REGION</v>
      </c>
      <c r="F662" s="38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Light Freight</v>
      </c>
      <c r="D663" s="38" t="str">
        <f>_xlfn.XLOOKUP($A663,PROPERTIES[VEHIDCODE],PROPERTIES[REGION1])</f>
        <v>ALL_REGION</v>
      </c>
      <c r="E663" s="38" t="str">
        <f>_xlfn.XLOOKUP($A663,PROPERTIES[VEHIDCODE],PROPERTIES[REGION2])</f>
        <v>NO_REGION</v>
      </c>
      <c r="F663" s="38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Light Freight</v>
      </c>
      <c r="D664" s="38" t="str">
        <f>_xlfn.XLOOKUP($A664,PROPERTIES[VEHIDCODE],PROPERTIES[REGION1])</f>
        <v>ALL_REGION</v>
      </c>
      <c r="E664" s="38" t="str">
        <f>_xlfn.XLOOKUP($A664,PROPERTIES[VEHIDCODE],PROPERTIES[REGION2])</f>
        <v>NO_REGION</v>
      </c>
      <c r="F664" s="38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Light Freight</v>
      </c>
      <c r="D665" s="38" t="str">
        <f>_xlfn.XLOOKUP($A665,PROPERTIES[VEHIDCODE],PROPERTIES[REGION1])</f>
        <v>ALL_REGION</v>
      </c>
      <c r="E665" s="38" t="str">
        <f>_xlfn.XLOOKUP($A665,PROPERTIES[VEHIDCODE],PROPERTIES[REGION2])</f>
        <v>NO_REGION</v>
      </c>
      <c r="F665" s="38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Light Freight</v>
      </c>
      <c r="D666" s="38" t="str">
        <f>_xlfn.XLOOKUP($A666,PROPERTIES[VEHIDCODE],PROPERTIES[REGION1])</f>
        <v>ALL_REGION</v>
      </c>
      <c r="E666" s="38" t="str">
        <f>_xlfn.XLOOKUP($A666,PROPERTIES[VEHIDCODE],PROPERTIES[REGION2])</f>
        <v>NO_REGION</v>
      </c>
      <c r="F666" s="38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Light Freight</v>
      </c>
      <c r="D667" s="38" t="str">
        <f>_xlfn.XLOOKUP($A667,PROPERTIES[VEHIDCODE],PROPERTIES[REGION1])</f>
        <v>REGIONTYPE1</v>
      </c>
      <c r="E667" s="38" t="str">
        <f>_xlfn.XLOOKUP($A667,PROPERTIES[VEHIDCODE],PROPERTIES[REGION2])</f>
        <v>NO_REGION</v>
      </c>
      <c r="F667" s="38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Light Freight</v>
      </c>
      <c r="D668" s="38" t="str">
        <f>_xlfn.XLOOKUP($A668,PROPERTIES[VEHIDCODE],PROPERTIES[REGION1])</f>
        <v>REGIONTYPE2</v>
      </c>
      <c r="E668" s="38" t="str">
        <f>_xlfn.XLOOKUP($A668,PROPERTIES[VEHIDCODE],PROPERTIES[REGION2])</f>
        <v>NO_REGION</v>
      </c>
      <c r="F668" s="38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Light Freight</v>
      </c>
      <c r="D669" s="38" t="str">
        <f>_xlfn.XLOOKUP($A669,PROPERTIES[VEHIDCODE],PROPERTIES[REGION1])</f>
        <v>ALL_REGION</v>
      </c>
      <c r="E669" s="38" t="str">
        <f>_xlfn.XLOOKUP($A669,PROPERTIES[VEHIDCODE],PROPERTIES[REGION2])</f>
        <v>NO_REGION</v>
      </c>
      <c r="F669" s="38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Light Freight</v>
      </c>
      <c r="D670" s="38" t="str">
        <f>_xlfn.XLOOKUP($A670,PROPERTIES[VEHIDCODE],PROPERTIES[REGION1])</f>
        <v>ALL_REGION</v>
      </c>
      <c r="E670" s="38" t="str">
        <f>_xlfn.XLOOKUP($A670,PROPERTIES[VEHIDCODE],PROPERTIES[REGION2])</f>
        <v>NO_REGION</v>
      </c>
      <c r="F670" s="38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Light Freight</v>
      </c>
      <c r="D671" s="38" t="str">
        <f>_xlfn.XLOOKUP($A671,PROPERTIES[VEHIDCODE],PROPERTIES[REGION1])</f>
        <v>REGIONTYPE1</v>
      </c>
      <c r="E671" s="38" t="str">
        <f>_xlfn.XLOOKUP($A671,PROPERTIES[VEHIDCODE],PROPERTIES[REGION2])</f>
        <v>NO_REGION</v>
      </c>
      <c r="F671" s="38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Light Freight</v>
      </c>
      <c r="D672" s="38" t="str">
        <f>_xlfn.XLOOKUP($A672,PROPERTIES[VEHIDCODE],PROPERTIES[REGION1])</f>
        <v>REGIONTYPE2</v>
      </c>
      <c r="E672" s="38" t="str">
        <f>_xlfn.XLOOKUP($A672,PROPERTIES[VEHIDCODE],PROPERTIES[REGION2])</f>
        <v>NO_REGION</v>
      </c>
      <c r="F672" s="38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Light Freight</v>
      </c>
      <c r="D673" s="38" t="str">
        <f>_xlfn.XLOOKUP($A673,PROPERTIES[VEHIDCODE],PROPERTIES[REGION1])</f>
        <v>ALL_REGION</v>
      </c>
      <c r="E673" s="38" t="str">
        <f>_xlfn.XLOOKUP($A673,PROPERTIES[VEHIDCODE],PROPERTIES[REGION2])</f>
        <v>NO_REGION</v>
      </c>
      <c r="F673" s="38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Light Freight</v>
      </c>
      <c r="D674" s="38" t="str">
        <f>_xlfn.XLOOKUP($A674,PROPERTIES[VEHIDCODE],PROPERTIES[REGION1])</f>
        <v>ALL_REGION</v>
      </c>
      <c r="E674" s="38" t="str">
        <f>_xlfn.XLOOKUP($A674,PROPERTIES[VEHIDCODE],PROPERTIES[REGION2])</f>
        <v>NO_REGION</v>
      </c>
      <c r="F674" s="38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Light Freight</v>
      </c>
      <c r="D675" s="38" t="str">
        <f>_xlfn.XLOOKUP($A675,PROPERTIES[VEHIDCODE],PROPERTIES[REGION1])</f>
        <v>ALL_REGION</v>
      </c>
      <c r="E675" s="38" t="str">
        <f>_xlfn.XLOOKUP($A675,PROPERTIES[VEHIDCODE],PROPERTIES[REGION2])</f>
        <v>NO_REGION</v>
      </c>
      <c r="F675" s="38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Standard Freight</v>
      </c>
      <c r="D676" s="38" t="str">
        <f>_xlfn.XLOOKUP($A676,PROPERTIES[VEHIDCODE],PROPERTIES[REGION1])</f>
        <v>REGIONTYPE1</v>
      </c>
      <c r="E676" s="38" t="str">
        <f>_xlfn.XLOOKUP($A676,PROPERTIES[VEHIDCODE],PROPERTIES[REGION2])</f>
        <v>NO_REGION</v>
      </c>
      <c r="F676" s="38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Standard Freight</v>
      </c>
      <c r="D677" s="38" t="str">
        <f>_xlfn.XLOOKUP($A677,PROPERTIES[VEHIDCODE],PROPERTIES[REGION1])</f>
        <v>REGIONTYPE2</v>
      </c>
      <c r="E677" s="38" t="str">
        <f>_xlfn.XLOOKUP($A677,PROPERTIES[VEHIDCODE],PROPERTIES[REGION2])</f>
        <v>NO_REGION</v>
      </c>
      <c r="F677" s="38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Light Freight</v>
      </c>
      <c r="D678" s="38" t="str">
        <f>_xlfn.XLOOKUP($A678,PROPERTIES[VEHIDCODE],PROPERTIES[REGION1])</f>
        <v>ALL_REGION</v>
      </c>
      <c r="E678" s="38" t="str">
        <f>_xlfn.XLOOKUP($A678,PROPERTIES[VEHIDCODE],PROPERTIES[REGION2])</f>
        <v>NO_REGION</v>
      </c>
      <c r="F678" s="38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Light Freight</v>
      </c>
      <c r="D679" s="38" t="str">
        <f>_xlfn.XLOOKUP($A679,PROPERTIES[VEHIDCODE],PROPERTIES[REGION1])</f>
        <v>ALL_REGION</v>
      </c>
      <c r="E679" s="38" t="str">
        <f>_xlfn.XLOOKUP($A679,PROPERTIES[VEHIDCODE],PROPERTIES[REGION2])</f>
        <v>NO_REGION</v>
      </c>
      <c r="F679" s="38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Light Freight</v>
      </c>
      <c r="D680" s="38" t="str">
        <f>_xlfn.XLOOKUP($A680,PROPERTIES[VEHIDCODE],PROPERTIES[REGION1])</f>
        <v>REGIONTYPE1</v>
      </c>
      <c r="E680" s="38" t="str">
        <f>_xlfn.XLOOKUP($A680,PROPERTIES[VEHIDCODE],PROPERTIES[REGION2])</f>
        <v>NO_REGION</v>
      </c>
      <c r="F680" s="38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Light Freight</v>
      </c>
      <c r="D681" s="38" t="str">
        <f>_xlfn.XLOOKUP($A681,PROPERTIES[VEHIDCODE],PROPERTIES[REGION1])</f>
        <v>REGIONTYPE2</v>
      </c>
      <c r="E681" s="38" t="str">
        <f>_xlfn.XLOOKUP($A681,PROPERTIES[VEHIDCODE],PROPERTIES[REGION2])</f>
        <v>NO_REGION</v>
      </c>
      <c r="F681" s="38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Light Freight</v>
      </c>
      <c r="D682" s="38" t="str">
        <f>_xlfn.XLOOKUP($A682,PROPERTIES[VEHIDCODE],PROPERTIES[REGION1])</f>
        <v>REGIONTYPE1</v>
      </c>
      <c r="E682" s="38" t="str">
        <f>_xlfn.XLOOKUP($A682,PROPERTIES[VEHIDCODE],PROPERTIES[REGION2])</f>
        <v>NO_REGION</v>
      </c>
      <c r="F682" s="38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Light Freight</v>
      </c>
      <c r="D683" s="38" t="str">
        <f>_xlfn.XLOOKUP($A683,PROPERTIES[VEHIDCODE],PROPERTIES[REGION1])</f>
        <v>REGIONTYPE2</v>
      </c>
      <c r="E683" s="38" t="str">
        <f>_xlfn.XLOOKUP($A683,PROPERTIES[VEHIDCODE],PROPERTIES[REGION2])</f>
        <v>NO_REGION</v>
      </c>
      <c r="F683" s="38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Light Freight</v>
      </c>
      <c r="D684" s="38" t="str">
        <f>_xlfn.XLOOKUP($A684,PROPERTIES[VEHIDCODE],PROPERTIES[REGION1])</f>
        <v>ALL_REGION</v>
      </c>
      <c r="E684" s="38" t="str">
        <f>_xlfn.XLOOKUP($A684,PROPERTIES[VEHIDCODE],PROPERTIES[REGION2])</f>
        <v>NO_REGION</v>
      </c>
      <c r="F684" s="38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Standard Freight</v>
      </c>
      <c r="D685" s="38" t="str">
        <f>_xlfn.XLOOKUP($A685,PROPERTIES[VEHIDCODE],PROPERTIES[REGION1])</f>
        <v>ALL_REGION</v>
      </c>
      <c r="E685" s="38" t="str">
        <f>_xlfn.XLOOKUP($A685,PROPERTIES[VEHIDCODE],PROPERTIES[REGION2])</f>
        <v>NO_REGION</v>
      </c>
      <c r="F685" s="38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Light Freight</v>
      </c>
      <c r="D686" s="38" t="str">
        <f>_xlfn.XLOOKUP($A686,PROPERTIES[VEHIDCODE],PROPERTIES[REGION1])</f>
        <v>ALL_REGION</v>
      </c>
      <c r="E686" s="38" t="str">
        <f>_xlfn.XLOOKUP($A686,PROPERTIES[VEHIDCODE],PROPERTIES[REGION2])</f>
        <v>NO_REGION</v>
      </c>
      <c r="F686" s="38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Standard Freight</v>
      </c>
      <c r="D687" s="38" t="str">
        <f>_xlfn.XLOOKUP($A687,PROPERTIES[VEHIDCODE],PROPERTIES[REGION1])</f>
        <v>ALL_REGION</v>
      </c>
      <c r="E687" s="38" t="str">
        <f>_xlfn.XLOOKUP($A687,PROPERTIES[VEHIDCODE],PROPERTIES[REGION2])</f>
        <v>NO_REGION</v>
      </c>
      <c r="F687" s="38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Light Freight</v>
      </c>
      <c r="D688" s="38" t="str">
        <f>_xlfn.XLOOKUP($A688,PROPERTIES[VEHIDCODE],PROPERTIES[REGION1])</f>
        <v>ALL_REGION</v>
      </c>
      <c r="E688" s="38" t="str">
        <f>_xlfn.XLOOKUP($A688,PROPERTIES[VEHIDCODE],PROPERTIES[REGION2])</f>
        <v>NO_REGION</v>
      </c>
      <c r="F688" s="38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Standard Freight</v>
      </c>
      <c r="D689" s="38" t="str">
        <f>_xlfn.XLOOKUP($A689,PROPERTIES[VEHIDCODE],PROPERTIES[REGION1])</f>
        <v>REGIONTYPE1</v>
      </c>
      <c r="E689" s="38" t="str">
        <f>_xlfn.XLOOKUP($A689,PROPERTIES[VEHIDCODE],PROPERTIES[REGION2])</f>
        <v>NO_REGION</v>
      </c>
      <c r="F689" s="38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Standard Freight</v>
      </c>
      <c r="D690" s="38" t="str">
        <f>_xlfn.XLOOKUP($A690,PROPERTIES[VEHIDCODE],PROPERTIES[REGION1])</f>
        <v>REGIONTYPE2</v>
      </c>
      <c r="E690" s="38" t="str">
        <f>_xlfn.XLOOKUP($A690,PROPERTIES[VEHIDCODE],PROPERTIES[REGION2])</f>
        <v>NO_REGION</v>
      </c>
      <c r="F690" s="38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Standard Freight</v>
      </c>
      <c r="D691" s="38" t="str">
        <f>_xlfn.XLOOKUP($A691,PROPERTIES[VEHIDCODE],PROPERTIES[REGION1])</f>
        <v>ALL_REGION</v>
      </c>
      <c r="E691" s="38" t="str">
        <f>_xlfn.XLOOKUP($A691,PROPERTIES[VEHIDCODE],PROPERTIES[REGION2])</f>
        <v>NO_REGION</v>
      </c>
      <c r="F691" s="38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Standard Freight</v>
      </c>
      <c r="D692" s="38" t="str">
        <f>_xlfn.XLOOKUP($A692,PROPERTIES[VEHIDCODE],PROPERTIES[REGION1])</f>
        <v>ALL_REGION</v>
      </c>
      <c r="E692" s="38" t="str">
        <f>_xlfn.XLOOKUP($A692,PROPERTIES[VEHIDCODE],PROPERTIES[REGION2])</f>
        <v>NO_REGION</v>
      </c>
      <c r="F692" s="38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Standard Freight</v>
      </c>
      <c r="D693" s="38" t="str">
        <f>_xlfn.XLOOKUP($A693,PROPERTIES[VEHIDCODE],PROPERTIES[REGION1])</f>
        <v>REGIONTYPE1</v>
      </c>
      <c r="E693" s="38" t="str">
        <f>_xlfn.XLOOKUP($A693,PROPERTIES[VEHIDCODE],PROPERTIES[REGION2])</f>
        <v>NO_REGION</v>
      </c>
      <c r="F693" s="38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Standard Freight</v>
      </c>
      <c r="D694" s="38" t="str">
        <f>_xlfn.XLOOKUP($A694,PROPERTIES[VEHIDCODE],PROPERTIES[REGION1])</f>
        <v>REGIONTYPE2</v>
      </c>
      <c r="E694" s="38" t="str">
        <f>_xlfn.XLOOKUP($A694,PROPERTIES[VEHIDCODE],PROPERTIES[REGION2])</f>
        <v>NO_REGION</v>
      </c>
      <c r="F694" s="38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Standard Freight</v>
      </c>
      <c r="D695" s="38" t="str">
        <f>_xlfn.XLOOKUP($A695,PROPERTIES[VEHIDCODE],PROPERTIES[REGION1])</f>
        <v>REGIONTYPE1</v>
      </c>
      <c r="E695" s="38" t="str">
        <f>_xlfn.XLOOKUP($A695,PROPERTIES[VEHIDCODE],PROPERTIES[REGION2])</f>
        <v>NO_REGION</v>
      </c>
      <c r="F695" s="38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Standard Freight</v>
      </c>
      <c r="D696" s="38" t="str">
        <f>_xlfn.XLOOKUP($A696,PROPERTIES[VEHIDCODE],PROPERTIES[REGION1])</f>
        <v>ALL_REGION</v>
      </c>
      <c r="E696" s="38" t="str">
        <f>_xlfn.XLOOKUP($A696,PROPERTIES[VEHIDCODE],PROPERTIES[REGION2])</f>
        <v>NO_REGION</v>
      </c>
      <c r="F696" s="38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Express (Freight)</v>
      </c>
      <c r="D697" s="38" t="str">
        <f>_xlfn.XLOOKUP($A697,PROPERTIES[VEHIDCODE],PROPERTIES[REGION1])</f>
        <v>ALL_REGION</v>
      </c>
      <c r="E697" s="38" t="str">
        <f>_xlfn.XLOOKUP($A697,PROPERTIES[VEHIDCODE],PROPERTIES[REGION2])</f>
        <v>NO_REGION</v>
      </c>
      <c r="F697" s="38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Express (Freight)</v>
      </c>
      <c r="D698" s="38" t="str">
        <f>_xlfn.XLOOKUP($A698,PROPERTIES[VEHIDCODE],PROPERTIES[REGION1])</f>
        <v>ALL_REGION</v>
      </c>
      <c r="E698" s="38" t="str">
        <f>_xlfn.XLOOKUP($A698,PROPERTIES[VEHIDCODE],PROPERTIES[REGION2])</f>
        <v>NO_REGION</v>
      </c>
      <c r="F698" s="38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Standard Freight</v>
      </c>
      <c r="D699" s="38" t="str">
        <f>_xlfn.XLOOKUP($A699,PROPERTIES[VEHIDCODE],PROPERTIES[REGION1])</f>
        <v>ALL_REGION</v>
      </c>
      <c r="E699" s="38" t="str">
        <f>_xlfn.XLOOKUP($A699,PROPERTIES[VEHIDCODE],PROPERTIES[REGION2])</f>
        <v>NO_REGION</v>
      </c>
      <c r="F699" s="38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Standard Freight</v>
      </c>
      <c r="D700" s="38" t="str">
        <f>_xlfn.XLOOKUP($A700,PROPERTIES[VEHIDCODE],PROPERTIES[REGION1])</f>
        <v>ALL_REGION</v>
      </c>
      <c r="E700" s="38" t="str">
        <f>_xlfn.XLOOKUP($A700,PROPERTIES[VEHIDCODE],PROPERTIES[REGION2])</f>
        <v>NO_REGION</v>
      </c>
      <c r="F700" s="38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Light Freight</v>
      </c>
      <c r="D701" s="38" t="str">
        <f>_xlfn.XLOOKUP($A701,PROPERTIES[VEHIDCODE],PROPERTIES[REGION1])</f>
        <v>ALL_REGION</v>
      </c>
      <c r="E701" s="38" t="str">
        <f>_xlfn.XLOOKUP($A701,PROPERTIES[VEHIDCODE],PROPERTIES[REGION2])</f>
        <v>NO_REGION</v>
      </c>
      <c r="F701" s="38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Express (Freight)</v>
      </c>
      <c r="D702" s="38" t="str">
        <f>_xlfn.XLOOKUP($A702,PROPERTIES[VEHIDCODE],PROPERTIES[REGION1])</f>
        <v>ALL_REGION</v>
      </c>
      <c r="E702" s="38" t="str">
        <f>_xlfn.XLOOKUP($A702,PROPERTIES[VEHIDCODE],PROPERTIES[REGION2])</f>
        <v>NO_REGION</v>
      </c>
      <c r="F702" s="38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Standard Freight</v>
      </c>
      <c r="D703" s="38" t="str">
        <f>_xlfn.XLOOKUP($A703,PROPERTIES[VEHIDCODE],PROPERTIES[REGION1])</f>
        <v>ALL_REGION</v>
      </c>
      <c r="E703" s="38" t="str">
        <f>_xlfn.XLOOKUP($A703,PROPERTIES[VEHIDCODE],PROPERTIES[REGION2])</f>
        <v>NO_REGION</v>
      </c>
      <c r="F703" s="38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Express (Freight)</v>
      </c>
      <c r="D704" s="38" t="str">
        <f>_xlfn.XLOOKUP($A704,PROPERTIES[VEHIDCODE],PROPERTIES[REGION1])</f>
        <v>REGIONTYPE1</v>
      </c>
      <c r="E704" s="38" t="str">
        <f>_xlfn.XLOOKUP($A704,PROPERTIES[VEHIDCODE],PROPERTIES[REGION2])</f>
        <v>NO_REGION</v>
      </c>
      <c r="F704" s="38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Express (Freight)</v>
      </c>
      <c r="D705" s="38" t="str">
        <f>_xlfn.XLOOKUP($A705,PROPERTIES[VEHIDCODE],PROPERTIES[REGION1])</f>
        <v>REGIONTYPE2</v>
      </c>
      <c r="E705" s="38" t="str">
        <f>_xlfn.XLOOKUP($A705,PROPERTIES[VEHIDCODE],PROPERTIES[REGION2])</f>
        <v>NO_REGION</v>
      </c>
      <c r="F705" s="38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Express (Freight)</v>
      </c>
      <c r="D706" s="38" t="str">
        <f>_xlfn.XLOOKUP($A706,PROPERTIES[VEHIDCODE],PROPERTIES[REGION1])</f>
        <v>ALL_REGION</v>
      </c>
      <c r="E706" s="38" t="str">
        <f>_xlfn.XLOOKUP($A706,PROPERTIES[VEHIDCODE],PROPERTIES[REGION2])</f>
        <v>NO_REGION</v>
      </c>
      <c r="F706" s="38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Express (Freight)</v>
      </c>
      <c r="D707" s="38" t="str">
        <f>_xlfn.XLOOKUP($A707,PROPERTIES[VEHIDCODE],PROPERTIES[REGION1])</f>
        <v>ALL_REGION</v>
      </c>
      <c r="E707" s="38" t="str">
        <f>_xlfn.XLOOKUP($A707,PROPERTIES[VEHIDCODE],PROPERTIES[REGION2])</f>
        <v>NO_REGION</v>
      </c>
      <c r="F707" s="38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Express (Freight)</v>
      </c>
      <c r="D708" s="38" t="str">
        <f>_xlfn.XLOOKUP($A708,PROPERTIES[VEHIDCODE],PROPERTIES[REGION1])</f>
        <v>REGIONTYPE1</v>
      </c>
      <c r="E708" s="38" t="str">
        <f>_xlfn.XLOOKUP($A708,PROPERTIES[VEHIDCODE],PROPERTIES[REGION2])</f>
        <v>NO_REGION</v>
      </c>
      <c r="F708" s="38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Express (Freight)</v>
      </c>
      <c r="D709" s="38" t="str">
        <f>_xlfn.XLOOKUP($A709,PROPERTIES[VEHIDCODE],PROPERTIES[REGION1])</f>
        <v>REGIONTYPE2</v>
      </c>
      <c r="E709" s="38" t="str">
        <f>_xlfn.XLOOKUP($A709,PROPERTIES[VEHIDCODE],PROPERTIES[REGION2])</f>
        <v>NO_REGION</v>
      </c>
      <c r="F709" s="38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Express (Freight)</v>
      </c>
      <c r="D710" s="38" t="str">
        <f>_xlfn.XLOOKUP($A710,PROPERTIES[VEHIDCODE],PROPERTIES[REGION1])</f>
        <v>REGIONTYPE1</v>
      </c>
      <c r="E710" s="38" t="str">
        <f>_xlfn.XLOOKUP($A710,PROPERTIES[VEHIDCODE],PROPERTIES[REGION2])</f>
        <v>NO_REGION</v>
      </c>
      <c r="F710" s="38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Express (Freight)</v>
      </c>
      <c r="D711" s="38" t="str">
        <f>_xlfn.XLOOKUP($A711,PROPERTIES[VEHIDCODE],PROPERTIES[REGION1])</f>
        <v>ALL_REGION</v>
      </c>
      <c r="E711" s="38" t="str">
        <f>_xlfn.XLOOKUP($A711,PROPERTIES[VEHIDCODE],PROPERTIES[REGION2])</f>
        <v>NO_REGION</v>
      </c>
      <c r="F711" s="38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Express (Freight)</v>
      </c>
      <c r="D712" s="38" t="str">
        <f>_xlfn.XLOOKUP($A712,PROPERTIES[VEHIDCODE],PROPERTIES[REGION1])</f>
        <v>ALL_REGION</v>
      </c>
      <c r="E712" s="38" t="str">
        <f>_xlfn.XLOOKUP($A712,PROPERTIES[VEHIDCODE],PROPERTIES[REGION2])</f>
        <v>NO_REGION</v>
      </c>
      <c r="F712" s="38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Express (Freight)</v>
      </c>
      <c r="D713" s="38" t="str">
        <f>_xlfn.XLOOKUP($A713,PROPERTIES[VEHIDCODE],PROPERTIES[REGION1])</f>
        <v>ALL_REGION</v>
      </c>
      <c r="E713" s="38" t="str">
        <f>_xlfn.XLOOKUP($A713,PROPERTIES[VEHIDCODE],PROPERTIES[REGION2])</f>
        <v>NO_REGION</v>
      </c>
      <c r="F713" s="38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Express (Freight)</v>
      </c>
      <c r="D714" s="38" t="str">
        <f>_xlfn.XLOOKUP($A714,PROPERTIES[VEHIDCODE],PROPERTIES[REGION1])</f>
        <v>ALL_REGION</v>
      </c>
      <c r="E714" s="38" t="str">
        <f>_xlfn.XLOOKUP($A714,PROPERTIES[VEHIDCODE],PROPERTIES[REGION2])</f>
        <v>NO_REGION</v>
      </c>
      <c r="F714" s="38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Express (Freight)</v>
      </c>
      <c r="D715" s="38" t="str">
        <f>_xlfn.XLOOKUP($A715,PROPERTIES[VEHIDCODE],PROPERTIES[REGION1])</f>
        <v>ALL_REGION</v>
      </c>
      <c r="E715" s="38" t="str">
        <f>_xlfn.XLOOKUP($A715,PROPERTIES[VEHIDCODE],PROPERTIES[REGION2])</f>
        <v>NO_REGION</v>
      </c>
      <c r="F715" s="38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Standard Freight</v>
      </c>
      <c r="D716" s="38" t="str">
        <f>_xlfn.XLOOKUP($A716,PROPERTIES[VEHIDCODE],PROPERTIES[REGION1])</f>
        <v>ALL_REGION</v>
      </c>
      <c r="E716" s="38" t="str">
        <f>_xlfn.XLOOKUP($A716,PROPERTIES[VEHIDCODE],PROPERTIES[REGION2])</f>
        <v>NO_REGION</v>
      </c>
      <c r="F716" s="38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Shunter (Freight)</v>
      </c>
      <c r="D717" s="38" t="str">
        <f>_xlfn.XLOOKUP($A717,PROPERTIES[VEHIDCODE],PROPERTIES[REGION1])</f>
        <v>REGIONTYPE1</v>
      </c>
      <c r="E717" s="38" t="str">
        <f>_xlfn.XLOOKUP($A717,PROPERTIES[VEHIDCODE],PROPERTIES[REGION2])</f>
        <v>NO_REGION</v>
      </c>
      <c r="F717" s="38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Shunter (Freight)</v>
      </c>
      <c r="D718" s="38" t="str">
        <f>_xlfn.XLOOKUP($A718,PROPERTIES[VEHIDCODE],PROPERTIES[REGION1])</f>
        <v>REGIONTYPE2</v>
      </c>
      <c r="E718" s="38" t="str">
        <f>_xlfn.XLOOKUP($A718,PROPERTIES[VEHIDCODE],PROPERTIES[REGION2])</f>
        <v>NO_REGION</v>
      </c>
      <c r="F718" s="38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/ Urban</v>
      </c>
      <c r="D719" s="38" t="str">
        <f>_xlfn.XLOOKUP($A719,PROPERTIES[VEHIDCODE],PROPERTIES[REGION1])</f>
        <v>REGIONTYPE1</v>
      </c>
      <c r="E719" s="38" t="str">
        <f>_xlfn.XLOOKUP($A719,PROPERTIES[VEHIDCODE],PROPERTIES[REGION2])</f>
        <v>OCEANIA</v>
      </c>
      <c r="F719" s="38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Commuter / Urban</v>
      </c>
      <c r="D720" s="38" t="str">
        <f>_xlfn.XLOOKUP($A720,PROPERTIES[VEHIDCODE],PROPERTIES[REGION1])</f>
        <v>ALL_REGION</v>
      </c>
      <c r="E720" s="38" t="str">
        <f>_xlfn.XLOOKUP($A720,PROPERTIES[VEHIDCODE],PROPERTIES[REGION2])</f>
        <v>NO_REGION</v>
      </c>
      <c r="F720" s="38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Express Mail / Parcel</v>
      </c>
      <c r="D721" s="38" t="str">
        <f>_xlfn.XLOOKUP($A721,PROPERTIES[VEHIDCODE],PROPERTIES[REGION1])</f>
        <v>ALL_REGION</v>
      </c>
      <c r="E721" s="38" t="str">
        <f>_xlfn.XLOOKUP($A721,PROPERTIES[VEHIDCODE],PROPERTIES[REGION2])</f>
        <v>NO_REGION</v>
      </c>
      <c r="F721" s="38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/ Urban</v>
      </c>
      <c r="D722" s="38" t="str">
        <f>_xlfn.XLOOKUP($A722,PROPERTIES[VEHIDCODE],PROPERTIES[REGION1])</f>
        <v>REGIONTYPE1</v>
      </c>
      <c r="E722" s="38" t="str">
        <f>_xlfn.XLOOKUP($A722,PROPERTIES[VEHIDCODE],PROPERTIES[REGION2])</f>
        <v>OCEANIA</v>
      </c>
      <c r="F722" s="38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Commuter / Urban</v>
      </c>
      <c r="D723" s="38" t="str">
        <f>_xlfn.XLOOKUP($A723,PROPERTIES[VEHIDCODE],PROPERTIES[REGION1])</f>
        <v>ALL_REGION</v>
      </c>
      <c r="E723" s="38" t="str">
        <f>_xlfn.XLOOKUP($A723,PROPERTIES[VEHIDCODE],PROPERTIES[REGION2])</f>
        <v>NO_REGION</v>
      </c>
      <c r="F723" s="38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Express Mail / Parcel</v>
      </c>
      <c r="D724" s="38" t="str">
        <f>_xlfn.XLOOKUP($A724,PROPERTIES[VEHIDCODE],PROPERTIES[REGION1])</f>
        <v>ALL_REGION</v>
      </c>
      <c r="E724" s="38" t="str">
        <f>_xlfn.XLOOKUP($A724,PROPERTIES[VEHIDCODE],PROPERTIES[REGION2])</f>
        <v>NO_REGION</v>
      </c>
      <c r="F724" s="38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/ Urban</v>
      </c>
      <c r="D725" s="38" t="str">
        <f>_xlfn.XLOOKUP($A725,PROPERTIES[VEHIDCODE],PROPERTIES[REGION1])</f>
        <v>REGIONTYPE1</v>
      </c>
      <c r="E725" s="38" t="str">
        <f>_xlfn.XLOOKUP($A725,PROPERTIES[VEHIDCODE],PROPERTIES[REGION2])</f>
        <v>OCEANIA</v>
      </c>
      <c r="F725" s="38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Commuter / Urban</v>
      </c>
      <c r="D726" s="38" t="str">
        <f>_xlfn.XLOOKUP($A726,PROPERTIES[VEHIDCODE],PROPERTIES[REGION1])</f>
        <v>REGIONTYPE1</v>
      </c>
      <c r="E726" s="38" t="str">
        <f>_xlfn.XLOOKUP($A726,PROPERTIES[VEHIDCODE],PROPERTIES[REGION2])</f>
        <v>OCEANIA</v>
      </c>
      <c r="F726" s="38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Express Mail / Parcel</v>
      </c>
      <c r="D727" s="38" t="str">
        <f>_xlfn.XLOOKUP($A727,PROPERTIES[VEHIDCODE],PROPERTIES[REGION1])</f>
        <v>REGIONTYPE1</v>
      </c>
      <c r="E727" s="38" t="str">
        <f>_xlfn.XLOOKUP($A727,PROPERTIES[VEHIDCODE],PROPERTIES[REGION2])</f>
        <v>OCEANIA</v>
      </c>
      <c r="F727" s="38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Passenger</v>
      </c>
      <c r="D728" s="38" t="str">
        <f>_xlfn.XLOOKUP($A728,PROPERTIES[VEHIDCODE],PROPERTIES[REGION1])</f>
        <v>ALL_AMERICA</v>
      </c>
      <c r="E728" s="38" t="str">
        <f>_xlfn.XLOOKUP($A728,PROPERTIES[VEHIDCODE],PROPERTIES[REGION2])</f>
        <v>OCEANIA</v>
      </c>
      <c r="F728" s="38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Standard Freight</v>
      </c>
      <c r="D729" s="38" t="str">
        <f>_xlfn.XLOOKUP($A729,PROPERTIES[VEHIDCODE],PROPERTIES[REGION1])</f>
        <v>ALL_AMERICA</v>
      </c>
      <c r="E729" s="38" t="str">
        <f>_xlfn.XLOOKUP($A729,PROPERTIES[VEHIDCODE],PROPERTIES[REGION2])</f>
        <v>OCEANIA</v>
      </c>
      <c r="F729" s="38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Passenger</v>
      </c>
      <c r="D730" s="38" t="str">
        <f>_xlfn.XLOOKUP($A730,PROPERTIES[VEHIDCODE],PROPERTIES[REGION1])</f>
        <v>REGIONTYPE1</v>
      </c>
      <c r="E730" s="38" t="str">
        <f>_xlfn.XLOOKUP($A730,PROPERTIES[VEHIDCODE],PROPERTIES[REGION2])</f>
        <v>OCEANIA</v>
      </c>
      <c r="F730" s="38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/ Urban</v>
      </c>
      <c r="D731" s="38" t="str">
        <f>_xlfn.XLOOKUP($A731,PROPERTIES[VEHIDCODE],PROPERTIES[REGION1])</f>
        <v>REGIONTYPE1</v>
      </c>
      <c r="E731" s="38" t="str">
        <f>_xlfn.XLOOKUP($A731,PROPERTIES[VEHIDCODE],PROPERTIES[REGION2])</f>
        <v>OCEANIA</v>
      </c>
      <c r="F731" s="38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Commuter / Urban</v>
      </c>
      <c r="D732" s="38" t="str">
        <f>_xlfn.XLOOKUP($A732,PROPERTIES[VEHIDCODE],PROPERTIES[REGION1])</f>
        <v>REGIONTYPE1</v>
      </c>
      <c r="E732" s="38" t="str">
        <f>_xlfn.XLOOKUP($A732,PROPERTIES[VEHIDCODE],PROPERTIES[REGION2])</f>
        <v>OCEANIA</v>
      </c>
      <c r="F732" s="38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Standard Freight</v>
      </c>
      <c r="D733" s="38" t="str">
        <f>_xlfn.XLOOKUP($A733,PROPERTIES[VEHIDCODE],PROPERTIES[REGION1])</f>
        <v>REGIONTYPE1</v>
      </c>
      <c r="E733" s="38" t="str">
        <f>_xlfn.XLOOKUP($A733,PROPERTIES[VEHIDCODE],PROPERTIES[REGION2])</f>
        <v>OCEANIA</v>
      </c>
      <c r="F733" s="38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/ Urban</v>
      </c>
      <c r="D734" s="38" t="str">
        <f>_xlfn.XLOOKUP($A734,PROPERTIES[VEHIDCODE],PROPERTIES[REGION1])</f>
        <v>REGIONTYPE1</v>
      </c>
      <c r="E734" s="38" t="str">
        <f>_xlfn.XLOOKUP($A734,PROPERTIES[VEHIDCODE],PROPERTIES[REGION2])</f>
        <v>OCEANIA</v>
      </c>
      <c r="F734" s="38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Commuter / Urban</v>
      </c>
      <c r="D735" s="38" t="str">
        <f>_xlfn.XLOOKUP($A735,PROPERTIES[VEHIDCODE],PROPERTIES[REGION1])</f>
        <v>ALL_REGION</v>
      </c>
      <c r="E735" s="38" t="str">
        <f>_xlfn.XLOOKUP($A735,PROPERTIES[VEHIDCODE],PROPERTIES[REGION2])</f>
        <v>NO_REGION</v>
      </c>
      <c r="F735" s="38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Express Mail / Parcel</v>
      </c>
      <c r="D736" s="38" t="str">
        <f>_xlfn.XLOOKUP($A736,PROPERTIES[VEHIDCODE],PROPERTIES[REGION1])</f>
        <v>ALL_REGION</v>
      </c>
      <c r="E736" s="38" t="str">
        <f>_xlfn.XLOOKUP($A736,PROPERTIES[VEHIDCODE],PROPERTIES[REGION2])</f>
        <v>NO_REGION</v>
      </c>
      <c r="F736" s="38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/ Urban</v>
      </c>
      <c r="D737" s="38" t="str">
        <f>_xlfn.XLOOKUP($A737,PROPERTIES[VEHIDCODE],PROPERTIES[REGION1])</f>
        <v>REGIONTYPE1</v>
      </c>
      <c r="E737" s="38" t="str">
        <f>_xlfn.XLOOKUP($A737,PROPERTIES[VEHIDCODE],PROPERTIES[REGION2])</f>
        <v>OCEANIA</v>
      </c>
      <c r="F737" s="38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Commuter / Urban</v>
      </c>
      <c r="D738" s="38" t="str">
        <f>_xlfn.XLOOKUP($A738,PROPERTIES[VEHIDCODE],PROPERTIES[REGION1])</f>
        <v>REGIONTYPE1</v>
      </c>
      <c r="E738" s="38" t="str">
        <f>_xlfn.XLOOKUP($A738,PROPERTIES[VEHIDCODE],PROPERTIES[REGION2])</f>
        <v>OCEANIA</v>
      </c>
      <c r="F738" s="38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Express Mail / Parcel</v>
      </c>
      <c r="D739" s="38" t="str">
        <f>_xlfn.XLOOKUP($A739,PROPERTIES[VEHIDCODE],PROPERTIES[REGION1])</f>
        <v>REGIONTYPE1</v>
      </c>
      <c r="E739" s="38" t="str">
        <f>_xlfn.XLOOKUP($A739,PROPERTIES[VEHIDCODE],PROPERTIES[REGION2])</f>
        <v>OCEANIA</v>
      </c>
      <c r="F739" s="38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Passenger</v>
      </c>
      <c r="D740" s="38" t="str">
        <f>_xlfn.XLOOKUP($A740,PROPERTIES[VEHIDCODE],PROPERTIES[REGION1])</f>
        <v>REGIONTYPE3</v>
      </c>
      <c r="E740" s="38" t="str">
        <f>_xlfn.XLOOKUP($A740,PROPERTIES[VEHIDCODE],PROPERTIES[REGION2])</f>
        <v>ALL_AMERICA</v>
      </c>
      <c r="F740" s="38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Passenger</v>
      </c>
      <c r="D741" s="38" t="str">
        <f>_xlfn.XLOOKUP($A741,PROPERTIES[VEHIDCODE],PROPERTIES[REGION1])</f>
        <v>REGIONTYPE3</v>
      </c>
      <c r="E741" s="38" t="str">
        <f>_xlfn.XLOOKUP($A741,PROPERTIES[VEHIDCODE],PROPERTIES[REGION2])</f>
        <v>ALL_AMERICA</v>
      </c>
      <c r="F741" s="38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Standard Freight</v>
      </c>
      <c r="D742" s="38" t="str">
        <f>_xlfn.XLOOKUP($A742,PROPERTIES[VEHIDCODE],PROPERTIES[REGION1])</f>
        <v>REGIONTYPE3</v>
      </c>
      <c r="E742" s="38" t="str">
        <f>_xlfn.XLOOKUP($A742,PROPERTIES[VEHIDCODE],PROPERTIES[REGION2])</f>
        <v>ALL_AMERICA</v>
      </c>
      <c r="F742" s="38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(Passenger)</v>
      </c>
      <c r="D743" s="38" t="str">
        <f>_xlfn.XLOOKUP($A743,PROPERTIES[VEHIDCODE],PROPERTIES[REGION1])</f>
        <v>REGIONTYPE1</v>
      </c>
      <c r="E743" s="38" t="str">
        <f>_xlfn.XLOOKUP($A743,PROPERTIES[VEHIDCODE],PROPERTIES[REGION2])</f>
        <v>OCEANIA</v>
      </c>
      <c r="F743" s="38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Passenger</v>
      </c>
      <c r="D744" s="38" t="str">
        <f>_xlfn.XLOOKUP($A744,PROPERTIES[VEHIDCODE],PROPERTIES[REGION1])</f>
        <v>ALL_AMERICA</v>
      </c>
      <c r="E744" s="38" t="str">
        <f>_xlfn.XLOOKUP($A744,PROPERTIES[VEHIDCODE],PROPERTIES[REGION2])</f>
        <v>OCEANIA</v>
      </c>
      <c r="F744" s="38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Express (Freight)</v>
      </c>
      <c r="D745" s="38" t="str">
        <f>_xlfn.XLOOKUP($A745,PROPERTIES[VEHIDCODE],PROPERTIES[REGION1])</f>
        <v>ALL_AMERICA</v>
      </c>
      <c r="E745" s="38" t="str">
        <f>_xlfn.XLOOKUP($A745,PROPERTIES[VEHIDCODE],PROPERTIES[REGION2])</f>
        <v>OCEANIA</v>
      </c>
      <c r="F745" s="38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Passenger</v>
      </c>
      <c r="D746" s="38" t="str">
        <f>_xlfn.XLOOKUP($A746,PROPERTIES[VEHIDCODE],PROPERTIES[REGION1])</f>
        <v>ALL_AMERICA</v>
      </c>
      <c r="E746" s="38" t="str">
        <f>_xlfn.XLOOKUP($A746,PROPERTIES[VEHIDCODE],PROPERTIES[REGION2])</f>
        <v>OCEANIA</v>
      </c>
      <c r="F746" s="38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Passenger</v>
      </c>
      <c r="D747" s="38" t="str">
        <f>_xlfn.XLOOKUP($A747,PROPERTIES[VEHIDCODE],PROPERTIES[REGION1])</f>
        <v>REGIONTYPE1</v>
      </c>
      <c r="E747" s="38" t="str">
        <f>_xlfn.XLOOKUP($A747,PROPERTIES[VEHIDCODE],PROPERTIES[REGION2])</f>
        <v>NO_REGION</v>
      </c>
      <c r="F747" s="38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Passenger</v>
      </c>
      <c r="D748" s="38" t="str">
        <f>_xlfn.XLOOKUP($A748,PROPERTIES[VEHIDCODE],PROPERTIES[REGION1])</f>
        <v>REGIONTYPE1</v>
      </c>
      <c r="E748" s="38" t="str">
        <f>_xlfn.XLOOKUP($A748,PROPERTIES[VEHIDCODE],PROPERTIES[REGION2])</f>
        <v>NO_REGION</v>
      </c>
      <c r="F748" s="38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Standard Freight</v>
      </c>
      <c r="D749" s="38" t="str">
        <f>_xlfn.XLOOKUP($A749,PROPERTIES[VEHIDCODE],PROPERTIES[REGION1])</f>
        <v>REGIONTYPE1</v>
      </c>
      <c r="E749" s="38" t="str">
        <f>_xlfn.XLOOKUP($A749,PROPERTIES[VEHIDCODE],PROPERTIES[REGION2])</f>
        <v>NO_REGION</v>
      </c>
      <c r="F749" s="38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(Passenger)</v>
      </c>
      <c r="D750" s="38" t="str">
        <f>_xlfn.XLOOKUP($A750,PROPERTIES[VEHIDCODE],PROPERTIES[REGION1])</f>
        <v>REGIONTYPE1</v>
      </c>
      <c r="E750" s="38" t="str">
        <f>_xlfn.XLOOKUP($A750,PROPERTIES[VEHIDCODE],PROPERTIES[REGION2])</f>
        <v>NO_REGION</v>
      </c>
      <c r="F750" s="38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(Passenger)</v>
      </c>
      <c r="D751" s="38" t="str">
        <f>_xlfn.XLOOKUP($A751,PROPERTIES[VEHIDCODE],PROPERTIES[REGION1])</f>
        <v>ALL_EUROPE</v>
      </c>
      <c r="E751" s="38" t="str">
        <f>_xlfn.XLOOKUP($A751,PROPERTIES[VEHIDCODE],PROPERTIES[REGION2])</f>
        <v>NO_REGION</v>
      </c>
      <c r="F751" s="38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Passenger</v>
      </c>
      <c r="D752" s="38" t="str">
        <f>_xlfn.XLOOKUP($A752,PROPERTIES[VEHIDCODE],PROPERTIES[REGION1])</f>
        <v>REGIONTYPE1</v>
      </c>
      <c r="E752" s="38" t="str">
        <f>_xlfn.XLOOKUP($A752,PROPERTIES[VEHIDCODE],PROPERTIES[REGION2])</f>
        <v>NO_REGION</v>
      </c>
      <c r="F752" s="38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/ Urban</v>
      </c>
      <c r="D753" s="38" t="str">
        <f>_xlfn.XLOOKUP($A753,PROPERTIES[VEHIDCODE],PROPERTIES[REGION1])</f>
        <v>REGIONTYPE1</v>
      </c>
      <c r="E753" s="38" t="str">
        <f>_xlfn.XLOOKUP($A753,PROPERTIES[VEHIDCODE],PROPERTIES[REGION2])</f>
        <v>NO_REGION</v>
      </c>
      <c r="F753" s="38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/ Urban</v>
      </c>
      <c r="D754" s="38" t="str">
        <f>_xlfn.XLOOKUP($A754,PROPERTIES[VEHIDCODE],PROPERTIES[REGION1])</f>
        <v>REGIONTYPE1</v>
      </c>
      <c r="E754" s="38" t="str">
        <f>_xlfn.XLOOKUP($A754,PROPERTIES[VEHIDCODE],PROPERTIES[REGION2])</f>
        <v>NO_REGION</v>
      </c>
      <c r="F754" s="38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Express (Freight)</v>
      </c>
      <c r="D755" s="38" t="str">
        <f>_xlfn.XLOOKUP($A755,PROPERTIES[VEHIDCODE],PROPERTIES[REGION1])</f>
        <v>REGIONTYPE1</v>
      </c>
      <c r="E755" s="38" t="str">
        <f>_xlfn.XLOOKUP($A755,PROPERTIES[VEHIDCODE],PROPERTIES[REGION2])</f>
        <v>NO_REGION</v>
      </c>
      <c r="F755" s="38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Passenger</v>
      </c>
      <c r="D756" s="38" t="str">
        <f>_xlfn.XLOOKUP($A756,PROPERTIES[VEHIDCODE],PROPERTIES[REGION1])</f>
        <v>ASIA</v>
      </c>
      <c r="E756" s="38" t="str">
        <f>_xlfn.XLOOKUP($A756,PROPERTIES[VEHIDCODE],PROPERTIES[REGION2])</f>
        <v>NO_REGION</v>
      </c>
      <c r="F756" s="38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/ Urban</v>
      </c>
      <c r="D757" s="38" t="str">
        <f>_xlfn.XLOOKUP($A757,PROPERTIES[VEHIDCODE],PROPERTIES[REGION1])</f>
        <v>ASIA</v>
      </c>
      <c r="E757" s="38" t="str">
        <f>_xlfn.XLOOKUP($A757,PROPERTIES[VEHIDCODE],PROPERTIES[REGION2])</f>
        <v>NO_REGION</v>
      </c>
      <c r="F757" s="38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Commuter / Urban</v>
      </c>
      <c r="D758" s="38" t="str">
        <f>_xlfn.XLOOKUP($A758,PROPERTIES[VEHIDCODE],PROPERTIES[REGION1])</f>
        <v>ASIA</v>
      </c>
      <c r="E758" s="38" t="str">
        <f>_xlfn.XLOOKUP($A758,PROPERTIES[VEHIDCODE],PROPERTIES[REGION2])</f>
        <v>NO_REGION</v>
      </c>
      <c r="F758" s="38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Express Mail / Parcel</v>
      </c>
      <c r="D759" s="38" t="str">
        <f>_xlfn.XLOOKUP($A759,PROPERTIES[VEHIDCODE],PROPERTIES[REGION1])</f>
        <v>ASIA</v>
      </c>
      <c r="E759" s="38" t="str">
        <f>_xlfn.XLOOKUP($A759,PROPERTIES[VEHIDCODE],PROPERTIES[REGION2])</f>
        <v>NO_REGION</v>
      </c>
      <c r="F759" s="38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(Passenger)</v>
      </c>
      <c r="D760" s="38" t="str">
        <f>_xlfn.XLOOKUP($A760,PROPERTIES[VEHIDCODE],PROPERTIES[REGION1])</f>
        <v>REGIONTYPE1</v>
      </c>
      <c r="E760" s="38" t="str">
        <f>_xlfn.XLOOKUP($A760,PROPERTIES[VEHIDCODE],PROPERTIES[REGION2])</f>
        <v>NO_REGION</v>
      </c>
      <c r="F760" s="38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(Passenger)</v>
      </c>
      <c r="D761" s="38" t="str">
        <f>_xlfn.XLOOKUP($A761,PROPERTIES[VEHIDCODE],PROPERTIES[REGION1])</f>
        <v>REGIONTYPE1</v>
      </c>
      <c r="E761" s="38" t="str">
        <f>_xlfn.XLOOKUP($A761,PROPERTIES[VEHIDCODE],PROPERTIES[REGION2])</f>
        <v>NO_REGION</v>
      </c>
      <c r="F761" s="38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/ Urban</v>
      </c>
      <c r="D762" s="38" t="str">
        <f>_xlfn.XLOOKUP($A762,PROPERTIES[VEHIDCODE],PROPERTIES[REGION1])</f>
        <v>REGIONTYPE1</v>
      </c>
      <c r="E762" s="38" t="str">
        <f>_xlfn.XLOOKUP($A762,PROPERTIES[VEHIDCODE],PROPERTIES[REGION2])</f>
        <v>NO_REGION</v>
      </c>
      <c r="F762" s="38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Express (Freight)</v>
      </c>
      <c r="D763" s="38" t="str">
        <f>_xlfn.XLOOKUP($A763,PROPERTIES[VEHIDCODE],PROPERTIES[REGION1])</f>
        <v>REGIONTYPE1</v>
      </c>
      <c r="E763" s="38" t="str">
        <f>_xlfn.XLOOKUP($A763,PROPERTIES[VEHIDCODE],PROPERTIES[REGION2])</f>
        <v>NO_REGION</v>
      </c>
      <c r="F763" s="38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Passenger</v>
      </c>
      <c r="D764" s="38" t="str">
        <f>_xlfn.XLOOKUP($A764,PROPERTIES[VEHIDCODE],PROPERTIES[REGION1])</f>
        <v>ALL_EUROPE</v>
      </c>
      <c r="E764" s="38" t="str">
        <f>_xlfn.XLOOKUP($A764,PROPERTIES[VEHIDCODE],PROPERTIES[REGION2])</f>
        <v>ASIA</v>
      </c>
      <c r="F764" s="38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Passenger</v>
      </c>
      <c r="D765" s="38" t="str">
        <f>_xlfn.XLOOKUP($A765,PROPERTIES[VEHIDCODE],PROPERTIES[REGION1])</f>
        <v>ALL_EUROPE</v>
      </c>
      <c r="E765" s="38" t="str">
        <f>_xlfn.XLOOKUP($A765,PROPERTIES[VEHIDCODE],PROPERTIES[REGION2])</f>
        <v>ASIA</v>
      </c>
      <c r="F765" s="38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Passenger</v>
      </c>
      <c r="D766" s="38" t="str">
        <f>_xlfn.XLOOKUP($A766,PROPERTIES[VEHIDCODE],PROPERTIES[REGION1])</f>
        <v>ALL_EUROPE</v>
      </c>
      <c r="E766" s="38" t="str">
        <f>_xlfn.XLOOKUP($A766,PROPERTIES[VEHIDCODE],PROPERTIES[REGION2])</f>
        <v>ASIA</v>
      </c>
      <c r="F766" s="38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Express (Freight)</v>
      </c>
      <c r="D767" s="38" t="str">
        <f>_xlfn.XLOOKUP($A767,PROPERTIES[VEHIDCODE],PROPERTIES[REGION1])</f>
        <v>ALL_EUROPE</v>
      </c>
      <c r="E767" s="38" t="str">
        <f>_xlfn.XLOOKUP($A767,PROPERTIES[VEHIDCODE],PROPERTIES[REGION2])</f>
        <v>ASIA</v>
      </c>
      <c r="F767" s="38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(Passenger)</v>
      </c>
      <c r="D768" s="38" t="str">
        <f>_xlfn.XLOOKUP($A768,PROPERTIES[VEHIDCODE],PROPERTIES[REGION1])</f>
        <v>ALL_AMERICA</v>
      </c>
      <c r="E768" s="38" t="str">
        <f>_xlfn.XLOOKUP($A768,PROPERTIES[VEHIDCODE],PROPERTIES[REGION2])</f>
        <v>OCEANIA</v>
      </c>
      <c r="F768" s="38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(Passenger)</v>
      </c>
      <c r="D769" s="38" t="str">
        <f>_xlfn.XLOOKUP($A769,PROPERTIES[VEHIDCODE],PROPERTIES[REGION1])</f>
        <v>ALL_AMERICA</v>
      </c>
      <c r="E769" s="38" t="str">
        <f>_xlfn.XLOOKUP($A769,PROPERTIES[VEHIDCODE],PROPERTIES[REGION2])</f>
        <v>OCEANIA</v>
      </c>
      <c r="F769" s="38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(Passenger)</v>
      </c>
      <c r="D770" s="38" t="str">
        <f>_xlfn.XLOOKUP($A770,PROPERTIES[VEHIDCODE],PROPERTIES[REGION1])</f>
        <v>ALL_AMERICA</v>
      </c>
      <c r="E770" s="38" t="str">
        <f>_xlfn.XLOOKUP($A770,PROPERTIES[VEHIDCODE],PROPERTIES[REGION2])</f>
        <v>OCEANIA</v>
      </c>
      <c r="F770" s="38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(Passenger)</v>
      </c>
      <c r="D771" s="38" t="str">
        <f>_xlfn.XLOOKUP($A771,PROPERTIES[VEHIDCODE],PROPERTIES[REGION1])</f>
        <v>ALL_AMERICA</v>
      </c>
      <c r="E771" s="38" t="str">
        <f>_xlfn.XLOOKUP($A771,PROPERTIES[VEHIDCODE],PROPERTIES[REGION2])</f>
        <v>OCEANIA</v>
      </c>
      <c r="F771" s="38" t="str">
        <f t="shared" ref="F771:F792" si="81">_xlfn.CONCAT($D771,"_",$E771)</f>
        <v>ALL_AMERICA_OCEANIA</v>
      </c>
      <c r="G771" t="b">
        <f t="shared" ref="G771:G792" si="82">OR(ISNUMBER(SEARCH("ALL_REGION",$F771)),
ISNUMBER(SEARCH("AFRICA",$F771)),
ISNUMBER(SEARCH("REGIONTYPE1",$F771)),
ISNUMBER(SEARCH("REGIONTYPE2",$F771)))</f>
        <v>0</v>
      </c>
      <c r="H771" t="b">
        <f t="shared" ref="H771:H792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2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2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2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(Passenger)</v>
      </c>
      <c r="D772" s="38" t="str">
        <f>_xlfn.XLOOKUP($A772,PROPERTIES[VEHIDCODE],PROPERTIES[REGION1])</f>
        <v>ALL_AMERICA</v>
      </c>
      <c r="E772" s="38" t="str">
        <f>_xlfn.XLOOKUP($A772,PROPERTIES[VEHIDCODE],PROPERTIES[REGION2])</f>
        <v>OCEANIA</v>
      </c>
      <c r="F772" s="38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(Passenger)</v>
      </c>
      <c r="D773" s="38" t="str">
        <f>_xlfn.XLOOKUP($A773,PROPERTIES[VEHIDCODE],PROPERTIES[REGION1])</f>
        <v>ALL_AMERICA</v>
      </c>
      <c r="E773" s="38" t="str">
        <f>_xlfn.XLOOKUP($A773,PROPERTIES[VEHIDCODE],PROPERTIES[REGION2])</f>
        <v>OCEANIA</v>
      </c>
      <c r="F773" s="38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Express (Freight)</v>
      </c>
      <c r="D774" s="38" t="str">
        <f>_xlfn.XLOOKUP($A774,PROPERTIES[VEHIDCODE],PROPERTIES[REGION1])</f>
        <v>ALL_AMERICA</v>
      </c>
      <c r="E774" s="38" t="str">
        <f>_xlfn.XLOOKUP($A774,PROPERTIES[VEHIDCODE],PROPERTIES[REGION2])</f>
        <v>OCEANIA</v>
      </c>
      <c r="F774" s="38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(Passenger)</v>
      </c>
      <c r="D775" s="38" t="str">
        <f>_xlfn.XLOOKUP($A775,PROPERTIES[VEHIDCODE],PROPERTIES[REGION1])</f>
        <v>ALL_AMERICA</v>
      </c>
      <c r="E775" s="38" t="str">
        <f>_xlfn.XLOOKUP($A775,PROPERTIES[VEHIDCODE],PROPERTIES[REGION2])</f>
        <v>OCEANIA</v>
      </c>
      <c r="F775" s="38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Ultra-High-Speed (Pax)</v>
      </c>
      <c r="D776" s="38" t="str">
        <f>_xlfn.XLOOKUP($A776,PROPERTIES[VEHIDCODE],PROPERTIES[REGION1])</f>
        <v>ALL_REGION</v>
      </c>
      <c r="E776" s="38" t="str">
        <f>_xlfn.XLOOKUP($A776,PROPERTIES[VEHIDCODE],PROPERTIES[REGION2])</f>
        <v>NO_REGION</v>
      </c>
      <c r="F776" s="38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(Passenger)</v>
      </c>
      <c r="D777" s="38" t="str">
        <f>_xlfn.XLOOKUP($A777,PROPERTIES[VEHIDCODE],PROPERTIES[REGION1])</f>
        <v>ALL_REGION</v>
      </c>
      <c r="E777" s="38" t="str">
        <f>_xlfn.XLOOKUP($A777,PROPERTIES[VEHIDCODE],PROPERTIES[REGION2])</f>
        <v>NO_REGION</v>
      </c>
      <c r="F777" s="38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(Passenger)</v>
      </c>
      <c r="D778" s="38" t="str">
        <f>_xlfn.XLOOKUP($A778,PROPERTIES[VEHIDCODE],PROPERTIES[REGION1])</f>
        <v>ALL_REGION</v>
      </c>
      <c r="E778" s="38" t="str">
        <f>_xlfn.XLOOKUP($A778,PROPERTIES[VEHIDCODE],PROPERTIES[REGION2])</f>
        <v>NO_REGION</v>
      </c>
      <c r="F778" s="38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(Passenger)</v>
      </c>
      <c r="D779" s="38" t="str">
        <f>_xlfn.XLOOKUP($A779,PROPERTIES[VEHIDCODE],PROPERTIES[REGION1])</f>
        <v>ALL_REGION</v>
      </c>
      <c r="E779" s="38" t="str">
        <f>_xlfn.XLOOKUP($A779,PROPERTIES[VEHIDCODE],PROPERTIES[REGION2])</f>
        <v>NO_REGION</v>
      </c>
      <c r="F779" s="38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(Passenger)</v>
      </c>
      <c r="D780" s="38" t="str">
        <f>_xlfn.XLOOKUP($A780,PROPERTIES[VEHIDCODE],PROPERTIES[REGION1])</f>
        <v>ALL_REGION</v>
      </c>
      <c r="E780" s="38" t="str">
        <f>_xlfn.XLOOKUP($A780,PROPERTIES[VEHIDCODE],PROPERTIES[REGION2])</f>
        <v>NO_REGION</v>
      </c>
      <c r="F780" s="38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Ultra-High-Speed (Freight)</v>
      </c>
      <c r="D781" s="38" t="str">
        <f>_xlfn.XLOOKUP($A781,PROPERTIES[VEHIDCODE],PROPERTIES[REGION1])</f>
        <v>ALL_REGION</v>
      </c>
      <c r="E781" s="38" t="str">
        <f>_xlfn.XLOOKUP($A781,PROPERTIES[VEHIDCODE],PROPERTIES[REGION2])</f>
        <v>NO_REGION</v>
      </c>
      <c r="F781" s="38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(Passenger)</v>
      </c>
      <c r="D782" s="38" t="str">
        <f>_xlfn.XLOOKUP($A782,PROPERTIES[VEHIDCODE],PROPERTIES[REGION1])</f>
        <v>ALL_REGION</v>
      </c>
      <c r="E782" s="38" t="str">
        <f>_xlfn.XLOOKUP($A782,PROPERTIES[VEHIDCODE],PROPERTIES[REGION2])</f>
        <v>NO_REGION</v>
      </c>
      <c r="F782" s="38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Express (Freight)</v>
      </c>
      <c r="D783" s="38" t="str">
        <f>_xlfn.XLOOKUP($A783,PROPERTIES[VEHIDCODE],PROPERTIES[REGION1])</f>
        <v>ALL_REGION</v>
      </c>
      <c r="E783" s="38" t="str">
        <f>_xlfn.XLOOKUP($A783,PROPERTIES[VEHIDCODE],PROPERTIES[REGION2])</f>
        <v>NO_REGION</v>
      </c>
      <c r="F783" s="38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Ultra-High-Speed (Pax)</v>
      </c>
      <c r="D784" s="38" t="str">
        <f>_xlfn.XLOOKUP($A784,PROPERTIES[VEHIDCODE],PROPERTIES[REGION1])</f>
        <v>ALL_REGION</v>
      </c>
      <c r="E784" s="38" t="str">
        <f>_xlfn.XLOOKUP($A784,PROPERTIES[VEHIDCODE],PROPERTIES[REGION2])</f>
        <v>NO_REGION</v>
      </c>
      <c r="F784" s="38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Ultra-High-Speed (Pax)</v>
      </c>
      <c r="D785" s="38" t="str">
        <f>_xlfn.XLOOKUP($A785,PROPERTIES[VEHIDCODE],PROPERTIES[REGION1])</f>
        <v>ALL_REGION</v>
      </c>
      <c r="E785" s="38" t="str">
        <f>_xlfn.XLOOKUP($A785,PROPERTIES[VEHIDCODE],PROPERTIES[REGION2])</f>
        <v>NO_REGION</v>
      </c>
      <c r="F785" s="38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/ Urban</v>
      </c>
      <c r="D786" s="38" t="str">
        <f>_xlfn.XLOOKUP($A786,PROPERTIES[VEHIDCODE],PROPERTIES[REGION1])</f>
        <v>ALL_REGION</v>
      </c>
      <c r="E786" s="38" t="str">
        <f>_xlfn.XLOOKUP($A786,PROPERTIES[VEHIDCODE],PROPERTIES[REGION2])</f>
        <v>NO_REGION</v>
      </c>
      <c r="F786" s="38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Ultra-High-Speed (Freight)</v>
      </c>
      <c r="D787" s="38" t="str">
        <f>_xlfn.XLOOKUP($A787,PROPERTIES[VEHIDCODE],PROPERTIES[REGION1])</f>
        <v>ALL_REGION</v>
      </c>
      <c r="E787" s="38" t="str">
        <f>_xlfn.XLOOKUP($A787,PROPERTIES[VEHIDCODE],PROPERTIES[REGION2])</f>
        <v>NO_REGION</v>
      </c>
      <c r="F787" s="38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(Passenger)</v>
      </c>
      <c r="D788" s="38" t="str">
        <f>_xlfn.XLOOKUP($A788,PROPERTIES[VEHIDCODE],PROPERTIES[REGION1])</f>
        <v>ALL_REGION</v>
      </c>
      <c r="E788" s="38" t="str">
        <f>_xlfn.XLOOKUP($A788,PROPERTIES[VEHIDCODE],PROPERTIES[REGION2])</f>
        <v>NO_REGION</v>
      </c>
      <c r="F788" s="38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Ultra-High-Speed (Pax)</v>
      </c>
      <c r="D789" s="38" t="str">
        <f>_xlfn.XLOOKUP($A789,PROPERTIES[VEHIDCODE],PROPERTIES[REGION1])</f>
        <v>ALL_REGION</v>
      </c>
      <c r="E789" s="38" t="str">
        <f>_xlfn.XLOOKUP($A789,PROPERTIES[VEHIDCODE],PROPERTIES[REGION2])</f>
        <v>NO_REGION</v>
      </c>
      <c r="F789" s="38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8" t="str">
        <f>_xlfn.XLOOKUP($A790,PROPERTIES[VEHIDCODE],PROPERTIES[REGION1])</f>
        <v>AFRICA</v>
      </c>
      <c r="E790" s="38" t="str">
        <f>_xlfn.XLOOKUP($A790,PROPERTIES[VEHIDCODE],PROPERTIES[REGION2])</f>
        <v>NO_REGION</v>
      </c>
      <c r="F790" s="38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8" t="str">
        <f>_xlfn.XLOOKUP($A791,PROPERTIES[VEHIDCODE],PROPERTIES[REGION1])</f>
        <v>AFRICA</v>
      </c>
      <c r="E791" s="38" t="str">
        <f>_xlfn.XLOOKUP($A791,PROPERTIES[VEHIDCODE],PROPERTIES[REGION2])</f>
        <v>NO_REGION</v>
      </c>
      <c r="F791" s="38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8" t="str">
        <f>_xlfn.XLOOKUP($A792,PROPERTIES[VEHIDCODE],PROPERTIES[REGION1])</f>
        <v>ASIA</v>
      </c>
      <c r="E792" s="38" t="str">
        <f>_xlfn.XLOOKUP($A792,PROPERTIES[VEHIDCODE],PROPERTIES[REGION2])</f>
        <v>NO_REGION</v>
      </c>
      <c r="F792" s="38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</sheetData>
  <autoFilter ref="A1:O792" xr:uid="{94AF2F1A-9287-4526-9497-B34C300AF4DB}"/>
  <conditionalFormatting sqref="G1:G1048576">
    <cfRule type="containsText" dxfId="6" priority="11" operator="containsText" text="FALSE">
      <formula>NOT(ISERROR(SEARCH("FALSE",G1)))</formula>
    </cfRule>
  </conditionalFormatting>
  <conditionalFormatting sqref="H1:I1048576 H2:L792">
    <cfRule type="containsText" dxfId="5" priority="10" operator="containsText" text="FALSE">
      <formula>NOT(ISERROR(SEARCH("FALSE",H1)))</formula>
    </cfRule>
  </conditionalFormatting>
  <conditionalFormatting sqref="J2:L792">
    <cfRule type="containsText" dxfId="4" priority="6" operator="containsText" text="FALSE">
      <formula>NOT(ISERROR(SEARCH("FALSE",J2)))</formula>
    </cfRule>
  </conditionalFormatting>
  <conditionalFormatting sqref="M2:N792">
    <cfRule type="containsText" dxfId="3" priority="4" operator="containsText" text="FALSE">
      <formula>NOT(ISERROR(SEARCH("FALSE",M2)))</formula>
    </cfRule>
  </conditionalFormatting>
  <conditionalFormatting sqref="M2:N792">
    <cfRule type="containsText" dxfId="2" priority="3" operator="containsText" text="FALSE">
      <formula>NOT(ISERROR(SEARCH("FALSE",M2)))</formula>
    </cfRule>
  </conditionalFormatting>
  <conditionalFormatting sqref="O2:O792">
    <cfRule type="containsText" dxfId="1" priority="2" operator="containsText" text="FALSE">
      <formula>NOT(ISERROR(SEARCH("FALSE",O2)))</formula>
    </cfRule>
  </conditionalFormatting>
  <conditionalFormatting sqref="O2:O792">
    <cfRule type="containsText" dxfId="0" priority="1" operator="containsText" text="FALSE">
      <formula>NOT(ISERROR(SEARCH("FALSE",O2)))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9" t="s">
        <v>920</v>
      </c>
      <c r="C1" t="s">
        <v>921</v>
      </c>
      <c r="E1" s="13" t="s">
        <v>980</v>
      </c>
      <c r="G1" s="13" t="s">
        <v>981</v>
      </c>
      <c r="I1" t="s">
        <v>4</v>
      </c>
      <c r="K1" t="s">
        <v>979</v>
      </c>
      <c r="M1" s="25" t="s">
        <v>2288</v>
      </c>
      <c r="N1" s="25" t="s">
        <v>2289</v>
      </c>
    </row>
    <row r="2" spans="1:14">
      <c r="A2" s="17" t="s">
        <v>908</v>
      </c>
      <c r="C2" t="s">
        <v>922</v>
      </c>
      <c r="E2" t="s">
        <v>1010</v>
      </c>
      <c r="G2" t="s">
        <v>1011</v>
      </c>
      <c r="I2" t="s">
        <v>23</v>
      </c>
      <c r="K2" s="23" t="s">
        <v>933</v>
      </c>
      <c r="M2" s="26" t="s">
        <v>2042</v>
      </c>
      <c r="N2" s="26" t="s">
        <v>1790</v>
      </c>
    </row>
    <row r="3" spans="1:14">
      <c r="A3" s="18" t="s">
        <v>917</v>
      </c>
      <c r="C3" t="s">
        <v>923</v>
      </c>
      <c r="E3" t="s">
        <v>992</v>
      </c>
      <c r="G3" t="s">
        <v>993</v>
      </c>
      <c r="I3" t="s">
        <v>35</v>
      </c>
      <c r="K3" s="23" t="s">
        <v>936</v>
      </c>
      <c r="M3" s="26" t="s">
        <v>2054</v>
      </c>
      <c r="N3" s="26" t="s">
        <v>1802</v>
      </c>
    </row>
    <row r="4" spans="1:14">
      <c r="A4" s="17" t="s">
        <v>914</v>
      </c>
      <c r="E4" t="s">
        <v>986</v>
      </c>
      <c r="G4" t="s">
        <v>987</v>
      </c>
      <c r="I4" t="s">
        <v>74</v>
      </c>
      <c r="K4" s="23" t="s">
        <v>937</v>
      </c>
      <c r="M4" s="26" t="s">
        <v>2045</v>
      </c>
      <c r="N4" s="26" t="s">
        <v>1793</v>
      </c>
    </row>
    <row r="5" spans="1:14">
      <c r="A5" s="18" t="s">
        <v>918</v>
      </c>
      <c r="E5" t="s">
        <v>998</v>
      </c>
      <c r="G5" t="s">
        <v>999</v>
      </c>
      <c r="I5" t="s">
        <v>19</v>
      </c>
      <c r="K5" s="23" t="s">
        <v>939</v>
      </c>
      <c r="M5" s="26" t="s">
        <v>2101</v>
      </c>
      <c r="N5" s="26" t="s">
        <v>1849</v>
      </c>
    </row>
    <row r="6" spans="1:14">
      <c r="A6" s="17" t="s">
        <v>913</v>
      </c>
      <c r="E6" t="s">
        <v>996</v>
      </c>
      <c r="G6" t="s">
        <v>997</v>
      </c>
      <c r="K6" s="23" t="s">
        <v>941</v>
      </c>
      <c r="M6" s="26" t="s">
        <v>2050</v>
      </c>
      <c r="N6" s="26" t="s">
        <v>1798</v>
      </c>
    </row>
    <row r="7" spans="1:14">
      <c r="A7" s="18" t="s">
        <v>911</v>
      </c>
      <c r="E7" t="s">
        <v>988</v>
      </c>
      <c r="G7" t="s">
        <v>989</v>
      </c>
      <c r="K7" s="23" t="s">
        <v>943</v>
      </c>
      <c r="M7" s="26" t="s">
        <v>2040</v>
      </c>
      <c r="N7" s="26" t="s">
        <v>1788</v>
      </c>
    </row>
    <row r="8" spans="1:14">
      <c r="A8" s="17" t="s">
        <v>904</v>
      </c>
      <c r="E8" t="s">
        <v>1000</v>
      </c>
      <c r="G8" t="s">
        <v>1001</v>
      </c>
      <c r="K8" s="24" t="s">
        <v>945</v>
      </c>
      <c r="M8" s="26" t="s">
        <v>2047</v>
      </c>
      <c r="N8" s="26" t="s">
        <v>1795</v>
      </c>
    </row>
    <row r="9" spans="1:14">
      <c r="A9" s="18" t="s">
        <v>910</v>
      </c>
      <c r="E9" t="s">
        <v>982</v>
      </c>
      <c r="G9" t="s">
        <v>983</v>
      </c>
      <c r="K9" s="24" t="s">
        <v>947</v>
      </c>
      <c r="M9" s="26" t="s">
        <v>2044</v>
      </c>
      <c r="N9" s="26" t="s">
        <v>1792</v>
      </c>
    </row>
    <row r="10" spans="1:14">
      <c r="A10" s="17" t="s">
        <v>909</v>
      </c>
      <c r="E10" t="s">
        <v>1004</v>
      </c>
      <c r="G10" t="s">
        <v>1005</v>
      </c>
      <c r="K10" s="24" t="s">
        <v>949</v>
      </c>
      <c r="M10" s="26" t="s">
        <v>2048</v>
      </c>
      <c r="N10" s="26" t="s">
        <v>1796</v>
      </c>
    </row>
    <row r="11" spans="1:14">
      <c r="A11" s="18" t="s">
        <v>907</v>
      </c>
      <c r="E11" t="s">
        <v>1006</v>
      </c>
      <c r="G11" t="s">
        <v>1007</v>
      </c>
      <c r="K11" s="24" t="s">
        <v>951</v>
      </c>
      <c r="M11" s="26" t="s">
        <v>2043</v>
      </c>
      <c r="N11" s="26" t="s">
        <v>1791</v>
      </c>
    </row>
    <row r="12" spans="1:14">
      <c r="A12" s="17" t="s">
        <v>915</v>
      </c>
      <c r="E12" t="s">
        <v>994</v>
      </c>
      <c r="G12" t="s">
        <v>995</v>
      </c>
      <c r="K12" s="23" t="s">
        <v>953</v>
      </c>
      <c r="M12" s="26" t="s">
        <v>2049</v>
      </c>
      <c r="N12" s="26" t="s">
        <v>1797</v>
      </c>
    </row>
    <row r="13" spans="1:14">
      <c r="A13" s="18" t="s">
        <v>916</v>
      </c>
      <c r="E13" t="s">
        <v>1002</v>
      </c>
      <c r="G13" t="s">
        <v>1003</v>
      </c>
      <c r="K13" s="23" t="s">
        <v>955</v>
      </c>
      <c r="M13" s="26" t="s">
        <v>2046</v>
      </c>
      <c r="N13" s="26" t="s">
        <v>1794</v>
      </c>
    </row>
    <row r="14" spans="1:14">
      <c r="A14" s="17" t="s">
        <v>919</v>
      </c>
      <c r="E14" t="s">
        <v>990</v>
      </c>
      <c r="G14" t="s">
        <v>991</v>
      </c>
      <c r="K14" s="23" t="s">
        <v>959</v>
      </c>
      <c r="M14" s="26" t="s">
        <v>2053</v>
      </c>
      <c r="N14" s="26" t="s">
        <v>1801</v>
      </c>
    </row>
    <row r="15" spans="1:14">
      <c r="A15" s="18" t="s">
        <v>912</v>
      </c>
      <c r="E15" t="s">
        <v>984</v>
      </c>
      <c r="G15" t="s">
        <v>985</v>
      </c>
      <c r="K15" s="24" t="s">
        <v>971</v>
      </c>
      <c r="M15" s="26" t="s">
        <v>2052</v>
      </c>
      <c r="N15" s="26" t="s">
        <v>1800</v>
      </c>
    </row>
    <row r="16" spans="1:14">
      <c r="A16" s="17" t="s">
        <v>906</v>
      </c>
      <c r="E16" t="s">
        <v>1008</v>
      </c>
      <c r="G16" t="s">
        <v>1009</v>
      </c>
      <c r="K16" s="23" t="s">
        <v>972</v>
      </c>
      <c r="M16" s="26" t="s">
        <v>2051</v>
      </c>
      <c r="N16" s="26" t="s">
        <v>1799</v>
      </c>
    </row>
    <row r="17" spans="1:14">
      <c r="A17" s="18" t="s">
        <v>905</v>
      </c>
      <c r="K17" s="23" t="s">
        <v>973</v>
      </c>
      <c r="M17" s="26" t="s">
        <v>2055</v>
      </c>
      <c r="N17" s="26" t="s">
        <v>1803</v>
      </c>
    </row>
    <row r="18" spans="1:14">
      <c r="K18" s="24" t="s">
        <v>974</v>
      </c>
      <c r="M18" s="26" t="s">
        <v>2071</v>
      </c>
      <c r="N18" s="26" t="s">
        <v>1819</v>
      </c>
    </row>
    <row r="19" spans="1:14">
      <c r="K19" s="24" t="s">
        <v>962</v>
      </c>
      <c r="M19" s="26" t="s">
        <v>2062</v>
      </c>
      <c r="N19" s="26" t="s">
        <v>1810</v>
      </c>
    </row>
    <row r="20" spans="1:14">
      <c r="K20" s="24" t="s">
        <v>965</v>
      </c>
      <c r="M20" s="26" t="s">
        <v>2058</v>
      </c>
      <c r="N20" s="26" t="s">
        <v>1806</v>
      </c>
    </row>
    <row r="21" spans="1:14">
      <c r="K21" s="24" t="s">
        <v>970</v>
      </c>
      <c r="M21" s="26" t="s">
        <v>2057</v>
      </c>
      <c r="N21" s="26" t="s">
        <v>1805</v>
      </c>
    </row>
    <row r="22" spans="1:14">
      <c r="K22" s="24" t="s">
        <v>966</v>
      </c>
      <c r="M22" s="26" t="s">
        <v>2075</v>
      </c>
      <c r="N22" s="26" t="s">
        <v>1823</v>
      </c>
    </row>
    <row r="23" spans="1:14">
      <c r="K23" s="24" t="s">
        <v>968</v>
      </c>
      <c r="M23" s="26" t="s">
        <v>2059</v>
      </c>
      <c r="N23" s="26" t="s">
        <v>1807</v>
      </c>
    </row>
    <row r="24" spans="1:14">
      <c r="K24" s="24" t="s">
        <v>957</v>
      </c>
      <c r="M24" s="26" t="s">
        <v>2076</v>
      </c>
      <c r="N24" s="26" t="s">
        <v>1824</v>
      </c>
    </row>
    <row r="25" spans="1:14">
      <c r="K25" s="24" t="s">
        <v>2877</v>
      </c>
      <c r="M25" s="26" t="s">
        <v>2064</v>
      </c>
      <c r="N25" s="26" t="s">
        <v>1812</v>
      </c>
    </row>
    <row r="26" spans="1:14">
      <c r="M26" s="26" t="s">
        <v>2066</v>
      </c>
      <c r="N26" s="26" t="s">
        <v>1814</v>
      </c>
    </row>
    <row r="27" spans="1:14">
      <c r="M27" s="26" t="s">
        <v>2072</v>
      </c>
      <c r="N27" s="26" t="s">
        <v>1820</v>
      </c>
    </row>
    <row r="28" spans="1:14">
      <c r="M28" s="26" t="s">
        <v>2068</v>
      </c>
      <c r="N28" s="26" t="s">
        <v>1816</v>
      </c>
    </row>
    <row r="29" spans="1:14">
      <c r="M29" s="26" t="s">
        <v>2056</v>
      </c>
      <c r="N29" s="26" t="s">
        <v>1804</v>
      </c>
    </row>
    <row r="30" spans="1:14">
      <c r="M30" s="26" t="s">
        <v>2074</v>
      </c>
      <c r="N30" s="26" t="s">
        <v>1822</v>
      </c>
    </row>
    <row r="31" spans="1:14">
      <c r="M31" s="26" t="s">
        <v>2073</v>
      </c>
      <c r="N31" s="26" t="s">
        <v>1821</v>
      </c>
    </row>
    <row r="32" spans="1:14">
      <c r="M32" s="26" t="s">
        <v>2070</v>
      </c>
      <c r="N32" s="26" t="s">
        <v>1818</v>
      </c>
    </row>
    <row r="33" spans="13:14">
      <c r="M33" s="26" t="s">
        <v>2145</v>
      </c>
      <c r="N33" s="26" t="s">
        <v>1892</v>
      </c>
    </row>
    <row r="34" spans="13:14">
      <c r="M34" s="26" t="s">
        <v>2067</v>
      </c>
      <c r="N34" s="26" t="s">
        <v>1815</v>
      </c>
    </row>
    <row r="35" spans="13:14">
      <c r="M35" s="26" t="s">
        <v>2061</v>
      </c>
      <c r="N35" s="26" t="s">
        <v>1809</v>
      </c>
    </row>
    <row r="36" spans="13:14">
      <c r="M36" s="26" t="s">
        <v>2060</v>
      </c>
      <c r="N36" s="26" t="s">
        <v>1808</v>
      </c>
    </row>
    <row r="37" spans="13:14">
      <c r="M37" s="26" t="s">
        <v>2063</v>
      </c>
      <c r="N37" s="26" t="s">
        <v>1811</v>
      </c>
    </row>
    <row r="38" spans="13:14">
      <c r="M38" s="26" t="s">
        <v>2156</v>
      </c>
      <c r="N38" s="26" t="s">
        <v>1903</v>
      </c>
    </row>
    <row r="39" spans="13:14">
      <c r="M39" s="26" t="s">
        <v>2086</v>
      </c>
      <c r="N39" s="26" t="s">
        <v>1834</v>
      </c>
    </row>
    <row r="40" spans="13:14">
      <c r="M40" s="26" t="s">
        <v>2077</v>
      </c>
      <c r="N40" s="26" t="s">
        <v>1825</v>
      </c>
    </row>
    <row r="41" spans="13:14">
      <c r="M41" s="26" t="s">
        <v>2091</v>
      </c>
      <c r="N41" s="26" t="s">
        <v>1839</v>
      </c>
    </row>
    <row r="42" spans="13:14">
      <c r="M42" s="26" t="s">
        <v>2069</v>
      </c>
      <c r="N42" s="26" t="s">
        <v>1817</v>
      </c>
    </row>
    <row r="43" spans="13:14">
      <c r="M43" s="26" t="s">
        <v>2163</v>
      </c>
      <c r="N43" s="26" t="s">
        <v>1910</v>
      </c>
    </row>
    <row r="44" spans="13:14">
      <c r="M44" s="26" t="s">
        <v>2080</v>
      </c>
      <c r="N44" s="26" t="s">
        <v>1828</v>
      </c>
    </row>
    <row r="45" spans="13:14">
      <c r="M45" s="26" t="s">
        <v>2253</v>
      </c>
      <c r="N45" s="26" t="s">
        <v>2001</v>
      </c>
    </row>
    <row r="46" spans="13:14">
      <c r="M46" s="26" t="s">
        <v>2085</v>
      </c>
      <c r="N46" s="26" t="s">
        <v>1833</v>
      </c>
    </row>
    <row r="47" spans="13:14">
      <c r="M47" s="26" t="s">
        <v>2087</v>
      </c>
      <c r="N47" s="26" t="s">
        <v>1835</v>
      </c>
    </row>
    <row r="48" spans="13:14">
      <c r="M48" s="26" t="s">
        <v>2093</v>
      </c>
      <c r="N48" s="26" t="s">
        <v>1841</v>
      </c>
    </row>
    <row r="49" spans="13:14">
      <c r="M49" s="26" t="s">
        <v>2078</v>
      </c>
      <c r="N49" s="26" t="s">
        <v>1826</v>
      </c>
    </row>
    <row r="50" spans="13:14">
      <c r="M50" s="26" t="s">
        <v>2088</v>
      </c>
      <c r="N50" s="26" t="s">
        <v>1836</v>
      </c>
    </row>
    <row r="51" spans="13:14">
      <c r="M51" s="26" t="s">
        <v>2158</v>
      </c>
      <c r="N51" s="26" t="s">
        <v>1905</v>
      </c>
    </row>
    <row r="52" spans="13:14">
      <c r="M52" s="26" t="s">
        <v>2084</v>
      </c>
      <c r="N52" s="26" t="s">
        <v>1832</v>
      </c>
    </row>
    <row r="53" spans="13:14">
      <c r="M53" s="26" t="s">
        <v>2089</v>
      </c>
      <c r="N53" s="26" t="s">
        <v>1837</v>
      </c>
    </row>
    <row r="54" spans="13:14">
      <c r="M54" s="26" t="s">
        <v>2137</v>
      </c>
      <c r="N54" s="26" t="s">
        <v>1884</v>
      </c>
    </row>
    <row r="55" spans="13:14">
      <c r="M55" s="26" t="s">
        <v>2090</v>
      </c>
      <c r="N55" s="26" t="s">
        <v>1838</v>
      </c>
    </row>
    <row r="56" spans="13:14">
      <c r="M56" s="26" t="s">
        <v>2092</v>
      </c>
      <c r="N56" s="26" t="s">
        <v>1840</v>
      </c>
    </row>
    <row r="57" spans="13:14">
      <c r="M57" s="26" t="s">
        <v>2094</v>
      </c>
      <c r="N57" s="26" t="s">
        <v>1842</v>
      </c>
    </row>
    <row r="58" spans="13:14">
      <c r="M58" s="26" t="s">
        <v>2095</v>
      </c>
      <c r="N58" s="26" t="s">
        <v>1843</v>
      </c>
    </row>
    <row r="59" spans="13:14">
      <c r="M59" s="26" t="s">
        <v>2079</v>
      </c>
      <c r="N59" s="26" t="s">
        <v>1827</v>
      </c>
    </row>
    <row r="60" spans="13:14">
      <c r="M60" s="26" t="s">
        <v>2098</v>
      </c>
      <c r="N60" s="26" t="s">
        <v>1846</v>
      </c>
    </row>
    <row r="61" spans="13:14">
      <c r="M61" s="26" t="s">
        <v>2097</v>
      </c>
      <c r="N61" s="26" t="s">
        <v>1845</v>
      </c>
    </row>
    <row r="62" spans="13:14">
      <c r="M62" s="26" t="s">
        <v>2099</v>
      </c>
      <c r="N62" s="26" t="s">
        <v>1847</v>
      </c>
    </row>
    <row r="63" spans="13:14">
      <c r="M63" s="26" t="s">
        <v>2100</v>
      </c>
      <c r="N63" s="26" t="s">
        <v>1848</v>
      </c>
    </row>
    <row r="64" spans="13:14">
      <c r="M64" s="26" t="s">
        <v>2304</v>
      </c>
      <c r="N64" s="26" t="s">
        <v>2036</v>
      </c>
    </row>
    <row r="65" spans="13:14">
      <c r="M65" s="26" t="s">
        <v>2102</v>
      </c>
      <c r="N65" s="26" t="s">
        <v>1850</v>
      </c>
    </row>
    <row r="66" spans="13:14">
      <c r="M66" s="26" t="s">
        <v>2104</v>
      </c>
      <c r="N66" s="26" t="s">
        <v>1852</v>
      </c>
    </row>
    <row r="67" spans="13:14">
      <c r="M67" s="26" t="s">
        <v>2248</v>
      </c>
      <c r="N67" s="26" t="s">
        <v>1996</v>
      </c>
    </row>
    <row r="68" spans="13:14">
      <c r="M68" s="26" t="s">
        <v>2127</v>
      </c>
      <c r="N68" s="26" t="s">
        <v>1874</v>
      </c>
    </row>
    <row r="69" spans="13:14">
      <c r="M69" s="26" t="s">
        <v>2106</v>
      </c>
      <c r="N69" s="26" t="s">
        <v>1854</v>
      </c>
    </row>
    <row r="70" spans="13:14">
      <c r="M70" s="26" t="s">
        <v>2103</v>
      </c>
      <c r="N70" s="26" t="s">
        <v>1851</v>
      </c>
    </row>
    <row r="71" spans="13:14">
      <c r="M71" s="26" t="s">
        <v>2251</v>
      </c>
      <c r="N71" s="26" t="s">
        <v>1999</v>
      </c>
    </row>
    <row r="72" spans="13:14">
      <c r="M72" s="26" t="s">
        <v>2108</v>
      </c>
      <c r="N72" s="26" t="s">
        <v>1856</v>
      </c>
    </row>
    <row r="73" spans="13:14">
      <c r="M73" s="26" t="s">
        <v>2303</v>
      </c>
      <c r="N73" s="26" t="s">
        <v>2037</v>
      </c>
    </row>
    <row r="74" spans="13:14">
      <c r="M74" s="26" t="s">
        <v>2111</v>
      </c>
      <c r="N74" s="26" t="s">
        <v>1859</v>
      </c>
    </row>
    <row r="75" spans="13:14">
      <c r="M75" s="26" t="s">
        <v>2113</v>
      </c>
      <c r="N75" s="26" t="s">
        <v>1861</v>
      </c>
    </row>
    <row r="76" spans="13:14">
      <c r="M76" s="26" t="s">
        <v>2110</v>
      </c>
      <c r="N76" s="26" t="s">
        <v>1858</v>
      </c>
    </row>
    <row r="77" spans="13:14">
      <c r="M77" s="26" t="s">
        <v>2109</v>
      </c>
      <c r="N77" s="26" t="s">
        <v>1857</v>
      </c>
    </row>
    <row r="78" spans="13:14">
      <c r="M78" s="26" t="s">
        <v>2114</v>
      </c>
      <c r="N78" s="26" t="s">
        <v>1862</v>
      </c>
    </row>
    <row r="79" spans="13:14">
      <c r="M79" s="26" t="s">
        <v>2119</v>
      </c>
      <c r="N79" s="26" t="s">
        <v>1866</v>
      </c>
    </row>
    <row r="80" spans="13:14">
      <c r="M80" s="26" t="s">
        <v>2213</v>
      </c>
      <c r="N80" s="26" t="s">
        <v>1961</v>
      </c>
    </row>
    <row r="81" spans="13:14">
      <c r="M81" s="26" t="s">
        <v>2254</v>
      </c>
      <c r="N81" s="26" t="s">
        <v>2002</v>
      </c>
    </row>
    <row r="82" spans="13:14">
      <c r="M82" s="26" t="s">
        <v>2115</v>
      </c>
      <c r="N82" s="26" t="s">
        <v>2292</v>
      </c>
    </row>
    <row r="83" spans="13:14">
      <c r="M83" s="26" t="s">
        <v>2124</v>
      </c>
      <c r="N83" s="26" t="s">
        <v>1871</v>
      </c>
    </row>
    <row r="84" spans="13:14">
      <c r="M84" s="26" t="s">
        <v>2130</v>
      </c>
      <c r="N84" s="26" t="s">
        <v>1877</v>
      </c>
    </row>
    <row r="85" spans="13:14">
      <c r="M85" s="26" t="s">
        <v>2118</v>
      </c>
      <c r="N85" s="26" t="s">
        <v>1865</v>
      </c>
    </row>
    <row r="86" spans="13:14">
      <c r="M86" s="26" t="s">
        <v>2096</v>
      </c>
      <c r="N86" s="26" t="s">
        <v>1844</v>
      </c>
    </row>
    <row r="87" spans="13:14">
      <c r="M87" s="26" t="s">
        <v>2121</v>
      </c>
      <c r="N87" s="26" t="s">
        <v>1868</v>
      </c>
    </row>
    <row r="88" spans="13:14">
      <c r="M88" s="26" t="s">
        <v>2122</v>
      </c>
      <c r="N88" s="26" t="s">
        <v>1869</v>
      </c>
    </row>
    <row r="89" spans="13:14">
      <c r="M89" s="26" t="s">
        <v>2128</v>
      </c>
      <c r="N89" s="26" t="s">
        <v>1875</v>
      </c>
    </row>
    <row r="90" spans="13:14">
      <c r="M90" s="26" t="s">
        <v>2123</v>
      </c>
      <c r="N90" s="26" t="s">
        <v>1870</v>
      </c>
    </row>
    <row r="91" spans="13:14">
      <c r="M91" s="26" t="s">
        <v>2117</v>
      </c>
      <c r="N91" s="26" t="s">
        <v>1864</v>
      </c>
    </row>
    <row r="92" spans="13:14">
      <c r="M92" s="26" t="s">
        <v>2126</v>
      </c>
      <c r="N92" s="26" t="s">
        <v>1873</v>
      </c>
    </row>
    <row r="93" spans="13:14">
      <c r="M93" s="26" t="s">
        <v>2131</v>
      </c>
      <c r="N93" s="26" t="s">
        <v>1878</v>
      </c>
    </row>
    <row r="94" spans="13:14">
      <c r="M94" s="26" t="s">
        <v>2120</v>
      </c>
      <c r="N94" s="26" t="s">
        <v>1867</v>
      </c>
    </row>
    <row r="95" spans="13:14">
      <c r="M95" s="26" t="s">
        <v>2125</v>
      </c>
      <c r="N95" s="26" t="s">
        <v>1872</v>
      </c>
    </row>
    <row r="96" spans="13:14">
      <c r="M96" s="26" t="s">
        <v>2132</v>
      </c>
      <c r="N96" s="26" t="s">
        <v>1879</v>
      </c>
    </row>
    <row r="97" spans="13:14">
      <c r="M97" s="26" t="s">
        <v>2133</v>
      </c>
      <c r="N97" s="26" t="s">
        <v>1880</v>
      </c>
    </row>
    <row r="98" spans="13:14">
      <c r="M98" s="26" t="s">
        <v>2138</v>
      </c>
      <c r="N98" s="26" t="s">
        <v>1885</v>
      </c>
    </row>
    <row r="99" spans="13:14">
      <c r="M99" s="26" t="s">
        <v>2135</v>
      </c>
      <c r="N99" s="26" t="s">
        <v>1882</v>
      </c>
    </row>
    <row r="100" spans="13:14">
      <c r="M100" s="26" t="s">
        <v>2274</v>
      </c>
      <c r="N100" s="26" t="s">
        <v>2022</v>
      </c>
    </row>
    <row r="101" spans="13:14">
      <c r="M101" s="26" t="s">
        <v>2136</v>
      </c>
      <c r="N101" s="26" t="s">
        <v>1883</v>
      </c>
    </row>
    <row r="102" spans="13:14">
      <c r="M102" s="26" t="s">
        <v>2134</v>
      </c>
      <c r="N102" s="26" t="s">
        <v>1881</v>
      </c>
    </row>
    <row r="103" spans="13:14">
      <c r="M103" s="26" t="s">
        <v>2139</v>
      </c>
      <c r="N103" s="26" t="s">
        <v>1886</v>
      </c>
    </row>
    <row r="104" spans="13:14">
      <c r="M104" s="26" t="s">
        <v>2148</v>
      </c>
      <c r="N104" s="26" t="s">
        <v>1895</v>
      </c>
    </row>
    <row r="105" spans="13:14">
      <c r="M105" s="26" t="s">
        <v>2144</v>
      </c>
      <c r="N105" s="26" t="s">
        <v>1891</v>
      </c>
    </row>
    <row r="106" spans="13:14">
      <c r="M106" s="26" t="s">
        <v>2140</v>
      </c>
      <c r="N106" s="26" t="s">
        <v>1887</v>
      </c>
    </row>
    <row r="107" spans="13:14">
      <c r="M107" s="26" t="s">
        <v>2147</v>
      </c>
      <c r="N107" s="26" t="s">
        <v>1894</v>
      </c>
    </row>
    <row r="108" spans="13:14">
      <c r="M108" s="26" t="s">
        <v>2146</v>
      </c>
      <c r="N108" s="26" t="s">
        <v>1893</v>
      </c>
    </row>
    <row r="109" spans="13:14">
      <c r="M109" s="26" t="s">
        <v>2141</v>
      </c>
      <c r="N109" s="26" t="s">
        <v>1888</v>
      </c>
    </row>
    <row r="110" spans="13:14">
      <c r="M110" s="26" t="s">
        <v>2143</v>
      </c>
      <c r="N110" s="26" t="s">
        <v>1890</v>
      </c>
    </row>
    <row r="111" spans="13:14">
      <c r="M111" s="26" t="s">
        <v>2142</v>
      </c>
      <c r="N111" s="26" t="s">
        <v>1889</v>
      </c>
    </row>
    <row r="112" spans="13:14">
      <c r="M112" s="26" t="s">
        <v>2149</v>
      </c>
      <c r="N112" s="26" t="s">
        <v>1896</v>
      </c>
    </row>
    <row r="113" spans="13:14">
      <c r="M113" s="26" t="s">
        <v>2083</v>
      </c>
      <c r="N113" s="26" t="s">
        <v>1831</v>
      </c>
    </row>
    <row r="114" spans="13:14">
      <c r="M114" s="26" t="s">
        <v>2151</v>
      </c>
      <c r="N114" s="26" t="s">
        <v>1898</v>
      </c>
    </row>
    <row r="115" spans="13:14">
      <c r="M115" s="26" t="s">
        <v>2153</v>
      </c>
      <c r="N115" s="26" t="s">
        <v>1900</v>
      </c>
    </row>
    <row r="116" spans="13:14">
      <c r="M116" s="26" t="s">
        <v>2150</v>
      </c>
      <c r="N116" s="26" t="s">
        <v>1897</v>
      </c>
    </row>
    <row r="117" spans="13:14">
      <c r="M117" s="26" t="s">
        <v>2152</v>
      </c>
      <c r="N117" s="26" t="s">
        <v>1899</v>
      </c>
    </row>
    <row r="118" spans="13:14">
      <c r="M118" s="26" t="s">
        <v>2164</v>
      </c>
      <c r="N118" s="26" t="s">
        <v>1911</v>
      </c>
    </row>
    <row r="119" spans="13:14">
      <c r="M119" s="26" t="s">
        <v>2154</v>
      </c>
      <c r="N119" s="26" t="s">
        <v>1901</v>
      </c>
    </row>
    <row r="120" spans="13:14">
      <c r="M120" s="26" t="s">
        <v>2157</v>
      </c>
      <c r="N120" s="26" t="s">
        <v>1904</v>
      </c>
    </row>
    <row r="121" spans="13:14">
      <c r="M121" s="26" t="s">
        <v>2162</v>
      </c>
      <c r="N121" s="26" t="s">
        <v>1909</v>
      </c>
    </row>
    <row r="122" spans="13:14">
      <c r="M122" s="26" t="s">
        <v>2155</v>
      </c>
      <c r="N122" s="26" t="s">
        <v>1902</v>
      </c>
    </row>
    <row r="123" spans="13:14">
      <c r="M123" s="26" t="s">
        <v>2165</v>
      </c>
      <c r="N123" s="26" t="s">
        <v>1912</v>
      </c>
    </row>
    <row r="124" spans="13:14">
      <c r="M124" s="26" t="s">
        <v>2174</v>
      </c>
      <c r="N124" s="26" t="s">
        <v>1921</v>
      </c>
    </row>
    <row r="125" spans="13:14">
      <c r="M125" s="26" t="s">
        <v>2166</v>
      </c>
      <c r="N125" s="26" t="s">
        <v>1913</v>
      </c>
    </row>
    <row r="126" spans="13:14">
      <c r="M126" s="26" t="s">
        <v>2171</v>
      </c>
      <c r="N126" s="26" t="s">
        <v>1918</v>
      </c>
    </row>
    <row r="127" spans="13:14">
      <c r="M127" s="26" t="s">
        <v>2170</v>
      </c>
      <c r="N127" s="26" t="s">
        <v>1917</v>
      </c>
    </row>
    <row r="128" spans="13:14">
      <c r="M128" s="26" t="s">
        <v>2175</v>
      </c>
      <c r="N128" s="26" t="s">
        <v>1922</v>
      </c>
    </row>
    <row r="129" spans="13:14">
      <c r="M129" s="26" t="s">
        <v>2168</v>
      </c>
      <c r="N129" s="26" t="s">
        <v>1915</v>
      </c>
    </row>
    <row r="130" spans="13:14">
      <c r="M130" s="26" t="s">
        <v>2172</v>
      </c>
      <c r="N130" s="26" t="s">
        <v>1919</v>
      </c>
    </row>
    <row r="131" spans="13:14">
      <c r="M131" s="26" t="s">
        <v>2173</v>
      </c>
      <c r="N131" s="26" t="s">
        <v>1920</v>
      </c>
    </row>
    <row r="132" spans="13:14">
      <c r="M132" s="26" t="s">
        <v>2187</v>
      </c>
      <c r="N132" s="26" t="s">
        <v>1934</v>
      </c>
    </row>
    <row r="133" spans="13:14">
      <c r="M133" s="26" t="s">
        <v>2181</v>
      </c>
      <c r="N133" s="26" t="s">
        <v>1928</v>
      </c>
    </row>
    <row r="134" spans="13:14">
      <c r="M134" s="26" t="s">
        <v>2195</v>
      </c>
      <c r="N134" s="26" t="s">
        <v>1942</v>
      </c>
    </row>
    <row r="135" spans="13:14">
      <c r="M135" s="26" t="s">
        <v>2197</v>
      </c>
      <c r="N135" s="26" t="s">
        <v>1944</v>
      </c>
    </row>
    <row r="136" spans="13:14">
      <c r="M136" s="26" t="s">
        <v>2194</v>
      </c>
      <c r="N136" s="26" t="s">
        <v>1941</v>
      </c>
    </row>
    <row r="137" spans="13:14">
      <c r="M137" s="26" t="s">
        <v>2184</v>
      </c>
      <c r="N137" s="26" t="s">
        <v>1931</v>
      </c>
    </row>
    <row r="138" spans="13:14">
      <c r="M138" s="26" t="s">
        <v>2192</v>
      </c>
      <c r="N138" s="26" t="s">
        <v>1939</v>
      </c>
    </row>
    <row r="139" spans="13:14">
      <c r="M139" s="26" t="s">
        <v>2182</v>
      </c>
      <c r="N139" s="26" t="s">
        <v>1929</v>
      </c>
    </row>
    <row r="140" spans="13:14">
      <c r="M140" s="26" t="s">
        <v>2189</v>
      </c>
      <c r="N140" s="26" t="s">
        <v>1936</v>
      </c>
    </row>
    <row r="141" spans="13:14">
      <c r="M141" s="26" t="s">
        <v>2190</v>
      </c>
      <c r="N141" s="26" t="s">
        <v>1937</v>
      </c>
    </row>
    <row r="142" spans="13:14">
      <c r="M142" s="26" t="s">
        <v>2193</v>
      </c>
      <c r="N142" s="26" t="s">
        <v>1940</v>
      </c>
    </row>
    <row r="143" spans="13:14">
      <c r="M143" s="26" t="s">
        <v>2284</v>
      </c>
      <c r="N143" s="26" t="s">
        <v>2032</v>
      </c>
    </row>
    <row r="144" spans="13:14">
      <c r="M144" s="26" t="s">
        <v>2196</v>
      </c>
      <c r="N144" s="26" t="s">
        <v>1943</v>
      </c>
    </row>
    <row r="145" spans="13:14">
      <c r="M145" s="26" t="s">
        <v>2112</v>
      </c>
      <c r="N145" s="26" t="s">
        <v>1860</v>
      </c>
    </row>
    <row r="146" spans="13:14">
      <c r="M146" s="26" t="s">
        <v>2178</v>
      </c>
      <c r="N146" s="26" t="s">
        <v>1925</v>
      </c>
    </row>
    <row r="147" spans="13:14">
      <c r="M147" s="26" t="s">
        <v>2177</v>
      </c>
      <c r="N147" s="26" t="s">
        <v>1924</v>
      </c>
    </row>
    <row r="148" spans="13:14">
      <c r="M148" s="26" t="s">
        <v>2186</v>
      </c>
      <c r="N148" s="26" t="s">
        <v>1933</v>
      </c>
    </row>
    <row r="149" spans="13:14">
      <c r="M149" s="26" t="s">
        <v>2179</v>
      </c>
      <c r="N149" s="26" t="s">
        <v>1926</v>
      </c>
    </row>
    <row r="150" spans="13:14">
      <c r="M150" s="26" t="s">
        <v>2191</v>
      </c>
      <c r="N150" s="26" t="s">
        <v>1938</v>
      </c>
    </row>
    <row r="151" spans="13:14">
      <c r="M151" s="26" t="s">
        <v>2176</v>
      </c>
      <c r="N151" s="26" t="s">
        <v>1923</v>
      </c>
    </row>
    <row r="152" spans="13:14">
      <c r="M152" s="26" t="s">
        <v>2198</v>
      </c>
      <c r="N152" s="26" t="s">
        <v>1945</v>
      </c>
    </row>
    <row r="153" spans="13:14">
      <c r="M153" s="26" t="s">
        <v>2185</v>
      </c>
      <c r="N153" s="26" t="s">
        <v>1932</v>
      </c>
    </row>
    <row r="154" spans="13:14">
      <c r="M154" s="26" t="s">
        <v>1776</v>
      </c>
      <c r="N154" s="26" t="s">
        <v>1946</v>
      </c>
    </row>
    <row r="155" spans="13:14">
      <c r="M155" s="26" t="s">
        <v>2207</v>
      </c>
      <c r="N155" s="26" t="s">
        <v>1955</v>
      </c>
    </row>
    <row r="156" spans="13:14">
      <c r="M156" s="26" t="s">
        <v>2206</v>
      </c>
      <c r="N156" s="26" t="s">
        <v>1954</v>
      </c>
    </row>
    <row r="157" spans="13:14">
      <c r="M157" s="26" t="s">
        <v>2204</v>
      </c>
      <c r="N157" s="26" t="s">
        <v>1952</v>
      </c>
    </row>
    <row r="158" spans="13:14">
      <c r="M158" s="26" t="s">
        <v>2199</v>
      </c>
      <c r="N158" s="26" t="s">
        <v>1947</v>
      </c>
    </row>
    <row r="159" spans="13:14">
      <c r="M159" s="26" t="s">
        <v>2209</v>
      </c>
      <c r="N159" s="26" t="s">
        <v>1957</v>
      </c>
    </row>
    <row r="160" spans="13:14">
      <c r="M160" s="26" t="s">
        <v>2203</v>
      </c>
      <c r="N160" s="26" t="s">
        <v>1951</v>
      </c>
    </row>
    <row r="161" spans="13:14">
      <c r="M161" s="26" t="s">
        <v>2200</v>
      </c>
      <c r="N161" s="26" t="s">
        <v>1948</v>
      </c>
    </row>
    <row r="162" spans="13:14">
      <c r="M162" s="26" t="s">
        <v>2202</v>
      </c>
      <c r="N162" s="26" t="s">
        <v>1950</v>
      </c>
    </row>
    <row r="163" spans="13:14">
      <c r="M163" s="26" t="s">
        <v>2208</v>
      </c>
      <c r="N163" s="26" t="s">
        <v>1956</v>
      </c>
    </row>
    <row r="164" spans="13:14">
      <c r="M164" s="26" t="s">
        <v>2201</v>
      </c>
      <c r="N164" s="26" t="s">
        <v>1949</v>
      </c>
    </row>
    <row r="165" spans="13:14">
      <c r="M165" s="26" t="s">
        <v>2160</v>
      </c>
      <c r="N165" s="26" t="s">
        <v>1907</v>
      </c>
    </row>
    <row r="166" spans="13:14">
      <c r="M166" s="26" t="s">
        <v>2183</v>
      </c>
      <c r="N166" s="26" t="s">
        <v>1930</v>
      </c>
    </row>
    <row r="167" spans="13:14">
      <c r="M167" s="26" t="s">
        <v>2188</v>
      </c>
      <c r="N167" s="26" t="s">
        <v>1935</v>
      </c>
    </row>
    <row r="168" spans="13:14">
      <c r="M168" s="26" t="s">
        <v>2205</v>
      </c>
      <c r="N168" s="26" t="s">
        <v>1953</v>
      </c>
    </row>
    <row r="169" spans="13:14">
      <c r="M169" s="26" t="s">
        <v>2210</v>
      </c>
      <c r="N169" s="26" t="s">
        <v>1958</v>
      </c>
    </row>
    <row r="170" spans="13:14">
      <c r="M170" s="26" t="s">
        <v>2216</v>
      </c>
      <c r="N170" s="26" t="s">
        <v>1964</v>
      </c>
    </row>
    <row r="171" spans="13:14">
      <c r="M171" s="26" t="s">
        <v>2223</v>
      </c>
      <c r="N171" s="26" t="s">
        <v>1971</v>
      </c>
    </row>
    <row r="172" spans="13:14">
      <c r="M172" s="26" t="s">
        <v>2221</v>
      </c>
      <c r="N172" s="26" t="s">
        <v>1969</v>
      </c>
    </row>
    <row r="173" spans="13:14">
      <c r="M173" s="26" t="s">
        <v>2211</v>
      </c>
      <c r="N173" s="26" t="s">
        <v>1959</v>
      </c>
    </row>
    <row r="174" spans="13:14">
      <c r="M174" s="26" t="s">
        <v>2214</v>
      </c>
      <c r="N174" s="26" t="s">
        <v>1962</v>
      </c>
    </row>
    <row r="175" spans="13:14">
      <c r="M175" s="26" t="s">
        <v>2224</v>
      </c>
      <c r="N175" s="26" t="s">
        <v>1972</v>
      </c>
    </row>
    <row r="176" spans="13:14">
      <c r="M176" s="26" t="s">
        <v>2212</v>
      </c>
      <c r="N176" s="26" t="s">
        <v>1960</v>
      </c>
    </row>
    <row r="177" spans="13:14">
      <c r="M177" s="26" t="s">
        <v>2215</v>
      </c>
      <c r="N177" s="26" t="s">
        <v>1963</v>
      </c>
    </row>
    <row r="178" spans="13:14">
      <c r="M178" s="26" t="s">
        <v>2219</v>
      </c>
      <c r="N178" s="26" t="s">
        <v>1967</v>
      </c>
    </row>
    <row r="179" spans="13:14">
      <c r="M179" s="26" t="s">
        <v>2217</v>
      </c>
      <c r="N179" s="26" t="s">
        <v>1965</v>
      </c>
    </row>
    <row r="180" spans="13:14">
      <c r="M180" s="26" t="s">
        <v>2222</v>
      </c>
      <c r="N180" s="26" t="s">
        <v>1970</v>
      </c>
    </row>
    <row r="181" spans="13:14">
      <c r="M181" s="26" t="s">
        <v>2220</v>
      </c>
      <c r="N181" s="26" t="s">
        <v>1968</v>
      </c>
    </row>
    <row r="182" spans="13:14">
      <c r="M182" s="26" t="s">
        <v>2225</v>
      </c>
      <c r="N182" s="26" t="s">
        <v>1973</v>
      </c>
    </row>
    <row r="183" spans="13:14">
      <c r="M183" s="26" t="s">
        <v>2081</v>
      </c>
      <c r="N183" s="26" t="s">
        <v>1829</v>
      </c>
    </row>
    <row r="184" spans="13:14">
      <c r="M184" s="26" t="s">
        <v>2226</v>
      </c>
      <c r="N184" s="26" t="s">
        <v>1974</v>
      </c>
    </row>
    <row r="185" spans="13:14">
      <c r="M185" s="26" t="s">
        <v>2227</v>
      </c>
      <c r="N185" s="26" t="s">
        <v>1975</v>
      </c>
    </row>
    <row r="186" spans="13:14">
      <c r="M186" s="26" t="s">
        <v>2229</v>
      </c>
      <c r="N186" s="26" t="s">
        <v>1977</v>
      </c>
    </row>
    <row r="187" spans="13:14">
      <c r="M187" s="26" t="s">
        <v>2230</v>
      </c>
      <c r="N187" s="26" t="s">
        <v>1978</v>
      </c>
    </row>
    <row r="188" spans="13:14">
      <c r="M188" s="26" t="s">
        <v>2065</v>
      </c>
      <c r="N188" s="26" t="s">
        <v>1813</v>
      </c>
    </row>
    <row r="189" spans="13:14">
      <c r="M189" s="26" t="s">
        <v>2237</v>
      </c>
      <c r="N189" s="26" t="s">
        <v>1985</v>
      </c>
    </row>
    <row r="190" spans="13:14">
      <c r="M190" s="26" t="s">
        <v>2159</v>
      </c>
      <c r="N190" s="26" t="s">
        <v>1906</v>
      </c>
    </row>
    <row r="191" spans="13:14">
      <c r="M191" s="26" t="s">
        <v>2167</v>
      </c>
      <c r="N191" s="26" t="s">
        <v>1914</v>
      </c>
    </row>
    <row r="192" spans="13:14">
      <c r="M192" s="26" t="s">
        <v>2180</v>
      </c>
      <c r="N192" s="26" t="s">
        <v>1927</v>
      </c>
    </row>
    <row r="193" spans="13:14">
      <c r="M193" s="26" t="s">
        <v>2218</v>
      </c>
      <c r="N193" s="26" t="s">
        <v>1966</v>
      </c>
    </row>
    <row r="194" spans="13:14">
      <c r="M194" s="26" t="s">
        <v>2275</v>
      </c>
      <c r="N194" s="26" t="s">
        <v>2023</v>
      </c>
    </row>
    <row r="195" spans="13:14">
      <c r="M195" s="26" t="s">
        <v>2282</v>
      </c>
      <c r="N195" s="26" t="s">
        <v>2030</v>
      </c>
    </row>
    <row r="196" spans="13:14">
      <c r="M196" s="26" t="s">
        <v>2242</v>
      </c>
      <c r="N196" s="26" t="s">
        <v>1990</v>
      </c>
    </row>
    <row r="197" spans="13:14">
      <c r="M197" s="26" t="s">
        <v>2247</v>
      </c>
      <c r="N197" s="26" t="s">
        <v>1995</v>
      </c>
    </row>
    <row r="198" spans="13:14">
      <c r="M198" s="26" t="s">
        <v>2231</v>
      </c>
      <c r="N198" s="26" t="s">
        <v>1979</v>
      </c>
    </row>
    <row r="199" spans="13:14">
      <c r="M199" s="26" t="s">
        <v>2243</v>
      </c>
      <c r="N199" s="26" t="s">
        <v>1991</v>
      </c>
    </row>
    <row r="200" spans="13:14">
      <c r="M200" s="26" t="s">
        <v>2228</v>
      </c>
      <c r="N200" s="26" t="s">
        <v>1976</v>
      </c>
    </row>
    <row r="201" spans="13:14">
      <c r="M201" s="26" t="s">
        <v>2233</v>
      </c>
      <c r="N201" s="26" t="s">
        <v>1981</v>
      </c>
    </row>
    <row r="202" spans="13:14">
      <c r="M202" s="26" t="s">
        <v>2241</v>
      </c>
      <c r="N202" s="26" t="s">
        <v>1989</v>
      </c>
    </row>
    <row r="203" spans="13:14">
      <c r="M203" s="26" t="s">
        <v>2236</v>
      </c>
      <c r="N203" s="26" t="s">
        <v>1984</v>
      </c>
    </row>
    <row r="204" spans="13:14">
      <c r="M204" s="26" t="s">
        <v>2249</v>
      </c>
      <c r="N204" s="26" t="s">
        <v>1997</v>
      </c>
    </row>
    <row r="205" spans="13:14">
      <c r="M205" s="26" t="s">
        <v>2240</v>
      </c>
      <c r="N205" s="26" t="s">
        <v>1988</v>
      </c>
    </row>
    <row r="206" spans="13:14">
      <c r="M206" s="26" t="s">
        <v>2238</v>
      </c>
      <c r="N206" s="26" t="s">
        <v>1986</v>
      </c>
    </row>
    <row r="207" spans="13:14">
      <c r="M207" s="26" t="s">
        <v>2232</v>
      </c>
      <c r="N207" s="26" t="s">
        <v>1980</v>
      </c>
    </row>
    <row r="208" spans="13:14">
      <c r="M208" s="26" t="s">
        <v>2244</v>
      </c>
      <c r="N208" s="26" t="s">
        <v>1992</v>
      </c>
    </row>
    <row r="209" spans="13:14">
      <c r="M209" s="26" t="s">
        <v>2285</v>
      </c>
      <c r="N209" s="26" t="s">
        <v>2033</v>
      </c>
    </row>
    <row r="210" spans="13:14">
      <c r="M210" s="26" t="s">
        <v>2129</v>
      </c>
      <c r="N210" s="26" t="s">
        <v>1876</v>
      </c>
    </row>
    <row r="211" spans="13:14">
      <c r="M211" s="26" t="s">
        <v>2161</v>
      </c>
      <c r="N211" s="26" t="s">
        <v>1908</v>
      </c>
    </row>
    <row r="212" spans="13:14">
      <c r="M212" s="26" t="s">
        <v>2246</v>
      </c>
      <c r="N212" s="26" t="s">
        <v>1994</v>
      </c>
    </row>
    <row r="213" spans="13:14">
      <c r="M213" s="26" t="s">
        <v>2107</v>
      </c>
      <c r="N213" s="26" t="s">
        <v>1855</v>
      </c>
    </row>
    <row r="214" spans="13:14">
      <c r="M214" s="26" t="s">
        <v>2169</v>
      </c>
      <c r="N214" s="26" t="s">
        <v>1916</v>
      </c>
    </row>
    <row r="215" spans="13:14">
      <c r="M215" s="26" t="s">
        <v>2234</v>
      </c>
      <c r="N215" s="26" t="s">
        <v>1982</v>
      </c>
    </row>
    <row r="216" spans="13:14">
      <c r="M216" s="26" t="s">
        <v>2245</v>
      </c>
      <c r="N216" s="26" t="s">
        <v>1993</v>
      </c>
    </row>
    <row r="217" spans="13:14">
      <c r="M217" s="26" t="s">
        <v>2239</v>
      </c>
      <c r="N217" s="26" t="s">
        <v>1987</v>
      </c>
    </row>
    <row r="218" spans="13:14">
      <c r="M218" s="26" t="s">
        <v>2235</v>
      </c>
      <c r="N218" s="26" t="s">
        <v>1983</v>
      </c>
    </row>
    <row r="219" spans="13:14">
      <c r="M219" s="26" t="s">
        <v>2082</v>
      </c>
      <c r="N219" s="26" t="s">
        <v>1830</v>
      </c>
    </row>
    <row r="220" spans="13:14">
      <c r="M220" s="26" t="s">
        <v>2250</v>
      </c>
      <c r="N220" s="26" t="s">
        <v>1998</v>
      </c>
    </row>
    <row r="221" spans="13:14">
      <c r="M221" s="26" t="s">
        <v>2266</v>
      </c>
      <c r="N221" s="26" t="s">
        <v>2014</v>
      </c>
    </row>
    <row r="222" spans="13:14">
      <c r="M222" s="26" t="s">
        <v>2257</v>
      </c>
      <c r="N222" s="26" t="s">
        <v>2005</v>
      </c>
    </row>
    <row r="223" spans="13:14">
      <c r="M223" s="26" t="s">
        <v>2267</v>
      </c>
      <c r="N223" s="26" t="s">
        <v>2015</v>
      </c>
    </row>
    <row r="224" spans="13:14">
      <c r="M224" s="26" t="s">
        <v>2256</v>
      </c>
      <c r="N224" s="26" t="s">
        <v>2004</v>
      </c>
    </row>
    <row r="225" spans="13:14">
      <c r="M225" s="26" t="s">
        <v>2259</v>
      </c>
      <c r="N225" s="26" t="s">
        <v>2007</v>
      </c>
    </row>
    <row r="226" spans="13:14">
      <c r="M226" s="26" t="s">
        <v>2255</v>
      </c>
      <c r="N226" s="26" t="s">
        <v>2003</v>
      </c>
    </row>
    <row r="227" spans="13:14">
      <c r="M227" s="26" t="s">
        <v>2258</v>
      </c>
      <c r="N227" s="26" t="s">
        <v>2006</v>
      </c>
    </row>
    <row r="228" spans="13:14">
      <c r="M228" s="26" t="s">
        <v>2262</v>
      </c>
      <c r="N228" s="26" t="s">
        <v>2010</v>
      </c>
    </row>
    <row r="229" spans="13:14">
      <c r="M229" s="26" t="s">
        <v>2264</v>
      </c>
      <c r="N229" s="26" t="s">
        <v>2012</v>
      </c>
    </row>
    <row r="230" spans="13:14">
      <c r="M230" s="26" t="s">
        <v>2261</v>
      </c>
      <c r="N230" s="26" t="s">
        <v>2009</v>
      </c>
    </row>
    <row r="231" spans="13:14">
      <c r="M231" s="26" t="s">
        <v>2263</v>
      </c>
      <c r="N231" s="26" t="s">
        <v>2290</v>
      </c>
    </row>
    <row r="232" spans="13:14">
      <c r="M232" s="26" t="s">
        <v>2263</v>
      </c>
      <c r="N232" s="26" t="s">
        <v>2011</v>
      </c>
    </row>
    <row r="233" spans="13:14">
      <c r="M233" s="26" t="s">
        <v>2260</v>
      </c>
      <c r="N233" s="26" t="s">
        <v>2008</v>
      </c>
    </row>
    <row r="234" spans="13:14">
      <c r="M234" s="26" t="s">
        <v>2252</v>
      </c>
      <c r="N234" s="26" t="s">
        <v>2000</v>
      </c>
    </row>
    <row r="235" spans="13:14">
      <c r="M235" s="26" t="s">
        <v>2265</v>
      </c>
      <c r="N235" s="26" t="s">
        <v>2013</v>
      </c>
    </row>
    <row r="236" spans="13:14">
      <c r="M236" s="26" t="s">
        <v>2269</v>
      </c>
      <c r="N236" s="26" t="s">
        <v>2017</v>
      </c>
    </row>
    <row r="237" spans="13:14">
      <c r="M237" s="26" t="s">
        <v>2268</v>
      </c>
      <c r="N237" s="26" t="s">
        <v>2016</v>
      </c>
    </row>
    <row r="238" spans="13:14">
      <c r="M238" s="26" t="s">
        <v>2041</v>
      </c>
      <c r="N238" s="26" t="s">
        <v>1789</v>
      </c>
    </row>
    <row r="239" spans="13:14">
      <c r="M239" s="26" t="s">
        <v>2116</v>
      </c>
      <c r="N239" s="26" t="s">
        <v>1863</v>
      </c>
    </row>
    <row r="240" spans="13:14">
      <c r="M240" s="26" t="s">
        <v>2271</v>
      </c>
      <c r="N240" s="26" t="s">
        <v>2019</v>
      </c>
    </row>
    <row r="241" spans="13:14">
      <c r="M241" s="26" t="s">
        <v>2270</v>
      </c>
      <c r="N241" s="26" t="s">
        <v>2018</v>
      </c>
    </row>
    <row r="242" spans="13:14">
      <c r="M242" s="26" t="s">
        <v>2272</v>
      </c>
      <c r="N242" s="26" t="s">
        <v>2020</v>
      </c>
    </row>
    <row r="243" spans="13:14">
      <c r="M243" s="26" t="s">
        <v>2302</v>
      </c>
      <c r="N243" s="26" t="s">
        <v>2038</v>
      </c>
    </row>
    <row r="244" spans="13:14">
      <c r="M244" s="26" t="s">
        <v>2273</v>
      </c>
      <c r="N244" s="26" t="s">
        <v>2021</v>
      </c>
    </row>
    <row r="245" spans="13:14">
      <c r="M245" s="26" t="s">
        <v>2280</v>
      </c>
      <c r="N245" s="26" t="s">
        <v>2028</v>
      </c>
    </row>
    <row r="246" spans="13:14">
      <c r="M246" s="26" t="s">
        <v>2276</v>
      </c>
      <c r="N246" s="26" t="s">
        <v>2024</v>
      </c>
    </row>
    <row r="247" spans="13:14">
      <c r="M247" s="26" t="s">
        <v>2279</v>
      </c>
      <c r="N247" s="26" t="s">
        <v>2027</v>
      </c>
    </row>
    <row r="248" spans="13:14">
      <c r="M248" s="26" t="s">
        <v>2277</v>
      </c>
      <c r="N248" s="26" t="s">
        <v>2025</v>
      </c>
    </row>
    <row r="249" spans="13:14">
      <c r="M249" s="26" t="s">
        <v>2278</v>
      </c>
      <c r="N249" s="26" t="s">
        <v>2026</v>
      </c>
    </row>
    <row r="250" spans="13:14">
      <c r="M250" s="26" t="s">
        <v>2281</v>
      </c>
      <c r="N250" s="26" t="s">
        <v>2029</v>
      </c>
    </row>
    <row r="251" spans="13:14">
      <c r="M251" s="26" t="s">
        <v>2105</v>
      </c>
      <c r="N251" s="26" t="s">
        <v>1853</v>
      </c>
    </row>
    <row r="252" spans="13:14">
      <c r="M252" s="26" t="s">
        <v>2283</v>
      </c>
      <c r="N252" s="26" t="s">
        <v>2031</v>
      </c>
    </row>
    <row r="253" spans="13:14">
      <c r="M253" s="26" t="s">
        <v>2301</v>
      </c>
      <c r="N253" s="26" t="s">
        <v>2039</v>
      </c>
    </row>
    <row r="254" spans="13:14">
      <c r="M254" s="26" t="s">
        <v>2286</v>
      </c>
      <c r="N254" s="26" t="s">
        <v>2034</v>
      </c>
    </row>
    <row r="255" spans="13:14">
      <c r="M255" s="26" t="s">
        <v>2287</v>
      </c>
      <c r="N255" s="26" t="s">
        <v>2035</v>
      </c>
    </row>
    <row r="256" spans="13:14">
      <c r="M256" s="26" t="s">
        <v>2305</v>
      </c>
      <c r="N256" s="26" t="s">
        <v>2291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929</v>
      </c>
      <c r="B1" t="s">
        <v>930</v>
      </c>
      <c r="C1" s="10" t="s">
        <v>931</v>
      </c>
      <c r="D1" s="10" t="s">
        <v>932</v>
      </c>
    </row>
    <row r="2" spans="1:4">
      <c r="A2" t="s">
        <v>933</v>
      </c>
      <c r="B2" t="s">
        <v>934</v>
      </c>
      <c r="C2" s="10">
        <v>1000</v>
      </c>
      <c r="D2" s="10">
        <v>1499</v>
      </c>
    </row>
    <row r="3" spans="1:4">
      <c r="A3" t="s">
        <v>936</v>
      </c>
      <c r="B3" t="s">
        <v>935</v>
      </c>
      <c r="C3" s="10">
        <v>2000</v>
      </c>
      <c r="D3" s="10">
        <v>2499</v>
      </c>
    </row>
    <row r="4" spans="1:4">
      <c r="A4" t="s">
        <v>937</v>
      </c>
      <c r="B4" t="s">
        <v>938</v>
      </c>
      <c r="C4" s="10">
        <v>3000</v>
      </c>
      <c r="D4" s="10">
        <v>3499</v>
      </c>
    </row>
    <row r="5" spans="1:4">
      <c r="A5" t="s">
        <v>939</v>
      </c>
      <c r="B5" t="s">
        <v>940</v>
      </c>
      <c r="C5" s="10">
        <v>4000</v>
      </c>
      <c r="D5" s="10">
        <v>4999</v>
      </c>
    </row>
    <row r="6" spans="1:4">
      <c r="A6" t="s">
        <v>941</v>
      </c>
      <c r="B6" t="s">
        <v>942</v>
      </c>
      <c r="C6" s="10">
        <v>5000</v>
      </c>
      <c r="D6" s="10">
        <v>5999</v>
      </c>
    </row>
    <row r="7" spans="1:4">
      <c r="A7" t="s">
        <v>943</v>
      </c>
      <c r="B7" t="s">
        <v>944</v>
      </c>
      <c r="C7" s="10">
        <v>6000</v>
      </c>
      <c r="D7" s="10">
        <v>6999</v>
      </c>
    </row>
    <row r="8" spans="1:4">
      <c r="A8" t="s">
        <v>945</v>
      </c>
      <c r="B8" t="s">
        <v>946</v>
      </c>
      <c r="C8" s="10">
        <v>7000</v>
      </c>
      <c r="D8" s="10">
        <v>7999</v>
      </c>
    </row>
    <row r="9" spans="1:4">
      <c r="A9" t="s">
        <v>947</v>
      </c>
      <c r="B9" t="s">
        <v>948</v>
      </c>
      <c r="C9" s="10">
        <v>8000</v>
      </c>
      <c r="D9" s="10">
        <v>8999</v>
      </c>
    </row>
    <row r="10" spans="1:4">
      <c r="A10" t="s">
        <v>949</v>
      </c>
      <c r="B10" t="s">
        <v>950</v>
      </c>
      <c r="C10" s="10">
        <v>9000</v>
      </c>
      <c r="D10" s="10">
        <v>9999</v>
      </c>
    </row>
    <row r="11" spans="1:4">
      <c r="A11" t="s">
        <v>951</v>
      </c>
      <c r="B11" t="s">
        <v>952</v>
      </c>
      <c r="C11" s="10">
        <v>10000</v>
      </c>
      <c r="D11" s="10">
        <v>10499</v>
      </c>
    </row>
    <row r="12" spans="1:4">
      <c r="A12" t="s">
        <v>953</v>
      </c>
      <c r="B12" t="s">
        <v>954</v>
      </c>
      <c r="C12" s="10">
        <v>11000</v>
      </c>
      <c r="D12" s="10">
        <v>11999</v>
      </c>
    </row>
    <row r="13" spans="1:4">
      <c r="A13" t="s">
        <v>955</v>
      </c>
      <c r="B13" t="s">
        <v>956</v>
      </c>
      <c r="C13" s="10">
        <v>12000</v>
      </c>
      <c r="D13" s="10">
        <v>12999</v>
      </c>
    </row>
    <row r="14" spans="1:4">
      <c r="A14" t="s">
        <v>959</v>
      </c>
      <c r="B14" t="s">
        <v>960</v>
      </c>
      <c r="C14" s="10">
        <v>13000</v>
      </c>
      <c r="D14" s="10">
        <v>13499</v>
      </c>
    </row>
    <row r="15" spans="1:4">
      <c r="A15" t="s">
        <v>971</v>
      </c>
      <c r="B15" t="s">
        <v>975</v>
      </c>
      <c r="C15" s="10">
        <v>13000</v>
      </c>
      <c r="D15" s="10">
        <v>13001</v>
      </c>
    </row>
    <row r="16" spans="1:4">
      <c r="A16" t="s">
        <v>972</v>
      </c>
      <c r="B16" t="s">
        <v>976</v>
      </c>
      <c r="C16" s="10">
        <v>13002</v>
      </c>
      <c r="D16" s="10">
        <v>13003</v>
      </c>
    </row>
    <row r="17" spans="1:4">
      <c r="A17" t="s">
        <v>973</v>
      </c>
      <c r="B17" t="s">
        <v>977</v>
      </c>
      <c r="C17" s="10">
        <v>13004</v>
      </c>
      <c r="D17" s="10">
        <v>13005</v>
      </c>
    </row>
    <row r="18" spans="1:4">
      <c r="A18" t="s">
        <v>974</v>
      </c>
      <c r="B18" t="s">
        <v>978</v>
      </c>
      <c r="C18" s="10">
        <v>13006</v>
      </c>
      <c r="D18" s="10">
        <v>13007</v>
      </c>
    </row>
    <row r="19" spans="1:4">
      <c r="A19" t="s">
        <v>962</v>
      </c>
      <c r="B19" t="s">
        <v>961</v>
      </c>
      <c r="C19" s="10">
        <v>14000</v>
      </c>
      <c r="D19" s="10">
        <v>14499</v>
      </c>
    </row>
    <row r="20" spans="1:4">
      <c r="A20" t="s">
        <v>965</v>
      </c>
      <c r="B20" t="s">
        <v>963</v>
      </c>
      <c r="C20" s="10">
        <v>14500</v>
      </c>
      <c r="D20" s="10">
        <v>14999</v>
      </c>
    </row>
    <row r="21" spans="1:4">
      <c r="A21" t="s">
        <v>970</v>
      </c>
      <c r="B21" t="s">
        <v>964</v>
      </c>
      <c r="C21" s="10">
        <v>15000</v>
      </c>
      <c r="D21" s="10">
        <v>15499</v>
      </c>
    </row>
    <row r="22" spans="1:4">
      <c r="A22" t="s">
        <v>966</v>
      </c>
      <c r="B22" t="s">
        <v>967</v>
      </c>
      <c r="C22" s="10">
        <v>15500</v>
      </c>
      <c r="D22" s="10">
        <v>15999</v>
      </c>
    </row>
    <row r="23" spans="1:4">
      <c r="A23" t="s">
        <v>968</v>
      </c>
      <c r="B23" t="s">
        <v>969</v>
      </c>
      <c r="C23" s="10">
        <v>16000</v>
      </c>
      <c r="D23" s="10">
        <v>16499</v>
      </c>
    </row>
    <row r="24" spans="1:4">
      <c r="A24" t="s">
        <v>957</v>
      </c>
      <c r="B24" t="s">
        <v>958</v>
      </c>
      <c r="C24" s="10">
        <v>18000</v>
      </c>
      <c r="D24" s="10">
        <v>18999</v>
      </c>
    </row>
    <row r="25" spans="1:4">
      <c r="A25" t="s">
        <v>2877</v>
      </c>
      <c r="B25" t="s">
        <v>2878</v>
      </c>
      <c r="C25" s="10">
        <v>19000</v>
      </c>
      <c r="D25" s="10">
        <v>19500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1029</v>
      </c>
      <c r="B1" s="14" t="s">
        <v>1014</v>
      </c>
      <c r="C1" s="14" t="s">
        <v>1015</v>
      </c>
      <c r="D1" s="14" t="s">
        <v>1016</v>
      </c>
      <c r="E1" s="14" t="s">
        <v>1017</v>
      </c>
      <c r="F1" s="14" t="s">
        <v>1018</v>
      </c>
      <c r="G1" s="14" t="s">
        <v>1019</v>
      </c>
      <c r="H1" s="14" t="s">
        <v>1020</v>
      </c>
      <c r="I1" s="14" t="s">
        <v>1021</v>
      </c>
      <c r="J1" s="14" t="s">
        <v>1022</v>
      </c>
      <c r="K1" s="14" t="s">
        <v>1023</v>
      </c>
      <c r="L1" s="14" t="s">
        <v>1024</v>
      </c>
      <c r="M1" s="14" t="s">
        <v>1025</v>
      </c>
      <c r="N1" s="14" t="s">
        <v>1026</v>
      </c>
    </row>
    <row r="2" spans="1:14">
      <c r="A2" s="14" t="s">
        <v>1056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1057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1058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946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948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1039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1027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1028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1030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1031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1032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1033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1034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1040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1035</v>
      </c>
    </row>
    <row r="25" spans="1:1">
      <c r="A25" s="20" t="s">
        <v>1036</v>
      </c>
    </row>
    <row r="27" spans="1:1">
      <c r="A27" s="20" t="s">
        <v>1037</v>
      </c>
    </row>
    <row r="29" spans="1:1">
      <c r="A29" s="20" t="s">
        <v>1038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1041</v>
      </c>
      <c r="B1" t="s">
        <v>12</v>
      </c>
      <c r="C1" t="s">
        <v>1042</v>
      </c>
    </row>
    <row r="2" spans="1:3">
      <c r="A2" t="s">
        <v>1053</v>
      </c>
      <c r="B2">
        <v>20</v>
      </c>
      <c r="C2" t="s">
        <v>1047</v>
      </c>
    </row>
    <row r="3" spans="1:3">
      <c r="A3" t="s">
        <v>1051</v>
      </c>
      <c r="B3">
        <v>40</v>
      </c>
      <c r="C3" t="s">
        <v>1045</v>
      </c>
    </row>
    <row r="4" spans="1:3">
      <c r="A4" t="s">
        <v>1050</v>
      </c>
      <c r="B4">
        <v>16</v>
      </c>
      <c r="C4" t="s">
        <v>1044</v>
      </c>
    </row>
    <row r="5" spans="1:3">
      <c r="A5" t="s">
        <v>1054</v>
      </c>
      <c r="B5">
        <v>15</v>
      </c>
      <c r="C5" t="s">
        <v>1048</v>
      </c>
    </row>
    <row r="6" spans="1:3">
      <c r="A6" t="s">
        <v>1052</v>
      </c>
      <c r="B6">
        <v>120</v>
      </c>
      <c r="C6" t="s">
        <v>1046</v>
      </c>
    </row>
    <row r="7" spans="1:3">
      <c r="A7" t="s">
        <v>1049</v>
      </c>
      <c r="B7">
        <v>0</v>
      </c>
      <c r="C7" t="s">
        <v>1043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control</vt:lpstr>
      <vt:lpstr>properties</vt:lpstr>
      <vt:lpstr>track_types</vt:lpstr>
      <vt:lpstr>flags</vt:lpstr>
      <vt:lpstr>graphics_properties</vt:lpstr>
      <vt:lpstr>roster_pivot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2026-04-13T12:21:11Z</dcterms:modified>
</cp:coreProperties>
</file>